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ulio\Google Drive\@GeradorDeCodigo\"/>
    </mc:Choice>
  </mc:AlternateContent>
  <xr:revisionPtr revIDLastSave="0" documentId="13_ncr:1_{C762EA5D-3DF6-420B-813B-976C0E0AE833}" xr6:coauthVersionLast="45" xr6:coauthVersionMax="45" xr10:uidLastSave="{00000000-0000-0000-0000-000000000000}"/>
  <bookViews>
    <workbookView xWindow="-60" yWindow="-60" windowWidth="20610" windowHeight="10980" tabRatio="758" firstSheet="13" activeTab="20" xr2:uid="{E534E200-0C40-41E9-9B6E-924007D90FB7}"/>
  </bookViews>
  <sheets>
    <sheet name="setup" sheetId="1" r:id="rId1"/>
    <sheet name="dto" sheetId="2" r:id="rId2"/>
    <sheet name="helper" sheetId="25" r:id="rId3"/>
    <sheet name="constantes" sheetId="26" r:id="rId4"/>
    <sheet name="service" sheetId="5" r:id="rId5"/>
    <sheet name="serviceImpl" sheetId="3" r:id="rId6"/>
    <sheet name="business" sheetId="6" r:id="rId7"/>
    <sheet name="businessImpl" sheetId="7" r:id="rId8"/>
    <sheet name="dao" sheetId="10" r:id="rId9"/>
    <sheet name="DmlSql" sheetId="9" r:id="rId10"/>
    <sheet name="MySQL" sheetId="11" r:id="rId11"/>
    <sheet name="DAOFactory" sheetId="14" r:id="rId12"/>
    <sheet name="MySQLDAOFactory" sheetId="15" r:id="rId13"/>
    <sheet name="appController" sheetId="20" r:id="rId14"/>
    <sheet name="clientListarPorStatus" sheetId="16" r:id="rId15"/>
    <sheet name="clientInserir" sheetId="17" r:id="rId16"/>
    <sheet name="dartVOpost" sheetId="18" r:id="rId17"/>
    <sheet name="dartPageLV" sheetId="21" r:id="rId18"/>
    <sheet name="dartLVBuilder" sheetId="22" r:id="rId19"/>
    <sheet name="dartUI" sheetId="23" r:id="rId20"/>
    <sheet name="dartCRUD" sheetId="19" r:id="rId2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7" i="1" l="1"/>
  <c r="N185" i="26" l="1"/>
  <c r="N186" i="26" s="1"/>
  <c r="N187" i="26" s="1"/>
  <c r="N132" i="26"/>
  <c r="N133" i="26" s="1"/>
  <c r="N188" i="26" l="1"/>
  <c r="N134" i="26"/>
  <c r="N189" i="26" l="1"/>
  <c r="N135" i="26"/>
  <c r="N74" i="23"/>
  <c r="N75" i="23" s="1"/>
  <c r="N79" i="26"/>
  <c r="N80" i="26" s="1"/>
  <c r="N26" i="26"/>
  <c r="N27" i="26" s="1"/>
  <c r="N28" i="26" s="1"/>
  <c r="N190" i="26" l="1"/>
  <c r="N136" i="26"/>
  <c r="N76" i="23"/>
  <c r="N81" i="26"/>
  <c r="N29" i="26"/>
  <c r="N191" i="26" l="1"/>
  <c r="N137" i="26"/>
  <c r="N77" i="23"/>
  <c r="N82" i="26"/>
  <c r="N30" i="26"/>
  <c r="N192" i="26" l="1"/>
  <c r="N138" i="26"/>
  <c r="N78" i="23"/>
  <c r="N83" i="26"/>
  <c r="N31" i="26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N193" i="26" l="1"/>
  <c r="N139" i="26"/>
  <c r="N79" i="23"/>
  <c r="N84" i="26"/>
  <c r="N32" i="26"/>
  <c r="N253" i="19"/>
  <c r="N254" i="19" s="1"/>
  <c r="N255" i="19" s="1"/>
  <c r="N256" i="19" s="1"/>
  <c r="N194" i="26" l="1"/>
  <c r="N140" i="26"/>
  <c r="N80" i="23"/>
  <c r="N85" i="26"/>
  <c r="N33" i="26"/>
  <c r="N257" i="19"/>
  <c r="N195" i="26" l="1"/>
  <c r="N141" i="26"/>
  <c r="N81" i="23"/>
  <c r="N86" i="26"/>
  <c r="N34" i="26"/>
  <c r="N258" i="19"/>
  <c r="N259" i="19" s="1"/>
  <c r="N260" i="19" s="1"/>
  <c r="N261" i="19" s="1"/>
  <c r="N262" i="19" s="1"/>
  <c r="N263" i="19" s="1"/>
  <c r="F8" i="1"/>
  <c r="N196" i="26" l="1"/>
  <c r="N142" i="26"/>
  <c r="N82" i="23"/>
  <c r="N87" i="26"/>
  <c r="N35" i="26"/>
  <c r="N264" i="19"/>
  <c r="N1100" i="11"/>
  <c r="N1101" i="11" s="1"/>
  <c r="N860" i="11"/>
  <c r="N861" i="11" s="1"/>
  <c r="N862" i="11" s="1"/>
  <c r="N863" i="11" s="1"/>
  <c r="N864" i="11" s="1"/>
  <c r="N865" i="11" s="1"/>
  <c r="N866" i="11" s="1"/>
  <c r="N867" i="11" s="1"/>
  <c r="N868" i="11" s="1"/>
  <c r="N869" i="11" s="1"/>
  <c r="N870" i="11" s="1"/>
  <c r="N871" i="11" s="1"/>
  <c r="N872" i="11" s="1"/>
  <c r="N873" i="11" s="1"/>
  <c r="N874" i="11" s="1"/>
  <c r="N876" i="11" s="1"/>
  <c r="N877" i="11" s="1"/>
  <c r="N654" i="11"/>
  <c r="N655" i="11" s="1"/>
  <c r="N656" i="11" s="1"/>
  <c r="N657" i="11" s="1"/>
  <c r="N658" i="11" s="1"/>
  <c r="N659" i="11" s="1"/>
  <c r="N660" i="11" s="1"/>
  <c r="N661" i="11" s="1"/>
  <c r="N662" i="11" s="1"/>
  <c r="N663" i="11" s="1"/>
  <c r="N664" i="11" s="1"/>
  <c r="N665" i="11" s="1"/>
  <c r="N666" i="11" s="1"/>
  <c r="N667" i="11" s="1"/>
  <c r="N668" i="11" s="1"/>
  <c r="N669" i="11" s="1"/>
  <c r="N670" i="11" s="1"/>
  <c r="N671" i="11" s="1"/>
  <c r="N672" i="11" s="1"/>
  <c r="N673" i="11" s="1"/>
  <c r="N675" i="11" s="1"/>
  <c r="N676" i="11" s="1"/>
  <c r="N264" i="9"/>
  <c r="N265" i="9" s="1"/>
  <c r="N84" i="10"/>
  <c r="N85" i="10" s="1"/>
  <c r="N86" i="10" s="1"/>
  <c r="N87" i="10" s="1"/>
  <c r="N34" i="10"/>
  <c r="N35" i="10" s="1"/>
  <c r="N36" i="10" s="1"/>
  <c r="N37" i="10" s="1"/>
  <c r="N38" i="10" s="1"/>
  <c r="N39" i="10" s="1"/>
  <c r="N40" i="10" s="1"/>
  <c r="N41" i="10" s="1"/>
  <c r="N42" i="10" s="1"/>
  <c r="N43" i="10" s="1"/>
  <c r="N44" i="10" s="1"/>
  <c r="N45" i="10" s="1"/>
  <c r="N46" i="10" s="1"/>
  <c r="N47" i="10" s="1"/>
  <c r="N48" i="10" s="1"/>
  <c r="N49" i="10" s="1"/>
  <c r="N50" i="10" s="1"/>
  <c r="N51" i="10" s="1"/>
  <c r="N52" i="10" s="1"/>
  <c r="N53" i="10" s="1"/>
  <c r="N54" i="10" s="1"/>
  <c r="N55" i="10" s="1"/>
  <c r="N56" i="10" s="1"/>
  <c r="N57" i="10" s="1"/>
  <c r="N58" i="10" s="1"/>
  <c r="N59" i="10" s="1"/>
  <c r="N60" i="10" s="1"/>
  <c r="N61" i="10" s="1"/>
  <c r="N62" i="10" s="1"/>
  <c r="N63" i="10" s="1"/>
  <c r="N64" i="10" s="1"/>
  <c r="N65" i="10" s="1"/>
  <c r="N66" i="10" s="1"/>
  <c r="N67" i="10" s="1"/>
  <c r="N68" i="10" s="1"/>
  <c r="N69" i="10" s="1"/>
  <c r="N70" i="10" s="1"/>
  <c r="N71" i="10" s="1"/>
  <c r="N72" i="10" s="1"/>
  <c r="N73" i="10" s="1"/>
  <c r="N74" i="10" s="1"/>
  <c r="N75" i="10" s="1"/>
  <c r="N76" i="10" s="1"/>
  <c r="N77" i="10" s="1"/>
  <c r="N78" i="10" s="1"/>
  <c r="N79" i="10" s="1"/>
  <c r="N33" i="10"/>
  <c r="N879" i="7"/>
  <c r="N880" i="7" s="1"/>
  <c r="N881" i="7" s="1"/>
  <c r="N882" i="7" s="1"/>
  <c r="N883" i="7" s="1"/>
  <c r="N884" i="7" s="1"/>
  <c r="N885" i="7" s="1"/>
  <c r="N886" i="7" s="1"/>
  <c r="N887" i="7" s="1"/>
  <c r="N888" i="7" s="1"/>
  <c r="N889" i="7" s="1"/>
  <c r="N890" i="7" s="1"/>
  <c r="N891" i="7" s="1"/>
  <c r="N892" i="7" s="1"/>
  <c r="N893" i="7" s="1"/>
  <c r="N894" i="7" s="1"/>
  <c r="N896" i="7" s="1"/>
  <c r="N897" i="7" s="1"/>
  <c r="N583" i="7"/>
  <c r="N584" i="7" s="1"/>
  <c r="N585" i="7" s="1"/>
  <c r="N586" i="7" s="1"/>
  <c r="N587" i="7" s="1"/>
  <c r="N588" i="7" s="1"/>
  <c r="N589" i="7" s="1"/>
  <c r="N590" i="7" s="1"/>
  <c r="N591" i="7" s="1"/>
  <c r="N592" i="7" s="1"/>
  <c r="N593" i="7" s="1"/>
  <c r="N594" i="7" s="1"/>
  <c r="N595" i="7" s="1"/>
  <c r="N596" i="7" s="1"/>
  <c r="N597" i="7" s="1"/>
  <c r="N598" i="7" s="1"/>
  <c r="N599" i="7" s="1"/>
  <c r="N600" i="7" s="1"/>
  <c r="N601" i="7" s="1"/>
  <c r="N602" i="7" s="1"/>
  <c r="N603" i="7" s="1"/>
  <c r="N604" i="7" s="1"/>
  <c r="N605" i="7" s="1"/>
  <c r="N606" i="7" s="1"/>
  <c r="N607" i="7" s="1"/>
  <c r="N608" i="7" s="1"/>
  <c r="N609" i="7" s="1"/>
  <c r="N611" i="7" s="1"/>
  <c r="N612" i="7" s="1"/>
  <c r="N613" i="7" s="1"/>
  <c r="N93" i="6"/>
  <c r="N94" i="6" s="1"/>
  <c r="N95" i="6" s="1"/>
  <c r="N96" i="6" s="1"/>
  <c r="N42" i="6"/>
  <c r="N43" i="6" s="1"/>
  <c r="N44" i="6" s="1"/>
  <c r="N45" i="6" s="1"/>
  <c r="N46" i="6" s="1"/>
  <c r="N47" i="6" s="1"/>
  <c r="N48" i="6" s="1"/>
  <c r="N49" i="6" s="1"/>
  <c r="N50" i="6" s="1"/>
  <c r="N51" i="6" s="1"/>
  <c r="N52" i="6" s="1"/>
  <c r="N53" i="6" s="1"/>
  <c r="N54" i="6" s="1"/>
  <c r="N55" i="6" s="1"/>
  <c r="N56" i="6" s="1"/>
  <c r="N57" i="6" s="1"/>
  <c r="N58" i="6" s="1"/>
  <c r="N59" i="6" s="1"/>
  <c r="N60" i="6" s="1"/>
  <c r="N61" i="6" s="1"/>
  <c r="N62" i="6" s="1"/>
  <c r="N63" i="6" s="1"/>
  <c r="N64" i="6" s="1"/>
  <c r="N65" i="6" s="1"/>
  <c r="N66" i="6" s="1"/>
  <c r="N67" i="6" s="1"/>
  <c r="N68" i="6" s="1"/>
  <c r="N69" i="6" s="1"/>
  <c r="N70" i="6" s="1"/>
  <c r="N71" i="6" s="1"/>
  <c r="N72" i="6" s="1"/>
  <c r="N73" i="6" s="1"/>
  <c r="N74" i="6" s="1"/>
  <c r="N75" i="6" s="1"/>
  <c r="N76" i="6" s="1"/>
  <c r="N77" i="6" s="1"/>
  <c r="N78" i="6" s="1"/>
  <c r="N79" i="6" s="1"/>
  <c r="N80" i="6" s="1"/>
  <c r="N81" i="6" s="1"/>
  <c r="N82" i="6" s="1"/>
  <c r="N83" i="6" s="1"/>
  <c r="N84" i="6" s="1"/>
  <c r="N85" i="6" s="1"/>
  <c r="N86" i="6" s="1"/>
  <c r="N87" i="6" s="1"/>
  <c r="N88" i="6" s="1"/>
  <c r="N975" i="3"/>
  <c r="N1017" i="3" s="1"/>
  <c r="N96" i="5"/>
  <c r="N44" i="5"/>
  <c r="N45" i="5" s="1"/>
  <c r="N46" i="5" s="1"/>
  <c r="N994" i="3" l="1"/>
  <c r="N1014" i="3"/>
  <c r="N986" i="3"/>
  <c r="N1010" i="3"/>
  <c r="N978" i="3"/>
  <c r="N998" i="3"/>
  <c r="N1018" i="3"/>
  <c r="N1020" i="3" s="1"/>
  <c r="N1021" i="3" s="1"/>
  <c r="N1022" i="3" s="1"/>
  <c r="N1023" i="3" s="1"/>
  <c r="N1024" i="3" s="1"/>
  <c r="N1025" i="3" s="1"/>
  <c r="N1026" i="3" s="1"/>
  <c r="N1027" i="3" s="1"/>
  <c r="N1028" i="3" s="1"/>
  <c r="N1029" i="3" s="1"/>
  <c r="N1030" i="3" s="1"/>
  <c r="N1031" i="3" s="1"/>
  <c r="N1032" i="3" s="1"/>
  <c r="N1033" i="3" s="1"/>
  <c r="N1034" i="3" s="1"/>
  <c r="N1035" i="3" s="1"/>
  <c r="N1036" i="3" s="1"/>
  <c r="N1037" i="3" s="1"/>
  <c r="N1038" i="3" s="1"/>
  <c r="N1039" i="3" s="1"/>
  <c r="N1040" i="3" s="1"/>
  <c r="N1041" i="3" s="1"/>
  <c r="N1042" i="3" s="1"/>
  <c r="N1043" i="3" s="1"/>
  <c r="N1044" i="3" s="1"/>
  <c r="N1045" i="3" s="1"/>
  <c r="N1046" i="3" s="1"/>
  <c r="N1047" i="3" s="1"/>
  <c r="N1048" i="3" s="1"/>
  <c r="N1049" i="3" s="1"/>
  <c r="N1050" i="3" s="1"/>
  <c r="N1051" i="3" s="1"/>
  <c r="N1052" i="3" s="1"/>
  <c r="N1053" i="3" s="1"/>
  <c r="N1054" i="3" s="1"/>
  <c r="N1055" i="3" s="1"/>
  <c r="N1056" i="3" s="1"/>
  <c r="N1057" i="3" s="1"/>
  <c r="N1058" i="3" s="1"/>
  <c r="N1059" i="3" s="1"/>
  <c r="N1060" i="3" s="1"/>
  <c r="N1061" i="3" s="1"/>
  <c r="N1062" i="3" s="1"/>
  <c r="N1063" i="3" s="1"/>
  <c r="N1065" i="3" s="1"/>
  <c r="N1066" i="3" s="1"/>
  <c r="N1067" i="3" s="1"/>
  <c r="N982" i="3"/>
  <c r="N1002" i="3"/>
  <c r="N197" i="26"/>
  <c r="N143" i="26"/>
  <c r="N83" i="23"/>
  <c r="N88" i="26"/>
  <c r="N36" i="26"/>
  <c r="N265" i="19"/>
  <c r="N990" i="3"/>
  <c r="N1006" i="3"/>
  <c r="N979" i="3"/>
  <c r="N983" i="3"/>
  <c r="N987" i="3"/>
  <c r="N991" i="3"/>
  <c r="N995" i="3"/>
  <c r="N999" i="3"/>
  <c r="N1003" i="3"/>
  <c r="N1007" i="3"/>
  <c r="N1011" i="3"/>
  <c r="N1015" i="3"/>
  <c r="N976" i="3"/>
  <c r="N980" i="3"/>
  <c r="N984" i="3"/>
  <c r="N988" i="3"/>
  <c r="N992" i="3"/>
  <c r="N996" i="3"/>
  <c r="N1000" i="3"/>
  <c r="N1004" i="3"/>
  <c r="N1008" i="3"/>
  <c r="N1012" i="3"/>
  <c r="N1016" i="3"/>
  <c r="N977" i="3"/>
  <c r="N981" i="3"/>
  <c r="N985" i="3"/>
  <c r="N989" i="3"/>
  <c r="N993" i="3"/>
  <c r="N997" i="3"/>
  <c r="N1001" i="3"/>
  <c r="N1005" i="3"/>
  <c r="N1009" i="3"/>
  <c r="N1013" i="3"/>
  <c r="N1102" i="11"/>
  <c r="N878" i="11"/>
  <c r="N677" i="11"/>
  <c r="N266" i="9"/>
  <c r="N88" i="10"/>
  <c r="N80" i="10"/>
  <c r="N898" i="7"/>
  <c r="N614" i="7"/>
  <c r="N97" i="6"/>
  <c r="N97" i="5"/>
  <c r="N47" i="5"/>
  <c r="N198" i="26" l="1"/>
  <c r="N144" i="26"/>
  <c r="N84" i="23"/>
  <c r="N89" i="26"/>
  <c r="N37" i="26"/>
  <c r="N266" i="19"/>
  <c r="N1103" i="11"/>
  <c r="N879" i="11"/>
  <c r="N678" i="11"/>
  <c r="N267" i="9"/>
  <c r="N89" i="10"/>
  <c r="N81" i="10"/>
  <c r="N899" i="7"/>
  <c r="N615" i="7"/>
  <c r="N98" i="6"/>
  <c r="N1068" i="3"/>
  <c r="N98" i="5"/>
  <c r="N48" i="5"/>
  <c r="A359" i="11"/>
  <c r="A327" i="11"/>
  <c r="A328" i="11"/>
  <c r="N17" i="20"/>
  <c r="N18" i="20" s="1"/>
  <c r="N19" i="20" s="1"/>
  <c r="N20" i="20" s="1"/>
  <c r="A576" i="11"/>
  <c r="A577" i="11"/>
  <c r="A578" i="11"/>
  <c r="A579" i="11"/>
  <c r="A580" i="11"/>
  <c r="A581" i="11"/>
  <c r="A582" i="11"/>
  <c r="A583" i="11"/>
  <c r="A584" i="11"/>
  <c r="A585" i="11"/>
  <c r="A586" i="11"/>
  <c r="A587" i="11"/>
  <c r="A588" i="11"/>
  <c r="A589" i="11"/>
  <c r="A590" i="11"/>
  <c r="A591" i="11"/>
  <c r="A592" i="11"/>
  <c r="A593" i="11"/>
  <c r="A594" i="11"/>
  <c r="A595" i="11"/>
  <c r="A596" i="11"/>
  <c r="A597" i="11"/>
  <c r="A598" i="11"/>
  <c r="A599" i="11"/>
  <c r="A600" i="11"/>
  <c r="A601" i="11"/>
  <c r="A602" i="11"/>
  <c r="A603" i="11"/>
  <c r="A604" i="11"/>
  <c r="A605" i="11"/>
  <c r="A606" i="11"/>
  <c r="A607" i="11"/>
  <c r="A608" i="11"/>
  <c r="A609" i="11"/>
  <c r="A610" i="11"/>
  <c r="A611" i="11"/>
  <c r="A612" i="11"/>
  <c r="A613" i="11"/>
  <c r="A614" i="11"/>
  <c r="A615" i="11"/>
  <c r="A616" i="11"/>
  <c r="A617" i="11"/>
  <c r="A618" i="11"/>
  <c r="A619" i="11"/>
  <c r="A620" i="11"/>
  <c r="A621" i="11"/>
  <c r="A622" i="11"/>
  <c r="A623" i="11"/>
  <c r="A575" i="11"/>
  <c r="N199" i="26" l="1"/>
  <c r="N145" i="26"/>
  <c r="N85" i="23"/>
  <c r="N90" i="26"/>
  <c r="N38" i="26"/>
  <c r="N267" i="19"/>
  <c r="N1104" i="11"/>
  <c r="N880" i="11"/>
  <c r="N679" i="11"/>
  <c r="N268" i="9"/>
  <c r="N90" i="10"/>
  <c r="N900" i="7"/>
  <c r="N616" i="7"/>
  <c r="N99" i="6"/>
  <c r="N1069" i="3"/>
  <c r="N99" i="5"/>
  <c r="N49" i="5"/>
  <c r="N21" i="20"/>
  <c r="N100" i="20"/>
  <c r="N101" i="20" s="1"/>
  <c r="N102" i="20" s="1"/>
  <c r="N103" i="20" s="1"/>
  <c r="N104" i="20" s="1"/>
  <c r="N89" i="20"/>
  <c r="N90" i="20" s="1"/>
  <c r="N91" i="20" s="1"/>
  <c r="N169" i="19"/>
  <c r="N170" i="19" s="1"/>
  <c r="N171" i="19" s="1"/>
  <c r="N172" i="19" s="1"/>
  <c r="N313" i="19"/>
  <c r="N314" i="19" s="1"/>
  <c r="N315" i="19" s="1"/>
  <c r="N316" i="19" s="1"/>
  <c r="N317" i="19" s="1"/>
  <c r="N318" i="19" s="1"/>
  <c r="N319" i="19" s="1"/>
  <c r="N320" i="19" s="1"/>
  <c r="N321" i="19" s="1"/>
  <c r="N322" i="19" s="1"/>
  <c r="N323" i="19" s="1"/>
  <c r="N324" i="19" s="1"/>
  <c r="N325" i="19" s="1"/>
  <c r="N326" i="19" s="1"/>
  <c r="N327" i="19" s="1"/>
  <c r="N328" i="19" s="1"/>
  <c r="N329" i="19" s="1"/>
  <c r="N330" i="19" s="1"/>
  <c r="N331" i="19" s="1"/>
  <c r="N332" i="19" s="1"/>
  <c r="N333" i="19" s="1"/>
  <c r="N334" i="19" s="1"/>
  <c r="N335" i="19" s="1"/>
  <c r="N336" i="19" s="1"/>
  <c r="N337" i="19" s="1"/>
  <c r="N338" i="19" s="1"/>
  <c r="N339" i="19" s="1"/>
  <c r="N340" i="19" s="1"/>
  <c r="N341" i="19" s="1"/>
  <c r="N342" i="19" s="1"/>
  <c r="N343" i="19" s="1"/>
  <c r="N344" i="19" s="1"/>
  <c r="N345" i="19" s="1"/>
  <c r="N346" i="19" s="1"/>
  <c r="N347" i="19" s="1"/>
  <c r="N348" i="19" s="1"/>
  <c r="N349" i="19" s="1"/>
  <c r="N350" i="19" s="1"/>
  <c r="N351" i="19" s="1"/>
  <c r="N106" i="19"/>
  <c r="N107" i="19" s="1"/>
  <c r="N108" i="19" s="1"/>
  <c r="N109" i="19" s="1"/>
  <c r="N110" i="19" s="1"/>
  <c r="N111" i="19" s="1"/>
  <c r="N112" i="19" s="1"/>
  <c r="N113" i="19" s="1"/>
  <c r="N114" i="19" s="1"/>
  <c r="N115" i="19" s="1"/>
  <c r="N116" i="19" s="1"/>
  <c r="N117" i="19" s="1"/>
  <c r="N118" i="19" s="1"/>
  <c r="N119" i="19" s="1"/>
  <c r="N120" i="19" s="1"/>
  <c r="N121" i="19" s="1"/>
  <c r="N122" i="19" s="1"/>
  <c r="N123" i="19" s="1"/>
  <c r="N124" i="19" s="1"/>
  <c r="N125" i="19" s="1"/>
  <c r="N126" i="19" s="1"/>
  <c r="N127" i="19" s="1"/>
  <c r="N128" i="19" s="1"/>
  <c r="N129" i="19" s="1"/>
  <c r="N130" i="19" s="1"/>
  <c r="N131" i="19" s="1"/>
  <c r="N132" i="19" s="1"/>
  <c r="N133" i="19" s="1"/>
  <c r="N134" i="19" s="1"/>
  <c r="N135" i="19" s="1"/>
  <c r="N136" i="19" s="1"/>
  <c r="N137" i="19" s="1"/>
  <c r="N138" i="19" s="1"/>
  <c r="N139" i="19" s="1"/>
  <c r="N140" i="19" s="1"/>
  <c r="N141" i="19" s="1"/>
  <c r="N142" i="19" s="1"/>
  <c r="N143" i="19" s="1"/>
  <c r="N144" i="19" s="1"/>
  <c r="N145" i="19" s="1"/>
  <c r="N49" i="19"/>
  <c r="N50" i="19" s="1"/>
  <c r="N51" i="19" s="1"/>
  <c r="N52" i="19" s="1"/>
  <c r="N53" i="19" s="1"/>
  <c r="N54" i="19" s="1"/>
  <c r="N55" i="19" s="1"/>
  <c r="N56" i="19" s="1"/>
  <c r="N57" i="19" s="1"/>
  <c r="N58" i="19" s="1"/>
  <c r="N59" i="19" s="1"/>
  <c r="N60" i="19" s="1"/>
  <c r="N61" i="19" s="1"/>
  <c r="N62" i="19" s="1"/>
  <c r="N63" i="19" s="1"/>
  <c r="N64" i="19" s="1"/>
  <c r="N65" i="19" s="1"/>
  <c r="N66" i="19" s="1"/>
  <c r="N67" i="19" s="1"/>
  <c r="N68" i="19" s="1"/>
  <c r="N69" i="19" s="1"/>
  <c r="N70" i="19" s="1"/>
  <c r="N71" i="19" s="1"/>
  <c r="N200" i="26" l="1"/>
  <c r="N146" i="26"/>
  <c r="N86" i="23"/>
  <c r="N91" i="26"/>
  <c r="N39" i="26"/>
  <c r="N268" i="19"/>
  <c r="N1105" i="11"/>
  <c r="N881" i="11"/>
  <c r="N680" i="11"/>
  <c r="N269" i="9"/>
  <c r="N91" i="10"/>
  <c r="N901" i="7"/>
  <c r="N617" i="7"/>
  <c r="N100" i="6"/>
  <c r="N1070" i="3"/>
  <c r="N100" i="5"/>
  <c r="N50" i="5"/>
  <c r="N22" i="20"/>
  <c r="N105" i="20"/>
  <c r="N92" i="20"/>
  <c r="N173" i="19"/>
  <c r="N352" i="19"/>
  <c r="N146" i="19"/>
  <c r="N72" i="19"/>
  <c r="N190" i="18"/>
  <c r="N191" i="18" s="1"/>
  <c r="N192" i="18" s="1"/>
  <c r="N193" i="18" s="1"/>
  <c r="N194" i="18" s="1"/>
  <c r="N195" i="18" s="1"/>
  <c r="N196" i="18" s="1"/>
  <c r="N197" i="18" s="1"/>
  <c r="N198" i="18" s="1"/>
  <c r="N199" i="18" s="1"/>
  <c r="N200" i="18" s="1"/>
  <c r="N201" i="18" s="1"/>
  <c r="N202" i="18" s="1"/>
  <c r="N203" i="18" s="1"/>
  <c r="N204" i="18" s="1"/>
  <c r="N205" i="18" s="1"/>
  <c r="N206" i="18" s="1"/>
  <c r="N207" i="18" s="1"/>
  <c r="N208" i="18" s="1"/>
  <c r="N209" i="18" s="1"/>
  <c r="N210" i="18" s="1"/>
  <c r="N211" i="18" s="1"/>
  <c r="N212" i="18" s="1"/>
  <c r="N213" i="18" s="1"/>
  <c r="N214" i="18" s="1"/>
  <c r="N215" i="18" s="1"/>
  <c r="N216" i="18" s="1"/>
  <c r="N217" i="18" s="1"/>
  <c r="N218" i="18" s="1"/>
  <c r="N219" i="18" s="1"/>
  <c r="N220" i="18" s="1"/>
  <c r="N221" i="18" s="1"/>
  <c r="N222" i="18" s="1"/>
  <c r="N223" i="18" s="1"/>
  <c r="N224" i="18" s="1"/>
  <c r="N225" i="18" s="1"/>
  <c r="N226" i="18" s="1"/>
  <c r="N227" i="18" s="1"/>
  <c r="N228" i="18" s="1"/>
  <c r="N229" i="18" s="1"/>
  <c r="N230" i="18" s="1"/>
  <c r="N231" i="18" s="1"/>
  <c r="N232" i="18" s="1"/>
  <c r="N233" i="18" s="1"/>
  <c r="N234" i="18" s="1"/>
  <c r="N235" i="18" s="1"/>
  <c r="N236" i="18" s="1"/>
  <c r="N237" i="18" s="1"/>
  <c r="N238" i="18" s="1"/>
  <c r="N239" i="18" s="1"/>
  <c r="N130" i="18"/>
  <c r="N131" i="18" s="1"/>
  <c r="N132" i="18" s="1"/>
  <c r="N133" i="18" s="1"/>
  <c r="N134" i="18" s="1"/>
  <c r="N135" i="18" s="1"/>
  <c r="N136" i="18" s="1"/>
  <c r="N137" i="18" s="1"/>
  <c r="N138" i="18" s="1"/>
  <c r="N139" i="18" s="1"/>
  <c r="N140" i="18" s="1"/>
  <c r="N141" i="18" s="1"/>
  <c r="N142" i="18" s="1"/>
  <c r="N143" i="18" s="1"/>
  <c r="N144" i="18" s="1"/>
  <c r="N145" i="18" s="1"/>
  <c r="N146" i="18" s="1"/>
  <c r="N147" i="18" s="1"/>
  <c r="N148" i="18" s="1"/>
  <c r="N149" i="18" s="1"/>
  <c r="N150" i="18" s="1"/>
  <c r="N151" i="18" s="1"/>
  <c r="N152" i="18" s="1"/>
  <c r="N153" i="18" s="1"/>
  <c r="N154" i="18" s="1"/>
  <c r="N155" i="18" s="1"/>
  <c r="N156" i="18" s="1"/>
  <c r="N157" i="18" s="1"/>
  <c r="N158" i="18" s="1"/>
  <c r="N159" i="18" s="1"/>
  <c r="N160" i="18" s="1"/>
  <c r="N161" i="18" s="1"/>
  <c r="N162" i="18" s="1"/>
  <c r="N163" i="18" s="1"/>
  <c r="N164" i="18" s="1"/>
  <c r="N165" i="18" s="1"/>
  <c r="N166" i="18" s="1"/>
  <c r="N167" i="18" s="1"/>
  <c r="N168" i="18" s="1"/>
  <c r="N169" i="18" s="1"/>
  <c r="N170" i="18" s="1"/>
  <c r="N171" i="18" s="1"/>
  <c r="N172" i="18" s="1"/>
  <c r="N173" i="18" s="1"/>
  <c r="N174" i="18" s="1"/>
  <c r="N175" i="18" s="1"/>
  <c r="N176" i="18" s="1"/>
  <c r="N177" i="18" s="1"/>
  <c r="N178" i="18" s="1"/>
  <c r="N179" i="18" s="1"/>
  <c r="N72" i="18"/>
  <c r="N73" i="18" s="1"/>
  <c r="N74" i="18" s="1"/>
  <c r="N75" i="18" s="1"/>
  <c r="N76" i="18" s="1"/>
  <c r="N77" i="18" s="1"/>
  <c r="N78" i="18" s="1"/>
  <c r="N79" i="18" s="1"/>
  <c r="N80" i="18" s="1"/>
  <c r="N81" i="18" s="1"/>
  <c r="N82" i="18" s="1"/>
  <c r="N83" i="18" s="1"/>
  <c r="N84" i="18" s="1"/>
  <c r="N85" i="18" s="1"/>
  <c r="N86" i="18" s="1"/>
  <c r="N87" i="18" s="1"/>
  <c r="N88" i="18" s="1"/>
  <c r="N89" i="18" s="1"/>
  <c r="N90" i="18" s="1"/>
  <c r="N91" i="18" s="1"/>
  <c r="N92" i="18" s="1"/>
  <c r="N93" i="18" s="1"/>
  <c r="N94" i="18" s="1"/>
  <c r="N95" i="18" s="1"/>
  <c r="N96" i="18" s="1"/>
  <c r="N97" i="18" s="1"/>
  <c r="N98" i="18" s="1"/>
  <c r="N99" i="18" s="1"/>
  <c r="N100" i="18" s="1"/>
  <c r="N101" i="18" s="1"/>
  <c r="N102" i="18" s="1"/>
  <c r="N103" i="18" s="1"/>
  <c r="N104" i="18" s="1"/>
  <c r="N105" i="18" s="1"/>
  <c r="N106" i="18" s="1"/>
  <c r="N107" i="18" s="1"/>
  <c r="N108" i="18" s="1"/>
  <c r="N109" i="18" s="1"/>
  <c r="N110" i="18" s="1"/>
  <c r="N111" i="18" s="1"/>
  <c r="N112" i="18" s="1"/>
  <c r="N113" i="18" s="1"/>
  <c r="N114" i="18" s="1"/>
  <c r="N115" i="18" s="1"/>
  <c r="N116" i="18" s="1"/>
  <c r="N117" i="18" s="1"/>
  <c r="N118" i="18" s="1"/>
  <c r="N119" i="18" s="1"/>
  <c r="N120" i="18" s="1"/>
  <c r="N121" i="18" s="1"/>
  <c r="H8" i="1"/>
  <c r="N16" i="18"/>
  <c r="N17" i="18" s="1"/>
  <c r="N18" i="18" s="1"/>
  <c r="N19" i="18" s="1"/>
  <c r="N20" i="18" s="1"/>
  <c r="N21" i="18" s="1"/>
  <c r="N22" i="18" s="1"/>
  <c r="N23" i="18" s="1"/>
  <c r="N24" i="18" s="1"/>
  <c r="N25" i="18" s="1"/>
  <c r="N26" i="18" s="1"/>
  <c r="N27" i="18" s="1"/>
  <c r="N28" i="18" s="1"/>
  <c r="N29" i="18" s="1"/>
  <c r="N30" i="18" s="1"/>
  <c r="N31" i="18" s="1"/>
  <c r="N32" i="18" s="1"/>
  <c r="N33" i="18" s="1"/>
  <c r="N34" i="18" s="1"/>
  <c r="N35" i="18" s="1"/>
  <c r="N36" i="18" s="1"/>
  <c r="N37" i="18" s="1"/>
  <c r="N38" i="18" s="1"/>
  <c r="N39" i="18" s="1"/>
  <c r="N40" i="18" s="1"/>
  <c r="N41" i="18" s="1"/>
  <c r="N42" i="18" s="1"/>
  <c r="N43" i="18" s="1"/>
  <c r="N44" i="18" s="1"/>
  <c r="N45" i="18" s="1"/>
  <c r="N46" i="18" s="1"/>
  <c r="N47" i="18" s="1"/>
  <c r="N48" i="18" s="1"/>
  <c r="N49" i="18" s="1"/>
  <c r="N50" i="18" s="1"/>
  <c r="N51" i="18" s="1"/>
  <c r="N52" i="18" s="1"/>
  <c r="N53" i="18" s="1"/>
  <c r="N54" i="18" s="1"/>
  <c r="N55" i="18" s="1"/>
  <c r="N56" i="18" s="1"/>
  <c r="N57" i="18" s="1"/>
  <c r="N58" i="18" s="1"/>
  <c r="N59" i="18" s="1"/>
  <c r="N60" i="18" s="1"/>
  <c r="N61" i="18" s="1"/>
  <c r="N62" i="18" s="1"/>
  <c r="N63" i="18" s="1"/>
  <c r="N64" i="18" s="1"/>
  <c r="N65" i="18" s="1"/>
  <c r="N201" i="26" l="1"/>
  <c r="N147" i="26"/>
  <c r="N87" i="23"/>
  <c r="N92" i="26"/>
  <c r="N40" i="26"/>
  <c r="N269" i="19"/>
  <c r="N1106" i="11"/>
  <c r="N882" i="11"/>
  <c r="N681" i="11"/>
  <c r="N270" i="9"/>
  <c r="N92" i="10"/>
  <c r="N902" i="7"/>
  <c r="N618" i="7"/>
  <c r="N101" i="6"/>
  <c r="N1071" i="3"/>
  <c r="N101" i="5"/>
  <c r="N51" i="5"/>
  <c r="N23" i="20"/>
  <c r="N106" i="20"/>
  <c r="N93" i="20"/>
  <c r="N174" i="19"/>
  <c r="N353" i="19"/>
  <c r="N147" i="19"/>
  <c r="N73" i="19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75" i="2"/>
  <c r="A403" i="11"/>
  <c r="N202" i="26" l="1"/>
  <c r="N148" i="26"/>
  <c r="N88" i="23"/>
  <c r="N93" i="26"/>
  <c r="N41" i="26"/>
  <c r="N270" i="19"/>
  <c r="N1107" i="11"/>
  <c r="N883" i="11"/>
  <c r="N682" i="11"/>
  <c r="N271" i="9"/>
  <c r="N93" i="10"/>
  <c r="N903" i="7"/>
  <c r="N619" i="7"/>
  <c r="N102" i="6"/>
  <c r="N1072" i="3"/>
  <c r="N102" i="5"/>
  <c r="N52" i="5"/>
  <c r="N24" i="20"/>
  <c r="N107" i="20"/>
  <c r="N94" i="20"/>
  <c r="N175" i="19"/>
  <c r="N354" i="19"/>
  <c r="N148" i="19"/>
  <c r="N74" i="19"/>
  <c r="N17" i="17"/>
  <c r="N18" i="17" s="1"/>
  <c r="N19" i="17" s="1"/>
  <c r="N20" i="17" s="1"/>
  <c r="N21" i="17" s="1"/>
  <c r="N22" i="17" s="1"/>
  <c r="N23" i="17" s="1"/>
  <c r="N24" i="17" s="1"/>
  <c r="N25" i="17" s="1"/>
  <c r="N26" i="17" s="1"/>
  <c r="N27" i="17" s="1"/>
  <c r="N28" i="17" s="1"/>
  <c r="N29" i="17" s="1"/>
  <c r="N30" i="17" s="1"/>
  <c r="N31" i="17" s="1"/>
  <c r="N32" i="17" s="1"/>
  <c r="N33" i="17" s="1"/>
  <c r="N34" i="17" s="1"/>
  <c r="N35" i="17" s="1"/>
  <c r="N36" i="17" s="1"/>
  <c r="N37" i="17" s="1"/>
  <c r="N38" i="17" s="1"/>
  <c r="N39" i="17" s="1"/>
  <c r="N40" i="17" s="1"/>
  <c r="N41" i="17" s="1"/>
  <c r="N42" i="17" s="1"/>
  <c r="N43" i="17" s="1"/>
  <c r="N44" i="17" s="1"/>
  <c r="N45" i="17" s="1"/>
  <c r="N46" i="17" s="1"/>
  <c r="N47" i="17" s="1"/>
  <c r="N48" i="17" s="1"/>
  <c r="N49" i="17" s="1"/>
  <c r="N50" i="17" s="1"/>
  <c r="N51" i="17" s="1"/>
  <c r="N52" i="17" s="1"/>
  <c r="N53" i="17" s="1"/>
  <c r="N54" i="17" s="1"/>
  <c r="N55" i="17" s="1"/>
  <c r="N56" i="17" s="1"/>
  <c r="N57" i="17" s="1"/>
  <c r="N58" i="17" s="1"/>
  <c r="N59" i="17" s="1"/>
  <c r="N60" i="17" s="1"/>
  <c r="N61" i="17" s="1"/>
  <c r="N62" i="17" s="1"/>
  <c r="N63" i="17" s="1"/>
  <c r="N64" i="17" s="1"/>
  <c r="N65" i="17" s="1"/>
  <c r="N66" i="17" s="1"/>
  <c r="O176" i="17"/>
  <c r="O175" i="17"/>
  <c r="O174" i="17"/>
  <c r="O173" i="17"/>
  <c r="O172" i="17"/>
  <c r="O171" i="17"/>
  <c r="O170" i="17"/>
  <c r="O165" i="17"/>
  <c r="O164" i="17"/>
  <c r="O163" i="17"/>
  <c r="O162" i="17"/>
  <c r="O161" i="17"/>
  <c r="O160" i="17"/>
  <c r="O159" i="17"/>
  <c r="O158" i="17"/>
  <c r="O157" i="17"/>
  <c r="O156" i="17"/>
  <c r="O155" i="17"/>
  <c r="O154" i="17"/>
  <c r="O153" i="17"/>
  <c r="O152" i="17"/>
  <c r="O151" i="17"/>
  <c r="O150" i="17"/>
  <c r="O149" i="17"/>
  <c r="O148" i="17"/>
  <c r="O147" i="17"/>
  <c r="O146" i="17"/>
  <c r="O145" i="17"/>
  <c r="O144" i="17"/>
  <c r="O143" i="17"/>
  <c r="O142" i="17"/>
  <c r="O141" i="17"/>
  <c r="O140" i="17"/>
  <c r="O139" i="17"/>
  <c r="O138" i="17"/>
  <c r="O137" i="17"/>
  <c r="O136" i="17"/>
  <c r="O135" i="17"/>
  <c r="O134" i="17"/>
  <c r="O133" i="17"/>
  <c r="O132" i="17"/>
  <c r="O131" i="17"/>
  <c r="O130" i="17"/>
  <c r="O129" i="17"/>
  <c r="O128" i="17"/>
  <c r="O127" i="17"/>
  <c r="O126" i="17"/>
  <c r="O125" i="17"/>
  <c r="O124" i="17"/>
  <c r="O123" i="17"/>
  <c r="O122" i="17"/>
  <c r="O121" i="17"/>
  <c r="O120" i="17"/>
  <c r="O119" i="17"/>
  <c r="O118" i="17"/>
  <c r="O117" i="17"/>
  <c r="O116" i="17"/>
  <c r="O115" i="17"/>
  <c r="O114" i="17"/>
  <c r="O113" i="17"/>
  <c r="O112" i="17"/>
  <c r="O111" i="17"/>
  <c r="O110" i="17"/>
  <c r="O109" i="17"/>
  <c r="O108" i="17"/>
  <c r="O107" i="17"/>
  <c r="O106" i="17"/>
  <c r="O105" i="17"/>
  <c r="O104" i="17"/>
  <c r="O103" i="17"/>
  <c r="O102" i="17"/>
  <c r="O101" i="17"/>
  <c r="O100" i="17"/>
  <c r="O99" i="17"/>
  <c r="O98" i="17"/>
  <c r="O97" i="17"/>
  <c r="O96" i="17"/>
  <c r="O95" i="17"/>
  <c r="O94" i="17"/>
  <c r="O93" i="17"/>
  <c r="O92" i="17"/>
  <c r="O91" i="17"/>
  <c r="O90" i="17"/>
  <c r="O89" i="17"/>
  <c r="O88" i="17"/>
  <c r="O87" i="17"/>
  <c r="O86" i="17"/>
  <c r="O85" i="17"/>
  <c r="O84" i="17"/>
  <c r="O83" i="17"/>
  <c r="O82" i="17"/>
  <c r="O81" i="17"/>
  <c r="O80" i="17"/>
  <c r="O79" i="17"/>
  <c r="O78" i="17"/>
  <c r="O77" i="17"/>
  <c r="O3" i="17"/>
  <c r="A426" i="11"/>
  <c r="A507" i="11"/>
  <c r="A508" i="11"/>
  <c r="A509" i="11"/>
  <c r="A510" i="11"/>
  <c r="A511" i="11"/>
  <c r="A512" i="11"/>
  <c r="A513" i="11"/>
  <c r="A514" i="11"/>
  <c r="A515" i="11"/>
  <c r="A516" i="11"/>
  <c r="A517" i="11"/>
  <c r="A518" i="11"/>
  <c r="A519" i="11"/>
  <c r="A520" i="11"/>
  <c r="A521" i="11"/>
  <c r="A522" i="11"/>
  <c r="A523" i="11"/>
  <c r="A524" i="11"/>
  <c r="A525" i="11"/>
  <c r="A526" i="11"/>
  <c r="A527" i="11"/>
  <c r="A528" i="11"/>
  <c r="A529" i="11"/>
  <c r="A530" i="11"/>
  <c r="A531" i="11"/>
  <c r="A532" i="11"/>
  <c r="A533" i="11"/>
  <c r="A534" i="11"/>
  <c r="A535" i="11"/>
  <c r="A536" i="11"/>
  <c r="A537" i="11"/>
  <c r="A538" i="11"/>
  <c r="A539" i="11"/>
  <c r="A540" i="11"/>
  <c r="A541" i="11"/>
  <c r="A542" i="11"/>
  <c r="A543" i="11"/>
  <c r="A544" i="11"/>
  <c r="A545" i="11"/>
  <c r="A546" i="11"/>
  <c r="A547" i="11"/>
  <c r="A548" i="11"/>
  <c r="A549" i="11"/>
  <c r="A550" i="11"/>
  <c r="A551" i="11"/>
  <c r="A552" i="11"/>
  <c r="A506" i="11"/>
  <c r="V9" i="1"/>
  <c r="W9" i="1" s="1"/>
  <c r="V10" i="1"/>
  <c r="W10" i="1" s="1"/>
  <c r="V11" i="1"/>
  <c r="W11" i="1" s="1"/>
  <c r="G11" i="1" s="1"/>
  <c r="V12" i="1"/>
  <c r="W12" i="1" s="1"/>
  <c r="V13" i="1"/>
  <c r="W13" i="1" s="1"/>
  <c r="V14" i="1"/>
  <c r="W14" i="1" s="1"/>
  <c r="V15" i="1"/>
  <c r="W15" i="1" s="1"/>
  <c r="G15" i="1" s="1"/>
  <c r="V16" i="1"/>
  <c r="W16" i="1" s="1"/>
  <c r="V17" i="1"/>
  <c r="W17" i="1" s="1"/>
  <c r="V18" i="1"/>
  <c r="W18" i="1" s="1"/>
  <c r="V19" i="1"/>
  <c r="W19" i="1" s="1"/>
  <c r="G19" i="1" s="1"/>
  <c r="V20" i="1"/>
  <c r="W20" i="1" s="1"/>
  <c r="V21" i="1"/>
  <c r="W21" i="1" s="1"/>
  <c r="V22" i="1"/>
  <c r="W22" i="1" s="1"/>
  <c r="V23" i="1"/>
  <c r="W23" i="1" s="1"/>
  <c r="V24" i="1"/>
  <c r="W24" i="1" s="1"/>
  <c r="V25" i="1"/>
  <c r="W25" i="1" s="1"/>
  <c r="V26" i="1"/>
  <c r="W26" i="1" s="1"/>
  <c r="V27" i="1"/>
  <c r="W27" i="1" s="1"/>
  <c r="V28" i="1"/>
  <c r="W28" i="1" s="1"/>
  <c r="V29" i="1"/>
  <c r="W29" i="1" s="1"/>
  <c r="V30" i="1"/>
  <c r="W30" i="1" s="1"/>
  <c r="V31" i="1"/>
  <c r="W31" i="1" s="1"/>
  <c r="V32" i="1"/>
  <c r="W32" i="1" s="1"/>
  <c r="V33" i="1"/>
  <c r="W33" i="1" s="1"/>
  <c r="V34" i="1"/>
  <c r="W34" i="1" s="1"/>
  <c r="V35" i="1"/>
  <c r="W35" i="1" s="1"/>
  <c r="V36" i="1"/>
  <c r="W36" i="1" s="1"/>
  <c r="N203" i="26" l="1"/>
  <c r="N149" i="26"/>
  <c r="N89" i="23"/>
  <c r="N94" i="26"/>
  <c r="N42" i="26"/>
  <c r="N271" i="19"/>
  <c r="N1108" i="11"/>
  <c r="N884" i="11"/>
  <c r="N683" i="11"/>
  <c r="N272" i="9"/>
  <c r="N94" i="10"/>
  <c r="N904" i="7"/>
  <c r="N620" i="7"/>
  <c r="N103" i="6"/>
  <c r="N1073" i="3"/>
  <c r="N103" i="5"/>
  <c r="N53" i="5"/>
  <c r="N25" i="20"/>
  <c r="N108" i="20"/>
  <c r="N95" i="20"/>
  <c r="N176" i="19"/>
  <c r="N355" i="19"/>
  <c r="N149" i="19"/>
  <c r="N75" i="19"/>
  <c r="G21" i="1"/>
  <c r="G13" i="1"/>
  <c r="G17" i="1"/>
  <c r="G9" i="1"/>
  <c r="G20" i="1"/>
  <c r="G16" i="1"/>
  <c r="G12" i="1"/>
  <c r="G18" i="1"/>
  <c r="G14" i="1"/>
  <c r="G10" i="1"/>
  <c r="A625" i="11"/>
  <c r="A624" i="11"/>
  <c r="A458" i="11"/>
  <c r="A459" i="11"/>
  <c r="A460" i="11"/>
  <c r="A461" i="11"/>
  <c r="A462" i="11"/>
  <c r="A463" i="11"/>
  <c r="A464" i="11"/>
  <c r="A465" i="11"/>
  <c r="A466" i="11"/>
  <c r="A467" i="11"/>
  <c r="A468" i="11"/>
  <c r="A469" i="11"/>
  <c r="A470" i="11"/>
  <c r="A471" i="11"/>
  <c r="A472" i="11"/>
  <c r="A473" i="11"/>
  <c r="A474" i="11"/>
  <c r="A475" i="11"/>
  <c r="A476" i="11"/>
  <c r="A477" i="11"/>
  <c r="A478" i="11"/>
  <c r="A479" i="11"/>
  <c r="A480" i="11"/>
  <c r="A481" i="11"/>
  <c r="A482" i="11"/>
  <c r="A483" i="11"/>
  <c r="A484" i="11"/>
  <c r="A485" i="11"/>
  <c r="A486" i="11"/>
  <c r="A487" i="11"/>
  <c r="A488" i="11"/>
  <c r="A489" i="11"/>
  <c r="A490" i="11"/>
  <c r="A491" i="11"/>
  <c r="A492" i="11"/>
  <c r="A493" i="11"/>
  <c r="A494" i="11"/>
  <c r="A495" i="11"/>
  <c r="A496" i="11"/>
  <c r="A497" i="11"/>
  <c r="A498" i="11"/>
  <c r="A499" i="11"/>
  <c r="A500" i="11"/>
  <c r="A501" i="11"/>
  <c r="A502" i="11"/>
  <c r="A457" i="11"/>
  <c r="A456" i="11"/>
  <c r="A425" i="11"/>
  <c r="A267" i="11"/>
  <c r="A234" i="11"/>
  <c r="A218" i="11"/>
  <c r="A217" i="11"/>
  <c r="A197" i="11"/>
  <c r="A148" i="11"/>
  <c r="A149" i="11"/>
  <c r="A150" i="11"/>
  <c r="A151" i="11"/>
  <c r="A152" i="11"/>
  <c r="A153" i="11"/>
  <c r="A154" i="11"/>
  <c r="A155" i="11"/>
  <c r="A156" i="11"/>
  <c r="A157" i="11"/>
  <c r="A158" i="11"/>
  <c r="A159" i="11"/>
  <c r="A160" i="11"/>
  <c r="A161" i="11"/>
  <c r="A162" i="11"/>
  <c r="A163" i="11"/>
  <c r="A164" i="11"/>
  <c r="A165" i="11"/>
  <c r="A166" i="11"/>
  <c r="A167" i="11"/>
  <c r="A168" i="11"/>
  <c r="A169" i="11"/>
  <c r="A170" i="11"/>
  <c r="A171" i="11"/>
  <c r="A172" i="11"/>
  <c r="A173" i="11"/>
  <c r="A174" i="11"/>
  <c r="A175" i="11"/>
  <c r="A176" i="11"/>
  <c r="A177" i="11"/>
  <c r="A178" i="11"/>
  <c r="A179" i="11"/>
  <c r="A180" i="11"/>
  <c r="A181" i="11"/>
  <c r="A182" i="11"/>
  <c r="A183" i="11"/>
  <c r="A184" i="11"/>
  <c r="A185" i="11"/>
  <c r="A186" i="11"/>
  <c r="A187" i="11"/>
  <c r="A188" i="11"/>
  <c r="A189" i="11"/>
  <c r="A190" i="11"/>
  <c r="A191" i="11"/>
  <c r="A192" i="11"/>
  <c r="A193" i="11"/>
  <c r="A147" i="11"/>
  <c r="A146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23" i="11"/>
  <c r="A124" i="11"/>
  <c r="A125" i="11"/>
  <c r="A126" i="11"/>
  <c r="A127" i="11"/>
  <c r="A128" i="11"/>
  <c r="A129" i="11"/>
  <c r="A130" i="11"/>
  <c r="A131" i="11"/>
  <c r="A132" i="11"/>
  <c r="A133" i="11"/>
  <c r="A134" i="11"/>
  <c r="A135" i="11"/>
  <c r="A136" i="11"/>
  <c r="A137" i="11"/>
  <c r="A138" i="11"/>
  <c r="A139" i="11"/>
  <c r="A140" i="11"/>
  <c r="A141" i="11"/>
  <c r="A142" i="11"/>
  <c r="A97" i="11"/>
  <c r="A96" i="11"/>
  <c r="A193" i="9"/>
  <c r="A257" i="9"/>
  <c r="A208" i="9"/>
  <c r="A209" i="9"/>
  <c r="A210" i="9"/>
  <c r="A211" i="9"/>
  <c r="A212" i="9"/>
  <c r="A213" i="9"/>
  <c r="A214" i="9"/>
  <c r="A215" i="9"/>
  <c r="A216" i="9"/>
  <c r="A217" i="9"/>
  <c r="A218" i="9"/>
  <c r="A219" i="9"/>
  <c r="A220" i="9"/>
  <c r="A221" i="9"/>
  <c r="A222" i="9"/>
  <c r="A223" i="9"/>
  <c r="A224" i="9"/>
  <c r="A225" i="9"/>
  <c r="A226" i="9"/>
  <c r="A227" i="9"/>
  <c r="A228" i="9"/>
  <c r="A229" i="9"/>
  <c r="A230" i="9"/>
  <c r="A231" i="9"/>
  <c r="A232" i="9"/>
  <c r="A233" i="9"/>
  <c r="A234" i="9"/>
  <c r="A235" i="9"/>
  <c r="A236" i="9"/>
  <c r="A237" i="9"/>
  <c r="A238" i="9"/>
  <c r="A239" i="9"/>
  <c r="A240" i="9"/>
  <c r="A241" i="9"/>
  <c r="A242" i="9"/>
  <c r="A243" i="9"/>
  <c r="A244" i="9"/>
  <c r="A245" i="9"/>
  <c r="A246" i="9"/>
  <c r="A247" i="9"/>
  <c r="A248" i="9"/>
  <c r="A249" i="9"/>
  <c r="A250" i="9"/>
  <c r="A251" i="9"/>
  <c r="A252" i="9"/>
  <c r="A253" i="9"/>
  <c r="A254" i="9"/>
  <c r="A255" i="9"/>
  <c r="A256" i="9"/>
  <c r="A207" i="9"/>
  <c r="A197" i="9"/>
  <c r="A201" i="9"/>
  <c r="A200" i="9"/>
  <c r="A190" i="9"/>
  <c r="A191" i="9"/>
  <c r="A192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47" i="9"/>
  <c r="A14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93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38" i="9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16" i="2"/>
  <c r="C5" i="1"/>
  <c r="N204" i="26" l="1"/>
  <c r="N150" i="26"/>
  <c r="N90" i="23"/>
  <c r="N95" i="26"/>
  <c r="N43" i="26"/>
  <c r="N272" i="19"/>
  <c r="N1109" i="11"/>
  <c r="N885" i="11"/>
  <c r="N684" i="11"/>
  <c r="N273" i="9"/>
  <c r="N95" i="10"/>
  <c r="N905" i="7"/>
  <c r="N621" i="7"/>
  <c r="N104" i="6"/>
  <c r="N1074" i="3"/>
  <c r="N104" i="5"/>
  <c r="N54" i="5"/>
  <c r="N26" i="20"/>
  <c r="N109" i="20"/>
  <c r="N177" i="19"/>
  <c r="N356" i="19"/>
  <c r="N150" i="19"/>
  <c r="N76" i="19"/>
  <c r="V8" i="1"/>
  <c r="W8" i="1" s="1"/>
  <c r="T8" i="1"/>
  <c r="N205" i="26" l="1"/>
  <c r="N151" i="26"/>
  <c r="N91" i="23"/>
  <c r="N96" i="26"/>
  <c r="N44" i="26"/>
  <c r="N45" i="26" s="1"/>
  <c r="N273" i="19"/>
  <c r="N1110" i="11"/>
  <c r="N886" i="11"/>
  <c r="N685" i="11"/>
  <c r="N274" i="9"/>
  <c r="N96" i="10"/>
  <c r="N906" i="7"/>
  <c r="N622" i="7"/>
  <c r="N105" i="6"/>
  <c r="N1075" i="3"/>
  <c r="N105" i="5"/>
  <c r="N55" i="5"/>
  <c r="N27" i="20"/>
  <c r="N110" i="20"/>
  <c r="N178" i="19"/>
  <c r="N357" i="19"/>
  <c r="N151" i="19"/>
  <c r="N77" i="19"/>
  <c r="G8" i="1"/>
  <c r="N76" i="2"/>
  <c r="N17" i="2"/>
  <c r="N206" i="26" l="1"/>
  <c r="N152" i="26"/>
  <c r="N92" i="23"/>
  <c r="N46" i="26"/>
  <c r="N97" i="26"/>
  <c r="N274" i="19"/>
  <c r="N1111" i="11"/>
  <c r="N887" i="11"/>
  <c r="N686" i="11"/>
  <c r="N275" i="9"/>
  <c r="N97" i="10"/>
  <c r="N907" i="7"/>
  <c r="N908" i="7" s="1"/>
  <c r="N909" i="7" s="1"/>
  <c r="N623" i="7"/>
  <c r="N106" i="6"/>
  <c r="N1076" i="3"/>
  <c r="N106" i="5"/>
  <c r="N56" i="5"/>
  <c r="N28" i="20"/>
  <c r="N111" i="20"/>
  <c r="N179" i="19"/>
  <c r="N358" i="19"/>
  <c r="N152" i="19"/>
  <c r="N78" i="19"/>
  <c r="N77" i="2"/>
  <c r="N18" i="2"/>
  <c r="O131" i="16"/>
  <c r="O130" i="16"/>
  <c r="O129" i="16"/>
  <c r="O128" i="16"/>
  <c r="O127" i="16"/>
  <c r="O126" i="16"/>
  <c r="O125" i="16"/>
  <c r="O120" i="16"/>
  <c r="O119" i="16"/>
  <c r="O118" i="16"/>
  <c r="O117" i="16"/>
  <c r="O116" i="16"/>
  <c r="O115" i="16"/>
  <c r="O114" i="16"/>
  <c r="O113" i="16"/>
  <c r="O112" i="16"/>
  <c r="O3" i="16"/>
  <c r="I57" i="1"/>
  <c r="T57" i="1" s="1"/>
  <c r="U57" i="1" s="1"/>
  <c r="I58" i="1"/>
  <c r="T58" i="1" s="1"/>
  <c r="U58" i="1" s="1"/>
  <c r="I56" i="1"/>
  <c r="N207" i="26" l="1"/>
  <c r="N153" i="26"/>
  <c r="N93" i="23"/>
  <c r="N47" i="26"/>
  <c r="N98" i="26"/>
  <c r="N275" i="19"/>
  <c r="N1112" i="11"/>
  <c r="N888" i="11"/>
  <c r="N687" i="11"/>
  <c r="N276" i="9"/>
  <c r="N98" i="10"/>
  <c r="N910" i="7"/>
  <c r="N624" i="7"/>
  <c r="N107" i="6"/>
  <c r="N1077" i="3"/>
  <c r="N107" i="5"/>
  <c r="N57" i="5"/>
  <c r="N29" i="20"/>
  <c r="N112" i="20"/>
  <c r="N180" i="19"/>
  <c r="N359" i="19"/>
  <c r="N153" i="19"/>
  <c r="N79" i="19"/>
  <c r="N19" i="2"/>
  <c r="N78" i="2"/>
  <c r="O5" i="14"/>
  <c r="O6" i="14"/>
  <c r="O7" i="14"/>
  <c r="O8" i="14"/>
  <c r="O9" i="14"/>
  <c r="O10" i="14"/>
  <c r="O199" i="14"/>
  <c r="O198" i="14"/>
  <c r="O197" i="14"/>
  <c r="O196" i="14"/>
  <c r="O195" i="14"/>
  <c r="O194" i="14"/>
  <c r="O193" i="14"/>
  <c r="O192" i="14"/>
  <c r="O191" i="14"/>
  <c r="O190" i="14"/>
  <c r="O189" i="14"/>
  <c r="O188" i="14"/>
  <c r="O187" i="14"/>
  <c r="O186" i="14"/>
  <c r="O185" i="14"/>
  <c r="O184" i="14"/>
  <c r="O183" i="14"/>
  <c r="O182" i="14"/>
  <c r="O181" i="14"/>
  <c r="O180" i="14"/>
  <c r="O179" i="14"/>
  <c r="O178" i="14"/>
  <c r="O177" i="14"/>
  <c r="O176" i="14"/>
  <c r="O175" i="14"/>
  <c r="O174" i="14"/>
  <c r="O173" i="14"/>
  <c r="O172" i="14"/>
  <c r="O171" i="14"/>
  <c r="O170" i="14"/>
  <c r="O169" i="14"/>
  <c r="O168" i="14"/>
  <c r="O167" i="14"/>
  <c r="O166" i="14"/>
  <c r="O165" i="14"/>
  <c r="O164" i="14"/>
  <c r="O163" i="14"/>
  <c r="O162" i="14"/>
  <c r="O161" i="14"/>
  <c r="O160" i="14"/>
  <c r="O159" i="14"/>
  <c r="O158" i="14"/>
  <c r="O157" i="14"/>
  <c r="O156" i="14"/>
  <c r="O155" i="14"/>
  <c r="O154" i="14"/>
  <c r="O153" i="14"/>
  <c r="O152" i="14"/>
  <c r="O151" i="14"/>
  <c r="O150" i="14"/>
  <c r="O149" i="14"/>
  <c r="O148" i="14"/>
  <c r="O147" i="14"/>
  <c r="O146" i="14"/>
  <c r="O145" i="14"/>
  <c r="O144" i="14"/>
  <c r="O143" i="14"/>
  <c r="O142" i="14"/>
  <c r="O141" i="14"/>
  <c r="O140" i="14"/>
  <c r="O139" i="14"/>
  <c r="O138" i="14"/>
  <c r="O137" i="14"/>
  <c r="O136" i="14"/>
  <c r="O135" i="14"/>
  <c r="O134" i="14"/>
  <c r="O133" i="14"/>
  <c r="O132" i="14"/>
  <c r="O131" i="14"/>
  <c r="O130" i="14"/>
  <c r="O129" i="14"/>
  <c r="O128" i="14"/>
  <c r="O127" i="14"/>
  <c r="O126" i="14"/>
  <c r="O125" i="14"/>
  <c r="O124" i="14"/>
  <c r="O123" i="14"/>
  <c r="O122" i="14"/>
  <c r="O121" i="14"/>
  <c r="O120" i="14"/>
  <c r="O119" i="14"/>
  <c r="O118" i="14"/>
  <c r="O117" i="14"/>
  <c r="O116" i="14"/>
  <c r="O115" i="14"/>
  <c r="O114" i="14"/>
  <c r="O113" i="14"/>
  <c r="O112" i="14"/>
  <c r="O111" i="14"/>
  <c r="O110" i="14"/>
  <c r="O109" i="14"/>
  <c r="O108" i="14"/>
  <c r="O107" i="14"/>
  <c r="O106" i="14"/>
  <c r="O105" i="14"/>
  <c r="O104" i="14"/>
  <c r="O103" i="14"/>
  <c r="O102" i="14"/>
  <c r="O101" i="14"/>
  <c r="O100" i="14"/>
  <c r="O99" i="14"/>
  <c r="O98" i="14"/>
  <c r="O97" i="14"/>
  <c r="O96" i="14"/>
  <c r="O95" i="14"/>
  <c r="O94" i="14"/>
  <c r="O93" i="14"/>
  <c r="O92" i="14"/>
  <c r="O91" i="14"/>
  <c r="O90" i="14"/>
  <c r="O89" i="14"/>
  <c r="O88" i="14"/>
  <c r="O87" i="14"/>
  <c r="O86" i="14"/>
  <c r="O85" i="14"/>
  <c r="O84" i="14"/>
  <c r="O83" i="14"/>
  <c r="O82" i="14"/>
  <c r="O81" i="14"/>
  <c r="O80" i="14"/>
  <c r="O79" i="14"/>
  <c r="O78" i="14"/>
  <c r="O77" i="14"/>
  <c r="O76" i="14"/>
  <c r="O75" i="14"/>
  <c r="O74" i="14"/>
  <c r="O73" i="14"/>
  <c r="O72" i="14"/>
  <c r="O71" i="14"/>
  <c r="O70" i="14"/>
  <c r="O69" i="14"/>
  <c r="O68" i="14"/>
  <c r="O67" i="14"/>
  <c r="O66" i="14"/>
  <c r="O65" i="14"/>
  <c r="O64" i="14"/>
  <c r="O63" i="14"/>
  <c r="O62" i="14"/>
  <c r="O61" i="14"/>
  <c r="O60" i="14"/>
  <c r="O59" i="14"/>
  <c r="O58" i="14"/>
  <c r="O57" i="14"/>
  <c r="O56" i="14"/>
  <c r="O55" i="14"/>
  <c r="O54" i="14"/>
  <c r="O53" i="14"/>
  <c r="O52" i="14"/>
  <c r="O51" i="14"/>
  <c r="O50" i="14"/>
  <c r="O49" i="14"/>
  <c r="O48" i="14"/>
  <c r="O47" i="14"/>
  <c r="O46" i="14"/>
  <c r="O45" i="14"/>
  <c r="O44" i="14"/>
  <c r="O43" i="14"/>
  <c r="O42" i="14"/>
  <c r="O41" i="14"/>
  <c r="O40" i="14"/>
  <c r="O39" i="14"/>
  <c r="O38" i="14"/>
  <c r="O37" i="14"/>
  <c r="O36" i="14"/>
  <c r="O35" i="14"/>
  <c r="O34" i="14"/>
  <c r="O33" i="14"/>
  <c r="O32" i="14"/>
  <c r="O31" i="14"/>
  <c r="O30" i="14"/>
  <c r="O29" i="14"/>
  <c r="O28" i="14"/>
  <c r="O27" i="14"/>
  <c r="O26" i="14"/>
  <c r="O25" i="14"/>
  <c r="O24" i="14"/>
  <c r="O23" i="14"/>
  <c r="O22" i="14"/>
  <c r="O21" i="14"/>
  <c r="O20" i="14"/>
  <c r="O19" i="14"/>
  <c r="O18" i="14"/>
  <c r="O17" i="14"/>
  <c r="O16" i="14"/>
  <c r="O15" i="14"/>
  <c r="O14" i="14"/>
  <c r="O13" i="14"/>
  <c r="O12" i="14"/>
  <c r="O11" i="14"/>
  <c r="O199" i="15"/>
  <c r="O198" i="15"/>
  <c r="O197" i="15"/>
  <c r="O196" i="15"/>
  <c r="O195" i="15"/>
  <c r="O194" i="15"/>
  <c r="O193" i="15"/>
  <c r="O192" i="15"/>
  <c r="O191" i="15"/>
  <c r="O190" i="15"/>
  <c r="O189" i="15"/>
  <c r="O188" i="15"/>
  <c r="O187" i="15"/>
  <c r="O186" i="15"/>
  <c r="O185" i="15"/>
  <c r="O184" i="15"/>
  <c r="O183" i="15"/>
  <c r="O182" i="15"/>
  <c r="O181" i="15"/>
  <c r="O180" i="15"/>
  <c r="O179" i="15"/>
  <c r="O178" i="15"/>
  <c r="O177" i="15"/>
  <c r="O176" i="15"/>
  <c r="O175" i="15"/>
  <c r="O174" i="15"/>
  <c r="O173" i="15"/>
  <c r="O172" i="15"/>
  <c r="O171" i="15"/>
  <c r="O170" i="15"/>
  <c r="O169" i="15"/>
  <c r="O168" i="15"/>
  <c r="O167" i="15"/>
  <c r="O166" i="15"/>
  <c r="O165" i="15"/>
  <c r="O164" i="15"/>
  <c r="O163" i="15"/>
  <c r="O162" i="15"/>
  <c r="O161" i="15"/>
  <c r="O160" i="15"/>
  <c r="O159" i="15"/>
  <c r="O158" i="15"/>
  <c r="O157" i="15"/>
  <c r="O156" i="15"/>
  <c r="O155" i="15"/>
  <c r="O154" i="15"/>
  <c r="O153" i="15"/>
  <c r="O152" i="15"/>
  <c r="O151" i="15"/>
  <c r="O150" i="15"/>
  <c r="O149" i="15"/>
  <c r="O148" i="15"/>
  <c r="O147" i="15"/>
  <c r="O146" i="15"/>
  <c r="O145" i="15"/>
  <c r="O144" i="15"/>
  <c r="O143" i="15"/>
  <c r="O142" i="15"/>
  <c r="O141" i="15"/>
  <c r="O140" i="15"/>
  <c r="O139" i="15"/>
  <c r="O138" i="15"/>
  <c r="O137" i="15"/>
  <c r="O136" i="15"/>
  <c r="O135" i="15"/>
  <c r="O134" i="15"/>
  <c r="O133" i="15"/>
  <c r="O132" i="15"/>
  <c r="O131" i="15"/>
  <c r="O130" i="15"/>
  <c r="O129" i="15"/>
  <c r="O128" i="15"/>
  <c r="O127" i="15"/>
  <c r="O126" i="15"/>
  <c r="O125" i="15"/>
  <c r="O124" i="15"/>
  <c r="O123" i="15"/>
  <c r="O122" i="15"/>
  <c r="O121" i="15"/>
  <c r="O120" i="15"/>
  <c r="O119" i="15"/>
  <c r="O118" i="15"/>
  <c r="O117" i="15"/>
  <c r="O116" i="15"/>
  <c r="O115" i="15"/>
  <c r="O114" i="15"/>
  <c r="O113" i="15"/>
  <c r="O112" i="15"/>
  <c r="O111" i="15"/>
  <c r="O110" i="15"/>
  <c r="O109" i="15"/>
  <c r="O108" i="15"/>
  <c r="O107" i="15"/>
  <c r="O106" i="15"/>
  <c r="O105" i="15"/>
  <c r="O104" i="15"/>
  <c r="O103" i="15"/>
  <c r="O102" i="15"/>
  <c r="O101" i="15"/>
  <c r="O100" i="15"/>
  <c r="O99" i="15"/>
  <c r="O98" i="15"/>
  <c r="O97" i="15"/>
  <c r="O96" i="15"/>
  <c r="O95" i="15"/>
  <c r="O94" i="15"/>
  <c r="O93" i="15"/>
  <c r="O92" i="15"/>
  <c r="O91" i="15"/>
  <c r="O90" i="15"/>
  <c r="O89" i="15"/>
  <c r="O88" i="15"/>
  <c r="O87" i="15"/>
  <c r="O86" i="15"/>
  <c r="O85" i="15"/>
  <c r="O84" i="15"/>
  <c r="O83" i="15"/>
  <c r="O82" i="15"/>
  <c r="O81" i="15"/>
  <c r="O80" i="15"/>
  <c r="O79" i="15"/>
  <c r="O78" i="15"/>
  <c r="O77" i="15"/>
  <c r="O76" i="15"/>
  <c r="O75" i="15"/>
  <c r="O74" i="15"/>
  <c r="O73" i="15"/>
  <c r="O72" i="15"/>
  <c r="O71" i="15"/>
  <c r="O70" i="15"/>
  <c r="O69" i="15"/>
  <c r="O68" i="15"/>
  <c r="O67" i="15"/>
  <c r="O66" i="15"/>
  <c r="O65" i="15"/>
  <c r="O64" i="15"/>
  <c r="O63" i="15"/>
  <c r="O62" i="15"/>
  <c r="O61" i="15"/>
  <c r="O60" i="15"/>
  <c r="O59" i="15"/>
  <c r="O58" i="15"/>
  <c r="O57" i="15"/>
  <c r="O56" i="15"/>
  <c r="O55" i="15"/>
  <c r="O54" i="15"/>
  <c r="O53" i="15"/>
  <c r="O52" i="15"/>
  <c r="O51" i="15"/>
  <c r="O50" i="15"/>
  <c r="O49" i="15"/>
  <c r="O48" i="15"/>
  <c r="O47" i="15"/>
  <c r="O46" i="15"/>
  <c r="O45" i="15"/>
  <c r="O44" i="15"/>
  <c r="O43" i="15"/>
  <c r="O42" i="15"/>
  <c r="O41" i="15"/>
  <c r="O40" i="15"/>
  <c r="O39" i="15"/>
  <c r="O38" i="15"/>
  <c r="O37" i="15"/>
  <c r="O36" i="15"/>
  <c r="O35" i="15"/>
  <c r="O34" i="15"/>
  <c r="O33" i="15"/>
  <c r="O32" i="15"/>
  <c r="O31" i="15"/>
  <c r="O30" i="15"/>
  <c r="O29" i="15"/>
  <c r="O28" i="15"/>
  <c r="O27" i="15"/>
  <c r="O26" i="15"/>
  <c r="O25" i="15"/>
  <c r="O24" i="15"/>
  <c r="O23" i="15"/>
  <c r="O22" i="15"/>
  <c r="O21" i="15"/>
  <c r="O20" i="15"/>
  <c r="O19" i="15"/>
  <c r="O18" i="15"/>
  <c r="O17" i="15"/>
  <c r="O16" i="15"/>
  <c r="O15" i="15"/>
  <c r="O14" i="15"/>
  <c r="O13" i="15"/>
  <c r="N208" i="26" l="1"/>
  <c r="N154" i="26"/>
  <c r="N94" i="23"/>
  <c r="N48" i="26"/>
  <c r="N99" i="26"/>
  <c r="N276" i="19"/>
  <c r="N1113" i="11"/>
  <c r="N889" i="11"/>
  <c r="N688" i="11"/>
  <c r="N277" i="9"/>
  <c r="N99" i="10"/>
  <c r="N911" i="7"/>
  <c r="N913" i="7" s="1"/>
  <c r="N625" i="7"/>
  <c r="N108" i="6"/>
  <c r="N1078" i="3"/>
  <c r="N108" i="5"/>
  <c r="N58" i="5"/>
  <c r="N30" i="20"/>
  <c r="N31" i="20" s="1"/>
  <c r="N113" i="20"/>
  <c r="N181" i="19"/>
  <c r="N360" i="19"/>
  <c r="N154" i="19"/>
  <c r="N80" i="19"/>
  <c r="N79" i="2"/>
  <c r="N20" i="2"/>
  <c r="N576" i="11"/>
  <c r="N577" i="11" s="1"/>
  <c r="N507" i="11"/>
  <c r="N457" i="11"/>
  <c r="N97" i="11"/>
  <c r="N98" i="11" s="1"/>
  <c r="N147" i="11"/>
  <c r="N148" i="11" s="1"/>
  <c r="O1144" i="11"/>
  <c r="O3" i="11"/>
  <c r="O3" i="10"/>
  <c r="P19" i="1"/>
  <c r="Q19" i="1"/>
  <c r="T19" i="1"/>
  <c r="P20" i="1"/>
  <c r="Q20" i="1"/>
  <c r="T20" i="1"/>
  <c r="P21" i="1"/>
  <c r="Q21" i="1"/>
  <c r="T21" i="1"/>
  <c r="P22" i="1"/>
  <c r="Q22" i="1"/>
  <c r="T22" i="1"/>
  <c r="P23" i="1"/>
  <c r="Q23" i="1"/>
  <c r="T23" i="1"/>
  <c r="U23" i="1" s="1"/>
  <c r="P24" i="1"/>
  <c r="Q24" i="1"/>
  <c r="T24" i="1"/>
  <c r="U24" i="1" s="1"/>
  <c r="P25" i="1"/>
  <c r="Q25" i="1"/>
  <c r="T25" i="1"/>
  <c r="U25" i="1" s="1"/>
  <c r="P26" i="1"/>
  <c r="Q26" i="1"/>
  <c r="T26" i="1"/>
  <c r="U26" i="1" s="1"/>
  <c r="P27" i="1"/>
  <c r="Q27" i="1"/>
  <c r="T27" i="1"/>
  <c r="U27" i="1" s="1"/>
  <c r="P28" i="1"/>
  <c r="Q28" i="1"/>
  <c r="T28" i="1"/>
  <c r="U28" i="1" s="1"/>
  <c r="P29" i="1"/>
  <c r="Q29" i="1"/>
  <c r="T29" i="1"/>
  <c r="U29" i="1" s="1"/>
  <c r="P30" i="1"/>
  <c r="Q30" i="1"/>
  <c r="T30" i="1"/>
  <c r="U30" i="1" s="1"/>
  <c r="P31" i="1"/>
  <c r="Q31" i="1"/>
  <c r="T31" i="1"/>
  <c r="U31" i="1" s="1"/>
  <c r="P32" i="1"/>
  <c r="Q32" i="1"/>
  <c r="T32" i="1"/>
  <c r="U32" i="1" s="1"/>
  <c r="P33" i="1"/>
  <c r="Q33" i="1"/>
  <c r="T33" i="1"/>
  <c r="U33" i="1" s="1"/>
  <c r="P34" i="1"/>
  <c r="Q34" i="1"/>
  <c r="T34" i="1"/>
  <c r="U34" i="1" s="1"/>
  <c r="P35" i="1"/>
  <c r="Q35" i="1"/>
  <c r="T35" i="1"/>
  <c r="U35" i="1" s="1"/>
  <c r="P36" i="1"/>
  <c r="Q36" i="1"/>
  <c r="T36" i="1"/>
  <c r="U36" i="1" s="1"/>
  <c r="P37" i="1"/>
  <c r="Q37" i="1"/>
  <c r="T37" i="1"/>
  <c r="U37" i="1" s="1"/>
  <c r="P38" i="1"/>
  <c r="Q38" i="1"/>
  <c r="T38" i="1"/>
  <c r="U38" i="1" s="1"/>
  <c r="P39" i="1"/>
  <c r="Q39" i="1"/>
  <c r="T39" i="1"/>
  <c r="U39" i="1" s="1"/>
  <c r="P40" i="1"/>
  <c r="Q40" i="1"/>
  <c r="T40" i="1"/>
  <c r="U40" i="1" s="1"/>
  <c r="P41" i="1"/>
  <c r="Q41" i="1"/>
  <c r="T41" i="1"/>
  <c r="U41" i="1" s="1"/>
  <c r="P42" i="1"/>
  <c r="Q42" i="1"/>
  <c r="T42" i="1"/>
  <c r="U42" i="1" s="1"/>
  <c r="P43" i="1"/>
  <c r="Q43" i="1"/>
  <c r="T43" i="1"/>
  <c r="U43" i="1" s="1"/>
  <c r="P44" i="1"/>
  <c r="Q44" i="1"/>
  <c r="T44" i="1"/>
  <c r="U44" i="1" s="1"/>
  <c r="P45" i="1"/>
  <c r="Q45" i="1"/>
  <c r="T45" i="1"/>
  <c r="U45" i="1" s="1"/>
  <c r="P46" i="1"/>
  <c r="Q46" i="1"/>
  <c r="T46" i="1"/>
  <c r="U46" i="1" s="1"/>
  <c r="P47" i="1"/>
  <c r="Q47" i="1"/>
  <c r="T47" i="1"/>
  <c r="U47" i="1" s="1"/>
  <c r="P48" i="1"/>
  <c r="Q48" i="1"/>
  <c r="T48" i="1"/>
  <c r="U48" i="1" s="1"/>
  <c r="P49" i="1"/>
  <c r="Q49" i="1"/>
  <c r="T49" i="1"/>
  <c r="U49" i="1" s="1"/>
  <c r="P50" i="1"/>
  <c r="Q50" i="1"/>
  <c r="T50" i="1"/>
  <c r="U50" i="1" s="1"/>
  <c r="P51" i="1"/>
  <c r="Q51" i="1"/>
  <c r="T51" i="1"/>
  <c r="U51" i="1" s="1"/>
  <c r="P52" i="1"/>
  <c r="Q52" i="1"/>
  <c r="T52" i="1"/>
  <c r="U52" i="1" s="1"/>
  <c r="P53" i="1"/>
  <c r="Q53" i="1"/>
  <c r="T53" i="1"/>
  <c r="U53" i="1" s="1"/>
  <c r="P54" i="1"/>
  <c r="Q54" i="1"/>
  <c r="T54" i="1"/>
  <c r="U54" i="1" s="1"/>
  <c r="P55" i="1"/>
  <c r="Q55" i="1"/>
  <c r="T55" i="1"/>
  <c r="U55" i="1" s="1"/>
  <c r="P56" i="1"/>
  <c r="Q56" i="1"/>
  <c r="T56" i="1"/>
  <c r="P57" i="1"/>
  <c r="Q57" i="1"/>
  <c r="P58" i="1"/>
  <c r="Q58" i="1"/>
  <c r="N39" i="9"/>
  <c r="N147" i="9"/>
  <c r="N208" i="9"/>
  <c r="N93" i="9"/>
  <c r="A20" i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O3" i="9"/>
  <c r="O154" i="5"/>
  <c r="O153" i="5"/>
  <c r="O152" i="5"/>
  <c r="T9" i="1"/>
  <c r="T10" i="1"/>
  <c r="T11" i="1"/>
  <c r="T12" i="1"/>
  <c r="T13" i="1"/>
  <c r="T14" i="1"/>
  <c r="T15" i="1"/>
  <c r="T16" i="1"/>
  <c r="T17" i="1"/>
  <c r="T18" i="1"/>
  <c r="P9" i="1"/>
  <c r="Q9" i="1"/>
  <c r="P10" i="1"/>
  <c r="Q10" i="1"/>
  <c r="P11" i="1"/>
  <c r="Q11" i="1"/>
  <c r="P12" i="1"/>
  <c r="Q12" i="1"/>
  <c r="P13" i="1"/>
  <c r="Q13" i="1"/>
  <c r="P14" i="1"/>
  <c r="Q14" i="1"/>
  <c r="P15" i="1"/>
  <c r="Q15" i="1"/>
  <c r="P16" i="1"/>
  <c r="Q16" i="1"/>
  <c r="P17" i="1"/>
  <c r="Q17" i="1"/>
  <c r="P18" i="1"/>
  <c r="Q18" i="1"/>
  <c r="Q8" i="1"/>
  <c r="P8" i="1"/>
  <c r="O329" i="26" l="1"/>
  <c r="O325" i="26"/>
  <c r="O332" i="26"/>
  <c r="O331" i="26"/>
  <c r="O327" i="26"/>
  <c r="O323" i="26"/>
  <c r="O324" i="26"/>
  <c r="O330" i="26"/>
  <c r="O326" i="26"/>
  <c r="O322" i="26"/>
  <c r="O328" i="26"/>
  <c r="O175" i="25"/>
  <c r="O171" i="25"/>
  <c r="O177" i="25"/>
  <c r="O178" i="25"/>
  <c r="O174" i="25"/>
  <c r="O170" i="25"/>
  <c r="O173" i="25"/>
  <c r="O176" i="25"/>
  <c r="O172" i="25"/>
  <c r="O168" i="25"/>
  <c r="O169" i="25"/>
  <c r="O292" i="23"/>
  <c r="O288" i="23"/>
  <c r="O320" i="22"/>
  <c r="O316" i="22"/>
  <c r="O312" i="22"/>
  <c r="O327" i="21"/>
  <c r="O323" i="21"/>
  <c r="O319" i="21"/>
  <c r="O295" i="23"/>
  <c r="O291" i="23"/>
  <c r="O287" i="23"/>
  <c r="O319" i="22"/>
  <c r="O315" i="22"/>
  <c r="O311" i="22"/>
  <c r="O326" i="21"/>
  <c r="O322" i="21"/>
  <c r="O318" i="21"/>
  <c r="O294" i="23"/>
  <c r="O290" i="23"/>
  <c r="O286" i="23"/>
  <c r="O318" i="22"/>
  <c r="O314" i="22"/>
  <c r="O310" i="22"/>
  <c r="O325" i="21"/>
  <c r="O321" i="21"/>
  <c r="O293" i="23"/>
  <c r="O289" i="23"/>
  <c r="O285" i="23"/>
  <c r="O317" i="22"/>
  <c r="O313" i="22"/>
  <c r="O328" i="21"/>
  <c r="O324" i="21"/>
  <c r="O320" i="21"/>
  <c r="U22" i="1"/>
  <c r="D22" i="1"/>
  <c r="N209" i="26"/>
  <c r="N155" i="26"/>
  <c r="N95" i="23"/>
  <c r="N49" i="26"/>
  <c r="N100" i="26"/>
  <c r="N277" i="19"/>
  <c r="B17" i="1"/>
  <c r="B15" i="1"/>
  <c r="B13" i="1"/>
  <c r="B11" i="1"/>
  <c r="B9" i="1"/>
  <c r="B19" i="1"/>
  <c r="B18" i="1"/>
  <c r="B16" i="1"/>
  <c r="B14" i="1"/>
  <c r="B12" i="1"/>
  <c r="B10" i="1"/>
  <c r="N914" i="7"/>
  <c r="N1114" i="11"/>
  <c r="N1116" i="11" s="1"/>
  <c r="N1117" i="11" s="1"/>
  <c r="N1118" i="11" s="1"/>
  <c r="N1119" i="11" s="1"/>
  <c r="N1120" i="11" s="1"/>
  <c r="N1121" i="11" s="1"/>
  <c r="N1122" i="11" s="1"/>
  <c r="N1123" i="11" s="1"/>
  <c r="N1124" i="11" s="1"/>
  <c r="N1125" i="11" s="1"/>
  <c r="N1126" i="11" s="1"/>
  <c r="N1127" i="11" s="1"/>
  <c r="N1128" i="11" s="1"/>
  <c r="N1129" i="11" s="1"/>
  <c r="N1130" i="11" s="1"/>
  <c r="N890" i="11"/>
  <c r="N689" i="11"/>
  <c r="N278" i="9"/>
  <c r="N100" i="10"/>
  <c r="N626" i="7"/>
  <c r="N109" i="6"/>
  <c r="N1079" i="3"/>
  <c r="N109" i="5"/>
  <c r="N59" i="5"/>
  <c r="N32" i="20"/>
  <c r="N114" i="20"/>
  <c r="B20" i="1"/>
  <c r="O455" i="20"/>
  <c r="O451" i="20"/>
  <c r="O447" i="20"/>
  <c r="O454" i="20"/>
  <c r="O450" i="20"/>
  <c r="O446" i="20"/>
  <c r="O453" i="20"/>
  <c r="O449" i="20"/>
  <c r="O445" i="20"/>
  <c r="O452" i="20"/>
  <c r="O448" i="20"/>
  <c r="O319" i="18"/>
  <c r="O315" i="18"/>
  <c r="O311" i="18"/>
  <c r="O318" i="18"/>
  <c r="O314" i="18"/>
  <c r="O321" i="18"/>
  <c r="O317" i="18"/>
  <c r="O313" i="18"/>
  <c r="O320" i="18"/>
  <c r="O316" i="18"/>
  <c r="O312" i="18"/>
  <c r="B21" i="1"/>
  <c r="N182" i="19"/>
  <c r="N361" i="19"/>
  <c r="N155" i="19"/>
  <c r="N81" i="19"/>
  <c r="N40" i="9"/>
  <c r="N209" i="9"/>
  <c r="N21" i="2"/>
  <c r="N80" i="2"/>
  <c r="B46" i="1"/>
  <c r="U21" i="1"/>
  <c r="D21" i="1" s="1"/>
  <c r="B52" i="1"/>
  <c r="B36" i="1"/>
  <c r="B30" i="1"/>
  <c r="U20" i="1"/>
  <c r="D20" i="1" s="1"/>
  <c r="B25" i="1"/>
  <c r="U19" i="1"/>
  <c r="D19" i="1" s="1"/>
  <c r="B41" i="1"/>
  <c r="U14" i="1"/>
  <c r="D14" i="1" s="1"/>
  <c r="U17" i="1"/>
  <c r="U9" i="1"/>
  <c r="D9" i="1" s="1"/>
  <c r="B54" i="1"/>
  <c r="B53" i="1"/>
  <c r="B50" i="1"/>
  <c r="B49" i="1"/>
  <c r="B48" i="1"/>
  <c r="B45" i="1"/>
  <c r="B44" i="1"/>
  <c r="B42" i="1"/>
  <c r="B40" i="1"/>
  <c r="B38" i="1"/>
  <c r="B37" i="1"/>
  <c r="B34" i="1"/>
  <c r="B33" i="1"/>
  <c r="B32" i="1"/>
  <c r="B29" i="1"/>
  <c r="B28" i="1"/>
  <c r="B26" i="1"/>
  <c r="B24" i="1"/>
  <c r="B22" i="1"/>
  <c r="U16" i="1"/>
  <c r="D16" i="1" s="1"/>
  <c r="U12" i="1"/>
  <c r="D12" i="1" s="1"/>
  <c r="U8" i="1"/>
  <c r="D8" i="1" s="1"/>
  <c r="U15" i="1"/>
  <c r="D15" i="1" s="1"/>
  <c r="U11" i="1"/>
  <c r="D11" i="1" s="1"/>
  <c r="O138" i="2"/>
  <c r="O142" i="2"/>
  <c r="O146" i="2"/>
  <c r="O139" i="2"/>
  <c r="O143" i="2"/>
  <c r="O136" i="2"/>
  <c r="O140" i="2"/>
  <c r="O144" i="2"/>
  <c r="O137" i="2"/>
  <c r="O141" i="2"/>
  <c r="O145" i="2"/>
  <c r="U10" i="1"/>
  <c r="D10" i="1" s="1"/>
  <c r="B58" i="1"/>
  <c r="B57" i="1"/>
  <c r="B56" i="1"/>
  <c r="U56" i="1"/>
  <c r="U13" i="1"/>
  <c r="D13" i="1" s="1"/>
  <c r="N578" i="11"/>
  <c r="N508" i="11"/>
  <c r="N458" i="11"/>
  <c r="N99" i="11"/>
  <c r="N100" i="11" s="1"/>
  <c r="N101" i="11" s="1"/>
  <c r="N149" i="11"/>
  <c r="B8" i="1"/>
  <c r="B55" i="1"/>
  <c r="B51" i="1"/>
  <c r="B47" i="1"/>
  <c r="B43" i="1"/>
  <c r="B39" i="1"/>
  <c r="B35" i="1"/>
  <c r="B31" i="1"/>
  <c r="B27" i="1"/>
  <c r="B23" i="1"/>
  <c r="U18" i="1"/>
  <c r="D18" i="1" s="1"/>
  <c r="A34" i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N148" i="9"/>
  <c r="N94" i="9"/>
  <c r="O33" i="26"/>
  <c r="O80" i="23"/>
  <c r="O85" i="26"/>
  <c r="O77" i="23"/>
  <c r="O34" i="26"/>
  <c r="O83" i="26"/>
  <c r="O81" i="23"/>
  <c r="O84" i="26"/>
  <c r="O310" i="26"/>
  <c r="O134" i="26"/>
  <c r="O64" i="25"/>
  <c r="O627" i="11"/>
  <c r="O271" i="26"/>
  <c r="O626" i="11"/>
  <c r="O148" i="23"/>
  <c r="O72" i="25"/>
  <c r="O275" i="26"/>
  <c r="O7" i="26"/>
  <c r="O629" i="11"/>
  <c r="O25" i="26"/>
  <c r="O70" i="25"/>
  <c r="O42" i="23"/>
  <c r="O79" i="26"/>
  <c r="O16" i="26"/>
  <c r="O74" i="23"/>
  <c r="O80" i="26"/>
  <c r="O183" i="26"/>
  <c r="O17" i="25"/>
  <c r="O7" i="7"/>
  <c r="O12" i="25"/>
  <c r="O282" i="26"/>
  <c r="O78" i="25"/>
  <c r="O66" i="25"/>
  <c r="O289" i="26"/>
  <c r="O245" i="26"/>
  <c r="O240" i="26"/>
  <c r="O13" i="25"/>
  <c r="O31" i="23"/>
  <c r="O154" i="23"/>
  <c r="O574" i="11"/>
  <c r="O287" i="26"/>
  <c r="O624" i="11"/>
  <c r="O71" i="23"/>
  <c r="O11" i="7"/>
  <c r="O26" i="26"/>
  <c r="O185" i="26"/>
  <c r="O74" i="25"/>
  <c r="O8" i="7"/>
  <c r="O299" i="26"/>
  <c r="O281" i="26"/>
  <c r="O286" i="26"/>
  <c r="O133" i="26"/>
  <c r="O56" i="25"/>
  <c r="O297" i="26"/>
  <c r="O49" i="23"/>
  <c r="O71" i="25"/>
  <c r="O140" i="23"/>
  <c r="O52" i="23"/>
  <c r="O16" i="25"/>
  <c r="O40" i="23"/>
  <c r="O69" i="25"/>
  <c r="O571" i="11"/>
  <c r="O570" i="11"/>
  <c r="O155" i="23"/>
  <c r="O569" i="11"/>
  <c r="O134" i="23"/>
  <c r="O72" i="23"/>
  <c r="O316" i="26"/>
  <c r="O27" i="26"/>
  <c r="O77" i="25"/>
  <c r="O59" i="25"/>
  <c r="O46" i="23"/>
  <c r="O124" i="23"/>
  <c r="O65" i="25"/>
  <c r="O130" i="26"/>
  <c r="O75" i="25"/>
  <c r="O27" i="11"/>
  <c r="O51" i="25"/>
  <c r="O241" i="26"/>
  <c r="O63" i="25"/>
  <c r="O273" i="26"/>
  <c r="O64" i="23"/>
  <c r="O182" i="26"/>
  <c r="O302" i="26"/>
  <c r="O57" i="25"/>
  <c r="O58" i="25"/>
  <c r="O255" i="26"/>
  <c r="O14" i="25"/>
  <c r="O26" i="11"/>
  <c r="O75" i="23"/>
  <c r="O60" i="25"/>
  <c r="O9" i="25"/>
  <c r="O186" i="26"/>
  <c r="O10" i="25"/>
  <c r="O73" i="25"/>
  <c r="O68" i="25"/>
  <c r="O144" i="23"/>
  <c r="O67" i="25"/>
  <c r="O238" i="26"/>
  <c r="O15" i="25"/>
  <c r="O62" i="25"/>
  <c r="O67" i="23"/>
  <c r="O13" i="26"/>
  <c r="O132" i="26"/>
  <c r="O61" i="25"/>
  <c r="O28" i="11"/>
  <c r="O130" i="23"/>
  <c r="O9" i="26"/>
  <c r="O628" i="11"/>
  <c r="O48" i="23"/>
  <c r="O573" i="11"/>
  <c r="O79" i="25"/>
  <c r="O45" i="23"/>
  <c r="O11" i="25"/>
  <c r="O625" i="11"/>
  <c r="O76" i="25"/>
  <c r="O572" i="11"/>
  <c r="O187" i="26"/>
  <c r="N210" i="26" l="1"/>
  <c r="N156" i="26"/>
  <c r="N96" i="23"/>
  <c r="N50" i="26"/>
  <c r="N101" i="26"/>
  <c r="N278" i="19"/>
  <c r="N915" i="7"/>
  <c r="N892" i="11"/>
  <c r="N690" i="11"/>
  <c r="N279" i="9"/>
  <c r="N101" i="10"/>
  <c r="N627" i="7"/>
  <c r="N110" i="6"/>
  <c r="N1080" i="3"/>
  <c r="N110" i="5"/>
  <c r="N60" i="5"/>
  <c r="N33" i="20"/>
  <c r="N115" i="20"/>
  <c r="N183" i="19"/>
  <c r="N362" i="19"/>
  <c r="N82" i="19"/>
  <c r="N41" i="9"/>
  <c r="N210" i="9"/>
  <c r="N81" i="2"/>
  <c r="N22" i="2"/>
  <c r="N579" i="11"/>
  <c r="N509" i="11"/>
  <c r="N459" i="11"/>
  <c r="N102" i="11"/>
  <c r="N150" i="11"/>
  <c r="O321" i="9"/>
  <c r="O322" i="9"/>
  <c r="O319" i="9"/>
  <c r="O320" i="9"/>
  <c r="N149" i="9"/>
  <c r="N95" i="9"/>
  <c r="O146" i="26"/>
  <c r="O87" i="23"/>
  <c r="O196" i="26"/>
  <c r="O192" i="26"/>
  <c r="O258" i="19"/>
  <c r="O145" i="26"/>
  <c r="O206" i="26"/>
  <c r="O91" i="23"/>
  <c r="O90" i="23"/>
  <c r="O39" i="26"/>
  <c r="O261" i="19"/>
  <c r="O83" i="23"/>
  <c r="O78" i="23"/>
  <c r="O205" i="26"/>
  <c r="O44" i="26"/>
  <c r="O89" i="23"/>
  <c r="O139" i="26"/>
  <c r="O88" i="26"/>
  <c r="O135" i="26"/>
  <c r="O152" i="26"/>
  <c r="O32" i="26"/>
  <c r="O45" i="26"/>
  <c r="O100" i="26"/>
  <c r="O144" i="26"/>
  <c r="O148" i="26"/>
  <c r="O193" i="26"/>
  <c r="O84" i="23"/>
  <c r="O31" i="26"/>
  <c r="O260" i="19"/>
  <c r="O143" i="26"/>
  <c r="O91" i="26"/>
  <c r="O197" i="26"/>
  <c r="O259" i="19"/>
  <c r="O85" i="23"/>
  <c r="O149" i="26"/>
  <c r="O40" i="26"/>
  <c r="O93" i="23"/>
  <c r="O30" i="26"/>
  <c r="O95" i="23"/>
  <c r="O29" i="26"/>
  <c r="O208" i="26"/>
  <c r="O191" i="26"/>
  <c r="O209" i="26"/>
  <c r="O42" i="26"/>
  <c r="O207" i="26"/>
  <c r="O96" i="26"/>
  <c r="O37" i="26"/>
  <c r="O277" i="19"/>
  <c r="O188" i="26"/>
  <c r="O43" i="26"/>
  <c r="O153" i="26"/>
  <c r="O262" i="19"/>
  <c r="O137" i="26"/>
  <c r="O140" i="26"/>
  <c r="O93" i="26"/>
  <c r="O92" i="26"/>
  <c r="O82" i="26"/>
  <c r="O199" i="26"/>
  <c r="O190" i="26"/>
  <c r="O94" i="23"/>
  <c r="O136" i="26"/>
  <c r="O86" i="23"/>
  <c r="O87" i="26"/>
  <c r="O155" i="26"/>
  <c r="O150" i="26"/>
  <c r="O257" i="19"/>
  <c r="O79" i="23"/>
  <c r="O154" i="26"/>
  <c r="O195" i="26"/>
  <c r="O256" i="19"/>
  <c r="O86" i="26"/>
  <c r="O50" i="26"/>
  <c r="O92" i="23"/>
  <c r="O41" i="26"/>
  <c r="O194" i="26"/>
  <c r="O138" i="26"/>
  <c r="O38" i="26"/>
  <c r="O48" i="26"/>
  <c r="O95" i="26"/>
  <c r="O35" i="26"/>
  <c r="O201" i="26"/>
  <c r="O204" i="26"/>
  <c r="O99" i="26"/>
  <c r="O198" i="26"/>
  <c r="O46" i="26"/>
  <c r="O98" i="26"/>
  <c r="O142" i="26"/>
  <c r="O147" i="26"/>
  <c r="O88" i="23"/>
  <c r="O94" i="26"/>
  <c r="O90" i="26"/>
  <c r="O49" i="26"/>
  <c r="O89" i="26"/>
  <c r="O151" i="26"/>
  <c r="O47" i="26"/>
  <c r="O141" i="26"/>
  <c r="O202" i="26"/>
  <c r="O36" i="26"/>
  <c r="O200" i="26"/>
  <c r="O82" i="23"/>
  <c r="O203" i="26"/>
  <c r="O97" i="26"/>
  <c r="O189" i="26"/>
  <c r="O76" i="23"/>
  <c r="O69" i="23"/>
  <c r="O285" i="26"/>
  <c r="O103" i="25"/>
  <c r="O109" i="25"/>
  <c r="O19" i="26"/>
  <c r="O54" i="3"/>
  <c r="O242" i="26"/>
  <c r="O257" i="26"/>
  <c r="O290" i="26"/>
  <c r="O21" i="25"/>
  <c r="O36" i="25"/>
  <c r="O58" i="23"/>
  <c r="O219" i="19"/>
  <c r="O238" i="19"/>
  <c r="O237" i="26"/>
  <c r="O21" i="26"/>
  <c r="O164" i="25"/>
  <c r="O132" i="23"/>
  <c r="O152" i="23"/>
  <c r="O125" i="23"/>
  <c r="O108" i="25"/>
  <c r="O321" i="26"/>
  <c r="O6" i="25"/>
  <c r="O107" i="25"/>
  <c r="O34" i="25"/>
  <c r="O57" i="3"/>
  <c r="O117" i="25"/>
  <c r="O319" i="26"/>
  <c r="O47" i="3"/>
  <c r="O25" i="25"/>
  <c r="O53" i="3"/>
  <c r="O49" i="3"/>
  <c r="O145" i="23"/>
  <c r="O6" i="26"/>
  <c r="O153" i="23"/>
  <c r="O296" i="26"/>
  <c r="O248" i="19"/>
  <c r="O5" i="26"/>
  <c r="O26" i="25"/>
  <c r="O305" i="26"/>
  <c r="O303" i="19"/>
  <c r="O162" i="25"/>
  <c r="O129" i="25"/>
  <c r="O283" i="26"/>
  <c r="O160" i="25"/>
  <c r="O128" i="23"/>
  <c r="O231" i="19"/>
  <c r="O261" i="26"/>
  <c r="O38" i="25"/>
  <c r="O29" i="25"/>
  <c r="O48" i="25"/>
  <c r="O121" i="25"/>
  <c r="O56" i="23"/>
  <c r="O20" i="26"/>
  <c r="O230" i="19"/>
  <c r="O22" i="25"/>
  <c r="O73" i="23"/>
  <c r="O99" i="25"/>
  <c r="O24" i="25"/>
  <c r="O44" i="23"/>
  <c r="O49" i="25"/>
  <c r="O131" i="23"/>
  <c r="O309" i="26"/>
  <c r="O304" i="26"/>
  <c r="O126" i="25"/>
  <c r="O300" i="26"/>
  <c r="O266" i="26"/>
  <c r="O5" i="25"/>
  <c r="O252" i="19"/>
  <c r="O53" i="23"/>
  <c r="O105" i="25"/>
  <c r="O237" i="19"/>
  <c r="O52" i="3"/>
  <c r="O226" i="19"/>
  <c r="O146" i="23"/>
  <c r="O303" i="26"/>
  <c r="O50" i="3"/>
  <c r="O184" i="26"/>
  <c r="O63" i="23"/>
  <c r="O293" i="26"/>
  <c r="O41" i="23"/>
  <c r="O39" i="25"/>
  <c r="O135" i="23"/>
  <c r="O118" i="25"/>
  <c r="O256" i="26"/>
  <c r="O239" i="26"/>
  <c r="O123" i="25"/>
  <c r="O11" i="26"/>
  <c r="O235" i="19"/>
  <c r="O104" i="25"/>
  <c r="O163" i="25"/>
  <c r="O81" i="26"/>
  <c r="O19" i="25"/>
  <c r="O57" i="23"/>
  <c r="O53" i="25"/>
  <c r="O263" i="26"/>
  <c r="O125" i="25"/>
  <c r="O156" i="23"/>
  <c r="O311" i="26"/>
  <c r="O265" i="26"/>
  <c r="O250" i="19"/>
  <c r="O40" i="25"/>
  <c r="O236" i="19"/>
  <c r="O32" i="25"/>
  <c r="O298" i="26"/>
  <c r="O112" i="25"/>
  <c r="O318" i="26"/>
  <c r="O138" i="23"/>
  <c r="O12" i="23"/>
  <c r="O27" i="25"/>
  <c r="O253" i="19"/>
  <c r="O10" i="26"/>
  <c r="O143" i="23"/>
  <c r="O78" i="26"/>
  <c r="O111" i="25"/>
  <c r="O294" i="26"/>
  <c r="O17" i="26"/>
  <c r="O51" i="23"/>
  <c r="O42" i="25"/>
  <c r="O70" i="23"/>
  <c r="O12" i="26"/>
  <c r="O267" i="26"/>
  <c r="O295" i="26"/>
  <c r="O229" i="19"/>
  <c r="O131" i="26"/>
  <c r="O246" i="26"/>
  <c r="O269" i="26"/>
  <c r="O47" i="23"/>
  <c r="O128" i="25"/>
  <c r="O228" i="19"/>
  <c r="O252" i="26"/>
  <c r="O45" i="3"/>
  <c r="O41" i="25"/>
  <c r="O317" i="26"/>
  <c r="O23" i="26"/>
  <c r="O253" i="26"/>
  <c r="O248" i="26"/>
  <c r="O8" i="26"/>
  <c r="O100" i="25"/>
  <c r="O129" i="26"/>
  <c r="O18" i="26"/>
  <c r="O264" i="26"/>
  <c r="O288" i="26"/>
  <c r="O308" i="26"/>
  <c r="O222" i="19"/>
  <c r="O22" i="26"/>
  <c r="O234" i="19"/>
  <c r="O268" i="26"/>
  <c r="O272" i="26"/>
  <c r="O37" i="25"/>
  <c r="O54" i="23"/>
  <c r="O159" i="25"/>
  <c r="O50" i="25"/>
  <c r="O127" i="25"/>
  <c r="O292" i="26"/>
  <c r="O307" i="26"/>
  <c r="O133" i="23"/>
  <c r="O18" i="25"/>
  <c r="O136" i="23"/>
  <c r="O166" i="25"/>
  <c r="O249" i="26"/>
  <c r="O284" i="26"/>
  <c r="O43" i="23"/>
  <c r="O130" i="25"/>
  <c r="O236" i="26"/>
  <c r="O240" i="19"/>
  <c r="O24" i="26"/>
  <c r="O147" i="23"/>
  <c r="O259" i="26"/>
  <c r="O139" i="23"/>
  <c r="O320" i="26"/>
  <c r="O28" i="25"/>
  <c r="O312" i="26"/>
  <c r="O7" i="25"/>
  <c r="O306" i="26"/>
  <c r="O120" i="25"/>
  <c r="O274" i="26"/>
  <c r="O61" i="23"/>
  <c r="O165" i="25"/>
  <c r="O55" i="3"/>
  <c r="O68" i="23"/>
  <c r="O258" i="26"/>
  <c r="O167" i="25"/>
  <c r="O276" i="26"/>
  <c r="O11" i="23"/>
  <c r="O60" i="23"/>
  <c r="O106" i="25"/>
  <c r="O110" i="25"/>
  <c r="O241" i="19"/>
  <c r="O243" i="26"/>
  <c r="O65" i="23"/>
  <c r="O254" i="26"/>
  <c r="O101" i="25"/>
  <c r="O47" i="25"/>
  <c r="O291" i="26"/>
  <c r="O225" i="19"/>
  <c r="O62" i="23"/>
  <c r="O279" i="26"/>
  <c r="O270" i="26"/>
  <c r="O301" i="26"/>
  <c r="O239" i="19"/>
  <c r="O158" i="25"/>
  <c r="O260" i="26"/>
  <c r="O262" i="26"/>
  <c r="O4" i="25"/>
  <c r="O59" i="23"/>
  <c r="O223" i="19"/>
  <c r="O54" i="25"/>
  <c r="O33" i="25"/>
  <c r="O124" i="25"/>
  <c r="O233" i="19"/>
  <c r="O137" i="23"/>
  <c r="O277" i="26"/>
  <c r="O30" i="25"/>
  <c r="O14" i="26"/>
  <c r="O247" i="26"/>
  <c r="O31" i="25"/>
  <c r="O66" i="23"/>
  <c r="O251" i="19"/>
  <c r="O127" i="23"/>
  <c r="O126" i="23"/>
  <c r="O315" i="26"/>
  <c r="O15" i="26"/>
  <c r="O221" i="19"/>
  <c r="O151" i="23"/>
  <c r="O150" i="23"/>
  <c r="O4" i="26"/>
  <c r="O227" i="19"/>
  <c r="O313" i="26"/>
  <c r="O129" i="23"/>
  <c r="O280" i="26"/>
  <c r="O113" i="25"/>
  <c r="O116" i="25"/>
  <c r="O35" i="25"/>
  <c r="O142" i="23"/>
  <c r="O161" i="25"/>
  <c r="O141" i="23"/>
  <c r="O278" i="26"/>
  <c r="O102" i="25"/>
  <c r="O122" i="25"/>
  <c r="O149" i="23"/>
  <c r="O77" i="26"/>
  <c r="O251" i="26"/>
  <c r="O115" i="25"/>
  <c r="O255" i="19"/>
  <c r="O28" i="26"/>
  <c r="O249" i="19"/>
  <c r="O232" i="19"/>
  <c r="O52" i="25"/>
  <c r="O8" i="25"/>
  <c r="O244" i="26"/>
  <c r="O48" i="3"/>
  <c r="O23" i="25"/>
  <c r="O220" i="19"/>
  <c r="O250" i="26"/>
  <c r="O114" i="25"/>
  <c r="O46" i="3"/>
  <c r="O20" i="25"/>
  <c r="O314" i="26"/>
  <c r="O119" i="25"/>
  <c r="O254" i="19"/>
  <c r="O56" i="3"/>
  <c r="O50" i="23"/>
  <c r="O13" i="23"/>
  <c r="O51" i="3"/>
  <c r="O58" i="3"/>
  <c r="O55" i="23"/>
  <c r="O224" i="19"/>
  <c r="O55" i="25"/>
  <c r="N211" i="26" l="1"/>
  <c r="N157" i="26"/>
  <c r="N97" i="23"/>
  <c r="N51" i="26"/>
  <c r="N102" i="26"/>
  <c r="N279" i="19"/>
  <c r="N916" i="7"/>
  <c r="N893" i="11"/>
  <c r="N691" i="11"/>
  <c r="N280" i="9"/>
  <c r="N102" i="10"/>
  <c r="N628" i="7"/>
  <c r="N111" i="6"/>
  <c r="N1081" i="3"/>
  <c r="N111" i="5"/>
  <c r="N61" i="5"/>
  <c r="N34" i="20"/>
  <c r="N116" i="20"/>
  <c r="N184" i="19"/>
  <c r="N83" i="19"/>
  <c r="N151" i="11"/>
  <c r="N211" i="9"/>
  <c r="N42" i="9"/>
  <c r="N23" i="2"/>
  <c r="N82" i="2"/>
  <c r="N580" i="11"/>
  <c r="N510" i="11"/>
  <c r="N460" i="11"/>
  <c r="N103" i="11"/>
  <c r="N150" i="9"/>
  <c r="N96" i="9"/>
  <c r="N212" i="26" l="1"/>
  <c r="N158" i="26"/>
  <c r="N98" i="23"/>
  <c r="N52" i="26"/>
  <c r="N103" i="26"/>
  <c r="N280" i="19"/>
  <c r="N917" i="7"/>
  <c r="N894" i="11"/>
  <c r="N692" i="11"/>
  <c r="N281" i="9"/>
  <c r="N103" i="10"/>
  <c r="N629" i="7"/>
  <c r="N112" i="6"/>
  <c r="N1082" i="3"/>
  <c r="N112" i="5"/>
  <c r="N62" i="5"/>
  <c r="N35" i="20"/>
  <c r="N117" i="20"/>
  <c r="N152" i="11"/>
  <c r="N185" i="19"/>
  <c r="N84" i="19"/>
  <c r="N43" i="9"/>
  <c r="N212" i="9"/>
  <c r="N83" i="2"/>
  <c r="N24" i="2"/>
  <c r="N581" i="11"/>
  <c r="N511" i="11"/>
  <c r="N461" i="11"/>
  <c r="N104" i="11"/>
  <c r="N151" i="9"/>
  <c r="N97" i="9"/>
  <c r="N213" i="26" l="1"/>
  <c r="N159" i="26"/>
  <c r="N99" i="23"/>
  <c r="N53" i="26"/>
  <c r="N104" i="26"/>
  <c r="N281" i="19"/>
  <c r="N918" i="7"/>
  <c r="N895" i="11"/>
  <c r="N693" i="11"/>
  <c r="N282" i="9"/>
  <c r="N104" i="10"/>
  <c r="N630" i="7"/>
  <c r="N113" i="6"/>
  <c r="N1083" i="3"/>
  <c r="N113" i="5"/>
  <c r="N63" i="5"/>
  <c r="N36" i="20"/>
  <c r="N118" i="20"/>
  <c r="N153" i="11"/>
  <c r="N186" i="19"/>
  <c r="N85" i="19"/>
  <c r="N213" i="9"/>
  <c r="N44" i="9"/>
  <c r="N25" i="2"/>
  <c r="N84" i="2"/>
  <c r="N582" i="11"/>
  <c r="N512" i="11"/>
  <c r="N462" i="11"/>
  <c r="N105" i="11"/>
  <c r="N152" i="9"/>
  <c r="N98" i="9"/>
  <c r="N214" i="26" l="1"/>
  <c r="N160" i="26"/>
  <c r="N100" i="23"/>
  <c r="N54" i="26"/>
  <c r="N105" i="26"/>
  <c r="N282" i="19"/>
  <c r="N154" i="11"/>
  <c r="N155" i="11" s="1"/>
  <c r="N919" i="7"/>
  <c r="N896" i="11"/>
  <c r="N694" i="11"/>
  <c r="N283" i="9"/>
  <c r="N105" i="10"/>
  <c r="N631" i="7"/>
  <c r="N114" i="6"/>
  <c r="N1084" i="3"/>
  <c r="N114" i="5"/>
  <c r="N64" i="5"/>
  <c r="N37" i="20"/>
  <c r="N119" i="20"/>
  <c r="N187" i="19"/>
  <c r="N86" i="19"/>
  <c r="N45" i="9"/>
  <c r="N214" i="9"/>
  <c r="N85" i="2"/>
  <c r="N26" i="2"/>
  <c r="N583" i="11"/>
  <c r="N513" i="11"/>
  <c r="N463" i="11"/>
  <c r="N106" i="11"/>
  <c r="N153" i="9"/>
  <c r="N99" i="9"/>
  <c r="N215" i="26" l="1"/>
  <c r="N161" i="26"/>
  <c r="N101" i="23"/>
  <c r="N55" i="26"/>
  <c r="N106" i="26"/>
  <c r="N283" i="19"/>
  <c r="N696" i="11"/>
  <c r="N920" i="7"/>
  <c r="N897" i="11"/>
  <c r="N284" i="9"/>
  <c r="N106" i="10"/>
  <c r="N632" i="7"/>
  <c r="N115" i="6"/>
  <c r="N1085" i="3"/>
  <c r="N115" i="5"/>
  <c r="N65" i="5"/>
  <c r="N38" i="20"/>
  <c r="N120" i="20"/>
  <c r="N188" i="19"/>
  <c r="N87" i="19"/>
  <c r="N215" i="9"/>
  <c r="N46" i="9"/>
  <c r="N27" i="2"/>
  <c r="N86" i="2"/>
  <c r="N584" i="11"/>
  <c r="N514" i="11"/>
  <c r="N464" i="11"/>
  <c r="N107" i="11"/>
  <c r="N156" i="11"/>
  <c r="N154" i="9"/>
  <c r="N100" i="9"/>
  <c r="N216" i="26" l="1"/>
  <c r="N162" i="26"/>
  <c r="N102" i="23"/>
  <c r="N56" i="26"/>
  <c r="N107" i="26"/>
  <c r="N284" i="19"/>
  <c r="N697" i="11"/>
  <c r="N921" i="7"/>
  <c r="N898" i="11"/>
  <c r="N285" i="9"/>
  <c r="N107" i="10"/>
  <c r="N633" i="7"/>
  <c r="N116" i="6"/>
  <c r="N1086" i="3"/>
  <c r="N116" i="5"/>
  <c r="N66" i="5"/>
  <c r="N39" i="20"/>
  <c r="N121" i="20"/>
  <c r="N189" i="19"/>
  <c r="N88" i="19"/>
  <c r="N155" i="9"/>
  <c r="N216" i="9"/>
  <c r="N87" i="2"/>
  <c r="N28" i="2"/>
  <c r="N585" i="11"/>
  <c r="N515" i="11"/>
  <c r="N465" i="11"/>
  <c r="N108" i="11"/>
  <c r="N157" i="11"/>
  <c r="N101" i="9"/>
  <c r="N47" i="9"/>
  <c r="N217" i="26" l="1"/>
  <c r="N163" i="26"/>
  <c r="N103" i="23"/>
  <c r="N57" i="26"/>
  <c r="N108" i="26"/>
  <c r="N285" i="19"/>
  <c r="N698" i="11"/>
  <c r="N922" i="7"/>
  <c r="N899" i="11"/>
  <c r="N286" i="9"/>
  <c r="N108" i="10"/>
  <c r="N634" i="7"/>
  <c r="N117" i="6"/>
  <c r="N1087" i="3"/>
  <c r="N117" i="5"/>
  <c r="N67" i="5"/>
  <c r="N40" i="20"/>
  <c r="N122" i="20"/>
  <c r="N156" i="9"/>
  <c r="N190" i="19"/>
  <c r="N89" i="19"/>
  <c r="N217" i="9"/>
  <c r="N29" i="2"/>
  <c r="N88" i="2"/>
  <c r="N586" i="11"/>
  <c r="N516" i="11"/>
  <c r="N466" i="11"/>
  <c r="N109" i="11"/>
  <c r="N158" i="11"/>
  <c r="N102" i="9"/>
  <c r="N48" i="9"/>
  <c r="O49" i="18"/>
  <c r="O136" i="19"/>
  <c r="O91" i="18"/>
  <c r="O218" i="18"/>
  <c r="O52" i="18"/>
  <c r="O235" i="18"/>
  <c r="O342" i="19"/>
  <c r="O142" i="19"/>
  <c r="O697" i="3"/>
  <c r="O175" i="18"/>
  <c r="O117" i="20"/>
  <c r="O51" i="26"/>
  <c r="O74" i="19"/>
  <c r="O728" i="3"/>
  <c r="O151" i="18"/>
  <c r="O54" i="26"/>
  <c r="O729" i="3"/>
  <c r="O346" i="19"/>
  <c r="O72" i="19"/>
  <c r="O371" i="7"/>
  <c r="O103" i="18"/>
  <c r="O275" i="19"/>
  <c r="O841" i="3"/>
  <c r="O328" i="19"/>
  <c r="O847" i="3"/>
  <c r="O393" i="7"/>
  <c r="O112" i="5"/>
  <c r="O296" i="7"/>
  <c r="O444" i="7"/>
  <c r="O770" i="3"/>
  <c r="O101" i="26"/>
  <c r="O63" i="5"/>
  <c r="O270" i="19"/>
  <c r="O671" i="3"/>
  <c r="O876" i="3"/>
  <c r="O113" i="20"/>
  <c r="O822" i="3"/>
  <c r="O764" i="3"/>
  <c r="O772" i="3"/>
  <c r="O66" i="6"/>
  <c r="O864" i="3"/>
  <c r="O38" i="18"/>
  <c r="O50" i="6"/>
  <c r="O859" i="3"/>
  <c r="O74" i="10"/>
  <c r="O725" i="3"/>
  <c r="O41" i="18"/>
  <c r="O742" i="3"/>
  <c r="O150" i="19"/>
  <c r="O65" i="10"/>
  <c r="O752" i="3"/>
  <c r="O103" i="5"/>
  <c r="O28" i="17"/>
  <c r="O329" i="7"/>
  <c r="O272" i="9"/>
  <c r="O208" i="18"/>
  <c r="O112" i="18"/>
  <c r="O314" i="7"/>
  <c r="O813" i="3"/>
  <c r="O63" i="10"/>
  <c r="O831" i="3"/>
  <c r="O160" i="18"/>
  <c r="O145" i="18"/>
  <c r="O110" i="6"/>
  <c r="O56" i="17"/>
  <c r="O96" i="18"/>
  <c r="O110" i="18"/>
  <c r="O55" i="17"/>
  <c r="O116" i="18"/>
  <c r="O351" i="19"/>
  <c r="O76" i="19"/>
  <c r="O144" i="18"/>
  <c r="O32" i="20"/>
  <c r="O740" i="3"/>
  <c r="O176" i="18"/>
  <c r="O834" i="3"/>
  <c r="O326" i="19"/>
  <c r="O803" i="3"/>
  <c r="O702" i="3"/>
  <c r="O711" i="3"/>
  <c r="O278" i="9"/>
  <c r="O67" i="6"/>
  <c r="O51" i="6"/>
  <c r="O119" i="19"/>
  <c r="O818" i="3"/>
  <c r="O388" i="7"/>
  <c r="O115" i="20"/>
  <c r="O375" i="7"/>
  <c r="O49" i="6"/>
  <c r="O62" i="10"/>
  <c r="O354" i="19"/>
  <c r="O63" i="6"/>
  <c r="O863" i="3"/>
  <c r="O179" i="19"/>
  <c r="O266" i="19"/>
  <c r="O285" i="7"/>
  <c r="O157" i="26"/>
  <c r="O865" i="3"/>
  <c r="O724" i="3"/>
  <c r="O334" i="7"/>
  <c r="O227" i="18"/>
  <c r="O61" i="18"/>
  <c r="O97" i="18"/>
  <c r="O435" i="7"/>
  <c r="O43" i="18"/>
  <c r="O115" i="18"/>
  <c r="O878" i="3"/>
  <c r="O322" i="7"/>
  <c r="O877" i="3"/>
  <c r="O425" i="7"/>
  <c r="O53" i="10"/>
  <c r="O422" i="7"/>
  <c r="O32" i="18"/>
  <c r="O123" i="19"/>
  <c r="O60" i="18"/>
  <c r="O60" i="10"/>
  <c r="O65" i="19"/>
  <c r="O732" i="3"/>
  <c r="O152" i="18"/>
  <c r="O835" i="3"/>
  <c r="O140" i="19"/>
  <c r="O687" i="3"/>
  <c r="O220" i="18"/>
  <c r="O169" i="18"/>
  <c r="O100" i="18"/>
  <c r="O679" i="3"/>
  <c r="O67" i="10"/>
  <c r="O106" i="18"/>
  <c r="O345" i="19"/>
  <c r="O47" i="10"/>
  <c r="O873" i="3"/>
  <c r="O60" i="17"/>
  <c r="O144" i="19"/>
  <c r="O181" i="19"/>
  <c r="O820" i="3"/>
  <c r="O274" i="19"/>
  <c r="O214" i="18"/>
  <c r="O57" i="10"/>
  <c r="O358" i="19"/>
  <c r="O701" i="3"/>
  <c r="O54" i="10"/>
  <c r="O374" i="7"/>
  <c r="O57" i="6"/>
  <c r="O117" i="19"/>
  <c r="O215" i="18"/>
  <c r="O858" i="3"/>
  <c r="O103" i="26"/>
  <c r="O149" i="18"/>
  <c r="O155" i="18"/>
  <c r="O695" i="3"/>
  <c r="O738" i="3"/>
  <c r="O733" i="3"/>
  <c r="O37" i="17"/>
  <c r="O335" i="19"/>
  <c r="O29" i="18"/>
  <c r="O720" i="3"/>
  <c r="O359" i="19"/>
  <c r="O186" i="19"/>
  <c r="O98" i="23"/>
  <c r="O281" i="19"/>
  <c r="O731" i="3"/>
  <c r="O111" i="18"/>
  <c r="O759" i="3"/>
  <c r="O156" i="18"/>
  <c r="O787" i="3"/>
  <c r="O82" i="19"/>
  <c r="O71" i="10"/>
  <c r="O223" i="18"/>
  <c r="O801" i="3"/>
  <c r="O823" i="3"/>
  <c r="O431" i="7"/>
  <c r="O206" i="18"/>
  <c r="O320" i="7"/>
  <c r="O39" i="17"/>
  <c r="O343" i="19"/>
  <c r="O807" i="3"/>
  <c r="O768" i="3"/>
  <c r="O58" i="10"/>
  <c r="O63" i="17"/>
  <c r="O789" i="3"/>
  <c r="O66" i="10"/>
  <c r="O708" i="3"/>
  <c r="O54" i="18"/>
  <c r="O108" i="5"/>
  <c r="O46" i="17"/>
  <c r="O719" i="3"/>
  <c r="O205" i="18"/>
  <c r="O101" i="18"/>
  <c r="O737" i="3"/>
  <c r="O143" i="19"/>
  <c r="O82" i="18"/>
  <c r="O75" i="10"/>
  <c r="O99" i="10"/>
  <c r="O84" i="18"/>
  <c r="O212" i="18"/>
  <c r="O47" i="18"/>
  <c r="O734" i="3"/>
  <c r="O874" i="3"/>
  <c r="O30" i="18"/>
  <c r="O34" i="20"/>
  <c r="O833" i="3"/>
  <c r="O713" i="3"/>
  <c r="O411" i="7"/>
  <c r="O57" i="18"/>
  <c r="O261" i="7"/>
  <c r="O440" i="7"/>
  <c r="O78" i="10"/>
  <c r="O843" i="3"/>
  <c r="O62" i="6"/>
  <c r="O791" i="3"/>
  <c r="O224" i="18"/>
  <c r="O52" i="10"/>
  <c r="O109" i="5"/>
  <c r="O278" i="19"/>
  <c r="O213" i="18"/>
  <c r="O74" i="6"/>
  <c r="O324" i="7"/>
  <c r="O76" i="6"/>
  <c r="O372" i="7"/>
  <c r="O81" i="6"/>
  <c r="O717" i="3"/>
  <c r="O273" i="9"/>
  <c r="O355" i="19"/>
  <c r="O62" i="5"/>
  <c r="O344" i="7"/>
  <c r="O167" i="18"/>
  <c r="O369" i="7"/>
  <c r="O352" i="7"/>
  <c r="O68" i="10"/>
  <c r="O33" i="17"/>
  <c r="O159" i="26"/>
  <c r="O69" i="19"/>
  <c r="O108" i="6"/>
  <c r="O323" i="19"/>
  <c r="O845" i="3"/>
  <c r="O51" i="10"/>
  <c r="O52" i="17"/>
  <c r="O760" i="3"/>
  <c r="O685" i="3"/>
  <c r="O799" i="3"/>
  <c r="O113" i="6"/>
  <c r="O69" i="10"/>
  <c r="O437" i="7"/>
  <c r="O786" i="3"/>
  <c r="O880" i="3"/>
  <c r="O281" i="9"/>
  <c r="O127" i="19"/>
  <c r="O812" i="3"/>
  <c r="O29" i="20"/>
  <c r="O814" i="3"/>
  <c r="O698" i="3"/>
  <c r="O727" i="3"/>
  <c r="O275" i="9"/>
  <c r="O86" i="18"/>
  <c r="O97" i="23"/>
  <c r="O337" i="19"/>
  <c r="O763" i="3"/>
  <c r="O221" i="18"/>
  <c r="O274" i="9"/>
  <c r="O117" i="18"/>
  <c r="O202" i="18"/>
  <c r="O58" i="6"/>
  <c r="O50" i="5"/>
  <c r="O780" i="3"/>
  <c r="O120" i="19"/>
  <c r="O79" i="6"/>
  <c r="O98" i="18"/>
  <c r="O805" i="3"/>
  <c r="O441" i="7"/>
  <c r="O696" i="3"/>
  <c r="O721" i="3"/>
  <c r="O855" i="3"/>
  <c r="O745" i="3"/>
  <c r="O104" i="26"/>
  <c r="O164" i="18"/>
  <c r="O854" i="3"/>
  <c r="O730" i="3"/>
  <c r="O682" i="3"/>
  <c r="O31" i="18"/>
  <c r="O334" i="19"/>
  <c r="O680" i="3"/>
  <c r="O107" i="6"/>
  <c r="O881" i="3"/>
  <c r="O230" i="18"/>
  <c r="O90" i="18"/>
  <c r="O817" i="3"/>
  <c r="O821" i="3"/>
  <c r="O73" i="19"/>
  <c r="O213" i="26"/>
  <c r="O852" i="3"/>
  <c r="O329" i="19"/>
  <c r="O58" i="5"/>
  <c r="O796" i="3"/>
  <c r="O100" i="6"/>
  <c r="O109" i="18"/>
  <c r="O675" i="3"/>
  <c r="O207" i="18"/>
  <c r="O408" i="7"/>
  <c r="O867" i="3"/>
  <c r="O264" i="7"/>
  <c r="O281" i="7"/>
  <c r="O448" i="7"/>
  <c r="O62" i="19"/>
  <c r="O870" i="3"/>
  <c r="O158" i="18"/>
  <c r="O757" i="3"/>
  <c r="O68" i="19"/>
  <c r="O35" i="20"/>
  <c r="O116" i="20"/>
  <c r="O384" i="7"/>
  <c r="O744" i="3"/>
  <c r="O741" i="3"/>
  <c r="O84" i="6"/>
  <c r="O200" i="18"/>
  <c r="O273" i="19"/>
  <c r="O76" i="10"/>
  <c r="O54" i="5"/>
  <c r="O102" i="5"/>
  <c r="O35" i="17"/>
  <c r="O77" i="19"/>
  <c r="O37" i="18"/>
  <c r="O694" i="3"/>
  <c r="O185" i="19"/>
  <c r="O52" i="6"/>
  <c r="O668" i="3"/>
  <c r="O667" i="3"/>
  <c r="O809" i="3"/>
  <c r="O217" i="18"/>
  <c r="O106" i="11"/>
  <c r="O162" i="18"/>
  <c r="O78" i="6"/>
  <c r="O40" i="10"/>
  <c r="O63" i="19"/>
  <c r="O106" i="5"/>
  <c r="O853" i="3"/>
  <c r="O183" i="19"/>
  <c r="O280" i="9"/>
  <c r="O875" i="3"/>
  <c r="O460" i="7"/>
  <c r="O260" i="7"/>
  <c r="O124" i="19"/>
  <c r="O339" i="19"/>
  <c r="O723" i="3"/>
  <c r="O61" i="17"/>
  <c r="O27" i="17"/>
  <c r="O269" i="7"/>
  <c r="O468" i="7"/>
  <c r="O359" i="7"/>
  <c r="O722" i="3"/>
  <c r="O112" i="20"/>
  <c r="O109" i="6"/>
  <c r="O226" i="18"/>
  <c r="O806" i="3"/>
  <c r="O255" i="7"/>
  <c r="O416" i="7"/>
  <c r="O446" i="7"/>
  <c r="O263" i="19"/>
  <c r="O352" i="19"/>
  <c r="O339" i="7"/>
  <c r="O810" i="3"/>
  <c r="O48" i="17"/>
  <c r="O683" i="3"/>
  <c r="O77" i="6"/>
  <c r="O56" i="6"/>
  <c r="O156" i="26"/>
  <c r="O50" i="17"/>
  <c r="O49" i="17"/>
  <c r="O879" i="3"/>
  <c r="O271" i="9"/>
  <c r="O64" i="10"/>
  <c r="O36" i="18"/>
  <c r="O59" i="17"/>
  <c r="O203" i="18"/>
  <c r="O147" i="18"/>
  <c r="O107" i="18"/>
  <c r="O118" i="18"/>
  <c r="O771" i="3"/>
  <c r="O57" i="5"/>
  <c r="O234" i="18"/>
  <c r="O332" i="19"/>
  <c r="O62" i="18"/>
  <c r="O347" i="19"/>
  <c r="O40" i="17"/>
  <c r="O351" i="7"/>
  <c r="O681" i="3"/>
  <c r="O264" i="19"/>
  <c r="O236" i="18"/>
  <c r="O802" i="3"/>
  <c r="O112" i="6"/>
  <c r="O52" i="5"/>
  <c r="O102" i="18"/>
  <c r="O815" i="3"/>
  <c r="O467" i="7"/>
  <c r="O279" i="7"/>
  <c r="O104" i="18"/>
  <c r="O703" i="3"/>
  <c r="O211" i="18"/>
  <c r="O386" i="7"/>
  <c r="O86" i="6"/>
  <c r="O474" i="7"/>
  <c r="O48" i="6"/>
  <c r="O46" i="18"/>
  <c r="O27" i="18"/>
  <c r="O298" i="7"/>
  <c r="O73" i="6"/>
  <c r="O335" i="7"/>
  <c r="O746" i="3"/>
  <c r="O126" i="19"/>
  <c r="O87" i="18"/>
  <c r="O56" i="10"/>
  <c r="O356" i="19"/>
  <c r="O152" i="19"/>
  <c r="O747" i="3"/>
  <c r="O265" i="19"/>
  <c r="O848" i="3"/>
  <c r="O688" i="3"/>
  <c r="O51" i="17"/>
  <c r="O37" i="20"/>
  <c r="O49" i="10"/>
  <c r="O861" i="3"/>
  <c r="O42" i="18"/>
  <c r="O402" i="7"/>
  <c r="O149" i="19"/>
  <c r="O184" i="19"/>
  <c r="O827" i="3"/>
  <c r="O432" i="7"/>
  <c r="O715" i="3"/>
  <c r="O228" i="18"/>
  <c r="O159" i="18"/>
  <c r="O366" i="7"/>
  <c r="O773" i="3"/>
  <c r="O478" i="7"/>
  <c r="O34" i="17"/>
  <c r="O306" i="7"/>
  <c r="O114" i="20"/>
  <c r="O30" i="20"/>
  <c r="O866" i="3"/>
  <c r="O395" i="7"/>
  <c r="O151" i="19"/>
  <c r="O399" i="7"/>
  <c r="O714" i="3"/>
  <c r="O309" i="7"/>
  <c r="O748" i="3"/>
  <c r="O140" i="18"/>
  <c r="O105" i="6"/>
  <c r="O94" i="18"/>
  <c r="O378" i="7"/>
  <c r="O75" i="6"/>
  <c r="O104" i="10"/>
  <c r="O450" i="7"/>
  <c r="O840" i="3"/>
  <c r="O180" i="19"/>
  <c r="O456" i="7"/>
  <c r="O257" i="7"/>
  <c r="O458" i="7"/>
  <c r="O154" i="18"/>
  <c r="O57" i="17"/>
  <c r="O798" i="3"/>
  <c r="O302" i="7"/>
  <c r="O358" i="7"/>
  <c r="O53" i="17"/>
  <c r="O665" i="3"/>
  <c r="O233" i="18"/>
  <c r="O122" i="19"/>
  <c r="O165" i="18"/>
  <c r="O129" i="19"/>
  <c r="O31" i="20"/>
  <c r="O150" i="18"/>
  <c r="O41" i="10"/>
  <c r="O95" i="18"/>
  <c r="O114" i="18"/>
  <c r="O111" i="5"/>
  <c r="O804" i="3"/>
  <c r="O462" i="7"/>
  <c r="O338" i="19"/>
  <c r="O767" i="3"/>
  <c r="O55" i="5"/>
  <c r="O28" i="18"/>
  <c r="O830" i="3"/>
  <c r="O774" i="3"/>
  <c r="O443" i="7"/>
  <c r="O276" i="7"/>
  <c r="O50" i="18"/>
  <c r="O55" i="6"/>
  <c r="O276" i="19"/>
  <c r="O99" i="6"/>
  <c r="O705" i="3"/>
  <c r="O84" i="19"/>
  <c r="O336" i="7"/>
  <c r="O88" i="18"/>
  <c r="O73" i="10"/>
  <c r="O776" i="3"/>
  <c r="O333" i="19"/>
  <c r="O690" i="3"/>
  <c r="O58" i="18"/>
  <c r="O39" i="10"/>
  <c r="O170" i="18"/>
  <c r="O47" i="17"/>
  <c r="O108" i="18"/>
  <c r="O138" i="19"/>
  <c r="O292" i="7"/>
  <c r="O147" i="19"/>
  <c r="O797" i="3"/>
  <c r="O346" i="7"/>
  <c r="O678" i="3"/>
  <c r="O423" i="7"/>
  <c r="O61" i="19"/>
  <c r="O276" i="9"/>
  <c r="O50" i="10"/>
  <c r="O82" i="6"/>
  <c r="O857" i="3"/>
  <c r="O438" i="7"/>
  <c r="O43" i="17"/>
  <c r="O362" i="7"/>
  <c r="O333" i="7"/>
  <c r="O426" i="7"/>
  <c r="O783" i="3"/>
  <c r="O40" i="18"/>
  <c r="O272" i="19"/>
  <c r="O756" i="3"/>
  <c r="O765" i="3"/>
  <c r="O42" i="17"/>
  <c r="O71" i="19"/>
  <c r="O792" i="3"/>
  <c r="O53" i="26"/>
  <c r="O778" i="3"/>
  <c r="O68" i="6"/>
  <c r="O163" i="18"/>
  <c r="O350" i="19"/>
  <c r="O145" i="19"/>
  <c r="O75" i="19"/>
  <c r="O341" i="19"/>
  <c r="O216" i="18"/>
  <c r="O793" i="3"/>
  <c r="O98" i="10"/>
  <c r="O327" i="19"/>
  <c r="O674" i="3"/>
  <c r="O83" i="6"/>
  <c r="O210" i="26"/>
  <c r="O62" i="17"/>
  <c r="O36" i="20"/>
  <c r="O77" i="10"/>
  <c r="O42" i="10"/>
  <c r="O691" i="3"/>
  <c r="O755" i="3"/>
  <c r="O134" i="19"/>
  <c r="O104" i="5"/>
  <c r="O676" i="3"/>
  <c r="O869" i="3"/>
  <c r="O24" i="20"/>
  <c r="O148" i="18"/>
  <c r="O777" i="3"/>
  <c r="O51" i="18"/>
  <c r="O832" i="3"/>
  <c r="O60" i="6"/>
  <c r="O279" i="9"/>
  <c r="O672" i="3"/>
  <c r="O139" i="19"/>
  <c r="O267" i="7"/>
  <c r="O229" i="18"/>
  <c r="O471" i="7"/>
  <c r="O340" i="7"/>
  <c r="O258" i="7"/>
  <c r="O81" i="19"/>
  <c r="O39" i="18"/>
  <c r="O447" i="7"/>
  <c r="O166" i="18"/>
  <c r="O30" i="17"/>
  <c r="O788" i="3"/>
  <c r="O407" i="7"/>
  <c r="O455" i="7"/>
  <c r="O105" i="5"/>
  <c r="O78" i="19"/>
  <c r="O231" i="18"/>
  <c r="O36" i="17"/>
  <c r="O141" i="19"/>
  <c r="O34" i="18"/>
  <c r="O143" i="18"/>
  <c r="O735" i="3"/>
  <c r="O442" i="7"/>
  <c r="O464" i="7"/>
  <c r="O54" i="17"/>
  <c r="O51" i="5"/>
  <c r="O689" i="3"/>
  <c r="O69" i="6"/>
  <c r="O325" i="19"/>
  <c r="O135" i="19"/>
  <c r="O706" i="3"/>
  <c r="O85" i="6"/>
  <c r="O201" i="18"/>
  <c r="O142" i="18"/>
  <c r="O23" i="18"/>
  <c r="O846" i="3"/>
  <c r="O692" i="3"/>
  <c r="O31" i="17"/>
  <c r="O348" i="19"/>
  <c r="O666" i="3"/>
  <c r="O781" i="3"/>
  <c r="O310" i="7"/>
  <c r="O102" i="10"/>
  <c r="O357" i="7"/>
  <c r="O102" i="26"/>
  <c r="O357" i="19"/>
  <c r="O85" i="19"/>
  <c r="O210" i="18"/>
  <c r="O27" i="20"/>
  <c r="O56" i="18"/>
  <c r="O850" i="3"/>
  <c r="O753" i="3"/>
  <c r="O157" i="18"/>
  <c r="O851" i="3"/>
  <c r="O837" i="3"/>
  <c r="O766" i="3"/>
  <c r="O726" i="3"/>
  <c r="O46" i="10"/>
  <c r="O677" i="3"/>
  <c r="O43" i="10"/>
  <c r="O419" i="7"/>
  <c r="O225" i="18"/>
  <c r="O790" i="3"/>
  <c r="O324" i="19"/>
  <c r="O290" i="7"/>
  <c r="O800" i="3"/>
  <c r="O336" i="19"/>
  <c r="O353" i="19"/>
  <c r="O64" i="19"/>
  <c r="O330" i="19"/>
  <c r="O125" i="19"/>
  <c r="O95" i="10"/>
  <c r="O749" i="3"/>
  <c r="O60" i="5"/>
  <c r="O102" i="6"/>
  <c r="O256" i="7"/>
  <c r="O66" i="19"/>
  <c r="O83" i="19"/>
  <c r="O330" i="7"/>
  <c r="O118" i="20"/>
  <c r="O54" i="6"/>
  <c r="O856" i="3"/>
  <c r="O294" i="7"/>
  <c r="O28" i="20"/>
  <c r="O89" i="18"/>
  <c r="O93" i="18"/>
  <c r="O477" i="7"/>
  <c r="O836" i="3"/>
  <c r="O860" i="3"/>
  <c r="O111" i="20"/>
  <c r="O92" i="18"/>
  <c r="O59" i="10"/>
  <c r="O99" i="18"/>
  <c r="O146" i="19"/>
  <c r="O275" i="7"/>
  <c r="O110" i="20"/>
  <c r="O849" i="3"/>
  <c r="O267" i="19"/>
  <c r="O58" i="17"/>
  <c r="O470" i="7"/>
  <c r="O90" i="10"/>
  <c r="O872" i="3"/>
  <c r="O364" i="7"/>
  <c r="O266" i="7"/>
  <c r="O459" i="7"/>
  <c r="O472" i="7"/>
  <c r="O312" i="7"/>
  <c r="O826" i="3"/>
  <c r="O318" i="7"/>
  <c r="O424" i="7"/>
  <c r="O48" i="18"/>
  <c r="O308" i="7"/>
  <c r="O114" i="6"/>
  <c r="O103" i="10"/>
  <c r="O317" i="7"/>
  <c r="O669" i="3"/>
  <c r="O282" i="7"/>
  <c r="O311" i="7"/>
  <c r="O704" i="3"/>
  <c r="O785" i="3"/>
  <c r="O91" i="10"/>
  <c r="O148" i="19"/>
  <c r="O718" i="3"/>
  <c r="O769" i="3"/>
  <c r="O405" i="7"/>
  <c r="O670" i="3"/>
  <c r="O146" i="18"/>
  <c r="O133" i="19"/>
  <c r="O377" i="7"/>
  <c r="O332" i="7"/>
  <c r="O414" i="7"/>
  <c r="O353" i="7"/>
  <c r="O365" i="7"/>
  <c r="O45" i="10"/>
  <c r="O52" i="26"/>
  <c r="O61" i="10"/>
  <c r="O137" i="19"/>
  <c r="O80" i="6"/>
  <c r="O158" i="26"/>
  <c r="O862" i="3"/>
  <c r="O70" i="19"/>
  <c r="O92" i="10"/>
  <c r="O273" i="7"/>
  <c r="O828" i="3"/>
  <c r="O282" i="9"/>
  <c r="O101" i="10"/>
  <c r="O410" i="7"/>
  <c r="O268" i="19"/>
  <c r="O211" i="26"/>
  <c r="O55" i="18"/>
  <c r="O473" i="7"/>
  <c r="O212" i="26"/>
  <c r="O825" i="3"/>
  <c r="O45" i="18"/>
  <c r="O406" i="7"/>
  <c r="O782" i="3"/>
  <c r="O72" i="10"/>
  <c r="O105" i="10"/>
  <c r="O400" i="7"/>
  <c r="O168" i="18"/>
  <c r="O67" i="19"/>
  <c r="O829" i="3"/>
  <c r="O344" i="19"/>
  <c r="O354" i="7"/>
  <c r="O716" i="3"/>
  <c r="O389" i="7"/>
  <c r="O219" i="18"/>
  <c r="O286" i="7"/>
  <c r="O96" i="23"/>
  <c r="O304" i="7"/>
  <c r="O262" i="7"/>
  <c r="O383" i="7"/>
  <c r="O811" i="3"/>
  <c r="O392" i="7"/>
  <c r="O816" i="3"/>
  <c r="O38" i="20"/>
  <c r="O271" i="19"/>
  <c r="O56" i="5"/>
  <c r="O743" i="3"/>
  <c r="O284" i="9"/>
  <c r="O327" i="7"/>
  <c r="O280" i="7"/>
  <c r="O454" i="7"/>
  <c r="O321" i="7"/>
  <c r="O26" i="18"/>
  <c r="O35" i="18"/>
  <c r="O70" i="10"/>
  <c r="O297" i="7"/>
  <c r="O430" i="7"/>
  <c r="O103" i="11"/>
  <c r="O222" i="18"/>
  <c r="O673" i="3"/>
  <c r="O401" i="7"/>
  <c r="O130" i="19"/>
  <c r="O368" i="7"/>
  <c r="O693" i="3"/>
  <c r="O761" i="3"/>
  <c r="O59" i="19"/>
  <c r="O272" i="7"/>
  <c r="O338" i="7"/>
  <c r="O121" i="19"/>
  <c r="O161" i="18"/>
  <c r="O434" i="7"/>
  <c r="O396" i="7"/>
  <c r="O808" i="3"/>
  <c r="O269" i="19"/>
  <c r="O53" i="6"/>
  <c r="O44" i="10"/>
  <c r="O466" i="7"/>
  <c r="O44" i="17"/>
  <c r="O394" i="7"/>
  <c r="O305" i="7"/>
  <c r="O381" i="7"/>
  <c r="O270" i="9"/>
  <c r="O55" i="10"/>
  <c r="O209" i="18"/>
  <c r="O107" i="5"/>
  <c r="O204" i="18"/>
  <c r="O363" i="7"/>
  <c r="O278" i="7"/>
  <c r="O118" i="19"/>
  <c r="O59" i="5"/>
  <c r="O413" i="7"/>
  <c r="O380" i="7"/>
  <c r="O33" i="20"/>
  <c r="O153" i="18"/>
  <c r="O300" i="7"/>
  <c r="O315" i="7"/>
  <c r="O41" i="17"/>
  <c r="O277" i="9"/>
  <c r="O331" i="19"/>
  <c r="O110" i="5"/>
  <c r="O429" i="7"/>
  <c r="O232" i="18"/>
  <c r="O283" i="19"/>
  <c r="O465" i="7"/>
  <c r="O87" i="6"/>
  <c r="O106" i="10"/>
  <c r="O83" i="18"/>
  <c r="O80" i="19"/>
  <c r="O105" i="18"/>
  <c r="O412" i="7"/>
  <c r="O263" i="7"/>
  <c r="O111" i="6"/>
  <c r="O187" i="19"/>
  <c r="O104" i="6"/>
  <c r="O868" i="3"/>
  <c r="O844" i="3"/>
  <c r="O871" i="3"/>
  <c r="O214" i="26"/>
  <c r="O739" i="3"/>
  <c r="O101" i="6"/>
  <c r="O404" i="7"/>
  <c r="O420" i="7"/>
  <c r="O33" i="18"/>
  <c r="O280" i="19"/>
  <c r="O72" i="6"/>
  <c r="O819" i="3"/>
  <c r="O387" i="7"/>
  <c r="O360" i="7"/>
  <c r="O284" i="7"/>
  <c r="O288" i="7"/>
  <c r="O100" i="23"/>
  <c r="O370" i="7"/>
  <c r="O29" i="17"/>
  <c r="O382" i="7"/>
  <c r="O762" i="3"/>
  <c r="O293" i="7"/>
  <c r="O55" i="26"/>
  <c r="O60" i="19"/>
  <c r="O160" i="26"/>
  <c r="O775" i="3"/>
  <c r="O173" i="18"/>
  <c r="O48" i="10"/>
  <c r="O350" i="7"/>
  <c r="O59" i="6"/>
  <c r="O65" i="6"/>
  <c r="O45" i="17"/>
  <c r="O113" i="5"/>
  <c r="O44" i="18"/>
  <c r="O32" i="17"/>
  <c r="O453" i="7"/>
  <c r="O53" i="18"/>
  <c r="O70" i="6"/>
  <c r="O64" i="5"/>
  <c r="O71" i="6"/>
  <c r="O686" i="3"/>
  <c r="O779" i="3"/>
  <c r="O105" i="26"/>
  <c r="O94" i="10"/>
  <c r="O348" i="7"/>
  <c r="O418" i="7"/>
  <c r="O390" i="7"/>
  <c r="O356" i="7"/>
  <c r="O479" i="7"/>
  <c r="O299" i="7"/>
  <c r="O131" i="19"/>
  <c r="O96" i="10"/>
  <c r="O141" i="18"/>
  <c r="O303" i="7"/>
  <c r="O64" i="6"/>
  <c r="O291" i="7"/>
  <c r="O347" i="7"/>
  <c r="O323" i="7"/>
  <c r="O349" i="19"/>
  <c r="O61" i="5"/>
  <c r="O345" i="7"/>
  <c r="O328" i="7"/>
  <c r="O699" i="3"/>
  <c r="O53" i="5"/>
  <c r="O106" i="6"/>
  <c r="O326" i="7"/>
  <c r="O709" i="3"/>
  <c r="O842" i="3"/>
  <c r="O712" i="3"/>
  <c r="O85" i="18"/>
  <c r="O417" i="7"/>
  <c r="O128" i="19"/>
  <c r="O710" i="3"/>
  <c r="O268" i="7"/>
  <c r="O254" i="7"/>
  <c r="O282" i="19"/>
  <c r="O684" i="3"/>
  <c r="O476" i="7"/>
  <c r="O784" i="3"/>
  <c r="O449" i="7"/>
  <c r="O398" i="7"/>
  <c r="O452" i="7"/>
  <c r="O340" i="19"/>
  <c r="O341" i="7"/>
  <c r="O428" i="7"/>
  <c r="O172" i="18"/>
  <c r="O38" i="17"/>
  <c r="O279" i="19"/>
  <c r="O480" i="7"/>
  <c r="O103" i="6"/>
  <c r="O461" i="7"/>
  <c r="O270" i="7"/>
  <c r="O99" i="23"/>
  <c r="O736" i="3"/>
  <c r="O376" i="7"/>
  <c r="O114" i="5"/>
  <c r="O119" i="20"/>
  <c r="O86" i="19"/>
  <c r="O274" i="7"/>
  <c r="O182" i="19"/>
  <c r="O113" i="18"/>
  <c r="O79" i="19"/>
  <c r="O316" i="7"/>
  <c r="O754" i="3"/>
  <c r="O93" i="10"/>
  <c r="O61" i="6"/>
  <c r="O700" i="3"/>
  <c r="O97" i="10"/>
  <c r="O59" i="18"/>
  <c r="O824" i="3"/>
  <c r="O174" i="18"/>
  <c r="O171" i="18"/>
  <c r="O116" i="19"/>
  <c r="O342" i="7"/>
  <c r="O132" i="19"/>
  <c r="O287" i="7"/>
  <c r="O100" i="10"/>
  <c r="O758" i="3"/>
  <c r="O283" i="9"/>
  <c r="O436" i="7"/>
  <c r="O286" i="9"/>
  <c r="O624" i="3"/>
  <c r="O599" i="3"/>
  <c r="O553" i="3"/>
  <c r="O583" i="11"/>
  <c r="O88" i="19"/>
  <c r="O81" i="18"/>
  <c r="O38" i="10"/>
  <c r="O656" i="3"/>
  <c r="O545" i="3"/>
  <c r="O629" i="3"/>
  <c r="O108" i="20"/>
  <c r="O46" i="6"/>
  <c r="O249" i="7"/>
  <c r="O1066" i="3"/>
  <c r="O651" i="3"/>
  <c r="O102" i="11"/>
  <c r="O616" i="3"/>
  <c r="O49" i="5"/>
  <c r="O24" i="17"/>
  <c r="O48" i="5"/>
  <c r="O581" i="3"/>
  <c r="O40" i="20"/>
  <c r="O1072" i="3"/>
  <c r="O113" i="19"/>
  <c r="O109" i="20"/>
  <c r="O612" i="3"/>
  <c r="O645" i="3"/>
  <c r="O101" i="11"/>
  <c r="O650" i="3"/>
  <c r="O322" i="19"/>
  <c r="O47" i="5"/>
  <c r="O654" i="3"/>
  <c r="O547" i="3"/>
  <c r="O107" i="26"/>
  <c r="O560" i="3"/>
  <c r="O114" i="19"/>
  <c r="O548" i="3"/>
  <c r="O584" i="3"/>
  <c r="O642" i="3"/>
  <c r="O594" i="3"/>
  <c r="O598" i="3"/>
  <c r="O647" i="3"/>
  <c r="O539" i="3"/>
  <c r="O510" i="11"/>
  <c r="O215" i="26"/>
  <c r="O463" i="11"/>
  <c r="O572" i="3"/>
  <c r="O601" i="3"/>
  <c r="O197" i="18"/>
  <c r="O138" i="18"/>
  <c r="O107" i="10"/>
  <c r="O646" i="3"/>
  <c r="O638" i="3"/>
  <c r="O585" i="3"/>
  <c r="O56" i="26"/>
  <c r="O550" i="3"/>
  <c r="O25" i="17"/>
  <c r="O565" i="3"/>
  <c r="O35" i="10"/>
  <c r="O609" i="3"/>
  <c r="O37" i="10"/>
  <c r="O239" i="7"/>
  <c r="O635" i="3"/>
  <c r="O236" i="7"/>
  <c r="O1077" i="3"/>
  <c r="O644" i="3"/>
  <c r="O101" i="23"/>
  <c r="O115" i="6"/>
  <c r="O24" i="18"/>
  <c r="O648" i="3"/>
  <c r="O625" i="3"/>
  <c r="O538" i="3"/>
  <c r="O115" i="19"/>
  <c r="O116" i="6"/>
  <c r="O56" i="19"/>
  <c r="O161" i="26"/>
  <c r="O626" i="3"/>
  <c r="O86" i="2"/>
  <c r="O269" i="9"/>
  <c r="O554" i="3"/>
  <c r="O557" i="3"/>
  <c r="O652" i="3"/>
  <c r="O658" i="3"/>
  <c r="O58" i="19"/>
  <c r="O102" i="23"/>
  <c r="O101" i="5"/>
  <c r="O1078" i="3"/>
  <c r="O238" i="7"/>
  <c r="O552" i="3"/>
  <c r="O66" i="5"/>
  <c r="O579" i="3"/>
  <c r="O577" i="3"/>
  <c r="O600" i="3"/>
  <c r="O84" i="2"/>
  <c r="O252" i="7"/>
  <c r="O87" i="2"/>
  <c r="O639" i="3"/>
  <c r="O590" i="3"/>
  <c r="O583" i="3"/>
  <c r="O640" i="3"/>
  <c r="O543" i="3"/>
  <c r="O321" i="19"/>
  <c r="O1075" i="3"/>
  <c r="O536" i="3"/>
  <c r="O100" i="5"/>
  <c r="O107" i="11"/>
  <c r="O244" i="7"/>
  <c r="O28" i="2"/>
  <c r="O157" i="11"/>
  <c r="O237" i="7"/>
  <c r="O606" i="3"/>
  <c r="O630" i="3"/>
  <c r="O460" i="11"/>
  <c r="O106" i="26"/>
  <c r="O108" i="11"/>
  <c r="O559" i="3"/>
  <c r="O580" i="3"/>
  <c r="O605" i="3"/>
  <c r="O320" i="19"/>
  <c r="O246" i="7"/>
  <c r="O108" i="10"/>
  <c r="O541" i="3"/>
  <c r="O570" i="3"/>
  <c r="O561" i="3"/>
  <c r="O580" i="11"/>
  <c r="O1074" i="3"/>
  <c r="O589" i="3"/>
  <c r="O139" i="18"/>
  <c r="O1069" i="3"/>
  <c r="O27" i="2"/>
  <c r="O591" i="3"/>
  <c r="O151" i="11"/>
  <c r="O1073" i="3"/>
  <c r="O608" i="3"/>
  <c r="O105" i="11"/>
  <c r="O643" i="3"/>
  <c r="O628" i="3"/>
  <c r="O582" i="3"/>
  <c r="O576" i="3"/>
  <c r="O47" i="6"/>
  <c r="O284" i="19"/>
  <c r="O121" i="20"/>
  <c r="O613" i="3"/>
  <c r="O568" i="3"/>
  <c r="O199" i="18"/>
  <c r="O36" i="10"/>
  <c r="O623" i="3"/>
  <c r="O569" i="3"/>
  <c r="O242" i="7"/>
  <c r="O245" i="7"/>
  <c r="O571" i="3"/>
  <c r="O39" i="20"/>
  <c r="O216" i="26"/>
  <c r="O602" i="3"/>
  <c r="O267" i="9"/>
  <c r="O25" i="18"/>
  <c r="O614" i="3"/>
  <c r="O564" i="3"/>
  <c r="O607" i="3"/>
  <c r="O99" i="5"/>
  <c r="O25" i="2"/>
  <c r="O595" i="3"/>
  <c r="O1068" i="3"/>
  <c r="O549" i="3"/>
  <c r="O615" i="3"/>
  <c r="O636" i="3"/>
  <c r="O641" i="3"/>
  <c r="O587" i="3"/>
  <c r="O563" i="3"/>
  <c r="O240" i="7"/>
  <c r="O653" i="3"/>
  <c r="O285" i="19"/>
  <c r="O88" i="10"/>
  <c r="O137" i="18"/>
  <c r="O98" i="6"/>
  <c r="O107" i="20"/>
  <c r="O551" i="3"/>
  <c r="O189" i="19"/>
  <c r="O619" i="3"/>
  <c r="O657" i="3"/>
  <c r="O655" i="3"/>
  <c r="O120" i="20"/>
  <c r="O611" i="3"/>
  <c r="O597" i="3"/>
  <c r="O542" i="3"/>
  <c r="O663" i="3"/>
  <c r="O79" i="18"/>
  <c r="O588" i="3"/>
  <c r="O558" i="3"/>
  <c r="O251" i="7"/>
  <c r="O26" i="2"/>
  <c r="O87" i="10"/>
  <c r="O154" i="11"/>
  <c r="O268" i="9"/>
  <c r="O592" i="3"/>
  <c r="O176" i="19"/>
  <c r="O546" i="3"/>
  <c r="O109" i="11"/>
  <c r="O155" i="11"/>
  <c r="O620" i="3"/>
  <c r="O26" i="20"/>
  <c r="O627" i="3"/>
  <c r="O618" i="3"/>
  <c r="O562" i="3"/>
  <c r="O574" i="3"/>
  <c r="O162" i="26"/>
  <c r="O1071" i="3"/>
  <c r="O540" i="3"/>
  <c r="O661" i="3"/>
  <c r="O593" i="3"/>
  <c r="O87" i="19"/>
  <c r="O45" i="6"/>
  <c r="O567" i="3"/>
  <c r="O556" i="3"/>
  <c r="O604" i="3"/>
  <c r="O617" i="3"/>
  <c r="O57" i="19"/>
  <c r="O513" i="11"/>
  <c r="O573" i="3"/>
  <c r="O96" i="6"/>
  <c r="O177" i="19"/>
  <c r="O537" i="3"/>
  <c r="O115" i="5"/>
  <c r="O610" i="3"/>
  <c r="O188" i="19"/>
  <c r="O544" i="3"/>
  <c r="O25" i="20"/>
  <c r="O243" i="7"/>
  <c r="O659" i="3"/>
  <c r="O586" i="3"/>
  <c r="O248" i="7"/>
  <c r="O198" i="18"/>
  <c r="O1076" i="3"/>
  <c r="O649" i="3"/>
  <c r="O97" i="6"/>
  <c r="O634" i="3"/>
  <c r="O1065" i="3"/>
  <c r="O104" i="11"/>
  <c r="O637" i="3"/>
  <c r="O1070" i="3"/>
  <c r="O603" i="3"/>
  <c r="O83" i="2"/>
  <c r="O57" i="26"/>
  <c r="O575" i="3"/>
  <c r="O660" i="3"/>
  <c r="O80" i="18"/>
  <c r="O632" i="3"/>
  <c r="O65" i="5"/>
  <c r="O596" i="3"/>
  <c r="O89" i="10"/>
  <c r="O116" i="5"/>
  <c r="O85" i="2"/>
  <c r="O100" i="11"/>
  <c r="O555" i="3"/>
  <c r="O622" i="3"/>
  <c r="O566" i="3"/>
  <c r="O1067" i="3"/>
  <c r="O26" i="17"/>
  <c r="O631" i="3"/>
  <c r="O633" i="3"/>
  <c r="O250" i="7"/>
  <c r="O178" i="19"/>
  <c r="O662" i="3"/>
  <c r="O24" i="2"/>
  <c r="O285" i="9"/>
  <c r="O99" i="3"/>
  <c r="O43" i="5"/>
  <c r="O65" i="7"/>
  <c r="O84" i="3"/>
  <c r="O85" i="3"/>
  <c r="O98" i="3"/>
  <c r="O57" i="11"/>
  <c r="O81" i="3"/>
  <c r="O59" i="7"/>
  <c r="O202" i="9"/>
  <c r="O79" i="3"/>
  <c r="O32" i="10"/>
  <c r="O87" i="3"/>
  <c r="O69" i="7"/>
  <c r="O51" i="11"/>
  <c r="O37" i="6"/>
  <c r="O46" i="25"/>
  <c r="O46" i="11"/>
  <c r="O100" i="3"/>
  <c r="O86" i="3"/>
  <c r="O78" i="3"/>
  <c r="O131" i="25"/>
  <c r="O43" i="11"/>
  <c r="O207" i="9"/>
  <c r="O67" i="7"/>
  <c r="O66" i="7"/>
  <c r="O42" i="6"/>
  <c r="O54" i="11"/>
  <c r="O56" i="11"/>
  <c r="O31" i="10"/>
  <c r="O48" i="11"/>
  <c r="O50" i="11"/>
  <c r="O71" i="3"/>
  <c r="O70" i="3"/>
  <c r="O30" i="10"/>
  <c r="O63" i="11"/>
  <c r="O66" i="11"/>
  <c r="O60" i="7"/>
  <c r="O91" i="3"/>
  <c r="O92" i="3"/>
  <c r="O89" i="3"/>
  <c r="O36" i="6"/>
  <c r="O93" i="3"/>
  <c r="O61" i="11"/>
  <c r="O94" i="3"/>
  <c r="O62" i="11"/>
  <c r="O58" i="11"/>
  <c r="O206" i="9"/>
  <c r="O208" i="9"/>
  <c r="O41" i="11"/>
  <c r="O42" i="11"/>
  <c r="O60" i="11"/>
  <c r="O44" i="11"/>
  <c r="O53" i="11"/>
  <c r="O33" i="10"/>
  <c r="O204" i="9"/>
  <c r="O62" i="7"/>
  <c r="O203" i="9"/>
  <c r="O40" i="6"/>
  <c r="O97" i="3"/>
  <c r="O71" i="7"/>
  <c r="O205" i="9"/>
  <c r="O39" i="6"/>
  <c r="O63" i="7"/>
  <c r="O83" i="3"/>
  <c r="O43" i="6"/>
  <c r="O45" i="11"/>
  <c r="O47" i="11"/>
  <c r="O68" i="7"/>
  <c r="O61" i="7"/>
  <c r="O41" i="6"/>
  <c r="O80" i="3"/>
  <c r="O134" i="25"/>
  <c r="O44" i="25"/>
  <c r="O34" i="10"/>
  <c r="O29" i="10"/>
  <c r="O72" i="7"/>
  <c r="O90" i="3"/>
  <c r="O58" i="7"/>
  <c r="O76" i="3"/>
  <c r="O132" i="25"/>
  <c r="O64" i="11"/>
  <c r="O55" i="11"/>
  <c r="O95" i="3"/>
  <c r="O73" i="3"/>
  <c r="O65" i="11"/>
  <c r="O70" i="7"/>
  <c r="O57" i="7"/>
  <c r="O72" i="3"/>
  <c r="O43" i="25"/>
  <c r="O40" i="11"/>
  <c r="O42" i="5"/>
  <c r="O96" i="3"/>
  <c r="O52" i="11"/>
  <c r="O88" i="3"/>
  <c r="O38" i="6"/>
  <c r="O75" i="3"/>
  <c r="O135" i="25"/>
  <c r="O45" i="25"/>
  <c r="O133" i="25"/>
  <c r="O82" i="3"/>
  <c r="O74" i="3"/>
  <c r="O73" i="7"/>
  <c r="O44" i="5"/>
  <c r="O59" i="11"/>
  <c r="O64" i="7"/>
  <c r="O41" i="5"/>
  <c r="O49" i="11"/>
  <c r="O77" i="3"/>
  <c r="N218" i="26" l="1"/>
  <c r="N164" i="26"/>
  <c r="N104" i="23"/>
  <c r="N58" i="26"/>
  <c r="N109" i="26"/>
  <c r="N286" i="19"/>
  <c r="N699" i="11"/>
  <c r="N923" i="7"/>
  <c r="N900" i="11"/>
  <c r="N287" i="9"/>
  <c r="N109" i="10"/>
  <c r="N635" i="7"/>
  <c r="N118" i="6"/>
  <c r="N1088" i="3"/>
  <c r="N118" i="5"/>
  <c r="N68" i="5"/>
  <c r="N41" i="20"/>
  <c r="N123" i="20"/>
  <c r="N157" i="9"/>
  <c r="N191" i="19"/>
  <c r="N90" i="19"/>
  <c r="N218" i="9"/>
  <c r="N89" i="2"/>
  <c r="N30" i="2"/>
  <c r="N587" i="11"/>
  <c r="N517" i="11"/>
  <c r="N467" i="11"/>
  <c r="N110" i="11"/>
  <c r="N159" i="11"/>
  <c r="N103" i="9"/>
  <c r="N49" i="9"/>
  <c r="O30" i="2"/>
  <c r="O584" i="11"/>
  <c r="O29" i="2"/>
  <c r="O464" i="11"/>
  <c r="O587" i="11"/>
  <c r="O163" i="26"/>
  <c r="O117" i="6"/>
  <c r="O48" i="9"/>
  <c r="O515" i="11"/>
  <c r="O466" i="11"/>
  <c r="O89" i="19"/>
  <c r="O286" i="19"/>
  <c r="O110" i="11"/>
  <c r="O516" i="11"/>
  <c r="O117" i="5"/>
  <c r="O585" i="11"/>
  <c r="O103" i="9"/>
  <c r="O157" i="9"/>
  <c r="O467" i="11"/>
  <c r="O158" i="11"/>
  <c r="O514" i="11"/>
  <c r="O122" i="20"/>
  <c r="O46" i="9"/>
  <c r="O67" i="5"/>
  <c r="O102" i="9"/>
  <c r="O47" i="9"/>
  <c r="O159" i="11"/>
  <c r="O58" i="26"/>
  <c r="O109" i="10"/>
  <c r="O49" i="9"/>
  <c r="O155" i="9"/>
  <c r="O89" i="2"/>
  <c r="O215" i="9"/>
  <c r="O218" i="9"/>
  <c r="O41" i="20"/>
  <c r="O156" i="11"/>
  <c r="O465" i="11"/>
  <c r="O156" i="9"/>
  <c r="O287" i="9"/>
  <c r="O586" i="11"/>
  <c r="O190" i="19"/>
  <c r="O154" i="9"/>
  <c r="O517" i="11"/>
  <c r="O101" i="9"/>
  <c r="O216" i="9"/>
  <c r="O100" i="9"/>
  <c r="O103" i="23"/>
  <c r="O217" i="26"/>
  <c r="O88" i="2"/>
  <c r="O108" i="26"/>
  <c r="O217" i="9"/>
  <c r="N219" i="26" l="1"/>
  <c r="N165" i="26"/>
  <c r="N105" i="23"/>
  <c r="N59" i="26"/>
  <c r="N110" i="26"/>
  <c r="N287" i="19"/>
  <c r="N700" i="11"/>
  <c r="N924" i="7"/>
  <c r="N901" i="11"/>
  <c r="N288" i="9"/>
  <c r="N110" i="10"/>
  <c r="N636" i="7"/>
  <c r="N119" i="6"/>
  <c r="N1089" i="3"/>
  <c r="N119" i="5"/>
  <c r="N69" i="5"/>
  <c r="N42" i="20"/>
  <c r="N124" i="20"/>
  <c r="N158" i="9"/>
  <c r="N192" i="19"/>
  <c r="N91" i="19"/>
  <c r="N92" i="19" s="1"/>
  <c r="N219" i="9"/>
  <c r="N31" i="2"/>
  <c r="N90" i="2"/>
  <c r="N588" i="11"/>
  <c r="N518" i="11"/>
  <c r="N468" i="11"/>
  <c r="N111" i="11"/>
  <c r="N160" i="11"/>
  <c r="N104" i="9"/>
  <c r="N50" i="9"/>
  <c r="O287" i="19"/>
  <c r="O219" i="9"/>
  <c r="O68" i="5"/>
  <c r="O118" i="5"/>
  <c r="O160" i="11"/>
  <c r="O110" i="10"/>
  <c r="O588" i="11"/>
  <c r="O50" i="9"/>
  <c r="O92" i="19"/>
  <c r="O90" i="2"/>
  <c r="O104" i="9"/>
  <c r="O109" i="26"/>
  <c r="O31" i="2"/>
  <c r="O42" i="20"/>
  <c r="O218" i="26"/>
  <c r="O59" i="26"/>
  <c r="O111" i="11"/>
  <c r="O104" i="23"/>
  <c r="O518" i="11"/>
  <c r="O468" i="11"/>
  <c r="O158" i="9"/>
  <c r="O164" i="26"/>
  <c r="O90" i="19"/>
  <c r="O118" i="6"/>
  <c r="O191" i="19"/>
  <c r="O123" i="20"/>
  <c r="O288" i="9"/>
  <c r="N220" i="26" l="1"/>
  <c r="N166" i="26"/>
  <c r="N106" i="23"/>
  <c r="N60" i="26"/>
  <c r="N111" i="26"/>
  <c r="N288" i="19"/>
  <c r="N701" i="11"/>
  <c r="N159" i="9"/>
  <c r="N925" i="7"/>
  <c r="N902" i="11"/>
  <c r="N289" i="9"/>
  <c r="N111" i="10"/>
  <c r="N637" i="7"/>
  <c r="N120" i="6"/>
  <c r="N1090" i="3"/>
  <c r="N120" i="5"/>
  <c r="N70" i="5"/>
  <c r="N43" i="20"/>
  <c r="N125" i="20"/>
  <c r="N193" i="19"/>
  <c r="N93" i="19"/>
  <c r="N220" i="9"/>
  <c r="N91" i="2"/>
  <c r="N32" i="2"/>
  <c r="N589" i="11"/>
  <c r="N519" i="11"/>
  <c r="N469" i="11"/>
  <c r="N112" i="11"/>
  <c r="N161" i="11"/>
  <c r="N160" i="9"/>
  <c r="N105" i="9"/>
  <c r="N51" i="9"/>
  <c r="O219" i="26"/>
  <c r="O111" i="10"/>
  <c r="O519" i="11"/>
  <c r="O69" i="5"/>
  <c r="O192" i="19"/>
  <c r="O469" i="11"/>
  <c r="O105" i="23"/>
  <c r="O160" i="9"/>
  <c r="O51" i="9"/>
  <c r="O119" i="6"/>
  <c r="O60" i="26"/>
  <c r="O105" i="9"/>
  <c r="O32" i="2"/>
  <c r="O91" i="2"/>
  <c r="O165" i="26"/>
  <c r="O112" i="11"/>
  <c r="O43" i="20"/>
  <c r="O161" i="11"/>
  <c r="O93" i="19"/>
  <c r="O220" i="9"/>
  <c r="O119" i="5"/>
  <c r="O110" i="26"/>
  <c r="O124" i="20"/>
  <c r="O289" i="9"/>
  <c r="O159" i="9"/>
  <c r="O288" i="19"/>
  <c r="O589" i="11"/>
  <c r="O91" i="19"/>
  <c r="O76" i="26"/>
  <c r="N221" i="26" l="1"/>
  <c r="N167" i="26"/>
  <c r="N107" i="23"/>
  <c r="N61" i="26"/>
  <c r="N112" i="26"/>
  <c r="N289" i="19"/>
  <c r="N702" i="11"/>
  <c r="N639" i="7"/>
  <c r="N640" i="7" s="1"/>
  <c r="N926" i="7"/>
  <c r="N903" i="11"/>
  <c r="N290" i="9"/>
  <c r="N112" i="10"/>
  <c r="N121" i="6"/>
  <c r="N1091" i="3"/>
  <c r="N121" i="5"/>
  <c r="N71" i="5"/>
  <c r="N44" i="20"/>
  <c r="N126" i="20"/>
  <c r="N194" i="19"/>
  <c r="N94" i="19"/>
  <c r="N221" i="9"/>
  <c r="N33" i="2"/>
  <c r="N92" i="2"/>
  <c r="N590" i="11"/>
  <c r="N520" i="11"/>
  <c r="N470" i="11"/>
  <c r="N113" i="11"/>
  <c r="N162" i="11"/>
  <c r="N161" i="9"/>
  <c r="N106" i="9"/>
  <c r="N52" i="9"/>
  <c r="O221" i="9"/>
  <c r="O94" i="20"/>
  <c r="O22" i="2"/>
  <c r="O1058" i="3"/>
  <c r="O92" i="2"/>
  <c r="O1048" i="3"/>
  <c r="O21" i="2"/>
  <c r="O1034" i="3"/>
  <c r="O161" i="9"/>
  <c r="O516" i="3"/>
  <c r="O527" i="3"/>
  <c r="O507" i="3"/>
  <c r="O1056" i="3"/>
  <c r="O135" i="18"/>
  <c r="O21" i="20"/>
  <c r="O914" i="7"/>
  <c r="O289" i="19"/>
  <c r="O211" i="9"/>
  <c r="O1039" i="3"/>
  <c r="O152" i="11"/>
  <c r="O193" i="19"/>
  <c r="O916" i="7"/>
  <c r="O462" i="11"/>
  <c r="O134" i="18"/>
  <c r="O120" i="6"/>
  <c r="O80" i="2"/>
  <c r="O95" i="6"/>
  <c r="O22" i="18"/>
  <c r="O501" i="3"/>
  <c r="O61" i="26"/>
  <c r="O150" i="9"/>
  <c r="O45" i="9"/>
  <c r="O94" i="19"/>
  <c r="O895" i="11"/>
  <c r="O1082" i="3"/>
  <c r="O194" i="18"/>
  <c r="O106" i="9"/>
  <c r="O23" i="2"/>
  <c r="O515" i="3"/>
  <c r="O44" i="9"/>
  <c r="O70" i="5"/>
  <c r="O1020" i="3"/>
  <c r="O42" i="9"/>
  <c r="O98" i="9"/>
  <c r="O212" i="9"/>
  <c r="O513" i="3"/>
  <c r="O1033" i="3"/>
  <c r="O503" i="3"/>
  <c r="O1029" i="3"/>
  <c r="O152" i="9"/>
  <c r="O496" i="3"/>
  <c r="O266" i="9"/>
  <c r="O99" i="11"/>
  <c r="O508" i="3"/>
  <c r="O495" i="3"/>
  <c r="O521" i="3"/>
  <c r="O1055" i="3"/>
  <c r="O104" i="20"/>
  <c r="O461" i="11"/>
  <c r="O105" i="20"/>
  <c r="O1035" i="3"/>
  <c r="O95" i="20"/>
  <c r="O530" i="3"/>
  <c r="O494" i="3"/>
  <c r="O532" i="3"/>
  <c r="O519" i="3"/>
  <c r="O120" i="5"/>
  <c r="O518" i="3"/>
  <c r="O1042" i="3"/>
  <c r="O1037" i="3"/>
  <c r="O1051" i="3"/>
  <c r="O1031" i="3"/>
  <c r="O233" i="7"/>
  <c r="O1044" i="3"/>
  <c r="O151" i="9"/>
  <c r="O1026" i="3"/>
  <c r="O77" i="18"/>
  <c r="O509" i="3"/>
  <c r="O505" i="3"/>
  <c r="O510" i="3"/>
  <c r="O20" i="18"/>
  <c r="O22" i="17"/>
  <c r="O166" i="26"/>
  <c r="O534" i="3"/>
  <c r="O1027" i="3"/>
  <c r="O23" i="20"/>
  <c r="O526" i="3"/>
  <c r="O522" i="3"/>
  <c r="O512" i="3"/>
  <c r="O1022" i="3"/>
  <c r="O23" i="17"/>
  <c r="O1081" i="3"/>
  <c r="O113" i="11"/>
  <c r="O43" i="9"/>
  <c r="O493" i="3"/>
  <c r="O509" i="11"/>
  <c r="O1049" i="3"/>
  <c r="O173" i="19"/>
  <c r="O893" i="11"/>
  <c r="O46" i="5"/>
  <c r="O459" i="11"/>
  <c r="O290" i="9"/>
  <c r="O214" i="9"/>
  <c r="O504" i="3"/>
  <c r="O506" i="3"/>
  <c r="O1047" i="3"/>
  <c r="O531" i="3"/>
  <c r="O523" i="3"/>
  <c r="O1057" i="3"/>
  <c r="O520" i="3"/>
  <c r="O81" i="2"/>
  <c r="O892" i="11"/>
  <c r="O1040" i="3"/>
  <c r="O1050" i="3"/>
  <c r="O317" i="19"/>
  <c r="O1025" i="3"/>
  <c r="O1024" i="3"/>
  <c r="O150" i="11"/>
  <c r="O232" i="7"/>
  <c r="O1062" i="3"/>
  <c r="O55" i="19"/>
  <c r="O1083" i="3"/>
  <c r="O112" i="19"/>
  <c r="O82" i="2"/>
  <c r="O528" i="3"/>
  <c r="O533" i="3"/>
  <c r="O153" i="9"/>
  <c r="O894" i="11"/>
  <c r="O86" i="10"/>
  <c r="O1030" i="3"/>
  <c r="O500" i="3"/>
  <c r="O1060" i="3"/>
  <c r="O318" i="19"/>
  <c r="O582" i="11"/>
  <c r="O514" i="3"/>
  <c r="O106" i="20"/>
  <c r="O97" i="9"/>
  <c r="O1054" i="3"/>
  <c r="O98" i="5"/>
  <c r="O111" i="19"/>
  <c r="O76" i="18"/>
  <c r="O1028" i="3"/>
  <c r="O524" i="3"/>
  <c r="O502" i="3"/>
  <c r="O915" i="7"/>
  <c r="O22" i="20"/>
  <c r="O581" i="11"/>
  <c r="O220" i="26"/>
  <c r="O153" i="11"/>
  <c r="O511" i="3"/>
  <c r="O499" i="3"/>
  <c r="O21" i="17"/>
  <c r="O195" i="18"/>
  <c r="O525" i="3"/>
  <c r="O110" i="19"/>
  <c r="O1036" i="3"/>
  <c r="O590" i="11"/>
  <c r="O234" i="7"/>
  <c r="O1043" i="3"/>
  <c r="O106" i="23"/>
  <c r="O111" i="26"/>
  <c r="O1023" i="3"/>
  <c r="O196" i="18"/>
  <c r="O319" i="19"/>
  <c r="O1021" i="3"/>
  <c r="O1041" i="3"/>
  <c r="O1038" i="3"/>
  <c r="O52" i="9"/>
  <c r="O1059" i="3"/>
  <c r="O175" i="19"/>
  <c r="O517" i="3"/>
  <c r="O1080" i="3"/>
  <c r="O44" i="20"/>
  <c r="O579" i="11"/>
  <c r="O913" i="7"/>
  <c r="O470" i="11"/>
  <c r="O125" i="20"/>
  <c r="O78" i="18"/>
  <c r="O99" i="9"/>
  <c r="O162" i="11"/>
  <c r="O33" i="2"/>
  <c r="O917" i="7"/>
  <c r="O1046" i="3"/>
  <c r="O231" i="7"/>
  <c r="O520" i="11"/>
  <c r="O512" i="11"/>
  <c r="O1045" i="3"/>
  <c r="O174" i="19"/>
  <c r="O112" i="10"/>
  <c r="O918" i="7"/>
  <c r="O1061" i="3"/>
  <c r="O136" i="18"/>
  <c r="O498" i="3"/>
  <c r="O1052" i="3"/>
  <c r="O529" i="3"/>
  <c r="O96" i="9"/>
  <c r="O1079" i="3"/>
  <c r="O1053" i="3"/>
  <c r="O44" i="6"/>
  <c r="O1063" i="3"/>
  <c r="O54" i="19"/>
  <c r="O93" i="20"/>
  <c r="O213" i="9"/>
  <c r="O497" i="3"/>
  <c r="O21" i="18"/>
  <c r="O230" i="7"/>
  <c r="O511" i="11"/>
  <c r="O1032" i="3"/>
  <c r="N222" i="26" l="1"/>
  <c r="N168" i="26"/>
  <c r="N108" i="23"/>
  <c r="N62" i="26"/>
  <c r="N113" i="26"/>
  <c r="N290" i="19"/>
  <c r="N703" i="11"/>
  <c r="N927" i="7"/>
  <c r="N904" i="11"/>
  <c r="N291" i="9"/>
  <c r="N113" i="10"/>
  <c r="N641" i="7"/>
  <c r="N122" i="6"/>
  <c r="N1092" i="3"/>
  <c r="N122" i="5"/>
  <c r="N72" i="5"/>
  <c r="N45" i="20"/>
  <c r="N127" i="20"/>
  <c r="N195" i="19"/>
  <c r="N95" i="19"/>
  <c r="N222" i="9"/>
  <c r="N93" i="2"/>
  <c r="N34" i="2"/>
  <c r="N591" i="11"/>
  <c r="N521" i="11"/>
  <c r="N471" i="11"/>
  <c r="N114" i="11"/>
  <c r="N163" i="11"/>
  <c r="N162" i="9"/>
  <c r="N107" i="9"/>
  <c r="N53" i="9"/>
  <c r="O71" i="5"/>
  <c r="O62" i="26"/>
  <c r="O34" i="2"/>
  <c r="O53" i="9"/>
  <c r="O162" i="9"/>
  <c r="O93" i="2"/>
  <c r="O95" i="19"/>
  <c r="O591" i="11"/>
  <c r="O163" i="11"/>
  <c r="O291" i="9"/>
  <c r="O126" i="20"/>
  <c r="O114" i="11"/>
  <c r="O194" i="19"/>
  <c r="O521" i="11"/>
  <c r="O167" i="26"/>
  <c r="O121" i="6"/>
  <c r="O471" i="11"/>
  <c r="O222" i="9"/>
  <c r="O121" i="5"/>
  <c r="O107" i="23"/>
  <c r="O112" i="26"/>
  <c r="O221" i="26"/>
  <c r="O45" i="20"/>
  <c r="O113" i="10"/>
  <c r="O290" i="19"/>
  <c r="O107" i="9"/>
  <c r="N223" i="26" l="1"/>
  <c r="N169" i="26"/>
  <c r="N109" i="23"/>
  <c r="N63" i="26"/>
  <c r="N114" i="26"/>
  <c r="N291" i="19"/>
  <c r="N704" i="11"/>
  <c r="N928" i="7"/>
  <c r="N905" i="11"/>
  <c r="N292" i="9"/>
  <c r="N114" i="10"/>
  <c r="N642" i="7"/>
  <c r="N123" i="6"/>
  <c r="N1093" i="3"/>
  <c r="N123" i="5"/>
  <c r="N73" i="5"/>
  <c r="N46" i="20"/>
  <c r="N128" i="20"/>
  <c r="N196" i="19"/>
  <c r="N96" i="19"/>
  <c r="N223" i="9"/>
  <c r="N35" i="2"/>
  <c r="N94" i="2"/>
  <c r="N592" i="11"/>
  <c r="N522" i="11"/>
  <c r="N472" i="11"/>
  <c r="N115" i="11"/>
  <c r="N164" i="11"/>
  <c r="N163" i="9"/>
  <c r="N108" i="9"/>
  <c r="N54" i="9"/>
  <c r="N224" i="26" l="1"/>
  <c r="N170" i="26"/>
  <c r="N110" i="23"/>
  <c r="N64" i="26"/>
  <c r="N115" i="26"/>
  <c r="N292" i="19"/>
  <c r="N705" i="11"/>
  <c r="N930" i="7"/>
  <c r="N906" i="11"/>
  <c r="N293" i="9"/>
  <c r="N115" i="10"/>
  <c r="N643" i="7"/>
  <c r="N124" i="6"/>
  <c r="N1094" i="3"/>
  <c r="N124" i="5"/>
  <c r="N74" i="5"/>
  <c r="N47" i="20"/>
  <c r="N129" i="20"/>
  <c r="N197" i="19"/>
  <c r="N97" i="19"/>
  <c r="N224" i="9"/>
  <c r="N95" i="2"/>
  <c r="N36" i="2"/>
  <c r="N593" i="11"/>
  <c r="N523" i="11"/>
  <c r="N473" i="11"/>
  <c r="N116" i="11"/>
  <c r="N165" i="11"/>
  <c r="N164" i="9"/>
  <c r="N109" i="9"/>
  <c r="N55" i="9"/>
  <c r="O109" i="23"/>
  <c r="O36" i="2"/>
  <c r="O128" i="20"/>
  <c r="O115" i="11"/>
  <c r="O127" i="20"/>
  <c r="O46" i="20"/>
  <c r="O73" i="5"/>
  <c r="O163" i="9"/>
  <c r="O164" i="9"/>
  <c r="O94" i="2"/>
  <c r="O123" i="5"/>
  <c r="O523" i="11"/>
  <c r="O116" i="11"/>
  <c r="O292" i="19"/>
  <c r="O291" i="19"/>
  <c r="O115" i="10"/>
  <c r="O47" i="20"/>
  <c r="O123" i="6"/>
  <c r="O223" i="26"/>
  <c r="O165" i="11"/>
  <c r="O35" i="2"/>
  <c r="O95" i="2"/>
  <c r="O109" i="9"/>
  <c r="O222" i="26"/>
  <c r="O114" i="26"/>
  <c r="O63" i="26"/>
  <c r="O522" i="11"/>
  <c r="O168" i="26"/>
  <c r="O108" i="23"/>
  <c r="O196" i="19"/>
  <c r="O122" i="5"/>
  <c r="O164" i="11"/>
  <c r="O473" i="11"/>
  <c r="O113" i="26"/>
  <c r="O108" i="9"/>
  <c r="O55" i="9"/>
  <c r="O593" i="11"/>
  <c r="O114" i="10"/>
  <c r="O195" i="19"/>
  <c r="O54" i="9"/>
  <c r="O472" i="11"/>
  <c r="O293" i="9"/>
  <c r="O223" i="9"/>
  <c r="O224" i="9"/>
  <c r="O292" i="9"/>
  <c r="O122" i="6"/>
  <c r="O592" i="11"/>
  <c r="O169" i="26"/>
  <c r="O64" i="26"/>
  <c r="O72" i="5"/>
  <c r="O617" i="7"/>
  <c r="O889" i="11"/>
  <c r="O688" i="11"/>
  <c r="O227" i="7"/>
  <c r="O471" i="3"/>
  <c r="O1018" i="3"/>
  <c r="O909" i="7"/>
  <c r="O885" i="11"/>
  <c r="O1010" i="3"/>
  <c r="O476" i="3"/>
  <c r="O986" i="3"/>
  <c r="O991" i="3"/>
  <c r="O997" i="3"/>
  <c r="O903" i="7"/>
  <c r="O886" i="11"/>
  <c r="O210" i="9"/>
  <c r="O478" i="3"/>
  <c r="O877" i="11"/>
  <c r="O625" i="7"/>
  <c r="O481" i="3"/>
  <c r="O612" i="7"/>
  <c r="O690" i="11"/>
  <c r="O1002" i="3"/>
  <c r="O453" i="3"/>
  <c r="O999" i="3"/>
  <c r="O888" i="11"/>
  <c r="O454" i="3"/>
  <c r="O475" i="3"/>
  <c r="O508" i="11"/>
  <c r="O483" i="3"/>
  <c r="O901" i="7"/>
  <c r="O899" i="7"/>
  <c r="O1001" i="3"/>
  <c r="O486" i="3"/>
  <c r="O911" i="7"/>
  <c r="O890" i="11"/>
  <c r="O994" i="3"/>
  <c r="O623" i="7"/>
  <c r="O908" i="7"/>
  <c r="O611" i="7"/>
  <c r="O465" i="3"/>
  <c r="O479" i="3"/>
  <c r="O1014" i="3"/>
  <c r="O907" i="7"/>
  <c r="O461" i="3"/>
  <c r="O896" i="7"/>
  <c r="O1016" i="3"/>
  <c r="O975" i="3"/>
  <c r="O989" i="3"/>
  <c r="O225" i="7"/>
  <c r="O981" i="3"/>
  <c r="O470" i="3"/>
  <c r="O1015" i="3"/>
  <c r="O474" i="3"/>
  <c r="O458" i="3"/>
  <c r="O1017" i="3"/>
  <c r="O995" i="3"/>
  <c r="O485" i="3"/>
  <c r="O689" i="11"/>
  <c r="O467" i="3"/>
  <c r="O676" i="11"/>
  <c r="O988" i="3"/>
  <c r="O613" i="7"/>
  <c r="O627" i="7"/>
  <c r="O468" i="3"/>
  <c r="O491" i="3"/>
  <c r="O630" i="7"/>
  <c r="O460" i="3"/>
  <c r="O1007" i="3"/>
  <c r="O887" i="11"/>
  <c r="O614" i="7"/>
  <c r="O95" i="9"/>
  <c r="O906" i="7"/>
  <c r="O615" i="7"/>
  <c r="O692" i="11"/>
  <c r="O993" i="3"/>
  <c r="O884" i="11"/>
  <c r="O679" i="11"/>
  <c r="O45" i="5"/>
  <c r="O686" i="11"/>
  <c r="O990" i="3"/>
  <c r="O985" i="3"/>
  <c r="O98" i="11"/>
  <c r="O487" i="3"/>
  <c r="O459" i="3"/>
  <c r="O693" i="11"/>
  <c r="O618" i="7"/>
  <c r="O976" i="3"/>
  <c r="O984" i="3"/>
  <c r="O1004" i="3"/>
  <c r="O683" i="11"/>
  <c r="O982" i="3"/>
  <c r="O1000" i="3"/>
  <c r="O619" i="7"/>
  <c r="O680" i="11"/>
  <c r="O1009" i="3"/>
  <c r="O998" i="3"/>
  <c r="O1008" i="3"/>
  <c r="O987" i="3"/>
  <c r="O1006" i="3"/>
  <c r="O450" i="3"/>
  <c r="O687" i="11"/>
  <c r="O455" i="3"/>
  <c r="O1011" i="3"/>
  <c r="O452" i="3"/>
  <c r="O473" i="3"/>
  <c r="O979" i="3"/>
  <c r="O904" i="7"/>
  <c r="O41" i="9"/>
  <c r="O469" i="3"/>
  <c r="O681" i="11"/>
  <c r="O677" i="11"/>
  <c r="O684" i="11"/>
  <c r="O456" i="3"/>
  <c r="O224" i="7"/>
  <c r="O622" i="7"/>
  <c r="O1012" i="3"/>
  <c r="O94" i="6"/>
  <c r="O265" i="9"/>
  <c r="O876" i="11"/>
  <c r="O1013" i="3"/>
  <c r="O878" i="11"/>
  <c r="O228" i="7"/>
  <c r="O488" i="3"/>
  <c r="O484" i="3"/>
  <c r="O149" i="11"/>
  <c r="O490" i="3"/>
  <c r="O226" i="7"/>
  <c r="O1003" i="3"/>
  <c r="O620" i="7"/>
  <c r="O977" i="3"/>
  <c r="O624" i="7"/>
  <c r="O883" i="11"/>
  <c r="O902" i="7"/>
  <c r="O996" i="3"/>
  <c r="O882" i="11"/>
  <c r="O463" i="3"/>
  <c r="O682" i="11"/>
  <c r="O482" i="3"/>
  <c r="O85" i="10"/>
  <c r="O464" i="3"/>
  <c r="O897" i="7"/>
  <c r="O628" i="7"/>
  <c r="O458" i="11"/>
  <c r="O881" i="11"/>
  <c r="O626" i="7"/>
  <c r="O983" i="3"/>
  <c r="O578" i="11"/>
  <c r="O462" i="3"/>
  <c r="O992" i="3"/>
  <c r="O685" i="11"/>
  <c r="O480" i="3"/>
  <c r="O910" i="7"/>
  <c r="O149" i="9"/>
  <c r="O472" i="3"/>
  <c r="O621" i="7"/>
  <c r="O616" i="7"/>
  <c r="O451" i="3"/>
  <c r="O898" i="7"/>
  <c r="O980" i="3"/>
  <c r="O466" i="3"/>
  <c r="O457" i="3"/>
  <c r="O1005" i="3"/>
  <c r="O629" i="7"/>
  <c r="O477" i="3"/>
  <c r="O675" i="11"/>
  <c r="O879" i="11"/>
  <c r="O97" i="5"/>
  <c r="O691" i="11"/>
  <c r="O678" i="11"/>
  <c r="O978" i="3"/>
  <c r="O880" i="11"/>
  <c r="O489" i="3"/>
  <c r="O900" i="7"/>
  <c r="O905" i="7"/>
  <c r="N225" i="26" l="1"/>
  <c r="N171" i="26"/>
  <c r="N111" i="23"/>
  <c r="N65" i="26"/>
  <c r="N116" i="26"/>
  <c r="N293" i="19"/>
  <c r="N908" i="11"/>
  <c r="N706" i="11"/>
  <c r="N931" i="7"/>
  <c r="N294" i="9"/>
  <c r="N116" i="10"/>
  <c r="N644" i="7"/>
  <c r="N125" i="6"/>
  <c r="N1095" i="3"/>
  <c r="N125" i="5"/>
  <c r="N75" i="5"/>
  <c r="N48" i="20"/>
  <c r="N130" i="20"/>
  <c r="N98" i="19"/>
  <c r="N198" i="19"/>
  <c r="N225" i="9"/>
  <c r="N37" i="2"/>
  <c r="N96" i="2"/>
  <c r="N594" i="11"/>
  <c r="N524" i="11"/>
  <c r="N474" i="11"/>
  <c r="N117" i="11"/>
  <c r="N166" i="11"/>
  <c r="N165" i="9"/>
  <c r="N110" i="9"/>
  <c r="N56" i="9"/>
  <c r="O74" i="5"/>
  <c r="O225" i="9"/>
  <c r="O115" i="26"/>
  <c r="O37" i="2"/>
  <c r="O293" i="19"/>
  <c r="O224" i="26"/>
  <c r="O96" i="2"/>
  <c r="O124" i="5"/>
  <c r="O48" i="20"/>
  <c r="O474" i="11"/>
  <c r="O124" i="6"/>
  <c r="O294" i="9"/>
  <c r="O129" i="20"/>
  <c r="O110" i="23"/>
  <c r="O524" i="11"/>
  <c r="O165" i="9"/>
  <c r="O110" i="9"/>
  <c r="O65" i="26"/>
  <c r="O197" i="19"/>
  <c r="O170" i="26"/>
  <c r="O594" i="11"/>
  <c r="O56" i="9"/>
  <c r="O117" i="11"/>
  <c r="O166" i="11"/>
  <c r="O116" i="10"/>
  <c r="N226" i="26" l="1"/>
  <c r="N172" i="26"/>
  <c r="N112" i="23"/>
  <c r="N66" i="26"/>
  <c r="N117" i="26"/>
  <c r="N294" i="19"/>
  <c r="N707" i="11"/>
  <c r="N909" i="11"/>
  <c r="N932" i="7"/>
  <c r="N295" i="9"/>
  <c r="N117" i="10"/>
  <c r="N645" i="7"/>
  <c r="N126" i="6"/>
  <c r="N1096" i="3"/>
  <c r="N126" i="5"/>
  <c r="N76" i="5"/>
  <c r="N49" i="20"/>
  <c r="N131" i="20"/>
  <c r="N132" i="20" s="1"/>
  <c r="N199" i="19"/>
  <c r="N226" i="9"/>
  <c r="N97" i="2"/>
  <c r="N38" i="2"/>
  <c r="N595" i="11"/>
  <c r="N525" i="11"/>
  <c r="N475" i="11"/>
  <c r="N118" i="11"/>
  <c r="N167" i="11"/>
  <c r="N166" i="9"/>
  <c r="N111" i="9"/>
  <c r="N57" i="9"/>
  <c r="O704" i="11"/>
  <c r="O295" i="9"/>
  <c r="O133" i="18"/>
  <c r="O1087" i="3"/>
  <c r="O475" i="11"/>
  <c r="O1095" i="3"/>
  <c r="O922" i="7"/>
  <c r="O698" i="11"/>
  <c r="O931" i="7"/>
  <c r="O1091" i="3"/>
  <c r="O908" i="11"/>
  <c r="O696" i="11"/>
  <c r="O38" i="2"/>
  <c r="O642" i="7"/>
  <c r="O1086" i="3"/>
  <c r="O111" i="9"/>
  <c r="O902" i="11"/>
  <c r="O701" i="11"/>
  <c r="O198" i="19"/>
  <c r="O1085" i="3"/>
  <c r="O901" i="11"/>
  <c r="O75" i="5"/>
  <c r="O899" i="11"/>
  <c r="O905" i="11"/>
  <c r="O1094" i="3"/>
  <c r="O697" i="11"/>
  <c r="O595" i="11"/>
  <c r="O117" i="10"/>
  <c r="O1088" i="3"/>
  <c r="O111" i="23"/>
  <c r="O66" i="26"/>
  <c r="O1093" i="3"/>
  <c r="O644" i="7"/>
  <c r="O640" i="7"/>
  <c r="O643" i="7"/>
  <c r="O225" i="26"/>
  <c r="O109" i="19"/>
  <c r="O92" i="20"/>
  <c r="O525" i="11"/>
  <c r="O79" i="2"/>
  <c r="O700" i="11"/>
  <c r="O167" i="11"/>
  <c r="O705" i="11"/>
  <c r="O900" i="11"/>
  <c r="O131" i="20"/>
  <c r="O57" i="9"/>
  <c r="O703" i="11"/>
  <c r="O118" i="11"/>
  <c r="O904" i="11"/>
  <c r="O928" i="7"/>
  <c r="O171" i="26"/>
  <c r="O896" i="11"/>
  <c r="O923" i="7"/>
  <c r="O707" i="11"/>
  <c r="O924" i="7"/>
  <c r="O75" i="18"/>
  <c r="O20" i="20"/>
  <c r="O925" i="7"/>
  <c r="O294" i="19"/>
  <c r="O1092" i="3"/>
  <c r="O1090" i="3"/>
  <c r="O316" i="19"/>
  <c r="O919" i="7"/>
  <c r="O19" i="18"/>
  <c r="O193" i="18"/>
  <c r="O897" i="11"/>
  <c r="O125" i="5"/>
  <c r="O645" i="7"/>
  <c r="O909" i="11"/>
  <c r="O125" i="6"/>
  <c r="O920" i="7"/>
  <c r="O103" i="20"/>
  <c r="O927" i="7"/>
  <c r="O702" i="11"/>
  <c r="O903" i="11"/>
  <c r="O921" i="7"/>
  <c r="O1089" i="3"/>
  <c r="O116" i="26"/>
  <c r="O898" i="11"/>
  <c r="O930" i="7"/>
  <c r="O49" i="20"/>
  <c r="O97" i="2"/>
  <c r="O132" i="20"/>
  <c r="O130" i="20"/>
  <c r="O906" i="11"/>
  <c r="O699" i="11"/>
  <c r="O166" i="9"/>
  <c r="O20" i="17"/>
  <c r="O706" i="11"/>
  <c r="O226" i="9"/>
  <c r="O641" i="7"/>
  <c r="O926" i="7"/>
  <c r="O20" i="2"/>
  <c r="O932" i="7"/>
  <c r="O1084" i="3"/>
  <c r="O172" i="19"/>
  <c r="O639" i="7"/>
  <c r="O182" i="7"/>
  <c r="O35" i="7"/>
  <c r="O391" i="7"/>
  <c r="O1374" i="7"/>
  <c r="O133" i="10"/>
  <c r="O106" i="7"/>
  <c r="O567" i="7"/>
  <c r="O1134" i="11"/>
  <c r="O1095" i="11"/>
  <c r="O39" i="9"/>
  <c r="O1404" i="7"/>
  <c r="O24" i="11"/>
  <c r="O204" i="11"/>
  <c r="O886" i="7"/>
  <c r="O72" i="11"/>
  <c r="O252" i="11"/>
  <c r="O428" i="3"/>
  <c r="O966" i="3"/>
  <c r="O93" i="7"/>
  <c r="O123" i="7"/>
  <c r="O506" i="7"/>
  <c r="O419" i="3"/>
  <c r="O424" i="11"/>
  <c r="O364" i="3"/>
  <c r="O289" i="7"/>
  <c r="O436" i="11"/>
  <c r="O223" i="11"/>
  <c r="O250" i="11"/>
  <c r="O375" i="11"/>
  <c r="O165" i="7"/>
  <c r="O287" i="11"/>
  <c r="O117" i="7"/>
  <c r="O577" i="11"/>
  <c r="O100" i="7"/>
  <c r="O397" i="11"/>
  <c r="O122" i="7"/>
  <c r="O1413" i="7"/>
  <c r="O136" i="7"/>
  <c r="O868" i="7"/>
  <c r="O402" i="3"/>
  <c r="O270" i="11"/>
  <c r="O367" i="3"/>
  <c r="O363" i="11"/>
  <c r="O1395" i="7"/>
  <c r="O175" i="7"/>
  <c r="O1378" i="7"/>
  <c r="O1107" i="11"/>
  <c r="O259" i="9"/>
  <c r="O490" i="7"/>
  <c r="O1113" i="11"/>
  <c r="O260" i="9"/>
  <c r="O20" i="11"/>
  <c r="O1402" i="7"/>
  <c r="O310" i="11"/>
  <c r="O54" i="7"/>
  <c r="O965" i="3"/>
  <c r="O1102" i="11"/>
  <c r="O593" i="7"/>
  <c r="O219" i="7"/>
  <c r="O524" i="7"/>
  <c r="O433" i="3"/>
  <c r="O227" i="11"/>
  <c r="O49" i="7"/>
  <c r="O604" i="7"/>
  <c r="O1343" i="7"/>
  <c r="O127" i="7"/>
  <c r="O1108" i="11"/>
  <c r="O915" i="3"/>
  <c r="O389" i="3"/>
  <c r="O737" i="11"/>
  <c r="O570" i="7"/>
  <c r="O563" i="7"/>
  <c r="O89" i="6"/>
  <c r="O90" i="7"/>
  <c r="O41" i="7"/>
  <c r="O525" i="7"/>
  <c r="O209" i="9"/>
  <c r="O429" i="11"/>
  <c r="O881" i="7"/>
  <c r="O286" i="11"/>
  <c r="O1090" i="11"/>
  <c r="O1409" i="7"/>
  <c r="O29" i="7"/>
  <c r="O655" i="11"/>
  <c r="O434" i="11"/>
  <c r="O407" i="11"/>
  <c r="O79" i="7"/>
  <c r="O943" i="3"/>
  <c r="O67" i="11"/>
  <c r="O51" i="7"/>
  <c r="O1109" i="11"/>
  <c r="O143" i="9"/>
  <c r="O795" i="3"/>
  <c r="O409" i="11"/>
  <c r="O292" i="11"/>
  <c r="O553" i="7"/>
  <c r="O323" i="11"/>
  <c r="O235" i="7"/>
  <c r="O962" i="3"/>
  <c r="O588" i="7"/>
  <c r="O36" i="9"/>
  <c r="O538" i="7"/>
  <c r="O660" i="11"/>
  <c r="O584" i="7"/>
  <c r="O324" i="11"/>
  <c r="O1339" i="7"/>
  <c r="O93" i="6"/>
  <c r="O567" i="11"/>
  <c r="O7" i="10"/>
  <c r="O1120" i="11"/>
  <c r="O188" i="7"/>
  <c r="O1286" i="7"/>
  <c r="O427" i="7"/>
  <c r="O852" i="11"/>
  <c r="O652" i="11"/>
  <c r="O860" i="11"/>
  <c r="O883" i="7"/>
  <c r="O170" i="7"/>
  <c r="O33" i="9"/>
  <c r="O317" i="9"/>
  <c r="O401" i="11"/>
  <c r="O32" i="7"/>
  <c r="O78" i="7"/>
  <c r="O329" i="11"/>
  <c r="O136" i="10"/>
  <c r="O971" i="11"/>
  <c r="O1131" i="11"/>
  <c r="O891" i="7"/>
  <c r="O386" i="11"/>
  <c r="O95" i="5"/>
  <c r="O169" i="7"/>
  <c r="O867" i="7"/>
  <c r="O343" i="11"/>
  <c r="O439" i="7"/>
  <c r="O454" i="11"/>
  <c r="O23" i="9"/>
  <c r="O889" i="7"/>
  <c r="O142" i="10"/>
  <c r="O40" i="7"/>
  <c r="O306" i="11"/>
  <c r="O351" i="11"/>
  <c r="O559" i="11"/>
  <c r="O930" i="3"/>
  <c r="O216" i="11"/>
  <c r="O420" i="3"/>
  <c r="O331" i="11"/>
  <c r="O437" i="3"/>
  <c r="O1365" i="7"/>
  <c r="O890" i="7"/>
  <c r="O522" i="7"/>
  <c r="O1380" i="7"/>
  <c r="O316" i="9"/>
  <c r="O334" i="11"/>
  <c r="O577" i="7"/>
  <c r="O317" i="11"/>
  <c r="O20" i="9"/>
  <c r="O28" i="7"/>
  <c r="O876" i="7"/>
  <c r="O422" i="3"/>
  <c r="O1085" i="11"/>
  <c r="O371" i="3"/>
  <c r="O399" i="11"/>
  <c r="O177" i="7"/>
  <c r="O363" i="3"/>
  <c r="O214" i="11"/>
  <c r="O844" i="11"/>
  <c r="O412" i="3"/>
  <c r="O143" i="10"/>
  <c r="O665" i="11"/>
  <c r="O274" i="11"/>
  <c r="O963" i="7"/>
  <c r="O305" i="11"/>
  <c r="O934" i="3"/>
  <c r="O1138" i="11"/>
  <c r="O9" i="9"/>
  <c r="O531" i="7"/>
  <c r="O516" i="7"/>
  <c r="O1093" i="11"/>
  <c r="O104" i="7"/>
  <c r="O423" i="3"/>
  <c r="O374" i="3"/>
  <c r="O412" i="11"/>
  <c r="O590" i="7"/>
  <c r="O1092" i="11"/>
  <c r="O587" i="7"/>
  <c r="O205" i="7"/>
  <c r="O960" i="3"/>
  <c r="O568" i="11"/>
  <c r="O414" i="11"/>
  <c r="O874" i="7"/>
  <c r="O88" i="7"/>
  <c r="O207" i="11"/>
  <c r="O1385" i="7"/>
  <c r="O919" i="3"/>
  <c r="O431" i="3"/>
  <c r="O1100" i="11"/>
  <c r="O912" i="3"/>
  <c r="O36" i="7"/>
  <c r="O76" i="11"/>
  <c r="O24" i="7"/>
  <c r="O19" i="10"/>
  <c r="O874" i="11"/>
  <c r="O1121" i="11"/>
  <c r="O1342" i="7"/>
  <c r="O79" i="11"/>
  <c r="O433" i="7"/>
  <c r="O197" i="9"/>
  <c r="O1397" i="7"/>
  <c r="O142" i="7"/>
  <c r="O592" i="7"/>
  <c r="O1382" i="7"/>
  <c r="O289" i="11"/>
  <c r="O591" i="7"/>
  <c r="O45" i="7"/>
  <c r="O368" i="11"/>
  <c r="O449" i="3"/>
  <c r="O936" i="3"/>
  <c r="O268" i="11"/>
  <c r="O293" i="11"/>
  <c r="O9" i="7"/>
  <c r="O164" i="7"/>
  <c r="O379" i="7"/>
  <c r="O10" i="10"/>
  <c r="O950" i="3"/>
  <c r="O203" i="11"/>
  <c r="O356" i="11"/>
  <c r="O648" i="11"/>
  <c r="O562" i="7"/>
  <c r="O5" i="11"/>
  <c r="O503" i="7"/>
  <c r="O205" i="11"/>
  <c r="O902" i="3"/>
  <c r="O671" i="11"/>
  <c r="O262" i="11"/>
  <c r="O294" i="11"/>
  <c r="O258" i="11"/>
  <c r="O354" i="11"/>
  <c r="O410" i="3"/>
  <c r="O1389" i="7"/>
  <c r="O156" i="7"/>
  <c r="O871" i="7"/>
  <c r="O1346" i="7"/>
  <c r="O129" i="7"/>
  <c r="O924" i="3"/>
  <c r="O111" i="7"/>
  <c r="O1124" i="11"/>
  <c r="O1303" i="7"/>
  <c r="O909" i="3"/>
  <c r="O12" i="7"/>
  <c r="O89" i="11"/>
  <c r="O491" i="7"/>
  <c r="O34" i="9"/>
  <c r="O311" i="11"/>
  <c r="O946" i="7"/>
  <c r="O666" i="11"/>
  <c r="O949" i="3"/>
  <c r="O82" i="7"/>
  <c r="O132" i="10"/>
  <c r="O366" i="3"/>
  <c r="O373" i="7"/>
  <c r="O667" i="11"/>
  <c r="O112" i="7"/>
  <c r="O373" i="11"/>
  <c r="O392" i="3"/>
  <c r="O878" i="7"/>
  <c r="O288" i="11"/>
  <c r="O1103" i="11"/>
  <c r="O869" i="11"/>
  <c r="O266" i="11"/>
  <c r="O147" i="7"/>
  <c r="O1390" i="7"/>
  <c r="O73" i="11"/>
  <c r="O360" i="11"/>
  <c r="O83" i="7"/>
  <c r="O849" i="11"/>
  <c r="O523" i="7"/>
  <c r="O420" i="11"/>
  <c r="O432" i="3"/>
  <c r="O961" i="3"/>
  <c r="O952" i="3"/>
  <c r="O862" i="7"/>
  <c r="O871" i="11"/>
  <c r="O947" i="3"/>
  <c r="O101" i="7"/>
  <c r="O25" i="7"/>
  <c r="O1111" i="11"/>
  <c r="O889" i="3"/>
  <c r="O851" i="11"/>
  <c r="O1116" i="7"/>
  <c r="O234" i="11"/>
  <c r="O96" i="5"/>
  <c r="O19" i="9"/>
  <c r="O321" i="11"/>
  <c r="O103" i="7"/>
  <c r="O374" i="11"/>
  <c r="O25" i="11"/>
  <c r="O533" i="7"/>
  <c r="O367" i="7"/>
  <c r="O444" i="11"/>
  <c r="O285" i="11"/>
  <c r="O192" i="7"/>
  <c r="O86" i="7"/>
  <c r="O631" i="11"/>
  <c r="O939" i="11"/>
  <c r="O295" i="7"/>
  <c r="O171" i="7"/>
  <c r="O400" i="3"/>
  <c r="O509" i="7"/>
  <c r="O269" i="11"/>
  <c r="O94" i="9"/>
  <c r="O435" i="3"/>
  <c r="O115" i="7"/>
  <c r="O148" i="9"/>
  <c r="O1363" i="7"/>
  <c r="O859" i="11"/>
  <c r="O886" i="3"/>
  <c r="O46" i="7"/>
  <c r="O633" i="11"/>
  <c r="O914" i="3"/>
  <c r="O502" i="7"/>
  <c r="O867" i="11"/>
  <c r="O439" i="3"/>
  <c r="O377" i="11"/>
  <c r="O307" i="11"/>
  <c r="O69" i="11"/>
  <c r="O452" i="11"/>
  <c r="O338" i="11"/>
  <c r="O199" i="9"/>
  <c r="O214" i="7"/>
  <c r="O390" i="3"/>
  <c r="O1091" i="11"/>
  <c r="O437" i="11"/>
  <c r="O1099" i="7"/>
  <c r="O935" i="3"/>
  <c r="O145" i="7"/>
  <c r="O904" i="3"/>
  <c r="O157" i="7"/>
  <c r="O1106" i="11"/>
  <c r="O583" i="7"/>
  <c r="O606" i="7"/>
  <c r="O307" i="7"/>
  <c r="O10" i="9"/>
  <c r="O903" i="3"/>
  <c r="O568" i="7"/>
  <c r="O397" i="3"/>
  <c r="O89" i="9"/>
  <c r="O121" i="7"/>
  <c r="O280" i="11"/>
  <c r="O108" i="7"/>
  <c r="O415" i="11"/>
  <c r="O201" i="7"/>
  <c r="O148" i="11"/>
  <c r="O113" i="7"/>
  <c r="O308" i="11"/>
  <c r="O917" i="3"/>
  <c r="O134" i="10"/>
  <c r="O6" i="11"/>
  <c r="O14" i="10"/>
  <c r="O92" i="6"/>
  <c r="O428" i="11"/>
  <c r="O119" i="7"/>
  <c r="O379" i="3"/>
  <c r="O326" i="11"/>
  <c r="O443" i="11"/>
  <c r="O213" i="7"/>
  <c r="O641" i="11"/>
  <c r="O198" i="7"/>
  <c r="O243" i="11"/>
  <c r="O507" i="11"/>
  <c r="O81" i="11"/>
  <c r="O265" i="11"/>
  <c r="O956" i="3"/>
  <c r="O858" i="11"/>
  <c r="O211" i="7"/>
  <c r="O44" i="7"/>
  <c r="O1132" i="11"/>
  <c r="O954" i="3"/>
  <c r="O1408" i="7"/>
  <c r="O426" i="3"/>
  <c r="O526" i="7"/>
  <c r="O548" i="7"/>
  <c r="O195" i="7"/>
  <c r="O183" i="7"/>
  <c r="O529" i="7"/>
  <c r="O1097" i="11"/>
  <c r="O1354" i="7"/>
  <c r="O448" i="11"/>
  <c r="O94" i="5"/>
  <c r="O438" i="11"/>
  <c r="O210" i="11"/>
  <c r="O488" i="7"/>
  <c r="O218" i="11"/>
  <c r="O148" i="7"/>
  <c r="O1065" i="7"/>
  <c r="O1048" i="7"/>
  <c r="O6" i="7"/>
  <c r="O561" i="11"/>
  <c r="O91" i="9"/>
  <c r="O258" i="9"/>
  <c r="O206" i="7"/>
  <c r="O438" i="3"/>
  <c r="O517" i="7"/>
  <c r="O302" i="11"/>
  <c r="O899" i="3"/>
  <c r="O562" i="11"/>
  <c r="O328" i="11"/>
  <c r="O276" i="11"/>
  <c r="O552" i="7"/>
  <c r="O707" i="3"/>
  <c r="O1118" i="11"/>
  <c r="O431" i="11"/>
  <c r="O361" i="7"/>
  <c r="O964" i="3"/>
  <c r="O535" i="7"/>
  <c r="O499" i="7"/>
  <c r="O555" i="7"/>
  <c r="O196" i="7"/>
  <c r="O900" i="3"/>
  <c r="O118" i="7"/>
  <c r="O35" i="9"/>
  <c r="O539" i="7"/>
  <c r="O275" i="11"/>
  <c r="O971" i="3"/>
  <c r="O1347" i="7"/>
  <c r="O168" i="7"/>
  <c r="O74" i="11"/>
  <c r="O80" i="10"/>
  <c r="O264" i="11"/>
  <c r="O271" i="7"/>
  <c r="O594" i="7"/>
  <c r="O873" i="7"/>
  <c r="O325" i="11"/>
  <c r="O386" i="3"/>
  <c r="O393" i="11"/>
  <c r="O198" i="9"/>
  <c r="O26" i="7"/>
  <c r="O273" i="11"/>
  <c r="O152" i="7"/>
  <c r="O481" i="7"/>
  <c r="O90" i="11"/>
  <c r="O1031" i="7"/>
  <c r="O515" i="7"/>
  <c r="O278" i="11"/>
  <c r="O421" i="11"/>
  <c r="O247" i="7"/>
  <c r="O244" i="11"/>
  <c r="O918" i="3"/>
  <c r="O469" i="7"/>
  <c r="O284" i="11"/>
  <c r="O870" i="11"/>
  <c r="O22" i="7"/>
  <c r="O424" i="3"/>
  <c r="O147" i="11"/>
  <c r="O507" i="7"/>
  <c r="O640" i="11"/>
  <c r="O1414" i="7"/>
  <c r="O383" i="11"/>
  <c r="O382" i="3"/>
  <c r="O406" i="3"/>
  <c r="O369" i="11"/>
  <c r="O314" i="11"/>
  <c r="O926" i="3"/>
  <c r="O1137" i="11"/>
  <c r="O891" i="3"/>
  <c r="O530" i="7"/>
  <c r="O662" i="11"/>
  <c r="O558" i="7"/>
  <c r="O1410" i="7"/>
  <c r="O885" i="3"/>
  <c r="O31" i="7"/>
  <c r="O193" i="7"/>
  <c r="O601" i="7"/>
  <c r="O31" i="11"/>
  <c r="O13" i="11"/>
  <c r="O355" i="11"/>
  <c r="O456" i="11"/>
  <c r="O1140" i="11"/>
  <c r="O32" i="9"/>
  <c r="O556" i="7"/>
  <c r="O722" i="7"/>
  <c r="O40" i="9"/>
  <c r="O939" i="3"/>
  <c r="O872" i="7"/>
  <c r="O7" i="11"/>
  <c r="O931" i="3"/>
  <c r="O336" i="11"/>
  <c r="O892" i="3"/>
  <c r="O1403" i="7"/>
  <c r="O74" i="7"/>
  <c r="O265" i="7"/>
  <c r="O500" i="7"/>
  <c r="O1014" i="7"/>
  <c r="O240" i="11"/>
  <c r="O394" i="3"/>
  <c r="O401" i="3"/>
  <c r="O213" i="11"/>
  <c r="O82" i="11"/>
  <c r="O910" i="3"/>
  <c r="O450" i="11"/>
  <c r="O1352" i="7"/>
  <c r="O518" i="7"/>
  <c r="O373" i="3"/>
  <c r="O409" i="3"/>
  <c r="O1127" i="11"/>
  <c r="O445" i="3"/>
  <c r="O136" i="25"/>
  <c r="O1368" i="7"/>
  <c r="O821" i="11"/>
  <c r="O1094" i="11"/>
  <c r="O541" i="7"/>
  <c r="O1353" i="7"/>
  <c r="O1117" i="11"/>
  <c r="O1359" i="7"/>
  <c r="O558" i="11"/>
  <c r="O10" i="11"/>
  <c r="O894" i="7"/>
  <c r="O264" i="9"/>
  <c r="O251" i="11"/>
  <c r="O1235" i="7"/>
  <c r="O861" i="11"/>
  <c r="O210" i="7"/>
  <c r="O873" i="11"/>
  <c r="O495" i="7"/>
  <c r="O344" i="11"/>
  <c r="O933" i="3"/>
  <c r="O68" i="11"/>
  <c r="O498" i="7"/>
  <c r="O599" i="7"/>
  <c r="O895" i="3"/>
  <c r="O309" i="11"/>
  <c r="O138" i="7"/>
  <c r="O403" i="11"/>
  <c r="O942" i="3"/>
  <c r="O409" i="7"/>
  <c r="O907" i="3"/>
  <c r="O185" i="7"/>
  <c r="O350" i="11"/>
  <c r="O355" i="7"/>
  <c r="O9" i="11"/>
  <c r="O27" i="9"/>
  <c r="O716" i="11"/>
  <c r="O563" i="11"/>
  <c r="O912" i="7"/>
  <c r="O209" i="7"/>
  <c r="O997" i="7"/>
  <c r="O921" i="3"/>
  <c r="O224" i="11"/>
  <c r="O1133" i="11"/>
  <c r="O131" i="10"/>
  <c r="O842" i="11"/>
  <c r="O372" i="11"/>
  <c r="O951" i="3"/>
  <c r="O1411" i="7"/>
  <c r="O208" i="7"/>
  <c r="O15" i="10"/>
  <c r="O895" i="7"/>
  <c r="O602" i="7"/>
  <c r="O888" i="3"/>
  <c r="O463" i="7"/>
  <c r="O884" i="7"/>
  <c r="O27" i="10"/>
  <c r="O875" i="11"/>
  <c r="O139" i="7"/>
  <c r="O333" i="11"/>
  <c r="O1364" i="7"/>
  <c r="O565" i="7"/>
  <c r="O389" i="11"/>
  <c r="O130" i="7"/>
  <c r="O279" i="11"/>
  <c r="O184" i="7"/>
  <c r="O554" i="7"/>
  <c r="O661" i="11"/>
  <c r="O12" i="10"/>
  <c r="O1388" i="7"/>
  <c r="O927" i="3"/>
  <c r="O21" i="7"/>
  <c r="O1067" i="11"/>
  <c r="O96" i="11"/>
  <c r="O30" i="7"/>
  <c r="O1051" i="11"/>
  <c r="O16" i="10"/>
  <c r="O140" i="7"/>
  <c r="O475" i="7"/>
  <c r="O376" i="11"/>
  <c r="O86" i="11"/>
  <c r="O894" i="3"/>
  <c r="O222" i="11"/>
  <c r="O204" i="7"/>
  <c r="O178" i="7"/>
  <c r="O445" i="11"/>
  <c r="O1396" i="7"/>
  <c r="O77" i="7"/>
  <c r="O141" i="9"/>
  <c r="O408" i="3"/>
  <c r="O1252" i="7"/>
  <c r="O88" i="11"/>
  <c r="O23" i="10"/>
  <c r="O87" i="11"/>
  <c r="O973" i="3"/>
  <c r="O560" i="11"/>
  <c r="O340" i="11"/>
  <c r="O446" i="11"/>
  <c r="O263" i="11"/>
  <c r="O1381" i="7"/>
  <c r="O865" i="11"/>
  <c r="O228" i="11"/>
  <c r="O556" i="11"/>
  <c r="O1341" i="7"/>
  <c r="O551" i="7"/>
  <c r="O898" i="3"/>
  <c r="O1370" i="7"/>
  <c r="O387" i="3"/>
  <c r="O869" i="7"/>
  <c r="O441" i="11"/>
  <c r="O414" i="3"/>
  <c r="O10" i="7"/>
  <c r="O140" i="10"/>
  <c r="O124" i="7"/>
  <c r="O442" i="3"/>
  <c r="O141" i="10"/>
  <c r="O610" i="7"/>
  <c r="O751" i="3"/>
  <c r="O15" i="9"/>
  <c r="O114" i="7"/>
  <c r="O407" i="3"/>
  <c r="O1357" i="7"/>
  <c r="O396" i="11"/>
  <c r="O1139" i="11"/>
  <c r="O380" i="11"/>
  <c r="O1407" i="7"/>
  <c r="O11" i="11"/>
  <c r="O359" i="11"/>
  <c r="O364" i="11"/>
  <c r="O920" i="3"/>
  <c r="O674" i="11"/>
  <c r="O559" i="7"/>
  <c r="O695" i="11"/>
  <c r="O28" i="9"/>
  <c r="O301" i="11"/>
  <c r="O845" i="11"/>
  <c r="O151" i="7"/>
  <c r="O1114" i="11"/>
  <c r="O581" i="7"/>
  <c r="O138" i="10"/>
  <c r="O11" i="10"/>
  <c r="O15" i="11"/>
  <c r="O14" i="7"/>
  <c r="O290" i="11"/>
  <c r="O31" i="9"/>
  <c r="O297" i="11"/>
  <c r="O253" i="11"/>
  <c r="O39" i="11"/>
  <c r="O200" i="9"/>
  <c r="O147" i="9"/>
  <c r="O16" i="7"/>
  <c r="O37" i="9"/>
  <c r="O492" i="7"/>
  <c r="O441" i="3"/>
  <c r="O128" i="7"/>
  <c r="O166" i="7"/>
  <c r="O925" i="3"/>
  <c r="O207" i="7"/>
  <c r="O546" i="7"/>
  <c r="O21" i="9"/>
  <c r="O891" i="11"/>
  <c r="O71" i="11"/>
  <c r="O26" i="10"/>
  <c r="O1122" i="11"/>
  <c r="O346" i="11"/>
  <c r="O197" i="7"/>
  <c r="O846" i="11"/>
  <c r="O497" i="7"/>
  <c r="O34" i="11"/>
  <c r="O358" i="11"/>
  <c r="O449" i="11"/>
  <c r="O92" i="9"/>
  <c r="O13" i="7"/>
  <c r="O564" i="11"/>
  <c r="O144" i="9"/>
  <c r="O482" i="7"/>
  <c r="O255" i="11"/>
  <c r="O99" i="7"/>
  <c r="O296" i="11"/>
  <c r="O198" i="11"/>
  <c r="O180" i="7"/>
  <c r="O410" i="11"/>
  <c r="O230" i="11"/>
  <c r="O908" i="3"/>
  <c r="O404" i="11"/>
  <c r="O43" i="7"/>
  <c r="O9" i="10"/>
  <c r="O107" i="7"/>
  <c r="O970" i="3"/>
  <c r="O52" i="7"/>
  <c r="O254" i="11"/>
  <c r="O1412" i="7"/>
  <c r="O216" i="7"/>
  <c r="O39" i="7"/>
  <c r="O381" i="11"/>
  <c r="O864" i="11"/>
  <c r="O320" i="11"/>
  <c r="O896" i="3"/>
  <c r="O1338" i="7"/>
  <c r="O957" i="3"/>
  <c r="O1125" i="11"/>
  <c r="O417" i="11"/>
  <c r="O181" i="7"/>
  <c r="O645" i="11"/>
  <c r="O241" i="11"/>
  <c r="O220" i="7"/>
  <c r="O50" i="7"/>
  <c r="O144" i="10"/>
  <c r="O145" i="9"/>
  <c r="O332" i="11"/>
  <c r="O578" i="3"/>
  <c r="O938" i="3"/>
  <c r="O663" i="11"/>
  <c r="O367" i="11"/>
  <c r="O316" i="11"/>
  <c r="O1089" i="11"/>
  <c r="O575" i="7"/>
  <c r="O447" i="11"/>
  <c r="O513" i="7"/>
  <c r="O1143" i="11"/>
  <c r="O510" i="7"/>
  <c r="O78" i="11"/>
  <c r="O253" i="7"/>
  <c r="O137" i="25"/>
  <c r="O231" i="11"/>
  <c r="O1218" i="7"/>
  <c r="O887" i="3"/>
  <c r="O1384" i="7"/>
  <c r="O400" i="11"/>
  <c r="O635" i="11"/>
  <c r="O261" i="11"/>
  <c r="O1379" i="7"/>
  <c r="O508" i="7"/>
  <c r="O190" i="7"/>
  <c r="O486" i="7"/>
  <c r="O260" i="11"/>
  <c r="O1350" i="7"/>
  <c r="O235" i="11"/>
  <c r="O417" i="3"/>
  <c r="O291" i="11"/>
  <c r="O370" i="3"/>
  <c r="O916" i="3"/>
  <c r="O670" i="11"/>
  <c r="O116" i="7"/>
  <c r="O435" i="11"/>
  <c r="O385" i="11"/>
  <c r="O484" i="7"/>
  <c r="O512" i="7"/>
  <c r="O1201" i="7"/>
  <c r="O987" i="11"/>
  <c r="O442" i="11"/>
  <c r="O427" i="11"/>
  <c r="O893" i="3"/>
  <c r="O77" i="11"/>
  <c r="O267" i="11"/>
  <c r="O257" i="11"/>
  <c r="O929" i="7"/>
  <c r="O339" i="11"/>
  <c r="O335" i="11"/>
  <c r="O365" i="3"/>
  <c r="O1360" i="7"/>
  <c r="O885" i="7"/>
  <c r="O566" i="7"/>
  <c r="O79" i="10"/>
  <c r="O92" i="11"/>
  <c r="O1105" i="11"/>
  <c r="O1184" i="7"/>
  <c r="O445" i="7"/>
  <c r="O800" i="11"/>
  <c r="O37" i="7"/>
  <c r="O236" i="11"/>
  <c r="O1398" i="7"/>
  <c r="O884" i="3"/>
  <c r="O427" i="3"/>
  <c r="O654" i="11"/>
  <c r="O483" i="7"/>
  <c r="O1344" i="7"/>
  <c r="O451" i="11"/>
  <c r="O1115" i="11"/>
  <c r="O6" i="9"/>
  <c r="O857" i="11"/>
  <c r="O5" i="7"/>
  <c r="O411" i="3"/>
  <c r="O642" i="11"/>
  <c r="O357" i="11"/>
  <c r="O126" i="7"/>
  <c r="O657" i="11"/>
  <c r="O48" i="7"/>
  <c r="O5" i="10"/>
  <c r="O384" i="11"/>
  <c r="O226" i="11"/>
  <c r="O646" i="11"/>
  <c r="O565" i="11"/>
  <c r="O922" i="3"/>
  <c r="O202" i="7"/>
  <c r="O262" i="9"/>
  <c r="O8" i="9"/>
  <c r="O847" i="11"/>
  <c r="O1361" i="7"/>
  <c r="O137" i="7"/>
  <c r="O1133" i="7"/>
  <c r="O883" i="3"/>
  <c r="O528" i="7"/>
  <c r="O1082" i="7"/>
  <c r="O880" i="7"/>
  <c r="O406" i="11"/>
  <c r="O969" i="3"/>
  <c r="O34" i="7"/>
  <c r="O277" i="7"/>
  <c r="O388" i="11"/>
  <c r="O75" i="7"/>
  <c r="O125" i="7"/>
  <c r="O413" i="3"/>
  <c r="O35" i="11"/>
  <c r="O384" i="3"/>
  <c r="O425" i="3"/>
  <c r="O17" i="9"/>
  <c r="O434" i="3"/>
  <c r="O1362" i="7"/>
  <c r="O245" i="11"/>
  <c r="O630" i="11"/>
  <c r="O233" i="11"/>
  <c r="O388" i="3"/>
  <c r="O448" i="3"/>
  <c r="O1088" i="11"/>
  <c r="O1369" i="7"/>
  <c r="O564" i="7"/>
  <c r="O154" i="7"/>
  <c r="O607" i="7"/>
  <c r="O93" i="9"/>
  <c r="O521" i="7"/>
  <c r="O1351" i="7"/>
  <c r="O504" i="7"/>
  <c r="O948" i="3"/>
  <c r="O907" i="11"/>
  <c r="O843" i="11"/>
  <c r="O135" i="7"/>
  <c r="O215" i="7"/>
  <c r="O139" i="10"/>
  <c r="O1035" i="11"/>
  <c r="O7" i="9"/>
  <c r="O1348" i="7"/>
  <c r="O36" i="11"/>
  <c r="O573" i="7"/>
  <c r="O396" i="3"/>
  <c r="O433" i="11"/>
  <c r="O446" i="3"/>
  <c r="O322" i="11"/>
  <c r="O283" i="11"/>
  <c r="O758" i="11"/>
  <c r="O779" i="11"/>
  <c r="O299" i="11"/>
  <c r="O1150" i="7"/>
  <c r="O345" i="11"/>
  <c r="O547" i="7"/>
  <c r="O146" i="7"/>
  <c r="O272" i="11"/>
  <c r="O376" i="3"/>
  <c r="O18" i="9"/>
  <c r="O22" i="11"/>
  <c r="O327" i="11"/>
  <c r="O1372" i="7"/>
  <c r="O527" i="7"/>
  <c r="O56" i="7"/>
  <c r="O653" i="11"/>
  <c r="O609" i="7"/>
  <c r="O586" i="7"/>
  <c r="O393" i="3"/>
  <c r="O1142" i="11"/>
  <c r="O146" i="9"/>
  <c r="O868" i="11"/>
  <c r="O1394" i="7"/>
  <c r="O22" i="9"/>
  <c r="O261" i="9"/>
  <c r="O398" i="3"/>
  <c r="O158" i="7"/>
  <c r="O92" i="7"/>
  <c r="O422" i="11"/>
  <c r="O1366" i="7"/>
  <c r="O882" i="7"/>
  <c r="O55" i="7"/>
  <c r="O98" i="7"/>
  <c r="O750" i="7"/>
  <c r="O405" i="3"/>
  <c r="O263" i="9"/>
  <c r="O514" i="7"/>
  <c r="O161" i="7"/>
  <c r="O672" i="11"/>
  <c r="O892" i="7"/>
  <c r="O493" i="7"/>
  <c r="O146" i="11"/>
  <c r="O135" i="10"/>
  <c r="O866" i="7"/>
  <c r="O1345" i="7"/>
  <c r="O913" i="3"/>
  <c r="O378" i="11"/>
  <c r="O1393" i="7"/>
  <c r="O1128" i="11"/>
  <c r="O647" i="11"/>
  <c r="O1355" i="7"/>
  <c r="O30" i="11"/>
  <c r="O1387" i="7"/>
  <c r="O520" i="7"/>
  <c r="O519" i="7"/>
  <c r="O282" i="11"/>
  <c r="O347" i="11"/>
  <c r="O20" i="7"/>
  <c r="O21" i="10"/>
  <c r="O315" i="9"/>
  <c r="O937" i="3"/>
  <c r="O418" i="11"/>
  <c r="O150" i="7"/>
  <c r="O901" i="3"/>
  <c r="O8" i="10"/>
  <c r="O953" i="3"/>
  <c r="O38" i="11"/>
  <c r="O133" i="7"/>
  <c r="O421" i="3"/>
  <c r="O929" i="3"/>
  <c r="O85" i="7"/>
  <c r="O890" i="3"/>
  <c r="O404" i="3"/>
  <c r="O281" i="11"/>
  <c r="O84" i="10"/>
  <c r="O848" i="11"/>
  <c r="O425" i="11"/>
  <c r="O81" i="7"/>
  <c r="O353" i="11"/>
  <c r="O221" i="7"/>
  <c r="O426" i="11"/>
  <c r="O140" i="9"/>
  <c r="O93" i="11"/>
  <c r="O557" i="11"/>
  <c r="O25" i="10"/>
  <c r="O540" i="7"/>
  <c r="O621" i="3"/>
  <c r="O83" i="11"/>
  <c r="O349" i="11"/>
  <c r="O600" i="7"/>
  <c r="O313" i="7"/>
  <c r="O415" i="7"/>
  <c r="O85" i="11"/>
  <c r="O854" i="11"/>
  <c r="O237" i="11"/>
  <c r="O879" i="7"/>
  <c r="O392" i="11"/>
  <c r="O571" i="7"/>
  <c r="O5" i="9"/>
  <c r="O17" i="10"/>
  <c r="O366" i="11"/>
  <c r="O658" i="11"/>
  <c r="O203" i="7"/>
  <c r="O97" i="7"/>
  <c r="O30" i="9"/>
  <c r="O330" i="11"/>
  <c r="O199" i="7"/>
  <c r="O455" i="11"/>
  <c r="O944" i="3"/>
  <c r="O173" i="7"/>
  <c r="O946" i="3"/>
  <c r="O295" i="11"/>
  <c r="O1083" i="11"/>
  <c r="O23" i="7"/>
  <c r="O95" i="7"/>
  <c r="O225" i="11"/>
  <c r="O1405" i="7"/>
  <c r="O24" i="10"/>
  <c r="O33" i="11"/>
  <c r="O131" i="7"/>
  <c r="O377" i="3"/>
  <c r="O928" i="3"/>
  <c r="O534" i="7"/>
  <c r="O379" i="11"/>
  <c r="O560" i="7"/>
  <c r="O958" i="3"/>
  <c r="O176" i="7"/>
  <c r="O444" i="3"/>
  <c r="O415" i="3"/>
  <c r="O923" i="11"/>
  <c r="O1399" i="7"/>
  <c r="O22" i="10"/>
  <c r="O206" i="11"/>
  <c r="O47" i="7"/>
  <c r="O153" i="7"/>
  <c r="O945" i="3"/>
  <c r="O1116" i="11"/>
  <c r="O385" i="3"/>
  <c r="O163" i="7"/>
  <c r="O313" i="9"/>
  <c r="O421" i="7"/>
  <c r="O597" i="7"/>
  <c r="O485" i="7"/>
  <c r="O395" i="11"/>
  <c r="O187" i="7"/>
  <c r="O1086" i="11"/>
  <c r="O923" i="3"/>
  <c r="O666" i="7"/>
  <c r="O549" i="7"/>
  <c r="O84" i="7"/>
  <c r="O149" i="7"/>
  <c r="O186" i="7"/>
  <c r="O888" i="7"/>
  <c r="O201" i="11"/>
  <c r="O872" i="11"/>
  <c r="O575" i="11"/>
  <c r="O144" i="7"/>
  <c r="O201" i="9"/>
  <c r="O1367" i="7"/>
  <c r="O341" i="11"/>
  <c r="O27" i="7"/>
  <c r="O87" i="7"/>
  <c r="O1373" i="7"/>
  <c r="O863" i="7"/>
  <c r="O405" i="11"/>
  <c r="O82" i="10"/>
  <c r="O865" i="7"/>
  <c r="O399" i="3"/>
  <c r="O1119" i="11"/>
  <c r="O137" i="10"/>
  <c r="O580" i="7"/>
  <c r="O212" i="7"/>
  <c r="O955" i="11"/>
  <c r="O375" i="3"/>
  <c r="O694" i="7"/>
  <c r="O361" i="11"/>
  <c r="O1383" i="7"/>
  <c r="O391" i="11"/>
  <c r="O578" i="7"/>
  <c r="O19" i="7"/>
  <c r="O16" i="11"/>
  <c r="O318" i="9"/>
  <c r="O249" i="11"/>
  <c r="O110" i="7"/>
  <c r="O864" i="7"/>
  <c r="O940" i="3"/>
  <c r="O673" i="11"/>
  <c r="O1136" i="11"/>
  <c r="O390" i="11"/>
  <c r="O134" i="7"/>
  <c r="O381" i="3"/>
  <c r="O211" i="11"/>
  <c r="O142" i="9"/>
  <c r="O413" i="11"/>
  <c r="O1084" i="11"/>
  <c r="O17" i="11"/>
  <c r="O221" i="11"/>
  <c r="O850" i="11"/>
  <c r="O242" i="11"/>
  <c r="O1358" i="7"/>
  <c r="O403" i="3"/>
  <c r="O13" i="10"/>
  <c r="O88" i="6"/>
  <c r="O18" i="10"/>
  <c r="O1104" i="11"/>
  <c r="O120" i="7"/>
  <c r="O28" i="10"/>
  <c r="O1377" i="7"/>
  <c r="O315" i="11"/>
  <c r="O1392" i="7"/>
  <c r="O1391" i="7"/>
  <c r="O1340" i="7"/>
  <c r="O303" i="11"/>
  <c r="O649" i="11"/>
  <c r="O980" i="7"/>
  <c r="O418" i="3"/>
  <c r="O4" i="7"/>
  <c r="O239" i="11"/>
  <c r="O1386" i="7"/>
  <c r="O423" i="11"/>
  <c r="O659" i="11"/>
  <c r="O579" i="7"/>
  <c r="O429" i="3"/>
  <c r="O391" i="3"/>
  <c r="O387" i="11"/>
  <c r="O419" i="11"/>
  <c r="O91" i="7"/>
  <c r="O18" i="11"/>
  <c r="O545" i="7"/>
  <c r="O1110" i="11"/>
  <c r="O229" i="11"/>
  <c r="O372" i="3"/>
  <c r="O544" i="7"/>
  <c r="O870" i="7"/>
  <c r="O1376" i="7"/>
  <c r="O352" i="11"/>
  <c r="O395" i="3"/>
  <c r="O489" i="7"/>
  <c r="O1356" i="7"/>
  <c r="O397" i="7"/>
  <c r="O202" i="11"/>
  <c r="O669" i="11"/>
  <c r="O209" i="11"/>
  <c r="O109" i="7"/>
  <c r="O494" i="7"/>
  <c r="O11" i="9"/>
  <c r="O37" i="11"/>
  <c r="O1101" i="11"/>
  <c r="O6" i="10"/>
  <c r="O97" i="11"/>
  <c r="O1337" i="7"/>
  <c r="O443" i="3"/>
  <c r="O312" i="11"/>
  <c r="O447" i="3"/>
  <c r="O487" i="7"/>
  <c r="O160" i="7"/>
  <c r="O14" i="11"/>
  <c r="O162" i="7"/>
  <c r="O911" i="3"/>
  <c r="O1401" i="7"/>
  <c r="O834" i="7"/>
  <c r="O537" i="7"/>
  <c r="O955" i="3"/>
  <c r="O23" i="11"/>
  <c r="O343" i="7"/>
  <c r="O893" i="7"/>
  <c r="O223" i="7"/>
  <c r="O246" i="11"/>
  <c r="O342" i="11"/>
  <c r="O215" i="11"/>
  <c r="O53" i="7"/>
  <c r="O385" i="7"/>
  <c r="O38" i="7"/>
  <c r="O402" i="11"/>
  <c r="O557" i="7"/>
  <c r="O542" i="7"/>
  <c r="O457" i="11"/>
  <c r="O84" i="11"/>
  <c r="O1099" i="11"/>
  <c r="O644" i="11"/>
  <c r="O856" i="11"/>
  <c r="O596" i="7"/>
  <c r="O1349" i="7"/>
  <c r="O337" i="7"/>
  <c r="O337" i="11"/>
  <c r="O501" i="7"/>
  <c r="O887" i="7"/>
  <c r="O569" i="7"/>
  <c r="O576" i="7"/>
  <c r="O218" i="7"/>
  <c r="O664" i="11"/>
  <c r="O194" i="7"/>
  <c r="O651" i="11"/>
  <c r="O863" i="11"/>
  <c r="O637" i="11"/>
  <c r="O348" i="11"/>
  <c r="O159" i="7"/>
  <c r="O32" i="11"/>
  <c r="O656" i="11"/>
  <c r="O25" i="9"/>
  <c r="O319" i="7"/>
  <c r="O8" i="11"/>
  <c r="O451" i="7"/>
  <c r="O304" i="11"/>
  <c r="O1019" i="11"/>
  <c r="O1123" i="11"/>
  <c r="O638" i="7"/>
  <c r="O598" i="7"/>
  <c r="O411" i="11"/>
  <c r="O394" i="11"/>
  <c r="O318" i="11"/>
  <c r="O543" i="7"/>
  <c r="O271" i="11"/>
  <c r="O439" i="11"/>
  <c r="O1126" i="11"/>
  <c r="O217" i="7"/>
  <c r="O208" i="11"/>
  <c r="O967" i="3"/>
  <c r="O33" i="7"/>
  <c r="O368" i="3"/>
  <c r="O229" i="7"/>
  <c r="O371" i="11"/>
  <c r="O105" i="7"/>
  <c r="O1400" i="7"/>
  <c r="O941" i="3"/>
  <c r="O639" i="11"/>
  <c r="O17" i="7"/>
  <c r="O408" i="11"/>
  <c r="O331" i="7"/>
  <c r="O96" i="7"/>
  <c r="O436" i="3"/>
  <c r="O95" i="11"/>
  <c r="O664" i="3"/>
  <c r="O566" i="11"/>
  <c r="O853" i="11"/>
  <c r="O511" i="7"/>
  <c r="O277" i="11"/>
  <c r="O440" i="11"/>
  <c r="O14" i="9"/>
  <c r="O200" i="7"/>
  <c r="O238" i="11"/>
  <c r="O313" i="11"/>
  <c r="O1269" i="7"/>
  <c r="O319" i="11"/>
  <c r="O1112" i="11"/>
  <c r="O75" i="11"/>
  <c r="O365" i="11"/>
  <c r="O585" i="7"/>
  <c r="O634" i="11"/>
  <c r="O24" i="9"/>
  <c r="O398" i="11"/>
  <c r="O94" i="11"/>
  <c r="O197" i="11"/>
  <c r="O370" i="11"/>
  <c r="O1087" i="11"/>
  <c r="O532" i="7"/>
  <c r="O806" i="7"/>
  <c r="O102" i="7"/>
  <c r="O283" i="7"/>
  <c r="O572" i="7"/>
  <c r="O259" i="7"/>
  <c r="O897" i="3"/>
  <c r="O605" i="7"/>
  <c r="O608" i="7"/>
  <c r="O839" i="3"/>
  <c r="O457" i="7"/>
  <c r="O12" i="11"/>
  <c r="O561" i="7"/>
  <c r="O174" i="7"/>
  <c r="O855" i="11"/>
  <c r="O298" i="11"/>
  <c r="O595" i="7"/>
  <c r="O550" i="7"/>
  <c r="O778" i="7"/>
  <c r="O29" i="9"/>
  <c r="O650" i="11"/>
  <c r="O1098" i="11"/>
  <c r="O453" i="11"/>
  <c r="O905" i="3"/>
  <c r="O582" i="7"/>
  <c r="O241" i="7"/>
  <c r="O13" i="9"/>
  <c r="O383" i="3"/>
  <c r="O179" i="7"/>
  <c r="O141" i="7"/>
  <c r="O906" i="3"/>
  <c r="O80" i="11"/>
  <c r="O506" i="11"/>
  <c r="O259" i="11"/>
  <c r="O325" i="7"/>
  <c r="O80" i="7"/>
  <c r="O26" i="9"/>
  <c r="O1141" i="11"/>
  <c r="O576" i="11"/>
  <c r="O349" i="7"/>
  <c r="O143" i="7"/>
  <c r="O172" i="7"/>
  <c r="O1167" i="7"/>
  <c r="O191" i="7"/>
  <c r="O505" i="7"/>
  <c r="O19" i="11"/>
  <c r="O167" i="7"/>
  <c r="O403" i="7"/>
  <c r="O380" i="3"/>
  <c r="O232" i="11"/>
  <c r="O29" i="11"/>
  <c r="O416" i="3"/>
  <c r="O76" i="7"/>
  <c r="O638" i="11"/>
  <c r="O603" i="7"/>
  <c r="O212" i="11"/>
  <c r="O636" i="11"/>
  <c r="O963" i="3"/>
  <c r="O70" i="11"/>
  <c r="O314" i="9"/>
  <c r="O132" i="7"/>
  <c r="O882" i="3"/>
  <c r="O21" i="11"/>
  <c r="O382" i="11"/>
  <c r="O1371" i="7"/>
  <c r="O15" i="7"/>
  <c r="O1406" i="7"/>
  <c r="O1130" i="11"/>
  <c r="O875" i="7"/>
  <c r="O378" i="3"/>
  <c r="O432" i="11"/>
  <c r="O38" i="9"/>
  <c r="O301" i="7"/>
  <c r="O362" i="11"/>
  <c r="O430" i="3"/>
  <c r="O440" i="3"/>
  <c r="O959" i="3"/>
  <c r="O877" i="7"/>
  <c r="O862" i="11"/>
  <c r="O430" i="11"/>
  <c r="O217" i="11"/>
  <c r="O189" i="7"/>
  <c r="O1375" i="7"/>
  <c r="O89" i="7"/>
  <c r="O589" i="7"/>
  <c r="O83" i="10"/>
  <c r="O200" i="11"/>
  <c r="O247" i="11"/>
  <c r="O199" i="11"/>
  <c r="O496" i="7"/>
  <c r="O248" i="11"/>
  <c r="O1129" i="11"/>
  <c r="O932" i="3"/>
  <c r="O668" i="11"/>
  <c r="O219" i="11"/>
  <c r="O643" i="11"/>
  <c r="O42" i="7"/>
  <c r="O972" i="3"/>
  <c r="O536" i="7"/>
  <c r="O968" i="3"/>
  <c r="O81" i="10"/>
  <c r="O866" i="11"/>
  <c r="O1096" i="11"/>
  <c r="O94" i="7"/>
  <c r="O18" i="7"/>
  <c r="O12" i="9"/>
  <c r="O91" i="11"/>
  <c r="O574" i="7"/>
  <c r="O1320" i="7"/>
  <c r="O369" i="3"/>
  <c r="O20" i="10"/>
  <c r="O222" i="7"/>
  <c r="O1003" i="11"/>
  <c r="O632" i="11"/>
  <c r="O256" i="11"/>
  <c r="O90" i="9"/>
  <c r="O1135" i="11"/>
  <c r="O492" i="3"/>
  <c r="O16" i="9"/>
  <c r="O300" i="11"/>
  <c r="O416" i="11"/>
  <c r="O155" i="7"/>
  <c r="O220" i="11"/>
  <c r="N227" i="26" l="1"/>
  <c r="N173" i="26"/>
  <c r="N113" i="23"/>
  <c r="N67" i="26"/>
  <c r="N118" i="26"/>
  <c r="N295" i="19"/>
  <c r="N910" i="11"/>
  <c r="N708" i="11"/>
  <c r="N933" i="7"/>
  <c r="N296" i="9"/>
  <c r="N118" i="10"/>
  <c r="N646" i="7"/>
  <c r="N127" i="6"/>
  <c r="N1097" i="3"/>
  <c r="N127" i="5"/>
  <c r="N77" i="5"/>
  <c r="N50" i="20"/>
  <c r="N133" i="20"/>
  <c r="N200" i="19"/>
  <c r="N227" i="9"/>
  <c r="N39" i="2"/>
  <c r="N98" i="2"/>
  <c r="N596" i="11"/>
  <c r="N526" i="11"/>
  <c r="N476" i="11"/>
  <c r="N119" i="11"/>
  <c r="N168" i="11"/>
  <c r="N167" i="9"/>
  <c r="N112" i="9"/>
  <c r="N58" i="9"/>
  <c r="O117" i="26"/>
  <c r="O199" i="19"/>
  <c r="O67" i="26"/>
  <c r="O226" i="26"/>
  <c r="O119" i="11"/>
  <c r="O98" i="2"/>
  <c r="O596" i="11"/>
  <c r="O168" i="11"/>
  <c r="O39" i="2"/>
  <c r="O126" i="6"/>
  <c r="O295" i="19"/>
  <c r="O167" i="9"/>
  <c r="O112" i="9"/>
  <c r="O76" i="5"/>
  <c r="O112" i="23"/>
  <c r="O526" i="11"/>
  <c r="O133" i="20"/>
  <c r="O227" i="9"/>
  <c r="O476" i="11"/>
  <c r="O118" i="10"/>
  <c r="O296" i="9"/>
  <c r="O126" i="5"/>
  <c r="O50" i="20"/>
  <c r="O172" i="26"/>
  <c r="O58" i="9"/>
  <c r="N228" i="26" l="1"/>
  <c r="N174" i="26"/>
  <c r="N114" i="23"/>
  <c r="N68" i="26"/>
  <c r="N119" i="26"/>
  <c r="N296" i="19"/>
  <c r="N709" i="11"/>
  <c r="N911" i="11"/>
  <c r="N934" i="7"/>
  <c r="N297" i="9"/>
  <c r="N119" i="10"/>
  <c r="N647" i="7"/>
  <c r="N128" i="6"/>
  <c r="N1098" i="3"/>
  <c r="N128" i="5"/>
  <c r="N78" i="5"/>
  <c r="N51" i="20"/>
  <c r="N134" i="20"/>
  <c r="N201" i="19"/>
  <c r="N228" i="9"/>
  <c r="N99" i="2"/>
  <c r="N40" i="2"/>
  <c r="N597" i="11"/>
  <c r="N527" i="11"/>
  <c r="N477" i="11"/>
  <c r="N120" i="11"/>
  <c r="N169" i="11"/>
  <c r="N168" i="9"/>
  <c r="N113" i="9"/>
  <c r="N59" i="9"/>
  <c r="O1096" i="3"/>
  <c r="O708" i="11"/>
  <c r="O120" i="11"/>
  <c r="O68" i="26"/>
  <c r="O40" i="2"/>
  <c r="O113" i="23"/>
  <c r="O297" i="9"/>
  <c r="O527" i="11"/>
  <c r="O934" i="7"/>
  <c r="O227" i="26"/>
  <c r="O1097" i="3"/>
  <c r="O911" i="11"/>
  <c r="O646" i="7"/>
  <c r="O127" i="5"/>
  <c r="O168" i="9"/>
  <c r="O77" i="5"/>
  <c r="O59" i="9"/>
  <c r="O296" i="19"/>
  <c r="O99" i="2"/>
  <c r="O597" i="11"/>
  <c r="O169" i="11"/>
  <c r="O173" i="26"/>
  <c r="O709" i="11"/>
  <c r="O134" i="20"/>
  <c r="O910" i="11"/>
  <c r="O51" i="20"/>
  <c r="O477" i="11"/>
  <c r="O933" i="7"/>
  <c r="O119" i="10"/>
  <c r="O113" i="9"/>
  <c r="O200" i="19"/>
  <c r="O647" i="7"/>
  <c r="O228" i="9"/>
  <c r="O118" i="26"/>
  <c r="O127" i="6"/>
  <c r="O694" i="11"/>
  <c r="O315" i="19"/>
  <c r="O192" i="18"/>
  <c r="O632" i="7"/>
  <c r="O634" i="7"/>
  <c r="O635" i="7"/>
  <c r="O19" i="2"/>
  <c r="O637" i="7"/>
  <c r="O19" i="17"/>
  <c r="O132" i="18"/>
  <c r="O108" i="19"/>
  <c r="O19" i="20"/>
  <c r="O171" i="19"/>
  <c r="O633" i="7"/>
  <c r="O102" i="20"/>
  <c r="O91" i="20"/>
  <c r="O74" i="18"/>
  <c r="O78" i="2"/>
  <c r="O631" i="7"/>
  <c r="O18" i="18"/>
  <c r="O636" i="7"/>
  <c r="N229" i="26" l="1"/>
  <c r="N175" i="26"/>
  <c r="N115" i="23"/>
  <c r="N69" i="26"/>
  <c r="N120" i="26"/>
  <c r="N297" i="19"/>
  <c r="N912" i="11"/>
  <c r="N710" i="11"/>
  <c r="N935" i="7"/>
  <c r="N298" i="9"/>
  <c r="N120" i="10"/>
  <c r="N648" i="7"/>
  <c r="N129" i="6"/>
  <c r="N1099" i="3"/>
  <c r="N129" i="5"/>
  <c r="N79" i="5"/>
  <c r="N52" i="20"/>
  <c r="N135" i="20"/>
  <c r="N202" i="19"/>
  <c r="N229" i="9"/>
  <c r="N41" i="2"/>
  <c r="N100" i="2"/>
  <c r="N598" i="11"/>
  <c r="N528" i="11"/>
  <c r="N478" i="11"/>
  <c r="N121" i="11"/>
  <c r="N170" i="11"/>
  <c r="N169" i="9"/>
  <c r="N114" i="9"/>
  <c r="N60" i="9"/>
  <c r="O298" i="9"/>
  <c r="O114" i="9"/>
  <c r="O69" i="26"/>
  <c r="O598" i="11"/>
  <c r="O114" i="23"/>
  <c r="O60" i="9"/>
  <c r="O128" i="5"/>
  <c r="O119" i="26"/>
  <c r="O41" i="2"/>
  <c r="O201" i="19"/>
  <c r="O297" i="19"/>
  <c r="O228" i="26"/>
  <c r="O78" i="5"/>
  <c r="O478" i="11"/>
  <c r="O229" i="9"/>
  <c r="O169" i="9"/>
  <c r="O174" i="26"/>
  <c r="O128" i="6"/>
  <c r="O121" i="11"/>
  <c r="O135" i="20"/>
  <c r="O120" i="10"/>
  <c r="O528" i="11"/>
  <c r="O170" i="11"/>
  <c r="O52" i="20"/>
  <c r="O100" i="2"/>
  <c r="N230" i="26" l="1"/>
  <c r="N176" i="26"/>
  <c r="N116" i="23"/>
  <c r="N70" i="26"/>
  <c r="N121" i="26"/>
  <c r="N298" i="19"/>
  <c r="N711" i="11"/>
  <c r="N913" i="11"/>
  <c r="N936" i="7"/>
  <c r="N299" i="9"/>
  <c r="N121" i="10"/>
  <c r="N649" i="7"/>
  <c r="N130" i="6"/>
  <c r="N1100" i="3"/>
  <c r="N130" i="5"/>
  <c r="N80" i="5"/>
  <c r="N53" i="20"/>
  <c r="N136" i="20"/>
  <c r="N203" i="19"/>
  <c r="N230" i="9"/>
  <c r="N101" i="2"/>
  <c r="N42" i="2"/>
  <c r="N599" i="11"/>
  <c r="N529" i="11"/>
  <c r="N479" i="11"/>
  <c r="N122" i="11"/>
  <c r="N171" i="11"/>
  <c r="N170" i="9"/>
  <c r="N115" i="9"/>
  <c r="N61" i="9"/>
  <c r="O229" i="26"/>
  <c r="O298" i="19"/>
  <c r="O101" i="2"/>
  <c r="O175" i="26"/>
  <c r="O129" i="5"/>
  <c r="O230" i="9"/>
  <c r="O935" i="7"/>
  <c r="O936" i="7"/>
  <c r="O79" i="5"/>
  <c r="O913" i="11"/>
  <c r="O479" i="11"/>
  <c r="O52" i="19"/>
  <c r="O120" i="26"/>
  <c r="O121" i="10"/>
  <c r="O136" i="20"/>
  <c r="O170" i="9"/>
  <c r="O202" i="19"/>
  <c r="O1098" i="3"/>
  <c r="O42" i="2"/>
  <c r="O912" i="11"/>
  <c r="O599" i="11"/>
  <c r="O53" i="20"/>
  <c r="O299" i="9"/>
  <c r="O529" i="11"/>
  <c r="O710" i="11"/>
  <c r="O129" i="6"/>
  <c r="O115" i="23"/>
  <c r="O70" i="26"/>
  <c r="O115" i="9"/>
  <c r="O171" i="11"/>
  <c r="O649" i="7"/>
  <c r="O648" i="7"/>
  <c r="O122" i="11"/>
  <c r="O711" i="11"/>
  <c r="O1099" i="3"/>
  <c r="O61" i="9"/>
  <c r="O51" i="19"/>
  <c r="N231" i="26" l="1"/>
  <c r="N177" i="26"/>
  <c r="N117" i="23"/>
  <c r="N71" i="26"/>
  <c r="N122" i="26"/>
  <c r="N299" i="19"/>
  <c r="N914" i="11"/>
  <c r="N712" i="11"/>
  <c r="N937" i="7"/>
  <c r="N300" i="9"/>
  <c r="N122" i="10"/>
  <c r="N650" i="7"/>
  <c r="N131" i="6"/>
  <c r="N1101" i="3"/>
  <c r="N131" i="5"/>
  <c r="N81" i="5"/>
  <c r="N54" i="20"/>
  <c r="N137" i="20"/>
  <c r="N204" i="19"/>
  <c r="N231" i="9"/>
  <c r="N43" i="2"/>
  <c r="N102" i="2"/>
  <c r="N600" i="11"/>
  <c r="N530" i="11"/>
  <c r="N480" i="11"/>
  <c r="N123" i="11"/>
  <c r="N172" i="11"/>
  <c r="N171" i="9"/>
  <c r="N116" i="9"/>
  <c r="N62" i="9"/>
  <c r="O102" i="2"/>
  <c r="O300" i="9"/>
  <c r="O176" i="26"/>
  <c r="O600" i="11"/>
  <c r="O80" i="5"/>
  <c r="O130" i="5"/>
  <c r="O171" i="9"/>
  <c r="O62" i="9"/>
  <c r="O116" i="23"/>
  <c r="O480" i="11"/>
  <c r="O130" i="6"/>
  <c r="O122" i="10"/>
  <c r="O54" i="20"/>
  <c r="O914" i="11"/>
  <c r="O203" i="19"/>
  <c r="O137" i="20"/>
  <c r="O712" i="11"/>
  <c r="O43" i="2"/>
  <c r="O1100" i="3"/>
  <c r="O530" i="11"/>
  <c r="O121" i="26"/>
  <c r="O230" i="26"/>
  <c r="O937" i="7"/>
  <c r="O71" i="26"/>
  <c r="O53" i="19"/>
  <c r="O172" i="11"/>
  <c r="O299" i="19"/>
  <c r="O231" i="9"/>
  <c r="O650" i="7"/>
  <c r="O116" i="9"/>
  <c r="O123" i="11"/>
  <c r="N232" i="26" l="1"/>
  <c r="N178" i="26"/>
  <c r="N118" i="23"/>
  <c r="N72" i="26"/>
  <c r="N123" i="26"/>
  <c r="N300" i="19"/>
  <c r="N713" i="11"/>
  <c r="N915" i="11"/>
  <c r="N938" i="7"/>
  <c r="N301" i="9"/>
  <c r="N123" i="10"/>
  <c r="N651" i="7"/>
  <c r="N132" i="6"/>
  <c r="N1102" i="3"/>
  <c r="N132" i="5"/>
  <c r="N82" i="5"/>
  <c r="N55" i="20"/>
  <c r="N138" i="20"/>
  <c r="N205" i="19"/>
  <c r="N232" i="9"/>
  <c r="N103" i="2"/>
  <c r="N44" i="2"/>
  <c r="N601" i="11"/>
  <c r="N531" i="11"/>
  <c r="N481" i="11"/>
  <c r="N124" i="11"/>
  <c r="N173" i="11"/>
  <c r="N172" i="9"/>
  <c r="N117" i="9"/>
  <c r="N63" i="9"/>
  <c r="O117" i="23"/>
  <c r="O103" i="2"/>
  <c r="O177" i="26"/>
  <c r="O301" i="9"/>
  <c r="O63" i="9"/>
  <c r="O124" i="11"/>
  <c r="O72" i="26"/>
  <c r="O651" i="7"/>
  <c r="O481" i="11"/>
  <c r="O117" i="9"/>
  <c r="O123" i="10"/>
  <c r="O232" i="9"/>
  <c r="O138" i="20"/>
  <c r="O713" i="11"/>
  <c r="O231" i="26"/>
  <c r="O915" i="11"/>
  <c r="O204" i="19"/>
  <c r="O938" i="7"/>
  <c r="O122" i="26"/>
  <c r="O172" i="9"/>
  <c r="O131" i="5"/>
  <c r="O601" i="11"/>
  <c r="O44" i="2"/>
  <c r="O55" i="20"/>
  <c r="O81" i="5"/>
  <c r="O173" i="11"/>
  <c r="O131" i="6"/>
  <c r="O531" i="11"/>
  <c r="O1101" i="3"/>
  <c r="O13" i="22"/>
  <c r="O188" i="22"/>
  <c r="O121" i="3"/>
  <c r="O46" i="22"/>
  <c r="O74" i="2"/>
  <c r="O224" i="23"/>
  <c r="O81" i="21"/>
  <c r="O22" i="22"/>
  <c r="O103" i="3"/>
  <c r="O3" i="5"/>
  <c r="O179" i="18"/>
  <c r="O89" i="22"/>
  <c r="O423" i="20"/>
  <c r="O102" i="3"/>
  <c r="O173" i="3"/>
  <c r="O7" i="23"/>
  <c r="O308" i="3"/>
  <c r="O117" i="3"/>
  <c r="O143" i="21"/>
  <c r="O259" i="3"/>
  <c r="O299" i="18"/>
  <c r="O255" i="18"/>
  <c r="O247" i="3"/>
  <c r="O164" i="19"/>
  <c r="O16" i="2"/>
  <c r="O12" i="18"/>
  <c r="O181" i="22"/>
  <c r="O62" i="3"/>
  <c r="O228" i="23"/>
  <c r="O45" i="19"/>
  <c r="O68" i="3"/>
  <c r="O342" i="3"/>
  <c r="O323" i="3"/>
  <c r="O1428" i="3"/>
  <c r="O8" i="18"/>
  <c r="O126" i="18"/>
  <c r="O242" i="23"/>
  <c r="O181" i="23"/>
  <c r="O156" i="19"/>
  <c r="O295" i="22"/>
  <c r="O16" i="22"/>
  <c r="O1360" i="3"/>
  <c r="O156" i="21"/>
  <c r="O56" i="16"/>
  <c r="O16" i="16"/>
  <c r="O224" i="20"/>
  <c r="O169" i="22"/>
  <c r="O278" i="18"/>
  <c r="O170" i="23"/>
  <c r="O75" i="22"/>
  <c r="O13" i="17"/>
  <c r="O285" i="22"/>
  <c r="O328" i="20"/>
  <c r="O374" i="19"/>
  <c r="O179" i="20"/>
  <c r="O15" i="6"/>
  <c r="O186" i="18"/>
  <c r="O27" i="3"/>
  <c r="O267" i="23"/>
  <c r="O12" i="22"/>
  <c r="O266" i="22"/>
  <c r="O187" i="21"/>
  <c r="O401" i="20"/>
  <c r="O398" i="19"/>
  <c r="O35" i="5"/>
  <c r="O274" i="23"/>
  <c r="O271" i="21"/>
  <c r="O317" i="20"/>
  <c r="O72" i="16"/>
  <c r="O8" i="16"/>
  <c r="O79" i="20"/>
  <c r="O338" i="3"/>
  <c r="O206" i="20"/>
  <c r="O57" i="21"/>
  <c r="O376" i="20"/>
  <c r="O141" i="22"/>
  <c r="O1422" i="3"/>
  <c r="O346" i="3"/>
  <c r="O1355" i="3"/>
  <c r="O1442" i="3"/>
  <c r="O125" i="18"/>
  <c r="O4" i="14"/>
  <c r="O69" i="20"/>
  <c r="O346" i="20"/>
  <c r="O299" i="21"/>
  <c r="O150" i="20"/>
  <c r="O147" i="22"/>
  <c r="O180" i="3"/>
  <c r="O259" i="22"/>
  <c r="O71" i="20"/>
  <c r="O19" i="5"/>
  <c r="O227" i="20"/>
  <c r="O210" i="22"/>
  <c r="O1406" i="3"/>
  <c r="O1350" i="3"/>
  <c r="O1409" i="3"/>
  <c r="O255" i="3"/>
  <c r="O1385" i="3"/>
  <c r="O196" i="23"/>
  <c r="O239" i="18"/>
  <c r="O261" i="22"/>
  <c r="O86" i="20"/>
  <c r="O274" i="21"/>
  <c r="O33" i="3"/>
  <c r="O212" i="22"/>
  <c r="O253" i="3"/>
  <c r="O280" i="20"/>
  <c r="O164" i="3"/>
  <c r="O129" i="18"/>
  <c r="O227" i="3"/>
  <c r="O212" i="21"/>
  <c r="O1386" i="3"/>
  <c r="O259" i="18"/>
  <c r="O244" i="18"/>
  <c r="O253" i="18"/>
  <c r="O223" i="3"/>
  <c r="O75" i="17"/>
  <c r="O415" i="20"/>
  <c r="O156" i="20"/>
  <c r="O191" i="3"/>
  <c r="O414" i="20"/>
  <c r="O9" i="22"/>
  <c r="O3" i="3"/>
  <c r="O69" i="18"/>
  <c r="O232" i="3"/>
  <c r="O19" i="6"/>
  <c r="O77" i="21"/>
  <c r="O82" i="16"/>
  <c r="O418" i="20"/>
  <c r="O187" i="23"/>
  <c r="O411" i="20"/>
  <c r="O193" i="23"/>
  <c r="O297" i="21"/>
  <c r="O291" i="22"/>
  <c r="O185" i="23"/>
  <c r="O274" i="3"/>
  <c r="O1396" i="3"/>
  <c r="O1357" i="3"/>
  <c r="O110" i="16"/>
  <c r="O5" i="17"/>
  <c r="O222" i="20"/>
  <c r="O277" i="18"/>
  <c r="O303" i="22"/>
  <c r="O161" i="20"/>
  <c r="O37" i="16"/>
  <c r="O162" i="21"/>
  <c r="O157" i="20"/>
  <c r="O135" i="21"/>
  <c r="O26" i="23"/>
  <c r="O147" i="5"/>
  <c r="O200" i="21"/>
  <c r="O1417" i="3"/>
  <c r="O110" i="3"/>
  <c r="O284" i="22"/>
  <c r="O436" i="20"/>
  <c r="O209" i="22"/>
  <c r="O130" i="18"/>
  <c r="O249" i="23"/>
  <c r="O97" i="16"/>
  <c r="O118" i="3"/>
  <c r="O251" i="22"/>
  <c r="O135" i="2"/>
  <c r="O65" i="18"/>
  <c r="O1397" i="3"/>
  <c r="O174" i="22"/>
  <c r="O364" i="19"/>
  <c r="O210" i="20"/>
  <c r="O125" i="22"/>
  <c r="O186" i="23"/>
  <c r="O55" i="21"/>
  <c r="O26" i="6"/>
  <c r="O96" i="22"/>
  <c r="O206" i="23"/>
  <c r="O148" i="21"/>
  <c r="O108" i="16"/>
  <c r="O14" i="5"/>
  <c r="O238" i="18"/>
  <c r="O68" i="2"/>
  <c r="O67" i="16"/>
  <c r="O333" i="20"/>
  <c r="O204" i="20"/>
  <c r="O183" i="18"/>
  <c r="O250" i="22"/>
  <c r="O7" i="2"/>
  <c r="O62" i="16"/>
  <c r="O42" i="3"/>
  <c r="O155" i="20"/>
  <c r="O209" i="20"/>
  <c r="O128" i="22"/>
  <c r="O180" i="23"/>
  <c r="O13" i="16"/>
  <c r="O34" i="23"/>
  <c r="O15" i="21"/>
  <c r="O314" i="20"/>
  <c r="O305" i="22"/>
  <c r="O289" i="21"/>
  <c r="O83" i="16"/>
  <c r="O83" i="22"/>
  <c r="O14" i="23"/>
  <c r="O176" i="3"/>
  <c r="O274" i="22"/>
  <c r="O1441" i="3"/>
  <c r="O127" i="18"/>
  <c r="O45" i="21"/>
  <c r="O19" i="3"/>
  <c r="O55" i="16"/>
  <c r="O1411" i="3"/>
  <c r="O344" i="3"/>
  <c r="O15" i="20"/>
  <c r="O274" i="18"/>
  <c r="O83" i="25"/>
  <c r="O327" i="20"/>
  <c r="O288" i="20"/>
  <c r="O157" i="19"/>
  <c r="O299" i="22"/>
  <c r="O198" i="22"/>
  <c r="O345" i="20"/>
  <c r="O1375" i="3"/>
  <c r="O81" i="25"/>
  <c r="O153" i="22"/>
  <c r="O145" i="3"/>
  <c r="O313" i="21"/>
  <c r="O363" i="19"/>
  <c r="O340" i="20"/>
  <c r="O205" i="21"/>
  <c r="O279" i="20"/>
  <c r="O33" i="21"/>
  <c r="O216" i="22"/>
  <c r="O305" i="3"/>
  <c r="O26" i="5"/>
  <c r="O248" i="18"/>
  <c r="O252" i="21"/>
  <c r="O195" i="22"/>
  <c r="O289" i="3"/>
  <c r="O211" i="23"/>
  <c r="O354" i="20"/>
  <c r="O384" i="19"/>
  <c r="O36" i="5"/>
  <c r="O186" i="3"/>
  <c r="O142" i="3"/>
  <c r="O319" i="3"/>
  <c r="O1367" i="3"/>
  <c r="O251" i="3"/>
  <c r="O143" i="3"/>
  <c r="O286" i="18"/>
  <c r="O174" i="20"/>
  <c r="O226" i="20"/>
  <c r="O146" i="21"/>
  <c r="O4" i="15"/>
  <c r="O84" i="20"/>
  <c r="O5" i="3"/>
  <c r="O168" i="21"/>
  <c r="O291" i="21"/>
  <c r="O92" i="22"/>
  <c r="O223" i="21"/>
  <c r="O25" i="23"/>
  <c r="O10" i="3"/>
  <c r="O124" i="18"/>
  <c r="O166" i="3"/>
  <c r="O264" i="20"/>
  <c r="O251" i="18"/>
  <c r="O301" i="22"/>
  <c r="O18" i="20"/>
  <c r="O6" i="16"/>
  <c r="O94" i="21"/>
  <c r="O189" i="3"/>
  <c r="O262" i="23"/>
  <c r="O262" i="20"/>
  <c r="O174" i="23"/>
  <c r="O249" i="21"/>
  <c r="O4" i="9"/>
  <c r="O259" i="21"/>
  <c r="O283" i="21"/>
  <c r="O269" i="18"/>
  <c r="O1374" i="3"/>
  <c r="O182" i="18"/>
  <c r="O1363" i="3"/>
  <c r="O25" i="22"/>
  <c r="O293" i="20"/>
  <c r="O282" i="21"/>
  <c r="O18" i="2"/>
  <c r="O1414" i="3"/>
  <c r="O304" i="19"/>
  <c r="O257" i="21"/>
  <c r="O132" i="22"/>
  <c r="O231" i="23"/>
  <c r="O63" i="18"/>
  <c r="O153" i="21"/>
  <c r="O76" i="20"/>
  <c r="O298" i="21"/>
  <c r="O248" i="23"/>
  <c r="O225" i="22"/>
  <c r="O72" i="22"/>
  <c r="O10" i="15"/>
  <c r="O325" i="20"/>
  <c r="O96" i="20"/>
  <c r="O185" i="18"/>
  <c r="O123" i="22"/>
  <c r="O42" i="22"/>
  <c r="O379" i="20"/>
  <c r="O13" i="18"/>
  <c r="O17" i="16"/>
  <c r="O246" i="19"/>
  <c r="O426" i="20"/>
  <c r="O31" i="6"/>
  <c r="O282" i="20"/>
  <c r="O203" i="21"/>
  <c r="O433" i="20"/>
  <c r="O261" i="18"/>
  <c r="O272" i="22"/>
  <c r="O17" i="23"/>
  <c r="O40" i="16"/>
  <c r="O248" i="21"/>
  <c r="O1391" i="3"/>
  <c r="O243" i="3"/>
  <c r="O198" i="3"/>
  <c r="O274" i="20"/>
  <c r="O88" i="21"/>
  <c r="O138" i="3"/>
  <c r="O31" i="3"/>
  <c r="O60" i="16"/>
  <c r="O151" i="21"/>
  <c r="O304" i="18"/>
  <c r="O261" i="3"/>
  <c r="O25" i="16"/>
  <c r="O258" i="20"/>
  <c r="O256" i="22"/>
  <c r="O178" i="18"/>
  <c r="O188" i="18"/>
  <c r="O308" i="22"/>
  <c r="O6" i="17"/>
  <c r="O1419" i="3"/>
  <c r="O26" i="21"/>
  <c r="O67" i="3"/>
  <c r="O317" i="21"/>
  <c r="O168" i="19"/>
  <c r="O154" i="3"/>
  <c r="O267" i="20"/>
  <c r="O40" i="22"/>
  <c r="O263" i="23"/>
  <c r="O28" i="6"/>
  <c r="O330" i="3"/>
  <c r="O212" i="20"/>
  <c r="O306" i="22"/>
  <c r="O5" i="15"/>
  <c r="O127" i="22"/>
  <c r="O1380" i="3"/>
  <c r="O429" i="20"/>
  <c r="O44" i="19"/>
  <c r="O67" i="17"/>
  <c r="O190" i="22"/>
  <c r="O71" i="16"/>
  <c r="O23" i="6"/>
  <c r="O386" i="20"/>
  <c r="O137" i="3"/>
  <c r="O268" i="18"/>
  <c r="O98" i="20"/>
  <c r="O259" i="20"/>
  <c r="O100" i="21"/>
  <c r="O258" i="21"/>
  <c r="O39" i="21"/>
  <c r="O144" i="3"/>
  <c r="O253" i="21"/>
  <c r="O300" i="18"/>
  <c r="O33" i="16"/>
  <c r="O90" i="21"/>
  <c r="O105" i="3"/>
  <c r="O1352" i="3"/>
  <c r="O439" i="20"/>
  <c r="O201" i="20"/>
  <c r="O50" i="16"/>
  <c r="O198" i="23"/>
  <c r="O151" i="3"/>
  <c r="O206" i="3"/>
  <c r="O214" i="21"/>
  <c r="O442" i="20"/>
  <c r="O193" i="22"/>
  <c r="O149" i="21"/>
  <c r="O293" i="22"/>
  <c r="O159" i="3"/>
  <c r="O192" i="21"/>
  <c r="O431" i="20"/>
  <c r="O85" i="20"/>
  <c r="O53" i="22"/>
  <c r="O94" i="22"/>
  <c r="O149" i="5"/>
  <c r="O77" i="2"/>
  <c r="O18" i="17"/>
  <c r="O237" i="20"/>
  <c r="O387" i="20"/>
  <c r="O188" i="3"/>
  <c r="O35" i="23"/>
  <c r="O51" i="22"/>
  <c r="O174" i="3"/>
  <c r="O102" i="21"/>
  <c r="O63" i="3"/>
  <c r="O177" i="22"/>
  <c r="O29" i="22"/>
  <c r="O157" i="22"/>
  <c r="O256" i="18"/>
  <c r="O270" i="21"/>
  <c r="O51" i="21"/>
  <c r="O226" i="3"/>
  <c r="O1425" i="3"/>
  <c r="O22" i="6"/>
  <c r="O17" i="21"/>
  <c r="O37" i="5"/>
  <c r="O91" i="22"/>
  <c r="O167" i="20"/>
  <c r="O343" i="20"/>
  <c r="O1426" i="3"/>
  <c r="O219" i="23"/>
  <c r="O23" i="21"/>
  <c r="O92" i="16"/>
  <c r="O16" i="17"/>
  <c r="O24" i="5"/>
  <c r="O52" i="21"/>
  <c r="O168" i="23"/>
  <c r="O38" i="3"/>
  <c r="O275" i="23"/>
  <c r="O305" i="19"/>
  <c r="O393" i="19"/>
  <c r="O68" i="20"/>
  <c r="O12" i="5"/>
  <c r="O290" i="22"/>
  <c r="O347" i="3"/>
  <c r="O11" i="2"/>
  <c r="O267" i="22"/>
  <c r="O205" i="3"/>
  <c r="O281" i="22"/>
  <c r="O1403" i="3"/>
  <c r="O235" i="3"/>
  <c r="O141" i="3"/>
  <c r="O133" i="2"/>
  <c r="O1373" i="3"/>
  <c r="O1434" i="3"/>
  <c r="O252" i="22"/>
  <c r="O264" i="21"/>
  <c r="O100" i="22"/>
  <c r="O130" i="3"/>
  <c r="O247" i="22"/>
  <c r="O270" i="3"/>
  <c r="O34" i="6"/>
  <c r="O341" i="3"/>
  <c r="O268" i="23"/>
  <c r="O40" i="21"/>
  <c r="O151" i="20"/>
  <c r="O285" i="18"/>
  <c r="O213" i="21"/>
  <c r="O279" i="23"/>
  <c r="O136" i="21"/>
  <c r="O126" i="3"/>
  <c r="O159" i="22"/>
  <c r="O1412" i="3"/>
  <c r="O245" i="18"/>
  <c r="O55" i="22"/>
  <c r="O103" i="21"/>
  <c r="O160" i="21"/>
  <c r="O210" i="3"/>
  <c r="O408" i="19"/>
  <c r="O258" i="18"/>
  <c r="O20" i="16"/>
  <c r="O208" i="23"/>
  <c r="O215" i="20"/>
  <c r="O214" i="3"/>
  <c r="O32" i="23"/>
  <c r="O172" i="20"/>
  <c r="O145" i="6"/>
  <c r="O292" i="18"/>
  <c r="O179" i="3"/>
  <c r="O260" i="23"/>
  <c r="O46" i="21"/>
  <c r="O394" i="20"/>
  <c r="O47" i="16"/>
  <c r="O10" i="19"/>
  <c r="O171" i="3"/>
  <c r="O336" i="20"/>
  <c r="O1404" i="3"/>
  <c r="O4" i="6"/>
  <c r="O20" i="6"/>
  <c r="O63" i="22"/>
  <c r="O245" i="22"/>
  <c r="O52" i="22"/>
  <c r="O276" i="21"/>
  <c r="O307" i="18"/>
  <c r="O76" i="16"/>
  <c r="O232" i="23"/>
  <c r="O9" i="17"/>
  <c r="O12" i="17"/>
  <c r="O31" i="5"/>
  <c r="O407" i="20"/>
  <c r="O183" i="3"/>
  <c r="O318" i="20"/>
  <c r="O1398" i="3"/>
  <c r="O301" i="3"/>
  <c r="O25" i="21"/>
  <c r="O28" i="22"/>
  <c r="O143" i="25"/>
  <c r="O278" i="3"/>
  <c r="O9" i="2"/>
  <c r="O234" i="20"/>
  <c r="O15" i="18"/>
  <c r="O246" i="23"/>
  <c r="O210" i="23"/>
  <c r="O15" i="5"/>
  <c r="O355" i="3"/>
  <c r="O28" i="3"/>
  <c r="O11" i="22"/>
  <c r="O311" i="3"/>
  <c r="O11" i="15"/>
  <c r="O18" i="6"/>
  <c r="O300" i="21"/>
  <c r="O178" i="20"/>
  <c r="O244" i="19"/>
  <c r="O89" i="20"/>
  <c r="O20" i="19"/>
  <c r="O263" i="21"/>
  <c r="O61" i="16"/>
  <c r="O19" i="23"/>
  <c r="O88" i="22"/>
  <c r="O36" i="21"/>
  <c r="O153" i="3"/>
  <c r="O270" i="23"/>
  <c r="O82" i="22"/>
  <c r="O24" i="16"/>
  <c r="O27" i="23"/>
  <c r="O167" i="3"/>
  <c r="O197" i="22"/>
  <c r="O160" i="3"/>
  <c r="O167" i="23"/>
  <c r="O167" i="22"/>
  <c r="O28" i="19"/>
  <c r="O117" i="22"/>
  <c r="O192" i="3"/>
  <c r="O166" i="19"/>
  <c r="O262" i="22"/>
  <c r="O263" i="20"/>
  <c r="O148" i="25"/>
  <c r="O207" i="20"/>
  <c r="O361" i="19"/>
  <c r="O71" i="22"/>
  <c r="O273" i="22"/>
  <c r="O153" i="20"/>
  <c r="O179" i="23"/>
  <c r="O139" i="21"/>
  <c r="O1413" i="3"/>
  <c r="O163" i="22"/>
  <c r="O404" i="20"/>
  <c r="O223" i="20"/>
  <c r="O302" i="18"/>
  <c r="O309" i="18"/>
  <c r="O307" i="3"/>
  <c r="O317" i="3"/>
  <c r="O281" i="3"/>
  <c r="O162" i="20"/>
  <c r="O246" i="3"/>
  <c r="O193" i="21"/>
  <c r="O260" i="20"/>
  <c r="O203" i="20"/>
  <c r="O37" i="23"/>
  <c r="O20" i="22"/>
  <c r="O290" i="20"/>
  <c r="O99" i="19"/>
  <c r="O263" i="22"/>
  <c r="O165" i="22"/>
  <c r="O221" i="21"/>
  <c r="O51" i="16"/>
  <c r="O265" i="23"/>
  <c r="O396" i="20"/>
  <c r="O203" i="3"/>
  <c r="O271" i="3"/>
  <c r="O31" i="22"/>
  <c r="O331" i="20"/>
  <c r="O260" i="18"/>
  <c r="O14" i="6"/>
  <c r="O366" i="19"/>
  <c r="O70" i="18"/>
  <c r="O269" i="22"/>
  <c r="O1356" i="3"/>
  <c r="O90" i="22"/>
  <c r="O109" i="22"/>
  <c r="O59" i="16"/>
  <c r="O108" i="3"/>
  <c r="O91" i="16"/>
  <c r="O83" i="21"/>
  <c r="O326" i="3"/>
  <c r="O7" i="22"/>
  <c r="O66" i="17"/>
  <c r="O267" i="3"/>
  <c r="O69" i="2"/>
  <c r="O248" i="22"/>
  <c r="O307" i="19"/>
  <c r="O74" i="21"/>
  <c r="O326" i="20"/>
  <c r="O293" i="18"/>
  <c r="O139" i="3"/>
  <c r="O245" i="3"/>
  <c r="O235" i="22"/>
  <c r="O190" i="21"/>
  <c r="O166" i="22"/>
  <c r="O331" i="3"/>
  <c r="O80" i="16"/>
  <c r="O6" i="15"/>
  <c r="O20" i="5"/>
  <c r="O250" i="23"/>
  <c r="O85" i="25"/>
  <c r="O396" i="19"/>
  <c r="O25" i="5"/>
  <c r="O246" i="18"/>
  <c r="O141" i="25"/>
  <c r="O1361" i="3"/>
  <c r="O153" i="19"/>
  <c r="O36" i="23"/>
  <c r="O95" i="22"/>
  <c r="O99" i="21"/>
  <c r="O376" i="19"/>
  <c r="O256" i="21"/>
  <c r="O187" i="3"/>
  <c r="O222" i="21"/>
  <c r="O119" i="3"/>
  <c r="O124" i="22"/>
  <c r="O197" i="3"/>
  <c r="O247" i="23"/>
  <c r="O161" i="22"/>
  <c r="O225" i="23"/>
  <c r="O4" i="5"/>
  <c r="O14" i="21"/>
  <c r="O18" i="23"/>
  <c r="O175" i="23"/>
  <c r="O17" i="3"/>
  <c r="O96" i="19"/>
  <c r="O412" i="20"/>
  <c r="O264" i="3"/>
  <c r="O424" i="20"/>
  <c r="O382" i="19"/>
  <c r="O336" i="3"/>
  <c r="O19" i="21"/>
  <c r="O231" i="22"/>
  <c r="O184" i="22"/>
  <c r="O17" i="17"/>
  <c r="O172" i="22"/>
  <c r="O329" i="3"/>
  <c r="O9" i="3"/>
  <c r="O1376" i="3"/>
  <c r="O312" i="19"/>
  <c r="O176" i="20"/>
  <c r="O381" i="19"/>
  <c r="O271" i="23"/>
  <c r="O44" i="16"/>
  <c r="O106" i="19"/>
  <c r="O261" i="23"/>
  <c r="O149" i="22"/>
  <c r="O82" i="21"/>
  <c r="O7" i="5"/>
  <c r="O1387" i="3"/>
  <c r="O34" i="5"/>
  <c r="O58" i="22"/>
  <c r="O88" i="25"/>
  <c r="O385" i="19"/>
  <c r="O351" i="20"/>
  <c r="O195" i="21"/>
  <c r="O13" i="3"/>
  <c r="O66" i="22"/>
  <c r="O353" i="3"/>
  <c r="O1369" i="3"/>
  <c r="O23" i="22"/>
  <c r="O34" i="16"/>
  <c r="O161" i="19"/>
  <c r="O68" i="18"/>
  <c r="O200" i="23"/>
  <c r="O109" i="16"/>
  <c r="O341" i="20"/>
  <c r="O22" i="19"/>
  <c r="O60" i="3"/>
  <c r="O144" i="21"/>
  <c r="O251" i="21"/>
  <c r="O119" i="18"/>
  <c r="O70" i="17"/>
  <c r="O25" i="3"/>
  <c r="O290" i="3"/>
  <c r="O218" i="23"/>
  <c r="O78" i="20"/>
  <c r="O135" i="22"/>
  <c r="O184" i="18"/>
  <c r="O54" i="21"/>
  <c r="O180" i="20"/>
  <c r="O265" i="18"/>
  <c r="O1389" i="3"/>
  <c r="O200" i="22"/>
  <c r="O61" i="3"/>
  <c r="O16" i="3"/>
  <c r="O280" i="23"/>
  <c r="O225" i="20"/>
  <c r="O36" i="3"/>
  <c r="O41" i="19"/>
  <c r="O191" i="22"/>
  <c r="O120" i="22"/>
  <c r="O310" i="21"/>
  <c r="O16" i="20"/>
  <c r="O194" i="23"/>
  <c r="O136" i="3"/>
  <c r="O10" i="16"/>
  <c r="O216" i="3"/>
  <c r="O321" i="3"/>
  <c r="O278" i="23"/>
  <c r="O141" i="6"/>
  <c r="O218" i="20"/>
  <c r="O281" i="21"/>
  <c r="O4" i="17"/>
  <c r="O112" i="3"/>
  <c r="O275" i="20"/>
  <c r="O169" i="20"/>
  <c r="O244" i="23"/>
  <c r="O188" i="21"/>
  <c r="O12" i="6"/>
  <c r="O268" i="20"/>
  <c r="O278" i="21"/>
  <c r="O158" i="23"/>
  <c r="O159" i="23"/>
  <c r="O241" i="23"/>
  <c r="O29" i="16"/>
  <c r="O306" i="18"/>
  <c r="O237" i="23"/>
  <c r="O95" i="21"/>
  <c r="O131" i="21"/>
  <c r="O147" i="3"/>
  <c r="O158" i="19"/>
  <c r="O21" i="22"/>
  <c r="O185" i="3"/>
  <c r="O144" i="25"/>
  <c r="O19" i="16"/>
  <c r="O228" i="22"/>
  <c r="O233" i="23"/>
  <c r="O75" i="21"/>
  <c r="O23" i="16"/>
  <c r="O8" i="3"/>
  <c r="O79" i="16"/>
  <c r="O104" i="3"/>
  <c r="O225" i="3"/>
  <c r="O50" i="21"/>
  <c r="O15" i="16"/>
  <c r="O1433" i="3"/>
  <c r="O170" i="19"/>
  <c r="O345" i="3"/>
  <c r="O303" i="18"/>
  <c r="O401" i="19"/>
  <c r="O289" i="18"/>
  <c r="O269" i="23"/>
  <c r="O139" i="22"/>
  <c r="O219" i="21"/>
  <c r="O314" i="19"/>
  <c r="O118" i="22"/>
  <c r="O284" i="18"/>
  <c r="O312" i="3"/>
  <c r="O286" i="22"/>
  <c r="O209" i="23"/>
  <c r="O287" i="21"/>
  <c r="O30" i="5"/>
  <c r="O165" i="20"/>
  <c r="O210" i="21"/>
  <c r="O140" i="22"/>
  <c r="O170" i="22"/>
  <c r="O149" i="3"/>
  <c r="O312" i="21"/>
  <c r="O328" i="3"/>
  <c r="O216" i="20"/>
  <c r="O318" i="3"/>
  <c r="O211" i="21"/>
  <c r="O1388" i="3"/>
  <c r="O250" i="18"/>
  <c r="O434" i="20"/>
  <c r="O180" i="22"/>
  <c r="O111" i="21"/>
  <c r="O8" i="6"/>
  <c r="O335" i="20"/>
  <c r="O172" i="3"/>
  <c r="O443" i="20"/>
  <c r="O406" i="19"/>
  <c r="O257" i="23"/>
  <c r="O311" i="21"/>
  <c r="O329" i="20"/>
  <c r="O294" i="22"/>
  <c r="O405" i="19"/>
  <c r="O230" i="22"/>
  <c r="O164" i="20"/>
  <c r="O40" i="19"/>
  <c r="O250" i="21"/>
  <c r="O140" i="21"/>
  <c r="O309" i="3"/>
  <c r="O281" i="18"/>
  <c r="O225" i="21"/>
  <c r="O237" i="18"/>
  <c r="O189" i="23"/>
  <c r="O69" i="16"/>
  <c r="O273" i="18"/>
  <c r="O67" i="2"/>
  <c r="O48" i="22"/>
  <c r="O14" i="18"/>
  <c r="O27" i="19"/>
  <c r="O34" i="21"/>
  <c r="O18" i="3"/>
  <c r="O73" i="18"/>
  <c r="O388" i="19"/>
  <c r="O38" i="22"/>
  <c r="O103" i="22"/>
  <c r="O105" i="21"/>
  <c r="O71" i="2"/>
  <c r="O32" i="5"/>
  <c r="O256" i="20"/>
  <c r="O158" i="22"/>
  <c r="O6" i="5"/>
  <c r="O221" i="23"/>
  <c r="O288" i="21"/>
  <c r="O409" i="20"/>
  <c r="O17" i="18"/>
  <c r="O27" i="21"/>
  <c r="O1427" i="3"/>
  <c r="O162" i="22"/>
  <c r="O286" i="3"/>
  <c r="O344" i="20"/>
  <c r="O207" i="22"/>
  <c r="O297" i="3"/>
  <c r="O125" i="3"/>
  <c r="O228" i="21"/>
  <c r="O215" i="22"/>
  <c r="O305" i="21"/>
  <c r="O1394" i="3"/>
  <c r="O101" i="21"/>
  <c r="O137" i="22"/>
  <c r="O76" i="21"/>
  <c r="O220" i="3"/>
  <c r="O398" i="20"/>
  <c r="O22" i="3"/>
  <c r="O138" i="25"/>
  <c r="O35" i="6"/>
  <c r="O267" i="18"/>
  <c r="O416" i="20"/>
  <c r="O320" i="3"/>
  <c r="O237" i="3"/>
  <c r="O379" i="19"/>
  <c r="O4" i="2"/>
  <c r="O61" i="21"/>
  <c r="O257" i="22"/>
  <c r="O272" i="20"/>
  <c r="O247" i="21"/>
  <c r="O168" i="22"/>
  <c r="O1392" i="3"/>
  <c r="O173" i="20"/>
  <c r="O12" i="15"/>
  <c r="O46" i="19"/>
  <c r="O291" i="3"/>
  <c r="O226" i="21"/>
  <c r="O32" i="19"/>
  <c r="O382" i="20"/>
  <c r="O374" i="20"/>
  <c r="O115" i="3"/>
  <c r="O304" i="22"/>
  <c r="O29" i="21"/>
  <c r="O135" i="3"/>
  <c r="O7" i="15"/>
  <c r="O220" i="21"/>
  <c r="O322" i="20"/>
  <c r="O378" i="20"/>
  <c r="O293" i="3"/>
  <c r="O163" i="3"/>
  <c r="O173" i="23"/>
  <c r="O247" i="19"/>
  <c r="O128" i="2"/>
  <c r="O209" i="3"/>
  <c r="O230" i="3"/>
  <c r="O371" i="19"/>
  <c r="O258" i="3"/>
  <c r="O281" i="20"/>
  <c r="O265" i="3"/>
  <c r="O1423" i="3"/>
  <c r="O73" i="21"/>
  <c r="O340" i="3"/>
  <c r="O377" i="20"/>
  <c r="O307" i="22"/>
  <c r="O395" i="19"/>
  <c r="O127" i="3"/>
  <c r="O114" i="3"/>
  <c r="O22" i="16"/>
  <c r="O84" i="22"/>
  <c r="O64" i="18"/>
  <c r="O322" i="3"/>
  <c r="O52" i="16"/>
  <c r="O56" i="21"/>
  <c r="O98" i="22"/>
  <c r="O240" i="18"/>
  <c r="O38" i="23"/>
  <c r="O66" i="3"/>
  <c r="O65" i="22"/>
  <c r="O113" i="21"/>
  <c r="O310" i="19"/>
  <c r="O257" i="18"/>
  <c r="O310" i="3"/>
  <c r="O432" i="20"/>
  <c r="O394" i="19"/>
  <c r="O21" i="3"/>
  <c r="O390" i="19"/>
  <c r="O207" i="3"/>
  <c r="O350" i="3"/>
  <c r="O1430" i="3"/>
  <c r="O132" i="3"/>
  <c r="O309" i="19"/>
  <c r="O239" i="3"/>
  <c r="O101" i="3"/>
  <c r="O1366" i="3"/>
  <c r="O292" i="20"/>
  <c r="O130" i="21"/>
  <c r="O104" i="22"/>
  <c r="O387" i="19"/>
  <c r="O217" i="3"/>
  <c r="O194" i="22"/>
  <c r="O35" i="16"/>
  <c r="O3" i="6"/>
  <c r="O229" i="3"/>
  <c r="O1437" i="3"/>
  <c r="O5" i="5"/>
  <c r="O192" i="23"/>
  <c r="O31" i="21"/>
  <c r="O43" i="16"/>
  <c r="O199" i="21"/>
  <c r="O7" i="6"/>
  <c r="O403" i="19"/>
  <c r="O226" i="23"/>
  <c r="O164" i="21"/>
  <c r="O407" i="19"/>
  <c r="O77" i="22"/>
  <c r="O190" i="23"/>
  <c r="O152" i="3"/>
  <c r="O213" i="22"/>
  <c r="O80" i="22"/>
  <c r="O78" i="21"/>
  <c r="O272" i="3"/>
  <c r="O18" i="22"/>
  <c r="O21" i="23"/>
  <c r="O421" i="20"/>
  <c r="O251" i="23"/>
  <c r="O372" i="19"/>
  <c r="O277" i="22"/>
  <c r="O195" i="3"/>
  <c r="O258" i="22"/>
  <c r="O160" i="22"/>
  <c r="O400" i="20"/>
  <c r="O1443" i="3"/>
  <c r="O241" i="22"/>
  <c r="O1395" i="3"/>
  <c r="O9" i="19"/>
  <c r="O131" i="2"/>
  <c r="O78" i="22"/>
  <c r="O70" i="16"/>
  <c r="O236" i="20"/>
  <c r="O430" i="20"/>
  <c r="O1372" i="3"/>
  <c r="O57" i="22"/>
  <c r="O323" i="20"/>
  <c r="O395" i="20"/>
  <c r="O285" i="21"/>
  <c r="O5" i="2"/>
  <c r="O107" i="16"/>
  <c r="O283" i="22"/>
  <c r="O1400" i="3"/>
  <c r="O249" i="18"/>
  <c r="O64" i="22"/>
  <c r="O1420" i="3"/>
  <c r="O18" i="16"/>
  <c r="O316" i="21"/>
  <c r="O156" i="3"/>
  <c r="O27" i="22"/>
  <c r="O1364" i="3"/>
  <c r="O410" i="20"/>
  <c r="O25" i="19"/>
  <c r="O77" i="16"/>
  <c r="O22" i="5"/>
  <c r="O111" i="22"/>
  <c r="O29" i="6"/>
  <c r="O41" i="21"/>
  <c r="O154" i="21"/>
  <c r="O8" i="22"/>
  <c r="O256" i="23"/>
  <c r="O1415" i="3"/>
  <c r="O87" i="20"/>
  <c r="O375" i="20"/>
  <c r="O311" i="19"/>
  <c r="O89" i="16"/>
  <c r="O404" i="19"/>
  <c r="O243" i="23"/>
  <c r="O1416" i="3"/>
  <c r="O107" i="22"/>
  <c r="O230" i="23"/>
  <c r="O104" i="21"/>
  <c r="O5" i="16"/>
  <c r="O270" i="20"/>
  <c r="O109" i="3"/>
  <c r="O64" i="16"/>
  <c r="O131" i="3"/>
  <c r="O23" i="23"/>
  <c r="O218" i="3"/>
  <c r="O152" i="20"/>
  <c r="O139" i="25"/>
  <c r="O73" i="22"/>
  <c r="O127" i="2"/>
  <c r="O27" i="6"/>
  <c r="O9" i="18"/>
  <c r="O1383" i="3"/>
  <c r="O80" i="21"/>
  <c r="O39" i="5"/>
  <c r="O3" i="15"/>
  <c r="O221" i="20"/>
  <c r="O238" i="22"/>
  <c r="O358" i="3"/>
  <c r="O295" i="18"/>
  <c r="O182" i="22"/>
  <c r="O68" i="22"/>
  <c r="O150" i="25"/>
  <c r="O204" i="23"/>
  <c r="O32" i="21"/>
  <c r="O155" i="22"/>
  <c r="O16" i="19"/>
  <c r="O86" i="21"/>
  <c r="O308" i="21"/>
  <c r="O30" i="23"/>
  <c r="O14" i="2"/>
  <c r="O377" i="19"/>
  <c r="O33" i="22"/>
  <c r="O169" i="19"/>
  <c r="O7" i="20"/>
  <c r="O1371" i="3"/>
  <c r="O26" i="19"/>
  <c r="O314" i="3"/>
  <c r="O228" i="20"/>
  <c r="O54" i="16"/>
  <c r="O257" i="3"/>
  <c r="O105" i="19"/>
  <c r="O254" i="3"/>
  <c r="O145" i="25"/>
  <c r="O402" i="19"/>
  <c r="O271" i="20"/>
  <c r="O49" i="16"/>
  <c r="O292" i="3"/>
  <c r="O142" i="22"/>
  <c r="O287" i="18"/>
  <c r="O380" i="19"/>
  <c r="O290" i="18"/>
  <c r="O309" i="22"/>
  <c r="O144" i="22"/>
  <c r="O79" i="21"/>
  <c r="O85" i="16"/>
  <c r="O420" i="20"/>
  <c r="O98" i="19"/>
  <c r="O168" i="20"/>
  <c r="O48" i="16"/>
  <c r="O13" i="5"/>
  <c r="O187" i="18"/>
  <c r="O7" i="17"/>
  <c r="O150" i="5"/>
  <c r="O349" i="3"/>
  <c r="O88" i="16"/>
  <c r="O17" i="2"/>
  <c r="O86" i="25"/>
  <c r="O441" i="20"/>
  <c r="O15" i="23"/>
  <c r="O173" i="22"/>
  <c r="O321" i="20"/>
  <c r="O14" i="16"/>
  <c r="O273" i="21"/>
  <c r="O428" i="20"/>
  <c r="O39" i="16"/>
  <c r="O219" i="22"/>
  <c r="O206" i="21"/>
  <c r="O276" i="18"/>
  <c r="O279" i="21"/>
  <c r="O206" i="22"/>
  <c r="O165" i="23"/>
  <c r="O16" i="6"/>
  <c r="O150" i="22"/>
  <c r="O30" i="16"/>
  <c r="O194" i="21"/>
  <c r="O175" i="22"/>
  <c r="O74" i="17"/>
  <c r="O269" i="3"/>
  <c r="O195" i="23"/>
  <c r="O1401" i="3"/>
  <c r="O408" i="20"/>
  <c r="O1440" i="3"/>
  <c r="O48" i="19"/>
  <c r="O138" i="22"/>
  <c r="O386" i="19"/>
  <c r="O72" i="2"/>
  <c r="O219" i="20"/>
  <c r="O283" i="23"/>
  <c r="O156" i="22"/>
  <c r="O113" i="3"/>
  <c r="O104" i="19"/>
  <c r="O155" i="21"/>
  <c r="O289" i="22"/>
  <c r="O240" i="23"/>
  <c r="O281" i="23"/>
  <c r="O134" i="22"/>
  <c r="O37" i="19"/>
  <c r="O115" i="22"/>
  <c r="O91" i="21"/>
  <c r="O67" i="18"/>
  <c r="O9" i="6"/>
  <c r="O96" i="16"/>
  <c r="O348" i="20"/>
  <c r="O10" i="21"/>
  <c r="O226" i="22"/>
  <c r="O188" i="23"/>
  <c r="O106" i="22"/>
  <c r="O37" i="22"/>
  <c r="O284" i="23"/>
  <c r="O298" i="3"/>
  <c r="O41" i="16"/>
  <c r="O254" i="21"/>
  <c r="O155" i="3"/>
  <c r="O304" i="21"/>
  <c r="O229" i="23"/>
  <c r="O84" i="25"/>
  <c r="O126" i="2"/>
  <c r="O302" i="21"/>
  <c r="O201" i="3"/>
  <c r="O293" i="21"/>
  <c r="O86" i="16"/>
  <c r="O15" i="19"/>
  <c r="O325" i="3"/>
  <c r="O231" i="3"/>
  <c r="O12" i="2"/>
  <c r="O14" i="19"/>
  <c r="O214" i="22"/>
  <c r="O212" i="3"/>
  <c r="O337" i="20"/>
  <c r="O10" i="23"/>
  <c r="O134" i="21"/>
  <c r="O36" i="19"/>
  <c r="O246" i="22"/>
  <c r="O175" i="3"/>
  <c r="O161" i="21"/>
  <c r="O356" i="3"/>
  <c r="O189" i="22"/>
  <c r="O409" i="19"/>
  <c r="O141" i="21"/>
  <c r="O242" i="18"/>
  <c r="O186" i="22"/>
  <c r="O400" i="19"/>
  <c r="O300" i="3"/>
  <c r="O287" i="20"/>
  <c r="O20" i="23"/>
  <c r="O260" i="21"/>
  <c r="O129" i="21"/>
  <c r="O275" i="3"/>
  <c r="O388" i="20"/>
  <c r="O301" i="18"/>
  <c r="O146" i="3"/>
  <c r="O392" i="19"/>
  <c r="O199" i="22"/>
  <c r="O254" i="18"/>
  <c r="O26" i="22"/>
  <c r="O241" i="18"/>
  <c r="O199" i="3"/>
  <c r="O181" i="20"/>
  <c r="O60" i="21"/>
  <c r="O252" i="3"/>
  <c r="O114" i="22"/>
  <c r="O106" i="21"/>
  <c r="O201" i="23"/>
  <c r="O20" i="21"/>
  <c r="O297" i="18"/>
  <c r="O413" i="20"/>
  <c r="O357" i="3"/>
  <c r="O238" i="23"/>
  <c r="O284" i="21"/>
  <c r="O6" i="2"/>
  <c r="O1410" i="3"/>
  <c r="O208" i="3"/>
  <c r="O253" i="23"/>
  <c r="O163" i="19"/>
  <c r="O32" i="22"/>
  <c r="O61" i="22"/>
  <c r="O389" i="19"/>
  <c r="O215" i="23"/>
  <c r="O275" i="21"/>
  <c r="O352" i="20"/>
  <c r="O33" i="5"/>
  <c r="O283" i="20"/>
  <c r="O244" i="3"/>
  <c r="O35" i="19"/>
  <c r="O279" i="3"/>
  <c r="O270" i="22"/>
  <c r="O133" i="3"/>
  <c r="O1393" i="3"/>
  <c r="O43" i="22"/>
  <c r="O13" i="6"/>
  <c r="O383" i="20"/>
  <c r="O26" i="3"/>
  <c r="O82" i="20"/>
  <c r="O298" i="22"/>
  <c r="O129" i="3"/>
  <c r="O21" i="5"/>
  <c r="O224" i="3"/>
  <c r="O87" i="21"/>
  <c r="O245" i="19"/>
  <c r="O284" i="20"/>
  <c r="O169" i="23"/>
  <c r="O190" i="18"/>
  <c r="O80" i="20"/>
  <c r="O13" i="21"/>
  <c r="O279" i="22"/>
  <c r="O217" i="21"/>
  <c r="O74" i="16"/>
  <c r="O294" i="3"/>
  <c r="O237" i="22"/>
  <c r="O167" i="19"/>
  <c r="O45" i="16"/>
  <c r="O86" i="22"/>
  <c r="O38" i="21"/>
  <c r="O438" i="20"/>
  <c r="O158" i="20"/>
  <c r="O172" i="23"/>
  <c r="O220" i="23"/>
  <c r="O207" i="21"/>
  <c r="O335" i="3"/>
  <c r="O38" i="5"/>
  <c r="O292" i="22"/>
  <c r="O263" i="18"/>
  <c r="O30" i="21"/>
  <c r="O10" i="2"/>
  <c r="O332" i="20"/>
  <c r="O157" i="23"/>
  <c r="O90" i="16"/>
  <c r="O16" i="23"/>
  <c r="O76" i="22"/>
  <c r="O49" i="19"/>
  <c r="O58" i="16"/>
  <c r="O260" i="22"/>
  <c r="O332" i="3"/>
  <c r="O36" i="16"/>
  <c r="O189" i="18"/>
  <c r="O299" i="3"/>
  <c r="O196" i="21"/>
  <c r="O367" i="19"/>
  <c r="O68" i="17"/>
  <c r="O7" i="21"/>
  <c r="O177" i="23"/>
  <c r="O204" i="22"/>
  <c r="O69" i="22"/>
  <c r="O18" i="21"/>
  <c r="O223" i="23"/>
  <c r="O239" i="20"/>
  <c r="O280" i="22"/>
  <c r="O222" i="22"/>
  <c r="O227" i="21"/>
  <c r="O70" i="2"/>
  <c r="O70" i="22"/>
  <c r="O11" i="17"/>
  <c r="O107" i="21"/>
  <c r="O306" i="19"/>
  <c r="O286" i="20"/>
  <c r="O282" i="3"/>
  <c r="O272" i="18"/>
  <c r="O28" i="16"/>
  <c r="O23" i="5"/>
  <c r="O133" i="21"/>
  <c r="O343" i="3"/>
  <c r="O250" i="3"/>
  <c r="O32" i="3"/>
  <c r="O214" i="23"/>
  <c r="O339" i="20"/>
  <c r="O102" i="19"/>
  <c r="O43" i="19"/>
  <c r="O183" i="22"/>
  <c r="O8" i="19"/>
  <c r="O213" i="3"/>
  <c r="O390" i="20"/>
  <c r="O142" i="6"/>
  <c r="O385" i="20"/>
  <c r="O66" i="18"/>
  <c r="O266" i="23"/>
  <c r="O215" i="3"/>
  <c r="O252" i="23"/>
  <c r="O243" i="22"/>
  <c r="O1424" i="3"/>
  <c r="O238" i="20"/>
  <c r="O232" i="20"/>
  <c r="O254" i="23"/>
  <c r="O92" i="21"/>
  <c r="O68" i="16"/>
  <c r="O21" i="21"/>
  <c r="O1353" i="3"/>
  <c r="O278" i="22"/>
  <c r="O12" i="16"/>
  <c r="O101" i="20"/>
  <c r="O202" i="20"/>
  <c r="O40" i="5"/>
  <c r="O35" i="21"/>
  <c r="O294" i="18"/>
  <c r="O384" i="20"/>
  <c r="O11" i="19"/>
  <c r="O10" i="18"/>
  <c r="O256" i="3"/>
  <c r="O159" i="21"/>
  <c r="O18" i="19"/>
  <c r="O397" i="20"/>
  <c r="O40" i="3"/>
  <c r="O42" i="16"/>
  <c r="O50" i="19"/>
  <c r="O151" i="25"/>
  <c r="O296" i="20"/>
  <c r="O355" i="20"/>
  <c r="O160" i="23"/>
  <c r="O242" i="22"/>
  <c r="O136" i="22"/>
  <c r="O41" i="22"/>
  <c r="O1432" i="3"/>
  <c r="O29" i="3"/>
  <c r="O288" i="18"/>
  <c r="O50" i="22"/>
  <c r="O1408" i="3"/>
  <c r="O44" i="3"/>
  <c r="O243" i="19"/>
  <c r="O292" i="21"/>
  <c r="O264" i="22"/>
  <c r="O17" i="20"/>
  <c r="O163" i="21"/>
  <c r="O10" i="17"/>
  <c r="O165" i="21"/>
  <c r="O8" i="20"/>
  <c r="O209" i="21"/>
  <c r="O212" i="23"/>
  <c r="O72" i="17"/>
  <c r="O171" i="23"/>
  <c r="O34" i="19"/>
  <c r="O114" i="21"/>
  <c r="O151" i="22"/>
  <c r="O277" i="20"/>
  <c r="O9" i="21"/>
  <c r="O166" i="20"/>
  <c r="O265" i="22"/>
  <c r="O233" i="20"/>
  <c r="O103" i="19"/>
  <c r="O286" i="21"/>
  <c r="O182" i="20"/>
  <c r="O47" i="19"/>
  <c r="O316" i="20"/>
  <c r="O9" i="20"/>
  <c r="O8" i="21"/>
  <c r="O1435" i="3"/>
  <c r="O381" i="20"/>
  <c r="O279" i="18"/>
  <c r="O4" i="11"/>
  <c r="O24" i="19"/>
  <c r="O184" i="3"/>
  <c r="O25" i="6"/>
  <c r="O4" i="16"/>
  <c r="O9" i="15"/>
  <c r="O145" i="22"/>
  <c r="O260" i="3"/>
  <c r="O422" i="20"/>
  <c r="O176" i="22"/>
  <c r="O23" i="3"/>
  <c r="O4" i="10"/>
  <c r="O1377" i="3"/>
  <c r="O72" i="20"/>
  <c r="O148" i="3"/>
  <c r="O26" i="16"/>
  <c r="O96" i="21"/>
  <c r="O378" i="19"/>
  <c r="O84" i="16"/>
  <c r="O249" i="3"/>
  <c r="O369" i="19"/>
  <c r="O266" i="18"/>
  <c r="O320" i="20"/>
  <c r="O11" i="3"/>
  <c r="O59" i="22"/>
  <c r="O276" i="23"/>
  <c r="O316" i="3"/>
  <c r="O16" i="18"/>
  <c r="O380" i="20"/>
  <c r="O140" i="25"/>
  <c r="O1429" i="3"/>
  <c r="O283" i="3"/>
  <c r="O178" i="23"/>
  <c r="O263" i="3"/>
  <c r="O42" i="19"/>
  <c r="O112" i="21"/>
  <c r="O197" i="23"/>
  <c r="O258" i="23"/>
  <c r="O99" i="16"/>
  <c r="O134" i="3"/>
  <c r="O229" i="20"/>
  <c r="O142" i="25"/>
  <c r="O8" i="23"/>
  <c r="O76" i="17"/>
  <c r="O100" i="19"/>
  <c r="O196" i="22"/>
  <c r="O353" i="20"/>
  <c r="O280" i="18"/>
  <c r="O165" i="3"/>
  <c r="O176" i="23"/>
  <c r="O155" i="19"/>
  <c r="O1421" i="3"/>
  <c r="O154" i="19"/>
  <c r="O224" i="21"/>
  <c r="O169" i="3"/>
  <c r="O177" i="18"/>
  <c r="O199" i="20"/>
  <c r="O22" i="23"/>
  <c r="O152" i="21"/>
  <c r="O22" i="21"/>
  <c r="O282" i="18"/>
  <c r="O97" i="22"/>
  <c r="O143" i="22"/>
  <c r="O313" i="19"/>
  <c r="O130" i="2"/>
  <c r="O264" i="18"/>
  <c r="O273" i="20"/>
  <c r="O203" i="22"/>
  <c r="O162" i="19"/>
  <c r="O280" i="3"/>
  <c r="O333" i="3"/>
  <c r="O9" i="5"/>
  <c r="O73" i="20"/>
  <c r="O122" i="18"/>
  <c r="O159" i="19"/>
  <c r="O352" i="3"/>
  <c r="O43" i="21"/>
  <c r="O201" i="21"/>
  <c r="O9" i="16"/>
  <c r="O171" i="20"/>
  <c r="O383" i="19"/>
  <c r="O231" i="20"/>
  <c r="O303" i="3"/>
  <c r="O85" i="21"/>
  <c r="O324" i="20"/>
  <c r="O287" i="3"/>
  <c r="O160" i="20"/>
  <c r="O122" i="3"/>
  <c r="O15" i="17"/>
  <c r="O78" i="16"/>
  <c r="O294" i="20"/>
  <c r="O17" i="22"/>
  <c r="O140" i="3"/>
  <c r="O161" i="23"/>
  <c r="O222" i="3"/>
  <c r="O373" i="19"/>
  <c r="O365" i="19"/>
  <c r="O143" i="6"/>
  <c r="O39" i="19"/>
  <c r="O417" i="20"/>
  <c r="O33" i="6"/>
  <c r="O287" i="22"/>
  <c r="O33" i="19"/>
  <c r="O29" i="19"/>
  <c r="O160" i="19"/>
  <c r="O7" i="18"/>
  <c r="O216" i="21"/>
  <c r="O393" i="20"/>
  <c r="O291" i="18"/>
  <c r="O399" i="19"/>
  <c r="O27" i="5"/>
  <c r="O15" i="2"/>
  <c r="O131" i="18"/>
  <c r="O15" i="22"/>
  <c r="O180" i="18"/>
  <c r="O255" i="23"/>
  <c r="O1390" i="3"/>
  <c r="O334" i="20"/>
  <c r="O241" i="3"/>
  <c r="O130" i="22"/>
  <c r="O24" i="6"/>
  <c r="O268" i="3"/>
  <c r="O58" i="21"/>
  <c r="O282" i="22"/>
  <c r="O306" i="21"/>
  <c r="O296" i="3"/>
  <c r="O121" i="22"/>
  <c r="O214" i="20"/>
  <c r="O24" i="21"/>
  <c r="O9" i="23"/>
  <c r="O337" i="3"/>
  <c r="O205" i="23"/>
  <c r="O419" i="20"/>
  <c r="O181" i="18"/>
  <c r="O150" i="3"/>
  <c r="O204" i="3"/>
  <c r="O444" i="20"/>
  <c r="O211" i="20"/>
  <c r="O89" i="21"/>
  <c r="O202" i="22"/>
  <c r="O71" i="18"/>
  <c r="O10" i="20"/>
  <c r="O348" i="3"/>
  <c r="O1368" i="3"/>
  <c r="O266" i="20"/>
  <c r="O30" i="19"/>
  <c r="O69" i="3"/>
  <c r="O200" i="3"/>
  <c r="O98" i="16"/>
  <c r="O1384" i="3"/>
  <c r="O64" i="3"/>
  <c r="O184" i="23"/>
  <c r="O261" i="20"/>
  <c r="O233" i="22"/>
  <c r="O403" i="20"/>
  <c r="O116" i="3"/>
  <c r="O163" i="20"/>
  <c r="O178" i="22"/>
  <c r="O10" i="22"/>
  <c r="O83" i="20"/>
  <c r="O106" i="3"/>
  <c r="O32" i="6"/>
  <c r="O124" i="3"/>
  <c r="O194" i="3"/>
  <c r="O235" i="20"/>
  <c r="O166" i="21"/>
  <c r="O295" i="20"/>
  <c r="O77" i="20"/>
  <c r="O267" i="21"/>
  <c r="O303" i="21"/>
  <c r="O217" i="23"/>
  <c r="O44" i="22"/>
  <c r="O120" i="3"/>
  <c r="O277" i="21"/>
  <c r="O196" i="3"/>
  <c r="O276" i="3"/>
  <c r="O39" i="23"/>
  <c r="O19" i="22"/>
  <c r="O402" i="20"/>
  <c r="O14" i="17"/>
  <c r="O289" i="20"/>
  <c r="O164" i="23"/>
  <c r="O82" i="25"/>
  <c r="O57" i="16"/>
  <c r="O28" i="21"/>
  <c r="O147" i="6"/>
  <c r="O1378" i="3"/>
  <c r="O359" i="3"/>
  <c r="O265" i="21"/>
  <c r="O87" i="22"/>
  <c r="O187" i="22"/>
  <c r="O67" i="22"/>
  <c r="O254" i="22"/>
  <c r="O213" i="23"/>
  <c r="O211" i="22"/>
  <c r="O307" i="21"/>
  <c r="O1359" i="3"/>
  <c r="O18" i="5"/>
  <c r="O330" i="20"/>
  <c r="O163" i="23"/>
  <c r="O75" i="2"/>
  <c r="O247" i="18"/>
  <c r="O285" i="20"/>
  <c r="O8" i="15"/>
  <c r="O17" i="19"/>
  <c r="O102" i="16"/>
  <c r="O175" i="20"/>
  <c r="O148" i="5"/>
  <c r="O425" i="20"/>
  <c r="O228" i="3"/>
  <c r="O427" i="20"/>
  <c r="O150" i="21"/>
  <c r="O347" i="20"/>
  <c r="O146" i="22"/>
  <c r="O151" i="5"/>
  <c r="O100" i="20"/>
  <c r="O7" i="3"/>
  <c r="O74" i="20"/>
  <c r="O296" i="22"/>
  <c r="O162" i="3"/>
  <c r="O1370" i="3"/>
  <c r="O35" i="3"/>
  <c r="O38" i="19"/>
  <c r="O189" i="21"/>
  <c r="O283" i="18"/>
  <c r="O268" i="21"/>
  <c r="O227" i="22"/>
  <c r="O391" i="19"/>
  <c r="O255" i="21"/>
  <c r="O38" i="16"/>
  <c r="O435" i="20"/>
  <c r="O1351" i="3"/>
  <c r="O111" i="3"/>
  <c r="O190" i="3"/>
  <c r="O21" i="19"/>
  <c r="O74" i="22"/>
  <c r="O232" i="22"/>
  <c r="O218" i="22"/>
  <c r="O262" i="18"/>
  <c r="O54" i="22"/>
  <c r="O93" i="16"/>
  <c r="O233" i="3"/>
  <c r="O129" i="22"/>
  <c r="O11" i="21"/>
  <c r="O148" i="22"/>
  <c r="O10" i="5"/>
  <c r="O271" i="18"/>
  <c r="O11" i="16"/>
  <c r="O168" i="3"/>
  <c r="O253" i="22"/>
  <c r="O229" i="21"/>
  <c r="O73" i="16"/>
  <c r="O56" i="22"/>
  <c r="O11" i="6"/>
  <c r="O29" i="5"/>
  <c r="O39" i="22"/>
  <c r="O223" i="22"/>
  <c r="O285" i="3"/>
  <c r="O405" i="20"/>
  <c r="O152" i="22"/>
  <c r="O342" i="20"/>
  <c r="O1402" i="3"/>
  <c r="O21" i="16"/>
  <c r="O192" i="22"/>
  <c r="O282" i="23"/>
  <c r="O69" i="17"/>
  <c r="O272" i="21"/>
  <c r="O338" i="20"/>
  <c r="O294" i="21"/>
  <c r="O265" i="20"/>
  <c r="O248" i="3"/>
  <c r="O295" i="3"/>
  <c r="O310" i="18"/>
  <c r="O45" i="22"/>
  <c r="O224" i="22"/>
  <c r="O53" i="16"/>
  <c r="O221" i="22"/>
  <c r="O227" i="23"/>
  <c r="O24" i="3"/>
  <c r="O13" i="19"/>
  <c r="O14" i="20"/>
  <c r="O295" i="21"/>
  <c r="O79" i="22"/>
  <c r="O306" i="3"/>
  <c r="O1358" i="3"/>
  <c r="O6" i="3"/>
  <c r="O234" i="22"/>
  <c r="O23" i="19"/>
  <c r="O277" i="3"/>
  <c r="O34" i="3"/>
  <c r="O42" i="21"/>
  <c r="O90" i="20"/>
  <c r="O170" i="21"/>
  <c r="O112" i="22"/>
  <c r="O5" i="6"/>
  <c r="O305" i="18"/>
  <c r="O327" i="3"/>
  <c r="O108" i="21"/>
  <c r="O313" i="3"/>
  <c r="O207" i="23"/>
  <c r="O147" i="21"/>
  <c r="O43" i="3"/>
  <c r="O199" i="23"/>
  <c r="O183" i="23"/>
  <c r="O122" i="22"/>
  <c r="O205" i="20"/>
  <c r="O220" i="22"/>
  <c r="O334" i="3"/>
  <c r="O85" i="22"/>
  <c r="O211" i="3"/>
  <c r="O1362" i="3"/>
  <c r="O1407" i="3"/>
  <c r="O193" i="3"/>
  <c r="O132" i="21"/>
  <c r="O121" i="18"/>
  <c r="O120" i="18"/>
  <c r="O339" i="3"/>
  <c r="O84" i="21"/>
  <c r="O15" i="3"/>
  <c r="O134" i="2"/>
  <c r="O128" i="3"/>
  <c r="O308" i="18"/>
  <c r="O59" i="21"/>
  <c r="O362" i="3"/>
  <c r="O113" i="22"/>
  <c r="O179" i="22"/>
  <c r="O30" i="3"/>
  <c r="O24" i="22"/>
  <c r="O21" i="6"/>
  <c r="O276" i="22"/>
  <c r="O99" i="22"/>
  <c r="O324" i="3"/>
  <c r="O238" i="3"/>
  <c r="O6" i="6"/>
  <c r="O14" i="3"/>
  <c r="O278" i="20"/>
  <c r="O49" i="22"/>
  <c r="O217" i="22"/>
  <c r="O116" i="22"/>
  <c r="O11" i="5"/>
  <c r="O288" i="22"/>
  <c r="O101" i="19"/>
  <c r="O106" i="16"/>
  <c r="O280" i="21"/>
  <c r="O397" i="19"/>
  <c r="O296" i="21"/>
  <c r="O98" i="21"/>
  <c r="O129" i="2"/>
  <c r="O34" i="22"/>
  <c r="O146" i="25"/>
  <c r="O269" i="21"/>
  <c r="O70" i="20"/>
  <c r="O33" i="23"/>
  <c r="O203" i="23"/>
  <c r="O290" i="21"/>
  <c r="O314" i="21"/>
  <c r="O73" i="2"/>
  <c r="O216" i="23"/>
  <c r="O268" i="22"/>
  <c r="O284" i="3"/>
  <c r="O370" i="19"/>
  <c r="O177" i="3"/>
  <c r="O131" i="22"/>
  <c r="O262" i="21"/>
  <c r="O132" i="2"/>
  <c r="O10" i="6"/>
  <c r="O197" i="21"/>
  <c r="O65" i="16"/>
  <c r="O123" i="3"/>
  <c r="O17" i="5"/>
  <c r="O14" i="22"/>
  <c r="O64" i="17"/>
  <c r="O3" i="14"/>
  <c r="O119" i="22"/>
  <c r="O103" i="16"/>
  <c r="O36" i="22"/>
  <c r="O230" i="20"/>
  <c r="O315" i="20"/>
  <c r="O81" i="20"/>
  <c r="O252" i="18"/>
  <c r="O88" i="20"/>
  <c r="O406" i="20"/>
  <c r="O76" i="2"/>
  <c r="O391" i="20"/>
  <c r="O65" i="3"/>
  <c r="O75" i="20"/>
  <c r="O170" i="20"/>
  <c r="O181" i="3"/>
  <c r="O53" i="21"/>
  <c r="O229" i="22"/>
  <c r="O220" i="20"/>
  <c r="O73" i="17"/>
  <c r="O37" i="21"/>
  <c r="O202" i="3"/>
  <c r="O3" i="7"/>
  <c r="O109" i="21"/>
  <c r="O7" i="19"/>
  <c r="O239" i="22"/>
  <c r="O8" i="17"/>
  <c r="O200" i="20"/>
  <c r="O94" i="16"/>
  <c r="O31" i="16"/>
  <c r="O165" i="19"/>
  <c r="O66" i="16"/>
  <c r="O182" i="23"/>
  <c r="O170" i="3"/>
  <c r="O164" i="22"/>
  <c r="O100" i="16"/>
  <c r="O60" i="22"/>
  <c r="O133" i="22"/>
  <c r="O291" i="20"/>
  <c r="O1365" i="3"/>
  <c r="O218" i="21"/>
  <c r="O102" i="22"/>
  <c r="O235" i="23"/>
  <c r="O12" i="19"/>
  <c r="O399" i="20"/>
  <c r="O437" i="20"/>
  <c r="O1399" i="3"/>
  <c r="O138" i="21"/>
  <c r="O273" i="23"/>
  <c r="O41" i="3"/>
  <c r="O8" i="2"/>
  <c r="O360" i="19"/>
  <c r="O205" i="22"/>
  <c r="O255" i="22"/>
  <c r="O47" i="21"/>
  <c r="O178" i="3"/>
  <c r="O19" i="19"/>
  <c r="O157" i="3"/>
  <c r="O8" i="5"/>
  <c r="O12" i="3"/>
  <c r="O234" i="3"/>
  <c r="O81" i="22"/>
  <c r="O29" i="23"/>
  <c r="O302" i="3"/>
  <c r="O93" i="21"/>
  <c r="O30" i="22"/>
  <c r="O161" i="3"/>
  <c r="O162" i="23"/>
  <c r="O158" i="3"/>
  <c r="O16" i="21"/>
  <c r="O288" i="3"/>
  <c r="O351" i="3"/>
  <c r="O191" i="23"/>
  <c r="O149" i="25"/>
  <c r="O24" i="23"/>
  <c r="O221" i="3"/>
  <c r="O257" i="20"/>
  <c r="O17" i="6"/>
  <c r="O249" i="22"/>
  <c r="O234" i="23"/>
  <c r="O123" i="18"/>
  <c r="O72" i="18"/>
  <c r="O32" i="16"/>
  <c r="O208" i="21"/>
  <c r="O315" i="3"/>
  <c r="O159" i="20"/>
  <c r="O266" i="21"/>
  <c r="O277" i="23"/>
  <c r="O104" i="16"/>
  <c r="O360" i="3"/>
  <c r="O361" i="3"/>
  <c r="O166" i="23"/>
  <c r="O44" i="21"/>
  <c r="O1381" i="3"/>
  <c r="O350" i="20"/>
  <c r="O349" i="20"/>
  <c r="O27" i="16"/>
  <c r="O319" i="20"/>
  <c r="O236" i="3"/>
  <c r="O222" i="23"/>
  <c r="O28" i="23"/>
  <c r="O217" i="20"/>
  <c r="O110" i="21"/>
  <c r="O389" i="20"/>
  <c r="O273" i="3"/>
  <c r="O62" i="22"/>
  <c r="O275" i="22"/>
  <c r="O154" i="22"/>
  <c r="O440" i="20"/>
  <c r="O126" i="22"/>
  <c r="O108" i="22"/>
  <c r="O266" i="3"/>
  <c r="O315" i="21"/>
  <c r="O97" i="20"/>
  <c r="O264" i="23"/>
  <c r="O243" i="18"/>
  <c r="O298" i="18"/>
  <c r="O392" i="20"/>
  <c r="O147" i="25"/>
  <c r="O99" i="20"/>
  <c r="O97" i="19"/>
  <c r="O245" i="23"/>
  <c r="O240" i="3"/>
  <c r="O95" i="16"/>
  <c r="O63" i="16"/>
  <c r="O71" i="17"/>
  <c r="O302" i="22"/>
  <c r="O272" i="23"/>
  <c r="O301" i="21"/>
  <c r="O20" i="3"/>
  <c r="O368" i="19"/>
  <c r="O276" i="20"/>
  <c r="O12" i="21"/>
  <c r="O213" i="20"/>
  <c r="O107" i="19"/>
  <c r="O28" i="5"/>
  <c r="O171" i="22"/>
  <c r="O270" i="18"/>
  <c r="O145" i="21"/>
  <c r="O171" i="21"/>
  <c r="O1382" i="3"/>
  <c r="O191" i="21"/>
  <c r="O11" i="18"/>
  <c r="O142" i="21"/>
  <c r="O208" i="22"/>
  <c r="O65" i="17"/>
  <c r="O236" i="23"/>
  <c r="O87" i="16"/>
  <c r="O259" i="23"/>
  <c r="O242" i="3"/>
  <c r="O204" i="21"/>
  <c r="O59" i="3"/>
  <c r="O198" i="21"/>
  <c r="O157" i="21"/>
  <c r="O16" i="5"/>
  <c r="O1405" i="3"/>
  <c r="O354" i="3"/>
  <c r="O146" i="5"/>
  <c r="O244" i="22"/>
  <c r="O39" i="3"/>
  <c r="O169" i="21"/>
  <c r="O271" i="22"/>
  <c r="O275" i="18"/>
  <c r="O101" i="22"/>
  <c r="O35" i="22"/>
  <c r="O362" i="19"/>
  <c r="O93" i="22"/>
  <c r="O308" i="19"/>
  <c r="O167" i="21"/>
  <c r="O296" i="18"/>
  <c r="O1354" i="3"/>
  <c r="O201" i="22"/>
  <c r="O47" i="22"/>
  <c r="O375" i="19"/>
  <c r="O191" i="18"/>
  <c r="O13" i="20"/>
  <c r="O215" i="21"/>
  <c r="O62" i="21"/>
  <c r="O105" i="16"/>
  <c r="O1436" i="3"/>
  <c r="O128" i="18"/>
  <c r="O262" i="3"/>
  <c r="O269" i="20"/>
  <c r="O185" i="22"/>
  <c r="O1438" i="3"/>
  <c r="O154" i="20"/>
  <c r="O304" i="3"/>
  <c r="O1379" i="3"/>
  <c r="O97" i="21"/>
  <c r="O239" i="23"/>
  <c r="O219" i="3"/>
  <c r="O182" i="3"/>
  <c r="O105" i="22"/>
  <c r="O137" i="21"/>
  <c r="O202" i="23"/>
  <c r="O87" i="25"/>
  <c r="O240" i="22"/>
  <c r="O37" i="3"/>
  <c r="O46" i="16"/>
  <c r="O75" i="16"/>
  <c r="O4" i="3"/>
  <c r="O236" i="22"/>
  <c r="O30" i="6"/>
  <c r="O110" i="22"/>
  <c r="O240" i="20"/>
  <c r="O89" i="25"/>
  <c r="O1431" i="3"/>
  <c r="O7" i="16"/>
  <c r="O101" i="16"/>
  <c r="O111" i="16"/>
  <c r="O208" i="20"/>
  <c r="O297" i="22"/>
  <c r="O107" i="3"/>
  <c r="O1439" i="3"/>
  <c r="O309" i="21"/>
  <c r="O158" i="21"/>
  <c r="O261" i="21"/>
  <c r="O81" i="16"/>
  <c r="O13" i="2"/>
  <c r="O1418" i="3"/>
  <c r="O177" i="20"/>
  <c r="O48" i="21"/>
  <c r="O300" i="22"/>
  <c r="O202" i="21"/>
  <c r="O172" i="21"/>
  <c r="O356" i="20"/>
  <c r="O183" i="20"/>
  <c r="O241" i="20"/>
  <c r="O152" i="25"/>
  <c r="O300" i="19"/>
  <c r="O297" i="20"/>
  <c r="O49" i="21"/>
  <c r="O115" i="21"/>
  <c r="O90" i="25"/>
  <c r="O230" i="21"/>
  <c r="N233" i="26" l="1"/>
  <c r="N179" i="26"/>
  <c r="N119" i="23"/>
  <c r="N73" i="26"/>
  <c r="N124" i="26"/>
  <c r="N301" i="19"/>
  <c r="N916" i="11"/>
  <c r="N714" i="11"/>
  <c r="N939" i="7"/>
  <c r="N302" i="9"/>
  <c r="N124" i="10"/>
  <c r="N652" i="7"/>
  <c r="N133" i="6"/>
  <c r="N1103" i="3"/>
  <c r="N133" i="5"/>
  <c r="N83" i="5"/>
  <c r="N56" i="20"/>
  <c r="N139" i="20"/>
  <c r="N206" i="19"/>
  <c r="N174" i="11"/>
  <c r="N233" i="9"/>
  <c r="N45" i="2"/>
  <c r="N104" i="2"/>
  <c r="N602" i="11"/>
  <c r="N532" i="11"/>
  <c r="N482" i="11"/>
  <c r="N125" i="11"/>
  <c r="N173" i="9"/>
  <c r="N118" i="9"/>
  <c r="N64" i="9"/>
  <c r="O64" i="9"/>
  <c r="O1102" i="3"/>
  <c r="O123" i="26"/>
  <c r="O302" i="9"/>
  <c r="O124" i="10"/>
  <c r="O714" i="11"/>
  <c r="O482" i="11"/>
  <c r="O132" i="5"/>
  <c r="O602" i="11"/>
  <c r="O118" i="9"/>
  <c r="O56" i="20"/>
  <c r="O173" i="9"/>
  <c r="O178" i="26"/>
  <c r="O916" i="11"/>
  <c r="O139" i="20"/>
  <c r="O652" i="7"/>
  <c r="O104" i="2"/>
  <c r="O125" i="11"/>
  <c r="O82" i="5"/>
  <c r="O233" i="9"/>
  <c r="O532" i="11"/>
  <c r="O205" i="19"/>
  <c r="O132" i="6"/>
  <c r="O118" i="23"/>
  <c r="O939" i="7"/>
  <c r="O174" i="11"/>
  <c r="O45" i="2"/>
  <c r="O357" i="20"/>
  <c r="O231" i="21"/>
  <c r="O173" i="21"/>
  <c r="O73" i="26"/>
  <c r="O184" i="20"/>
  <c r="O232" i="26"/>
  <c r="O91" i="25"/>
  <c r="O116" i="21"/>
  <c r="O153" i="25"/>
  <c r="O298" i="20"/>
  <c r="O242" i="20"/>
  <c r="O301" i="19"/>
  <c r="N234" i="26" l="1"/>
  <c r="N180" i="26"/>
  <c r="N120" i="23"/>
  <c r="N74" i="26"/>
  <c r="N125" i="26"/>
  <c r="N302" i="19"/>
  <c r="N175" i="11"/>
  <c r="N176" i="11" s="1"/>
  <c r="N715" i="11"/>
  <c r="N917" i="11"/>
  <c r="N940" i="7"/>
  <c r="N303" i="9"/>
  <c r="N125" i="10"/>
  <c r="N653" i="7"/>
  <c r="N134" i="6"/>
  <c r="N1104" i="3"/>
  <c r="N134" i="5"/>
  <c r="N84" i="5"/>
  <c r="N57" i="20"/>
  <c r="N140" i="20"/>
  <c r="N207" i="19"/>
  <c r="N234" i="9"/>
  <c r="N105" i="2"/>
  <c r="N46" i="2"/>
  <c r="N603" i="11"/>
  <c r="N533" i="11"/>
  <c r="N483" i="11"/>
  <c r="N126" i="11"/>
  <c r="N174" i="9"/>
  <c r="N119" i="9"/>
  <c r="N65" i="9"/>
  <c r="O917" i="11"/>
  <c r="O940" i="7"/>
  <c r="O653" i="7"/>
  <c r="O83" i="5"/>
  <c r="O119" i="9"/>
  <c r="O1103" i="3"/>
  <c r="O124" i="26"/>
  <c r="O140" i="20"/>
  <c r="O105" i="2"/>
  <c r="O133" i="5"/>
  <c r="O174" i="9"/>
  <c r="O603" i="11"/>
  <c r="O65" i="9"/>
  <c r="O206" i="19"/>
  <c r="O483" i="11"/>
  <c r="O715" i="11"/>
  <c r="O57" i="20"/>
  <c r="O125" i="10"/>
  <c r="O176" i="11"/>
  <c r="O46" i="2"/>
  <c r="O303" i="9"/>
  <c r="O234" i="9"/>
  <c r="O133" i="6"/>
  <c r="O119" i="23"/>
  <c r="O126" i="11"/>
  <c r="O533" i="11"/>
  <c r="O179" i="26"/>
  <c r="O358" i="20"/>
  <c r="O154" i="25"/>
  <c r="O299" i="20"/>
  <c r="O74" i="26"/>
  <c r="O232" i="21"/>
  <c r="O92" i="25"/>
  <c r="O233" i="26"/>
  <c r="O243" i="20"/>
  <c r="O302" i="19"/>
  <c r="O185" i="20"/>
  <c r="O117" i="21"/>
  <c r="O174" i="21"/>
  <c r="N181" i="26" l="1"/>
  <c r="N121" i="23"/>
  <c r="N75" i="26"/>
  <c r="N126" i="26"/>
  <c r="N918" i="11"/>
  <c r="N717" i="11"/>
  <c r="N941" i="7"/>
  <c r="N304" i="9"/>
  <c r="N126" i="10"/>
  <c r="N654" i="7"/>
  <c r="N135" i="6"/>
  <c r="N1105" i="3"/>
  <c r="N135" i="5"/>
  <c r="N85" i="5"/>
  <c r="N58" i="20"/>
  <c r="N141" i="20"/>
  <c r="N208" i="19"/>
  <c r="N235" i="9"/>
  <c r="N47" i="2"/>
  <c r="N106" i="2"/>
  <c r="N604" i="11"/>
  <c r="N534" i="11"/>
  <c r="N484" i="11"/>
  <c r="N127" i="11"/>
  <c r="N177" i="11"/>
  <c r="N175" i="9"/>
  <c r="N120" i="9"/>
  <c r="N66" i="9"/>
  <c r="O134" i="6"/>
  <c r="O84" i="5"/>
  <c r="O235" i="9"/>
  <c r="O106" i="2"/>
  <c r="O58" i="20"/>
  <c r="O604" i="11"/>
  <c r="O134" i="5"/>
  <c r="O120" i="23"/>
  <c r="O66" i="9"/>
  <c r="O120" i="9"/>
  <c r="O125" i="26"/>
  <c r="O177" i="11"/>
  <c r="O47" i="2"/>
  <c r="O717" i="11"/>
  <c r="O141" i="20"/>
  <c r="O484" i="11"/>
  <c r="O175" i="11"/>
  <c r="O126" i="10"/>
  <c r="O127" i="11"/>
  <c r="O918" i="11"/>
  <c r="O941" i="7"/>
  <c r="O1104" i="3"/>
  <c r="O654" i="7"/>
  <c r="O175" i="9"/>
  <c r="O207" i="19"/>
  <c r="O534" i="11"/>
  <c r="O304" i="9"/>
  <c r="O186" i="20"/>
  <c r="O300" i="20"/>
  <c r="O180" i="26"/>
  <c r="O75" i="26"/>
  <c r="O359" i="20"/>
  <c r="O234" i="26"/>
  <c r="O175" i="21"/>
  <c r="O233" i="21"/>
  <c r="O118" i="21"/>
  <c r="O63" i="21"/>
  <c r="O155" i="25"/>
  <c r="O93" i="25"/>
  <c r="O244" i="20"/>
  <c r="N122" i="23" l="1"/>
  <c r="N127" i="26"/>
  <c r="N718" i="11"/>
  <c r="N919" i="11"/>
  <c r="N942" i="7"/>
  <c r="N305" i="9"/>
  <c r="N127" i="10"/>
  <c r="N655" i="7"/>
  <c r="N136" i="6"/>
  <c r="N1106" i="3"/>
  <c r="N136" i="5"/>
  <c r="N86" i="5"/>
  <c r="N59" i="20"/>
  <c r="N142" i="20"/>
  <c r="N209" i="19"/>
  <c r="N210" i="19" s="1"/>
  <c r="N236" i="9"/>
  <c r="N107" i="2"/>
  <c r="N48" i="2"/>
  <c r="N605" i="11"/>
  <c r="N535" i="11"/>
  <c r="N485" i="11"/>
  <c r="N128" i="11"/>
  <c r="N178" i="11"/>
  <c r="N176" i="9"/>
  <c r="N121" i="9"/>
  <c r="N67" i="9"/>
  <c r="O135" i="6"/>
  <c r="O67" i="9"/>
  <c r="O121" i="9"/>
  <c r="O85" i="5"/>
  <c r="O919" i="11"/>
  <c r="O59" i="20"/>
  <c r="O718" i="11"/>
  <c r="O178" i="11"/>
  <c r="O485" i="11"/>
  <c r="O142" i="20"/>
  <c r="O305" i="9"/>
  <c r="O605" i="11"/>
  <c r="O128" i="11"/>
  <c r="O48" i="2"/>
  <c r="O1105" i="3"/>
  <c r="O655" i="7"/>
  <c r="O107" i="2"/>
  <c r="O210" i="19"/>
  <c r="O208" i="19"/>
  <c r="O942" i="7"/>
  <c r="O127" i="10"/>
  <c r="O535" i="11"/>
  <c r="O236" i="9"/>
  <c r="O135" i="5"/>
  <c r="O176" i="9"/>
  <c r="O301" i="20"/>
  <c r="O157" i="25"/>
  <c r="O235" i="26"/>
  <c r="O176" i="21"/>
  <c r="O234" i="21"/>
  <c r="O187" i="20"/>
  <c r="O156" i="25"/>
  <c r="O64" i="21"/>
  <c r="O360" i="20"/>
  <c r="O126" i="26"/>
  <c r="O121" i="23"/>
  <c r="O245" i="20"/>
  <c r="O94" i="25"/>
  <c r="O119" i="21"/>
  <c r="O181" i="26"/>
  <c r="N123" i="23" l="1"/>
  <c r="N128" i="26"/>
  <c r="N920" i="11"/>
  <c r="N719" i="11"/>
  <c r="N943" i="7"/>
  <c r="N306" i="9"/>
  <c r="N128" i="10"/>
  <c r="N656" i="7"/>
  <c r="N137" i="6"/>
  <c r="N1107" i="3"/>
  <c r="N137" i="5"/>
  <c r="N87" i="5"/>
  <c r="N60" i="20"/>
  <c r="N143" i="20"/>
  <c r="N211" i="19"/>
  <c r="N237" i="9"/>
  <c r="N49" i="2"/>
  <c r="N108" i="2"/>
  <c r="N606" i="11"/>
  <c r="N536" i="11"/>
  <c r="N486" i="11"/>
  <c r="N129" i="11"/>
  <c r="N179" i="11"/>
  <c r="N177" i="9"/>
  <c r="N122" i="9"/>
  <c r="N68" i="9"/>
  <c r="O122" i="9"/>
  <c r="O211" i="19"/>
  <c r="O177" i="9"/>
  <c r="O68" i="9"/>
  <c r="O943" i="7"/>
  <c r="O136" i="5"/>
  <c r="O129" i="11"/>
  <c r="O486" i="11"/>
  <c r="O136" i="6"/>
  <c r="O1106" i="3"/>
  <c r="O60" i="20"/>
  <c r="O656" i="7"/>
  <c r="O306" i="9"/>
  <c r="O606" i="11"/>
  <c r="O536" i="11"/>
  <c r="O920" i="11"/>
  <c r="O179" i="11"/>
  <c r="O108" i="2"/>
  <c r="O49" i="2"/>
  <c r="O237" i="9"/>
  <c r="O719" i="11"/>
  <c r="O143" i="20"/>
  <c r="O128" i="10"/>
  <c r="O209" i="19"/>
  <c r="O86" i="5"/>
  <c r="O188" i="20"/>
  <c r="O127" i="26"/>
  <c r="O177" i="21"/>
  <c r="O235" i="21"/>
  <c r="O95" i="25"/>
  <c r="O122" i="23"/>
  <c r="O246" i="20"/>
  <c r="O361" i="20"/>
  <c r="O302" i="20"/>
  <c r="O65" i="21"/>
  <c r="O120" i="21"/>
  <c r="N720" i="11" l="1"/>
  <c r="N921" i="11"/>
  <c r="N944" i="7"/>
  <c r="N307" i="9"/>
  <c r="N129" i="10"/>
  <c r="N657" i="7"/>
  <c r="N138" i="6"/>
  <c r="N1108" i="3"/>
  <c r="N1110" i="3" s="1"/>
  <c r="N138" i="5"/>
  <c r="N88" i="5"/>
  <c r="N61" i="20"/>
  <c r="N144" i="20"/>
  <c r="N212" i="19"/>
  <c r="N238" i="9"/>
  <c r="N109" i="2"/>
  <c r="N50" i="2"/>
  <c r="N607" i="11"/>
  <c r="N537" i="11"/>
  <c r="N487" i="11"/>
  <c r="N130" i="11"/>
  <c r="N180" i="11"/>
  <c r="N178" i="9"/>
  <c r="N123" i="9"/>
  <c r="N69" i="9"/>
  <c r="O129" i="10"/>
  <c r="O307" i="9"/>
  <c r="O537" i="11"/>
  <c r="O487" i="11"/>
  <c r="O607" i="11"/>
  <c r="O921" i="11"/>
  <c r="O50" i="2"/>
  <c r="O130" i="11"/>
  <c r="O69" i="9"/>
  <c r="O657" i="7"/>
  <c r="O137" i="6"/>
  <c r="O238" i="9"/>
  <c r="O61" i="20"/>
  <c r="O180" i="11"/>
  <c r="O1110" i="3"/>
  <c r="O212" i="19"/>
  <c r="O109" i="2"/>
  <c r="O137" i="5"/>
  <c r="O720" i="11"/>
  <c r="O178" i="9"/>
  <c r="O944" i="7"/>
  <c r="O1107" i="3"/>
  <c r="O123" i="9"/>
  <c r="O144" i="20"/>
  <c r="O87" i="5"/>
  <c r="O1108" i="3"/>
  <c r="O123" i="23"/>
  <c r="O247" i="20"/>
  <c r="O96" i="25"/>
  <c r="O128" i="26"/>
  <c r="O66" i="21"/>
  <c r="O121" i="21"/>
  <c r="O362" i="20"/>
  <c r="O303" i="20"/>
  <c r="O189" i="20"/>
  <c r="O178" i="21"/>
  <c r="O236" i="21"/>
  <c r="N922" i="11" l="1"/>
  <c r="N721" i="11"/>
  <c r="N945" i="7"/>
  <c r="N1111" i="3"/>
  <c r="N308" i="9"/>
  <c r="N130" i="10"/>
  <c r="N658" i="7"/>
  <c r="N139" i="6"/>
  <c r="N139" i="5"/>
  <c r="N89" i="5"/>
  <c r="N62" i="20"/>
  <c r="N145" i="20"/>
  <c r="N213" i="19"/>
  <c r="N239" i="9"/>
  <c r="N51" i="2"/>
  <c r="N110" i="2"/>
  <c r="N608" i="11"/>
  <c r="N538" i="11"/>
  <c r="N488" i="11"/>
  <c r="N131" i="11"/>
  <c r="N181" i="11"/>
  <c r="N179" i="9"/>
  <c r="N70" i="9"/>
  <c r="N124" i="9"/>
  <c r="O88" i="5"/>
  <c r="O179" i="9"/>
  <c r="O658" i="7"/>
  <c r="O110" i="2"/>
  <c r="O945" i="7"/>
  <c r="O1111" i="3"/>
  <c r="O124" i="9"/>
  <c r="O721" i="11"/>
  <c r="O239" i="9"/>
  <c r="O488" i="11"/>
  <c r="O308" i="9"/>
  <c r="O181" i="11"/>
  <c r="O138" i="5"/>
  <c r="O62" i="20"/>
  <c r="O138" i="6"/>
  <c r="O51" i="2"/>
  <c r="O145" i="20"/>
  <c r="O131" i="11"/>
  <c r="O608" i="11"/>
  <c r="O538" i="11"/>
  <c r="O922" i="11"/>
  <c r="O70" i="9"/>
  <c r="O213" i="19"/>
  <c r="O98" i="25"/>
  <c r="O122" i="21"/>
  <c r="O130" i="10"/>
  <c r="O363" i="20"/>
  <c r="O190" i="20"/>
  <c r="O67" i="21"/>
  <c r="O304" i="20"/>
  <c r="O179" i="21"/>
  <c r="O237" i="21"/>
  <c r="O97" i="25"/>
  <c r="O248" i="20"/>
  <c r="N722" i="11" l="1"/>
  <c r="N924" i="11"/>
  <c r="N947" i="7"/>
  <c r="N1112" i="3"/>
  <c r="N309" i="9"/>
  <c r="N659" i="7"/>
  <c r="N140" i="5"/>
  <c r="N90" i="5"/>
  <c r="N63" i="20"/>
  <c r="N146" i="20"/>
  <c r="N214" i="19"/>
  <c r="N240" i="9"/>
  <c r="N111" i="2"/>
  <c r="N52" i="2"/>
  <c r="N609" i="11"/>
  <c r="N539" i="11"/>
  <c r="N489" i="11"/>
  <c r="N132" i="11"/>
  <c r="N182" i="11"/>
  <c r="N180" i="9"/>
  <c r="N71" i="9"/>
  <c r="N125" i="9"/>
  <c r="O722" i="11"/>
  <c r="O132" i="11"/>
  <c r="O180" i="9"/>
  <c r="O659" i="7"/>
  <c r="O52" i="2"/>
  <c r="O240" i="9"/>
  <c r="O125" i="9"/>
  <c r="O609" i="11"/>
  <c r="O182" i="11"/>
  <c r="O539" i="11"/>
  <c r="O63" i="20"/>
  <c r="O89" i="5"/>
  <c r="O146" i="20"/>
  <c r="O309" i="9"/>
  <c r="O111" i="2"/>
  <c r="O489" i="11"/>
  <c r="O947" i="7"/>
  <c r="O214" i="19"/>
  <c r="O71" i="9"/>
  <c r="O139" i="5"/>
  <c r="O924" i="11"/>
  <c r="O1112" i="3"/>
  <c r="O364" i="20"/>
  <c r="O68" i="21"/>
  <c r="O123" i="21"/>
  <c r="O238" i="21"/>
  <c r="O139" i="6"/>
  <c r="O249" i="20"/>
  <c r="O191" i="20"/>
  <c r="O180" i="21"/>
  <c r="O305" i="20"/>
  <c r="N925" i="11" l="1"/>
  <c r="N723" i="11"/>
  <c r="N948" i="7"/>
  <c r="N1113" i="3"/>
  <c r="N310" i="9"/>
  <c r="N660" i="7"/>
  <c r="N141" i="5"/>
  <c r="N91" i="5"/>
  <c r="N64" i="20"/>
  <c r="N147" i="20"/>
  <c r="N215" i="19"/>
  <c r="N241" i="9"/>
  <c r="N53" i="2"/>
  <c r="N112" i="2"/>
  <c r="N610" i="11"/>
  <c r="N540" i="11"/>
  <c r="N490" i="11"/>
  <c r="N133" i="11"/>
  <c r="N183" i="11"/>
  <c r="N181" i="9"/>
  <c r="N72" i="9"/>
  <c r="N126" i="9"/>
  <c r="O112" i="2"/>
  <c r="O540" i="11"/>
  <c r="O183" i="11"/>
  <c r="O241" i="9"/>
  <c r="O181" i="9"/>
  <c r="O126" i="9"/>
  <c r="O723" i="11"/>
  <c r="O948" i="7"/>
  <c r="O660" i="7"/>
  <c r="O53" i="2"/>
  <c r="O140" i="5"/>
  <c r="O490" i="11"/>
  <c r="O215" i="19"/>
  <c r="O925" i="11"/>
  <c r="O610" i="11"/>
  <c r="O1113" i="3"/>
  <c r="O133" i="11"/>
  <c r="O72" i="9"/>
  <c r="O147" i="20"/>
  <c r="O365" i="20"/>
  <c r="O310" i="9"/>
  <c r="O90" i="5"/>
  <c r="O181" i="21"/>
  <c r="O239" i="21"/>
  <c r="O64" i="20"/>
  <c r="O69" i="21"/>
  <c r="O250" i="20"/>
  <c r="O306" i="20"/>
  <c r="O124" i="21"/>
  <c r="O192" i="20"/>
  <c r="N724" i="11" l="1"/>
  <c r="N926" i="11"/>
  <c r="N949" i="7"/>
  <c r="N1114" i="3"/>
  <c r="N311" i="9"/>
  <c r="N661" i="7"/>
  <c r="N142" i="5"/>
  <c r="N92" i="5"/>
  <c r="N65" i="20"/>
  <c r="N148" i="20"/>
  <c r="N216" i="19"/>
  <c r="N242" i="9"/>
  <c r="N113" i="2"/>
  <c r="N54" i="2"/>
  <c r="N611" i="11"/>
  <c r="N541" i="11"/>
  <c r="N491" i="11"/>
  <c r="N134" i="11"/>
  <c r="N184" i="11"/>
  <c r="N182" i="9"/>
  <c r="N73" i="9"/>
  <c r="N127" i="9"/>
  <c r="O113" i="2"/>
  <c r="O1114" i="3"/>
  <c r="O724" i="11"/>
  <c r="O54" i="2"/>
  <c r="O926" i="11"/>
  <c r="O127" i="9"/>
  <c r="O141" i="5"/>
  <c r="O611" i="11"/>
  <c r="O661" i="7"/>
  <c r="O134" i="11"/>
  <c r="O73" i="9"/>
  <c r="O184" i="11"/>
  <c r="O491" i="11"/>
  <c r="O541" i="11"/>
  <c r="O242" i="9"/>
  <c r="O182" i="9"/>
  <c r="O949" i="7"/>
  <c r="O182" i="21"/>
  <c r="O70" i="21"/>
  <c r="O125" i="21"/>
  <c r="O91" i="5"/>
  <c r="O366" i="20"/>
  <c r="O251" i="20"/>
  <c r="O240" i="21"/>
  <c r="O307" i="20"/>
  <c r="O216" i="19"/>
  <c r="O193" i="20"/>
  <c r="O311" i="9"/>
  <c r="O148" i="20"/>
  <c r="O65" i="20"/>
  <c r="N927" i="11" l="1"/>
  <c r="N725" i="11"/>
  <c r="N950" i="7"/>
  <c r="N1115" i="3"/>
  <c r="N312" i="9"/>
  <c r="N662" i="7"/>
  <c r="N143" i="5"/>
  <c r="N66" i="20"/>
  <c r="N149" i="20"/>
  <c r="N217" i="19"/>
  <c r="N243" i="9"/>
  <c r="N55" i="2"/>
  <c r="N114" i="2"/>
  <c r="N612" i="11"/>
  <c r="N542" i="11"/>
  <c r="N492" i="11"/>
  <c r="N135" i="11"/>
  <c r="N185" i="11"/>
  <c r="N183" i="9"/>
  <c r="N74" i="9"/>
  <c r="N128" i="9"/>
  <c r="O725" i="11"/>
  <c r="O243" i="9"/>
  <c r="O662" i="7"/>
  <c r="O114" i="2"/>
  <c r="O74" i="9"/>
  <c r="O185" i="11"/>
  <c r="O1115" i="3"/>
  <c r="O55" i="2"/>
  <c r="O135" i="11"/>
  <c r="O927" i="11"/>
  <c r="O492" i="11"/>
  <c r="O950" i="7"/>
  <c r="O128" i="9"/>
  <c r="O183" i="9"/>
  <c r="O612" i="11"/>
  <c r="O542" i="11"/>
  <c r="O217" i="19"/>
  <c r="O66" i="20"/>
  <c r="O71" i="21"/>
  <c r="O308" i="20"/>
  <c r="O126" i="21"/>
  <c r="O72" i="21"/>
  <c r="O92" i="5"/>
  <c r="O149" i="20"/>
  <c r="O183" i="21"/>
  <c r="O252" i="20"/>
  <c r="O312" i="9"/>
  <c r="O241" i="21"/>
  <c r="O367" i="20"/>
  <c r="O194" i="20"/>
  <c r="O142" i="5"/>
  <c r="N726" i="11" l="1"/>
  <c r="N928" i="11"/>
  <c r="N951" i="7"/>
  <c r="N1116" i="3"/>
  <c r="N663" i="7"/>
  <c r="N144" i="5"/>
  <c r="N218" i="19"/>
  <c r="N244" i="9"/>
  <c r="N115" i="2"/>
  <c r="N56" i="2"/>
  <c r="N613" i="11"/>
  <c r="N543" i="11"/>
  <c r="N493" i="11"/>
  <c r="N136" i="11"/>
  <c r="N186" i="11"/>
  <c r="N184" i="9"/>
  <c r="N75" i="9"/>
  <c r="N129" i="9"/>
  <c r="O115" i="2"/>
  <c r="O928" i="11"/>
  <c r="O184" i="9"/>
  <c r="O129" i="9"/>
  <c r="O75" i="9"/>
  <c r="O663" i="7"/>
  <c r="O493" i="11"/>
  <c r="O136" i="11"/>
  <c r="O543" i="11"/>
  <c r="O186" i="11"/>
  <c r="O726" i="11"/>
  <c r="O951" i="7"/>
  <c r="O244" i="9"/>
  <c r="O1116" i="3"/>
  <c r="O56" i="2"/>
  <c r="O613" i="11"/>
  <c r="O218" i="19"/>
  <c r="O309" i="20"/>
  <c r="O184" i="21"/>
  <c r="O242" i="21"/>
  <c r="O195" i="20"/>
  <c r="O144" i="5"/>
  <c r="O128" i="21"/>
  <c r="O127" i="21"/>
  <c r="O253" i="20"/>
  <c r="O143" i="5"/>
  <c r="O368" i="20"/>
  <c r="N929" i="11" l="1"/>
  <c r="N727" i="11"/>
  <c r="N952" i="7"/>
  <c r="N1117" i="3"/>
  <c r="N664" i="7"/>
  <c r="N245" i="9"/>
  <c r="N57" i="2"/>
  <c r="N116" i="2"/>
  <c r="N614" i="11"/>
  <c r="N544" i="11"/>
  <c r="N494" i="11"/>
  <c r="N137" i="11"/>
  <c r="N187" i="11"/>
  <c r="N185" i="9"/>
  <c r="N76" i="9"/>
  <c r="N130" i="9"/>
  <c r="O76" i="9"/>
  <c r="O1117" i="3"/>
  <c r="O57" i="2"/>
  <c r="O544" i="11"/>
  <c r="O245" i="9"/>
  <c r="O929" i="11"/>
  <c r="O614" i="11"/>
  <c r="O130" i="9"/>
  <c r="O494" i="11"/>
  <c r="O137" i="11"/>
  <c r="O952" i="7"/>
  <c r="O664" i="7"/>
  <c r="O187" i="11"/>
  <c r="O116" i="2"/>
  <c r="O185" i="9"/>
  <c r="O727" i="11"/>
  <c r="O185" i="21"/>
  <c r="O243" i="21"/>
  <c r="O186" i="21"/>
  <c r="O255" i="20"/>
  <c r="O369" i="20"/>
  <c r="O254" i="20"/>
  <c r="O196" i="20"/>
  <c r="O310" i="20"/>
  <c r="N728" i="11" l="1"/>
  <c r="N930" i="11"/>
  <c r="N953" i="7"/>
  <c r="N1118" i="3"/>
  <c r="N665" i="7"/>
  <c r="N246" i="9"/>
  <c r="N58" i="2"/>
  <c r="N117" i="2"/>
  <c r="N615" i="11"/>
  <c r="N545" i="11"/>
  <c r="N495" i="11"/>
  <c r="N138" i="11"/>
  <c r="N188" i="11"/>
  <c r="N186" i="9"/>
  <c r="N77" i="9"/>
  <c r="N131" i="9"/>
  <c r="O58" i="2"/>
  <c r="O117" i="2"/>
  <c r="O1118" i="3"/>
  <c r="O545" i="11"/>
  <c r="O188" i="11"/>
  <c r="O246" i="9"/>
  <c r="O665" i="7"/>
  <c r="O953" i="7"/>
  <c r="O138" i="11"/>
  <c r="O495" i="11"/>
  <c r="O615" i="11"/>
  <c r="O131" i="9"/>
  <c r="O186" i="9"/>
  <c r="O930" i="11"/>
  <c r="O728" i="11"/>
  <c r="O77" i="9"/>
  <c r="O370" i="20"/>
  <c r="O198" i="20"/>
  <c r="O197" i="20"/>
  <c r="O244" i="21"/>
  <c r="O311" i="20"/>
  <c r="N931" i="11" l="1"/>
  <c r="N729" i="11"/>
  <c r="N954" i="7"/>
  <c r="N1119" i="3"/>
  <c r="N667" i="7"/>
  <c r="N247" i="9"/>
  <c r="N59" i="2"/>
  <c r="N118" i="2"/>
  <c r="N616" i="11"/>
  <c r="N546" i="11"/>
  <c r="N496" i="11"/>
  <c r="N139" i="11"/>
  <c r="N189" i="11"/>
  <c r="N187" i="9"/>
  <c r="N78" i="9"/>
  <c r="N132" i="9"/>
  <c r="O78" i="9"/>
  <c r="O187" i="9"/>
  <c r="O132" i="9"/>
  <c r="O667" i="7"/>
  <c r="O118" i="2"/>
  <c r="O496" i="11"/>
  <c r="O247" i="9"/>
  <c r="O729" i="11"/>
  <c r="O616" i="11"/>
  <c r="O189" i="11"/>
  <c r="O546" i="11"/>
  <c r="O931" i="11"/>
  <c r="O954" i="7"/>
  <c r="O139" i="11"/>
  <c r="O59" i="2"/>
  <c r="O1119" i="3"/>
  <c r="O245" i="21"/>
  <c r="O312" i="20"/>
  <c r="O371" i="20"/>
  <c r="O313" i="20"/>
  <c r="O246" i="21"/>
  <c r="N730" i="11" l="1"/>
  <c r="N932" i="11"/>
  <c r="N955" i="7"/>
  <c r="N1120" i="3"/>
  <c r="N668" i="7"/>
  <c r="N248" i="9"/>
  <c r="N119" i="2"/>
  <c r="N60" i="2"/>
  <c r="N617" i="11"/>
  <c r="N547" i="11"/>
  <c r="N497" i="11"/>
  <c r="N140" i="11"/>
  <c r="N190" i="11"/>
  <c r="N188" i="9"/>
  <c r="N79" i="9"/>
  <c r="N133" i="9"/>
  <c r="O133" i="9"/>
  <c r="O547" i="11"/>
  <c r="O60" i="2"/>
  <c r="O1120" i="3"/>
  <c r="O79" i="9"/>
  <c r="O190" i="11"/>
  <c r="O188" i="9"/>
  <c r="O955" i="7"/>
  <c r="O730" i="11"/>
  <c r="O497" i="11"/>
  <c r="O140" i="11"/>
  <c r="O932" i="11"/>
  <c r="O668" i="7"/>
  <c r="O617" i="11"/>
  <c r="O119" i="2"/>
  <c r="O248" i="9"/>
  <c r="O372" i="20"/>
  <c r="O373" i="20"/>
  <c r="N933" i="11" l="1"/>
  <c r="N731" i="11"/>
  <c r="N956" i="7"/>
  <c r="N1121" i="3"/>
  <c r="N669" i="7"/>
  <c r="N249" i="9"/>
  <c r="N61" i="2"/>
  <c r="N120" i="2"/>
  <c r="N618" i="11"/>
  <c r="N548" i="11"/>
  <c r="N498" i="11"/>
  <c r="N141" i="11"/>
  <c r="N191" i="11"/>
  <c r="N189" i="9"/>
  <c r="N80" i="9"/>
  <c r="N134" i="9"/>
  <c r="O249" i="9"/>
  <c r="O548" i="11"/>
  <c r="O120" i="2"/>
  <c r="O731" i="11"/>
  <c r="O956" i="7"/>
  <c r="O141" i="11"/>
  <c r="O134" i="9"/>
  <c r="O618" i="11"/>
  <c r="O80" i="9"/>
  <c r="O191" i="11"/>
  <c r="O1121" i="3"/>
  <c r="O498" i="11"/>
  <c r="O61" i="2"/>
  <c r="O669" i="7"/>
  <c r="O189" i="9"/>
  <c r="O933" i="11"/>
  <c r="N732" i="11" l="1"/>
  <c r="N934" i="11"/>
  <c r="N957" i="7"/>
  <c r="N1122" i="3"/>
  <c r="N670" i="7"/>
  <c r="N250" i="9"/>
  <c r="N121" i="2"/>
  <c r="N62" i="2"/>
  <c r="N619" i="11"/>
  <c r="N549" i="11"/>
  <c r="N499" i="11"/>
  <c r="N142" i="11"/>
  <c r="N192" i="11"/>
  <c r="N190" i="9"/>
  <c r="N81" i="9"/>
  <c r="N135" i="9"/>
  <c r="O81" i="9"/>
  <c r="O934" i="11"/>
  <c r="O957" i="7"/>
  <c r="O192" i="11"/>
  <c r="O499" i="11"/>
  <c r="O62" i="2"/>
  <c r="O135" i="9"/>
  <c r="O250" i="9"/>
  <c r="O732" i="11"/>
  <c r="O549" i="11"/>
  <c r="O619" i="11"/>
  <c r="O1122" i="3"/>
  <c r="O142" i="11"/>
  <c r="O121" i="2"/>
  <c r="O190" i="9"/>
  <c r="O670" i="7"/>
  <c r="N935" i="11" l="1"/>
  <c r="N733" i="11"/>
  <c r="N958" i="7"/>
  <c r="N1123" i="3"/>
  <c r="N671" i="7"/>
  <c r="N251" i="9"/>
  <c r="N63" i="2"/>
  <c r="N122" i="2"/>
  <c r="N620" i="11"/>
  <c r="N550" i="11"/>
  <c r="N500" i="11"/>
  <c r="N143" i="11"/>
  <c r="N193" i="11"/>
  <c r="N191" i="9"/>
  <c r="N82" i="9"/>
  <c r="N136" i="9"/>
  <c r="O122" i="2"/>
  <c r="O935" i="11"/>
  <c r="O251" i="9"/>
  <c r="O82" i="9"/>
  <c r="O500" i="11"/>
  <c r="O550" i="11"/>
  <c r="O671" i="7"/>
  <c r="O620" i="11"/>
  <c r="O193" i="11"/>
  <c r="O733" i="11"/>
  <c r="O958" i="7"/>
  <c r="O63" i="2"/>
  <c r="O1123" i="3"/>
  <c r="O136" i="9"/>
  <c r="O191" i="9"/>
  <c r="O143" i="11"/>
  <c r="N734" i="11" l="1"/>
  <c r="N936" i="11"/>
  <c r="N959" i="7"/>
  <c r="N1124" i="3"/>
  <c r="N672" i="7"/>
  <c r="N252" i="9"/>
  <c r="N123" i="2"/>
  <c r="N64" i="2"/>
  <c r="N621" i="11"/>
  <c r="N551" i="11"/>
  <c r="N501" i="11"/>
  <c r="N144" i="11"/>
  <c r="N194" i="11"/>
  <c r="N192" i="9"/>
  <c r="N83" i="9"/>
  <c r="N137" i="9"/>
  <c r="O192" i="9"/>
  <c r="O501" i="11"/>
  <c r="O1124" i="3"/>
  <c r="O551" i="11"/>
  <c r="O936" i="11"/>
  <c r="O252" i="9"/>
  <c r="O621" i="11"/>
  <c r="O672" i="7"/>
  <c r="O137" i="9"/>
  <c r="O83" i="9"/>
  <c r="O734" i="11"/>
  <c r="O959" i="7"/>
  <c r="O194" i="11"/>
  <c r="O64" i="2"/>
  <c r="O123" i="2"/>
  <c r="O144" i="11"/>
  <c r="N937" i="11" l="1"/>
  <c r="N735" i="11"/>
  <c r="N960" i="7"/>
  <c r="N1125" i="3"/>
  <c r="N673" i="7"/>
  <c r="N253" i="9"/>
  <c r="N65" i="2"/>
  <c r="N124" i="2"/>
  <c r="N622" i="11"/>
  <c r="N552" i="11"/>
  <c r="N502" i="11"/>
  <c r="N145" i="11"/>
  <c r="N195" i="11"/>
  <c r="N193" i="9"/>
  <c r="N84" i="9"/>
  <c r="N138" i="9"/>
  <c r="O138" i="9"/>
  <c r="O937" i="11"/>
  <c r="O1125" i="3"/>
  <c r="O673" i="7"/>
  <c r="O960" i="7"/>
  <c r="O193" i="9"/>
  <c r="O84" i="9"/>
  <c r="O622" i="11"/>
  <c r="O502" i="11"/>
  <c r="O552" i="11"/>
  <c r="O735" i="11"/>
  <c r="O253" i="9"/>
  <c r="O145" i="11"/>
  <c r="O65" i="2"/>
  <c r="O124" i="2"/>
  <c r="O195" i="11"/>
  <c r="N736" i="11" l="1"/>
  <c r="N938" i="11"/>
  <c r="N961" i="7"/>
  <c r="N1126" i="3"/>
  <c r="N674" i="7"/>
  <c r="N254" i="9"/>
  <c r="N125" i="2"/>
  <c r="N66" i="2"/>
  <c r="N623" i="11"/>
  <c r="N553" i="11"/>
  <c r="N503" i="11"/>
  <c r="N196" i="11"/>
  <c r="N194" i="9"/>
  <c r="N85" i="9"/>
  <c r="N139" i="9"/>
  <c r="O961" i="7"/>
  <c r="O1126" i="3"/>
  <c r="O254" i="9"/>
  <c r="O674" i="7"/>
  <c r="O139" i="9"/>
  <c r="O85" i="9"/>
  <c r="O736" i="11"/>
  <c r="O938" i="11"/>
  <c r="O503" i="11"/>
  <c r="O553" i="11"/>
  <c r="O125" i="2"/>
  <c r="O623" i="11"/>
  <c r="O66" i="2"/>
  <c r="O196" i="11"/>
  <c r="O194" i="9"/>
  <c r="N940" i="11" l="1"/>
  <c r="N738" i="11"/>
  <c r="N962" i="7"/>
  <c r="N1127" i="3"/>
  <c r="N675" i="7"/>
  <c r="N255" i="9"/>
  <c r="N554" i="11"/>
  <c r="N504" i="11"/>
  <c r="N195" i="9"/>
  <c r="N86" i="9"/>
  <c r="O962" i="7"/>
  <c r="O738" i="11"/>
  <c r="O675" i="7"/>
  <c r="O1127" i="3"/>
  <c r="O940" i="11"/>
  <c r="O195" i="9"/>
  <c r="O86" i="9"/>
  <c r="O255" i="9"/>
  <c r="O554" i="11"/>
  <c r="O504" i="11"/>
  <c r="N739" i="11" l="1"/>
  <c r="N941" i="11"/>
  <c r="N964" i="7"/>
  <c r="N1128" i="3"/>
  <c r="N676" i="7"/>
  <c r="N256" i="9"/>
  <c r="N555" i="11"/>
  <c r="N505" i="11"/>
  <c r="N196" i="9"/>
  <c r="N87" i="9"/>
  <c r="O739" i="11"/>
  <c r="O676" i="7"/>
  <c r="O941" i="11"/>
  <c r="O1128" i="3"/>
  <c r="O964" i="7"/>
  <c r="O196" i="9"/>
  <c r="O555" i="11"/>
  <c r="O87" i="9"/>
  <c r="O256" i="9"/>
  <c r="O505" i="11"/>
  <c r="N942" i="11" l="1"/>
  <c r="N740" i="11"/>
  <c r="N965" i="7"/>
  <c r="N1129" i="3"/>
  <c r="N677" i="7"/>
  <c r="N257" i="9"/>
  <c r="N88" i="9"/>
  <c r="O677" i="7"/>
  <c r="O965" i="7"/>
  <c r="O1129" i="3"/>
  <c r="O740" i="11"/>
  <c r="O942" i="11"/>
  <c r="O88" i="9"/>
  <c r="O257" i="9"/>
  <c r="N741" i="11" l="1"/>
  <c r="N943" i="11"/>
  <c r="N966" i="7"/>
  <c r="N1130" i="3"/>
  <c r="N678" i="7"/>
  <c r="O966" i="7"/>
  <c r="O1130" i="3"/>
  <c r="O943" i="11"/>
  <c r="O741" i="11"/>
  <c r="O678" i="7"/>
  <c r="N742" i="11" l="1"/>
  <c r="N944" i="11"/>
  <c r="N967" i="7"/>
  <c r="N1131" i="3"/>
  <c r="N679" i="7"/>
  <c r="O1131" i="3"/>
  <c r="O944" i="11"/>
  <c r="O742" i="11"/>
  <c r="O967" i="7"/>
  <c r="O679" i="7"/>
  <c r="N945" i="11" l="1"/>
  <c r="N743" i="11"/>
  <c r="N968" i="7"/>
  <c r="N1132" i="3"/>
  <c r="N680" i="7"/>
  <c r="O945" i="11"/>
  <c r="O1132" i="3"/>
  <c r="O680" i="7"/>
  <c r="O968" i="7"/>
  <c r="O743" i="11"/>
  <c r="N744" i="11" l="1"/>
  <c r="N946" i="11"/>
  <c r="N969" i="7"/>
  <c r="N1133" i="3"/>
  <c r="N681" i="7"/>
  <c r="O969" i="7"/>
  <c r="O744" i="11"/>
  <c r="O946" i="11"/>
  <c r="O1133" i="3"/>
  <c r="O681" i="7"/>
  <c r="N745" i="11" l="1"/>
  <c r="N947" i="11"/>
  <c r="N970" i="7"/>
  <c r="N1134" i="3"/>
  <c r="N682" i="7"/>
  <c r="O970" i="7"/>
  <c r="O1134" i="3"/>
  <c r="O947" i="11"/>
  <c r="O682" i="7"/>
  <c r="O745" i="11"/>
  <c r="N948" i="11" l="1"/>
  <c r="N746" i="11"/>
  <c r="N971" i="7"/>
  <c r="N1135" i="3"/>
  <c r="N683" i="7"/>
  <c r="O1135" i="3"/>
  <c r="O971" i="7"/>
  <c r="O683" i="7"/>
  <c r="O746" i="11"/>
  <c r="O948" i="11"/>
  <c r="N747" i="11" l="1"/>
  <c r="N949" i="11"/>
  <c r="N972" i="7"/>
  <c r="N1136" i="3"/>
  <c r="N684" i="7"/>
  <c r="O1136" i="3"/>
  <c r="O949" i="11"/>
  <c r="O972" i="7"/>
  <c r="O747" i="11"/>
  <c r="O684" i="7"/>
  <c r="N748" i="11" l="1"/>
  <c r="N950" i="11"/>
  <c r="N973" i="7"/>
  <c r="N1137" i="3"/>
  <c r="N685" i="7"/>
  <c r="O973" i="7"/>
  <c r="O685" i="7"/>
  <c r="O1137" i="3"/>
  <c r="O748" i="11"/>
  <c r="O950" i="11"/>
  <c r="N951" i="11" l="1"/>
  <c r="N749" i="11"/>
  <c r="N974" i="7"/>
  <c r="N1138" i="3"/>
  <c r="N686" i="7"/>
  <c r="O686" i="7"/>
  <c r="O951" i="11"/>
  <c r="O1138" i="3"/>
  <c r="O974" i="7"/>
  <c r="O749" i="11"/>
  <c r="N750" i="11" l="1"/>
  <c r="N952" i="11"/>
  <c r="N975" i="7"/>
  <c r="N1139" i="3"/>
  <c r="N687" i="7"/>
  <c r="O975" i="7"/>
  <c r="O952" i="11"/>
  <c r="O687" i="7"/>
  <c r="O750" i="11"/>
  <c r="O1139" i="3"/>
  <c r="N953" i="11" l="1"/>
  <c r="N751" i="11"/>
  <c r="N976" i="7"/>
  <c r="N1140" i="3"/>
  <c r="N688" i="7"/>
  <c r="O1140" i="3"/>
  <c r="O976" i="7"/>
  <c r="O953" i="11"/>
  <c r="O751" i="11"/>
  <c r="O688" i="7"/>
  <c r="N954" i="11" l="1"/>
  <c r="N752" i="11"/>
  <c r="N977" i="7"/>
  <c r="N1141" i="3"/>
  <c r="N689" i="7"/>
  <c r="O689" i="7"/>
  <c r="O954" i="11"/>
  <c r="O977" i="7"/>
  <c r="O1141" i="3"/>
  <c r="O752" i="11"/>
  <c r="N753" i="11" l="1"/>
  <c r="N956" i="11"/>
  <c r="N978" i="7"/>
  <c r="N1142" i="3"/>
  <c r="N690" i="7"/>
  <c r="O956" i="11"/>
  <c r="O1142" i="3"/>
  <c r="O978" i="7"/>
  <c r="O753" i="11"/>
  <c r="O690" i="7"/>
  <c r="N754" i="11" l="1"/>
  <c r="N957" i="11"/>
  <c r="N979" i="7"/>
  <c r="N1143" i="3"/>
  <c r="N691" i="7"/>
  <c r="O691" i="7"/>
  <c r="O957" i="11"/>
  <c r="O979" i="7"/>
  <c r="O1143" i="3"/>
  <c r="O754" i="11"/>
  <c r="N958" i="11" l="1"/>
  <c r="N755" i="11"/>
  <c r="N981" i="7"/>
  <c r="N1144" i="3"/>
  <c r="N692" i="7"/>
  <c r="O755" i="11"/>
  <c r="O958" i="11"/>
  <c r="O981" i="7"/>
  <c r="O692" i="7"/>
  <c r="O1144" i="3"/>
  <c r="N756" i="11" l="1"/>
  <c r="N959" i="11"/>
  <c r="N982" i="7"/>
  <c r="N1145" i="3"/>
  <c r="N693" i="7"/>
  <c r="O959" i="11"/>
  <c r="O756" i="11"/>
  <c r="O982" i="7"/>
  <c r="O1145" i="3"/>
  <c r="O693" i="7"/>
  <c r="N757" i="11" l="1"/>
  <c r="N960" i="11"/>
  <c r="N983" i="7"/>
  <c r="N1146" i="3"/>
  <c r="N695" i="7"/>
  <c r="O983" i="7"/>
  <c r="O757" i="11"/>
  <c r="O960" i="11"/>
  <c r="O695" i="7"/>
  <c r="O1146" i="3"/>
  <c r="N759" i="11" l="1"/>
  <c r="N961" i="11"/>
  <c r="N984" i="7"/>
  <c r="N1147" i="3"/>
  <c r="N696" i="7"/>
  <c r="O1147" i="3"/>
  <c r="O961" i="11"/>
  <c r="O984" i="7"/>
  <c r="O759" i="11"/>
  <c r="O696" i="7"/>
  <c r="N962" i="11" l="1"/>
  <c r="N760" i="11"/>
  <c r="N985" i="7"/>
  <c r="N1148" i="3"/>
  <c r="N697" i="7"/>
  <c r="O985" i="7"/>
  <c r="O962" i="11"/>
  <c r="O697" i="7"/>
  <c r="O1148" i="3"/>
  <c r="O760" i="11"/>
  <c r="N963" i="11" l="1"/>
  <c r="N761" i="11"/>
  <c r="N986" i="7"/>
  <c r="N1149" i="3"/>
  <c r="N698" i="7"/>
  <c r="O1149" i="3"/>
  <c r="O986" i="7"/>
  <c r="O963" i="11"/>
  <c r="O698" i="7"/>
  <c r="O761" i="11"/>
  <c r="N964" i="11" l="1"/>
  <c r="N762" i="11"/>
  <c r="N987" i="7"/>
  <c r="N1150" i="3"/>
  <c r="N699" i="7"/>
  <c r="O964" i="11"/>
  <c r="O987" i="7"/>
  <c r="O1150" i="3"/>
  <c r="O699" i="7"/>
  <c r="O762" i="11"/>
  <c r="N763" i="11" l="1"/>
  <c r="N965" i="11"/>
  <c r="N988" i="7"/>
  <c r="N1151" i="3"/>
  <c r="N700" i="7"/>
  <c r="O965" i="11"/>
  <c r="O700" i="7"/>
  <c r="O988" i="7"/>
  <c r="O1151" i="3"/>
  <c r="O763" i="11"/>
  <c r="N764" i="11" l="1"/>
  <c r="N966" i="11"/>
  <c r="N989" i="7"/>
  <c r="N1152" i="3"/>
  <c r="N701" i="7"/>
  <c r="O966" i="11"/>
  <c r="O764" i="11"/>
  <c r="O989" i="7"/>
  <c r="O701" i="7"/>
  <c r="O1152" i="3"/>
  <c r="N967" i="11" l="1"/>
  <c r="N765" i="11"/>
  <c r="N990" i="7"/>
  <c r="N1153" i="3"/>
  <c r="N702" i="7"/>
  <c r="O967" i="11"/>
  <c r="O990" i="7"/>
  <c r="O702" i="7"/>
  <c r="O765" i="11"/>
  <c r="O1153" i="3"/>
  <c r="N968" i="11" l="1"/>
  <c r="N766" i="11"/>
  <c r="N991" i="7"/>
  <c r="N1155" i="3"/>
  <c r="N703" i="7"/>
  <c r="O968" i="11"/>
  <c r="O991" i="7"/>
  <c r="O766" i="11"/>
  <c r="O703" i="7"/>
  <c r="O1155" i="3"/>
  <c r="N767" i="11" l="1"/>
  <c r="N969" i="11"/>
  <c r="N992" i="7"/>
  <c r="N1156" i="3"/>
  <c r="N704" i="7"/>
  <c r="O969" i="11"/>
  <c r="O992" i="7"/>
  <c r="O704" i="7"/>
  <c r="O1156" i="3"/>
  <c r="O767" i="11"/>
  <c r="N970" i="11" l="1"/>
  <c r="N768" i="11"/>
  <c r="N993" i="7"/>
  <c r="N1157" i="3"/>
  <c r="N705" i="7"/>
  <c r="O970" i="11"/>
  <c r="O705" i="7"/>
  <c r="O1157" i="3"/>
  <c r="O993" i="7"/>
  <c r="O768" i="11"/>
  <c r="N769" i="11" l="1"/>
  <c r="N972" i="11"/>
  <c r="N994" i="7"/>
  <c r="N1158" i="3"/>
  <c r="N706" i="7"/>
  <c r="O769" i="11"/>
  <c r="O972" i="11"/>
  <c r="O994" i="7"/>
  <c r="O1158" i="3"/>
  <c r="O706" i="7"/>
  <c r="N770" i="11" l="1"/>
  <c r="N973" i="11"/>
  <c r="N995" i="7"/>
  <c r="N1159" i="3"/>
  <c r="N707" i="7"/>
  <c r="O973" i="11"/>
  <c r="O995" i="7"/>
  <c r="O707" i="7"/>
  <c r="O770" i="11"/>
  <c r="O1159" i="3"/>
  <c r="N974" i="11" l="1"/>
  <c r="N771" i="11"/>
  <c r="N996" i="7"/>
  <c r="N1160" i="3"/>
  <c r="N708" i="7"/>
  <c r="O771" i="11"/>
  <c r="O974" i="11"/>
  <c r="O996" i="7"/>
  <c r="O1160" i="3"/>
  <c r="O708" i="7"/>
  <c r="N772" i="11" l="1"/>
  <c r="N975" i="11"/>
  <c r="N998" i="7"/>
  <c r="N1161" i="3"/>
  <c r="N709" i="7"/>
  <c r="O998" i="7"/>
  <c r="O975" i="11"/>
  <c r="O772" i="11"/>
  <c r="O709" i="7"/>
  <c r="O1161" i="3"/>
  <c r="N976" i="11" l="1"/>
  <c r="N773" i="11"/>
  <c r="N999" i="7"/>
  <c r="N1162" i="3"/>
  <c r="N710" i="7"/>
  <c r="O773" i="11"/>
  <c r="O999" i="7"/>
  <c r="O976" i="11"/>
  <c r="O710" i="7"/>
  <c r="O1162" i="3"/>
  <c r="N774" i="11" l="1"/>
  <c r="N977" i="11"/>
  <c r="N1000" i="7"/>
  <c r="N1163" i="3"/>
  <c r="N711" i="7"/>
  <c r="O977" i="11"/>
  <c r="O1000" i="7"/>
  <c r="O1163" i="3"/>
  <c r="O774" i="11"/>
  <c r="O711" i="7"/>
  <c r="N978" i="11" l="1"/>
  <c r="N775" i="11"/>
  <c r="N1001" i="7"/>
  <c r="N1164" i="3"/>
  <c r="N712" i="7"/>
  <c r="O775" i="11"/>
  <c r="O978" i="11"/>
  <c r="O1001" i="7"/>
  <c r="O712" i="7"/>
  <c r="O1164" i="3"/>
  <c r="N979" i="11" l="1"/>
  <c r="N776" i="11"/>
  <c r="N1002" i="7"/>
  <c r="N1165" i="3"/>
  <c r="N713" i="7"/>
  <c r="O1002" i="7"/>
  <c r="O979" i="11"/>
  <c r="O1165" i="3"/>
  <c r="O776" i="11"/>
  <c r="O713" i="7"/>
  <c r="N777" i="11" l="1"/>
  <c r="N980" i="11"/>
  <c r="N1003" i="7"/>
  <c r="N1166" i="3"/>
  <c r="N714" i="7"/>
  <c r="O777" i="11"/>
  <c r="O980" i="11"/>
  <c r="O1003" i="7"/>
  <c r="O714" i="7"/>
  <c r="O1166" i="3"/>
  <c r="N981" i="11" l="1"/>
  <c r="N778" i="11"/>
  <c r="N1004" i="7"/>
  <c r="N1167" i="3"/>
  <c r="N715" i="7"/>
  <c r="O1004" i="7"/>
  <c r="O981" i="11"/>
  <c r="O1167" i="3"/>
  <c r="O715" i="7"/>
  <c r="O778" i="11"/>
  <c r="N780" i="11" l="1"/>
  <c r="N982" i="11"/>
  <c r="N1005" i="7"/>
  <c r="N1168" i="3"/>
  <c r="N716" i="7"/>
  <c r="O716" i="7"/>
  <c r="O982" i="11"/>
  <c r="O780" i="11"/>
  <c r="O1005" i="7"/>
  <c r="O1168" i="3"/>
  <c r="N983" i="11" l="1"/>
  <c r="N781" i="11"/>
  <c r="N1006" i="7"/>
  <c r="N1169" i="3"/>
  <c r="N717" i="7"/>
  <c r="O781" i="11"/>
  <c r="O983" i="11"/>
  <c r="O1006" i="7"/>
  <c r="O717" i="7"/>
  <c r="O1169" i="3"/>
  <c r="N782" i="11" l="1"/>
  <c r="N984" i="11"/>
  <c r="N1007" i="7"/>
  <c r="N1170" i="3"/>
  <c r="N718" i="7"/>
  <c r="O782" i="11"/>
  <c r="O984" i="11"/>
  <c r="O1007" i="7"/>
  <c r="O718" i="7"/>
  <c r="O1170" i="3"/>
  <c r="N783" i="11" l="1"/>
  <c r="N985" i="11"/>
  <c r="N1008" i="7"/>
  <c r="N1171" i="3"/>
  <c r="N719" i="7"/>
  <c r="O1008" i="7"/>
  <c r="O783" i="11"/>
  <c r="O719" i="7"/>
  <c r="O985" i="11"/>
  <c r="O1171" i="3"/>
  <c r="N784" i="11" l="1"/>
  <c r="N986" i="11"/>
  <c r="N1009" i="7"/>
  <c r="N1172" i="3"/>
  <c r="N720" i="7"/>
  <c r="O720" i="7"/>
  <c r="O784" i="11"/>
  <c r="O986" i="11"/>
  <c r="O1009" i="7"/>
  <c r="O1172" i="3"/>
  <c r="N988" i="11" l="1"/>
  <c r="N785" i="11"/>
  <c r="N1010" i="7"/>
  <c r="N1173" i="3"/>
  <c r="N721" i="7"/>
  <c r="O988" i="11"/>
  <c r="O785" i="11"/>
  <c r="O1173" i="3"/>
  <c r="O1010" i="7"/>
  <c r="O721" i="7"/>
  <c r="N989" i="11" l="1"/>
  <c r="N786" i="11"/>
  <c r="N1011" i="7"/>
  <c r="N1174" i="3"/>
  <c r="N723" i="7"/>
  <c r="O786" i="11"/>
  <c r="O1174" i="3"/>
  <c r="O989" i="11"/>
  <c r="O1011" i="7"/>
  <c r="O723" i="7"/>
  <c r="N787" i="11" l="1"/>
  <c r="N990" i="11"/>
  <c r="N1012" i="7"/>
  <c r="N1175" i="3"/>
  <c r="N724" i="7"/>
  <c r="O990" i="11"/>
  <c r="O787" i="11"/>
  <c r="O1012" i="7"/>
  <c r="O724" i="7"/>
  <c r="O1175" i="3"/>
  <c r="N788" i="11" l="1"/>
  <c r="N991" i="11"/>
  <c r="N1013" i="7"/>
  <c r="N1176" i="3"/>
  <c r="N725" i="7"/>
  <c r="O725" i="7"/>
  <c r="O788" i="11"/>
  <c r="O991" i="11"/>
  <c r="O1013" i="7"/>
  <c r="O1176" i="3"/>
  <c r="N992" i="11" l="1"/>
  <c r="N789" i="11"/>
  <c r="N1015" i="7"/>
  <c r="N1177" i="3"/>
  <c r="N726" i="7"/>
  <c r="O789" i="11"/>
  <c r="O1177" i="3"/>
  <c r="O992" i="11"/>
  <c r="O1015" i="7"/>
  <c r="O726" i="7"/>
  <c r="N993" i="11" l="1"/>
  <c r="N790" i="11"/>
  <c r="N1016" i="7"/>
  <c r="N1178" i="3"/>
  <c r="N727" i="7"/>
  <c r="O790" i="11"/>
  <c r="O993" i="11"/>
  <c r="O1178" i="3"/>
  <c r="O1016" i="7"/>
  <c r="O727" i="7"/>
  <c r="N994" i="11" l="1"/>
  <c r="N791" i="11"/>
  <c r="N1017" i="7"/>
  <c r="N1179" i="3"/>
  <c r="N728" i="7"/>
  <c r="O1017" i="7"/>
  <c r="O994" i="11"/>
  <c r="O791" i="11"/>
  <c r="O728" i="7"/>
  <c r="O1179" i="3"/>
  <c r="N995" i="11" l="1"/>
  <c r="N792" i="11"/>
  <c r="N1018" i="7"/>
  <c r="N1180" i="3"/>
  <c r="N729" i="7"/>
  <c r="O729" i="7"/>
  <c r="O792" i="11"/>
  <c r="O995" i="11"/>
  <c r="O1180" i="3"/>
  <c r="O1018" i="7"/>
  <c r="N996" i="11" l="1"/>
  <c r="N793" i="11"/>
  <c r="N1019" i="7"/>
  <c r="N1181" i="3"/>
  <c r="N730" i="7"/>
  <c r="O996" i="11"/>
  <c r="O793" i="11"/>
  <c r="O1019" i="7"/>
  <c r="O1181" i="3"/>
  <c r="O730" i="7"/>
  <c r="N997" i="11" l="1"/>
  <c r="N794" i="11"/>
  <c r="N1020" i="7"/>
  <c r="N1182" i="3"/>
  <c r="N731" i="7"/>
  <c r="O1182" i="3"/>
  <c r="O997" i="11"/>
  <c r="O794" i="11"/>
  <c r="O1020" i="7"/>
  <c r="O731" i="7"/>
  <c r="N998" i="11" l="1"/>
  <c r="N795" i="11"/>
  <c r="N1021" i="7"/>
  <c r="N1183" i="3"/>
  <c r="N732" i="7"/>
  <c r="O795" i="11"/>
  <c r="O998" i="11"/>
  <c r="O1021" i="7"/>
  <c r="O732" i="7"/>
  <c r="O1183" i="3"/>
  <c r="N796" i="11" l="1"/>
  <c r="N999" i="11"/>
  <c r="N1022" i="7"/>
  <c r="N1184" i="3"/>
  <c r="N733" i="7"/>
  <c r="O1184" i="3"/>
  <c r="O796" i="11"/>
  <c r="O999" i="11"/>
  <c r="O1022" i="7"/>
  <c r="O733" i="7"/>
  <c r="N797" i="11" l="1"/>
  <c r="N1000" i="11"/>
  <c r="N1023" i="7"/>
  <c r="N1185" i="3"/>
  <c r="N734" i="7"/>
  <c r="O1000" i="11"/>
  <c r="O797" i="11"/>
  <c r="O1023" i="7"/>
  <c r="O1185" i="3"/>
  <c r="O734" i="7"/>
  <c r="N798" i="11" l="1"/>
  <c r="N1001" i="11"/>
  <c r="N1024" i="7"/>
  <c r="N1186" i="3"/>
  <c r="N735" i="7"/>
  <c r="O798" i="11"/>
  <c r="O1186" i="3"/>
  <c r="O1001" i="11"/>
  <c r="O1024" i="7"/>
  <c r="O735" i="7"/>
  <c r="N1002" i="11" l="1"/>
  <c r="N799" i="11"/>
  <c r="N1025" i="7"/>
  <c r="N1187" i="3"/>
  <c r="N736" i="7"/>
  <c r="O1187" i="3"/>
  <c r="O1002" i="11"/>
  <c r="O1025" i="7"/>
  <c r="O736" i="7"/>
  <c r="O799" i="11"/>
  <c r="N1004" i="11" l="1"/>
  <c r="N801" i="11"/>
  <c r="N1026" i="7"/>
  <c r="N1188" i="3"/>
  <c r="N737" i="7"/>
  <c r="O801" i="11"/>
  <c r="O737" i="7"/>
  <c r="O1004" i="11"/>
  <c r="O1026" i="7"/>
  <c r="O1188" i="3"/>
  <c r="N1005" i="11" l="1"/>
  <c r="N802" i="11"/>
  <c r="N1027" i="7"/>
  <c r="N1189" i="3"/>
  <c r="N738" i="7"/>
  <c r="O802" i="11"/>
  <c r="O1005" i="11"/>
  <c r="O1027" i="7"/>
  <c r="O738" i="7"/>
  <c r="O1189" i="3"/>
  <c r="N803" i="11" l="1"/>
  <c r="N1006" i="11"/>
  <c r="N1028" i="7"/>
  <c r="N1190" i="3"/>
  <c r="N739" i="7"/>
  <c r="O739" i="7"/>
  <c r="O803" i="11"/>
  <c r="O1006" i="11"/>
  <c r="O1028" i="7"/>
  <c r="O1190" i="3"/>
  <c r="N804" i="11" l="1"/>
  <c r="N1007" i="11"/>
  <c r="N1029" i="7"/>
  <c r="N1191" i="3"/>
  <c r="N740" i="7"/>
  <c r="O1007" i="11"/>
  <c r="O804" i="11"/>
  <c r="O1029" i="7"/>
  <c r="O740" i="7"/>
  <c r="O1191" i="3"/>
  <c r="N805" i="11" l="1"/>
  <c r="N1008" i="11"/>
  <c r="N1030" i="7"/>
  <c r="N1192" i="3"/>
  <c r="N741" i="7"/>
  <c r="O805" i="11"/>
  <c r="O1030" i="7"/>
  <c r="O1008" i="11"/>
  <c r="O741" i="7"/>
  <c r="O1192" i="3"/>
  <c r="N1009" i="11" l="1"/>
  <c r="N806" i="11"/>
  <c r="N1032" i="7"/>
  <c r="N1193" i="3"/>
  <c r="N742" i="7"/>
  <c r="O742" i="7"/>
  <c r="O1032" i="7"/>
  <c r="O1009" i="11"/>
  <c r="O806" i="11"/>
  <c r="O1193" i="3"/>
  <c r="N807" i="11" l="1"/>
  <c r="N1010" i="11"/>
  <c r="N1033" i="7"/>
  <c r="N1194" i="3"/>
  <c r="N743" i="7"/>
  <c r="O1010" i="11"/>
  <c r="O807" i="11"/>
  <c r="O1033" i="7"/>
  <c r="O743" i="7"/>
  <c r="O1194" i="3"/>
  <c r="N1011" i="11" l="1"/>
  <c r="N808" i="11"/>
  <c r="N1034" i="7"/>
  <c r="N1195" i="3"/>
  <c r="N744" i="7"/>
  <c r="O808" i="11"/>
  <c r="O1011" i="11"/>
  <c r="O1034" i="7"/>
  <c r="O744" i="7"/>
  <c r="O1195" i="3"/>
  <c r="N1012" i="11" l="1"/>
  <c r="N809" i="11"/>
  <c r="N1035" i="7"/>
  <c r="N1196" i="3"/>
  <c r="N745" i="7"/>
  <c r="O1035" i="7"/>
  <c r="O1012" i="11"/>
  <c r="O809" i="11"/>
  <c r="O745" i="7"/>
  <c r="O1196" i="3"/>
  <c r="N1013" i="11" l="1"/>
  <c r="N810" i="11"/>
  <c r="N1036" i="7"/>
  <c r="N1197" i="3"/>
  <c r="N746" i="7"/>
  <c r="O1197" i="3"/>
  <c r="O1013" i="11"/>
  <c r="O1036" i="7"/>
  <c r="O810" i="11"/>
  <c r="O746" i="7"/>
  <c r="N811" i="11" l="1"/>
  <c r="N1014" i="11"/>
  <c r="N1037" i="7"/>
  <c r="N1198" i="3"/>
  <c r="N747" i="7"/>
  <c r="O1198" i="3"/>
  <c r="O1014" i="11"/>
  <c r="O1037" i="7"/>
  <c r="O811" i="11"/>
  <c r="O747" i="7"/>
  <c r="N1015" i="11" l="1"/>
  <c r="N812" i="11"/>
  <c r="N1038" i="7"/>
  <c r="N1200" i="3"/>
  <c r="N748" i="7"/>
  <c r="O1038" i="7"/>
  <c r="O748" i="7"/>
  <c r="O1200" i="3"/>
  <c r="O812" i="11"/>
  <c r="O1015" i="11"/>
  <c r="N813" i="11" l="1"/>
  <c r="N1016" i="11"/>
  <c r="N1039" i="7"/>
  <c r="N1201" i="3"/>
  <c r="N749" i="7"/>
  <c r="O1039" i="7"/>
  <c r="O749" i="7"/>
  <c r="O1016" i="11"/>
  <c r="O1201" i="3"/>
  <c r="O813" i="11"/>
  <c r="N814" i="11" l="1"/>
  <c r="N1017" i="11"/>
  <c r="N1040" i="7"/>
  <c r="N1202" i="3"/>
  <c r="N751" i="7"/>
  <c r="O1017" i="11"/>
  <c r="O1040" i="7"/>
  <c r="O751" i="7"/>
  <c r="O1202" i="3"/>
  <c r="O814" i="11"/>
  <c r="N1018" i="11" l="1"/>
  <c r="N815" i="11"/>
  <c r="N1041" i="7"/>
  <c r="N1203" i="3"/>
  <c r="N752" i="7"/>
  <c r="O752" i="7"/>
  <c r="O1041" i="7"/>
  <c r="O1203" i="3"/>
  <c r="O1018" i="11"/>
  <c r="O815" i="11"/>
  <c r="N1020" i="11" l="1"/>
  <c r="N816" i="11"/>
  <c r="N1042" i="7"/>
  <c r="N1204" i="3"/>
  <c r="N753" i="7"/>
  <c r="O1042" i="7"/>
  <c r="O753" i="7"/>
  <c r="O1204" i="3"/>
  <c r="O1020" i="11"/>
  <c r="O816" i="11"/>
  <c r="N817" i="11" l="1"/>
  <c r="N1021" i="11"/>
  <c r="N1043" i="7"/>
  <c r="N1205" i="3"/>
  <c r="N754" i="7"/>
  <c r="O754" i="7"/>
  <c r="O1043" i="7"/>
  <c r="O1205" i="3"/>
  <c r="O1021" i="11"/>
  <c r="O817" i="11"/>
  <c r="N1022" i="11" l="1"/>
  <c r="N818" i="11"/>
  <c r="N1044" i="7"/>
  <c r="N1206" i="3"/>
  <c r="N755" i="7"/>
  <c r="O755" i="7"/>
  <c r="O1044" i="7"/>
  <c r="O1206" i="3"/>
  <c r="O1022" i="11"/>
  <c r="O818" i="11"/>
  <c r="N1023" i="11" l="1"/>
  <c r="N819" i="11"/>
  <c r="N1045" i="7"/>
  <c r="N1207" i="3"/>
  <c r="N756" i="7"/>
  <c r="O1045" i="7"/>
  <c r="O756" i="7"/>
  <c r="O819" i="11"/>
  <c r="O1207" i="3"/>
  <c r="O1023" i="11"/>
  <c r="N1024" i="11" l="1"/>
  <c r="N820" i="11"/>
  <c r="N1046" i="7"/>
  <c r="N1208" i="3"/>
  <c r="N757" i="7"/>
  <c r="O1046" i="7"/>
  <c r="O757" i="7"/>
  <c r="O1208" i="3"/>
  <c r="O820" i="11"/>
  <c r="O1024" i="11"/>
  <c r="N1025" i="11" l="1"/>
  <c r="N822" i="11"/>
  <c r="N1047" i="7"/>
  <c r="N1209" i="3"/>
  <c r="N758" i="7"/>
  <c r="O1047" i="7"/>
  <c r="O758" i="7"/>
  <c r="O1209" i="3"/>
  <c r="O1025" i="11"/>
  <c r="O822" i="11"/>
  <c r="N1026" i="11" l="1"/>
  <c r="N823" i="11"/>
  <c r="N1049" i="7"/>
  <c r="N1210" i="3"/>
  <c r="N759" i="7"/>
  <c r="O1049" i="7"/>
  <c r="O759" i="7"/>
  <c r="O1026" i="11"/>
  <c r="O823" i="11"/>
  <c r="O1210" i="3"/>
  <c r="N824" i="11" l="1"/>
  <c r="N1027" i="11"/>
  <c r="N1050" i="7"/>
  <c r="N1211" i="3"/>
  <c r="N760" i="7"/>
  <c r="O1050" i="7"/>
  <c r="O760" i="7"/>
  <c r="O1211" i="3"/>
  <c r="O1027" i="11"/>
  <c r="O824" i="11"/>
  <c r="N1028" i="11" l="1"/>
  <c r="N825" i="11"/>
  <c r="N1051" i="7"/>
  <c r="N1212" i="3"/>
  <c r="N761" i="7"/>
  <c r="O1051" i="7"/>
  <c r="O761" i="7"/>
  <c r="O825" i="11"/>
  <c r="O1028" i="11"/>
  <c r="O1212" i="3"/>
  <c r="N1029" i="11" l="1"/>
  <c r="N826" i="11"/>
  <c r="N1052" i="7"/>
  <c r="N1213" i="3"/>
  <c r="N762" i="7"/>
  <c r="O1052" i="7"/>
  <c r="O762" i="7"/>
  <c r="O1213" i="3"/>
  <c r="O826" i="11"/>
  <c r="O1029" i="11"/>
  <c r="N1030" i="11" l="1"/>
  <c r="N827" i="11"/>
  <c r="N1053" i="7"/>
  <c r="N1214" i="3"/>
  <c r="N763" i="7"/>
  <c r="O827" i="11"/>
  <c r="O1053" i="7"/>
  <c r="O1214" i="3"/>
  <c r="O763" i="7"/>
  <c r="O1030" i="11"/>
  <c r="N1031" i="11" l="1"/>
  <c r="N828" i="11"/>
  <c r="N1054" i="7"/>
  <c r="N1215" i="3"/>
  <c r="N764" i="7"/>
  <c r="O1054" i="7"/>
  <c r="O828" i="11"/>
  <c r="O764" i="7"/>
  <c r="O1215" i="3"/>
  <c r="O1031" i="11"/>
  <c r="N829" i="11" l="1"/>
  <c r="N1032" i="11"/>
  <c r="N1055" i="7"/>
  <c r="N1216" i="3"/>
  <c r="N765" i="7"/>
  <c r="O1055" i="7"/>
  <c r="O1032" i="11"/>
  <c r="O765" i="7"/>
  <c r="O1216" i="3"/>
  <c r="O829" i="11"/>
  <c r="N830" i="11" l="1"/>
  <c r="N1033" i="11"/>
  <c r="N1056" i="7"/>
  <c r="N1217" i="3"/>
  <c r="N766" i="7"/>
  <c r="O766" i="7"/>
  <c r="O1056" i="7"/>
  <c r="O1033" i="11"/>
  <c r="O830" i="11"/>
  <c r="O1217" i="3"/>
  <c r="N1034" i="11" l="1"/>
  <c r="N831" i="11"/>
  <c r="N1057" i="7"/>
  <c r="N1218" i="3"/>
  <c r="N767" i="7"/>
  <c r="O831" i="11"/>
  <c r="O1057" i="7"/>
  <c r="O767" i="7"/>
  <c r="O1034" i="11"/>
  <c r="O1218" i="3"/>
  <c r="N1036" i="11" l="1"/>
  <c r="N832" i="11"/>
  <c r="N1058" i="7"/>
  <c r="N1219" i="3"/>
  <c r="N768" i="7"/>
  <c r="O1058" i="7"/>
  <c r="O768" i="7"/>
  <c r="O1219" i="3"/>
  <c r="O1036" i="11"/>
  <c r="O832" i="11"/>
  <c r="N1037" i="11" l="1"/>
  <c r="N833" i="11"/>
  <c r="N1059" i="7"/>
  <c r="N1220" i="3"/>
  <c r="N769" i="7"/>
  <c r="O769" i="7"/>
  <c r="O1059" i="7"/>
  <c r="O833" i="11"/>
  <c r="O1037" i="11"/>
  <c r="O1220" i="3"/>
  <c r="N834" i="11" l="1"/>
  <c r="N1038" i="11"/>
  <c r="N1060" i="7"/>
  <c r="N1221" i="3"/>
  <c r="N770" i="7"/>
  <c r="O1060" i="7"/>
  <c r="O770" i="7"/>
  <c r="O1038" i="11"/>
  <c r="O834" i="11"/>
  <c r="O1221" i="3"/>
  <c r="N835" i="11" l="1"/>
  <c r="N1039" i="11"/>
  <c r="N1061" i="7"/>
  <c r="N1222" i="3"/>
  <c r="N771" i="7"/>
  <c r="O1061" i="7"/>
  <c r="O771" i="7"/>
  <c r="O1222" i="3"/>
  <c r="O835" i="11"/>
  <c r="O1039" i="11"/>
  <c r="N1040" i="11" l="1"/>
  <c r="N836" i="11"/>
  <c r="N1062" i="7"/>
  <c r="N1223" i="3"/>
  <c r="N772" i="7"/>
  <c r="O1062" i="7"/>
  <c r="O772" i="7"/>
  <c r="O836" i="11"/>
  <c r="O1040" i="11"/>
  <c r="O1223" i="3"/>
  <c r="N837" i="11" l="1"/>
  <c r="N1041" i="11"/>
  <c r="N1063" i="7"/>
  <c r="N1224" i="3"/>
  <c r="N773" i="7"/>
  <c r="O773" i="7"/>
  <c r="O1063" i="7"/>
  <c r="O1224" i="3"/>
  <c r="O837" i="11"/>
  <c r="O1041" i="11"/>
  <c r="N838" i="11" l="1"/>
  <c r="N1042" i="11"/>
  <c r="N1064" i="7"/>
  <c r="N1225" i="3"/>
  <c r="N774" i="7"/>
  <c r="O1064" i="7"/>
  <c r="O774" i="7"/>
  <c r="O1225" i="3"/>
  <c r="O1042" i="11"/>
  <c r="O838" i="11"/>
  <c r="N839" i="11" l="1"/>
  <c r="N1043" i="11"/>
  <c r="N1066" i="7"/>
  <c r="N1226" i="3"/>
  <c r="N775" i="7"/>
  <c r="O1066" i="7"/>
  <c r="O775" i="7"/>
  <c r="O1226" i="3"/>
  <c r="O1043" i="11"/>
  <c r="O839" i="11"/>
  <c r="N1044" i="11" l="1"/>
  <c r="N840" i="11"/>
  <c r="N1067" i="7"/>
  <c r="N1227" i="3"/>
  <c r="N776" i="7"/>
  <c r="O1067" i="7"/>
  <c r="O776" i="7"/>
  <c r="O1227" i="3"/>
  <c r="O840" i="11"/>
  <c r="O1044" i="11"/>
  <c r="N1045" i="11" l="1"/>
  <c r="N841" i="11"/>
  <c r="N1068" i="7"/>
  <c r="N1228" i="3"/>
  <c r="N777" i="7"/>
  <c r="O1045" i="11"/>
  <c r="O1068" i="7"/>
  <c r="O777" i="7"/>
  <c r="O841" i="11"/>
  <c r="O1228" i="3"/>
  <c r="N1046" i="11" l="1"/>
  <c r="N1069" i="7"/>
  <c r="N1229" i="3"/>
  <c r="N779" i="7"/>
  <c r="O1229" i="3"/>
  <c r="O779" i="7"/>
  <c r="O1046" i="11"/>
  <c r="O1069" i="7"/>
  <c r="N1047" i="11" l="1"/>
  <c r="N1070" i="7"/>
  <c r="N1230" i="3"/>
  <c r="N780" i="7"/>
  <c r="O1230" i="3"/>
  <c r="O1070" i="7"/>
  <c r="O1047" i="11"/>
  <c r="O780" i="7"/>
  <c r="N1048" i="11" l="1"/>
  <c r="N1071" i="7"/>
  <c r="N1231" i="3"/>
  <c r="N781" i="7"/>
  <c r="O1231" i="3"/>
  <c r="O1071" i="7"/>
  <c r="O1048" i="11"/>
  <c r="O781" i="7"/>
  <c r="N1049" i="11" l="1"/>
  <c r="N1072" i="7"/>
  <c r="N1232" i="3"/>
  <c r="N782" i="7"/>
  <c r="O1232" i="3"/>
  <c r="O1049" i="11"/>
  <c r="O1072" i="7"/>
  <c r="O782" i="7"/>
  <c r="N1050" i="11" l="1"/>
  <c r="N1073" i="7"/>
  <c r="N1233" i="3"/>
  <c r="N783" i="7"/>
  <c r="O1233" i="3"/>
  <c r="O1050" i="11"/>
  <c r="O783" i="7"/>
  <c r="O1073" i="7"/>
  <c r="N1052" i="11" l="1"/>
  <c r="N1074" i="7"/>
  <c r="N1234" i="3"/>
  <c r="N784" i="7"/>
  <c r="O1234" i="3"/>
  <c r="O1074" i="7"/>
  <c r="O1052" i="11"/>
  <c r="O784" i="7"/>
  <c r="N1053" i="11" l="1"/>
  <c r="N1075" i="7"/>
  <c r="N1235" i="3"/>
  <c r="N785" i="7"/>
  <c r="O1235" i="3"/>
  <c r="O785" i="7"/>
  <c r="O1053" i="11"/>
  <c r="O1075" i="7"/>
  <c r="N1054" i="11" l="1"/>
  <c r="N1076" i="7"/>
  <c r="N1236" i="3"/>
  <c r="N786" i="7"/>
  <c r="O1236" i="3"/>
  <c r="O1076" i="7"/>
  <c r="O1054" i="11"/>
  <c r="O786" i="7"/>
  <c r="N1055" i="11" l="1"/>
  <c r="N1077" i="7"/>
  <c r="N1237" i="3"/>
  <c r="N787" i="7"/>
  <c r="O1237" i="3"/>
  <c r="O1055" i="11"/>
  <c r="O1077" i="7"/>
  <c r="O787" i="7"/>
  <c r="N1056" i="11" l="1"/>
  <c r="N1078" i="7"/>
  <c r="N1238" i="3"/>
  <c r="N788" i="7"/>
  <c r="O1238" i="3"/>
  <c r="O1078" i="7"/>
  <c r="O1056" i="11"/>
  <c r="O788" i="7"/>
  <c r="N1057" i="11" l="1"/>
  <c r="N1079" i="7"/>
  <c r="N1239" i="3"/>
  <c r="N789" i="7"/>
  <c r="O1239" i="3"/>
  <c r="O1057" i="11"/>
  <c r="O789" i="7"/>
  <c r="O1079" i="7"/>
  <c r="N1058" i="11" l="1"/>
  <c r="N1080" i="7"/>
  <c r="N1240" i="3"/>
  <c r="N790" i="7"/>
  <c r="O1240" i="3"/>
  <c r="O1080" i="7"/>
  <c r="O1058" i="11"/>
  <c r="O790" i="7"/>
  <c r="N1059" i="11" l="1"/>
  <c r="N1081" i="7"/>
  <c r="N1241" i="3"/>
  <c r="N791" i="7"/>
  <c r="O1241" i="3"/>
  <c r="O791" i="7"/>
  <c r="O1059" i="11"/>
  <c r="O1081" i="7"/>
  <c r="N1060" i="11" l="1"/>
  <c r="N1083" i="7"/>
  <c r="N1242" i="3"/>
  <c r="N792" i="7"/>
  <c r="O1060" i="11"/>
  <c r="O792" i="7"/>
  <c r="O1083" i="7"/>
  <c r="O1242" i="3"/>
  <c r="N1061" i="11" l="1"/>
  <c r="N1084" i="7"/>
  <c r="N1243" i="3"/>
  <c r="N793" i="7"/>
  <c r="O1243" i="3"/>
  <c r="O1061" i="11"/>
  <c r="O793" i="7"/>
  <c r="O1084" i="7"/>
  <c r="N1062" i="11" l="1"/>
  <c r="N1085" i="7"/>
  <c r="N1245" i="3"/>
  <c r="N794" i="7"/>
  <c r="O1245" i="3"/>
  <c r="O1062" i="11"/>
  <c r="O1085" i="7"/>
  <c r="O794" i="7"/>
  <c r="N1063" i="11" l="1"/>
  <c r="N1086" i="7"/>
  <c r="N1246" i="3"/>
  <c r="N795" i="7"/>
  <c r="O1246" i="3"/>
  <c r="O1063" i="11"/>
  <c r="O795" i="7"/>
  <c r="O1086" i="7"/>
  <c r="N1064" i="11" l="1"/>
  <c r="N1087" i="7"/>
  <c r="N1247" i="3"/>
  <c r="N796" i="7"/>
  <c r="O1247" i="3"/>
  <c r="O1087" i="7"/>
  <c r="O1064" i="11"/>
  <c r="O796" i="7"/>
  <c r="N1065" i="11" l="1"/>
  <c r="N1088" i="7"/>
  <c r="N1248" i="3"/>
  <c r="N797" i="7"/>
  <c r="O1248" i="3"/>
  <c r="O1088" i="7"/>
  <c r="O1065" i="11"/>
  <c r="O797" i="7"/>
  <c r="N1066" i="11" l="1"/>
  <c r="N1089" i="7"/>
  <c r="N1249" i="3"/>
  <c r="N798" i="7"/>
  <c r="O1249" i="3"/>
  <c r="O1066" i="11"/>
  <c r="O1089" i="7"/>
  <c r="O798" i="7"/>
  <c r="N1068" i="11" l="1"/>
  <c r="N1090" i="7"/>
  <c r="N1250" i="3"/>
  <c r="N799" i="7"/>
  <c r="O1250" i="3"/>
  <c r="O1090" i="7"/>
  <c r="O1068" i="11"/>
  <c r="O799" i="7"/>
  <c r="N1069" i="11" l="1"/>
  <c r="N1091" i="7"/>
  <c r="N1251" i="3"/>
  <c r="N800" i="7"/>
  <c r="O1251" i="3"/>
  <c r="O800" i="7"/>
  <c r="O1069" i="11"/>
  <c r="O1091" i="7"/>
  <c r="N1070" i="11" l="1"/>
  <c r="N1092" i="7"/>
  <c r="N1252" i="3"/>
  <c r="N801" i="7"/>
  <c r="O1252" i="3"/>
  <c r="O1092" i="7"/>
  <c r="O1070" i="11"/>
  <c r="O801" i="7"/>
  <c r="N1071" i="11" l="1"/>
  <c r="N1093" i="7"/>
  <c r="N1253" i="3"/>
  <c r="N802" i="7"/>
  <c r="O1253" i="3"/>
  <c r="O1093" i="7"/>
  <c r="O1071" i="11"/>
  <c r="O802" i="7"/>
  <c r="N1072" i="11" l="1"/>
  <c r="N1094" i="7"/>
  <c r="N1254" i="3"/>
  <c r="N803" i="7"/>
  <c r="O1254" i="3"/>
  <c r="O1072" i="11"/>
  <c r="O803" i="7"/>
  <c r="O1094" i="7"/>
  <c r="N1073" i="11" l="1"/>
  <c r="N1095" i="7"/>
  <c r="N1255" i="3"/>
  <c r="N804" i="7"/>
  <c r="O1255" i="3"/>
  <c r="O804" i="7"/>
  <c r="O1073" i="11"/>
  <c r="O1095" i="7"/>
  <c r="N1074" i="11" l="1"/>
  <c r="N1096" i="7"/>
  <c r="N1256" i="3"/>
  <c r="N805" i="7"/>
  <c r="O1256" i="3"/>
  <c r="O805" i="7"/>
  <c r="O1074" i="11"/>
  <c r="O1096" i="7"/>
  <c r="N1075" i="11" l="1"/>
  <c r="N1097" i="7"/>
  <c r="N1257" i="3"/>
  <c r="N807" i="7"/>
  <c r="O1257" i="3"/>
  <c r="O807" i="7"/>
  <c r="O1075" i="11"/>
  <c r="O1097" i="7"/>
  <c r="N1076" i="11" l="1"/>
  <c r="N1098" i="7"/>
  <c r="N1258" i="3"/>
  <c r="N808" i="7"/>
  <c r="O1258" i="3"/>
  <c r="O1076" i="11"/>
  <c r="O808" i="7"/>
  <c r="O1098" i="7"/>
  <c r="N1077" i="11" l="1"/>
  <c r="N1100" i="7"/>
  <c r="N1259" i="3"/>
  <c r="N809" i="7"/>
  <c r="O1259" i="3"/>
  <c r="O809" i="7"/>
  <c r="O1077" i="11"/>
  <c r="O1100" i="7"/>
  <c r="N1078" i="11" l="1"/>
  <c r="N1101" i="7"/>
  <c r="N1260" i="3"/>
  <c r="N810" i="7"/>
  <c r="O1260" i="3"/>
  <c r="O810" i="7"/>
  <c r="O1101" i="7"/>
  <c r="O1078" i="11"/>
  <c r="N1079" i="11" l="1"/>
  <c r="N1102" i="7"/>
  <c r="N1261" i="3"/>
  <c r="N811" i="7"/>
  <c r="O1261" i="3"/>
  <c r="O811" i="7"/>
  <c r="O1079" i="11"/>
  <c r="O1102" i="7"/>
  <c r="N1080" i="11" l="1"/>
  <c r="N1103" i="7"/>
  <c r="N1262" i="3"/>
  <c r="N812" i="7"/>
  <c r="O1262" i="3"/>
  <c r="O1103" i="7"/>
  <c r="O1080" i="11"/>
  <c r="O812" i="7"/>
  <c r="N1081" i="11" l="1"/>
  <c r="N1104" i="7"/>
  <c r="N1263" i="3"/>
  <c r="N813" i="7"/>
  <c r="O1263" i="3"/>
  <c r="O1104" i="7"/>
  <c r="O813" i="7"/>
  <c r="O1081" i="11"/>
  <c r="N1082" i="11" l="1"/>
  <c r="N1105" i="7"/>
  <c r="N1264" i="3"/>
  <c r="N814" i="7"/>
  <c r="O1264" i="3"/>
  <c r="O814" i="7"/>
  <c r="O1105" i="7"/>
  <c r="O1082" i="11"/>
  <c r="N1106" i="7" l="1"/>
  <c r="N1265" i="3"/>
  <c r="N815" i="7"/>
  <c r="O815" i="7"/>
  <c r="O1106" i="7"/>
  <c r="O1265" i="3"/>
  <c r="N1107" i="7" l="1"/>
  <c r="N1266" i="3"/>
  <c r="N816" i="7"/>
  <c r="O816" i="7"/>
  <c r="O1266" i="3"/>
  <c r="O1107" i="7"/>
  <c r="N1108" i="7" l="1"/>
  <c r="N1267" i="3"/>
  <c r="N817" i="7"/>
  <c r="O817" i="7"/>
  <c r="O1108" i="7"/>
  <c r="O1267" i="3"/>
  <c r="N1109" i="7" l="1"/>
  <c r="N1268" i="3"/>
  <c r="N818" i="7"/>
  <c r="O1109" i="7"/>
  <c r="O818" i="7"/>
  <c r="O1268" i="3"/>
  <c r="N1110" i="7" l="1"/>
  <c r="N1269" i="3"/>
  <c r="N819" i="7"/>
  <c r="O1110" i="7"/>
  <c r="O819" i="7"/>
  <c r="O1269" i="3"/>
  <c r="N1111" i="7" l="1"/>
  <c r="N1270" i="3"/>
  <c r="N820" i="7"/>
  <c r="O820" i="7"/>
  <c r="O1111" i="7"/>
  <c r="O1270" i="3"/>
  <c r="N1112" i="7" l="1"/>
  <c r="N1271" i="3"/>
  <c r="N821" i="7"/>
  <c r="O821" i="7"/>
  <c r="O1112" i="7"/>
  <c r="O1271" i="3"/>
  <c r="N1113" i="7" l="1"/>
  <c r="N1272" i="3"/>
  <c r="N822" i="7"/>
  <c r="O1113" i="7"/>
  <c r="O822" i="7"/>
  <c r="O1272" i="3"/>
  <c r="N1114" i="7" l="1"/>
  <c r="N1273" i="3"/>
  <c r="N823" i="7"/>
  <c r="O1114" i="7"/>
  <c r="O823" i="7"/>
  <c r="O1273" i="3"/>
  <c r="N1115" i="7" l="1"/>
  <c r="N1274" i="3"/>
  <c r="N824" i="7"/>
  <c r="O824" i="7"/>
  <c r="O1115" i="7"/>
  <c r="O1274" i="3"/>
  <c r="N1117" i="7" l="1"/>
  <c r="N1275" i="3"/>
  <c r="N825" i="7"/>
  <c r="O825" i="7"/>
  <c r="O1117" i="7"/>
  <c r="O1275" i="3"/>
  <c r="N1118" i="7" l="1"/>
  <c r="N1276" i="3"/>
  <c r="N826" i="7"/>
  <c r="O1118" i="7"/>
  <c r="O826" i="7"/>
  <c r="O1276" i="3"/>
  <c r="N1119" i="7" l="1"/>
  <c r="N1277" i="3"/>
  <c r="N827" i="7"/>
  <c r="O827" i="7"/>
  <c r="O1119" i="7"/>
  <c r="O1277" i="3"/>
  <c r="N1120" i="7" l="1"/>
  <c r="N1278" i="3"/>
  <c r="N828" i="7"/>
  <c r="O828" i="7"/>
  <c r="O1278" i="3"/>
  <c r="O1120" i="7"/>
  <c r="N1121" i="7" l="1"/>
  <c r="N1279" i="3"/>
  <c r="N829" i="7"/>
  <c r="O829" i="7"/>
  <c r="O1121" i="7"/>
  <c r="O1279" i="3"/>
  <c r="N1122" i="7" l="1"/>
  <c r="N1280" i="3"/>
  <c r="N830" i="7"/>
  <c r="O1122" i="7"/>
  <c r="O1280" i="3"/>
  <c r="O830" i="7"/>
  <c r="N1123" i="7" l="1"/>
  <c r="N1281" i="3"/>
  <c r="N831" i="7"/>
  <c r="O1281" i="3"/>
  <c r="O1123" i="7"/>
  <c r="O831" i="7"/>
  <c r="N1124" i="7" l="1"/>
  <c r="N1282" i="3"/>
  <c r="N832" i="7"/>
  <c r="O1282" i="3"/>
  <c r="O1124" i="7"/>
  <c r="O832" i="7"/>
  <c r="N1125" i="7" l="1"/>
  <c r="N1283" i="3"/>
  <c r="N833" i="7"/>
  <c r="O1283" i="3"/>
  <c r="O1125" i="7"/>
  <c r="O833" i="7"/>
  <c r="N1126" i="7" l="1"/>
  <c r="N1284" i="3"/>
  <c r="N835" i="7"/>
  <c r="O1284" i="3"/>
  <c r="O1126" i="7"/>
  <c r="O835" i="7"/>
  <c r="N1127" i="7" l="1"/>
  <c r="N1285" i="3"/>
  <c r="N836" i="7"/>
  <c r="O1285" i="3"/>
  <c r="O1127" i="7"/>
  <c r="O836" i="7"/>
  <c r="N1128" i="7" l="1"/>
  <c r="N1286" i="3"/>
  <c r="N837" i="7"/>
  <c r="O1286" i="3"/>
  <c r="O1128" i="7"/>
  <c r="O837" i="7"/>
  <c r="N1129" i="7" l="1"/>
  <c r="N1287" i="3"/>
  <c r="N838" i="7"/>
  <c r="O1287" i="3"/>
  <c r="O1129" i="7"/>
  <c r="O838" i="7"/>
  <c r="N1130" i="7" l="1"/>
  <c r="N1288" i="3"/>
  <c r="N839" i="7"/>
  <c r="O1288" i="3"/>
  <c r="O1130" i="7"/>
  <c r="O839" i="7"/>
  <c r="N1131" i="7" l="1"/>
  <c r="N1290" i="3"/>
  <c r="N840" i="7"/>
  <c r="O1290" i="3"/>
  <c r="O1131" i="7"/>
  <c r="O840" i="7"/>
  <c r="N1132" i="7" l="1"/>
  <c r="N1291" i="3"/>
  <c r="N841" i="7"/>
  <c r="O1291" i="3"/>
  <c r="O1132" i="7"/>
  <c r="O841" i="7"/>
  <c r="N1134" i="7" l="1"/>
  <c r="N1292" i="3"/>
  <c r="N842" i="7"/>
  <c r="O1292" i="3"/>
  <c r="O842" i="7"/>
  <c r="O1134" i="7"/>
  <c r="N1135" i="7" l="1"/>
  <c r="N1293" i="3"/>
  <c r="N843" i="7"/>
  <c r="O1293" i="3"/>
  <c r="O843" i="7"/>
  <c r="O1135" i="7"/>
  <c r="N1136" i="7" l="1"/>
  <c r="N1294" i="3"/>
  <c r="N844" i="7"/>
  <c r="O1294" i="3"/>
  <c r="O844" i="7"/>
  <c r="O1136" i="7"/>
  <c r="N1137" i="7" l="1"/>
  <c r="N1295" i="3"/>
  <c r="N845" i="7"/>
  <c r="O1295" i="3"/>
  <c r="O1137" i="7"/>
  <c r="O845" i="7"/>
  <c r="N1138" i="7" l="1"/>
  <c r="N1296" i="3"/>
  <c r="N846" i="7"/>
  <c r="O1296" i="3"/>
  <c r="O1138" i="7"/>
  <c r="O846" i="7"/>
  <c r="N1139" i="7" l="1"/>
  <c r="N1297" i="3"/>
  <c r="N847" i="7"/>
  <c r="O1297" i="3"/>
  <c r="O847" i="7"/>
  <c r="O1139" i="7"/>
  <c r="N1140" i="7" l="1"/>
  <c r="N1298" i="3"/>
  <c r="N848" i="7"/>
  <c r="O1298" i="3"/>
  <c r="O1140" i="7"/>
  <c r="O848" i="7"/>
  <c r="N1141" i="7" l="1"/>
  <c r="N1299" i="3"/>
  <c r="N849" i="7"/>
  <c r="O1299" i="3"/>
  <c r="O1141" i="7"/>
  <c r="O849" i="7"/>
  <c r="N1142" i="7" l="1"/>
  <c r="N1300" i="3"/>
  <c r="N850" i="7"/>
  <c r="O1300" i="3"/>
  <c r="O1142" i="7"/>
  <c r="O850" i="7"/>
  <c r="N1143" i="7" l="1"/>
  <c r="N1301" i="3"/>
  <c r="N851" i="7"/>
  <c r="O1301" i="3"/>
  <c r="O1143" i="7"/>
  <c r="O851" i="7"/>
  <c r="N1144" i="7" l="1"/>
  <c r="N1302" i="3"/>
  <c r="N852" i="7"/>
  <c r="O1302" i="3"/>
  <c r="O852" i="7"/>
  <c r="O1144" i="7"/>
  <c r="N1145" i="7" l="1"/>
  <c r="N1303" i="3"/>
  <c r="N853" i="7"/>
  <c r="O1145" i="7"/>
  <c r="O1303" i="3"/>
  <c r="O853" i="7"/>
  <c r="N1146" i="7" l="1"/>
  <c r="N1304" i="3"/>
  <c r="N854" i="7"/>
  <c r="O1304" i="3"/>
  <c r="O1146" i="7"/>
  <c r="O854" i="7"/>
  <c r="N1147" i="7" l="1"/>
  <c r="N1305" i="3"/>
  <c r="N855" i="7"/>
  <c r="O1305" i="3"/>
  <c r="O1147" i="7"/>
  <c r="O855" i="7"/>
  <c r="N1148" i="7" l="1"/>
  <c r="N1306" i="3"/>
  <c r="N856" i="7"/>
  <c r="O1306" i="3"/>
  <c r="O856" i="7"/>
  <c r="O1148" i="7"/>
  <c r="N1149" i="7" l="1"/>
  <c r="N1307" i="3"/>
  <c r="N857" i="7"/>
  <c r="O1307" i="3"/>
  <c r="O1149" i="7"/>
  <c r="O857" i="7"/>
  <c r="N1151" i="7" l="1"/>
  <c r="N1308" i="3"/>
  <c r="N858" i="7"/>
  <c r="O1308" i="3"/>
  <c r="O1151" i="7"/>
  <c r="O858" i="7"/>
  <c r="N1152" i="7" l="1"/>
  <c r="N1309" i="3"/>
  <c r="N859" i="7"/>
  <c r="O1309" i="3"/>
  <c r="O1152" i="7"/>
  <c r="O859" i="7"/>
  <c r="N1153" i="7" l="1"/>
  <c r="N1310" i="3"/>
  <c r="N860" i="7"/>
  <c r="O1310" i="3"/>
  <c r="O860" i="7"/>
  <c r="O1153" i="7"/>
  <c r="N1154" i="7" l="1"/>
  <c r="N1311" i="3"/>
  <c r="N861" i="7"/>
  <c r="O1311" i="3"/>
  <c r="O1154" i="7"/>
  <c r="O861" i="7"/>
  <c r="N1155" i="7" l="1"/>
  <c r="N1312" i="3"/>
  <c r="O1312" i="3"/>
  <c r="O1155" i="7"/>
  <c r="N1156" i="7" l="1"/>
  <c r="N1313" i="3"/>
  <c r="O1156" i="7"/>
  <c r="O1313" i="3"/>
  <c r="N1157" i="7" l="1"/>
  <c r="N1314" i="3"/>
  <c r="O1314" i="3"/>
  <c r="O1157" i="7"/>
  <c r="N1158" i="7" l="1"/>
  <c r="N1315" i="3"/>
  <c r="O1158" i="7"/>
  <c r="O1315" i="3"/>
  <c r="N1159" i="7" l="1"/>
  <c r="N1316" i="3"/>
  <c r="O1316" i="3"/>
  <c r="O1159" i="7"/>
  <c r="N1160" i="7" l="1"/>
  <c r="N1317" i="3"/>
  <c r="O1317" i="3"/>
  <c r="O1160" i="7"/>
  <c r="N1161" i="7" l="1"/>
  <c r="N1318" i="3"/>
  <c r="O1161" i="7"/>
  <c r="O1318" i="3"/>
  <c r="N1162" i="7" l="1"/>
  <c r="N1319" i="3"/>
  <c r="O1319" i="3"/>
  <c r="O1162" i="7"/>
  <c r="N1163" i="7" l="1"/>
  <c r="N1320" i="3"/>
  <c r="O1163" i="7"/>
  <c r="O1320" i="3"/>
  <c r="N1164" i="7" l="1"/>
  <c r="N1321" i="3"/>
  <c r="O1321" i="3"/>
  <c r="O1164" i="7"/>
  <c r="N1165" i="7" l="1"/>
  <c r="N1322" i="3"/>
  <c r="O1322" i="3"/>
  <c r="O1165" i="7"/>
  <c r="N1166" i="7" l="1"/>
  <c r="N1323" i="3"/>
  <c r="O1323" i="3"/>
  <c r="O1166" i="7"/>
  <c r="N1168" i="7" l="1"/>
  <c r="N1324" i="3"/>
  <c r="O1168" i="7"/>
  <c r="O1324" i="3"/>
  <c r="N1169" i="7" l="1"/>
  <c r="N1325" i="3"/>
  <c r="O1325" i="3"/>
  <c r="O1169" i="7"/>
  <c r="N1170" i="7" l="1"/>
  <c r="N1326" i="3"/>
  <c r="O1170" i="7"/>
  <c r="O1326" i="3"/>
  <c r="N1171" i="7" l="1"/>
  <c r="N1327" i="3"/>
  <c r="O1327" i="3"/>
  <c r="O1171" i="7"/>
  <c r="N1172" i="7" l="1"/>
  <c r="N1328" i="3"/>
  <c r="O1328" i="3"/>
  <c r="O1172" i="7"/>
  <c r="N1173" i="7" l="1"/>
  <c r="N1329" i="3"/>
  <c r="O1329" i="3"/>
  <c r="O1173" i="7"/>
  <c r="N1174" i="7" l="1"/>
  <c r="N1330" i="3"/>
  <c r="O1174" i="7"/>
  <c r="O1330" i="3"/>
  <c r="N1175" i="7" l="1"/>
  <c r="N1331" i="3"/>
  <c r="O1175" i="7"/>
  <c r="O1331" i="3"/>
  <c r="N1176" i="7" l="1"/>
  <c r="N1332" i="3"/>
  <c r="O1332" i="3"/>
  <c r="O1176" i="7"/>
  <c r="N1177" i="7" l="1"/>
  <c r="N1333" i="3"/>
  <c r="O1177" i="7"/>
  <c r="O1333" i="3"/>
  <c r="N1178" i="7" l="1"/>
  <c r="O1178" i="7"/>
  <c r="N1179" i="7" l="1"/>
  <c r="O1179" i="7"/>
  <c r="N1180" i="7" l="1"/>
  <c r="O1180" i="7"/>
  <c r="N1181" i="7" l="1"/>
  <c r="O1181" i="7"/>
  <c r="N1182" i="7" l="1"/>
  <c r="O1182" i="7"/>
  <c r="N1183" i="7" l="1"/>
  <c r="O1183" i="7"/>
  <c r="N1185" i="7" l="1"/>
  <c r="O1185" i="7"/>
  <c r="N1186" i="7" l="1"/>
  <c r="O1186" i="7"/>
  <c r="N1187" i="7" l="1"/>
  <c r="O1187" i="7"/>
  <c r="N1188" i="7" l="1"/>
  <c r="O1188" i="7"/>
  <c r="N1189" i="7" l="1"/>
  <c r="O1189" i="7"/>
  <c r="N1190" i="7" l="1"/>
  <c r="O1190" i="7"/>
  <c r="N1191" i="7" l="1"/>
  <c r="O1191" i="7"/>
  <c r="N1192" i="7" l="1"/>
  <c r="O1192" i="7"/>
  <c r="N1193" i="7" l="1"/>
  <c r="O1193" i="7"/>
  <c r="N1194" i="7" l="1"/>
  <c r="O1194" i="7"/>
  <c r="N1195" i="7" l="1"/>
  <c r="O1195" i="7"/>
  <c r="N1196" i="7" l="1"/>
  <c r="O1196" i="7"/>
  <c r="N1197" i="7" l="1"/>
  <c r="O1197" i="7"/>
  <c r="N1198" i="7" l="1"/>
  <c r="O1198" i="7"/>
  <c r="N1199" i="7" l="1"/>
  <c r="O1199" i="7"/>
  <c r="N1200" i="7" l="1"/>
  <c r="O1200" i="7"/>
  <c r="N1202" i="7" l="1"/>
  <c r="O1202" i="7"/>
  <c r="N1203" i="7" l="1"/>
  <c r="O1203" i="7"/>
  <c r="N1204" i="7" l="1"/>
  <c r="O1204" i="7"/>
  <c r="N1205" i="7" l="1"/>
  <c r="O1205" i="7"/>
  <c r="N1206" i="7" l="1"/>
  <c r="O1206" i="7"/>
  <c r="N1207" i="7" l="1"/>
  <c r="O1207" i="7"/>
  <c r="N1208" i="7" l="1"/>
  <c r="O1208" i="7"/>
  <c r="N1209" i="7" l="1"/>
  <c r="O1209" i="7"/>
  <c r="N1210" i="7" l="1"/>
  <c r="O1210" i="7"/>
  <c r="N1211" i="7" l="1"/>
  <c r="O1211" i="7"/>
  <c r="N1212" i="7" l="1"/>
  <c r="O1212" i="7"/>
  <c r="N1213" i="7" l="1"/>
  <c r="O1213" i="7"/>
  <c r="N1214" i="7" l="1"/>
  <c r="O1214" i="7"/>
  <c r="N1215" i="7" l="1"/>
  <c r="O1215" i="7"/>
  <c r="N1216" i="7" l="1"/>
  <c r="O1216" i="7"/>
  <c r="N1217" i="7" l="1"/>
  <c r="O1217" i="7"/>
  <c r="N1219" i="7" l="1"/>
  <c r="O1219" i="7"/>
  <c r="N1220" i="7" l="1"/>
  <c r="O1220" i="7"/>
  <c r="N1221" i="7" l="1"/>
  <c r="O1221" i="7"/>
  <c r="N1222" i="7" l="1"/>
  <c r="O1222" i="7"/>
  <c r="N1223" i="7" l="1"/>
  <c r="O1223" i="7"/>
  <c r="N1224" i="7" l="1"/>
  <c r="O1224" i="7"/>
  <c r="N1225" i="7" l="1"/>
  <c r="O1225" i="7"/>
  <c r="N1226" i="7" l="1"/>
  <c r="O1226" i="7"/>
  <c r="N1227" i="7" l="1"/>
  <c r="O1227" i="7"/>
  <c r="N1228" i="7" l="1"/>
  <c r="O1228" i="7"/>
  <c r="N1229" i="7" l="1"/>
  <c r="O1229" i="7"/>
  <c r="N1230" i="7" l="1"/>
  <c r="O1230" i="7"/>
  <c r="N1231" i="7" l="1"/>
  <c r="O1231" i="7"/>
  <c r="N1232" i="7" l="1"/>
  <c r="O1232" i="7"/>
  <c r="N1233" i="7" l="1"/>
  <c r="O1233" i="7"/>
  <c r="N1234" i="7" l="1"/>
  <c r="O1234" i="7"/>
  <c r="N1236" i="7" l="1"/>
  <c r="O1236" i="7"/>
  <c r="N1237" i="7" l="1"/>
  <c r="O1237" i="7"/>
  <c r="N1238" i="7" l="1"/>
  <c r="O1238" i="7"/>
  <c r="N1239" i="7" l="1"/>
  <c r="O1239" i="7"/>
  <c r="N1240" i="7" l="1"/>
  <c r="O1240" i="7"/>
  <c r="N1241" i="7" l="1"/>
  <c r="O1241" i="7"/>
  <c r="N1242" i="7" l="1"/>
  <c r="O1242" i="7"/>
  <c r="N1243" i="7" l="1"/>
  <c r="O1243" i="7"/>
  <c r="N1244" i="7" l="1"/>
  <c r="O1244" i="7"/>
  <c r="N1245" i="7" l="1"/>
  <c r="O1245" i="7"/>
  <c r="N1246" i="7" l="1"/>
  <c r="O1246" i="7"/>
  <c r="N1247" i="7" l="1"/>
  <c r="O1247" i="7"/>
  <c r="N1248" i="7" l="1"/>
  <c r="O1248" i="7"/>
  <c r="N1249" i="7" l="1"/>
  <c r="O1249" i="7"/>
  <c r="N1250" i="7" l="1"/>
  <c r="O1250" i="7"/>
  <c r="N1251" i="7" l="1"/>
  <c r="O1251" i="7"/>
  <c r="N1253" i="7" l="1"/>
  <c r="O1253" i="7"/>
  <c r="N1254" i="7" l="1"/>
  <c r="O1254" i="7"/>
  <c r="N1255" i="7" l="1"/>
  <c r="O1255" i="7"/>
  <c r="N1256" i="7" l="1"/>
  <c r="O1256" i="7"/>
  <c r="N1257" i="7" l="1"/>
  <c r="O1257" i="7"/>
  <c r="N1258" i="7" l="1"/>
  <c r="O1258" i="7"/>
  <c r="N1259" i="7" l="1"/>
  <c r="O1259" i="7"/>
  <c r="N1260" i="7" l="1"/>
  <c r="O1260" i="7"/>
  <c r="N1261" i="7" l="1"/>
  <c r="O1261" i="7"/>
  <c r="N1262" i="7" l="1"/>
  <c r="O1262" i="7"/>
  <c r="N1263" i="7" l="1"/>
  <c r="O1263" i="7"/>
  <c r="N1264" i="7" l="1"/>
  <c r="O1264" i="7"/>
  <c r="N1265" i="7" l="1"/>
  <c r="O1265" i="7"/>
  <c r="N1266" i="7" l="1"/>
  <c r="O1266" i="7"/>
  <c r="N1267" i="7" l="1"/>
  <c r="O1267" i="7"/>
  <c r="N1268" i="7" l="1"/>
  <c r="O1268" i="7"/>
  <c r="N1270" i="7" l="1"/>
  <c r="O1270" i="7"/>
  <c r="N1271" i="7" l="1"/>
  <c r="O1271" i="7"/>
  <c r="N1272" i="7" l="1"/>
  <c r="O1272" i="7"/>
  <c r="N1273" i="7" l="1"/>
  <c r="O1273" i="7"/>
  <c r="N1274" i="7" l="1"/>
  <c r="O1274" i="7"/>
  <c r="N1275" i="7" l="1"/>
  <c r="O1275" i="7"/>
  <c r="N1276" i="7" l="1"/>
  <c r="O1276" i="7"/>
  <c r="N1277" i="7" l="1"/>
  <c r="O1277" i="7"/>
  <c r="N1278" i="7" l="1"/>
  <c r="O1278" i="7"/>
  <c r="N1279" i="7" l="1"/>
  <c r="O1279" i="7"/>
  <c r="N1280" i="7" l="1"/>
  <c r="O1280" i="7"/>
  <c r="N1281" i="7" l="1"/>
  <c r="O1281" i="7"/>
  <c r="N1282" i="7" l="1"/>
  <c r="O1282" i="7"/>
  <c r="N1283" i="7" l="1"/>
  <c r="O1283" i="7"/>
  <c r="N1284" i="7" l="1"/>
  <c r="O1284" i="7"/>
  <c r="N1285" i="7" l="1"/>
  <c r="O1285" i="7"/>
  <c r="N1287" i="7" l="1"/>
  <c r="O1287" i="7"/>
  <c r="N1288" i="7" l="1"/>
  <c r="O1288" i="7"/>
  <c r="N1289" i="7" l="1"/>
  <c r="O1289" i="7"/>
  <c r="N1290" i="7" l="1"/>
  <c r="O1290" i="7"/>
  <c r="N1291" i="7" l="1"/>
  <c r="O1291" i="7"/>
  <c r="N1292" i="7" l="1"/>
  <c r="O1292" i="7"/>
  <c r="N1293" i="7" l="1"/>
  <c r="O1293" i="7"/>
  <c r="N1294" i="7" l="1"/>
  <c r="O1294" i="7"/>
  <c r="N1295" i="7" l="1"/>
  <c r="O1295" i="7"/>
  <c r="N1296" i="7" l="1"/>
  <c r="O1296" i="7"/>
  <c r="N1297" i="7" l="1"/>
  <c r="O1297" i="7"/>
  <c r="N1298" i="7" l="1"/>
  <c r="O1298" i="7"/>
  <c r="N1299" i="7" l="1"/>
  <c r="O1299" i="7"/>
  <c r="N1300" i="7" l="1"/>
  <c r="O1300" i="7"/>
  <c r="N1301" i="7" l="1"/>
  <c r="O1301" i="7"/>
  <c r="N1302" i="7" l="1"/>
  <c r="O1302" i="7"/>
  <c r="N1304" i="7" l="1"/>
  <c r="O1304" i="7"/>
  <c r="N1305" i="7" l="1"/>
  <c r="O1305" i="7"/>
  <c r="N1306" i="7" l="1"/>
  <c r="O1306" i="7"/>
  <c r="N1307" i="7" l="1"/>
  <c r="O1307" i="7"/>
  <c r="N1308" i="7" l="1"/>
  <c r="O1308" i="7"/>
  <c r="N1309" i="7" l="1"/>
  <c r="O1309" i="7"/>
  <c r="N1310" i="7" l="1"/>
  <c r="O1310" i="7"/>
  <c r="N1311" i="7" l="1"/>
  <c r="O1311" i="7"/>
  <c r="N1312" i="7" l="1"/>
  <c r="O1312" i="7"/>
  <c r="N1313" i="7" l="1"/>
  <c r="O1313" i="7"/>
  <c r="N1314" i="7" l="1"/>
  <c r="O1314" i="7"/>
  <c r="N1315" i="7" l="1"/>
  <c r="O1315" i="7"/>
  <c r="N1316" i="7" l="1"/>
  <c r="O1316" i="7"/>
  <c r="N1317" i="7" l="1"/>
  <c r="O1317" i="7"/>
  <c r="N1318" i="7" l="1"/>
  <c r="O1318" i="7"/>
  <c r="N1319" i="7" l="1"/>
  <c r="O1319" i="7"/>
  <c r="N1321" i="7" l="1"/>
  <c r="O1321" i="7"/>
  <c r="N1322" i="7" l="1"/>
  <c r="O1322" i="7"/>
  <c r="N1323" i="7" l="1"/>
  <c r="O1323" i="7"/>
  <c r="N1324" i="7" l="1"/>
  <c r="O1324" i="7"/>
  <c r="N1325" i="7" l="1"/>
  <c r="O1325" i="7"/>
  <c r="N1326" i="7" l="1"/>
  <c r="O1326" i="7"/>
  <c r="N1327" i="7" l="1"/>
  <c r="O1327" i="7"/>
  <c r="N1328" i="7" l="1"/>
  <c r="O1328" i="7"/>
  <c r="N1329" i="7" l="1"/>
  <c r="O1329" i="7"/>
  <c r="N1330" i="7" l="1"/>
  <c r="O1330" i="7"/>
  <c r="N1331" i="7" l="1"/>
  <c r="O1331" i="7"/>
  <c r="N1332" i="7" l="1"/>
  <c r="O1332" i="7"/>
  <c r="N1333" i="7" l="1"/>
  <c r="O1333" i="7"/>
  <c r="N1334" i="7" l="1"/>
  <c r="O1334" i="7"/>
  <c r="N1335" i="7" l="1"/>
  <c r="O1335" i="7"/>
  <c r="N1336" i="7" l="1"/>
  <c r="O1336" i="7"/>
</calcChain>
</file>

<file path=xl/sharedStrings.xml><?xml version="1.0" encoding="utf-8"?>
<sst xmlns="http://schemas.openxmlformats.org/spreadsheetml/2006/main" count="5208" uniqueCount="984">
  <si>
    <t>Tabela</t>
  </si>
  <si>
    <t>Classe Base</t>
  </si>
  <si>
    <t>DDL</t>
  </si>
  <si>
    <t>posi</t>
  </si>
  <si>
    <t>posi2</t>
  </si>
  <si>
    <t>CAMPO</t>
  </si>
  <si>
    <t>TIPO</t>
  </si>
  <si>
    <t>TAMANHO</t>
  </si>
  <si>
    <t>campo</t>
  </si>
  <si>
    <t>tipo</t>
  </si>
  <si>
    <t>tamanho</t>
  </si>
  <si>
    <t>DTO</t>
  </si>
  <si>
    <t>id</t>
  </si>
  <si>
    <t>status</t>
  </si>
  <si>
    <t>dataCadastro</t>
  </si>
  <si>
    <t>dataAtualizacao</t>
  </si>
  <si>
    <t>&lt;?php</t>
  </si>
  <si>
    <t>// importar dependencias</t>
  </si>
  <si>
    <r>
      <t>require_once</t>
    </r>
    <r>
      <rPr>
        <sz val="11"/>
        <color rgb="FFD4D4D4"/>
        <rFont val="Consolas"/>
        <family val="3"/>
      </rPr>
      <t xml:space="preserve"> </t>
    </r>
    <r>
      <rPr>
        <sz val="11"/>
        <color rgb="FFCE9178"/>
        <rFont val="Consolas"/>
        <family val="3"/>
      </rPr>
      <t>'../dto/DTOPadraoEntidade.php'</t>
    </r>
    <r>
      <rPr>
        <sz val="11"/>
        <color rgb="FFD4D4D4"/>
        <rFont val="Consolas"/>
        <family val="3"/>
      </rPr>
      <t>;</t>
    </r>
  </si>
  <si>
    <t>/**</t>
  </si>
  <si>
    <t>*</t>
  </si>
  <si>
    <t>*/</t>
  </si>
  <si>
    <t>{</t>
  </si>
  <si>
    <r>
      <t>public</t>
    </r>
    <r>
      <rPr>
        <sz val="11"/>
        <color rgb="FFD4D4D4"/>
        <rFont val="Consolas"/>
        <family val="3"/>
      </rPr>
      <t xml:space="preserve"> </t>
    </r>
    <r>
      <rPr>
        <sz val="11"/>
        <color rgb="FF569CD6"/>
        <rFont val="Consolas"/>
        <family val="3"/>
      </rPr>
      <t>function</t>
    </r>
    <r>
      <rPr>
        <sz val="11"/>
        <color rgb="FFD4D4D4"/>
        <rFont val="Consolas"/>
        <family val="3"/>
      </rPr>
      <t xml:space="preserve"> </t>
    </r>
    <r>
      <rPr>
        <sz val="11"/>
        <color rgb="FFDCDCAA"/>
        <rFont val="Consolas"/>
        <family val="3"/>
      </rPr>
      <t>jsonSerialize</t>
    </r>
    <r>
      <rPr>
        <sz val="11"/>
        <color rgb="FFD4D4D4"/>
        <rFont val="Consolas"/>
        <family val="3"/>
      </rPr>
      <t>()</t>
    </r>
  </si>
  <si>
    <r>
      <t>return</t>
    </r>
    <r>
      <rPr>
        <sz val="11"/>
        <color rgb="FFD4D4D4"/>
        <rFont val="Consolas"/>
        <family val="3"/>
      </rPr>
      <t xml:space="preserve"> </t>
    </r>
  </si>
  <si>
    <t>[</t>
  </si>
  <si>
    <t>];</t>
  </si>
  <si>
    <t>}   </t>
  </si>
  <si>
    <t>}</t>
  </si>
  <si>
    <t>?&gt;</t>
  </si>
  <si>
    <t>Template</t>
  </si>
  <si>
    <t>//importar dependencias</t>
  </si>
  <si>
    <r>
      <t>require_once</t>
    </r>
    <r>
      <rPr>
        <sz val="11"/>
        <color rgb="FFD4D4D4"/>
        <rFont val="Consolas"/>
        <family val="3"/>
      </rPr>
      <t xml:space="preserve"> </t>
    </r>
    <r>
      <rPr>
        <sz val="11"/>
        <color rgb="FFCE9178"/>
        <rFont val="Consolas"/>
        <family val="3"/>
      </rPr>
      <t>'../mensagem/ConstantesMensagem.php'</t>
    </r>
    <r>
      <rPr>
        <sz val="11"/>
        <color rgb="FFD4D4D4"/>
        <rFont val="Consolas"/>
        <family val="3"/>
      </rPr>
      <t>;</t>
    </r>
  </si>
  <si>
    <r>
      <t>require_once</t>
    </r>
    <r>
      <rPr>
        <sz val="11"/>
        <color rgb="FFD4D4D4"/>
        <rFont val="Consolas"/>
        <family val="3"/>
      </rPr>
      <t xml:space="preserve"> </t>
    </r>
    <r>
      <rPr>
        <sz val="11"/>
        <color rgb="FFCE9178"/>
        <rFont val="Consolas"/>
        <family val="3"/>
      </rPr>
      <t>'../mensagem/MensagemCache.php'</t>
    </r>
    <r>
      <rPr>
        <sz val="11"/>
        <color rgb="FFD4D4D4"/>
        <rFont val="Consolas"/>
        <family val="3"/>
      </rPr>
      <t>;</t>
    </r>
  </si>
  <si>
    <r>
      <t>require_once</t>
    </r>
    <r>
      <rPr>
        <sz val="11"/>
        <color rgb="FFD4D4D4"/>
        <rFont val="Consolas"/>
        <family val="3"/>
      </rPr>
      <t xml:space="preserve"> </t>
    </r>
    <r>
      <rPr>
        <sz val="11"/>
        <color rgb="FFCE9178"/>
        <rFont val="Consolas"/>
        <family val="3"/>
      </rPr>
      <t>'../daofactory/DAOFactory.php'</t>
    </r>
    <r>
      <rPr>
        <sz val="11"/>
        <color rgb="FFD4D4D4"/>
        <rFont val="Consolas"/>
        <family val="3"/>
      </rPr>
      <t>;</t>
    </r>
  </si>
  <si>
    <t>    </t>
  </si>
  <si>
    <r>
      <t>    </t>
    </r>
    <r>
      <rPr>
        <sz val="11"/>
        <color rgb="FF569CD6"/>
        <rFont val="Consolas"/>
        <family val="3"/>
      </rPr>
      <t>function</t>
    </r>
    <r>
      <rPr>
        <sz val="11"/>
        <color rgb="FFD4D4D4"/>
        <rFont val="Consolas"/>
        <family val="3"/>
      </rPr>
      <t xml:space="preserve"> </t>
    </r>
    <r>
      <rPr>
        <sz val="11"/>
        <color rgb="FFDCDCAA"/>
        <rFont val="Consolas"/>
        <family val="3"/>
      </rPr>
      <t>__construct</t>
    </r>
    <r>
      <rPr>
        <sz val="11"/>
        <color rgb="FFD4D4D4"/>
        <rFont val="Consolas"/>
        <family val="3"/>
      </rPr>
      <t>() {    }</t>
    </r>
  </si>
  <si>
    <r>
      <t>    </t>
    </r>
    <r>
      <rPr>
        <sz val="11"/>
        <color rgb="FF569CD6"/>
        <rFont val="Consolas"/>
        <family val="3"/>
      </rPr>
      <t>public</t>
    </r>
    <r>
      <rPr>
        <sz val="11"/>
        <color rgb="FFD4D4D4"/>
        <rFont val="Consolas"/>
        <family val="3"/>
      </rPr>
      <t xml:space="preserve"> </t>
    </r>
    <r>
      <rPr>
        <sz val="11"/>
        <color rgb="FF569CD6"/>
        <rFont val="Consolas"/>
        <family val="3"/>
      </rPr>
      <t>function</t>
    </r>
    <r>
      <rPr>
        <sz val="11"/>
        <color rgb="FFD4D4D4"/>
        <rFont val="Consolas"/>
        <family val="3"/>
      </rPr>
      <t xml:space="preserve"> </t>
    </r>
    <r>
      <rPr>
        <sz val="11"/>
        <color rgb="FFDCDCAA"/>
        <rFont val="Consolas"/>
        <family val="3"/>
      </rPr>
      <t>cadastrar</t>
    </r>
    <r>
      <rPr>
        <sz val="11"/>
        <color rgb="FFD4D4D4"/>
        <rFont val="Consolas"/>
        <family val="3"/>
      </rPr>
      <t>(</t>
    </r>
    <r>
      <rPr>
        <sz val="11"/>
        <color rgb="FF9CDCFE"/>
        <rFont val="Consolas"/>
        <family val="3"/>
      </rPr>
      <t>$dto</t>
    </r>
    <r>
      <rPr>
        <sz val="11"/>
        <color rgb="FFD4D4D4"/>
        <rFont val="Consolas"/>
        <family val="3"/>
      </rPr>
      <t>)</t>
    </r>
  </si>
  <si>
    <t>    {</t>
  </si>
  <si>
    <r>
      <t>        </t>
    </r>
    <r>
      <rPr>
        <sz val="11"/>
        <color rgb="FF9CDCFE"/>
        <rFont val="Consolas"/>
        <family val="3"/>
      </rPr>
      <t>$daofactory</t>
    </r>
    <r>
      <rPr>
        <sz val="11"/>
        <color rgb="FFD4D4D4"/>
        <rFont val="Consolas"/>
        <family val="3"/>
      </rPr>
      <t xml:space="preserve"> = </t>
    </r>
    <r>
      <rPr>
        <sz val="11"/>
        <color rgb="FF569CD6"/>
        <rFont val="Consolas"/>
        <family val="3"/>
      </rPr>
      <t>NULL</t>
    </r>
    <r>
      <rPr>
        <sz val="11"/>
        <color rgb="FFD4D4D4"/>
        <rFont val="Consolas"/>
        <family val="3"/>
      </rPr>
      <t>;</t>
    </r>
  </si>
  <si>
    <r>
      <t>        </t>
    </r>
    <r>
      <rPr>
        <sz val="11"/>
        <color rgb="FF9CDCFE"/>
        <rFont val="Consolas"/>
        <family val="3"/>
      </rPr>
      <t>$retorno</t>
    </r>
    <r>
      <rPr>
        <sz val="11"/>
        <color rgb="FFD4D4D4"/>
        <rFont val="Consolas"/>
        <family val="3"/>
      </rPr>
      <t xml:space="preserve"> = </t>
    </r>
    <r>
      <rPr>
        <sz val="11"/>
        <color rgb="FF569CD6"/>
        <rFont val="Consolas"/>
        <family val="3"/>
      </rPr>
      <t>NULL</t>
    </r>
    <r>
      <rPr>
        <sz val="11"/>
        <color rgb="FFD4D4D4"/>
        <rFont val="Consolas"/>
        <family val="3"/>
      </rPr>
      <t>;</t>
    </r>
  </si>
  <si>
    <r>
      <t>        </t>
    </r>
    <r>
      <rPr>
        <sz val="11"/>
        <color rgb="FFC586C0"/>
        <rFont val="Consolas"/>
        <family val="3"/>
      </rPr>
      <t>try</t>
    </r>
    <r>
      <rPr>
        <sz val="11"/>
        <color rgb="FFD4D4D4"/>
        <rFont val="Consolas"/>
        <family val="3"/>
      </rPr>
      <t xml:space="preserve"> {</t>
    </r>
  </si>
  <si>
    <r>
      <t>            </t>
    </r>
    <r>
      <rPr>
        <sz val="11"/>
        <color rgb="FF9CDCFE"/>
        <rFont val="Consolas"/>
        <family val="3"/>
      </rPr>
      <t>$daofactory</t>
    </r>
    <r>
      <rPr>
        <sz val="11"/>
        <color rgb="FFD4D4D4"/>
        <rFont val="Consolas"/>
        <family val="3"/>
      </rPr>
      <t xml:space="preserve"> = </t>
    </r>
    <r>
      <rPr>
        <sz val="11"/>
        <color rgb="FF4EC9B0"/>
        <rFont val="Consolas"/>
        <family val="3"/>
      </rPr>
      <t>DAOFactory</t>
    </r>
    <r>
      <rPr>
        <sz val="11"/>
        <color rgb="FFD4D4D4"/>
        <rFont val="Consolas"/>
        <family val="3"/>
      </rPr>
      <t>::</t>
    </r>
    <r>
      <rPr>
        <sz val="11"/>
        <color rgb="FFDCDCAA"/>
        <rFont val="Consolas"/>
        <family val="3"/>
      </rPr>
      <t>getDAOFactory</t>
    </r>
    <r>
      <rPr>
        <sz val="11"/>
        <color rgb="FFD4D4D4"/>
        <rFont val="Consolas"/>
        <family val="3"/>
      </rPr>
      <t>();</t>
    </r>
  </si>
  <si>
    <r>
      <t>            </t>
    </r>
    <r>
      <rPr>
        <sz val="11"/>
        <color rgb="FF9CDCFE"/>
        <rFont val="Consolas"/>
        <family val="3"/>
      </rPr>
      <t>$daofactory</t>
    </r>
    <r>
      <rPr>
        <sz val="11"/>
        <color rgb="FFD4D4D4"/>
        <rFont val="Consolas"/>
        <family val="3"/>
      </rPr>
      <t>-&gt;</t>
    </r>
    <r>
      <rPr>
        <sz val="11"/>
        <color rgb="FFDCDCAA"/>
        <rFont val="Consolas"/>
        <family val="3"/>
      </rPr>
      <t>open</t>
    </r>
    <r>
      <rPr>
        <sz val="11"/>
        <color rgb="FFD4D4D4"/>
        <rFont val="Consolas"/>
        <family val="3"/>
      </rPr>
      <t>();</t>
    </r>
  </si>
  <si>
    <r>
      <t>            </t>
    </r>
    <r>
      <rPr>
        <sz val="11"/>
        <color rgb="FF9CDCFE"/>
        <rFont val="Consolas"/>
        <family val="3"/>
      </rPr>
      <t>$daofactory</t>
    </r>
    <r>
      <rPr>
        <sz val="11"/>
        <color rgb="FFD4D4D4"/>
        <rFont val="Consolas"/>
        <family val="3"/>
      </rPr>
      <t>-&gt;</t>
    </r>
    <r>
      <rPr>
        <sz val="11"/>
        <color rgb="FFDCDCAA"/>
        <rFont val="Consolas"/>
        <family val="3"/>
      </rPr>
      <t>beginTransaction</t>
    </r>
    <r>
      <rPr>
        <sz val="11"/>
        <color rgb="FFD4D4D4"/>
        <rFont val="Consolas"/>
        <family val="3"/>
      </rPr>
      <t>();</t>
    </r>
  </si>
  <si>
    <t>            </t>
  </si>
  <si>
    <r>
      <t>           </t>
    </r>
    <r>
      <rPr>
        <sz val="11"/>
        <color rgb="FF9CDCFE"/>
        <rFont val="Consolas"/>
        <family val="3"/>
      </rPr>
      <t>$retorno</t>
    </r>
    <r>
      <rPr>
        <sz val="11"/>
        <color rgb="FFD4D4D4"/>
        <rFont val="Consolas"/>
        <family val="3"/>
      </rPr>
      <t xml:space="preserve"> = </t>
    </r>
    <r>
      <rPr>
        <sz val="11"/>
        <color rgb="FF9CDCFE"/>
        <rFont val="Consolas"/>
        <family val="3"/>
      </rPr>
      <t>$bo</t>
    </r>
    <r>
      <rPr>
        <sz val="11"/>
        <color rgb="FFD4D4D4"/>
        <rFont val="Consolas"/>
        <family val="3"/>
      </rPr>
      <t>-&gt;</t>
    </r>
    <r>
      <rPr>
        <sz val="11"/>
        <color rgb="FFDCDCAA"/>
        <rFont val="Consolas"/>
        <family val="3"/>
      </rPr>
      <t>inserir</t>
    </r>
    <r>
      <rPr>
        <sz val="11"/>
        <color rgb="FFD4D4D4"/>
        <rFont val="Consolas"/>
        <family val="3"/>
      </rPr>
      <t>(</t>
    </r>
    <r>
      <rPr>
        <sz val="11"/>
        <color rgb="FF9CDCFE"/>
        <rFont val="Consolas"/>
        <family val="3"/>
      </rPr>
      <t>$daofactory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$dto</t>
    </r>
    <r>
      <rPr>
        <sz val="11"/>
        <color rgb="FFD4D4D4"/>
        <rFont val="Consolas"/>
        <family val="3"/>
      </rPr>
      <t>);</t>
    </r>
  </si>
  <si>
    <r>
      <t>           </t>
    </r>
    <r>
      <rPr>
        <sz val="11"/>
        <color rgb="FFC586C0"/>
        <rFont val="Consolas"/>
        <family val="3"/>
      </rPr>
      <t>if</t>
    </r>
    <r>
      <rPr>
        <sz val="11"/>
        <color rgb="FFD4D4D4"/>
        <rFont val="Consolas"/>
        <family val="3"/>
      </rPr>
      <t xml:space="preserve"> (</t>
    </r>
    <r>
      <rPr>
        <sz val="11"/>
        <color rgb="FF9CDCFE"/>
        <rFont val="Consolas"/>
        <family val="3"/>
      </rPr>
      <t>$retorno</t>
    </r>
    <r>
      <rPr>
        <sz val="11"/>
        <color rgb="FFD4D4D4"/>
        <rFont val="Consolas"/>
        <family val="3"/>
      </rPr>
      <t>-&gt;</t>
    </r>
    <r>
      <rPr>
        <sz val="11"/>
        <color rgb="FF9CDCFE"/>
        <rFont val="Consolas"/>
        <family val="3"/>
      </rPr>
      <t>msgcode</t>
    </r>
    <r>
      <rPr>
        <sz val="11"/>
        <color rgb="FFD4D4D4"/>
        <rFont val="Consolas"/>
        <family val="3"/>
      </rPr>
      <t xml:space="preserve"> == </t>
    </r>
    <r>
      <rPr>
        <sz val="11"/>
        <color rgb="FF4EC9B0"/>
        <rFont val="Consolas"/>
        <family val="3"/>
      </rPr>
      <t>ConstantesMensagem</t>
    </r>
    <r>
      <rPr>
        <sz val="11"/>
        <color rgb="FFD4D4D4"/>
        <rFont val="Consolas"/>
        <family val="3"/>
      </rPr>
      <t>::COMANDO_REALIZADO_COM_SUCESSO) {</t>
    </r>
  </si>
  <si>
    <r>
      <t>                </t>
    </r>
    <r>
      <rPr>
        <sz val="11"/>
        <color rgb="FF9CDCFE"/>
        <rFont val="Consolas"/>
        <family val="3"/>
      </rPr>
      <t>$daofactory</t>
    </r>
    <r>
      <rPr>
        <sz val="11"/>
        <color rgb="FFD4D4D4"/>
        <rFont val="Consolas"/>
        <family val="3"/>
      </rPr>
      <t>-&gt;</t>
    </r>
    <r>
      <rPr>
        <sz val="11"/>
        <color rgb="FFDCDCAA"/>
        <rFont val="Consolas"/>
        <family val="3"/>
      </rPr>
      <t>commit</t>
    </r>
    <r>
      <rPr>
        <sz val="11"/>
        <color rgb="FFD4D4D4"/>
        <rFont val="Consolas"/>
        <family val="3"/>
      </rPr>
      <t>();</t>
    </r>
  </si>
  <si>
    <r>
      <t xml:space="preserve">            } </t>
    </r>
    <r>
      <rPr>
        <sz val="11"/>
        <color rgb="FFC586C0"/>
        <rFont val="Consolas"/>
        <family val="3"/>
      </rPr>
      <t>else</t>
    </r>
    <r>
      <rPr>
        <sz val="11"/>
        <color rgb="FFD4D4D4"/>
        <rFont val="Consolas"/>
        <family val="3"/>
      </rPr>
      <t xml:space="preserve"> {</t>
    </r>
  </si>
  <si>
    <r>
      <t>                </t>
    </r>
    <r>
      <rPr>
        <sz val="11"/>
        <color rgb="FF9CDCFE"/>
        <rFont val="Consolas"/>
        <family val="3"/>
      </rPr>
      <t>$daofactory</t>
    </r>
    <r>
      <rPr>
        <sz val="11"/>
        <color rgb="FFD4D4D4"/>
        <rFont val="Consolas"/>
        <family val="3"/>
      </rPr>
      <t>-&gt;</t>
    </r>
    <r>
      <rPr>
        <sz val="11"/>
        <color rgb="FFDCDCAA"/>
        <rFont val="Consolas"/>
        <family val="3"/>
      </rPr>
      <t>rollback</t>
    </r>
    <r>
      <rPr>
        <sz val="11"/>
        <color rgb="FFD4D4D4"/>
        <rFont val="Consolas"/>
        <family val="3"/>
      </rPr>
      <t>();</t>
    </r>
  </si>
  <si>
    <t>            }</t>
  </si>
  <si>
    <r>
      <t xml:space="preserve">        } </t>
    </r>
    <r>
      <rPr>
        <sz val="11"/>
        <color rgb="FFC586C0"/>
        <rFont val="Consolas"/>
        <family val="3"/>
      </rPr>
      <t>catch</t>
    </r>
    <r>
      <rPr>
        <sz val="11"/>
        <color rgb="FFD4D4D4"/>
        <rFont val="Consolas"/>
        <family val="3"/>
      </rPr>
      <t xml:space="preserve"> (</t>
    </r>
    <r>
      <rPr>
        <sz val="11"/>
        <color rgb="FF4EC9B0"/>
        <rFont val="Consolas"/>
        <family val="3"/>
      </rPr>
      <t>Exception</t>
    </r>
    <r>
      <rPr>
        <sz val="11"/>
        <color rgb="FFD4D4D4"/>
        <rFont val="Consolas"/>
        <family val="3"/>
      </rPr>
      <t xml:space="preserve"> </t>
    </r>
    <r>
      <rPr>
        <sz val="11"/>
        <color rgb="FF9CDCFE"/>
        <rFont val="Consolas"/>
        <family val="3"/>
      </rPr>
      <t>$e</t>
    </r>
    <r>
      <rPr>
        <sz val="11"/>
        <color rgb="FFD4D4D4"/>
        <rFont val="Consolas"/>
        <family val="3"/>
      </rPr>
      <t>) {</t>
    </r>
  </si>
  <si>
    <r>
      <t>            </t>
    </r>
    <r>
      <rPr>
        <sz val="11"/>
        <color rgb="FF6A9955"/>
        <rFont val="Consolas"/>
        <family val="3"/>
      </rPr>
      <t>// rollback na transação</t>
    </r>
  </si>
  <si>
    <r>
      <t>            </t>
    </r>
    <r>
      <rPr>
        <sz val="11"/>
        <color rgb="FF9CDCFE"/>
        <rFont val="Consolas"/>
        <family val="3"/>
      </rPr>
      <t>$daofactory</t>
    </r>
    <r>
      <rPr>
        <sz val="11"/>
        <color rgb="FFD4D4D4"/>
        <rFont val="Consolas"/>
        <family val="3"/>
      </rPr>
      <t>-&gt;</t>
    </r>
    <r>
      <rPr>
        <sz val="11"/>
        <color rgb="FFDCDCAA"/>
        <rFont val="Consolas"/>
        <family val="3"/>
      </rPr>
      <t>rollback</t>
    </r>
    <r>
      <rPr>
        <sz val="11"/>
        <color rgb="FFD4D4D4"/>
        <rFont val="Consolas"/>
        <family val="3"/>
      </rPr>
      <t>();</t>
    </r>
  </si>
  <si>
    <r>
      <t xml:space="preserve">        } </t>
    </r>
    <r>
      <rPr>
        <sz val="11"/>
        <color rgb="FFC586C0"/>
        <rFont val="Consolas"/>
        <family val="3"/>
      </rPr>
      <t>finally</t>
    </r>
    <r>
      <rPr>
        <sz val="11"/>
        <color rgb="FFD4D4D4"/>
        <rFont val="Consolas"/>
        <family val="3"/>
      </rPr>
      <t xml:space="preserve"> {</t>
    </r>
  </si>
  <si>
    <r>
      <t>            </t>
    </r>
    <r>
      <rPr>
        <sz val="11"/>
        <color rgb="FFC586C0"/>
        <rFont val="Consolas"/>
        <family val="3"/>
      </rPr>
      <t>try</t>
    </r>
    <r>
      <rPr>
        <sz val="11"/>
        <color rgb="FFD4D4D4"/>
        <rFont val="Consolas"/>
        <family val="3"/>
      </rPr>
      <t xml:space="preserve"> {</t>
    </r>
  </si>
  <si>
    <r>
      <t>                </t>
    </r>
    <r>
      <rPr>
        <sz val="11"/>
        <color rgb="FF9CDCFE"/>
        <rFont val="Consolas"/>
        <family val="3"/>
      </rPr>
      <t>$daofactory</t>
    </r>
    <r>
      <rPr>
        <sz val="11"/>
        <color rgb="FFD4D4D4"/>
        <rFont val="Consolas"/>
        <family val="3"/>
      </rPr>
      <t>-&gt;</t>
    </r>
    <r>
      <rPr>
        <sz val="11"/>
        <color rgb="FFDCDCAA"/>
        <rFont val="Consolas"/>
        <family val="3"/>
      </rPr>
      <t>close</t>
    </r>
    <r>
      <rPr>
        <sz val="11"/>
        <color rgb="FFD4D4D4"/>
        <rFont val="Consolas"/>
        <family val="3"/>
      </rPr>
      <t>();</t>
    </r>
  </si>
  <si>
    <r>
      <t xml:space="preserve">            } </t>
    </r>
    <r>
      <rPr>
        <sz val="11"/>
        <color rgb="FFC586C0"/>
        <rFont val="Consolas"/>
        <family val="3"/>
      </rPr>
      <t>catch</t>
    </r>
    <r>
      <rPr>
        <sz val="11"/>
        <color rgb="FFD4D4D4"/>
        <rFont val="Consolas"/>
        <family val="3"/>
      </rPr>
      <t xml:space="preserve"> (</t>
    </r>
    <r>
      <rPr>
        <sz val="11"/>
        <color rgb="FF4EC9B0"/>
        <rFont val="Consolas"/>
        <family val="3"/>
      </rPr>
      <t>Exception</t>
    </r>
    <r>
      <rPr>
        <sz val="11"/>
        <color rgb="FFD4D4D4"/>
        <rFont val="Consolas"/>
        <family val="3"/>
      </rPr>
      <t xml:space="preserve"> </t>
    </r>
    <r>
      <rPr>
        <sz val="11"/>
        <color rgb="FF9CDCFE"/>
        <rFont val="Consolas"/>
        <family val="3"/>
      </rPr>
      <t>$e</t>
    </r>
    <r>
      <rPr>
        <sz val="11"/>
        <color rgb="FFD4D4D4"/>
        <rFont val="Consolas"/>
        <family val="3"/>
      </rPr>
      <t>) {</t>
    </r>
  </si>
  <si>
    <r>
      <t>                </t>
    </r>
    <r>
      <rPr>
        <sz val="11"/>
        <color rgb="FF6A9955"/>
        <rFont val="Consolas"/>
        <family val="3"/>
      </rPr>
      <t>// faz algo</t>
    </r>
  </si>
  <si>
    <t>        }</t>
  </si>
  <si>
    <r>
      <t>        </t>
    </r>
    <r>
      <rPr>
        <sz val="11"/>
        <color rgb="FFC586C0"/>
        <rFont val="Consolas"/>
        <family val="3"/>
      </rPr>
      <t>return</t>
    </r>
    <r>
      <rPr>
        <sz val="11"/>
        <color rgb="FFD4D4D4"/>
        <rFont val="Consolas"/>
        <family val="3"/>
      </rPr>
      <t xml:space="preserve"> </t>
    </r>
    <r>
      <rPr>
        <sz val="11"/>
        <color rgb="FF9CDCFE"/>
        <rFont val="Consolas"/>
        <family val="3"/>
      </rPr>
      <t>$retorno</t>
    </r>
    <r>
      <rPr>
        <sz val="11"/>
        <color rgb="FFD4D4D4"/>
        <rFont val="Consolas"/>
        <family val="3"/>
      </rPr>
      <t>;</t>
    </r>
  </si>
  <si>
    <t>    }</t>
  </si>
  <si>
    <r>
      <t xml:space="preserve">           } </t>
    </r>
    <r>
      <rPr>
        <sz val="11"/>
        <color rgb="FFC586C0"/>
        <rFont val="Consolas"/>
        <family val="3"/>
      </rPr>
      <t>else</t>
    </r>
    <r>
      <rPr>
        <sz val="11"/>
        <color rgb="FFD4D4D4"/>
        <rFont val="Consolas"/>
        <family val="3"/>
      </rPr>
      <t xml:space="preserve"> {</t>
    </r>
  </si>
  <si>
    <t>           }</t>
  </si>
  <si>
    <r>
      <t>            </t>
    </r>
    <r>
      <rPr>
        <sz val="11"/>
        <color rgb="FF9CDCFE"/>
        <rFont val="Consolas"/>
        <family val="3"/>
      </rPr>
      <t>$daofactory</t>
    </r>
    <r>
      <rPr>
        <sz val="11"/>
        <color rgb="FFD4D4D4"/>
        <rFont val="Consolas"/>
        <family val="3"/>
      </rPr>
      <t>-&gt;</t>
    </r>
    <r>
      <rPr>
        <sz val="11"/>
        <color rgb="FFDCDCAA"/>
        <rFont val="Consolas"/>
        <family val="3"/>
      </rPr>
      <t>commit</t>
    </r>
    <r>
      <rPr>
        <sz val="11"/>
        <color rgb="FFD4D4D4"/>
        <rFont val="Consolas"/>
        <family val="3"/>
      </rPr>
      <t>();</t>
    </r>
  </si>
  <si>
    <r>
      <t>    </t>
    </r>
    <r>
      <rPr>
        <sz val="11"/>
        <color rgb="FF569CD6"/>
        <rFont val="Consolas"/>
        <family val="3"/>
      </rPr>
      <t>public</t>
    </r>
    <r>
      <rPr>
        <sz val="11"/>
        <color rgb="FFD4D4D4"/>
        <rFont val="Consolas"/>
        <family val="3"/>
      </rPr>
      <t xml:space="preserve"> </t>
    </r>
    <r>
      <rPr>
        <sz val="11"/>
        <color rgb="FF569CD6"/>
        <rFont val="Consolas"/>
        <family val="3"/>
      </rPr>
      <t>function</t>
    </r>
    <r>
      <rPr>
        <sz val="11"/>
        <color rgb="FFD4D4D4"/>
        <rFont val="Consolas"/>
        <family val="3"/>
      </rPr>
      <t xml:space="preserve"> </t>
    </r>
    <r>
      <rPr>
        <sz val="11"/>
        <color rgb="FFDCDCAA"/>
        <rFont val="Consolas"/>
        <family val="3"/>
      </rPr>
      <t>listarPagina</t>
    </r>
    <r>
      <rPr>
        <sz val="11"/>
        <color rgb="FFD4D4D4"/>
        <rFont val="Consolas"/>
        <family val="3"/>
      </rPr>
      <t>(</t>
    </r>
    <r>
      <rPr>
        <sz val="11"/>
        <color rgb="FF9CDCFE"/>
        <rFont val="Consolas"/>
        <family val="3"/>
      </rPr>
      <t>$pag</t>
    </r>
    <r>
      <rPr>
        <sz val="11"/>
        <color rgb="FFD4D4D4"/>
        <rFont val="Consolas"/>
        <family val="3"/>
      </rPr>
      <t>,</t>
    </r>
    <r>
      <rPr>
        <sz val="11"/>
        <color rgb="FF9CDCFE"/>
        <rFont val="Consolas"/>
        <family val="3"/>
      </rPr>
      <t xml:space="preserve"> $qtde</t>
    </r>
    <r>
      <rPr>
        <sz val="11"/>
        <color rgb="FFD4D4D4"/>
        <rFont val="Consolas"/>
        <family val="3"/>
      </rPr>
      <t>)</t>
    </r>
  </si>
  <si>
    <r>
      <t>           </t>
    </r>
    <r>
      <rPr>
        <sz val="11"/>
        <color rgb="FF9CDCFE"/>
        <rFont val="Consolas"/>
        <family val="3"/>
      </rPr>
      <t>$retorno</t>
    </r>
    <r>
      <rPr>
        <sz val="11"/>
        <color rgb="FFD4D4D4"/>
        <rFont val="Consolas"/>
        <family val="3"/>
      </rPr>
      <t xml:space="preserve"> = </t>
    </r>
    <r>
      <rPr>
        <sz val="11"/>
        <color rgb="FF9CDCFE"/>
        <rFont val="Consolas"/>
        <family val="3"/>
      </rPr>
      <t>$bo</t>
    </r>
    <r>
      <rPr>
        <sz val="11"/>
        <color rgb="FFD4D4D4"/>
        <rFont val="Consolas"/>
        <family val="3"/>
      </rPr>
      <t>-&gt;</t>
    </r>
    <r>
      <rPr>
        <sz val="11"/>
        <color rgb="FFDCDCAA"/>
        <rFont val="Consolas"/>
        <family val="3"/>
      </rPr>
      <t>listarPagina</t>
    </r>
    <r>
      <rPr>
        <sz val="11"/>
        <color rgb="FFD4D4D4"/>
        <rFont val="Consolas"/>
        <family val="3"/>
      </rPr>
      <t>(</t>
    </r>
    <r>
      <rPr>
        <sz val="11"/>
        <color rgb="FF9CDCFE"/>
        <rFont val="Consolas"/>
        <family val="3"/>
      </rPr>
      <t>$daofactory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$pag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$qtde</t>
    </r>
    <r>
      <rPr>
        <sz val="11"/>
        <color rgb="FFD4D4D4"/>
        <rFont val="Consolas"/>
        <family val="3"/>
      </rPr>
      <t>);</t>
    </r>
  </si>
  <si>
    <r>
      <t>           </t>
    </r>
    <r>
      <rPr>
        <sz val="11"/>
        <color rgb="FFC586C0"/>
        <rFont val="Consolas"/>
        <family val="3"/>
      </rPr>
      <t>if</t>
    </r>
    <r>
      <rPr>
        <sz val="11"/>
        <color rgb="FFD4D4D4"/>
        <rFont val="Consolas"/>
        <family val="3"/>
      </rPr>
      <t xml:space="preserve"> (</t>
    </r>
    <r>
      <rPr>
        <sz val="11"/>
        <color rgb="FF9CDCFE"/>
        <rFont val="Consolas"/>
        <family val="3"/>
      </rPr>
      <t>$retorno</t>
    </r>
    <r>
      <rPr>
        <sz val="11"/>
        <color rgb="FFD4D4D4"/>
        <rFont val="Consolas"/>
        <family val="3"/>
      </rPr>
      <t>-&gt;</t>
    </r>
    <r>
      <rPr>
        <sz val="11"/>
        <color rgb="FF9CDCFE"/>
        <rFont val="Consolas"/>
        <family val="3"/>
      </rPr>
      <t>msgcode</t>
    </r>
    <r>
      <rPr>
        <sz val="11"/>
        <color rgb="FFD4D4D4"/>
        <rFont val="Consolas"/>
        <family val="3"/>
      </rPr>
      <t xml:space="preserve"> == </t>
    </r>
    <r>
      <rPr>
        <sz val="11"/>
        <color rgb="FF4EC9B0"/>
        <rFont val="Consolas"/>
        <family val="3"/>
      </rPr>
      <t>ConstantesMensagem</t>
    </r>
    <r>
      <rPr>
        <sz val="11"/>
        <color rgb="FFD4D4D4"/>
        <rFont val="Consolas"/>
        <family val="3"/>
      </rPr>
      <t>::COMANDO_REALIZADO_COM_SUCESSO){</t>
    </r>
  </si>
  <si>
    <r>
      <t>    </t>
    </r>
    <r>
      <rPr>
        <sz val="11"/>
        <color rgb="FF569CD6"/>
        <rFont val="Consolas"/>
        <family val="3"/>
      </rPr>
      <t>public</t>
    </r>
    <r>
      <rPr>
        <sz val="11"/>
        <color rgb="FFD4D4D4"/>
        <rFont val="Consolas"/>
        <family val="3"/>
      </rPr>
      <t xml:space="preserve"> </t>
    </r>
    <r>
      <rPr>
        <sz val="11"/>
        <color rgb="FF569CD6"/>
        <rFont val="Consolas"/>
        <family val="3"/>
      </rPr>
      <t>function</t>
    </r>
    <r>
      <rPr>
        <sz val="11"/>
        <color rgb="FFD4D4D4"/>
        <rFont val="Consolas"/>
        <family val="3"/>
      </rPr>
      <t xml:space="preserve"> </t>
    </r>
    <r>
      <rPr>
        <sz val="11"/>
        <color rgb="FFDCDCAA"/>
        <rFont val="Consolas"/>
        <family val="3"/>
      </rPr>
      <t>atualizar</t>
    </r>
    <r>
      <rPr>
        <sz val="11"/>
        <color rgb="FFD4D4D4"/>
        <rFont val="Consolas"/>
        <family val="3"/>
      </rPr>
      <t>(</t>
    </r>
    <r>
      <rPr>
        <sz val="11"/>
        <color rgb="FF9CDCFE"/>
        <rFont val="Consolas"/>
        <family val="3"/>
      </rPr>
      <t>$dto</t>
    </r>
    <r>
      <rPr>
        <sz val="11"/>
        <color rgb="FFD4D4D4"/>
        <rFont val="Consolas"/>
        <family val="3"/>
      </rPr>
      <t>)</t>
    </r>
  </si>
  <si>
    <r>
      <t>           </t>
    </r>
    <r>
      <rPr>
        <sz val="11"/>
        <color rgb="FF9CDCFE"/>
        <rFont val="Consolas"/>
        <family val="3"/>
      </rPr>
      <t>$retorno</t>
    </r>
    <r>
      <rPr>
        <sz val="11"/>
        <color rgb="FFD4D4D4"/>
        <rFont val="Consolas"/>
        <family val="3"/>
      </rPr>
      <t xml:space="preserve"> = </t>
    </r>
    <r>
      <rPr>
        <sz val="11"/>
        <color rgb="FF9CDCFE"/>
        <rFont val="Consolas"/>
        <family val="3"/>
      </rPr>
      <t>$bo</t>
    </r>
    <r>
      <rPr>
        <sz val="11"/>
        <color rgb="FFD4D4D4"/>
        <rFont val="Consolas"/>
        <family val="3"/>
      </rPr>
      <t>-&gt;</t>
    </r>
    <r>
      <rPr>
        <sz val="11"/>
        <color rgb="FFDCDCAA"/>
        <rFont val="Consolas"/>
        <family val="3"/>
      </rPr>
      <t>atualizar</t>
    </r>
    <r>
      <rPr>
        <sz val="11"/>
        <color rgb="FFD4D4D4"/>
        <rFont val="Consolas"/>
        <family val="3"/>
      </rPr>
      <t>(</t>
    </r>
    <r>
      <rPr>
        <sz val="11"/>
        <color rgb="FF9CDCFE"/>
        <rFont val="Consolas"/>
        <family val="3"/>
      </rPr>
      <t>$daofactory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$dto</t>
    </r>
    <r>
      <rPr>
        <sz val="11"/>
        <color rgb="FFD4D4D4"/>
        <rFont val="Consolas"/>
        <family val="3"/>
      </rPr>
      <t>);</t>
    </r>
  </si>
  <si>
    <r>
      <t>        </t>
    </r>
    <r>
      <rPr>
        <sz val="11"/>
        <color rgb="FF9CDCFE"/>
        <rFont val="Consolas"/>
        <family val="3"/>
      </rPr>
      <t>$retorno</t>
    </r>
    <r>
      <rPr>
        <sz val="11"/>
        <color rgb="FFD4D4D4"/>
        <rFont val="Consolas"/>
        <family val="3"/>
      </rPr>
      <t xml:space="preserve"> = </t>
    </r>
    <r>
      <rPr>
        <sz val="11"/>
        <color rgb="FF569CD6"/>
        <rFont val="Consolas"/>
        <family val="3"/>
      </rPr>
      <t>new</t>
    </r>
    <r>
      <rPr>
        <sz val="11"/>
        <color rgb="FFD4D4D4"/>
        <rFont val="Consolas"/>
        <family val="3"/>
      </rPr>
      <t xml:space="preserve"> </t>
    </r>
    <r>
      <rPr>
        <sz val="11"/>
        <color rgb="FF4EC9B0"/>
        <rFont val="Consolas"/>
        <family val="3"/>
      </rPr>
      <t>DTOPadrao</t>
    </r>
    <r>
      <rPr>
        <sz val="11"/>
        <color rgb="FFD4D4D4"/>
        <rFont val="Consolas"/>
        <family val="3"/>
      </rPr>
      <t>();</t>
    </r>
  </si>
  <si>
    <r>
      <t>        </t>
    </r>
    <r>
      <rPr>
        <sz val="11"/>
        <color rgb="FF9CDCFE"/>
        <rFont val="Consolas"/>
        <family val="3"/>
      </rPr>
      <t>$retorno</t>
    </r>
    <r>
      <rPr>
        <sz val="11"/>
        <color rgb="FFD4D4D4"/>
        <rFont val="Consolas"/>
        <family val="3"/>
      </rPr>
      <t>-&gt;</t>
    </r>
    <r>
      <rPr>
        <sz val="11"/>
        <color rgb="FF9CDCFE"/>
        <rFont val="Consolas"/>
        <family val="3"/>
      </rPr>
      <t>msgcode</t>
    </r>
    <r>
      <rPr>
        <sz val="11"/>
        <color rgb="FFD4D4D4"/>
        <rFont val="Consolas"/>
        <family val="3"/>
      </rPr>
      <t xml:space="preserve"> = </t>
    </r>
    <r>
      <rPr>
        <sz val="11"/>
        <color rgb="FF4EC9B0"/>
        <rFont val="Consolas"/>
        <family val="3"/>
      </rPr>
      <t>ConstantesMensagem</t>
    </r>
    <r>
      <rPr>
        <sz val="11"/>
        <color rgb="FFD4D4D4"/>
        <rFont val="Consolas"/>
        <family val="3"/>
      </rPr>
      <t>::COMANDO_REALIZADO_COM_SUCESSO;</t>
    </r>
  </si>
  <si>
    <r>
      <t>        </t>
    </r>
    <r>
      <rPr>
        <sz val="11"/>
        <color rgb="FF9CDCFE"/>
        <rFont val="Consolas"/>
        <family val="3"/>
      </rPr>
      <t>$retorno</t>
    </r>
    <r>
      <rPr>
        <sz val="11"/>
        <color rgb="FFD4D4D4"/>
        <rFont val="Consolas"/>
        <family val="3"/>
      </rPr>
      <t>-&gt;</t>
    </r>
    <r>
      <rPr>
        <sz val="11"/>
        <color rgb="FF9CDCFE"/>
        <rFont val="Consolas"/>
        <family val="3"/>
      </rPr>
      <t>msgcodeString</t>
    </r>
    <r>
      <rPr>
        <sz val="11"/>
        <color rgb="FFD4D4D4"/>
        <rFont val="Consolas"/>
        <family val="3"/>
      </rPr>
      <t xml:space="preserve"> = </t>
    </r>
    <r>
      <rPr>
        <sz val="11"/>
        <color rgb="FF4EC9B0"/>
        <rFont val="Consolas"/>
        <family val="3"/>
      </rPr>
      <t>MensagemCache</t>
    </r>
    <r>
      <rPr>
        <sz val="11"/>
        <color rgb="FFD4D4D4"/>
        <rFont val="Consolas"/>
        <family val="3"/>
      </rPr>
      <t>::</t>
    </r>
    <r>
      <rPr>
        <sz val="11"/>
        <color rgb="FFDCDCAA"/>
        <rFont val="Consolas"/>
        <family val="3"/>
      </rPr>
      <t>getInstance</t>
    </r>
    <r>
      <rPr>
        <sz val="11"/>
        <color rgb="FFD4D4D4"/>
        <rFont val="Consolas"/>
        <family val="3"/>
      </rPr>
      <t>()-&gt;</t>
    </r>
    <r>
      <rPr>
        <sz val="11"/>
        <color rgb="FFDCDCAA"/>
        <rFont val="Consolas"/>
        <family val="3"/>
      </rPr>
      <t>getMensagem</t>
    </r>
    <r>
      <rPr>
        <sz val="11"/>
        <color rgb="FFD4D4D4"/>
        <rFont val="Consolas"/>
        <family val="3"/>
      </rPr>
      <t>(</t>
    </r>
    <r>
      <rPr>
        <sz val="11"/>
        <color rgb="FF9CDCFE"/>
        <rFont val="Consolas"/>
        <family val="3"/>
      </rPr>
      <t>$retorno</t>
    </r>
    <r>
      <rPr>
        <sz val="11"/>
        <color rgb="FFD4D4D4"/>
        <rFont val="Consolas"/>
        <family val="3"/>
      </rPr>
      <t>-&gt;</t>
    </r>
    <r>
      <rPr>
        <sz val="11"/>
        <color rgb="FF9CDCFE"/>
        <rFont val="Consolas"/>
        <family val="3"/>
      </rPr>
      <t>msgcode</t>
    </r>
    <r>
      <rPr>
        <sz val="11"/>
        <color rgb="FFD4D4D4"/>
        <rFont val="Consolas"/>
        <family val="3"/>
      </rPr>
      <t>);</t>
    </r>
  </si>
  <si>
    <t>Selecionar as colunas copiar e colar no notepad e depois colocar no vscode e remover os tabs</t>
  </si>
  <si>
    <t xml:space="preserve">* </t>
  </si>
  <si>
    <t>// importar dependências</t>
  </si>
  <si>
    <r>
      <t>require_once</t>
    </r>
    <r>
      <rPr>
        <sz val="11"/>
        <color rgb="FFD4D4D4"/>
        <rFont val="Consolas"/>
        <family val="3"/>
      </rPr>
      <t xml:space="preserve"> </t>
    </r>
    <r>
      <rPr>
        <sz val="11"/>
        <color rgb="FFCE9178"/>
        <rFont val="Consolas"/>
        <family val="3"/>
      </rPr>
      <t>'../interfaces/AppService.php'</t>
    </r>
    <r>
      <rPr>
        <sz val="11"/>
        <color rgb="FFD4D4D4"/>
        <rFont val="Consolas"/>
        <family val="3"/>
      </rPr>
      <t>;</t>
    </r>
  </si>
  <si>
    <r>
      <t>    </t>
    </r>
    <r>
      <rPr>
        <sz val="11"/>
        <color rgb="FF569CD6"/>
        <rFont val="Consolas"/>
        <family val="3"/>
      </rPr>
      <t>public</t>
    </r>
    <r>
      <rPr>
        <sz val="11"/>
        <color rgb="FFD4D4D4"/>
        <rFont val="Consolas"/>
        <family val="3"/>
      </rPr>
      <t xml:space="preserve"> </t>
    </r>
    <r>
      <rPr>
        <sz val="11"/>
        <color rgb="FF569CD6"/>
        <rFont val="Consolas"/>
        <family val="3"/>
      </rPr>
      <t>function</t>
    </r>
    <r>
      <rPr>
        <sz val="11"/>
        <color rgb="FFD4D4D4"/>
        <rFont val="Consolas"/>
        <family val="3"/>
      </rPr>
      <t xml:space="preserve"> </t>
    </r>
    <r>
      <rPr>
        <sz val="11"/>
        <color rgb="FFDCDCAA"/>
        <rFont val="Consolas"/>
        <family val="3"/>
      </rPr>
      <t>cancelar</t>
    </r>
    <r>
      <rPr>
        <sz val="11"/>
        <color rgb="FFD4D4D4"/>
        <rFont val="Consolas"/>
        <family val="3"/>
      </rPr>
      <t>(</t>
    </r>
    <r>
      <rPr>
        <sz val="11"/>
        <color rgb="FF9CDCFE"/>
        <rFont val="Consolas"/>
        <family val="3"/>
      </rPr>
      <t>$dto</t>
    </r>
    <r>
      <rPr>
        <sz val="11"/>
        <color rgb="FFD4D4D4"/>
        <rFont val="Consolas"/>
        <family val="3"/>
      </rPr>
      <t>);</t>
    </r>
  </si>
  <si>
    <r>
      <t>require_once</t>
    </r>
    <r>
      <rPr>
        <sz val="11"/>
        <color rgb="FFD4D4D4"/>
        <rFont val="Consolas"/>
        <family val="3"/>
      </rPr>
      <t xml:space="preserve"> </t>
    </r>
    <r>
      <rPr>
        <sz val="11"/>
        <color rgb="FFCE9178"/>
        <rFont val="Consolas"/>
        <family val="3"/>
      </rPr>
      <t>'../interfaces/BusinessObject.php'</t>
    </r>
    <r>
      <rPr>
        <sz val="11"/>
        <color rgb="FFD4D4D4"/>
        <rFont val="Consolas"/>
        <family val="3"/>
      </rPr>
      <t>;</t>
    </r>
  </si>
  <si>
    <r>
      <t>&lt;?php</t>
    </r>
    <r>
      <rPr>
        <sz val="11"/>
        <color rgb="FFD4D4D4"/>
        <rFont val="Consolas"/>
        <family val="3"/>
      </rPr>
      <t xml:space="preserve"> </t>
    </r>
  </si>
  <si>
    <r>
      <t>require_once</t>
    </r>
    <r>
      <rPr>
        <sz val="11"/>
        <color rgb="FFD4D4D4"/>
        <rFont val="Consolas"/>
        <family val="3"/>
      </rPr>
      <t xml:space="preserve"> </t>
    </r>
    <r>
      <rPr>
        <sz val="11"/>
        <color rgb="FFCE9178"/>
        <rFont val="Consolas"/>
        <family val="3"/>
      </rPr>
      <t>'../dto/DTOPadrao.php'</t>
    </r>
    <r>
      <rPr>
        <sz val="11"/>
        <color rgb="FFD4D4D4"/>
        <rFont val="Consolas"/>
        <family val="3"/>
      </rPr>
      <t>;</t>
    </r>
  </si>
  <si>
    <r>
      <t>require_once</t>
    </r>
    <r>
      <rPr>
        <sz val="11"/>
        <color rgb="FFD4D4D4"/>
        <rFont val="Consolas"/>
        <family val="3"/>
      </rPr>
      <t xml:space="preserve"> </t>
    </r>
    <r>
      <rPr>
        <sz val="11"/>
        <color rgb="FFCE9178"/>
        <rFont val="Consolas"/>
        <family val="3"/>
      </rPr>
      <t>'../dto/DTOPaginacao.php'</t>
    </r>
    <r>
      <rPr>
        <sz val="11"/>
        <color rgb="FFD4D4D4"/>
        <rFont val="Consolas"/>
        <family val="3"/>
      </rPr>
      <t>;</t>
    </r>
  </si>
  <si>
    <r>
      <t>require_once</t>
    </r>
    <r>
      <rPr>
        <sz val="11"/>
        <color rgb="FFD4D4D4"/>
        <rFont val="Consolas"/>
        <family val="3"/>
      </rPr>
      <t xml:space="preserve"> </t>
    </r>
    <r>
      <rPr>
        <sz val="11"/>
        <color rgb="FFCE9178"/>
        <rFont val="Consolas"/>
        <family val="3"/>
      </rPr>
      <t>'../variavel/ConstantesVariavel.php'</t>
    </r>
    <r>
      <rPr>
        <sz val="11"/>
        <color rgb="FFD4D4D4"/>
        <rFont val="Consolas"/>
        <family val="3"/>
      </rPr>
      <t>;</t>
    </r>
  </si>
  <si>
    <r>
      <t>require_once</t>
    </r>
    <r>
      <rPr>
        <sz val="11"/>
        <color rgb="FFD4D4D4"/>
        <rFont val="Consolas"/>
        <family val="3"/>
      </rPr>
      <t xml:space="preserve"> </t>
    </r>
    <r>
      <rPr>
        <sz val="11"/>
        <color rgb="FFCE9178"/>
        <rFont val="Consolas"/>
        <family val="3"/>
      </rPr>
      <t>'../variavel/VariavelCache.php'</t>
    </r>
    <r>
      <rPr>
        <sz val="11"/>
        <color rgb="FFD4D4D4"/>
        <rFont val="Consolas"/>
        <family val="3"/>
      </rPr>
      <t>;</t>
    </r>
  </si>
  <si>
    <r>
      <t>    </t>
    </r>
    <r>
      <rPr>
        <sz val="11"/>
        <color rgb="FF569CD6"/>
        <rFont val="Consolas"/>
        <family val="3"/>
      </rPr>
      <t>function</t>
    </r>
    <r>
      <rPr>
        <sz val="11"/>
        <color rgb="FFD4D4D4"/>
        <rFont val="Consolas"/>
        <family val="3"/>
      </rPr>
      <t xml:space="preserve"> </t>
    </r>
    <r>
      <rPr>
        <sz val="11"/>
        <color rgb="FFDCDCAA"/>
        <rFont val="Consolas"/>
        <family val="3"/>
      </rPr>
      <t>__construct</t>
    </r>
    <r>
      <rPr>
        <sz val="11"/>
        <color rgb="FFD4D4D4"/>
        <rFont val="Consolas"/>
        <family val="3"/>
      </rPr>
      <t>()  {   }</t>
    </r>
  </si>
  <si>
    <r>
      <t>    </t>
    </r>
    <r>
      <rPr>
        <sz val="11"/>
        <color rgb="FF569CD6"/>
        <rFont val="Consolas"/>
        <family val="3"/>
      </rPr>
      <t>public</t>
    </r>
    <r>
      <rPr>
        <sz val="11"/>
        <color rgb="FFD4D4D4"/>
        <rFont val="Consolas"/>
        <family val="3"/>
      </rPr>
      <t xml:space="preserve"> </t>
    </r>
    <r>
      <rPr>
        <sz val="11"/>
        <color rgb="FF569CD6"/>
        <rFont val="Consolas"/>
        <family val="3"/>
      </rPr>
      <t>function</t>
    </r>
    <r>
      <rPr>
        <sz val="11"/>
        <color rgb="FFD4D4D4"/>
        <rFont val="Consolas"/>
        <family val="3"/>
      </rPr>
      <t xml:space="preserve"> </t>
    </r>
    <r>
      <rPr>
        <sz val="11"/>
        <color rgb="FFDCDCAA"/>
        <rFont val="Consolas"/>
        <family val="3"/>
      </rPr>
      <t>carregar</t>
    </r>
    <r>
      <rPr>
        <sz val="11"/>
        <color rgb="FFD4D4D4"/>
        <rFont val="Consolas"/>
        <family val="3"/>
      </rPr>
      <t>(</t>
    </r>
    <r>
      <rPr>
        <sz val="11"/>
        <color rgb="FF9CDCFE"/>
        <rFont val="Consolas"/>
        <family val="3"/>
      </rPr>
      <t>$daofactory</t>
    </r>
    <r>
      <rPr>
        <sz val="11"/>
        <color rgb="FFD4D4D4"/>
        <rFont val="Consolas"/>
        <family val="3"/>
      </rPr>
      <t>,</t>
    </r>
    <r>
      <rPr>
        <sz val="11"/>
        <color rgb="FF9CDCFE"/>
        <rFont val="Consolas"/>
        <family val="3"/>
      </rPr>
      <t xml:space="preserve"> $dto</t>
    </r>
    <r>
      <rPr>
        <sz val="11"/>
        <color rgb="FFD4D4D4"/>
        <rFont val="Consolas"/>
        <family val="3"/>
      </rPr>
      <t>) {   }</t>
    </r>
  </si>
  <si>
    <r>
      <t>    </t>
    </r>
    <r>
      <rPr>
        <sz val="11"/>
        <color rgb="FF569CD6"/>
        <rFont val="Consolas"/>
        <family val="3"/>
      </rPr>
      <t>public</t>
    </r>
    <r>
      <rPr>
        <sz val="11"/>
        <color rgb="FFD4D4D4"/>
        <rFont val="Consolas"/>
        <family val="3"/>
      </rPr>
      <t xml:space="preserve"> </t>
    </r>
    <r>
      <rPr>
        <sz val="11"/>
        <color rgb="FF569CD6"/>
        <rFont val="Consolas"/>
        <family val="3"/>
      </rPr>
      <t>function</t>
    </r>
    <r>
      <rPr>
        <sz val="11"/>
        <color rgb="FFD4D4D4"/>
        <rFont val="Consolas"/>
        <family val="3"/>
      </rPr>
      <t xml:space="preserve"> </t>
    </r>
    <r>
      <rPr>
        <sz val="11"/>
        <color rgb="FFDCDCAA"/>
        <rFont val="Consolas"/>
        <family val="3"/>
      </rPr>
      <t>listarTudo</t>
    </r>
    <r>
      <rPr>
        <sz val="11"/>
        <color rgb="FFD4D4D4"/>
        <rFont val="Consolas"/>
        <family val="3"/>
      </rPr>
      <t>(</t>
    </r>
    <r>
      <rPr>
        <sz val="11"/>
        <color rgb="FF9CDCFE"/>
        <rFont val="Consolas"/>
        <family val="3"/>
      </rPr>
      <t>$daofactory</t>
    </r>
    <r>
      <rPr>
        <sz val="11"/>
        <color rgb="FFD4D4D4"/>
        <rFont val="Consolas"/>
        <family val="3"/>
      </rPr>
      <t>) {   }</t>
    </r>
  </si>
  <si>
    <r>
      <t>            </t>
    </r>
    <r>
      <rPr>
        <sz val="11"/>
        <color rgb="FF9CDCFE"/>
        <rFont val="Consolas"/>
        <family val="3"/>
      </rPr>
      <t>$retorno</t>
    </r>
    <r>
      <rPr>
        <sz val="11"/>
        <color rgb="FFD4D4D4"/>
        <rFont val="Consolas"/>
        <family val="3"/>
      </rPr>
      <t>-&gt;</t>
    </r>
    <r>
      <rPr>
        <sz val="11"/>
        <color rgb="FF9CDCFE"/>
        <rFont val="Consolas"/>
        <family val="3"/>
      </rPr>
      <t>msgcodeString</t>
    </r>
    <r>
      <rPr>
        <sz val="11"/>
        <color rgb="FFD4D4D4"/>
        <rFont val="Consolas"/>
        <family val="3"/>
      </rPr>
      <t xml:space="preserve"> = </t>
    </r>
    <r>
      <rPr>
        <sz val="11"/>
        <color rgb="FF4EC9B0"/>
        <rFont val="Consolas"/>
        <family val="3"/>
      </rPr>
      <t>MensagemCache</t>
    </r>
    <r>
      <rPr>
        <sz val="11"/>
        <color rgb="FFD4D4D4"/>
        <rFont val="Consolas"/>
        <family val="3"/>
      </rPr>
      <t>::</t>
    </r>
    <r>
      <rPr>
        <sz val="11"/>
        <color rgb="FFDCDCAA"/>
        <rFont val="Consolas"/>
        <family val="3"/>
      </rPr>
      <t>getInstance</t>
    </r>
    <r>
      <rPr>
        <sz val="11"/>
        <color rgb="FFD4D4D4"/>
        <rFont val="Consolas"/>
        <family val="3"/>
      </rPr>
      <t>()-&gt;</t>
    </r>
    <r>
      <rPr>
        <sz val="11"/>
        <color rgb="FFDCDCAA"/>
        <rFont val="Consolas"/>
        <family val="3"/>
      </rPr>
      <t>getMensagem</t>
    </r>
    <r>
      <rPr>
        <sz val="11"/>
        <color rgb="FFD4D4D4"/>
        <rFont val="Consolas"/>
        <family val="3"/>
      </rPr>
      <t>(</t>
    </r>
    <r>
      <rPr>
        <sz val="11"/>
        <color rgb="FF9CDCFE"/>
        <rFont val="Consolas"/>
        <family val="3"/>
      </rPr>
      <t>$retorno</t>
    </r>
    <r>
      <rPr>
        <sz val="11"/>
        <color rgb="FFD4D4D4"/>
        <rFont val="Consolas"/>
        <family val="3"/>
      </rPr>
      <t>-&gt;</t>
    </r>
    <r>
      <rPr>
        <sz val="11"/>
        <color rgb="FF9CDCFE"/>
        <rFont val="Consolas"/>
        <family val="3"/>
      </rPr>
      <t>msgcode</t>
    </r>
    <r>
      <rPr>
        <sz val="11"/>
        <color rgb="FFD4D4D4"/>
        <rFont val="Consolas"/>
        <family val="3"/>
      </rPr>
      <t>);</t>
    </r>
  </si>
  <si>
    <r>
      <t>    </t>
    </r>
    <r>
      <rPr>
        <sz val="11"/>
        <color rgb="FF569CD6"/>
        <rFont val="Consolas"/>
        <family val="3"/>
      </rPr>
      <t>public</t>
    </r>
    <r>
      <rPr>
        <sz val="11"/>
        <color rgb="FFD4D4D4"/>
        <rFont val="Consolas"/>
        <family val="3"/>
      </rPr>
      <t xml:space="preserve"> </t>
    </r>
    <r>
      <rPr>
        <sz val="11"/>
        <color rgb="FF569CD6"/>
        <rFont val="Consolas"/>
        <family val="3"/>
      </rPr>
      <t>function</t>
    </r>
    <r>
      <rPr>
        <sz val="11"/>
        <color rgb="FFD4D4D4"/>
        <rFont val="Consolas"/>
        <family val="3"/>
      </rPr>
      <t xml:space="preserve"> </t>
    </r>
    <r>
      <rPr>
        <sz val="11"/>
        <color rgb="FFDCDCAA"/>
        <rFont val="Consolas"/>
        <family val="3"/>
      </rPr>
      <t>atualizar</t>
    </r>
    <r>
      <rPr>
        <sz val="11"/>
        <color rgb="FFD4D4D4"/>
        <rFont val="Consolas"/>
        <family val="3"/>
      </rPr>
      <t>(</t>
    </r>
    <r>
      <rPr>
        <sz val="11"/>
        <color rgb="FF9CDCFE"/>
        <rFont val="Consolas"/>
        <family val="3"/>
      </rPr>
      <t>$daofactory</t>
    </r>
    <r>
      <rPr>
        <sz val="11"/>
        <color rgb="FFD4D4D4"/>
        <rFont val="Consolas"/>
        <family val="3"/>
      </rPr>
      <t>,</t>
    </r>
    <r>
      <rPr>
        <sz val="11"/>
        <color rgb="FF9CDCFE"/>
        <rFont val="Consolas"/>
        <family val="3"/>
      </rPr>
      <t xml:space="preserve"> $dto</t>
    </r>
    <r>
      <rPr>
        <sz val="11"/>
        <color rgb="FFD4D4D4"/>
        <rFont val="Consolas"/>
        <family val="3"/>
      </rPr>
      <t>)    </t>
    </r>
  </si>
  <si>
    <t>    {   </t>
  </si>
  <si>
    <r>
      <t>        </t>
    </r>
    <r>
      <rPr>
        <sz val="11"/>
        <color rgb="FF6A9955"/>
        <rFont val="Consolas"/>
        <family val="3"/>
      </rPr>
      <t>// retorno default</t>
    </r>
  </si>
  <si>
    <r>
      <t>        </t>
    </r>
    <r>
      <rPr>
        <sz val="11"/>
        <color rgb="FF6A9955"/>
        <rFont val="Consolas"/>
        <family val="3"/>
      </rPr>
      <t>// retorna situação</t>
    </r>
  </si>
  <si>
    <r>
      <t>    </t>
    </r>
    <r>
      <rPr>
        <sz val="11"/>
        <color rgb="FF569CD6"/>
        <rFont val="Consolas"/>
        <family val="3"/>
      </rPr>
      <t>public</t>
    </r>
    <r>
      <rPr>
        <sz val="11"/>
        <color rgb="FFD4D4D4"/>
        <rFont val="Consolas"/>
        <family val="3"/>
      </rPr>
      <t xml:space="preserve"> </t>
    </r>
    <r>
      <rPr>
        <sz val="11"/>
        <color rgb="FF569CD6"/>
        <rFont val="Consolas"/>
        <family val="3"/>
      </rPr>
      <t>function</t>
    </r>
    <r>
      <rPr>
        <sz val="11"/>
        <color rgb="FFD4D4D4"/>
        <rFont val="Consolas"/>
        <family val="3"/>
      </rPr>
      <t xml:space="preserve"> </t>
    </r>
    <r>
      <rPr>
        <sz val="11"/>
        <color rgb="FFDCDCAA"/>
        <rFont val="Consolas"/>
        <family val="3"/>
      </rPr>
      <t>deletar</t>
    </r>
    <r>
      <rPr>
        <sz val="11"/>
        <color rgb="FFD4D4D4"/>
        <rFont val="Consolas"/>
        <family val="3"/>
      </rPr>
      <t>(</t>
    </r>
    <r>
      <rPr>
        <sz val="11"/>
        <color rgb="FF9CDCFE"/>
        <rFont val="Consolas"/>
        <family val="3"/>
      </rPr>
      <t>$daofactory</t>
    </r>
    <r>
      <rPr>
        <sz val="11"/>
        <color rgb="FFD4D4D4"/>
        <rFont val="Consolas"/>
        <family val="3"/>
      </rPr>
      <t>,</t>
    </r>
    <r>
      <rPr>
        <sz val="11"/>
        <color rgb="FF9CDCFE"/>
        <rFont val="Consolas"/>
        <family val="3"/>
      </rPr>
      <t xml:space="preserve"> $dto</t>
    </r>
    <r>
      <rPr>
        <sz val="11"/>
        <color rgb="FFD4D4D4"/>
        <rFont val="Consolas"/>
        <family val="3"/>
      </rPr>
      <t>)  </t>
    </r>
  </si>
  <si>
    <r>
      <t>    </t>
    </r>
    <r>
      <rPr>
        <sz val="11"/>
        <color rgb="FF569CD6"/>
        <rFont val="Consolas"/>
        <family val="3"/>
      </rPr>
      <t>public</t>
    </r>
    <r>
      <rPr>
        <sz val="11"/>
        <color rgb="FFD4D4D4"/>
        <rFont val="Consolas"/>
        <family val="3"/>
      </rPr>
      <t xml:space="preserve"> </t>
    </r>
    <r>
      <rPr>
        <sz val="11"/>
        <color rgb="FF569CD6"/>
        <rFont val="Consolas"/>
        <family val="3"/>
      </rPr>
      <t>function</t>
    </r>
    <r>
      <rPr>
        <sz val="11"/>
        <color rgb="FFD4D4D4"/>
        <rFont val="Consolas"/>
        <family val="3"/>
      </rPr>
      <t xml:space="preserve"> </t>
    </r>
    <r>
      <rPr>
        <sz val="11"/>
        <color rgb="FFDCDCAA"/>
        <rFont val="Consolas"/>
        <family val="3"/>
      </rPr>
      <t>listarPagina</t>
    </r>
    <r>
      <rPr>
        <sz val="11"/>
        <color rgb="FFD4D4D4"/>
        <rFont val="Consolas"/>
        <family val="3"/>
      </rPr>
      <t>(</t>
    </r>
    <r>
      <rPr>
        <sz val="11"/>
        <color rgb="FF9CDCFE"/>
        <rFont val="Consolas"/>
        <family val="3"/>
      </rPr>
      <t>$daofactory</t>
    </r>
    <r>
      <rPr>
        <sz val="11"/>
        <color rgb="FFD4D4D4"/>
        <rFont val="Consolas"/>
        <family val="3"/>
      </rPr>
      <t>,</t>
    </r>
    <r>
      <rPr>
        <sz val="11"/>
        <color rgb="FF9CDCFE"/>
        <rFont val="Consolas"/>
        <family val="3"/>
      </rPr>
      <t xml:space="preserve"> $pag</t>
    </r>
    <r>
      <rPr>
        <sz val="11"/>
        <color rgb="FFD4D4D4"/>
        <rFont val="Consolas"/>
        <family val="3"/>
      </rPr>
      <t>,</t>
    </r>
    <r>
      <rPr>
        <sz val="11"/>
        <color rgb="FF9CDCFE"/>
        <rFont val="Consolas"/>
        <family val="3"/>
      </rPr>
      <t xml:space="preserve"> $qtde</t>
    </r>
    <r>
      <rPr>
        <sz val="11"/>
        <color rgb="FFD4D4D4"/>
        <rFont val="Consolas"/>
        <family val="3"/>
      </rPr>
      <t>)  </t>
    </r>
  </si>
  <si>
    <r>
      <t>        </t>
    </r>
    <r>
      <rPr>
        <sz val="11"/>
        <color rgb="FFC586C0"/>
        <rFont val="Consolas"/>
        <family val="3"/>
      </rPr>
      <t>return</t>
    </r>
    <r>
      <rPr>
        <sz val="11"/>
        <color rgb="FFD4D4D4"/>
        <rFont val="Consolas"/>
        <family val="3"/>
      </rPr>
      <t xml:space="preserve"> </t>
    </r>
    <r>
      <rPr>
        <sz val="11"/>
        <color rgb="FF9CDCFE"/>
        <rFont val="Consolas"/>
        <family val="3"/>
      </rPr>
      <t>$dao</t>
    </r>
    <r>
      <rPr>
        <sz val="11"/>
        <color rgb="FFD4D4D4"/>
        <rFont val="Consolas"/>
        <family val="3"/>
      </rPr>
      <t>-&gt;</t>
    </r>
    <r>
      <rPr>
        <sz val="11"/>
        <color rgb="FFDCDCAA"/>
        <rFont val="Consolas"/>
        <family val="3"/>
      </rPr>
      <t>listPagina</t>
    </r>
    <r>
      <rPr>
        <sz val="11"/>
        <color rgb="FFD4D4D4"/>
        <rFont val="Consolas"/>
        <family val="3"/>
      </rPr>
      <t>(</t>
    </r>
    <r>
      <rPr>
        <sz val="11"/>
        <color rgb="FF9CDCFE"/>
        <rFont val="Consolas"/>
        <family val="3"/>
      </rPr>
      <t>$pag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$qtde</t>
    </r>
    <r>
      <rPr>
        <sz val="11"/>
        <color rgb="FFD4D4D4"/>
        <rFont val="Consolas"/>
        <family val="3"/>
      </rPr>
      <t>);</t>
    </r>
  </si>
  <si>
    <t xml:space="preserve">    { </t>
  </si>
  <si>
    <r>
      <t>                </t>
    </r>
    <r>
      <rPr>
        <sz val="11"/>
        <color rgb="FF9CDCFE"/>
        <rFont val="Consolas"/>
        <family val="3"/>
      </rPr>
      <t>$retorno</t>
    </r>
    <r>
      <rPr>
        <sz val="11"/>
        <color rgb="FFD4D4D4"/>
        <rFont val="Consolas"/>
        <family val="3"/>
      </rPr>
      <t>-&gt;</t>
    </r>
    <r>
      <rPr>
        <sz val="11"/>
        <color rgb="FF9CDCFE"/>
        <rFont val="Consolas"/>
        <family val="3"/>
      </rPr>
      <t>msgcode</t>
    </r>
    <r>
      <rPr>
        <sz val="11"/>
        <color rgb="FFD4D4D4"/>
        <rFont val="Consolas"/>
        <family val="3"/>
      </rPr>
      <t xml:space="preserve"> = </t>
    </r>
    <r>
      <rPr>
        <sz val="11"/>
        <color rgb="FF4EC9B0"/>
        <rFont val="Consolas"/>
        <family val="3"/>
      </rPr>
      <t>ConstantesMensagem</t>
    </r>
    <r>
      <rPr>
        <sz val="11"/>
        <color rgb="FFD4D4D4"/>
        <rFont val="Consolas"/>
        <family val="3"/>
      </rPr>
      <t>::COMANDO_REALIZADO_COM_SUCESSO;</t>
    </r>
  </si>
  <si>
    <t>            }       </t>
  </si>
  <si>
    <r>
      <t>        </t>
    </r>
    <r>
      <rPr>
        <sz val="11"/>
        <color rgb="FF6A9955"/>
        <rFont val="Consolas"/>
        <family val="3"/>
      </rPr>
      <t>// resposta padrão</t>
    </r>
  </si>
  <si>
    <r>
      <t>        </t>
    </r>
    <r>
      <rPr>
        <sz val="11"/>
        <color rgb="FF6A9955"/>
        <rFont val="Consolas"/>
        <family val="3"/>
      </rPr>
      <t>// Obtem o texto da mensagem em razão do código de retorno</t>
    </r>
  </si>
  <si>
    <r>
      <t>        </t>
    </r>
    <r>
      <rPr>
        <sz val="11"/>
        <color rgb="FF6A9955"/>
        <rFont val="Consolas"/>
        <family val="3"/>
      </rPr>
      <t>// obtem o status atual da campanha</t>
    </r>
  </si>
  <si>
    <r>
      <t>require_once</t>
    </r>
    <r>
      <rPr>
        <sz val="11"/>
        <color rgb="FFD4D4D4"/>
        <rFont val="Consolas"/>
        <family val="3"/>
      </rPr>
      <t xml:space="preserve"> </t>
    </r>
    <r>
      <rPr>
        <sz val="11"/>
        <color rgb="FFCE9178"/>
        <rFont val="Consolas"/>
        <family val="3"/>
      </rPr>
      <t>'../daofactory/DmlSql.php'</t>
    </r>
    <r>
      <rPr>
        <sz val="11"/>
        <color rgb="FFD4D4D4"/>
        <rFont val="Consolas"/>
        <family val="3"/>
      </rPr>
      <t>;</t>
    </r>
  </si>
  <si>
    <r>
      <t>    </t>
    </r>
    <r>
      <rPr>
        <sz val="11"/>
        <color rgb="FF6A9955"/>
        <rFont val="Consolas"/>
        <family val="3"/>
      </rPr>
      <t>// Tabela</t>
    </r>
  </si>
  <si>
    <r>
      <t>    </t>
    </r>
    <r>
      <rPr>
        <sz val="11"/>
        <color rgb="FF6A9955"/>
        <rFont val="Consolas"/>
        <family val="3"/>
      </rPr>
      <t>// colunas da tabela</t>
    </r>
  </si>
  <si>
    <r>
      <t>    </t>
    </r>
    <r>
      <rPr>
        <sz val="11"/>
        <color rgb="FF6A9955"/>
        <rFont val="Consolas"/>
        <family val="3"/>
      </rPr>
      <t>// Comandos DML</t>
    </r>
  </si>
  <si>
    <r>
      <t>    </t>
    </r>
    <r>
      <rPr>
        <sz val="11"/>
        <color rgb="FF569CD6"/>
        <rFont val="Consolas"/>
        <family val="3"/>
      </rPr>
      <t>const</t>
    </r>
    <r>
      <rPr>
        <sz val="11"/>
        <color rgb="FFD4D4D4"/>
        <rFont val="Consolas"/>
        <family val="3"/>
      </rPr>
      <t xml:space="preserve"> INS = </t>
    </r>
    <r>
      <rPr>
        <sz val="11"/>
        <color rgb="FFCE9178"/>
        <rFont val="Consolas"/>
        <family val="3"/>
      </rPr>
      <t>'</t>
    </r>
    <r>
      <rPr>
        <sz val="11"/>
        <color rgb="FF569CD6"/>
        <rFont val="Consolas"/>
        <family val="3"/>
      </rPr>
      <t>INSERT</t>
    </r>
    <r>
      <rPr>
        <sz val="11"/>
        <color rgb="FFCE9178"/>
        <rFont val="Consolas"/>
        <family val="3"/>
      </rPr>
      <t xml:space="preserve"> </t>
    </r>
    <r>
      <rPr>
        <sz val="11"/>
        <color rgb="FF569CD6"/>
        <rFont val="Consolas"/>
        <family val="3"/>
      </rPr>
      <t>INTO</t>
    </r>
    <r>
      <rPr>
        <sz val="11"/>
        <color rgb="FFCE9178"/>
        <rFont val="Consolas"/>
        <family val="3"/>
      </rPr>
      <t xml:space="preserve"> `' . self::TABELA . '` ('</t>
    </r>
  </si>
  <si>
    <r>
      <t xml:space="preserve">        . </t>
    </r>
    <r>
      <rPr>
        <sz val="11"/>
        <color rgb="FFCE9178"/>
        <rFont val="Consolas"/>
        <family val="3"/>
      </rPr>
      <t>') VALUES (?,?,?,?,?,?,?,?,?,?,?)'</t>
    </r>
    <r>
      <rPr>
        <sz val="11"/>
        <color rgb="FFD4D4D4"/>
        <rFont val="Consolas"/>
        <family val="3"/>
      </rPr>
      <t>;</t>
    </r>
  </si>
  <si>
    <r>
      <t>    </t>
    </r>
    <r>
      <rPr>
        <sz val="11"/>
        <color rgb="FF569CD6"/>
        <rFont val="Consolas"/>
        <family val="3"/>
      </rPr>
      <t>const</t>
    </r>
    <r>
      <rPr>
        <sz val="11"/>
        <color rgb="FFD4D4D4"/>
        <rFont val="Consolas"/>
        <family val="3"/>
      </rPr>
      <t xml:space="preserve"> DEL_PK = </t>
    </r>
    <r>
      <rPr>
        <sz val="11"/>
        <color rgb="FFCE9178"/>
        <rFont val="Consolas"/>
        <family val="3"/>
      </rPr>
      <t>'</t>
    </r>
    <r>
      <rPr>
        <sz val="11"/>
        <color rgb="FF569CD6"/>
        <rFont val="Consolas"/>
        <family val="3"/>
      </rPr>
      <t>DELETE</t>
    </r>
    <r>
      <rPr>
        <sz val="11"/>
        <color rgb="FFCE9178"/>
        <rFont val="Consolas"/>
        <family val="3"/>
      </rPr>
      <t xml:space="preserve"> </t>
    </r>
    <r>
      <rPr>
        <sz val="11"/>
        <color rgb="FF569CD6"/>
        <rFont val="Consolas"/>
        <family val="3"/>
      </rPr>
      <t>from</t>
    </r>
    <r>
      <rPr>
        <sz val="11"/>
        <color rgb="FFCE9178"/>
        <rFont val="Consolas"/>
        <family val="3"/>
      </rPr>
      <t xml:space="preserve"> `' . self::TABELA . '` '</t>
    </r>
    <r>
      <rPr>
        <sz val="11"/>
        <color rgb="FFD4D4D4"/>
        <rFont val="Consolas"/>
        <family val="3"/>
      </rPr>
      <t xml:space="preserve"> .</t>
    </r>
  </si>
  <si>
    <r>
      <t>    </t>
    </r>
    <r>
      <rPr>
        <sz val="11"/>
        <color rgb="FF569CD6"/>
        <rFont val="Consolas"/>
        <family val="3"/>
      </rPr>
      <t>const</t>
    </r>
    <r>
      <rPr>
        <sz val="11"/>
        <color rgb="FFD4D4D4"/>
        <rFont val="Consolas"/>
        <family val="3"/>
      </rPr>
      <t xml:space="preserve"> UPD_PK = </t>
    </r>
    <r>
      <rPr>
        <sz val="11"/>
        <color rgb="FFCE9178"/>
        <rFont val="Consolas"/>
        <family val="3"/>
      </rPr>
      <t>'</t>
    </r>
    <r>
      <rPr>
        <sz val="11"/>
        <color rgb="FF569CD6"/>
        <rFont val="Consolas"/>
        <family val="3"/>
      </rPr>
      <t>UPDATE</t>
    </r>
    <r>
      <rPr>
        <sz val="11"/>
        <color rgb="FFCE9178"/>
        <rFont val="Consolas"/>
        <family val="3"/>
      </rPr>
      <t xml:space="preserve"> `' . self::TABELA . '` </t>
    </r>
    <r>
      <rPr>
        <sz val="11"/>
        <color rgb="FF569CD6"/>
        <rFont val="Consolas"/>
        <family val="3"/>
      </rPr>
      <t>set</t>
    </r>
    <r>
      <rPr>
        <sz val="11"/>
        <color rgb="FFCE9178"/>
        <rFont val="Consolas"/>
        <family val="3"/>
      </rPr>
      <t xml:space="preserve"> '</t>
    </r>
  </si>
  <si>
    <r>
      <t>    </t>
    </r>
    <r>
      <rPr>
        <sz val="11"/>
        <color rgb="FF569CD6"/>
        <rFont val="Consolas"/>
        <family val="3"/>
      </rPr>
      <t>const</t>
    </r>
    <r>
      <rPr>
        <sz val="11"/>
        <color rgb="FFD4D4D4"/>
        <rFont val="Consolas"/>
        <family val="3"/>
      </rPr>
      <t xml:space="preserve"> UPD_STATUS = </t>
    </r>
    <r>
      <rPr>
        <sz val="11"/>
        <color rgb="FFCE9178"/>
        <rFont val="Consolas"/>
        <family val="3"/>
      </rPr>
      <t>'</t>
    </r>
    <r>
      <rPr>
        <sz val="11"/>
        <color rgb="FF569CD6"/>
        <rFont val="Consolas"/>
        <family val="3"/>
      </rPr>
      <t>UPDATE</t>
    </r>
    <r>
      <rPr>
        <sz val="11"/>
        <color rgb="FFCE9178"/>
        <rFont val="Consolas"/>
        <family val="3"/>
      </rPr>
      <t xml:space="preserve"> `' . self::TABELA . '` </t>
    </r>
    <r>
      <rPr>
        <sz val="11"/>
        <color rgb="FF569CD6"/>
        <rFont val="Consolas"/>
        <family val="3"/>
      </rPr>
      <t>set</t>
    </r>
    <r>
      <rPr>
        <sz val="11"/>
        <color rgb="FFCE9178"/>
        <rFont val="Consolas"/>
        <family val="3"/>
      </rPr>
      <t xml:space="preserve"> '</t>
    </r>
  </si>
  <si>
    <r>
      <t>    </t>
    </r>
    <r>
      <rPr>
        <sz val="11"/>
        <color rgb="FF569CD6"/>
        <rFont val="Consolas"/>
        <family val="3"/>
      </rPr>
      <t>const</t>
    </r>
    <r>
      <rPr>
        <sz val="11"/>
        <color rgb="FFD4D4D4"/>
        <rFont val="Consolas"/>
        <family val="3"/>
      </rPr>
      <t xml:space="preserve"> SELECT = </t>
    </r>
    <r>
      <rPr>
        <sz val="11"/>
        <color rgb="FFCE9178"/>
        <rFont val="Consolas"/>
        <family val="3"/>
      </rPr>
      <t>'</t>
    </r>
    <r>
      <rPr>
        <sz val="11"/>
        <color rgb="FF569CD6"/>
        <rFont val="Consolas"/>
        <family val="3"/>
      </rPr>
      <t>SELECT</t>
    </r>
    <r>
      <rPr>
        <sz val="11"/>
        <color rgb="FFCE9178"/>
        <rFont val="Consolas"/>
        <family val="3"/>
      </rPr>
      <t xml:space="preserve"> '</t>
    </r>
    <r>
      <rPr>
        <sz val="11"/>
        <color rgb="FFD4D4D4"/>
        <rFont val="Consolas"/>
        <family val="3"/>
      </rPr>
      <t xml:space="preserve"> </t>
    </r>
  </si>
  <si>
    <r>
      <t xml:space="preserve">        . </t>
    </r>
    <r>
      <rPr>
        <sz val="11"/>
        <color rgb="FFCE9178"/>
        <rFont val="Consolas"/>
        <family val="3"/>
      </rPr>
      <t>' FROM `'</t>
    </r>
    <r>
      <rPr>
        <sz val="11"/>
        <color rgb="FFD4D4D4"/>
        <rFont val="Consolas"/>
        <family val="3"/>
      </rPr>
      <t>.</t>
    </r>
    <r>
      <rPr>
        <sz val="11"/>
        <color rgb="FF569CD6"/>
        <rFont val="Consolas"/>
        <family val="3"/>
      </rPr>
      <t>self</t>
    </r>
    <r>
      <rPr>
        <sz val="11"/>
        <color rgb="FFD4D4D4"/>
        <rFont val="Consolas"/>
        <family val="3"/>
      </rPr>
      <t>::TABELA.</t>
    </r>
    <r>
      <rPr>
        <sz val="11"/>
        <color rgb="FFCE9178"/>
        <rFont val="Consolas"/>
        <family val="3"/>
      </rPr>
      <t>'` '</t>
    </r>
    <r>
      <rPr>
        <sz val="11"/>
        <color rgb="FFD4D4D4"/>
        <rFont val="Consolas"/>
        <family val="3"/>
      </rPr>
      <t>;</t>
    </r>
  </si>
  <si>
    <r>
      <t>    </t>
    </r>
    <r>
      <rPr>
        <sz val="11"/>
        <color rgb="FF569CD6"/>
        <rFont val="Consolas"/>
        <family val="3"/>
      </rPr>
      <t>const</t>
    </r>
    <r>
      <rPr>
        <sz val="11"/>
        <color rgb="FFD4D4D4"/>
        <rFont val="Consolas"/>
        <family val="3"/>
      </rPr>
      <t xml:space="preserve"> TABELA = </t>
    </r>
    <r>
      <rPr>
        <sz val="11"/>
        <color rgb="FFCE9178"/>
        <rFont val="Consolas"/>
        <family val="3"/>
      </rPr>
      <t>'${tabela}'</t>
    </r>
    <r>
      <rPr>
        <sz val="11"/>
        <color rgb="FFD4D4D4"/>
        <rFont val="Consolas"/>
        <family val="3"/>
      </rPr>
      <t>;</t>
    </r>
  </si>
  <si>
    <t>Mnemônico</t>
  </si>
  <si>
    <t>ORDEM</t>
  </si>
  <si>
    <t>TEMPLATE</t>
  </si>
  <si>
    <r>
      <t>require_once</t>
    </r>
    <r>
      <rPr>
        <sz val="11"/>
        <color rgb="FFD4D4D4"/>
        <rFont val="Consolas"/>
        <family val="3"/>
      </rPr>
      <t xml:space="preserve"> </t>
    </r>
    <r>
      <rPr>
        <sz val="11"/>
        <color rgb="FFCE9178"/>
        <rFont val="Consolas"/>
        <family val="3"/>
      </rPr>
      <t>'../interfaces/DAO.php'</t>
    </r>
    <r>
      <rPr>
        <sz val="11"/>
        <color rgb="FFD4D4D4"/>
        <rFont val="Consolas"/>
        <family val="3"/>
      </rPr>
      <t>;</t>
    </r>
  </si>
  <si>
    <r>
      <t>    </t>
    </r>
    <r>
      <rPr>
        <sz val="11"/>
        <color rgb="FF569CD6"/>
        <rFont val="Consolas"/>
        <family val="3"/>
      </rPr>
      <t>private</t>
    </r>
    <r>
      <rPr>
        <sz val="11"/>
        <color rgb="FFD4D4D4"/>
        <rFont val="Consolas"/>
        <family val="3"/>
      </rPr>
      <t xml:space="preserve"> </t>
    </r>
    <r>
      <rPr>
        <sz val="11"/>
        <color rgb="FF9CDCFE"/>
        <rFont val="Consolas"/>
        <family val="3"/>
      </rPr>
      <t>$daofactory</t>
    </r>
    <r>
      <rPr>
        <sz val="11"/>
        <color rgb="FFD4D4D4"/>
        <rFont val="Consolas"/>
        <family val="3"/>
      </rPr>
      <t>;</t>
    </r>
  </si>
  <si>
    <r>
      <t>    </t>
    </r>
    <r>
      <rPr>
        <sz val="11"/>
        <color rgb="FF569CD6"/>
        <rFont val="Consolas"/>
        <family val="3"/>
      </rPr>
      <t>function</t>
    </r>
    <r>
      <rPr>
        <sz val="11"/>
        <color rgb="FFD4D4D4"/>
        <rFont val="Consolas"/>
        <family val="3"/>
      </rPr>
      <t xml:space="preserve"> </t>
    </r>
    <r>
      <rPr>
        <sz val="11"/>
        <color rgb="FFDCDCAA"/>
        <rFont val="Consolas"/>
        <family val="3"/>
      </rPr>
      <t>__construct</t>
    </r>
    <r>
      <rPr>
        <sz val="11"/>
        <color rgb="FFD4D4D4"/>
        <rFont val="Consolas"/>
        <family val="3"/>
      </rPr>
      <t>(</t>
    </r>
    <r>
      <rPr>
        <sz val="11"/>
        <color rgb="FF9CDCFE"/>
        <rFont val="Consolas"/>
        <family val="3"/>
      </rPr>
      <t>$daofactory</t>
    </r>
    <r>
      <rPr>
        <sz val="11"/>
        <color rgb="FFD4D4D4"/>
        <rFont val="Consolas"/>
        <family val="3"/>
      </rPr>
      <t>)</t>
    </r>
  </si>
  <si>
    <r>
      <t>        </t>
    </r>
    <r>
      <rPr>
        <sz val="11"/>
        <color rgb="FF569CD6"/>
        <rFont val="Consolas"/>
        <family val="3"/>
      </rPr>
      <t>$this</t>
    </r>
    <r>
      <rPr>
        <sz val="11"/>
        <color rgb="FFD4D4D4"/>
        <rFont val="Consolas"/>
        <family val="3"/>
      </rPr>
      <t>-&gt;</t>
    </r>
    <r>
      <rPr>
        <sz val="11"/>
        <color rgb="FF9CDCFE"/>
        <rFont val="Consolas"/>
        <family val="3"/>
      </rPr>
      <t>daofactory</t>
    </r>
    <r>
      <rPr>
        <sz val="11"/>
        <color rgb="FFD4D4D4"/>
        <rFont val="Consolas"/>
        <family val="3"/>
      </rPr>
      <t xml:space="preserve"> = </t>
    </r>
    <r>
      <rPr>
        <sz val="11"/>
        <color rgb="FF9CDCFE"/>
        <rFont val="Consolas"/>
        <family val="3"/>
      </rPr>
      <t>$daofactory</t>
    </r>
    <r>
      <rPr>
        <sz val="11"/>
        <color rgb="FFD4D4D4"/>
        <rFont val="Consolas"/>
        <family val="3"/>
      </rPr>
      <t>;</t>
    </r>
  </si>
  <si>
    <r>
      <t>    </t>
    </r>
    <r>
      <rPr>
        <sz val="11"/>
        <color rgb="FF569CD6"/>
        <rFont val="Consolas"/>
        <family val="3"/>
      </rPr>
      <t>public</t>
    </r>
    <r>
      <rPr>
        <sz val="11"/>
        <color rgb="FFD4D4D4"/>
        <rFont val="Consolas"/>
        <family val="3"/>
      </rPr>
      <t xml:space="preserve"> </t>
    </r>
    <r>
      <rPr>
        <sz val="11"/>
        <color rgb="FF569CD6"/>
        <rFont val="Consolas"/>
        <family val="3"/>
      </rPr>
      <t>function</t>
    </r>
    <r>
      <rPr>
        <sz val="11"/>
        <color rgb="FFD4D4D4"/>
        <rFont val="Consolas"/>
        <family val="3"/>
      </rPr>
      <t xml:space="preserve"> </t>
    </r>
    <r>
      <rPr>
        <sz val="11"/>
        <color rgb="FFDCDCAA"/>
        <rFont val="Consolas"/>
        <family val="3"/>
      </rPr>
      <t>load</t>
    </r>
    <r>
      <rPr>
        <sz val="11"/>
        <color rgb="FFD4D4D4"/>
        <rFont val="Consolas"/>
        <family val="3"/>
      </rPr>
      <t>(</t>
    </r>
    <r>
      <rPr>
        <sz val="11"/>
        <color rgb="FF9CDCFE"/>
        <rFont val="Consolas"/>
        <family val="3"/>
      </rPr>
      <t>$dto</t>
    </r>
    <r>
      <rPr>
        <sz val="11"/>
        <color rgb="FFD4D4D4"/>
        <rFont val="Consolas"/>
        <family val="3"/>
      </rPr>
      <t>)  {   }</t>
    </r>
  </si>
  <si>
    <r>
      <t>    </t>
    </r>
    <r>
      <rPr>
        <sz val="11"/>
        <color rgb="FF569CD6"/>
        <rFont val="Consolas"/>
        <family val="3"/>
      </rPr>
      <t>public</t>
    </r>
    <r>
      <rPr>
        <sz val="11"/>
        <color rgb="FFD4D4D4"/>
        <rFont val="Consolas"/>
        <family val="3"/>
      </rPr>
      <t xml:space="preserve"> </t>
    </r>
    <r>
      <rPr>
        <sz val="11"/>
        <color rgb="FF569CD6"/>
        <rFont val="Consolas"/>
        <family val="3"/>
      </rPr>
      <t>function</t>
    </r>
    <r>
      <rPr>
        <sz val="11"/>
        <color rgb="FFD4D4D4"/>
        <rFont val="Consolas"/>
        <family val="3"/>
      </rPr>
      <t xml:space="preserve"> </t>
    </r>
    <r>
      <rPr>
        <sz val="11"/>
        <color rgb="FFDCDCAA"/>
        <rFont val="Consolas"/>
        <family val="3"/>
      </rPr>
      <t>listAll</t>
    </r>
    <r>
      <rPr>
        <sz val="11"/>
        <color rgb="FFD4D4D4"/>
        <rFont val="Consolas"/>
        <family val="3"/>
      </rPr>
      <t>()   {   }</t>
    </r>
  </si>
  <si>
    <r>
      <t>    </t>
    </r>
    <r>
      <rPr>
        <sz val="11"/>
        <color rgb="FF569CD6"/>
        <rFont val="Consolas"/>
        <family val="3"/>
      </rPr>
      <t>public</t>
    </r>
    <r>
      <rPr>
        <sz val="11"/>
        <color rgb="FFD4D4D4"/>
        <rFont val="Consolas"/>
        <family val="3"/>
      </rPr>
      <t xml:space="preserve"> </t>
    </r>
    <r>
      <rPr>
        <sz val="11"/>
        <color rgb="FF569CD6"/>
        <rFont val="Consolas"/>
        <family val="3"/>
      </rPr>
      <t>function</t>
    </r>
    <r>
      <rPr>
        <sz val="11"/>
        <color rgb="FFD4D4D4"/>
        <rFont val="Consolas"/>
        <family val="3"/>
      </rPr>
      <t xml:space="preserve"> </t>
    </r>
    <r>
      <rPr>
        <sz val="11"/>
        <color rgb="FFDCDCAA"/>
        <rFont val="Consolas"/>
        <family val="3"/>
      </rPr>
      <t>update</t>
    </r>
    <r>
      <rPr>
        <sz val="11"/>
        <color rgb="FFD4D4D4"/>
        <rFont val="Consolas"/>
        <family val="3"/>
      </rPr>
      <t>(</t>
    </r>
    <r>
      <rPr>
        <sz val="11"/>
        <color rgb="FF9CDCFE"/>
        <rFont val="Consolas"/>
        <family val="3"/>
      </rPr>
      <t>$dto</t>
    </r>
    <r>
      <rPr>
        <sz val="11"/>
        <color rgb="FFD4D4D4"/>
        <rFont val="Consolas"/>
        <family val="3"/>
      </rPr>
      <t>)</t>
    </r>
  </si>
  <si>
    <r>
      <t>        </t>
    </r>
    <r>
      <rPr>
        <sz val="11"/>
        <color rgb="FF9CDCFE"/>
        <rFont val="Consolas"/>
        <family val="3"/>
      </rPr>
      <t>$retorno</t>
    </r>
    <r>
      <rPr>
        <sz val="11"/>
        <color rgb="FFD4D4D4"/>
        <rFont val="Consolas"/>
        <family val="3"/>
      </rPr>
      <t xml:space="preserve"> = </t>
    </r>
    <r>
      <rPr>
        <sz val="11"/>
        <color rgb="FF569CD6"/>
        <rFont val="Consolas"/>
        <family val="3"/>
      </rPr>
      <t>false</t>
    </r>
    <r>
      <rPr>
        <sz val="11"/>
        <color rgb="FFD4D4D4"/>
        <rFont val="Consolas"/>
        <family val="3"/>
      </rPr>
      <t>;</t>
    </r>
  </si>
  <si>
    <r>
      <t>        </t>
    </r>
    <r>
      <rPr>
        <sz val="11"/>
        <color rgb="FF6A9955"/>
        <rFont val="Consolas"/>
        <family val="3"/>
      </rPr>
      <t>// prepara sessão, query, troca de valores, acoplagem do resultado e o fetch</t>
    </r>
  </si>
  <si>
    <r>
      <t>        </t>
    </r>
    <r>
      <rPr>
        <sz val="11"/>
        <color rgb="FF9CDCFE"/>
        <rFont val="Consolas"/>
        <family val="3"/>
      </rPr>
      <t>$conexao</t>
    </r>
    <r>
      <rPr>
        <sz val="11"/>
        <color rgb="FFD4D4D4"/>
        <rFont val="Consolas"/>
        <family val="3"/>
      </rPr>
      <t xml:space="preserve"> = </t>
    </r>
    <r>
      <rPr>
        <sz val="11"/>
        <color rgb="FF569CD6"/>
        <rFont val="Consolas"/>
        <family val="3"/>
      </rPr>
      <t>$this</t>
    </r>
    <r>
      <rPr>
        <sz val="11"/>
        <color rgb="FFD4D4D4"/>
        <rFont val="Consolas"/>
        <family val="3"/>
      </rPr>
      <t>-&gt;</t>
    </r>
    <r>
      <rPr>
        <sz val="11"/>
        <color rgb="FF9CDCFE"/>
        <rFont val="Consolas"/>
        <family val="3"/>
      </rPr>
      <t>daofactory</t>
    </r>
    <r>
      <rPr>
        <sz val="11"/>
        <color rgb="FFD4D4D4"/>
        <rFont val="Consolas"/>
        <family val="3"/>
      </rPr>
      <t>-&gt;</t>
    </r>
    <r>
      <rPr>
        <sz val="11"/>
        <color rgb="FFDCDCAA"/>
        <rFont val="Consolas"/>
        <family val="3"/>
      </rPr>
      <t>getSession</t>
    </r>
    <r>
      <rPr>
        <sz val="11"/>
        <color rgb="FFD4D4D4"/>
        <rFont val="Consolas"/>
        <family val="3"/>
      </rPr>
      <t>();</t>
    </r>
  </si>
  <si>
    <r>
      <t>        </t>
    </r>
    <r>
      <rPr>
        <sz val="11"/>
        <color rgb="FFC586C0"/>
        <rFont val="Consolas"/>
        <family val="3"/>
      </rPr>
      <t>if</t>
    </r>
    <r>
      <rPr>
        <sz val="11"/>
        <color rgb="FFD4D4D4"/>
        <rFont val="Consolas"/>
        <family val="3"/>
      </rPr>
      <t xml:space="preserve"> (</t>
    </r>
    <r>
      <rPr>
        <sz val="11"/>
        <color rgb="FF9CDCFE"/>
        <rFont val="Consolas"/>
        <family val="3"/>
      </rPr>
      <t>$stmt</t>
    </r>
    <r>
      <rPr>
        <sz val="11"/>
        <color rgb="FFD4D4D4"/>
        <rFont val="Consolas"/>
        <family val="3"/>
      </rPr>
      <t>-&gt;</t>
    </r>
    <r>
      <rPr>
        <sz val="11"/>
        <color rgb="FFDCDCAA"/>
        <rFont val="Consolas"/>
        <family val="3"/>
      </rPr>
      <t>execute</t>
    </r>
    <r>
      <rPr>
        <sz val="11"/>
        <color rgb="FFD4D4D4"/>
        <rFont val="Consolas"/>
        <family val="3"/>
      </rPr>
      <t>())</t>
    </r>
  </si>
  <si>
    <t>        {</t>
  </si>
  <si>
    <r>
      <t>            </t>
    </r>
    <r>
      <rPr>
        <sz val="11"/>
        <color rgb="FF9CDCFE"/>
        <rFont val="Consolas"/>
        <family val="3"/>
      </rPr>
      <t>$retorno</t>
    </r>
    <r>
      <rPr>
        <sz val="11"/>
        <color rgb="FFD4D4D4"/>
        <rFont val="Consolas"/>
        <family val="3"/>
      </rPr>
      <t xml:space="preserve"> = </t>
    </r>
    <r>
      <rPr>
        <sz val="11"/>
        <color rgb="FF569CD6"/>
        <rFont val="Consolas"/>
        <family val="3"/>
      </rPr>
      <t>true</t>
    </r>
    <r>
      <rPr>
        <sz val="11"/>
        <color rgb="FFD4D4D4"/>
        <rFont val="Consolas"/>
        <family val="3"/>
      </rPr>
      <t>;</t>
    </r>
  </si>
  <si>
    <r>
      <t>    </t>
    </r>
    <r>
      <rPr>
        <sz val="11"/>
        <color rgb="FF569CD6"/>
        <rFont val="Consolas"/>
        <family val="3"/>
      </rPr>
      <t>public</t>
    </r>
    <r>
      <rPr>
        <sz val="11"/>
        <color rgb="FFD4D4D4"/>
        <rFont val="Consolas"/>
        <family val="3"/>
      </rPr>
      <t xml:space="preserve"> </t>
    </r>
    <r>
      <rPr>
        <sz val="11"/>
        <color rgb="FF569CD6"/>
        <rFont val="Consolas"/>
        <family val="3"/>
      </rPr>
      <t>function</t>
    </r>
    <r>
      <rPr>
        <sz val="11"/>
        <color rgb="FFD4D4D4"/>
        <rFont val="Consolas"/>
        <family val="3"/>
      </rPr>
      <t xml:space="preserve"> </t>
    </r>
    <r>
      <rPr>
        <sz val="11"/>
        <color rgb="FFDCDCAA"/>
        <rFont val="Consolas"/>
        <family val="3"/>
      </rPr>
      <t>delete</t>
    </r>
    <r>
      <rPr>
        <sz val="11"/>
        <color rgb="FFD4D4D4"/>
        <rFont val="Consolas"/>
        <family val="3"/>
      </rPr>
      <t>(</t>
    </r>
    <r>
      <rPr>
        <sz val="11"/>
        <color rgb="FF9CDCFE"/>
        <rFont val="Consolas"/>
        <family val="3"/>
      </rPr>
      <t>$dto</t>
    </r>
    <r>
      <rPr>
        <sz val="11"/>
        <color rgb="FFD4D4D4"/>
        <rFont val="Consolas"/>
        <family val="3"/>
      </rPr>
      <t>)</t>
    </r>
  </si>
  <si>
    <r>
      <t>        </t>
    </r>
    <r>
      <rPr>
        <sz val="11"/>
        <color rgb="FF9CDCFE"/>
        <rFont val="Consolas"/>
        <family val="3"/>
      </rPr>
      <t>$retorno</t>
    </r>
    <r>
      <rPr>
        <sz val="11"/>
        <color rgb="FFD4D4D4"/>
        <rFont val="Consolas"/>
        <family val="3"/>
      </rPr>
      <t xml:space="preserve"> = </t>
    </r>
    <r>
      <rPr>
        <sz val="11"/>
        <color rgb="FFDCDCAA"/>
        <rFont val="Consolas"/>
        <family val="3"/>
      </rPr>
      <t>array</t>
    </r>
    <r>
      <rPr>
        <sz val="11"/>
        <color rgb="FFD4D4D4"/>
        <rFont val="Consolas"/>
        <family val="3"/>
      </rPr>
      <t>();</t>
    </r>
  </si>
  <si>
    <r>
      <t>        </t>
    </r>
    <r>
      <rPr>
        <sz val="11"/>
        <color rgb="FFC586C0"/>
        <rFont val="Consolas"/>
        <family val="3"/>
      </rPr>
      <t>if</t>
    </r>
    <r>
      <rPr>
        <sz val="11"/>
        <color rgb="FFD4D4D4"/>
        <rFont val="Consolas"/>
        <family val="3"/>
      </rPr>
      <t xml:space="preserve"> (</t>
    </r>
    <r>
      <rPr>
        <sz val="11"/>
        <color rgb="FF9CDCFE"/>
        <rFont val="Consolas"/>
        <family val="3"/>
      </rPr>
      <t>$res</t>
    </r>
    <r>
      <rPr>
        <sz val="11"/>
        <color rgb="FFD4D4D4"/>
        <rFont val="Consolas"/>
        <family val="3"/>
      </rPr>
      <t>){</t>
    </r>
  </si>
  <si>
    <r>
      <t>            </t>
    </r>
    <r>
      <rPr>
        <sz val="11"/>
        <color rgb="FFC586C0"/>
        <rFont val="Consolas"/>
        <family val="3"/>
      </rPr>
      <t>while</t>
    </r>
    <r>
      <rPr>
        <sz val="11"/>
        <color rgb="FFD4D4D4"/>
        <rFont val="Consolas"/>
        <family val="3"/>
      </rPr>
      <t xml:space="preserve"> (</t>
    </r>
    <r>
      <rPr>
        <sz val="11"/>
        <color rgb="FF9CDCFE"/>
        <rFont val="Consolas"/>
        <family val="3"/>
      </rPr>
      <t>$row</t>
    </r>
    <r>
      <rPr>
        <sz val="11"/>
        <color rgb="FFD4D4D4"/>
        <rFont val="Consolas"/>
        <family val="3"/>
      </rPr>
      <t xml:space="preserve"> = </t>
    </r>
    <r>
      <rPr>
        <sz val="11"/>
        <color rgb="FF9CDCFE"/>
        <rFont val="Consolas"/>
        <family val="3"/>
      </rPr>
      <t>$res</t>
    </r>
    <r>
      <rPr>
        <sz val="11"/>
        <color rgb="FFD4D4D4"/>
        <rFont val="Consolas"/>
        <family val="3"/>
      </rPr>
      <t>-&gt;</t>
    </r>
    <r>
      <rPr>
        <sz val="11"/>
        <color rgb="FFDCDCAA"/>
        <rFont val="Consolas"/>
        <family val="3"/>
      </rPr>
      <t>fetch_assoc</t>
    </r>
    <r>
      <rPr>
        <sz val="11"/>
        <color rgb="FFD4D4D4"/>
        <rFont val="Consolas"/>
        <family val="3"/>
      </rPr>
      <t>()) {</t>
    </r>
  </si>
  <si>
    <r>
      <t>                </t>
    </r>
    <r>
      <rPr>
        <sz val="11"/>
        <color rgb="FFDCDCAA"/>
        <rFont val="Consolas"/>
        <family val="3"/>
      </rPr>
      <t>array_push</t>
    </r>
    <r>
      <rPr>
        <sz val="11"/>
        <color rgb="FFD4D4D4"/>
        <rFont val="Consolas"/>
        <family val="3"/>
      </rPr>
      <t>(</t>
    </r>
    <r>
      <rPr>
        <sz val="11"/>
        <color rgb="FF9CDCFE"/>
        <rFont val="Consolas"/>
        <family val="3"/>
      </rPr>
      <t>$retorno</t>
    </r>
    <r>
      <rPr>
        <sz val="11"/>
        <color rgb="FFD4D4D4"/>
        <rFont val="Consolas"/>
        <family val="3"/>
      </rPr>
      <t xml:space="preserve">, </t>
    </r>
    <r>
      <rPr>
        <sz val="11"/>
        <color rgb="FF569CD6"/>
        <rFont val="Consolas"/>
        <family val="3"/>
      </rPr>
      <t>$this</t>
    </r>
    <r>
      <rPr>
        <sz val="11"/>
        <color rgb="FFD4D4D4"/>
        <rFont val="Consolas"/>
        <family val="3"/>
      </rPr>
      <t>-&gt;</t>
    </r>
    <r>
      <rPr>
        <sz val="11"/>
        <color rgb="FFDCDCAA"/>
        <rFont val="Consolas"/>
        <family val="3"/>
      </rPr>
      <t>getDTO</t>
    </r>
    <r>
      <rPr>
        <sz val="11"/>
        <color rgb="FFD4D4D4"/>
        <rFont val="Consolas"/>
        <family val="3"/>
      </rPr>
      <t>(</t>
    </r>
    <r>
      <rPr>
        <sz val="11"/>
        <color rgb="FF9CDCFE"/>
        <rFont val="Consolas"/>
        <family val="3"/>
      </rPr>
      <t>$row</t>
    </r>
    <r>
      <rPr>
        <sz val="11"/>
        <color rgb="FFD4D4D4"/>
        <rFont val="Consolas"/>
        <family val="3"/>
      </rPr>
      <t>));</t>
    </r>
  </si>
  <si>
    <r>
      <t>    </t>
    </r>
    <r>
      <rPr>
        <sz val="11"/>
        <color rgb="FF569CD6"/>
        <rFont val="Consolas"/>
        <family val="3"/>
      </rPr>
      <t>public</t>
    </r>
    <r>
      <rPr>
        <sz val="11"/>
        <color rgb="FFD4D4D4"/>
        <rFont val="Consolas"/>
        <family val="3"/>
      </rPr>
      <t xml:space="preserve"> </t>
    </r>
    <r>
      <rPr>
        <sz val="11"/>
        <color rgb="FF569CD6"/>
        <rFont val="Consolas"/>
        <family val="3"/>
      </rPr>
      <t>function</t>
    </r>
    <r>
      <rPr>
        <sz val="11"/>
        <color rgb="FFD4D4D4"/>
        <rFont val="Consolas"/>
        <family val="3"/>
      </rPr>
      <t xml:space="preserve"> </t>
    </r>
    <r>
      <rPr>
        <sz val="11"/>
        <color rgb="FFDCDCAA"/>
        <rFont val="Consolas"/>
        <family val="3"/>
      </rPr>
      <t>listPagina</t>
    </r>
    <r>
      <rPr>
        <sz val="11"/>
        <color rgb="FFD4D4D4"/>
        <rFont val="Consolas"/>
        <family val="3"/>
      </rPr>
      <t>(</t>
    </r>
    <r>
      <rPr>
        <sz val="11"/>
        <color rgb="FF9CDCFE"/>
        <rFont val="Consolas"/>
        <family val="3"/>
      </rPr>
      <t>$sql</t>
    </r>
    <r>
      <rPr>
        <sz val="11"/>
        <color rgb="FFD4D4D4"/>
        <rFont val="Consolas"/>
        <family val="3"/>
      </rPr>
      <t>,</t>
    </r>
    <r>
      <rPr>
        <sz val="11"/>
        <color rgb="FF9CDCFE"/>
        <rFont val="Consolas"/>
        <family val="3"/>
      </rPr>
      <t xml:space="preserve"> $pag</t>
    </r>
    <r>
      <rPr>
        <sz val="11"/>
        <color rgb="FFD4D4D4"/>
        <rFont val="Consolas"/>
        <family val="3"/>
      </rPr>
      <t>,</t>
    </r>
    <r>
      <rPr>
        <sz val="11"/>
        <color rgb="FF9CDCFE"/>
        <rFont val="Consolas"/>
        <family val="3"/>
      </rPr>
      <t xml:space="preserve"> $qtde</t>
    </r>
    <r>
      <rPr>
        <sz val="11"/>
        <color rgb="FFD4D4D4"/>
        <rFont val="Consolas"/>
        <family val="3"/>
      </rPr>
      <t>)</t>
    </r>
  </si>
  <si>
    <r>
      <t>        </t>
    </r>
    <r>
      <rPr>
        <sz val="11"/>
        <color rgb="FF9CDCFE"/>
        <rFont val="Consolas"/>
        <family val="3"/>
      </rPr>
      <t>$final</t>
    </r>
    <r>
      <rPr>
        <sz val="11"/>
        <color rgb="FFD4D4D4"/>
        <rFont val="Consolas"/>
        <family val="3"/>
      </rPr>
      <t xml:space="preserve"> = </t>
    </r>
    <r>
      <rPr>
        <sz val="11"/>
        <color rgb="FF9CDCFE"/>
        <rFont val="Consolas"/>
        <family val="3"/>
      </rPr>
      <t>$pag</t>
    </r>
    <r>
      <rPr>
        <sz val="11"/>
        <color rgb="FFD4D4D4"/>
        <rFont val="Consolas"/>
        <family val="3"/>
      </rPr>
      <t xml:space="preserve"> * </t>
    </r>
    <r>
      <rPr>
        <sz val="11"/>
        <color rgb="FF9CDCFE"/>
        <rFont val="Consolas"/>
        <family val="3"/>
      </rPr>
      <t>$qtde</t>
    </r>
    <r>
      <rPr>
        <sz val="11"/>
        <color rgb="FFD4D4D4"/>
        <rFont val="Consolas"/>
        <family val="3"/>
      </rPr>
      <t xml:space="preserve"> - </t>
    </r>
    <r>
      <rPr>
        <sz val="11"/>
        <color rgb="FF9CDCFE"/>
        <rFont val="Consolas"/>
        <family val="3"/>
      </rPr>
      <t>$qtde</t>
    </r>
    <r>
      <rPr>
        <sz val="11"/>
        <color rgb="FFD4D4D4"/>
        <rFont val="Consolas"/>
        <family val="3"/>
      </rPr>
      <t>;</t>
    </r>
  </si>
  <si>
    <r>
      <t>            </t>
    </r>
    <r>
      <rPr>
        <sz val="11"/>
        <color rgb="FF9CDCFE"/>
        <rFont val="Consolas"/>
        <family val="3"/>
      </rPr>
      <t>$retorno</t>
    </r>
    <r>
      <rPr>
        <sz val="11"/>
        <color rgb="FFD4D4D4"/>
        <rFont val="Consolas"/>
        <family val="3"/>
      </rPr>
      <t xml:space="preserve"> = </t>
    </r>
    <r>
      <rPr>
        <sz val="11"/>
        <color rgb="FF569CD6"/>
        <rFont val="Consolas"/>
        <family val="3"/>
      </rPr>
      <t>$this</t>
    </r>
    <r>
      <rPr>
        <sz val="11"/>
        <color rgb="FFD4D4D4"/>
        <rFont val="Consolas"/>
        <family val="3"/>
      </rPr>
      <t>-&gt;</t>
    </r>
    <r>
      <rPr>
        <sz val="11"/>
        <color rgb="FFDCDCAA"/>
        <rFont val="Consolas"/>
        <family val="3"/>
      </rPr>
      <t>getDTO</t>
    </r>
    <r>
      <rPr>
        <sz val="11"/>
        <color rgb="FFD4D4D4"/>
        <rFont val="Consolas"/>
        <family val="3"/>
      </rPr>
      <t>(</t>
    </r>
    <r>
      <rPr>
        <sz val="11"/>
        <color rgb="FF9CDCFE"/>
        <rFont val="Consolas"/>
        <family val="3"/>
      </rPr>
      <t>$res</t>
    </r>
    <r>
      <rPr>
        <sz val="11"/>
        <color rgb="FFD4D4D4"/>
        <rFont val="Consolas"/>
        <family val="3"/>
      </rPr>
      <t>-&gt;</t>
    </r>
    <r>
      <rPr>
        <sz val="11"/>
        <color rgb="FFDCDCAA"/>
        <rFont val="Consolas"/>
        <family val="3"/>
      </rPr>
      <t>fetch_assoc</t>
    </r>
    <r>
      <rPr>
        <sz val="11"/>
        <color rgb="FFD4D4D4"/>
        <rFont val="Consolas"/>
        <family val="3"/>
      </rPr>
      <t>());</t>
    </r>
  </si>
  <si>
    <r>
      <t>                            ,</t>
    </r>
    <r>
      <rPr>
        <sz val="11"/>
        <color rgb="FF9CDCFE"/>
        <rFont val="Consolas"/>
        <family val="3"/>
      </rPr>
      <t>$status</t>
    </r>
  </si>
  <si>
    <r>
      <t>    </t>
    </r>
    <r>
      <rPr>
        <sz val="11"/>
        <color rgb="FF569CD6"/>
        <rFont val="Consolas"/>
        <family val="3"/>
      </rPr>
      <t>public</t>
    </r>
    <r>
      <rPr>
        <sz val="11"/>
        <color rgb="FFD4D4D4"/>
        <rFont val="Consolas"/>
        <family val="3"/>
      </rPr>
      <t xml:space="preserve"> </t>
    </r>
    <r>
      <rPr>
        <sz val="11"/>
        <color rgb="FF569CD6"/>
        <rFont val="Consolas"/>
        <family val="3"/>
      </rPr>
      <t>function</t>
    </r>
    <r>
      <rPr>
        <sz val="11"/>
        <color rgb="FFD4D4D4"/>
        <rFont val="Consolas"/>
        <family val="3"/>
      </rPr>
      <t xml:space="preserve"> </t>
    </r>
    <r>
      <rPr>
        <sz val="11"/>
        <color rgb="FFDCDCAA"/>
        <rFont val="Consolas"/>
        <family val="3"/>
      </rPr>
      <t>insert</t>
    </r>
    <r>
      <rPr>
        <sz val="11"/>
        <color rgb="FFD4D4D4"/>
        <rFont val="Consolas"/>
        <family val="3"/>
      </rPr>
      <t>(</t>
    </r>
    <r>
      <rPr>
        <sz val="11"/>
        <color rgb="FF9CDCFE"/>
        <rFont val="Consolas"/>
        <family val="3"/>
      </rPr>
      <t>$dto</t>
    </r>
    <r>
      <rPr>
        <sz val="11"/>
        <color rgb="FFD4D4D4"/>
        <rFont val="Consolas"/>
        <family val="3"/>
      </rPr>
      <t xml:space="preserve">) </t>
    </r>
  </si>
  <si>
    <r>
      <t>    </t>
    </r>
    <r>
      <rPr>
        <sz val="11"/>
        <color rgb="FF6A9955"/>
        <rFont val="Consolas"/>
        <family val="3"/>
      </rPr>
      <t>/**</t>
    </r>
  </si>
  <si>
    <t>    */</t>
  </si>
  <si>
    <r>
      <t>    </t>
    </r>
    <r>
      <rPr>
        <sz val="11"/>
        <color rgb="FF569CD6"/>
        <rFont val="Consolas"/>
        <family val="3"/>
      </rPr>
      <t>public</t>
    </r>
    <r>
      <rPr>
        <sz val="11"/>
        <color rgb="FFD4D4D4"/>
        <rFont val="Consolas"/>
        <family val="3"/>
      </rPr>
      <t xml:space="preserve"> </t>
    </r>
    <r>
      <rPr>
        <sz val="11"/>
        <color rgb="FF569CD6"/>
        <rFont val="Consolas"/>
        <family val="3"/>
      </rPr>
      <t>function</t>
    </r>
    <r>
      <rPr>
        <sz val="11"/>
        <color rgb="FFD4D4D4"/>
        <rFont val="Consolas"/>
        <family val="3"/>
      </rPr>
      <t xml:space="preserve"> </t>
    </r>
    <r>
      <rPr>
        <sz val="11"/>
        <color rgb="FFDCDCAA"/>
        <rFont val="Consolas"/>
        <family val="3"/>
      </rPr>
      <t>getDTO</t>
    </r>
    <r>
      <rPr>
        <sz val="11"/>
        <color rgb="FFD4D4D4"/>
        <rFont val="Consolas"/>
        <family val="3"/>
      </rPr>
      <t>(</t>
    </r>
    <r>
      <rPr>
        <sz val="11"/>
        <color rgb="FF9CDCFE"/>
        <rFont val="Consolas"/>
        <family val="3"/>
      </rPr>
      <t>$resultset</t>
    </r>
    <r>
      <rPr>
        <sz val="11"/>
        <color rgb="FFD4D4D4"/>
        <rFont val="Consolas"/>
        <family val="3"/>
      </rPr>
      <t>)</t>
    </r>
  </si>
  <si>
    <r>
      <t>        </t>
    </r>
    <r>
      <rPr>
        <sz val="11"/>
        <color rgb="FF6A9955"/>
        <rFont val="Consolas"/>
        <family val="3"/>
      </rPr>
      <t>//echo var_dump($resultset); // ótimo pra debugar</t>
    </r>
  </si>
  <si>
    <r>
      <t>        </t>
    </r>
    <r>
      <rPr>
        <sz val="11"/>
        <color rgb="FF9CDCFE"/>
        <rFont val="Consolas"/>
        <family val="3"/>
      </rPr>
      <t>$retorno</t>
    </r>
    <r>
      <rPr>
        <sz val="11"/>
        <color rgb="FFD4D4D4"/>
        <rFont val="Consolas"/>
        <family val="3"/>
      </rPr>
      <t>-&gt;</t>
    </r>
    <r>
      <rPr>
        <sz val="11"/>
        <color rgb="FF9CDCFE"/>
        <rFont val="Consolas"/>
        <family val="3"/>
      </rPr>
      <t>statusdesc</t>
    </r>
    <r>
      <rPr>
        <sz val="11"/>
        <color rgb="FFD4D4D4"/>
        <rFont val="Consolas"/>
        <family val="3"/>
      </rPr>
      <t xml:space="preserve"> = </t>
    </r>
    <r>
      <rPr>
        <sz val="11"/>
        <color rgb="FF4EC9B0"/>
        <rFont val="Consolas"/>
        <family val="3"/>
      </rPr>
      <t>VariavelCache</t>
    </r>
    <r>
      <rPr>
        <sz val="11"/>
        <color rgb="FFD4D4D4"/>
        <rFont val="Consolas"/>
        <family val="3"/>
      </rPr>
      <t>::</t>
    </r>
    <r>
      <rPr>
        <sz val="11"/>
        <color rgb="FFDCDCAA"/>
        <rFont val="Consolas"/>
        <family val="3"/>
      </rPr>
      <t>getInstance</t>
    </r>
    <r>
      <rPr>
        <sz val="11"/>
        <color rgb="FFD4D4D4"/>
        <rFont val="Consolas"/>
        <family val="3"/>
      </rPr>
      <t>()-&gt;</t>
    </r>
    <r>
      <rPr>
        <sz val="11"/>
        <color rgb="FFDCDCAA"/>
        <rFont val="Consolas"/>
        <family val="3"/>
      </rPr>
      <t>getStatusDesc</t>
    </r>
    <r>
      <rPr>
        <sz val="11"/>
        <color rgb="FFD4D4D4"/>
        <rFont val="Consolas"/>
        <family val="3"/>
      </rPr>
      <t>(</t>
    </r>
    <r>
      <rPr>
        <sz val="11"/>
        <color rgb="FF9CDCFE"/>
        <rFont val="Consolas"/>
        <family val="3"/>
      </rPr>
      <t>$retorno</t>
    </r>
    <r>
      <rPr>
        <sz val="11"/>
        <color rgb="FFD4D4D4"/>
        <rFont val="Consolas"/>
        <family val="3"/>
      </rPr>
      <t>-&gt;</t>
    </r>
    <r>
      <rPr>
        <sz val="11"/>
        <color rgb="FF9CDCFE"/>
        <rFont val="Consolas"/>
        <family val="3"/>
      </rPr>
      <t>status</t>
    </r>
    <r>
      <rPr>
        <sz val="11"/>
        <color rgb="FFD4D4D4"/>
        <rFont val="Consolas"/>
        <family val="3"/>
      </rPr>
      <t>);</t>
    </r>
  </si>
  <si>
    <t>INT</t>
  </si>
  <si>
    <t>VARCHAR</t>
  </si>
  <si>
    <t>TIMESTAMP</t>
  </si>
  <si>
    <t>MYSQL</t>
  </si>
  <si>
    <t>STRING_TYPE</t>
  </si>
  <si>
    <t xml:space="preserve">    }</t>
  </si>
  <si>
    <r>
      <t>$date</t>
    </r>
    <r>
      <rPr>
        <sz val="11"/>
        <color rgb="FFD4D4D4"/>
        <rFont val="Consolas"/>
        <family val="3"/>
      </rPr>
      <t xml:space="preserve"> = </t>
    </r>
    <r>
      <rPr>
        <sz val="11"/>
        <color rgb="FF569CD6"/>
        <rFont val="Consolas"/>
        <family val="3"/>
      </rPr>
      <t>new</t>
    </r>
    <r>
      <rPr>
        <sz val="11"/>
        <color rgb="FFD4D4D4"/>
        <rFont val="Consolas"/>
        <family val="3"/>
      </rPr>
      <t xml:space="preserve"> </t>
    </r>
    <r>
      <rPr>
        <sz val="11"/>
        <color rgb="FF4EC9B0"/>
        <rFont val="Consolas"/>
        <family val="3"/>
      </rPr>
      <t>DateTime</t>
    </r>
    <r>
      <rPr>
        <sz val="11"/>
        <color rgb="FFD4D4D4"/>
        <rFont val="Consolas"/>
        <family val="3"/>
      </rPr>
      <t>();</t>
    </r>
  </si>
  <si>
    <r>
      <t>$ts</t>
    </r>
    <r>
      <rPr>
        <sz val="11"/>
        <color rgb="FFD4D4D4"/>
        <rFont val="Consolas"/>
        <family val="3"/>
      </rPr>
      <t xml:space="preserve"> = </t>
    </r>
    <r>
      <rPr>
        <sz val="11"/>
        <color rgb="FF9CDCFE"/>
        <rFont val="Consolas"/>
        <family val="3"/>
      </rPr>
      <t>$date</t>
    </r>
    <r>
      <rPr>
        <sz val="11"/>
        <color rgb="FFD4D4D4"/>
        <rFont val="Consolas"/>
        <family val="3"/>
      </rPr>
      <t>-&gt;</t>
    </r>
    <r>
      <rPr>
        <sz val="11"/>
        <color rgb="FFDCDCAA"/>
        <rFont val="Consolas"/>
        <family val="3"/>
      </rPr>
      <t>getTimestamp</t>
    </r>
    <r>
      <rPr>
        <sz val="11"/>
        <color rgb="FFD4D4D4"/>
        <rFont val="Consolas"/>
        <family val="3"/>
      </rPr>
      <t>();</t>
    </r>
  </si>
  <si>
    <r>
      <t>var_dump</t>
    </r>
    <r>
      <rPr>
        <sz val="11"/>
        <color rgb="FFD4D4D4"/>
        <rFont val="Consolas"/>
        <family val="3"/>
      </rPr>
      <t>(</t>
    </r>
    <r>
      <rPr>
        <sz val="11"/>
        <color rgb="FF9CDCFE"/>
        <rFont val="Consolas"/>
        <family val="3"/>
      </rPr>
      <t>$retorno</t>
    </r>
    <r>
      <rPr>
        <sz val="11"/>
        <color rgb="FFD4D4D4"/>
        <rFont val="Consolas"/>
        <family val="3"/>
      </rPr>
      <t>);</t>
    </r>
  </si>
  <si>
    <t>     * Retorna uma instância de acesso a dados</t>
  </si>
  <si>
    <t>     */</t>
  </si>
  <si>
    <r>
      <t>$status</t>
    </r>
    <r>
      <rPr>
        <sz val="11"/>
        <color rgb="FFD4D4D4"/>
        <rFont val="Consolas"/>
        <family val="3"/>
      </rPr>
      <t xml:space="preserve"> = </t>
    </r>
    <r>
      <rPr>
        <sz val="11"/>
        <color rgb="FF4EC9B0"/>
        <rFont val="Consolas"/>
        <family val="3"/>
      </rPr>
      <t>ConstantesVariavel</t>
    </r>
    <r>
      <rPr>
        <sz val="11"/>
        <color rgb="FFD4D4D4"/>
        <rFont val="Consolas"/>
        <family val="3"/>
      </rPr>
      <t>::STATUS_ATIVO;</t>
    </r>
  </si>
  <si>
    <t xml:space="preserve">        }</t>
  </si>
  <si>
    <t xml:space="preserve">        </t>
  </si>
  <si>
    <t xml:space="preserve">   {</t>
  </si>
  <si>
    <r>
      <t xml:space="preserve">       $daofactory</t>
    </r>
    <r>
      <rPr>
        <sz val="11"/>
        <color rgb="FFD4D4D4"/>
        <rFont val="Consolas"/>
        <family val="3"/>
      </rPr>
      <t xml:space="preserve"> = </t>
    </r>
    <r>
      <rPr>
        <sz val="11"/>
        <color rgb="FF569CD6"/>
        <rFont val="Consolas"/>
        <family val="3"/>
      </rPr>
      <t>NULL</t>
    </r>
    <r>
      <rPr>
        <sz val="11"/>
        <color rgb="FFD4D4D4"/>
        <rFont val="Consolas"/>
        <family val="3"/>
      </rPr>
      <t>;</t>
    </r>
  </si>
  <si>
    <r>
      <t xml:space="preserve">       $retorno</t>
    </r>
    <r>
      <rPr>
        <sz val="11"/>
        <color rgb="FFD4D4D4"/>
        <rFont val="Consolas"/>
        <family val="3"/>
      </rPr>
      <t xml:space="preserve"> = </t>
    </r>
    <r>
      <rPr>
        <sz val="11"/>
        <color rgb="FF569CD6"/>
        <rFont val="Consolas"/>
        <family val="3"/>
      </rPr>
      <t>NULL</t>
    </r>
    <r>
      <rPr>
        <sz val="11"/>
        <color rgb="FFD4D4D4"/>
        <rFont val="Consolas"/>
        <family val="3"/>
      </rPr>
      <t>;</t>
    </r>
  </si>
  <si>
    <t xml:space="preserve">   }</t>
  </si>
  <si>
    <r>
      <t xml:space="preserve">       return</t>
    </r>
    <r>
      <rPr>
        <sz val="11"/>
        <color rgb="FFD4D4D4"/>
        <rFont val="Consolas"/>
        <family val="3"/>
      </rPr>
      <t xml:space="preserve"> </t>
    </r>
    <r>
      <rPr>
        <sz val="11"/>
        <color rgb="FF9CDCFE"/>
        <rFont val="Consolas"/>
        <family val="3"/>
      </rPr>
      <t>$retorno</t>
    </r>
    <r>
      <rPr>
        <sz val="11"/>
        <color rgb="FFD4D4D4"/>
        <rFont val="Consolas"/>
        <family val="3"/>
      </rPr>
      <t>;</t>
    </r>
  </si>
  <si>
    <r>
      <t xml:space="preserve">       try</t>
    </r>
    <r>
      <rPr>
        <sz val="11"/>
        <color rgb="FFD4D4D4"/>
        <rFont val="Consolas"/>
        <family val="3"/>
      </rPr>
      <t xml:space="preserve"> {</t>
    </r>
  </si>
  <si>
    <r>
      <t xml:space="preserve">           $daofactory</t>
    </r>
    <r>
      <rPr>
        <sz val="11"/>
        <color rgb="FFD4D4D4"/>
        <rFont val="Consolas"/>
        <family val="3"/>
      </rPr>
      <t xml:space="preserve"> = </t>
    </r>
    <r>
      <rPr>
        <sz val="11"/>
        <color rgb="FF4EC9B0"/>
        <rFont val="Consolas"/>
        <family val="3"/>
      </rPr>
      <t>DAOFactory</t>
    </r>
    <r>
      <rPr>
        <sz val="11"/>
        <color rgb="FFD4D4D4"/>
        <rFont val="Consolas"/>
        <family val="3"/>
      </rPr>
      <t>::</t>
    </r>
    <r>
      <rPr>
        <sz val="11"/>
        <color rgb="FFDCDCAA"/>
        <rFont val="Consolas"/>
        <family val="3"/>
      </rPr>
      <t>getDAOFactory</t>
    </r>
    <r>
      <rPr>
        <sz val="11"/>
        <color rgb="FFD4D4D4"/>
        <rFont val="Consolas"/>
        <family val="3"/>
      </rPr>
      <t>();</t>
    </r>
  </si>
  <si>
    <r>
      <t xml:space="preserve">           $daofactory</t>
    </r>
    <r>
      <rPr>
        <sz val="11"/>
        <color rgb="FFD4D4D4"/>
        <rFont val="Consolas"/>
        <family val="3"/>
      </rPr>
      <t>-&gt;</t>
    </r>
    <r>
      <rPr>
        <sz val="11"/>
        <color rgb="FFDCDCAA"/>
        <rFont val="Consolas"/>
        <family val="3"/>
      </rPr>
      <t>open</t>
    </r>
    <r>
      <rPr>
        <sz val="11"/>
        <color rgb="FFD4D4D4"/>
        <rFont val="Consolas"/>
        <family val="3"/>
      </rPr>
      <t>();</t>
    </r>
  </si>
  <si>
    <r>
      <t xml:space="preserve">           $daofactory</t>
    </r>
    <r>
      <rPr>
        <sz val="11"/>
        <color rgb="FFD4D4D4"/>
        <rFont val="Consolas"/>
        <family val="3"/>
      </rPr>
      <t>-&gt;</t>
    </r>
    <r>
      <rPr>
        <sz val="11"/>
        <color rgb="FFDCDCAA"/>
        <rFont val="Consolas"/>
        <family val="3"/>
      </rPr>
      <t>beginTransaction</t>
    </r>
    <r>
      <rPr>
        <sz val="11"/>
        <color rgb="FFD4D4D4"/>
        <rFont val="Consolas"/>
        <family val="3"/>
      </rPr>
      <t>();</t>
    </r>
  </si>
  <si>
    <t xml:space="preserve">           //Se qtde por página é indefinido (=0) busca valor default do variavel</t>
  </si>
  <si>
    <r>
      <t xml:space="preserve">           if</t>
    </r>
    <r>
      <rPr>
        <sz val="11"/>
        <color rgb="FFD4D4D4"/>
        <rFont val="Consolas"/>
        <family val="3"/>
      </rPr>
      <t>(</t>
    </r>
    <r>
      <rPr>
        <sz val="11"/>
        <color rgb="FF9CDCFE"/>
        <rFont val="Consolas"/>
        <family val="3"/>
      </rPr>
      <t>$qtde</t>
    </r>
    <r>
      <rPr>
        <sz val="11"/>
        <color rgb="FFD4D4D4"/>
        <rFont val="Consolas"/>
        <family val="3"/>
      </rPr>
      <t xml:space="preserve"> == </t>
    </r>
    <r>
      <rPr>
        <sz val="11"/>
        <color rgb="FFB5CEA8"/>
        <rFont val="Consolas"/>
        <family val="3"/>
      </rPr>
      <t>0</t>
    </r>
    <r>
      <rPr>
        <sz val="11"/>
        <color rgb="FFD4D4D4"/>
        <rFont val="Consolas"/>
        <family val="3"/>
      </rPr>
      <t>){</t>
    </r>
  </si>
  <si>
    <r>
      <t xml:space="preserve">               $qtde</t>
    </r>
    <r>
      <rPr>
        <sz val="11"/>
        <color rgb="FFD4D4D4"/>
        <rFont val="Consolas"/>
        <family val="3"/>
      </rPr>
      <t xml:space="preserve"> = (</t>
    </r>
    <r>
      <rPr>
        <sz val="11"/>
        <color rgb="FF569CD6"/>
        <rFont val="Consolas"/>
        <family val="3"/>
      </rPr>
      <t>int</t>
    </r>
    <r>
      <rPr>
        <sz val="11"/>
        <color rgb="FFD4D4D4"/>
        <rFont val="Consolas"/>
        <family val="3"/>
      </rPr>
      <t xml:space="preserve">) </t>
    </r>
    <r>
      <rPr>
        <sz val="11"/>
        <color rgb="FF4EC9B0"/>
        <rFont val="Consolas"/>
        <family val="3"/>
      </rPr>
      <t>VariavelCache</t>
    </r>
    <r>
      <rPr>
        <sz val="11"/>
        <color rgb="FFD4D4D4"/>
        <rFont val="Consolas"/>
        <family val="3"/>
      </rPr>
      <t>::</t>
    </r>
    <r>
      <rPr>
        <sz val="11"/>
        <color rgb="FFDCDCAA"/>
        <rFont val="Consolas"/>
        <family val="3"/>
      </rPr>
      <t>getInstance</t>
    </r>
    <r>
      <rPr>
        <sz val="11"/>
        <color rgb="FFD4D4D4"/>
        <rFont val="Consolas"/>
        <family val="3"/>
      </rPr>
      <t>()-&gt;</t>
    </r>
    <r>
      <rPr>
        <sz val="11"/>
        <color rgb="FFDCDCAA"/>
        <rFont val="Consolas"/>
        <family val="3"/>
      </rPr>
      <t>getVariavel</t>
    </r>
    <r>
      <rPr>
        <sz val="11"/>
        <color rgb="FFD4D4D4"/>
        <rFont val="Consolas"/>
        <family val="3"/>
      </rPr>
      <t>(</t>
    </r>
    <r>
      <rPr>
        <sz val="11"/>
        <color rgb="FF4EC9B0"/>
        <rFont val="Consolas"/>
        <family val="3"/>
      </rPr>
      <t>ConstantesVariavel</t>
    </r>
    <r>
      <rPr>
        <sz val="11"/>
        <color rgb="FFD4D4D4"/>
        <rFont val="Consolas"/>
        <family val="3"/>
      </rPr>
      <t>::MAXIMO_LINHAS_POR_PAGINA_DEFAULT);</t>
    </r>
  </si>
  <si>
    <t xml:space="preserve">           }</t>
  </si>
  <si>
    <r>
      <t xml:space="preserve">           $daofactory</t>
    </r>
    <r>
      <rPr>
        <sz val="11"/>
        <color rgb="FFD4D4D4"/>
        <rFont val="Consolas"/>
        <family val="3"/>
      </rPr>
      <t>-&gt;</t>
    </r>
    <r>
      <rPr>
        <sz val="11"/>
        <color rgb="FFDCDCAA"/>
        <rFont val="Consolas"/>
        <family val="3"/>
      </rPr>
      <t>commit</t>
    </r>
    <r>
      <rPr>
        <sz val="11"/>
        <color rgb="FFD4D4D4"/>
        <rFont val="Consolas"/>
        <family val="3"/>
      </rPr>
      <t>();</t>
    </r>
  </si>
  <si>
    <r>
      <t xml:space="preserve">       } </t>
    </r>
    <r>
      <rPr>
        <sz val="11"/>
        <color rgb="FFC586C0"/>
        <rFont val="Consolas"/>
        <family val="3"/>
      </rPr>
      <t>catch</t>
    </r>
    <r>
      <rPr>
        <sz val="11"/>
        <color rgb="FFD4D4D4"/>
        <rFont val="Consolas"/>
        <family val="3"/>
      </rPr>
      <t xml:space="preserve"> (</t>
    </r>
    <r>
      <rPr>
        <sz val="11"/>
        <color rgb="FF4EC9B0"/>
        <rFont val="Consolas"/>
        <family val="3"/>
      </rPr>
      <t>Exception</t>
    </r>
    <r>
      <rPr>
        <sz val="11"/>
        <color rgb="FFD4D4D4"/>
        <rFont val="Consolas"/>
        <family val="3"/>
      </rPr>
      <t xml:space="preserve"> </t>
    </r>
    <r>
      <rPr>
        <sz val="11"/>
        <color rgb="FF9CDCFE"/>
        <rFont val="Consolas"/>
        <family val="3"/>
      </rPr>
      <t>$e</t>
    </r>
    <r>
      <rPr>
        <sz val="11"/>
        <color rgb="FFD4D4D4"/>
        <rFont val="Consolas"/>
        <family val="3"/>
      </rPr>
      <t>) {</t>
    </r>
  </si>
  <si>
    <t xml:space="preserve">           // rollback na transação</t>
  </si>
  <si>
    <r>
      <t xml:space="preserve">       } </t>
    </r>
    <r>
      <rPr>
        <sz val="11"/>
        <color rgb="FFC586C0"/>
        <rFont val="Consolas"/>
        <family val="3"/>
      </rPr>
      <t>finally</t>
    </r>
    <r>
      <rPr>
        <sz val="11"/>
        <color rgb="FFD4D4D4"/>
        <rFont val="Consolas"/>
        <family val="3"/>
      </rPr>
      <t xml:space="preserve"> {</t>
    </r>
  </si>
  <si>
    <r>
      <t xml:space="preserve">           try</t>
    </r>
    <r>
      <rPr>
        <sz val="11"/>
        <color rgb="FFD4D4D4"/>
        <rFont val="Consolas"/>
        <family val="3"/>
      </rPr>
      <t xml:space="preserve"> {</t>
    </r>
  </si>
  <si>
    <r>
      <t xml:space="preserve">               $daofactory</t>
    </r>
    <r>
      <rPr>
        <sz val="11"/>
        <color rgb="FFD4D4D4"/>
        <rFont val="Consolas"/>
        <family val="3"/>
      </rPr>
      <t>-&gt;</t>
    </r>
    <r>
      <rPr>
        <sz val="11"/>
        <color rgb="FFDCDCAA"/>
        <rFont val="Consolas"/>
        <family val="3"/>
      </rPr>
      <t>close</t>
    </r>
    <r>
      <rPr>
        <sz val="11"/>
        <color rgb="FFD4D4D4"/>
        <rFont val="Consolas"/>
        <family val="3"/>
      </rPr>
      <t>();</t>
    </r>
  </si>
  <si>
    <r>
      <t xml:space="preserve">           } </t>
    </r>
    <r>
      <rPr>
        <sz val="11"/>
        <color rgb="FFC586C0"/>
        <rFont val="Consolas"/>
        <family val="3"/>
      </rPr>
      <t>catch</t>
    </r>
    <r>
      <rPr>
        <sz val="11"/>
        <color rgb="FFD4D4D4"/>
        <rFont val="Consolas"/>
        <family val="3"/>
      </rPr>
      <t xml:space="preserve"> (</t>
    </r>
    <r>
      <rPr>
        <sz val="11"/>
        <color rgb="FF4EC9B0"/>
        <rFont val="Consolas"/>
        <family val="3"/>
      </rPr>
      <t>Exception</t>
    </r>
    <r>
      <rPr>
        <sz val="11"/>
        <color rgb="FFD4D4D4"/>
        <rFont val="Consolas"/>
        <family val="3"/>
      </rPr>
      <t xml:space="preserve"> </t>
    </r>
    <r>
      <rPr>
        <sz val="11"/>
        <color rgb="FF9CDCFE"/>
        <rFont val="Consolas"/>
        <family val="3"/>
      </rPr>
      <t>$e</t>
    </r>
    <r>
      <rPr>
        <sz val="11"/>
        <color rgb="FFD4D4D4"/>
        <rFont val="Consolas"/>
        <family val="3"/>
      </rPr>
      <t>) {</t>
    </r>
  </si>
  <si>
    <t xml:space="preserve">               // faz algo</t>
  </si>
  <si>
    <t xml:space="preserve">       }</t>
  </si>
  <si>
    <r>
      <t>        </t>
    </r>
    <r>
      <rPr>
        <sz val="11"/>
        <color rgb="FF9CDCFE"/>
        <rFont val="Consolas"/>
        <family val="3"/>
      </rPr>
      <t>$retorno</t>
    </r>
    <r>
      <rPr>
        <sz val="11"/>
        <color rgb="FFD4D4D4"/>
        <rFont val="Consolas"/>
        <family val="3"/>
      </rPr>
      <t xml:space="preserve"> = </t>
    </r>
    <r>
      <rPr>
        <sz val="11"/>
        <color rgb="FFB5CEA8"/>
        <rFont val="Consolas"/>
        <family val="3"/>
      </rPr>
      <t>0</t>
    </r>
    <r>
      <rPr>
        <sz val="11"/>
        <color rgb="FFD4D4D4"/>
        <rFont val="Consolas"/>
        <family val="3"/>
      </rPr>
      <t>;</t>
    </r>
  </si>
  <si>
    <t>        );</t>
  </si>
  <si>
    <r>
      <t>            </t>
    </r>
    <r>
      <rPr>
        <sz val="11"/>
        <color rgb="FF9CDCFE"/>
        <rFont val="Consolas"/>
        <family val="3"/>
      </rPr>
      <t>$tmp</t>
    </r>
    <r>
      <rPr>
        <sz val="11"/>
        <color rgb="FFD4D4D4"/>
        <rFont val="Consolas"/>
        <family val="3"/>
      </rPr>
      <t xml:space="preserve"> = </t>
    </r>
    <r>
      <rPr>
        <sz val="11"/>
        <color rgb="FF9CDCFE"/>
        <rFont val="Consolas"/>
        <family val="3"/>
      </rPr>
      <t>$res</t>
    </r>
    <r>
      <rPr>
        <sz val="11"/>
        <color rgb="FFD4D4D4"/>
        <rFont val="Consolas"/>
        <family val="3"/>
      </rPr>
      <t>-&gt;</t>
    </r>
    <r>
      <rPr>
        <sz val="11"/>
        <color rgb="FFDCDCAA"/>
        <rFont val="Consolas"/>
        <family val="3"/>
      </rPr>
      <t>fetch_assoc</t>
    </r>
    <r>
      <rPr>
        <sz val="11"/>
        <color rgb="FFD4D4D4"/>
        <rFont val="Consolas"/>
        <family val="3"/>
      </rPr>
      <t>();</t>
    </r>
  </si>
  <si>
    <r>
      <t>            </t>
    </r>
    <r>
      <rPr>
        <sz val="11"/>
        <color rgb="FF9CDCFE"/>
        <rFont val="Consolas"/>
        <family val="3"/>
      </rPr>
      <t>$retorno</t>
    </r>
    <r>
      <rPr>
        <sz val="11"/>
        <color rgb="FFD4D4D4"/>
        <rFont val="Consolas"/>
        <family val="3"/>
      </rPr>
      <t xml:space="preserve"> = </t>
    </r>
    <r>
      <rPr>
        <sz val="11"/>
        <color rgb="FF9CDCFE"/>
        <rFont val="Consolas"/>
        <family val="3"/>
      </rPr>
      <t>$tmp</t>
    </r>
    <r>
      <rPr>
        <sz val="11"/>
        <color rgb="FFD4D4D4"/>
        <rFont val="Consolas"/>
        <family val="3"/>
      </rPr>
      <t>[</t>
    </r>
    <r>
      <rPr>
        <sz val="11"/>
        <color rgb="FFCE9178"/>
        <rFont val="Consolas"/>
        <family val="3"/>
      </rPr>
      <t>'contador'</t>
    </r>
    <r>
      <rPr>
        <sz val="11"/>
        <color rgb="FFD4D4D4"/>
        <rFont val="Consolas"/>
        <family val="3"/>
      </rPr>
      <t>];</t>
    </r>
  </si>
  <si>
    <r>
      <t>        </t>
    </r>
    <r>
      <rPr>
        <sz val="11"/>
        <color rgb="FFC586C0"/>
        <rFont val="Consolas"/>
        <family val="3"/>
      </rPr>
      <t>return</t>
    </r>
    <r>
      <rPr>
        <sz val="11"/>
        <color rgb="FFD4D4D4"/>
        <rFont val="Consolas"/>
        <family val="3"/>
      </rPr>
      <t xml:space="preserve"> </t>
    </r>
    <r>
      <rPr>
        <sz val="11"/>
        <color rgb="FF569CD6"/>
        <rFont val="Consolas"/>
        <family val="3"/>
      </rPr>
      <t>$this</t>
    </r>
    <r>
      <rPr>
        <sz val="11"/>
        <color rgb="FFD4D4D4"/>
        <rFont val="Consolas"/>
        <family val="3"/>
      </rPr>
      <t>-&gt;</t>
    </r>
    <r>
      <rPr>
        <sz val="11"/>
        <color rgb="FFDCDCAA"/>
        <rFont val="Consolas"/>
        <family val="3"/>
      </rPr>
      <t>listPagina</t>
    </r>
    <r>
      <rPr>
        <sz val="11"/>
        <color rgb="FFD4D4D4"/>
        <rFont val="Consolas"/>
        <family val="3"/>
      </rPr>
      <t>(</t>
    </r>
    <r>
      <rPr>
        <sz val="11"/>
        <color rgb="FF9CDCFE"/>
        <rFont val="Consolas"/>
        <family val="3"/>
      </rPr>
      <t>$sql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$pag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$qtde</t>
    </r>
    <r>
      <rPr>
        <sz val="11"/>
        <color rgb="FFD4D4D4"/>
        <rFont val="Consolas"/>
        <family val="3"/>
      </rPr>
      <t>);</t>
    </r>
  </si>
  <si>
    <r>
      <t>    </t>
    </r>
    <r>
      <rPr>
        <sz val="11"/>
        <color rgb="FF569CD6"/>
        <rFont val="Consolas"/>
        <family val="3"/>
      </rPr>
      <t>const</t>
    </r>
    <r>
      <rPr>
        <sz val="11"/>
        <color rgb="FFD4D4D4"/>
        <rFont val="Consolas"/>
        <family val="3"/>
      </rPr>
      <t xml:space="preserve"> SQL_COUNT = </t>
    </r>
    <r>
      <rPr>
        <sz val="11"/>
        <color rgb="FFCE9178"/>
        <rFont val="Consolas"/>
        <family val="3"/>
      </rPr>
      <t>'</t>
    </r>
    <r>
      <rPr>
        <sz val="11"/>
        <color rgb="FF569CD6"/>
        <rFont val="Consolas"/>
        <family val="3"/>
      </rPr>
      <t>SELECT</t>
    </r>
    <r>
      <rPr>
        <sz val="11"/>
        <color rgb="FFCE9178"/>
        <rFont val="Consolas"/>
        <family val="3"/>
      </rPr>
      <t xml:space="preserve"> </t>
    </r>
    <r>
      <rPr>
        <sz val="11"/>
        <color rgb="FFDCDCAA"/>
        <rFont val="Consolas"/>
        <family val="3"/>
      </rPr>
      <t>COUNT</t>
    </r>
    <r>
      <rPr>
        <sz val="11"/>
        <color rgb="FFCE9178"/>
        <rFont val="Consolas"/>
        <family val="3"/>
      </rPr>
      <t>(</t>
    </r>
    <r>
      <rPr>
        <sz val="11"/>
        <color rgb="FFD4D4D4"/>
        <rFont val="Consolas"/>
        <family val="3"/>
      </rPr>
      <t>*</t>
    </r>
    <r>
      <rPr>
        <sz val="11"/>
        <color rgb="FFCE9178"/>
        <rFont val="Consolas"/>
        <family val="3"/>
      </rPr>
      <t xml:space="preserve">) </t>
    </r>
    <r>
      <rPr>
        <sz val="11"/>
        <color rgb="FF569CD6"/>
        <rFont val="Consolas"/>
        <family val="3"/>
      </rPr>
      <t>AS</t>
    </r>
    <r>
      <rPr>
        <sz val="11"/>
        <color rgb="FFCE9178"/>
        <rFont val="Consolas"/>
        <family val="3"/>
      </rPr>
      <t xml:space="preserve"> contador '</t>
    </r>
  </si>
  <si>
    <r>
      <t xml:space="preserve">    . </t>
    </r>
    <r>
      <rPr>
        <sz val="11"/>
        <color rgb="FFCE9178"/>
        <rFont val="Consolas"/>
        <family val="3"/>
      </rPr>
      <t>' FROM `'</t>
    </r>
    <r>
      <rPr>
        <sz val="11"/>
        <color rgb="FFD4D4D4"/>
        <rFont val="Consolas"/>
        <family val="3"/>
      </rPr>
      <t>.</t>
    </r>
    <r>
      <rPr>
        <sz val="11"/>
        <color rgb="FF569CD6"/>
        <rFont val="Consolas"/>
        <family val="3"/>
      </rPr>
      <t>self</t>
    </r>
    <r>
      <rPr>
        <sz val="11"/>
        <color rgb="FFD4D4D4"/>
        <rFont val="Consolas"/>
        <family val="3"/>
      </rPr>
      <t>::TABELA.</t>
    </r>
    <r>
      <rPr>
        <sz val="11"/>
        <color rgb="FFCE9178"/>
        <rFont val="Consolas"/>
        <family val="3"/>
      </rPr>
      <t>'` '</t>
    </r>
    <r>
      <rPr>
        <sz val="11"/>
        <color rgb="FFD4D4D4"/>
        <rFont val="Consolas"/>
        <family val="3"/>
      </rPr>
      <t>;</t>
    </r>
  </si>
  <si>
    <r>
      <t>        </t>
    </r>
    <r>
      <rPr>
        <sz val="11"/>
        <color rgb="FF9CDCFE"/>
        <rFont val="Consolas"/>
        <family val="3"/>
      </rPr>
      <t>$retorno</t>
    </r>
    <r>
      <rPr>
        <sz val="11"/>
        <color rgb="FFD4D4D4"/>
        <rFont val="Consolas"/>
        <family val="3"/>
      </rPr>
      <t xml:space="preserve"> = </t>
    </r>
    <r>
      <rPr>
        <sz val="11"/>
        <color rgb="FF569CD6"/>
        <rFont val="Consolas"/>
        <family val="3"/>
      </rPr>
      <t>new</t>
    </r>
    <r>
      <rPr>
        <sz val="11"/>
        <color rgb="FFD4D4D4"/>
        <rFont val="Consolas"/>
        <family val="3"/>
      </rPr>
      <t xml:space="preserve"> </t>
    </r>
    <r>
      <rPr>
        <sz val="11"/>
        <color rgb="FF4EC9B0"/>
        <rFont val="Consolas"/>
        <family val="3"/>
      </rPr>
      <t>DTOPaginacao</t>
    </r>
    <r>
      <rPr>
        <sz val="11"/>
        <color rgb="FFD4D4D4"/>
        <rFont val="Consolas"/>
        <family val="3"/>
      </rPr>
      <t>();</t>
    </r>
  </si>
  <si>
    <r>
      <t>        </t>
    </r>
    <r>
      <rPr>
        <sz val="11"/>
        <color rgb="FF9CDCFE"/>
        <rFont val="Consolas"/>
        <family val="3"/>
      </rPr>
      <t>$retorno</t>
    </r>
    <r>
      <rPr>
        <sz val="11"/>
        <color rgb="FFD4D4D4"/>
        <rFont val="Consolas"/>
        <family val="3"/>
      </rPr>
      <t>-&gt;</t>
    </r>
    <r>
      <rPr>
        <sz val="11"/>
        <color rgb="FF9CDCFE"/>
        <rFont val="Consolas"/>
        <family val="3"/>
      </rPr>
      <t>pagina</t>
    </r>
    <r>
      <rPr>
        <sz val="11"/>
        <color rgb="FFD4D4D4"/>
        <rFont val="Consolas"/>
        <family val="3"/>
      </rPr>
      <t xml:space="preserve"> = </t>
    </r>
    <r>
      <rPr>
        <sz val="11"/>
        <color rgb="FF9CDCFE"/>
        <rFont val="Consolas"/>
        <family val="3"/>
      </rPr>
      <t>$pag</t>
    </r>
    <r>
      <rPr>
        <sz val="11"/>
        <color rgb="FFD4D4D4"/>
        <rFont val="Consolas"/>
        <family val="3"/>
      </rPr>
      <t>;</t>
    </r>
  </si>
  <si>
    <r>
      <t>        </t>
    </r>
    <r>
      <rPr>
        <sz val="11"/>
        <color rgb="FFC586C0"/>
        <rFont val="Consolas"/>
        <family val="3"/>
      </rPr>
      <t>if</t>
    </r>
    <r>
      <rPr>
        <sz val="11"/>
        <color rgb="FFD4D4D4"/>
        <rFont val="Consolas"/>
        <family val="3"/>
      </rPr>
      <t>(</t>
    </r>
    <r>
      <rPr>
        <sz val="11"/>
        <color rgb="FF9CDCFE"/>
        <rFont val="Consolas"/>
        <family val="3"/>
      </rPr>
      <t>$pag</t>
    </r>
    <r>
      <rPr>
        <sz val="11"/>
        <color rgb="FFD4D4D4"/>
        <rFont val="Consolas"/>
        <family val="3"/>
      </rPr>
      <t xml:space="preserve"> &gt; </t>
    </r>
    <r>
      <rPr>
        <sz val="11"/>
        <color rgb="FF9CDCFE"/>
        <rFont val="Consolas"/>
        <family val="3"/>
      </rPr>
      <t>$retorno</t>
    </r>
    <r>
      <rPr>
        <sz val="11"/>
        <color rgb="FFD4D4D4"/>
        <rFont val="Consolas"/>
        <family val="3"/>
      </rPr>
      <t>-&gt;</t>
    </r>
    <r>
      <rPr>
        <sz val="11"/>
        <color rgb="FF9CDCFE"/>
        <rFont val="Consolas"/>
        <family val="3"/>
      </rPr>
      <t>totalPaginas</t>
    </r>
    <r>
      <rPr>
        <sz val="11"/>
        <color rgb="FFD4D4D4"/>
        <rFont val="Consolas"/>
        <family val="3"/>
      </rPr>
      <t>) {</t>
    </r>
  </si>
  <si>
    <r>
      <t>            </t>
    </r>
    <r>
      <rPr>
        <sz val="11"/>
        <color rgb="FF9CDCFE"/>
        <rFont val="Consolas"/>
        <family val="3"/>
      </rPr>
      <t>$retorno</t>
    </r>
    <r>
      <rPr>
        <sz val="11"/>
        <color rgb="FFD4D4D4"/>
        <rFont val="Consolas"/>
        <family val="3"/>
      </rPr>
      <t>-&gt;</t>
    </r>
    <r>
      <rPr>
        <sz val="11"/>
        <color rgb="FF9CDCFE"/>
        <rFont val="Consolas"/>
        <family val="3"/>
      </rPr>
      <t>msgcode</t>
    </r>
    <r>
      <rPr>
        <sz val="11"/>
        <color rgb="FFD4D4D4"/>
        <rFont val="Consolas"/>
        <family val="3"/>
      </rPr>
      <t xml:space="preserve"> = </t>
    </r>
    <r>
      <rPr>
        <sz val="11"/>
        <color rgb="FF4EC9B0"/>
        <rFont val="Consolas"/>
        <family val="3"/>
      </rPr>
      <t>ConstantesMensagem</t>
    </r>
    <r>
      <rPr>
        <sz val="11"/>
        <color rgb="FFD4D4D4"/>
        <rFont val="Consolas"/>
        <family val="3"/>
      </rPr>
      <t>::NAO_EXISTEM_MAIS_PAGINAS_APRESENTAR;</t>
    </r>
  </si>
  <si>
    <r>
      <t>            </t>
    </r>
    <r>
      <rPr>
        <sz val="11"/>
        <color rgb="FFC586C0"/>
        <rFont val="Consolas"/>
        <family val="3"/>
      </rPr>
      <t>return</t>
    </r>
    <r>
      <rPr>
        <sz val="11"/>
        <color rgb="FFD4D4D4"/>
        <rFont val="Consolas"/>
        <family val="3"/>
      </rPr>
      <t xml:space="preserve"> </t>
    </r>
    <r>
      <rPr>
        <sz val="11"/>
        <color rgb="FF9CDCFE"/>
        <rFont val="Consolas"/>
        <family val="3"/>
      </rPr>
      <t>$retorno</t>
    </r>
    <r>
      <rPr>
        <sz val="11"/>
        <color rgb="FFD4D4D4"/>
        <rFont val="Consolas"/>
        <family val="3"/>
      </rPr>
      <t>;</t>
    </r>
  </si>
  <si>
    <r>
      <t>        </t>
    </r>
    <r>
      <rPr>
        <sz val="11"/>
        <color rgb="FF9CDCFE"/>
        <rFont val="Consolas"/>
        <family val="3"/>
      </rPr>
      <t>$res</t>
    </r>
    <r>
      <rPr>
        <sz val="11"/>
        <color rgb="FFD4D4D4"/>
        <rFont val="Consolas"/>
        <family val="3"/>
      </rPr>
      <t xml:space="preserve"> = </t>
    </r>
    <r>
      <rPr>
        <sz val="11"/>
        <color rgb="FF9CDCFE"/>
        <rFont val="Consolas"/>
        <family val="3"/>
      </rPr>
      <t>$conexao</t>
    </r>
    <r>
      <rPr>
        <sz val="11"/>
        <color rgb="FFD4D4D4"/>
        <rFont val="Consolas"/>
        <family val="3"/>
      </rPr>
      <t>-&gt;</t>
    </r>
    <r>
      <rPr>
        <sz val="11"/>
        <color rgb="FFDCDCAA"/>
        <rFont val="Consolas"/>
        <family val="3"/>
      </rPr>
      <t>query</t>
    </r>
    <r>
      <rPr>
        <sz val="11"/>
        <color rgb="FFD4D4D4"/>
        <rFont val="Consolas"/>
        <family val="3"/>
      </rPr>
      <t>(</t>
    </r>
    <r>
      <rPr>
        <sz val="11"/>
        <color rgb="FF9CDCFE"/>
        <rFont val="Consolas"/>
        <family val="3"/>
      </rPr>
      <t>$sql</t>
    </r>
    <r>
      <rPr>
        <sz val="11"/>
        <color rgb="FFD4D4D4"/>
        <rFont val="Consolas"/>
        <family val="3"/>
      </rPr>
      <t xml:space="preserve"> );</t>
    </r>
  </si>
  <si>
    <r>
      <t xml:space="preserve">        $retorno</t>
    </r>
    <r>
      <rPr>
        <sz val="11"/>
        <color rgb="FFD4D4D4"/>
        <rFont val="Consolas"/>
        <family val="3"/>
      </rPr>
      <t xml:space="preserve"> = </t>
    </r>
    <r>
      <rPr>
        <sz val="11"/>
        <color rgb="FFDCDCAA"/>
        <rFont val="Consolas"/>
        <family val="3"/>
      </rPr>
      <t>array</t>
    </r>
    <r>
      <rPr>
        <sz val="11"/>
        <color rgb="FFD4D4D4"/>
        <rFont val="Consolas"/>
        <family val="3"/>
      </rPr>
      <t>();</t>
    </r>
  </si>
  <si>
    <r>
      <t xml:space="preserve">        $sql</t>
    </r>
    <r>
      <rPr>
        <sz val="11"/>
        <color rgb="FFD4D4D4"/>
        <rFont val="Consolas"/>
        <family val="3"/>
      </rPr>
      <t xml:space="preserve"> = </t>
    </r>
    <r>
      <rPr>
        <sz val="11"/>
        <color rgb="FF9CDCFE"/>
        <rFont val="Consolas"/>
        <family val="3"/>
      </rPr>
      <t>$sql</t>
    </r>
    <r>
      <rPr>
        <sz val="11"/>
        <color rgb="FFD4D4D4"/>
        <rFont val="Consolas"/>
        <family val="3"/>
      </rPr>
      <t xml:space="preserve"> . </t>
    </r>
    <r>
      <rPr>
        <sz val="11"/>
        <color rgb="FFCE9178"/>
        <rFont val="Consolas"/>
        <family val="3"/>
      </rPr>
      <t xml:space="preserve">" LIMIT </t>
    </r>
    <r>
      <rPr>
        <sz val="11"/>
        <color rgb="FF9CDCFE"/>
        <rFont val="Consolas"/>
        <family val="3"/>
      </rPr>
      <t>$final</t>
    </r>
    <r>
      <rPr>
        <sz val="11"/>
        <color rgb="FFCE9178"/>
        <rFont val="Consolas"/>
        <family val="3"/>
      </rPr>
      <t xml:space="preserve">, </t>
    </r>
    <r>
      <rPr>
        <sz val="11"/>
        <color rgb="FF9CDCFE"/>
        <rFont val="Consolas"/>
        <family val="3"/>
      </rPr>
      <t>$qtde</t>
    </r>
    <r>
      <rPr>
        <sz val="11"/>
        <color rgb="FFCE9178"/>
        <rFont val="Consolas"/>
        <family val="3"/>
      </rPr>
      <t>"</t>
    </r>
    <r>
      <rPr>
        <sz val="11"/>
        <color rgb="FFD4D4D4"/>
        <rFont val="Consolas"/>
        <family val="3"/>
      </rPr>
      <t xml:space="preserve"> ;</t>
    </r>
  </si>
  <si>
    <r>
      <t xml:space="preserve">        . </t>
    </r>
    <r>
      <rPr>
        <sz val="11"/>
        <color rgb="FFCE9178"/>
        <rFont val="Consolas"/>
        <family val="3"/>
      </rPr>
      <t>' ORDER BY '</t>
    </r>
    <r>
      <rPr>
        <sz val="11"/>
        <color rgb="FFD4D4D4"/>
        <rFont val="Consolas"/>
        <family val="3"/>
      </rPr>
      <t xml:space="preserve"> . </t>
    </r>
    <r>
      <rPr>
        <sz val="11"/>
        <color rgb="FF9CDCFE"/>
        <rFont val="Consolas"/>
        <family val="3"/>
      </rPr>
      <t>$coluna</t>
    </r>
    <r>
      <rPr>
        <sz val="11"/>
        <color rgb="FFD4D4D4"/>
        <rFont val="Consolas"/>
        <family val="3"/>
      </rPr>
      <t xml:space="preserve"> . (</t>
    </r>
    <r>
      <rPr>
        <sz val="11"/>
        <color rgb="FF9CDCFE"/>
        <rFont val="Consolas"/>
        <family val="3"/>
      </rPr>
      <t>$ordem</t>
    </r>
    <r>
      <rPr>
        <sz val="11"/>
        <color rgb="FFD4D4D4"/>
        <rFont val="Consolas"/>
        <family val="3"/>
      </rPr>
      <t xml:space="preserve"> == </t>
    </r>
    <r>
      <rPr>
        <sz val="11"/>
        <color rgb="FFB5CEA8"/>
        <rFont val="Consolas"/>
        <family val="3"/>
      </rPr>
      <t>0</t>
    </r>
    <r>
      <rPr>
        <sz val="11"/>
        <color rgb="FFD4D4D4"/>
        <rFont val="Consolas"/>
        <family val="3"/>
      </rPr>
      <t xml:space="preserve"> ? </t>
    </r>
    <r>
      <rPr>
        <sz val="11"/>
        <color rgb="FFCE9178"/>
        <rFont val="Consolas"/>
        <family val="3"/>
      </rPr>
      <t>" ASC"</t>
    </r>
    <r>
      <rPr>
        <sz val="11"/>
        <color rgb="FFD4D4D4"/>
        <rFont val="Consolas"/>
        <family val="3"/>
      </rPr>
      <t xml:space="preserve">: </t>
    </r>
    <r>
      <rPr>
        <sz val="11"/>
        <color rgb="FFCE9178"/>
        <rFont val="Consolas"/>
        <family val="3"/>
      </rPr>
      <t>" DESC"</t>
    </r>
    <r>
      <rPr>
        <sz val="11"/>
        <color rgb="FFD4D4D4"/>
        <rFont val="Consolas"/>
        <family val="3"/>
      </rPr>
      <t>);</t>
    </r>
  </si>
  <si>
    <r>
      <t xml:space="preserve">   'statusdesc'</t>
    </r>
    <r>
      <rPr>
        <sz val="11"/>
        <color rgb="FFD4D4D4"/>
        <rFont val="Consolas"/>
        <family val="3"/>
      </rPr>
      <t xml:space="preserve"> =&gt; </t>
    </r>
    <r>
      <rPr>
        <sz val="11"/>
        <color rgb="FF569CD6"/>
        <rFont val="Consolas"/>
        <family val="3"/>
      </rPr>
      <t>$this</t>
    </r>
    <r>
      <rPr>
        <sz val="11"/>
        <color rgb="FFD4D4D4"/>
        <rFont val="Consolas"/>
        <family val="3"/>
      </rPr>
      <t>-&gt;</t>
    </r>
    <r>
      <rPr>
        <sz val="11"/>
        <color rgb="FF9CDCFE"/>
        <rFont val="Consolas"/>
        <family val="3"/>
      </rPr>
      <t>statusdesc</t>
    </r>
    <r>
      <rPr>
        <sz val="11"/>
        <color rgb="FFD4D4D4"/>
        <rFont val="Consolas"/>
        <family val="3"/>
      </rPr>
      <t>,</t>
    </r>
  </si>
  <si>
    <r>
      <t xml:space="preserve">   'msgcode'</t>
    </r>
    <r>
      <rPr>
        <sz val="11"/>
        <color rgb="FFD4D4D4"/>
        <rFont val="Consolas"/>
        <family val="3"/>
      </rPr>
      <t xml:space="preserve"> =&gt; </t>
    </r>
    <r>
      <rPr>
        <sz val="11"/>
        <color rgb="FF569CD6"/>
        <rFont val="Consolas"/>
        <family val="3"/>
      </rPr>
      <t>$this</t>
    </r>
    <r>
      <rPr>
        <sz val="11"/>
        <color rgb="FFD4D4D4"/>
        <rFont val="Consolas"/>
        <family val="3"/>
      </rPr>
      <t>-&gt;</t>
    </r>
    <r>
      <rPr>
        <sz val="11"/>
        <color rgb="FF9CDCFE"/>
        <rFont val="Consolas"/>
        <family val="3"/>
      </rPr>
      <t>msgcode</t>
    </r>
    <r>
      <rPr>
        <sz val="11"/>
        <color rgb="FFD4D4D4"/>
        <rFont val="Consolas"/>
        <family val="3"/>
      </rPr>
      <t>,</t>
    </r>
  </si>
  <si>
    <r>
      <t xml:space="preserve">   'msgcodeString'</t>
    </r>
    <r>
      <rPr>
        <sz val="11"/>
        <color rgb="FFD4D4D4"/>
        <rFont val="Consolas"/>
        <family val="3"/>
      </rPr>
      <t xml:space="preserve"> =&gt; </t>
    </r>
    <r>
      <rPr>
        <sz val="11"/>
        <color rgb="FF569CD6"/>
        <rFont val="Consolas"/>
        <family val="3"/>
      </rPr>
      <t>$this</t>
    </r>
    <r>
      <rPr>
        <sz val="11"/>
        <color rgb="FFD4D4D4"/>
        <rFont val="Consolas"/>
        <family val="3"/>
      </rPr>
      <t>-&gt;</t>
    </r>
    <r>
      <rPr>
        <sz val="11"/>
        <color rgb="FF9CDCFE"/>
        <rFont val="Consolas"/>
        <family val="3"/>
      </rPr>
      <t>msgcodeString</t>
    </r>
  </si>
  <si>
    <r>
      <t>        </t>
    </r>
    <r>
      <rPr>
        <sz val="11"/>
        <color rgb="FFC586C0"/>
        <rFont val="Consolas"/>
        <family val="3"/>
      </rPr>
      <t>if</t>
    </r>
    <r>
      <rPr>
        <sz val="11"/>
        <color rgb="FFD4D4D4"/>
        <rFont val="Consolas"/>
        <family val="3"/>
      </rPr>
      <t>(!</t>
    </r>
    <r>
      <rPr>
        <sz val="11"/>
        <color rgb="FF9CDCFE"/>
        <rFont val="Consolas"/>
        <family val="3"/>
      </rPr>
      <t>$dao</t>
    </r>
    <r>
      <rPr>
        <sz val="11"/>
        <color rgb="FFD4D4D4"/>
        <rFont val="Consolas"/>
        <family val="3"/>
      </rPr>
      <t>-&gt;</t>
    </r>
    <r>
      <rPr>
        <sz val="11"/>
        <color rgb="FFDCDCAA"/>
        <rFont val="Consolas"/>
        <family val="3"/>
      </rPr>
      <t>update</t>
    </r>
    <r>
      <rPr>
        <sz val="11"/>
        <color rgb="FFD4D4D4"/>
        <rFont val="Consolas"/>
        <family val="3"/>
      </rPr>
      <t>(</t>
    </r>
    <r>
      <rPr>
        <sz val="11"/>
        <color rgb="FF9CDCFE"/>
        <rFont val="Consolas"/>
        <family val="3"/>
      </rPr>
      <t>$dto</t>
    </r>
    <r>
      <rPr>
        <sz val="11"/>
        <color rgb="FFD4D4D4"/>
        <rFont val="Consolas"/>
        <family val="3"/>
      </rPr>
      <t>)){</t>
    </r>
  </si>
  <si>
    <r>
      <t>           </t>
    </r>
    <r>
      <rPr>
        <sz val="11"/>
        <color rgb="FF9CDCFE"/>
        <rFont val="Consolas"/>
        <family val="3"/>
      </rPr>
      <t>$retorno</t>
    </r>
    <r>
      <rPr>
        <sz val="11"/>
        <color rgb="FFD4D4D4"/>
        <rFont val="Consolas"/>
        <family val="3"/>
      </rPr>
      <t>-&gt;</t>
    </r>
    <r>
      <rPr>
        <sz val="11"/>
        <color rgb="FF9CDCFE"/>
        <rFont val="Consolas"/>
        <family val="3"/>
      </rPr>
      <t>msgcode</t>
    </r>
    <r>
      <rPr>
        <sz val="11"/>
        <color rgb="FFD4D4D4"/>
        <rFont val="Consolas"/>
        <family val="3"/>
      </rPr>
      <t xml:space="preserve"> = </t>
    </r>
    <r>
      <rPr>
        <sz val="11"/>
        <color rgb="FF4EC9B0"/>
        <rFont val="Consolas"/>
        <family val="3"/>
      </rPr>
      <t>ConstantesMensagem</t>
    </r>
    <r>
      <rPr>
        <sz val="11"/>
        <color rgb="FFD4D4D4"/>
        <rFont val="Consolas"/>
        <family val="3"/>
      </rPr>
      <t>::ERRO_CRUD_ATUALIZAR_REGISTRO;</t>
    </r>
  </si>
  <si>
    <r>
      <t>           </t>
    </r>
    <r>
      <rPr>
        <sz val="11"/>
        <color rgb="FF9CDCFE"/>
        <rFont val="Consolas"/>
        <family val="3"/>
      </rPr>
      <t>$retorno</t>
    </r>
    <r>
      <rPr>
        <sz val="11"/>
        <color rgb="FFD4D4D4"/>
        <rFont val="Consolas"/>
        <family val="3"/>
      </rPr>
      <t>-&gt;</t>
    </r>
    <r>
      <rPr>
        <sz val="11"/>
        <color rgb="FF9CDCFE"/>
        <rFont val="Consolas"/>
        <family val="3"/>
      </rPr>
      <t>msgcodeString</t>
    </r>
    <r>
      <rPr>
        <sz val="11"/>
        <color rgb="FFD4D4D4"/>
        <rFont val="Consolas"/>
        <family val="3"/>
      </rPr>
      <t xml:space="preserve"> = </t>
    </r>
    <r>
      <rPr>
        <sz val="11"/>
        <color rgb="FF4EC9B0"/>
        <rFont val="Consolas"/>
        <family val="3"/>
      </rPr>
      <t>MensagemCache</t>
    </r>
    <r>
      <rPr>
        <sz val="11"/>
        <color rgb="FFD4D4D4"/>
        <rFont val="Consolas"/>
        <family val="3"/>
      </rPr>
      <t>::</t>
    </r>
    <r>
      <rPr>
        <sz val="11"/>
        <color rgb="FFDCDCAA"/>
        <rFont val="Consolas"/>
        <family val="3"/>
      </rPr>
      <t>getInstance</t>
    </r>
    <r>
      <rPr>
        <sz val="11"/>
        <color rgb="FFD4D4D4"/>
        <rFont val="Consolas"/>
        <family val="3"/>
      </rPr>
      <t>()-&gt;</t>
    </r>
    <r>
      <rPr>
        <sz val="11"/>
        <color rgb="FFDCDCAA"/>
        <rFont val="Consolas"/>
        <family val="3"/>
      </rPr>
      <t>getMensagem</t>
    </r>
    <r>
      <rPr>
        <sz val="11"/>
        <color rgb="FFD4D4D4"/>
        <rFont val="Consolas"/>
        <family val="3"/>
      </rPr>
      <t>(</t>
    </r>
    <r>
      <rPr>
        <sz val="11"/>
        <color rgb="FF9CDCFE"/>
        <rFont val="Consolas"/>
        <family val="3"/>
      </rPr>
      <t>$retorno</t>
    </r>
    <r>
      <rPr>
        <sz val="11"/>
        <color rgb="FFD4D4D4"/>
        <rFont val="Consolas"/>
        <family val="3"/>
      </rPr>
      <t>-&gt;</t>
    </r>
    <r>
      <rPr>
        <sz val="11"/>
        <color rgb="FF9CDCFE"/>
        <rFont val="Consolas"/>
        <family val="3"/>
      </rPr>
      <t>msgcode</t>
    </r>
    <r>
      <rPr>
        <sz val="11"/>
        <color rgb="FFD4D4D4"/>
        <rFont val="Consolas"/>
        <family val="3"/>
      </rPr>
      <t>);</t>
    </r>
  </si>
  <si>
    <r>
      <t xml:space="preserve">        $retorno</t>
    </r>
    <r>
      <rPr>
        <sz val="11"/>
        <color rgb="FFD4D4D4"/>
        <rFont val="Consolas"/>
        <family val="3"/>
      </rPr>
      <t>-&gt;</t>
    </r>
    <r>
      <rPr>
        <sz val="11"/>
        <color rgb="FF9CDCFE"/>
        <rFont val="Consolas"/>
        <family val="3"/>
      </rPr>
      <t>itensPorPagina</t>
    </r>
    <r>
      <rPr>
        <sz val="11"/>
        <color rgb="FFD4D4D4"/>
        <rFont val="Consolas"/>
        <family val="3"/>
      </rPr>
      <t xml:space="preserve"> = (</t>
    </r>
    <r>
      <rPr>
        <sz val="11"/>
        <color rgb="FF9CDCFE"/>
        <rFont val="Consolas"/>
        <family val="3"/>
      </rPr>
      <t>$qtde</t>
    </r>
    <r>
      <rPr>
        <sz val="11"/>
        <color rgb="FFD4D4D4"/>
        <rFont val="Consolas"/>
        <family val="3"/>
      </rPr>
      <t xml:space="preserve"> == </t>
    </r>
    <r>
      <rPr>
        <sz val="11"/>
        <color rgb="FFB5CEA8"/>
        <rFont val="Consolas"/>
        <family val="3"/>
      </rPr>
      <t>0</t>
    </r>
    <r>
      <rPr>
        <sz val="11"/>
        <color rgb="FFD4D4D4"/>
        <rFont val="Consolas"/>
        <family val="3"/>
      </rPr>
      <t xml:space="preserve"> </t>
    </r>
  </si>
  <si>
    <r>
      <t xml:space="preserve">        ? (</t>
    </r>
    <r>
      <rPr>
        <sz val="11"/>
        <color rgb="FF569CD6"/>
        <rFont val="Consolas"/>
        <family val="3"/>
      </rPr>
      <t>int</t>
    </r>
    <r>
      <rPr>
        <sz val="11"/>
        <color rgb="FFD4D4D4"/>
        <rFont val="Consolas"/>
        <family val="3"/>
      </rPr>
      <t xml:space="preserve">) </t>
    </r>
    <r>
      <rPr>
        <sz val="11"/>
        <color rgb="FF4EC9B0"/>
        <rFont val="Consolas"/>
        <family val="3"/>
      </rPr>
      <t>VariavelCache</t>
    </r>
    <r>
      <rPr>
        <sz val="11"/>
        <color rgb="FFD4D4D4"/>
        <rFont val="Consolas"/>
        <family val="3"/>
      </rPr>
      <t>::</t>
    </r>
    <r>
      <rPr>
        <sz val="11"/>
        <color rgb="FFDCDCAA"/>
        <rFont val="Consolas"/>
        <family val="3"/>
      </rPr>
      <t>getInstance</t>
    </r>
    <r>
      <rPr>
        <sz val="11"/>
        <color rgb="FFD4D4D4"/>
        <rFont val="Consolas"/>
        <family val="3"/>
      </rPr>
      <t>()-&gt;</t>
    </r>
    <r>
      <rPr>
        <sz val="11"/>
        <color rgb="FFDCDCAA"/>
        <rFont val="Consolas"/>
        <family val="3"/>
      </rPr>
      <t>getVariavel</t>
    </r>
    <r>
      <rPr>
        <sz val="11"/>
        <color rgb="FFD4D4D4"/>
        <rFont val="Consolas"/>
        <family val="3"/>
      </rPr>
      <t>(</t>
    </r>
    <r>
      <rPr>
        <sz val="11"/>
        <color rgb="FF4EC9B0"/>
        <rFont val="Consolas"/>
        <family val="3"/>
      </rPr>
      <t>ConstantesVariavel</t>
    </r>
    <r>
      <rPr>
        <sz val="11"/>
        <color rgb="FFD4D4D4"/>
        <rFont val="Consolas"/>
        <family val="3"/>
      </rPr>
      <t>::MAXIMO_LINHAS_POR_PAGINA_DEFAULT)</t>
    </r>
  </si>
  <si>
    <r>
      <t xml:space="preserve">        : </t>
    </r>
    <r>
      <rPr>
        <sz val="11"/>
        <color rgb="FF9CDCFE"/>
        <rFont val="Consolas"/>
        <family val="3"/>
      </rPr>
      <t>$qtde</t>
    </r>
    <r>
      <rPr>
        <sz val="11"/>
        <color rgb="FFD4D4D4"/>
        <rFont val="Consolas"/>
        <family val="3"/>
      </rPr>
      <t>);</t>
    </r>
  </si>
  <si>
    <t xml:space="preserve">        );</t>
  </si>
  <si>
    <t xml:space="preserve">       // retorno default</t>
  </si>
  <si>
    <t xml:space="preserve">       $retorno = new DTOPadrao();</t>
  </si>
  <si>
    <t xml:space="preserve">       $retorno-&gt;msgcode = ConstantesMensagem::COMANDO_REALIZADO_COM_SUCESSO;</t>
  </si>
  <si>
    <t xml:space="preserve">       $retorno-&gt;msgcodeString = MensagemCache::getInstance()-&gt;getMensagem($retorno-&gt;msgcode);</t>
  </si>
  <si>
    <t xml:space="preserve">   </t>
  </si>
  <si>
    <t xml:space="preserve">          $retorno-&gt;msgcode = ConstantesMensagem::TAMANHO_DO_CAMPO_EXCEDE_LIMITE_PERMITIDO;</t>
  </si>
  <si>
    <t xml:space="preserve">          $retorno-&gt;msgcodeString = MensagemCache::getInstance()-&gt;getMensagemParametrizada($retorno-&gt;msgcode</t>
  </si>
  <si>
    <t xml:space="preserve">          ,[</t>
  </si>
  <si>
    <t xml:space="preserve">           ]);</t>
  </si>
  <si>
    <t>COMMENT</t>
  </si>
  <si>
    <t>comentário</t>
  </si>
  <si>
    <t xml:space="preserve">       return $retorno;</t>
  </si>
  <si>
    <t>index</t>
  </si>
  <si>
    <t>Status</t>
  </si>
  <si>
    <t>Data de Cadastro</t>
  </si>
  <si>
    <t>Data de Atualização</t>
  </si>
  <si>
    <r>
      <t>require_once</t>
    </r>
    <r>
      <rPr>
        <sz val="11"/>
        <color rgb="FFD4D4D4"/>
        <rFont val="Consolas"/>
        <family val="3"/>
      </rPr>
      <t xml:space="preserve"> </t>
    </r>
    <r>
      <rPr>
        <sz val="11"/>
        <color rgb="FFCE9178"/>
        <rFont val="Consolas"/>
        <family val="3"/>
      </rPr>
      <t>'${classebase}Business.php'</t>
    </r>
    <r>
      <rPr>
        <sz val="11"/>
        <color rgb="FFD4D4D4"/>
        <rFont val="Consolas"/>
        <family val="3"/>
      </rPr>
      <t>;</t>
    </r>
  </si>
  <si>
    <t>class ${classebase}BusinessImpl implements ${classebase}Business</t>
  </si>
  <si>
    <t>Autor</t>
  </si>
  <si>
    <t>Julio Cesar Vitorino</t>
  </si>
  <si>
    <t>Hoje</t>
  </si>
  <si>
    <t>        $dao = $daofactory-&gt;get${classebase}DAO($daofactory);</t>
  </si>
  <si>
    <t>    public function atualizarStatus($daofactory, $${pkdto}, $status)</t>
  </si>
  <si>
    <r>
      <t>    </t>
    </r>
    <r>
      <rPr>
        <sz val="11"/>
        <color rgb="FF569CD6"/>
        <rFont val="Consolas"/>
        <family val="3"/>
      </rPr>
      <t>public</t>
    </r>
    <r>
      <rPr>
        <sz val="11"/>
        <color rgb="FFD4D4D4"/>
        <rFont val="Consolas"/>
        <family val="3"/>
      </rPr>
      <t xml:space="preserve"> </t>
    </r>
    <r>
      <rPr>
        <sz val="11"/>
        <color rgb="FF569CD6"/>
        <rFont val="Consolas"/>
        <family val="3"/>
      </rPr>
      <t>function</t>
    </r>
    <r>
      <rPr>
        <sz val="11"/>
        <color rgb="FFD4D4D4"/>
        <rFont val="Consolas"/>
        <family val="3"/>
      </rPr>
      <t xml:space="preserve"> </t>
    </r>
    <r>
      <rPr>
        <sz val="11"/>
        <color rgb="FFDCDCAA"/>
        <rFont val="Consolas"/>
        <family val="3"/>
      </rPr>
      <t>carregarPorID</t>
    </r>
    <r>
      <rPr>
        <sz val="11"/>
        <color rgb="FFD4D4D4"/>
        <rFont val="Consolas"/>
        <family val="3"/>
      </rPr>
      <t>(</t>
    </r>
    <r>
      <rPr>
        <sz val="11"/>
        <color rgb="FF9CDCFE"/>
        <rFont val="Consolas"/>
        <family val="3"/>
      </rPr>
      <t>$daofactory</t>
    </r>
    <r>
      <rPr>
        <sz val="11"/>
        <color rgb="FFD4D4D4"/>
        <rFont val="Consolas"/>
        <family val="3"/>
      </rPr>
      <t>,</t>
    </r>
    <r>
      <rPr>
        <sz val="11"/>
        <color rgb="FF9CDCFE"/>
        <rFont val="Consolas"/>
        <family val="3"/>
      </rPr>
      <t xml:space="preserve"> $${pkdto}</t>
    </r>
    <r>
      <rPr>
        <sz val="11"/>
        <color rgb="FFD4D4D4"/>
        <rFont val="Consolas"/>
        <family val="3"/>
      </rPr>
      <t>)</t>
    </r>
  </si>
  <si>
    <r>
      <t>        </t>
    </r>
    <r>
      <rPr>
        <sz val="11"/>
        <color rgb="FFC586C0"/>
        <rFont val="Consolas"/>
        <family val="3"/>
      </rPr>
      <t>return</t>
    </r>
    <r>
      <rPr>
        <sz val="11"/>
        <color rgb="FFD4D4D4"/>
        <rFont val="Consolas"/>
        <family val="3"/>
      </rPr>
      <t xml:space="preserve"> </t>
    </r>
    <r>
      <rPr>
        <sz val="11"/>
        <color rgb="FF9CDCFE"/>
        <rFont val="Consolas"/>
        <family val="3"/>
      </rPr>
      <t>$dao</t>
    </r>
    <r>
      <rPr>
        <sz val="11"/>
        <color rgb="FFD4D4D4"/>
        <rFont val="Consolas"/>
        <family val="3"/>
      </rPr>
      <t>-&gt;</t>
    </r>
    <r>
      <rPr>
        <sz val="11"/>
        <color rgb="FFDCDCAA"/>
        <rFont val="Consolas"/>
        <family val="3"/>
      </rPr>
      <t>loadPK</t>
    </r>
    <r>
      <rPr>
        <sz val="11"/>
        <color rgb="FFD4D4D4"/>
        <rFont val="Consolas"/>
        <family val="3"/>
      </rPr>
      <t>(</t>
    </r>
    <r>
      <rPr>
        <sz val="11"/>
        <color rgb="FF9CDCFE"/>
        <rFont val="Consolas"/>
        <family val="3"/>
      </rPr>
      <t>$${pkdto}</t>
    </r>
    <r>
      <rPr>
        <sz val="11"/>
        <color rgb="FFD4D4D4"/>
        <rFont val="Consolas"/>
        <family val="3"/>
      </rPr>
      <t>);</t>
    </r>
  </si>
  <si>
    <t>        $dto = $this-&gt;carregarPorID($daofactory, $${pkdto});</t>
  </si>
  <si>
    <t>            if($dao-&gt;updateStatus($${pkdto}, $status)){   </t>
  </si>
  <si>
    <r>
      <t xml:space="preserve">    public</t>
    </r>
    <r>
      <rPr>
        <sz val="11"/>
        <color rgb="FFD4D4D4"/>
        <rFont val="Consolas"/>
        <family val="3"/>
      </rPr>
      <t xml:space="preserve"> </t>
    </r>
    <r>
      <rPr>
        <sz val="11"/>
        <color rgb="FF569CD6"/>
        <rFont val="Consolas"/>
        <family val="3"/>
      </rPr>
      <t>function</t>
    </r>
    <r>
      <rPr>
        <sz val="11"/>
        <color rgb="FFD4D4D4"/>
        <rFont val="Consolas"/>
        <family val="3"/>
      </rPr>
      <t xml:space="preserve"> </t>
    </r>
    <r>
      <rPr>
        <sz val="11"/>
        <color rgb="FFDCDCAA"/>
        <rFont val="Consolas"/>
        <family val="3"/>
      </rPr>
      <t>listar${classebase}PorStatus</t>
    </r>
    <r>
      <rPr>
        <sz val="11"/>
        <color rgb="FFD4D4D4"/>
        <rFont val="Consolas"/>
        <family val="3"/>
      </rPr>
      <t>(</t>
    </r>
    <r>
      <rPr>
        <sz val="11"/>
        <color rgb="FF9CDCFE"/>
        <rFont val="Consolas"/>
        <family val="3"/>
      </rPr>
      <t>$daofactory</t>
    </r>
    <r>
      <rPr>
        <sz val="11"/>
        <color rgb="FFD4D4D4"/>
        <rFont val="Consolas"/>
        <family val="3"/>
      </rPr>
      <t>,</t>
    </r>
    <r>
      <rPr>
        <sz val="11"/>
        <color rgb="FF9CDCFE"/>
        <rFont val="Consolas"/>
        <family val="3"/>
      </rPr>
      <t xml:space="preserve"> $status</t>
    </r>
    <r>
      <rPr>
        <sz val="11"/>
        <color rgb="FFD4D4D4"/>
        <rFont val="Consolas"/>
        <family val="3"/>
      </rPr>
      <t>,</t>
    </r>
    <r>
      <rPr>
        <sz val="11"/>
        <color rgb="FF9CDCFE"/>
        <rFont val="Consolas"/>
        <family val="3"/>
      </rPr>
      <t xml:space="preserve"> $pag</t>
    </r>
    <r>
      <rPr>
        <sz val="11"/>
        <color rgb="FFD4D4D4"/>
        <rFont val="Consolas"/>
        <family val="3"/>
      </rPr>
      <t>,</t>
    </r>
    <r>
      <rPr>
        <sz val="11"/>
        <color rgb="FF9CDCFE"/>
        <rFont val="Consolas"/>
        <family val="3"/>
      </rPr>
      <t xml:space="preserve"> $qtde</t>
    </r>
    <r>
      <rPr>
        <sz val="11"/>
        <color rgb="FFD4D4D4"/>
        <rFont val="Consolas"/>
        <family val="3"/>
      </rPr>
      <t>,</t>
    </r>
    <r>
      <rPr>
        <sz val="11"/>
        <color rgb="FF9CDCFE"/>
        <rFont val="Consolas"/>
        <family val="3"/>
      </rPr>
      <t xml:space="preserve"> $coluna</t>
    </r>
    <r>
      <rPr>
        <sz val="11"/>
        <color rgb="FFD4D4D4"/>
        <rFont val="Consolas"/>
        <family val="3"/>
      </rPr>
      <t>,</t>
    </r>
    <r>
      <rPr>
        <sz val="11"/>
        <color rgb="FF9CDCFE"/>
        <rFont val="Consolas"/>
        <family val="3"/>
      </rPr>
      <t xml:space="preserve"> $ordem</t>
    </r>
    <r>
      <rPr>
        <sz val="11"/>
        <color rgb="FFD4D4D4"/>
        <rFont val="Consolas"/>
        <family val="3"/>
      </rPr>
      <t>)</t>
    </r>
  </si>
  <si>
    <r>
      <t xml:space="preserve">        $dao</t>
    </r>
    <r>
      <rPr>
        <sz val="11"/>
        <color rgb="FFD4D4D4"/>
        <rFont val="Consolas"/>
        <family val="3"/>
      </rPr>
      <t xml:space="preserve"> = </t>
    </r>
    <r>
      <rPr>
        <sz val="11"/>
        <color rgb="FF9CDCFE"/>
        <rFont val="Consolas"/>
        <family val="3"/>
      </rPr>
      <t>$daofactory</t>
    </r>
    <r>
      <rPr>
        <sz val="11"/>
        <color rgb="FFD4D4D4"/>
        <rFont val="Consolas"/>
        <family val="3"/>
      </rPr>
      <t>-&gt;</t>
    </r>
    <r>
      <rPr>
        <sz val="11"/>
        <color rgb="FFDCDCAA"/>
        <rFont val="Consolas"/>
        <family val="3"/>
      </rPr>
      <t>get${classebase}DAO</t>
    </r>
    <r>
      <rPr>
        <sz val="11"/>
        <color rgb="FFD4D4D4"/>
        <rFont val="Consolas"/>
        <family val="3"/>
      </rPr>
      <t>(</t>
    </r>
    <r>
      <rPr>
        <sz val="11"/>
        <color rgb="FF9CDCFE"/>
        <rFont val="Consolas"/>
        <family val="3"/>
      </rPr>
      <t>$daofactory</t>
    </r>
    <r>
      <rPr>
        <sz val="11"/>
        <color rgb="FFD4D4D4"/>
        <rFont val="Consolas"/>
        <family val="3"/>
      </rPr>
      <t>);</t>
    </r>
  </si>
  <si>
    <r>
      <t>        </t>
    </r>
    <r>
      <rPr>
        <sz val="11"/>
        <color rgb="FF9CDCFE"/>
        <rFont val="Consolas"/>
        <family val="3"/>
      </rPr>
      <t>$retorno</t>
    </r>
    <r>
      <rPr>
        <sz val="11"/>
        <color rgb="FFD4D4D4"/>
        <rFont val="Consolas"/>
        <family val="3"/>
      </rPr>
      <t>-&gt;</t>
    </r>
    <r>
      <rPr>
        <sz val="11"/>
        <color rgb="FF9CDCFE"/>
        <rFont val="Consolas"/>
        <family val="3"/>
      </rPr>
      <t>totalPaginas</t>
    </r>
    <r>
      <rPr>
        <sz val="11"/>
        <color rgb="FFD4D4D4"/>
        <rFont val="Consolas"/>
        <family val="3"/>
      </rPr>
      <t xml:space="preserve"> = </t>
    </r>
    <r>
      <rPr>
        <sz val="11"/>
        <color rgb="FFDCDCAA"/>
        <rFont val="Consolas"/>
        <family val="3"/>
      </rPr>
      <t>ceil</t>
    </r>
    <r>
      <rPr>
        <sz val="11"/>
        <color rgb="FFD4D4D4"/>
        <rFont val="Consolas"/>
        <family val="3"/>
      </rPr>
      <t>(</t>
    </r>
    <r>
      <rPr>
        <sz val="11"/>
        <color rgb="FF9CDCFE"/>
        <rFont val="Consolas"/>
        <family val="3"/>
      </rPr>
      <t>$dao</t>
    </r>
    <r>
      <rPr>
        <sz val="11"/>
        <color rgb="FFD4D4D4"/>
        <rFont val="Consolas"/>
        <family val="3"/>
      </rPr>
      <t>-&gt;</t>
    </r>
    <r>
      <rPr>
        <sz val="11"/>
        <color rgb="FFDCDCAA"/>
        <rFont val="Consolas"/>
        <family val="3"/>
      </rPr>
      <t>count${classebase}PorStatus</t>
    </r>
    <r>
      <rPr>
        <sz val="11"/>
        <color rgb="FFD4D4D4"/>
        <rFont val="Consolas"/>
        <family val="3"/>
      </rPr>
      <t>(</t>
    </r>
    <r>
      <rPr>
        <sz val="11"/>
        <color rgb="FF9CDCFE"/>
        <rFont val="Consolas"/>
        <family val="3"/>
      </rPr>
      <t>$status</t>
    </r>
    <r>
      <rPr>
        <sz val="11"/>
        <color rgb="FFD4D4D4"/>
        <rFont val="Consolas"/>
        <family val="3"/>
      </rPr>
      <t xml:space="preserve">) / </t>
    </r>
    <r>
      <rPr>
        <sz val="11"/>
        <color rgb="FF9CDCFE"/>
        <rFont val="Consolas"/>
        <family val="3"/>
      </rPr>
      <t>$retorno</t>
    </r>
    <r>
      <rPr>
        <sz val="11"/>
        <color rgb="FFD4D4D4"/>
        <rFont val="Consolas"/>
        <family val="3"/>
      </rPr>
      <t>-&gt;</t>
    </r>
    <r>
      <rPr>
        <sz val="11"/>
        <color rgb="FF9CDCFE"/>
        <rFont val="Consolas"/>
        <family val="3"/>
      </rPr>
      <t>itensPorPagina</t>
    </r>
    <r>
      <rPr>
        <sz val="11"/>
        <color rgb="FFD4D4D4"/>
        <rFont val="Consolas"/>
        <family val="3"/>
      </rPr>
      <t>);</t>
    </r>
  </si>
  <si>
    <r>
      <t xml:space="preserve">        $retorno</t>
    </r>
    <r>
      <rPr>
        <sz val="11"/>
        <color rgb="FFD4D4D4"/>
        <rFont val="Consolas"/>
        <family val="3"/>
      </rPr>
      <t>-&gt;</t>
    </r>
    <r>
      <rPr>
        <sz val="11"/>
        <color rgb="FF9CDCFE"/>
        <rFont val="Consolas"/>
        <family val="3"/>
      </rPr>
      <t>lst</t>
    </r>
    <r>
      <rPr>
        <sz val="11"/>
        <color rgb="FFD4D4D4"/>
        <rFont val="Consolas"/>
        <family val="3"/>
      </rPr>
      <t xml:space="preserve"> = </t>
    </r>
    <r>
      <rPr>
        <sz val="11"/>
        <color rgb="FF9CDCFE"/>
        <rFont val="Consolas"/>
        <family val="3"/>
      </rPr>
      <t>$dao</t>
    </r>
    <r>
      <rPr>
        <sz val="11"/>
        <color rgb="FFD4D4D4"/>
        <rFont val="Consolas"/>
        <family val="3"/>
      </rPr>
      <t>-&gt;</t>
    </r>
    <r>
      <rPr>
        <sz val="11"/>
        <color rgb="FFDCDCAA"/>
        <rFont val="Consolas"/>
        <family val="3"/>
      </rPr>
      <t>list${classebase}PorStatus</t>
    </r>
    <r>
      <rPr>
        <sz val="11"/>
        <color rgb="FFD4D4D4"/>
        <rFont val="Consolas"/>
        <family val="3"/>
      </rPr>
      <t>(</t>
    </r>
    <r>
      <rPr>
        <sz val="11"/>
        <color rgb="FF9CDCFE"/>
        <rFont val="Consolas"/>
        <family val="3"/>
      </rPr>
      <t>$status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$pag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$qtde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$coluna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$ordem</t>
    </r>
    <r>
      <rPr>
        <sz val="11"/>
        <color rgb="FFD4D4D4"/>
        <rFont val="Consolas"/>
        <family val="3"/>
      </rPr>
      <t>);</t>
    </r>
  </si>
  <si>
    <t>* ${classebase}DTO - Data Transfer Object</t>
  </si>
  <si>
    <r>
      <t>class</t>
    </r>
    <r>
      <rPr>
        <sz val="11"/>
        <color rgb="FFD4D4D4"/>
        <rFont val="Consolas"/>
        <family val="3"/>
      </rPr>
      <t xml:space="preserve"> </t>
    </r>
    <r>
      <rPr>
        <sz val="11"/>
        <color rgb="FF4EC9B0"/>
        <rFont val="Consolas"/>
        <family val="3"/>
      </rPr>
      <t>${classebase}DTO</t>
    </r>
    <r>
      <rPr>
        <sz val="11"/>
        <color rgb="FFD4D4D4"/>
        <rFont val="Consolas"/>
        <family val="3"/>
      </rPr>
      <t xml:space="preserve"> </t>
    </r>
    <r>
      <rPr>
        <sz val="11"/>
        <color rgb="FF569CD6"/>
        <rFont val="Consolas"/>
        <family val="3"/>
      </rPr>
      <t>extends</t>
    </r>
    <r>
      <rPr>
        <sz val="11"/>
        <color rgb="FFD4D4D4"/>
        <rFont val="Consolas"/>
        <family val="3"/>
      </rPr>
      <t xml:space="preserve"> </t>
    </r>
    <r>
      <rPr>
        <sz val="11"/>
        <color rgb="FF4EC9B0"/>
        <rFont val="Consolas"/>
        <family val="3"/>
      </rPr>
      <t>DTOPadraoEntidade</t>
    </r>
    <r>
      <rPr>
        <sz val="11"/>
        <color rgb="FFD4D4D4"/>
        <rFont val="Consolas"/>
        <family val="3"/>
      </rPr>
      <t xml:space="preserve"> </t>
    </r>
    <r>
      <rPr>
        <sz val="11"/>
        <color rgb="FF569CD6"/>
        <rFont val="Consolas"/>
        <family val="3"/>
      </rPr>
      <t>implements</t>
    </r>
    <r>
      <rPr>
        <sz val="11"/>
        <color rgb="FFD4D4D4"/>
        <rFont val="Consolas"/>
        <family val="3"/>
      </rPr>
      <t xml:space="preserve"> </t>
    </r>
    <r>
      <rPr>
        <sz val="11"/>
        <color rgb="FF4EC9B0"/>
        <rFont val="Consolas"/>
        <family val="3"/>
      </rPr>
      <t>JsonSerializable</t>
    </r>
  </si>
  <si>
    <t>* @since ${agora}</t>
  </si>
  <si>
    <r>
      <t xml:space="preserve">* </t>
    </r>
    <r>
      <rPr>
        <sz val="11"/>
        <color rgb="FF569CD6"/>
        <rFont val="Consolas"/>
        <family val="3"/>
      </rPr>
      <t>@author</t>
    </r>
    <r>
      <rPr>
        <sz val="11"/>
        <color rgb="FF6A9955"/>
        <rFont val="Consolas"/>
        <family val="3"/>
      </rPr>
      <t xml:space="preserve"> ${autor} </t>
    </r>
  </si>
  <si>
    <t>* @copyright(c), Julio Vitorino &lt;julio.vitorino@gmail.com&gt;</t>
  </si>
  <si>
    <r>
      <t>interface</t>
    </r>
    <r>
      <rPr>
        <sz val="11"/>
        <color rgb="FFD4D4D4"/>
        <rFont val="Consolas"/>
        <family val="3"/>
      </rPr>
      <t xml:space="preserve"> </t>
    </r>
    <r>
      <rPr>
        <sz val="11"/>
        <color rgb="FF4EC9B0"/>
        <rFont val="Consolas"/>
        <family val="3"/>
      </rPr>
      <t>${classebase}Service</t>
    </r>
    <r>
      <rPr>
        <sz val="11"/>
        <color rgb="FFD4D4D4"/>
        <rFont val="Consolas"/>
        <family val="3"/>
      </rPr>
      <t xml:space="preserve"> </t>
    </r>
    <r>
      <rPr>
        <sz val="11"/>
        <color rgb="FF569CD6"/>
        <rFont val="Consolas"/>
        <family val="3"/>
      </rPr>
      <t>extends</t>
    </r>
    <r>
      <rPr>
        <sz val="11"/>
        <color rgb="FFD4D4D4"/>
        <rFont val="Consolas"/>
        <family val="3"/>
      </rPr>
      <t xml:space="preserve"> </t>
    </r>
    <r>
      <rPr>
        <sz val="11"/>
        <color rgb="FF4EC9B0"/>
        <rFont val="Consolas"/>
        <family val="3"/>
      </rPr>
      <t>AppService</t>
    </r>
  </si>
  <si>
    <r>
      <t>    </t>
    </r>
    <r>
      <rPr>
        <sz val="11"/>
        <color rgb="FF569CD6"/>
        <rFont val="Consolas"/>
        <family val="3"/>
      </rPr>
      <t>public</t>
    </r>
    <r>
      <rPr>
        <sz val="11"/>
        <color rgb="FFD4D4D4"/>
        <rFont val="Consolas"/>
        <family val="3"/>
      </rPr>
      <t xml:space="preserve"> </t>
    </r>
    <r>
      <rPr>
        <sz val="11"/>
        <color rgb="FF569CD6"/>
        <rFont val="Consolas"/>
        <family val="3"/>
      </rPr>
      <t>function</t>
    </r>
    <r>
      <rPr>
        <sz val="11"/>
        <color rgb="FFD4D4D4"/>
        <rFont val="Consolas"/>
        <family val="3"/>
      </rPr>
      <t xml:space="preserve"> </t>
    </r>
    <r>
      <rPr>
        <sz val="11"/>
        <color rgb="FFDCDCAA"/>
        <rFont val="Consolas"/>
        <family val="3"/>
      </rPr>
      <t>autalizarStatus${classebase}</t>
    </r>
    <r>
      <rPr>
        <sz val="11"/>
        <color rgb="FFD4D4D4"/>
        <rFont val="Consolas"/>
        <family val="3"/>
      </rPr>
      <t>(</t>
    </r>
    <r>
      <rPr>
        <sz val="11"/>
        <color rgb="FF9CDCFE"/>
        <rFont val="Consolas"/>
        <family val="3"/>
      </rPr>
      <t>$${pkdto}</t>
    </r>
    <r>
      <rPr>
        <sz val="11"/>
        <color rgb="FFD4D4D4"/>
        <rFont val="Consolas"/>
        <family val="3"/>
      </rPr>
      <t>,</t>
    </r>
    <r>
      <rPr>
        <sz val="11"/>
        <color rgb="FF9CDCFE"/>
        <rFont val="Consolas"/>
        <family val="3"/>
      </rPr>
      <t xml:space="preserve"> $status</t>
    </r>
    <r>
      <rPr>
        <sz val="11"/>
        <color rgb="FFD4D4D4"/>
        <rFont val="Consolas"/>
        <family val="3"/>
      </rPr>
      <t>);</t>
    </r>
  </si>
  <si>
    <r>
      <t>require_once</t>
    </r>
    <r>
      <rPr>
        <sz val="11"/>
        <color rgb="FFD4D4D4"/>
        <rFont val="Consolas"/>
        <family val="3"/>
      </rPr>
      <t xml:space="preserve"> </t>
    </r>
    <r>
      <rPr>
        <sz val="11"/>
        <color rgb="FFCE9178"/>
        <rFont val="Consolas"/>
        <family val="3"/>
      </rPr>
      <t>'${classebase}Service.php'</t>
    </r>
    <r>
      <rPr>
        <sz val="11"/>
        <color rgb="FFD4D4D4"/>
        <rFont val="Consolas"/>
        <family val="3"/>
      </rPr>
      <t>;</t>
    </r>
  </si>
  <si>
    <t>require_once '${classebase}BusinessImpl.php';</t>
  </si>
  <si>
    <t>class ${classebase}ServiceImpl implements ${classebase}Service</t>
  </si>
  <si>
    <t>* ${classebase}ServiceImpl - Implementação dos servicos para ${classebasedesc}</t>
  </si>
  <si>
    <t xml:space="preserve">* Por exemplo: quando estamos prestes a sacar dinheiro em um caixa eletrônico, </t>
  </si>
  <si>
    <t xml:space="preserve">* a condição primordial para isto acontecer é que exista saldo na sua conta. </t>
  </si>
  <si>
    <t xml:space="preserve">* Ou seja, é a camada que contém a lógica de como o sistema trabalha </t>
  </si>
  <si>
    <t>* como o negócio transcorre.</t>
  </si>
  <si>
    <t xml:space="preserve">* Camada de Serviços ${classebase} - camada responsável pela lógica de negócios de ${classebase} do sistema. </t>
  </si>
  <si>
    <t>* @autor ${autor}</t>
  </si>
  <si>
    <t xml:space="preserve">* Não é uma camada visível para outros dispositivos, como as camadas de apresentação e aplicação. </t>
  </si>
  <si>
    <t>* Responsabilidades dessa classe</t>
  </si>
  <si>
    <t>* 1) Abrir um contexto transacional com a fábrica de banco de dados</t>
  </si>
  <si>
    <t>* 2) Abrir uma comunicação com as classes de negócio (Business classes)</t>
  </si>
  <si>
    <t>* 3) Receber o retorno e decidir sobre o commit() ou rollback()</t>
  </si>
  <si>
    <t>* Changelog:</t>
  </si>
  <si>
    <t>* atualizar() - Usado para invocar a classe de negócio ${classebase}BusinessImpl de forma geral</t>
  </si>
  <si>
    <t>* para gerenciar as regras de negócio do sistema.</t>
  </si>
  <si>
    <t>* @param ${classebase}DTO contendo dados para enviar para atualização</t>
  </si>
  <si>
    <t>    public function autalizarStatus${classebase}($${pkdto}, $status)</t>
  </si>
  <si>
    <t>           $bo = new ${classebase}BusinessImpl();</t>
  </si>
  <si>
    <t>           $retorno = $bo-&gt;atualizarStatus($daofactory, $${pkdto}, $status);</t>
  </si>
  <si>
    <t>            // listar paginado ${classebase}</t>
  </si>
  <si>
    <t>            // pesquisar pela PK da tabela ${classebase}</t>
  </si>
  <si>
    <r>
      <t>           </t>
    </r>
    <r>
      <rPr>
        <sz val="11"/>
        <color rgb="FF9CDCFE"/>
        <rFont val="Consolas"/>
        <family val="3"/>
      </rPr>
      <t>$retorno</t>
    </r>
    <r>
      <rPr>
        <sz val="11"/>
        <color rgb="FFD4D4D4"/>
        <rFont val="Consolas"/>
        <family val="3"/>
      </rPr>
      <t xml:space="preserve"> = </t>
    </r>
    <r>
      <rPr>
        <sz val="11"/>
        <color rgb="FF9CDCFE"/>
        <rFont val="Consolas"/>
        <family val="3"/>
      </rPr>
      <t>$bo</t>
    </r>
    <r>
      <rPr>
        <sz val="11"/>
        <color rgb="FFD4D4D4"/>
        <rFont val="Consolas"/>
        <family val="3"/>
      </rPr>
      <t>-&gt;</t>
    </r>
    <r>
      <rPr>
        <sz val="11"/>
        <color rgb="FFDCDCAA"/>
        <rFont val="Consolas"/>
        <family val="3"/>
      </rPr>
      <t>carregarPorID</t>
    </r>
    <r>
      <rPr>
        <sz val="11"/>
        <color rgb="FFD4D4D4"/>
        <rFont val="Consolas"/>
        <family val="3"/>
      </rPr>
      <t>(</t>
    </r>
    <r>
      <rPr>
        <sz val="11"/>
        <color rgb="FF9CDCFE"/>
        <rFont val="Consolas"/>
        <family val="3"/>
      </rPr>
      <t>$daofactory</t>
    </r>
    <r>
      <rPr>
        <sz val="11"/>
        <color rgb="FFD4D4D4"/>
        <rFont val="Consolas"/>
        <family val="3"/>
      </rPr>
      <t>, $</t>
    </r>
    <r>
      <rPr>
        <sz val="11"/>
        <color rgb="FF9CDCFE"/>
        <rFont val="Consolas"/>
        <family val="3"/>
      </rPr>
      <t>${pkdto}</t>
    </r>
    <r>
      <rPr>
        <sz val="11"/>
        <color rgb="FFD4D4D4"/>
        <rFont val="Consolas"/>
        <family val="3"/>
      </rPr>
      <t>);</t>
    </r>
  </si>
  <si>
    <t xml:space="preserve">           // listar paginado ${classebase}</t>
  </si>
  <si>
    <r>
      <t xml:space="preserve">           $bo</t>
    </r>
    <r>
      <rPr>
        <sz val="11"/>
        <color rgb="FFD4D4D4"/>
        <rFont val="Consolas"/>
        <family val="3"/>
      </rPr>
      <t xml:space="preserve"> = </t>
    </r>
    <r>
      <rPr>
        <sz val="11"/>
        <color rgb="FF569CD6"/>
        <rFont val="Consolas"/>
        <family val="3"/>
      </rPr>
      <t>new</t>
    </r>
    <r>
      <rPr>
        <sz val="11"/>
        <color rgb="FFD4D4D4"/>
        <rFont val="Consolas"/>
        <family val="3"/>
      </rPr>
      <t xml:space="preserve"> </t>
    </r>
    <r>
      <rPr>
        <sz val="11"/>
        <color rgb="FF4EC9B0"/>
        <rFont val="Consolas"/>
        <family val="3"/>
      </rPr>
      <t>${classebase}BusinessImpl</t>
    </r>
    <r>
      <rPr>
        <sz val="11"/>
        <color rgb="FFD4D4D4"/>
        <rFont val="Consolas"/>
        <family val="3"/>
      </rPr>
      <t>();</t>
    </r>
  </si>
  <si>
    <r>
      <t xml:space="preserve">           $retorno</t>
    </r>
    <r>
      <rPr>
        <sz val="11"/>
        <color rgb="FFD4D4D4"/>
        <rFont val="Consolas"/>
        <family val="3"/>
      </rPr>
      <t xml:space="preserve"> = </t>
    </r>
    <r>
      <rPr>
        <sz val="11"/>
        <color rgb="FF9CDCFE"/>
        <rFont val="Consolas"/>
        <family val="3"/>
      </rPr>
      <t>$bo</t>
    </r>
    <r>
      <rPr>
        <sz val="11"/>
        <color rgb="FFD4D4D4"/>
        <rFont val="Consolas"/>
        <family val="3"/>
      </rPr>
      <t>-&gt;</t>
    </r>
    <r>
      <rPr>
        <sz val="11"/>
        <color rgb="FFDCDCAA"/>
        <rFont val="Consolas"/>
        <family val="3"/>
      </rPr>
      <t>listar${classebase}PorStatus</t>
    </r>
    <r>
      <rPr>
        <sz val="11"/>
        <color rgb="FFD4D4D4"/>
        <rFont val="Consolas"/>
        <family val="3"/>
      </rPr>
      <t>(</t>
    </r>
    <r>
      <rPr>
        <sz val="11"/>
        <color rgb="FF9CDCFE"/>
        <rFont val="Consolas"/>
        <family val="3"/>
      </rPr>
      <t>$daofactory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$status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$pag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$qtde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$coluna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$ordem</t>
    </r>
    <r>
      <rPr>
        <sz val="11"/>
        <color rgb="FFD4D4D4"/>
        <rFont val="Consolas"/>
        <family val="3"/>
      </rPr>
      <t>);</t>
    </r>
  </si>
  <si>
    <t>* atualizarStatus${classebase}() - Usado para invocar a classe de negócio ${classebase}BusinessImpl de forma geral</t>
  </si>
  <si>
    <t>* para gerenciar as atualizações do campo STATUS de acordo as regras de negócio do sistema.</t>
  </si>
  <si>
    <t>* @param $status</t>
  </si>
  <si>
    <t>* @param $${pkdto}</t>
  </si>
  <si>
    <t>* @return uma instância de ${classebase}DTO com resultdo da operação</t>
  </si>
  <si>
    <t>* cadastrar() - Usado para invocar a classe de negócio ${classebase}BusinessImpl de forma geral</t>
  </si>
  <si>
    <t>* para gerenciar a criação de registro de acordo as regras de negócio do sistema.</t>
  </si>
  <si>
    <t>* @param $dto - Instância de ${classebase}DTO</t>
  </si>
  <si>
    <t>* ${classebase}Business - Interface dos métodos de negócio para classe ${classebase}</t>
  </si>
  <si>
    <t xml:space="preserve">* Camada de negócio ${classebase} - camada responsável pela lógica de negócios de ${classebase} do sistema. </t>
  </si>
  <si>
    <t>* 1) Receber o pedido de uma classe de negócio do sistema</t>
  </si>
  <si>
    <t>* 2) Produzir a regra de negócio de acordo com cada método</t>
  </si>
  <si>
    <t>* 3) Acessar o banco de dados através das interfaces DAOs</t>
  </si>
  <si>
    <t>* 4) Verificar o resultado e retornar um objeto e uma mensagem de alto nível para a camada de serviço</t>
  </si>
  <si>
    <r>
      <t>    </t>
    </r>
    <r>
      <rPr>
        <sz val="11"/>
        <color rgb="FF569CD6"/>
        <rFont val="Consolas"/>
        <family val="3"/>
      </rPr>
      <t>public</t>
    </r>
    <r>
      <rPr>
        <sz val="11"/>
        <color rgb="FFD4D4D4"/>
        <rFont val="Consolas"/>
        <family val="3"/>
      </rPr>
      <t xml:space="preserve"> </t>
    </r>
    <r>
      <rPr>
        <sz val="11"/>
        <color rgb="FF569CD6"/>
        <rFont val="Consolas"/>
        <family val="3"/>
      </rPr>
      <t>function</t>
    </r>
    <r>
      <rPr>
        <sz val="11"/>
        <color rgb="FFD4D4D4"/>
        <rFont val="Consolas"/>
        <family val="3"/>
      </rPr>
      <t xml:space="preserve"> </t>
    </r>
    <r>
      <rPr>
        <sz val="11"/>
        <color rgb="FFDCDCAA"/>
        <rFont val="Consolas"/>
        <family val="3"/>
      </rPr>
      <t>atualizarStatus</t>
    </r>
    <r>
      <rPr>
        <sz val="11"/>
        <color rgb="FFD4D4D4"/>
        <rFont val="Consolas"/>
        <family val="3"/>
      </rPr>
      <t>(</t>
    </r>
    <r>
      <rPr>
        <sz val="11"/>
        <color rgb="FF9CDCFE"/>
        <rFont val="Consolas"/>
        <family val="3"/>
      </rPr>
      <t>$daofactory</t>
    </r>
    <r>
      <rPr>
        <sz val="11"/>
        <color rgb="FFD4D4D4"/>
        <rFont val="Consolas"/>
        <family val="3"/>
      </rPr>
      <t>,</t>
    </r>
    <r>
      <rPr>
        <sz val="11"/>
        <color rgb="FF9CDCFE"/>
        <rFont val="Consolas"/>
        <family val="3"/>
      </rPr>
      <t xml:space="preserve"> $${pkdto}</t>
    </r>
    <r>
      <rPr>
        <sz val="11"/>
        <color rgb="FFD4D4D4"/>
        <rFont val="Consolas"/>
        <family val="3"/>
      </rPr>
      <t>,</t>
    </r>
    <r>
      <rPr>
        <sz val="11"/>
        <color rgb="FF9CDCFE"/>
        <rFont val="Consolas"/>
        <family val="3"/>
      </rPr>
      <t xml:space="preserve"> $status</t>
    </r>
    <r>
      <rPr>
        <sz val="11"/>
        <color rgb="FFD4D4D4"/>
        <rFont val="Consolas"/>
        <family val="3"/>
      </rPr>
      <t>);</t>
    </r>
  </si>
  <si>
    <r>
      <t xml:space="preserve">    public</t>
    </r>
    <r>
      <rPr>
        <sz val="11"/>
        <color rgb="FFD4D4D4"/>
        <rFont val="Consolas"/>
        <family val="3"/>
      </rPr>
      <t xml:space="preserve"> </t>
    </r>
    <r>
      <rPr>
        <sz val="11"/>
        <color rgb="FF569CD6"/>
        <rFont val="Consolas"/>
        <family val="3"/>
      </rPr>
      <t>function</t>
    </r>
    <r>
      <rPr>
        <sz val="11"/>
        <color rgb="FFD4D4D4"/>
        <rFont val="Consolas"/>
        <family val="3"/>
      </rPr>
      <t xml:space="preserve"> </t>
    </r>
    <r>
      <rPr>
        <sz val="11"/>
        <color rgb="FFDCDCAA"/>
        <rFont val="Consolas"/>
        <family val="3"/>
      </rPr>
      <t>listar${classebase}PorStatus</t>
    </r>
    <r>
      <rPr>
        <sz val="11"/>
        <color rgb="FFD4D4D4"/>
        <rFont val="Consolas"/>
        <family val="3"/>
      </rPr>
      <t>(</t>
    </r>
    <r>
      <rPr>
        <sz val="11"/>
        <color rgb="FF9CDCFE"/>
        <rFont val="Consolas"/>
        <family val="3"/>
      </rPr>
      <t>$daofactory</t>
    </r>
    <r>
      <rPr>
        <sz val="11"/>
        <color rgb="FFD4D4D4"/>
        <rFont val="Consolas"/>
        <family val="3"/>
      </rPr>
      <t>,</t>
    </r>
    <r>
      <rPr>
        <sz val="11"/>
        <color rgb="FF9CDCFE"/>
        <rFont val="Consolas"/>
        <family val="3"/>
      </rPr>
      <t xml:space="preserve"> $status</t>
    </r>
    <r>
      <rPr>
        <sz val="11"/>
        <color rgb="FFD4D4D4"/>
        <rFont val="Consolas"/>
        <family val="3"/>
      </rPr>
      <t>,</t>
    </r>
    <r>
      <rPr>
        <sz val="11"/>
        <color rgb="FF9CDCFE"/>
        <rFont val="Consolas"/>
        <family val="3"/>
      </rPr>
      <t xml:space="preserve"> $pag</t>
    </r>
    <r>
      <rPr>
        <sz val="11"/>
        <color rgb="FFD4D4D4"/>
        <rFont val="Consolas"/>
        <family val="3"/>
      </rPr>
      <t>,</t>
    </r>
    <r>
      <rPr>
        <sz val="11"/>
        <color rgb="FF9CDCFE"/>
        <rFont val="Consolas"/>
        <family val="3"/>
      </rPr>
      <t xml:space="preserve"> $qtde</t>
    </r>
    <r>
      <rPr>
        <sz val="11"/>
        <color rgb="FFD4D4D4"/>
        <rFont val="Consolas"/>
        <family val="3"/>
      </rPr>
      <t>,</t>
    </r>
    <r>
      <rPr>
        <sz val="11"/>
        <color rgb="FF9CDCFE"/>
        <rFont val="Consolas"/>
        <family val="3"/>
      </rPr>
      <t xml:space="preserve"> $coluna</t>
    </r>
    <r>
      <rPr>
        <sz val="11"/>
        <color rgb="FFD4D4D4"/>
        <rFont val="Consolas"/>
        <family val="3"/>
      </rPr>
      <t>,</t>
    </r>
    <r>
      <rPr>
        <sz val="11"/>
        <color rgb="FF9CDCFE"/>
        <rFont val="Consolas"/>
        <family val="3"/>
      </rPr>
      <t xml:space="preserve"> $ordem</t>
    </r>
    <r>
      <rPr>
        <sz val="11"/>
        <color rgb="FFD4D4D4"/>
        <rFont val="Consolas"/>
        <family val="3"/>
      </rPr>
      <t>);</t>
    </r>
  </si>
  <si>
    <t>* ${classebase}Service - Interfaces dos servicos para ${classebasedesc}</t>
  </si>
  <si>
    <t xml:space="preserve">* Interface de Serviços ${classebase} - camada responsável pela lógica de negócios de ${classebase} do sistema. </t>
  </si>
  <si>
    <t>* ${classebase}BusinessImpl - Classe de implementação dos métodos de negócio para a interface ${classebase}Business</t>
  </si>
  <si>
    <r>
      <t>interface</t>
    </r>
    <r>
      <rPr>
        <sz val="11"/>
        <color rgb="FFD4D4D4"/>
        <rFont val="Consolas"/>
        <family val="3"/>
      </rPr>
      <t xml:space="preserve"> </t>
    </r>
    <r>
      <rPr>
        <sz val="11"/>
        <color rgb="FF4EC9B0"/>
        <rFont val="Consolas"/>
        <family val="3"/>
      </rPr>
      <t>${classebase}DAO</t>
    </r>
    <r>
      <rPr>
        <sz val="11"/>
        <color rgb="FFD4D4D4"/>
        <rFont val="Consolas"/>
        <family val="3"/>
      </rPr>
      <t xml:space="preserve"> </t>
    </r>
    <r>
      <rPr>
        <sz val="11"/>
        <color rgb="FF569CD6"/>
        <rFont val="Consolas"/>
        <family val="3"/>
      </rPr>
      <t>extends</t>
    </r>
    <r>
      <rPr>
        <sz val="11"/>
        <color rgb="FFD4D4D4"/>
        <rFont val="Consolas"/>
        <family val="3"/>
      </rPr>
      <t xml:space="preserve"> </t>
    </r>
    <r>
      <rPr>
        <sz val="11"/>
        <color rgb="FF4EC9B0"/>
        <rFont val="Consolas"/>
        <family val="3"/>
      </rPr>
      <t>DAO</t>
    </r>
  </si>
  <si>
    <r>
      <t>    </t>
    </r>
    <r>
      <rPr>
        <sz val="11"/>
        <color rgb="FF569CD6"/>
        <rFont val="Consolas"/>
        <family val="3"/>
      </rPr>
      <t>public</t>
    </r>
    <r>
      <rPr>
        <sz val="11"/>
        <color rgb="FFD4D4D4"/>
        <rFont val="Consolas"/>
        <family val="3"/>
      </rPr>
      <t xml:space="preserve"> </t>
    </r>
    <r>
      <rPr>
        <sz val="11"/>
        <color rgb="FF569CD6"/>
        <rFont val="Consolas"/>
        <family val="3"/>
      </rPr>
      <t>function</t>
    </r>
    <r>
      <rPr>
        <sz val="11"/>
        <color rgb="FFD4D4D4"/>
        <rFont val="Consolas"/>
        <family val="3"/>
      </rPr>
      <t xml:space="preserve"> </t>
    </r>
    <r>
      <rPr>
        <sz val="11"/>
        <color rgb="FFDCDCAA"/>
        <rFont val="Consolas"/>
        <family val="3"/>
      </rPr>
      <t>updateStatus</t>
    </r>
    <r>
      <rPr>
        <sz val="11"/>
        <color rgb="FFD4D4D4"/>
        <rFont val="Consolas"/>
        <family val="3"/>
      </rPr>
      <t>(</t>
    </r>
    <r>
      <rPr>
        <sz val="11"/>
        <color rgb="FF9CDCFE"/>
        <rFont val="Consolas"/>
        <family val="3"/>
      </rPr>
      <t>$${pkdto}</t>
    </r>
    <r>
      <rPr>
        <sz val="11"/>
        <color rgb="FFD4D4D4"/>
        <rFont val="Consolas"/>
        <family val="3"/>
      </rPr>
      <t>,</t>
    </r>
    <r>
      <rPr>
        <sz val="11"/>
        <color rgb="FF9CDCFE"/>
        <rFont val="Consolas"/>
        <family val="3"/>
      </rPr>
      <t xml:space="preserve"> $status</t>
    </r>
    <r>
      <rPr>
        <sz val="11"/>
        <color rgb="FFD4D4D4"/>
        <rFont val="Consolas"/>
        <family val="3"/>
      </rPr>
      <t>);</t>
    </r>
  </si>
  <si>
    <r>
      <t xml:space="preserve">    public</t>
    </r>
    <r>
      <rPr>
        <sz val="11"/>
        <color rgb="FFD4D4D4"/>
        <rFont val="Consolas"/>
        <family val="3"/>
      </rPr>
      <t xml:space="preserve"> </t>
    </r>
    <r>
      <rPr>
        <sz val="11"/>
        <color rgb="FF569CD6"/>
        <rFont val="Consolas"/>
        <family val="3"/>
      </rPr>
      <t>function</t>
    </r>
    <r>
      <rPr>
        <sz val="11"/>
        <color rgb="FFD4D4D4"/>
        <rFont val="Consolas"/>
        <family val="3"/>
      </rPr>
      <t xml:space="preserve"> </t>
    </r>
    <r>
      <rPr>
        <sz val="11"/>
        <color rgb="FFDCDCAA"/>
        <rFont val="Consolas"/>
        <family val="3"/>
      </rPr>
      <t>list${classebase}Status</t>
    </r>
    <r>
      <rPr>
        <sz val="11"/>
        <color rgb="FFD4D4D4"/>
        <rFont val="Consolas"/>
        <family val="3"/>
      </rPr>
      <t>(</t>
    </r>
    <r>
      <rPr>
        <sz val="11"/>
        <color rgb="FF9CDCFE"/>
        <rFont val="Consolas"/>
        <family val="3"/>
      </rPr>
      <t>$status</t>
    </r>
    <r>
      <rPr>
        <sz val="11"/>
        <color rgb="FFD4D4D4"/>
        <rFont val="Consolas"/>
        <family val="3"/>
      </rPr>
      <t>);</t>
    </r>
  </si>
  <si>
    <r>
      <t xml:space="preserve">    public</t>
    </r>
    <r>
      <rPr>
        <sz val="11"/>
        <color rgb="FFD4D4D4"/>
        <rFont val="Consolas"/>
        <family val="3"/>
      </rPr>
      <t xml:space="preserve"> </t>
    </r>
    <r>
      <rPr>
        <sz val="11"/>
        <color rgb="FF569CD6"/>
        <rFont val="Consolas"/>
        <family val="3"/>
      </rPr>
      <t>function</t>
    </r>
    <r>
      <rPr>
        <sz val="11"/>
        <color rgb="FFD4D4D4"/>
        <rFont val="Consolas"/>
        <family val="3"/>
      </rPr>
      <t xml:space="preserve"> </t>
    </r>
    <r>
      <rPr>
        <sz val="11"/>
        <color rgb="FFDCDCAA"/>
        <rFont val="Consolas"/>
        <family val="3"/>
      </rPr>
      <t>count${classebase}PorStatus</t>
    </r>
    <r>
      <rPr>
        <sz val="11"/>
        <color rgb="FFD4D4D4"/>
        <rFont val="Consolas"/>
        <family val="3"/>
      </rPr>
      <t>(</t>
    </r>
    <r>
      <rPr>
        <sz val="11"/>
        <color rgb="FF9CDCFE"/>
        <rFont val="Consolas"/>
        <family val="3"/>
      </rPr>
      <t>$status</t>
    </r>
    <r>
      <rPr>
        <sz val="11"/>
        <color rgb="FFD4D4D4"/>
        <rFont val="Consolas"/>
        <family val="3"/>
      </rPr>
      <t>);</t>
    </r>
  </si>
  <si>
    <r>
      <t xml:space="preserve">    public</t>
    </r>
    <r>
      <rPr>
        <sz val="11"/>
        <color rgb="FFD4D4D4"/>
        <rFont val="Consolas"/>
        <family val="3"/>
      </rPr>
      <t xml:space="preserve"> </t>
    </r>
    <r>
      <rPr>
        <sz val="11"/>
        <color rgb="FF569CD6"/>
        <rFont val="Consolas"/>
        <family val="3"/>
      </rPr>
      <t>function</t>
    </r>
    <r>
      <rPr>
        <sz val="11"/>
        <color rgb="FFD4D4D4"/>
        <rFont val="Consolas"/>
        <family val="3"/>
      </rPr>
      <t xml:space="preserve"> </t>
    </r>
    <r>
      <rPr>
        <sz val="11"/>
        <color rgb="FFDCDCAA"/>
        <rFont val="Consolas"/>
        <family val="3"/>
      </rPr>
      <t>list${classebase}PorStatus</t>
    </r>
    <r>
      <rPr>
        <sz val="11"/>
        <color rgb="FFD4D4D4"/>
        <rFont val="Consolas"/>
        <family val="3"/>
      </rPr>
      <t>(</t>
    </r>
    <r>
      <rPr>
        <sz val="11"/>
        <color rgb="FF9CDCFE"/>
        <rFont val="Consolas"/>
        <family val="3"/>
      </rPr>
      <t>$status</t>
    </r>
    <r>
      <rPr>
        <sz val="11"/>
        <color rgb="FFD4D4D4"/>
        <rFont val="Consolas"/>
        <family val="3"/>
      </rPr>
      <t>,</t>
    </r>
    <r>
      <rPr>
        <sz val="11"/>
        <color rgb="FF9CDCFE"/>
        <rFont val="Consolas"/>
        <family val="3"/>
      </rPr>
      <t xml:space="preserve"> $pag</t>
    </r>
    <r>
      <rPr>
        <sz val="11"/>
        <color rgb="FFD4D4D4"/>
        <rFont val="Consolas"/>
        <family val="3"/>
      </rPr>
      <t>,</t>
    </r>
    <r>
      <rPr>
        <sz val="11"/>
        <color rgb="FF9CDCFE"/>
        <rFont val="Consolas"/>
        <family val="3"/>
      </rPr>
      <t xml:space="preserve"> $qtde</t>
    </r>
    <r>
      <rPr>
        <sz val="11"/>
        <color rgb="FFD4D4D4"/>
        <rFont val="Consolas"/>
        <family val="3"/>
      </rPr>
      <t>,</t>
    </r>
    <r>
      <rPr>
        <sz val="11"/>
        <color rgb="FF9CDCFE"/>
        <rFont val="Consolas"/>
        <family val="3"/>
      </rPr>
      <t xml:space="preserve"> $coluna</t>
    </r>
    <r>
      <rPr>
        <sz val="11"/>
        <color rgb="FFD4D4D4"/>
        <rFont val="Consolas"/>
        <family val="3"/>
      </rPr>
      <t>,</t>
    </r>
    <r>
      <rPr>
        <sz val="11"/>
        <color rgb="FF9CDCFE"/>
        <rFont val="Consolas"/>
        <family val="3"/>
      </rPr>
      <t xml:space="preserve"> $ordem</t>
    </r>
    <r>
      <rPr>
        <sz val="11"/>
        <color rgb="FFD4D4D4"/>
        <rFont val="Consolas"/>
        <family val="3"/>
      </rPr>
      <t>);</t>
    </r>
  </si>
  <si>
    <t>* ${classebase}DAO - Interface dos métodos de acesso aos dados da tabela ${tabela}</t>
  </si>
  <si>
    <t xml:space="preserve">* Camada de dados ${classebase} - camada responsável SOMENTE pela acesso aos dados do sistema. </t>
  </si>
  <si>
    <t>class DmlSql${classebase} extends DmlSql</t>
  </si>
  <si>
    <t xml:space="preserve">* DmlSql${classebase} - Classe de com todos os comandos DML e DDL (se necessário) para apoio </t>
  </si>
  <si>
    <t>* a classe MySQL${classebase}DAO</t>
  </si>
  <si>
    <t>* 1) Receber os dados de pesquisa ou CRUD</t>
  </si>
  <si>
    <t>* 2) Processar o pedido no banco de dados</t>
  </si>
  <si>
    <t>* 3) Retornar um ${classebase}DTO, Array[]&lt;${classebase}DTO&gt; ou falha em modo booleano</t>
  </si>
  <si>
    <t>* MySqlKinghost${classebase}DAO - Implementação DAO</t>
  </si>
  <si>
    <r>
      <t>require_once</t>
    </r>
    <r>
      <rPr>
        <sz val="11"/>
        <color rgb="FFD4D4D4"/>
        <rFont val="Consolas"/>
        <family val="3"/>
      </rPr>
      <t xml:space="preserve"> </t>
    </r>
    <r>
      <rPr>
        <sz val="11"/>
        <color rgb="FFCE9178"/>
        <rFont val="Consolas"/>
        <family val="3"/>
      </rPr>
      <t>'${classebase}DTO.php'</t>
    </r>
    <r>
      <rPr>
        <sz val="11"/>
        <color rgb="FFD4D4D4"/>
        <rFont val="Consolas"/>
        <family val="3"/>
      </rPr>
      <t>;</t>
    </r>
  </si>
  <si>
    <r>
      <t>require_once</t>
    </r>
    <r>
      <rPr>
        <sz val="11"/>
        <color rgb="FFD4D4D4"/>
        <rFont val="Consolas"/>
        <family val="3"/>
      </rPr>
      <t xml:space="preserve"> </t>
    </r>
    <r>
      <rPr>
        <sz val="11"/>
        <color rgb="FFCE9178"/>
        <rFont val="Consolas"/>
        <family val="3"/>
      </rPr>
      <t>'${classebase}DAO.php'</t>
    </r>
    <r>
      <rPr>
        <sz val="11"/>
        <color rgb="FFD4D4D4"/>
        <rFont val="Consolas"/>
        <family val="3"/>
      </rPr>
      <t>;</t>
    </r>
  </si>
  <si>
    <t>require_once 'DmlSql${classebase}.php';</t>
  </si>
  <si>
    <t>class MySqlKinghost${classebase}DAO implements ${classebase}DAO</t>
  </si>
  <si>
    <t>        $stmt = $conexao-&gt;prepare(DmlSql${classebase}::UPD_PK);</t>
  </si>
  <si>
    <t>        $stmt = $conexao-&gt;prepare(DmlSql${classebase}::DEL_PK);</t>
  </si>
  <si>
    <t>    public function list${classebase}Status($status)</t>
  </si>
  <si>
    <r>
      <t xml:space="preserve">    public</t>
    </r>
    <r>
      <rPr>
        <sz val="11"/>
        <color rgb="FFD4D4D4"/>
        <rFont val="Consolas"/>
        <family val="3"/>
      </rPr>
      <t xml:space="preserve"> </t>
    </r>
    <r>
      <rPr>
        <sz val="11"/>
        <color rgb="FF569CD6"/>
        <rFont val="Consolas"/>
        <family val="3"/>
      </rPr>
      <t>function</t>
    </r>
    <r>
      <rPr>
        <sz val="11"/>
        <color rgb="FFD4D4D4"/>
        <rFont val="Consolas"/>
        <family val="3"/>
      </rPr>
      <t xml:space="preserve"> </t>
    </r>
    <r>
      <rPr>
        <sz val="11"/>
        <color rgb="FFDCDCAA"/>
        <rFont val="Consolas"/>
        <family val="3"/>
      </rPr>
      <t>count${classebase}PorStatus</t>
    </r>
    <r>
      <rPr>
        <sz val="11"/>
        <color rgb="FFD4D4D4"/>
        <rFont val="Consolas"/>
        <family val="3"/>
      </rPr>
      <t>(</t>
    </r>
    <r>
      <rPr>
        <sz val="11"/>
        <color rgb="FF9CDCFE"/>
        <rFont val="Consolas"/>
        <family val="3"/>
      </rPr>
      <t>$status</t>
    </r>
    <r>
      <rPr>
        <sz val="11"/>
        <color rgb="FFD4D4D4"/>
        <rFont val="Consolas"/>
        <family val="3"/>
      </rPr>
      <t>)</t>
    </r>
  </si>
  <si>
    <r>
      <t>        </t>
    </r>
    <r>
      <rPr>
        <sz val="11"/>
        <color rgb="FF9CDCFE"/>
        <rFont val="Consolas"/>
        <family val="3"/>
      </rPr>
      <t>$res</t>
    </r>
    <r>
      <rPr>
        <sz val="11"/>
        <color rgb="FFD4D4D4"/>
        <rFont val="Consolas"/>
        <family val="3"/>
      </rPr>
      <t xml:space="preserve"> = </t>
    </r>
    <r>
      <rPr>
        <sz val="11"/>
        <color rgb="FF9CDCFE"/>
        <rFont val="Consolas"/>
        <family val="3"/>
      </rPr>
      <t>$conexao</t>
    </r>
    <r>
      <rPr>
        <sz val="11"/>
        <color rgb="FFD4D4D4"/>
        <rFont val="Consolas"/>
        <family val="3"/>
      </rPr>
      <t>-&gt;</t>
    </r>
    <r>
      <rPr>
        <sz val="11"/>
        <color rgb="FFDCDCAA"/>
        <rFont val="Consolas"/>
        <family val="3"/>
      </rPr>
      <t>query</t>
    </r>
    <r>
      <rPr>
        <sz val="11"/>
        <color rgb="FFD4D4D4"/>
        <rFont val="Consolas"/>
        <family val="3"/>
      </rPr>
      <t>(</t>
    </r>
    <r>
      <rPr>
        <sz val="11"/>
        <color rgb="FF4EC9B0"/>
        <rFont val="Consolas"/>
        <family val="3"/>
      </rPr>
      <t>DmlSql${classebase}</t>
    </r>
    <r>
      <rPr>
        <sz val="11"/>
        <color rgb="FFD4D4D4"/>
        <rFont val="Consolas"/>
        <family val="3"/>
      </rPr>
      <t xml:space="preserve">::SQL_COUNT . </t>
    </r>
    <r>
      <rPr>
        <sz val="11"/>
        <color rgb="FFCE9178"/>
        <rFont val="Consolas"/>
        <family val="3"/>
      </rPr>
      <t>' WHERE '</t>
    </r>
    <r>
      <rPr>
        <sz val="11"/>
        <color rgb="FFD4D4D4"/>
        <rFont val="Consolas"/>
        <family val="3"/>
      </rPr>
      <t xml:space="preserve"> </t>
    </r>
  </si>
  <si>
    <r>
      <t xml:space="preserve">    public</t>
    </r>
    <r>
      <rPr>
        <sz val="11"/>
        <color rgb="FFD4D4D4"/>
        <rFont val="Consolas"/>
        <family val="3"/>
      </rPr>
      <t xml:space="preserve"> </t>
    </r>
    <r>
      <rPr>
        <sz val="11"/>
        <color rgb="FF569CD6"/>
        <rFont val="Consolas"/>
        <family val="3"/>
      </rPr>
      <t>function</t>
    </r>
    <r>
      <rPr>
        <sz val="11"/>
        <color rgb="FFD4D4D4"/>
        <rFont val="Consolas"/>
        <family val="3"/>
      </rPr>
      <t xml:space="preserve"> </t>
    </r>
    <r>
      <rPr>
        <sz val="11"/>
        <color rgb="FFDCDCAA"/>
        <rFont val="Consolas"/>
        <family val="3"/>
      </rPr>
      <t>list${classebase}PorStatus</t>
    </r>
    <r>
      <rPr>
        <sz val="11"/>
        <color rgb="FFD4D4D4"/>
        <rFont val="Consolas"/>
        <family val="3"/>
      </rPr>
      <t>(</t>
    </r>
    <r>
      <rPr>
        <sz val="11"/>
        <color rgb="FF9CDCFE"/>
        <rFont val="Consolas"/>
        <family val="3"/>
      </rPr>
      <t>$status</t>
    </r>
    <r>
      <rPr>
        <sz val="11"/>
        <color rgb="FFD4D4D4"/>
        <rFont val="Consolas"/>
        <family val="3"/>
      </rPr>
      <t>,</t>
    </r>
    <r>
      <rPr>
        <sz val="11"/>
        <color rgb="FF9CDCFE"/>
        <rFont val="Consolas"/>
        <family val="3"/>
      </rPr>
      <t xml:space="preserve"> $pag</t>
    </r>
    <r>
      <rPr>
        <sz val="11"/>
        <color rgb="FFD4D4D4"/>
        <rFont val="Consolas"/>
        <family val="3"/>
      </rPr>
      <t>,</t>
    </r>
    <r>
      <rPr>
        <sz val="11"/>
        <color rgb="FF9CDCFE"/>
        <rFont val="Consolas"/>
        <family val="3"/>
      </rPr>
      <t xml:space="preserve"> $qtde</t>
    </r>
    <r>
      <rPr>
        <sz val="11"/>
        <color rgb="FFD4D4D4"/>
        <rFont val="Consolas"/>
        <family val="3"/>
      </rPr>
      <t>,</t>
    </r>
    <r>
      <rPr>
        <sz val="11"/>
        <color rgb="FF9CDCFE"/>
        <rFont val="Consolas"/>
        <family val="3"/>
      </rPr>
      <t xml:space="preserve"> $coluna</t>
    </r>
    <r>
      <rPr>
        <sz val="11"/>
        <color rgb="FFD4D4D4"/>
        <rFont val="Consolas"/>
        <family val="3"/>
      </rPr>
      <t>,</t>
    </r>
    <r>
      <rPr>
        <sz val="11"/>
        <color rgb="FF9CDCFE"/>
        <rFont val="Consolas"/>
        <family val="3"/>
      </rPr>
      <t xml:space="preserve"> $ordem</t>
    </r>
    <r>
      <rPr>
        <sz val="11"/>
        <color rgb="FFD4D4D4"/>
        <rFont val="Consolas"/>
        <family val="3"/>
      </rPr>
      <t>)</t>
    </r>
  </si>
  <si>
    <r>
      <t>        </t>
    </r>
    <r>
      <rPr>
        <sz val="11"/>
        <color rgb="FF9CDCFE"/>
        <rFont val="Consolas"/>
        <family val="3"/>
      </rPr>
      <t>$sql</t>
    </r>
    <r>
      <rPr>
        <sz val="11"/>
        <color rgb="FFD4D4D4"/>
        <rFont val="Consolas"/>
        <family val="3"/>
      </rPr>
      <t xml:space="preserve"> = </t>
    </r>
    <r>
      <rPr>
        <sz val="11"/>
        <color rgb="FF4EC9B0"/>
        <rFont val="Consolas"/>
        <family val="3"/>
      </rPr>
      <t>DmlSql${classebase}</t>
    </r>
    <r>
      <rPr>
        <sz val="11"/>
        <color rgb="FFD4D4D4"/>
        <rFont val="Consolas"/>
        <family val="3"/>
      </rPr>
      <t xml:space="preserve">::SELECT </t>
    </r>
  </si>
  <si>
    <r>
      <t>    </t>
    </r>
    <r>
      <rPr>
        <sz val="11"/>
        <color rgb="FF569CD6"/>
        <rFont val="Consolas"/>
        <family val="3"/>
      </rPr>
      <t>public</t>
    </r>
    <r>
      <rPr>
        <sz val="11"/>
        <color rgb="FFD4D4D4"/>
        <rFont val="Consolas"/>
        <family val="3"/>
      </rPr>
      <t xml:space="preserve"> </t>
    </r>
    <r>
      <rPr>
        <sz val="11"/>
        <color rgb="FF569CD6"/>
        <rFont val="Consolas"/>
        <family val="3"/>
      </rPr>
      <t>function</t>
    </r>
    <r>
      <rPr>
        <sz val="11"/>
        <color rgb="FFD4D4D4"/>
        <rFont val="Consolas"/>
        <family val="3"/>
      </rPr>
      <t xml:space="preserve"> </t>
    </r>
    <r>
      <rPr>
        <sz val="11"/>
        <color rgb="FFDCDCAA"/>
        <rFont val="Consolas"/>
        <family val="3"/>
      </rPr>
      <t>updateStatus</t>
    </r>
    <r>
      <rPr>
        <sz val="11"/>
        <color rgb="FFD4D4D4"/>
        <rFont val="Consolas"/>
        <family val="3"/>
      </rPr>
      <t>(</t>
    </r>
    <r>
      <rPr>
        <sz val="11"/>
        <color rgb="FF9CDCFE"/>
        <rFont val="Consolas"/>
        <family val="3"/>
      </rPr>
      <t>$${pkdto}</t>
    </r>
    <r>
      <rPr>
        <sz val="11"/>
        <color rgb="FFD4D4D4"/>
        <rFont val="Consolas"/>
        <family val="3"/>
      </rPr>
      <t>,</t>
    </r>
    <r>
      <rPr>
        <sz val="11"/>
        <color rgb="FF9CDCFE"/>
        <rFont val="Consolas"/>
        <family val="3"/>
      </rPr>
      <t xml:space="preserve"> $status</t>
    </r>
    <r>
      <rPr>
        <sz val="11"/>
        <color rgb="FFD4D4D4"/>
        <rFont val="Consolas"/>
        <family val="3"/>
      </rPr>
      <t>)</t>
    </r>
  </si>
  <si>
    <t>        $stmt = $conexao-&gt;prepare(DmlSql${classebase}::UPD_STATUS);</t>
  </si>
  <si>
    <r>
      <t>                            ,</t>
    </r>
    <r>
      <rPr>
        <sz val="11"/>
        <color rgb="FF9CDCFE"/>
        <rFont val="Consolas"/>
        <family val="3"/>
      </rPr>
      <t>$${pkdto}</t>
    </r>
    <r>
      <rPr>
        <sz val="11"/>
        <color rgb="FFD4D4D4"/>
        <rFont val="Consolas"/>
        <family val="3"/>
      </rPr>
      <t>);</t>
    </r>
  </si>
  <si>
    <t>        $stmt = $conexao-&gt;prepare(DmlSql${classebase}::INS);</t>
  </si>
  <si>
    <t>     * getDTO() - Transforma o resultset padrão em ${classebase}DTO</t>
  </si>
  <si>
    <t>        $retorno = new ${classebase}DTO();</t>
  </si>
  <si>
    <r>
      <t>    </t>
    </r>
    <r>
      <rPr>
        <sz val="11"/>
        <color rgb="FF569CD6"/>
        <rFont val="Consolas"/>
        <family val="3"/>
      </rPr>
      <t>public</t>
    </r>
    <r>
      <rPr>
        <sz val="11"/>
        <color rgb="FFD4D4D4"/>
        <rFont val="Consolas"/>
        <family val="3"/>
      </rPr>
      <t xml:space="preserve"> </t>
    </r>
    <r>
      <rPr>
        <sz val="11"/>
        <color rgb="FF569CD6"/>
        <rFont val="Consolas"/>
        <family val="3"/>
      </rPr>
      <t>abstract</t>
    </r>
    <r>
      <rPr>
        <sz val="11"/>
        <color rgb="FFD4D4D4"/>
        <rFont val="Consolas"/>
        <family val="3"/>
      </rPr>
      <t xml:space="preserve"> </t>
    </r>
    <r>
      <rPr>
        <sz val="11"/>
        <color rgb="FF569CD6"/>
        <rFont val="Consolas"/>
        <family val="3"/>
      </rPr>
      <t>function</t>
    </r>
    <r>
      <rPr>
        <sz val="11"/>
        <color rgb="FFD4D4D4"/>
        <rFont val="Consolas"/>
        <family val="3"/>
      </rPr>
      <t xml:space="preserve"> </t>
    </r>
    <r>
      <rPr>
        <sz val="11"/>
        <color rgb="FFDCDCAA"/>
        <rFont val="Consolas"/>
        <family val="3"/>
      </rPr>
      <t>get${classebase}DAO</t>
    </r>
    <r>
      <rPr>
        <sz val="11"/>
        <color rgb="FFD4D4D4"/>
        <rFont val="Consolas"/>
        <family val="3"/>
      </rPr>
      <t>(</t>
    </r>
    <r>
      <rPr>
        <sz val="11"/>
        <color rgb="FF9CDCFE"/>
        <rFont val="Consolas"/>
        <family val="3"/>
      </rPr>
      <t>$daofactory</t>
    </r>
    <r>
      <rPr>
        <sz val="11"/>
        <color rgb="FFD4D4D4"/>
        <rFont val="Consolas"/>
        <family val="3"/>
      </rPr>
      <t>);</t>
    </r>
  </si>
  <si>
    <r>
      <t>    </t>
    </r>
    <r>
      <rPr>
        <sz val="11"/>
        <color rgb="FF569CD6"/>
        <rFont val="Consolas"/>
        <family val="3"/>
      </rPr>
      <t>// método a ser implementado na DAOFactory</t>
    </r>
  </si>
  <si>
    <r>
      <t xml:space="preserve">     * </t>
    </r>
    <r>
      <rPr>
        <sz val="11"/>
        <color rgb="FF569CD6"/>
        <rFont val="Consolas"/>
        <family val="3"/>
      </rPr>
      <t>@return</t>
    </r>
    <r>
      <rPr>
        <sz val="11"/>
        <color rgb="FF6A9955"/>
        <rFont val="Consolas"/>
        <family val="3"/>
      </rPr>
      <t xml:space="preserve"> </t>
    </r>
    <r>
      <rPr>
        <sz val="11"/>
        <color rgb="FF4EC9B0"/>
        <rFont val="Consolas"/>
        <family val="3"/>
      </rPr>
      <t>MySqlKinghost${classebase}DAO</t>
    </r>
  </si>
  <si>
    <r>
      <t>    </t>
    </r>
    <r>
      <rPr>
        <sz val="11"/>
        <color rgb="FF569CD6"/>
        <rFont val="Consolas"/>
        <family val="3"/>
      </rPr>
      <t>public</t>
    </r>
    <r>
      <rPr>
        <sz val="11"/>
        <color rgb="FFD4D4D4"/>
        <rFont val="Consolas"/>
        <family val="3"/>
      </rPr>
      <t xml:space="preserve"> </t>
    </r>
    <r>
      <rPr>
        <sz val="11"/>
        <color rgb="FF569CD6"/>
        <rFont val="Consolas"/>
        <family val="3"/>
      </rPr>
      <t>function</t>
    </r>
    <r>
      <rPr>
        <sz val="11"/>
        <color rgb="FFD4D4D4"/>
        <rFont val="Consolas"/>
        <family val="3"/>
      </rPr>
      <t xml:space="preserve"> </t>
    </r>
    <r>
      <rPr>
        <sz val="11"/>
        <color rgb="FFDCDCAA"/>
        <rFont val="Consolas"/>
        <family val="3"/>
      </rPr>
      <t>get${classebase}DAO</t>
    </r>
    <r>
      <rPr>
        <sz val="11"/>
        <color rgb="FFD4D4D4"/>
        <rFont val="Consolas"/>
        <family val="3"/>
      </rPr>
      <t>(</t>
    </r>
    <r>
      <rPr>
        <sz val="11"/>
        <color rgb="FF9CDCFE"/>
        <rFont val="Consolas"/>
        <family val="3"/>
      </rPr>
      <t>$daofactory</t>
    </r>
    <r>
      <rPr>
        <sz val="11"/>
        <color rgb="FFD4D4D4"/>
        <rFont val="Consolas"/>
        <family val="3"/>
      </rPr>
      <t>)</t>
    </r>
  </si>
  <si>
    <r>
      <t>        </t>
    </r>
    <r>
      <rPr>
        <sz val="11"/>
        <color rgb="FFC586C0"/>
        <rFont val="Consolas"/>
        <family val="3"/>
      </rPr>
      <t>return</t>
    </r>
    <r>
      <rPr>
        <sz val="11"/>
        <color rgb="FFD4D4D4"/>
        <rFont val="Consolas"/>
        <family val="3"/>
      </rPr>
      <t xml:space="preserve"> </t>
    </r>
    <r>
      <rPr>
        <sz val="11"/>
        <color rgb="FF569CD6"/>
        <rFont val="Consolas"/>
        <family val="3"/>
      </rPr>
      <t>new</t>
    </r>
    <r>
      <rPr>
        <sz val="11"/>
        <color rgb="FFD4D4D4"/>
        <rFont val="Consolas"/>
        <family val="3"/>
      </rPr>
      <t xml:space="preserve"> </t>
    </r>
    <r>
      <rPr>
        <sz val="11"/>
        <color rgb="FF4EC9B0"/>
        <rFont val="Consolas"/>
        <family val="3"/>
      </rPr>
      <t>MySqlKinghost${classebase}DAO</t>
    </r>
    <r>
      <rPr>
        <sz val="11"/>
        <color rgb="FFD4D4D4"/>
        <rFont val="Consolas"/>
        <family val="3"/>
      </rPr>
      <t>(</t>
    </r>
    <r>
      <rPr>
        <sz val="11"/>
        <color rgb="FF9CDCFE"/>
        <rFont val="Consolas"/>
        <family val="3"/>
      </rPr>
      <t>$daofactory</t>
    </r>
    <r>
      <rPr>
        <sz val="11"/>
        <color rgb="FFD4D4D4"/>
        <rFont val="Consolas"/>
        <family val="3"/>
      </rPr>
      <t>);</t>
    </r>
  </si>
  <si>
    <r>
      <t>require_once</t>
    </r>
    <r>
      <rPr>
        <sz val="11"/>
        <color rgb="FFD4D4D4"/>
        <rFont val="Consolas"/>
        <family val="3"/>
      </rPr>
      <t xml:space="preserve"> </t>
    </r>
    <r>
      <rPr>
        <sz val="11"/>
        <color rgb="FFCE9178"/>
        <rFont val="Consolas"/>
        <family val="3"/>
      </rPr>
      <t>'${classebase}ServiceImpl.php'</t>
    </r>
    <r>
      <rPr>
        <sz val="11"/>
        <color rgb="FFD4D4D4"/>
        <rFont val="Consolas"/>
        <family val="3"/>
      </rPr>
      <t>;</t>
    </r>
  </si>
  <si>
    <r>
      <t>$csi</t>
    </r>
    <r>
      <rPr>
        <sz val="11"/>
        <color rgb="FFD4D4D4"/>
        <rFont val="Consolas"/>
        <family val="3"/>
      </rPr>
      <t xml:space="preserve"> = </t>
    </r>
    <r>
      <rPr>
        <sz val="11"/>
        <color rgb="FF569CD6"/>
        <rFont val="Consolas"/>
        <family val="3"/>
      </rPr>
      <t>new</t>
    </r>
    <r>
      <rPr>
        <sz val="11"/>
        <color rgb="FFD4D4D4"/>
        <rFont val="Consolas"/>
        <family val="3"/>
      </rPr>
      <t xml:space="preserve"> </t>
    </r>
    <r>
      <rPr>
        <sz val="11"/>
        <color rgb="FF4EC9B0"/>
        <rFont val="Consolas"/>
        <family val="3"/>
      </rPr>
      <t>${classebase}ServiceImpl</t>
    </r>
    <r>
      <rPr>
        <sz val="11"/>
        <color rgb="FFD4D4D4"/>
        <rFont val="Consolas"/>
        <family val="3"/>
      </rPr>
      <t>();</t>
    </r>
  </si>
  <si>
    <r>
      <t>$retorno</t>
    </r>
    <r>
      <rPr>
        <sz val="11"/>
        <color rgb="FFD4D4D4"/>
        <rFont val="Consolas"/>
        <family val="3"/>
      </rPr>
      <t xml:space="preserve"> = </t>
    </r>
    <r>
      <rPr>
        <sz val="11"/>
        <color rgb="FF9CDCFE"/>
        <rFont val="Consolas"/>
        <family val="3"/>
      </rPr>
      <t>$csi</t>
    </r>
    <r>
      <rPr>
        <sz val="11"/>
        <color rgb="FFD4D4D4"/>
        <rFont val="Consolas"/>
        <family val="3"/>
      </rPr>
      <t>-&gt;</t>
    </r>
    <r>
      <rPr>
        <sz val="11"/>
        <color rgb="FFDCDCAA"/>
        <rFont val="Consolas"/>
        <family val="3"/>
      </rPr>
      <t>listar${classebase}PorStatus</t>
    </r>
    <r>
      <rPr>
        <sz val="11"/>
        <color rgb="FFD4D4D4"/>
        <rFont val="Consolas"/>
        <family val="3"/>
      </rPr>
      <t>(</t>
    </r>
    <r>
      <rPr>
        <sz val="11"/>
        <color rgb="FF9CDCFE"/>
        <rFont val="Consolas"/>
        <family val="3"/>
      </rPr>
      <t>$status</t>
    </r>
    <r>
      <rPr>
        <sz val="11"/>
        <color rgb="FFD4D4D4"/>
        <rFont val="Consolas"/>
        <family val="3"/>
      </rPr>
      <t>,</t>
    </r>
    <r>
      <rPr>
        <sz val="11"/>
        <color rgb="FFB5CEA8"/>
        <rFont val="Consolas"/>
        <family val="3"/>
      </rPr>
      <t>1</t>
    </r>
    <r>
      <rPr>
        <sz val="11"/>
        <color rgb="FFD4D4D4"/>
        <rFont val="Consolas"/>
        <family val="3"/>
      </rPr>
      <t>,</t>
    </r>
    <r>
      <rPr>
        <sz val="11"/>
        <color rgb="FFB5CEA8"/>
        <rFont val="Consolas"/>
        <family val="3"/>
      </rPr>
      <t>2</t>
    </r>
    <r>
      <rPr>
        <sz val="11"/>
        <color rgb="FFD4D4D4"/>
        <rFont val="Consolas"/>
        <family val="3"/>
      </rPr>
      <t>);</t>
    </r>
  </si>
  <si>
    <r>
      <t>$retorno</t>
    </r>
    <r>
      <rPr>
        <sz val="11"/>
        <color rgb="FFD4D4D4"/>
        <rFont val="Consolas"/>
        <family val="3"/>
      </rPr>
      <t xml:space="preserve"> = </t>
    </r>
    <r>
      <rPr>
        <sz val="11"/>
        <color rgb="FF9CDCFE"/>
        <rFont val="Consolas"/>
        <family val="3"/>
      </rPr>
      <t>$csi</t>
    </r>
    <r>
      <rPr>
        <sz val="11"/>
        <color rgb="FFD4D4D4"/>
        <rFont val="Consolas"/>
        <family val="3"/>
      </rPr>
      <t>-&gt;</t>
    </r>
    <r>
      <rPr>
        <sz val="11"/>
        <color rgb="FFDCDCAA"/>
        <rFont val="Consolas"/>
        <family val="3"/>
      </rPr>
      <t>listar${classebase}PorStatus</t>
    </r>
    <r>
      <rPr>
        <sz val="11"/>
        <color rgb="FFD4D4D4"/>
        <rFont val="Consolas"/>
        <family val="3"/>
      </rPr>
      <t>(</t>
    </r>
    <r>
      <rPr>
        <sz val="11"/>
        <color rgb="FF9CDCFE"/>
        <rFont val="Consolas"/>
        <family val="3"/>
      </rPr>
      <t>$status</t>
    </r>
    <r>
      <rPr>
        <sz val="11"/>
        <color rgb="FFD4D4D4"/>
        <rFont val="Consolas"/>
        <family val="3"/>
      </rPr>
      <t>,</t>
    </r>
    <r>
      <rPr>
        <sz val="11"/>
        <color rgb="FFB5CEA8"/>
        <rFont val="Consolas"/>
        <family val="3"/>
      </rPr>
      <t>2</t>
    </r>
    <r>
      <rPr>
        <sz val="11"/>
        <color rgb="FFD4D4D4"/>
        <rFont val="Consolas"/>
        <family val="3"/>
      </rPr>
      <t>,</t>
    </r>
    <r>
      <rPr>
        <sz val="11"/>
        <color rgb="FFB5CEA8"/>
        <rFont val="Consolas"/>
        <family val="3"/>
      </rPr>
      <t>2</t>
    </r>
    <r>
      <rPr>
        <sz val="11"/>
        <color rgb="FFD4D4D4"/>
        <rFont val="Consolas"/>
        <family val="3"/>
      </rPr>
      <t>);</t>
    </r>
  </si>
  <si>
    <r>
      <t>$retorno</t>
    </r>
    <r>
      <rPr>
        <sz val="11"/>
        <color rgb="FFD4D4D4"/>
        <rFont val="Consolas"/>
        <family val="3"/>
      </rPr>
      <t xml:space="preserve"> = </t>
    </r>
    <r>
      <rPr>
        <sz val="11"/>
        <color rgb="FF9CDCFE"/>
        <rFont val="Consolas"/>
        <family val="3"/>
      </rPr>
      <t>$csi</t>
    </r>
    <r>
      <rPr>
        <sz val="11"/>
        <color rgb="FFD4D4D4"/>
        <rFont val="Consolas"/>
        <family val="3"/>
      </rPr>
      <t>-&gt;</t>
    </r>
    <r>
      <rPr>
        <sz val="11"/>
        <color rgb="FFDCDCAA"/>
        <rFont val="Consolas"/>
        <family val="3"/>
      </rPr>
      <t>listar${classebase}PorStatus</t>
    </r>
    <r>
      <rPr>
        <sz val="11"/>
        <color rgb="FFD4D4D4"/>
        <rFont val="Consolas"/>
        <family val="3"/>
      </rPr>
      <t>(</t>
    </r>
    <r>
      <rPr>
        <sz val="11"/>
        <color rgb="FF9CDCFE"/>
        <rFont val="Consolas"/>
        <family val="3"/>
      </rPr>
      <t>$status</t>
    </r>
    <r>
      <rPr>
        <sz val="11"/>
        <color rgb="FFD4D4D4"/>
        <rFont val="Consolas"/>
        <family val="3"/>
      </rPr>
      <t>,</t>
    </r>
    <r>
      <rPr>
        <sz val="11"/>
        <color rgb="FFB5CEA8"/>
        <rFont val="Consolas"/>
        <family val="3"/>
      </rPr>
      <t>3</t>
    </r>
    <r>
      <rPr>
        <sz val="11"/>
        <color rgb="FFD4D4D4"/>
        <rFont val="Consolas"/>
        <family val="3"/>
      </rPr>
      <t>,</t>
    </r>
    <r>
      <rPr>
        <sz val="11"/>
        <color rgb="FFB5CEA8"/>
        <rFont val="Consolas"/>
        <family val="3"/>
      </rPr>
      <t>2</t>
    </r>
    <r>
      <rPr>
        <sz val="11"/>
        <color rgb="FFD4D4D4"/>
        <rFont val="Consolas"/>
        <family val="3"/>
      </rPr>
      <t>);</t>
    </r>
  </si>
  <si>
    <t>// Imprime a 1a pagina</t>
  </si>
  <si>
    <t>// Imprime a 2a pagina</t>
  </si>
  <si>
    <t>// Imprime a 3a pagina</t>
  </si>
  <si>
    <t>* listarPagina() - Usado para invocar a classe de negócio TipoEmpreendimentoBusinessImpl de forma geral</t>
  </si>
  <si>
    <t>* @param $pag</t>
  </si>
  <si>
    <t>* @param $qtde</t>
  </si>
  <si>
    <t>* @return List&lt;${classebase}DTO&gt;[]</t>
  </si>
  <si>
    <t>* para listar todos os registros COM critérios de paginação dos dados.</t>
  </si>
  <si>
    <t>* Procure dar preferência no uso deste método para listagem de dados</t>
  </si>
  <si>
    <r>
      <t xml:space="preserve">* </t>
    </r>
    <r>
      <rPr>
        <sz val="11"/>
        <color rgb="FF569CD6"/>
        <rFont val="Consolas"/>
        <family val="3"/>
      </rPr>
      <t>@param</t>
    </r>
    <r>
      <rPr>
        <sz val="11"/>
        <color rgb="FF6A9955"/>
        <rFont val="Consolas"/>
        <family val="3"/>
      </rPr>
      <t xml:space="preserve"> $pag</t>
    </r>
  </si>
  <si>
    <r>
      <t xml:space="preserve">* </t>
    </r>
    <r>
      <rPr>
        <sz val="11"/>
        <color rgb="FF569CD6"/>
        <rFont val="Consolas"/>
        <family val="3"/>
      </rPr>
      <t>@param</t>
    </r>
    <r>
      <rPr>
        <sz val="11"/>
        <color rgb="FF6A9955"/>
        <rFont val="Consolas"/>
        <family val="3"/>
      </rPr>
      <t xml:space="preserve"> $qtde</t>
    </r>
  </si>
  <si>
    <t>* pesquisarPorID() - Usado para invocar a classe de negócio TipoEmpreendimentoBusinessImpl de forma geral</t>
  </si>
  <si>
    <t>* realizar uma busca diretamente pela PK (Primary Key) da tabela ${tabela} campo ${pk}</t>
  </si>
  <si>
    <r>
      <t xml:space="preserve">* </t>
    </r>
    <r>
      <rPr>
        <sz val="11"/>
        <color rgb="FF569CD6"/>
        <rFont val="Consolas"/>
        <family val="3"/>
      </rPr>
      <t>@param</t>
    </r>
    <r>
      <rPr>
        <sz val="11"/>
        <color rgb="FF6A9955"/>
        <rFont val="Consolas"/>
        <family val="3"/>
      </rPr>
      <t xml:space="preserve"> $${pkdto}</t>
    </r>
  </si>
  <si>
    <r>
      <t xml:space="preserve">* </t>
    </r>
    <r>
      <rPr>
        <sz val="11"/>
        <color rgb="FF569CD6"/>
        <rFont val="Consolas"/>
        <family val="3"/>
      </rPr>
      <t>@return</t>
    </r>
    <r>
      <rPr>
        <sz val="11"/>
        <color rgb="FF6A9955"/>
        <rFont val="Consolas"/>
        <family val="3"/>
      </rPr>
      <t xml:space="preserve"> </t>
    </r>
    <r>
      <rPr>
        <sz val="11"/>
        <color rgb="FF6A9955"/>
        <rFont val="Consolas"/>
        <family val="3"/>
      </rPr>
      <t>${</t>
    </r>
    <r>
      <rPr>
        <sz val="11"/>
        <color rgb="FF4EC9B0"/>
        <rFont val="Consolas"/>
        <family val="3"/>
      </rPr>
      <t>classebase</t>
    </r>
    <r>
      <rPr>
        <sz val="11"/>
        <color rgb="FF6A9955"/>
        <rFont val="Consolas"/>
        <family val="3"/>
      </rPr>
      <t>}</t>
    </r>
    <r>
      <rPr>
        <sz val="11"/>
        <color rgb="FF4EC9B0"/>
        <rFont val="Consolas"/>
        <family val="3"/>
      </rPr>
      <t>DTO</t>
    </r>
  </si>
  <si>
    <r>
      <t>    </t>
    </r>
    <r>
      <rPr>
        <sz val="11"/>
        <color rgb="FF569CD6"/>
        <rFont val="Consolas"/>
        <family val="3"/>
      </rPr>
      <t>public</t>
    </r>
    <r>
      <rPr>
        <sz val="11"/>
        <color rgb="FFD4D4D4"/>
        <rFont val="Consolas"/>
        <family val="3"/>
      </rPr>
      <t xml:space="preserve"> </t>
    </r>
    <r>
      <rPr>
        <sz val="11"/>
        <color rgb="FF569CD6"/>
        <rFont val="Consolas"/>
        <family val="3"/>
      </rPr>
      <t>function</t>
    </r>
    <r>
      <rPr>
        <sz val="11"/>
        <color rgb="FFD4D4D4"/>
        <rFont val="Consolas"/>
        <family val="3"/>
      </rPr>
      <t xml:space="preserve"> </t>
    </r>
    <r>
      <rPr>
        <sz val="11"/>
        <color rgb="FFDCDCAA"/>
        <rFont val="Consolas"/>
        <family val="3"/>
      </rPr>
      <t>pesquisarPorID</t>
    </r>
    <r>
      <rPr>
        <sz val="11"/>
        <color rgb="FFD4D4D4"/>
        <rFont val="Consolas"/>
        <family val="3"/>
      </rPr>
      <t>(</t>
    </r>
    <r>
      <rPr>
        <sz val="11"/>
        <color rgb="FF9CDCFE"/>
        <rFont val="Consolas"/>
        <family val="3"/>
      </rPr>
      <t>$${pkdto}</t>
    </r>
    <r>
      <rPr>
        <sz val="11"/>
        <color rgb="FFD4D4D4"/>
        <rFont val="Consolas"/>
        <family val="3"/>
      </rPr>
      <t>)</t>
    </r>
  </si>
  <si>
    <t>* listar${classebase}PorStatus() - Usado para invocar a classe de negócio TipoEmpreendimentoBusinessImpl de forma geral</t>
  </si>
  <si>
    <r>
      <t xml:space="preserve">* </t>
    </r>
    <r>
      <rPr>
        <sz val="11"/>
        <color rgb="FF569CD6"/>
        <rFont val="Consolas"/>
        <family val="3"/>
      </rPr>
      <t>@param</t>
    </r>
    <r>
      <rPr>
        <sz val="11"/>
        <color rgb="FF6A9955"/>
        <rFont val="Consolas"/>
        <family val="3"/>
      </rPr>
      <t xml:space="preserve"> $status</t>
    </r>
  </si>
  <si>
    <r>
      <t xml:space="preserve">* </t>
    </r>
    <r>
      <rPr>
        <sz val="11"/>
        <color rgb="FF569CD6"/>
        <rFont val="Consolas"/>
        <family val="3"/>
      </rPr>
      <t>@param</t>
    </r>
    <r>
      <rPr>
        <sz val="11"/>
        <color rgb="FF6A9955"/>
        <rFont val="Consolas"/>
        <family val="3"/>
      </rPr>
      <t xml:space="preserve"> $coluna</t>
    </r>
  </si>
  <si>
    <r>
      <t xml:space="preserve">* </t>
    </r>
    <r>
      <rPr>
        <sz val="11"/>
        <color rgb="FF569CD6"/>
        <rFont val="Consolas"/>
        <family val="3"/>
      </rPr>
      <t>@param</t>
    </r>
    <r>
      <rPr>
        <sz val="11"/>
        <color rgb="FF6A9955"/>
        <rFont val="Consolas"/>
        <family val="3"/>
      </rPr>
      <t xml:space="preserve"> $ordem</t>
    </r>
  </si>
  <si>
    <r>
      <t xml:space="preserve">* </t>
    </r>
    <r>
      <rPr>
        <sz val="11"/>
        <color rgb="FF569CD6"/>
        <rFont val="Consolas"/>
        <family val="3"/>
      </rPr>
      <t>@return</t>
    </r>
    <r>
      <rPr>
        <sz val="11"/>
        <color rgb="FF6A9955"/>
        <rFont val="Consolas"/>
        <family val="3"/>
      </rPr>
      <t xml:space="preserve"> $PaginacaoDTO</t>
    </r>
  </si>
  <si>
    <t>* realizar lista paginada de registros com uma instância de PaginacaoDTO</t>
  </si>
  <si>
    <t>* @author ${autor}</t>
  </si>
  <si>
    <t>* carregar() - Carrega apenas um registro com base no campo ${dto} = (${tabela}::${pk})</t>
  </si>
  <si>
    <t>* @param $daofactory</t>
  </si>
  <si>
    <t>* @param $dto</t>
  </si>
  <si>
    <t>* @return $dto</t>
  </si>
  <si>
    <t xml:space="preserve">*/ </t>
  </si>
  <si>
    <r>
      <t xml:space="preserve">* </t>
    </r>
    <r>
      <rPr>
        <sz val="11"/>
        <color rgb="FF569CD6"/>
        <rFont val="Consolas"/>
        <family val="3"/>
      </rPr>
      <t>@param</t>
    </r>
    <r>
      <rPr>
        <sz val="11"/>
        <color rgb="FF6A9955"/>
        <rFont val="Consolas"/>
        <family val="3"/>
      </rPr>
      <t xml:space="preserve"> $daofactory</t>
    </r>
  </si>
  <si>
    <r>
      <t xml:space="preserve">* </t>
    </r>
    <r>
      <rPr>
        <sz val="11"/>
        <color rgb="FF569CD6"/>
        <rFont val="Consolas"/>
        <family val="3"/>
      </rPr>
      <t>@return</t>
    </r>
    <r>
      <rPr>
        <sz val="11"/>
        <color rgb="FF6A9955"/>
        <rFont val="Consolas"/>
        <family val="3"/>
      </rPr>
      <t xml:space="preserve"> $dto</t>
    </r>
  </si>
  <si>
    <r>
      <t>*/</t>
    </r>
    <r>
      <rPr>
        <sz val="11"/>
        <color rgb="FFD4D4D4"/>
        <rFont val="Consolas"/>
        <family val="3"/>
      </rPr>
      <t xml:space="preserve"> </t>
    </r>
  </si>
  <si>
    <t>* atualizar() - atualiza apenas um registro com base no dto ${classebase}DTO-&gt;${pkdto}</t>
  </si>
  <si>
    <t>* @see ConstantesMensagem::COMANDO_REALIZADO_COM_SUCESSO</t>
  </si>
  <si>
    <t>* @see ConstantesMensagem::ERRO_CRUD_ATUALIZAR_REGISTRO</t>
  </si>
  <si>
    <t>* listarTudo() - Lista todos os registros provenientes de ${tabela} sem critério de paginação</t>
  </si>
  <si>
    <r>
      <t xml:space="preserve">* </t>
    </r>
    <r>
      <rPr>
        <sz val="11"/>
        <color rgb="FF569CD6"/>
        <rFont val="Consolas"/>
        <family val="3"/>
      </rPr>
      <t>@return</t>
    </r>
    <r>
      <rPr>
        <sz val="11"/>
        <color rgb="FF6A9955"/>
        <rFont val="Consolas"/>
        <family val="3"/>
      </rPr>
      <t xml:space="preserve"> List&lt;${classebase}DTO&gt;[]</t>
    </r>
  </si>
  <si>
    <t xml:space="preserve">           $retorno-&gt;msgcodeString = MensagemCache::getInstance()-&gt;getMensagem($retorno-&gt;msgcode);</t>
  </si>
  <si>
    <r>
      <t xml:space="preserve">        $retorno</t>
    </r>
    <r>
      <rPr>
        <sz val="11"/>
        <color rgb="FFD4D4D4"/>
        <rFont val="Consolas"/>
        <family val="3"/>
      </rPr>
      <t>-&gt;</t>
    </r>
    <r>
      <rPr>
        <sz val="11"/>
        <color rgb="FF9CDCFE"/>
        <rFont val="Consolas"/>
        <family val="3"/>
      </rPr>
      <t>msgcodeString</t>
    </r>
    <r>
      <rPr>
        <sz val="11"/>
        <color rgb="FFD4D4D4"/>
        <rFont val="Consolas"/>
        <family val="3"/>
      </rPr>
      <t xml:space="preserve"> = </t>
    </r>
    <r>
      <rPr>
        <sz val="11"/>
        <color rgb="FF4EC9B0"/>
        <rFont val="Consolas"/>
        <family val="3"/>
      </rPr>
      <t>MensagemCache</t>
    </r>
    <r>
      <rPr>
        <sz val="11"/>
        <color rgb="FFD4D4D4"/>
        <rFont val="Consolas"/>
        <family val="3"/>
      </rPr>
      <t>::</t>
    </r>
    <r>
      <rPr>
        <sz val="11"/>
        <color rgb="FFDCDCAA"/>
        <rFont val="Consolas"/>
        <family val="3"/>
      </rPr>
      <t>getInstance</t>
    </r>
    <r>
      <rPr>
        <sz val="11"/>
        <color rgb="FFD4D4D4"/>
        <rFont val="Consolas"/>
        <family val="3"/>
      </rPr>
      <t>()-&gt;</t>
    </r>
    <r>
      <rPr>
        <sz val="11"/>
        <color rgb="FFDCDCAA"/>
        <rFont val="Consolas"/>
        <family val="3"/>
      </rPr>
      <t>getMensagem</t>
    </r>
    <r>
      <rPr>
        <sz val="11"/>
        <color rgb="FFD4D4D4"/>
        <rFont val="Consolas"/>
        <family val="3"/>
      </rPr>
      <t>(</t>
    </r>
    <r>
      <rPr>
        <sz val="11"/>
        <color rgb="FF9CDCFE"/>
        <rFont val="Consolas"/>
        <family val="3"/>
      </rPr>
      <t>$retorno</t>
    </r>
    <r>
      <rPr>
        <sz val="11"/>
        <color rgb="FFD4D4D4"/>
        <rFont val="Consolas"/>
        <family val="3"/>
      </rPr>
      <t>-&gt;</t>
    </r>
    <r>
      <rPr>
        <sz val="11"/>
        <color rgb="FF9CDCFE"/>
        <rFont val="Consolas"/>
        <family val="3"/>
      </rPr>
      <t>msgcode</t>
    </r>
    <r>
      <rPr>
        <sz val="11"/>
        <color rgb="FFD4D4D4"/>
        <rFont val="Consolas"/>
        <family val="3"/>
      </rPr>
      <t>);</t>
    </r>
  </si>
  <si>
    <t xml:space="preserve">        // retorno default</t>
  </si>
  <si>
    <r>
      <t xml:space="preserve">        $retorno</t>
    </r>
    <r>
      <rPr>
        <sz val="11"/>
        <color rgb="FFD4D4D4"/>
        <rFont val="Consolas"/>
        <family val="3"/>
      </rPr>
      <t xml:space="preserve"> = </t>
    </r>
    <r>
      <rPr>
        <sz val="11"/>
        <color rgb="FF569CD6"/>
        <rFont val="Consolas"/>
        <family val="3"/>
      </rPr>
      <t>new</t>
    </r>
    <r>
      <rPr>
        <sz val="11"/>
        <color rgb="FFD4D4D4"/>
        <rFont val="Consolas"/>
        <family val="3"/>
      </rPr>
      <t xml:space="preserve"> </t>
    </r>
    <r>
      <rPr>
        <sz val="11"/>
        <color rgb="FF4EC9B0"/>
        <rFont val="Consolas"/>
        <family val="3"/>
      </rPr>
      <t>DTOPadrao</t>
    </r>
    <r>
      <rPr>
        <sz val="11"/>
        <color rgb="FFD4D4D4"/>
        <rFont val="Consolas"/>
        <family val="3"/>
      </rPr>
      <t>();</t>
    </r>
  </si>
  <si>
    <r>
      <t xml:space="preserve">        $retorno</t>
    </r>
    <r>
      <rPr>
        <sz val="11"/>
        <color rgb="FFD4D4D4"/>
        <rFont val="Consolas"/>
        <family val="3"/>
      </rPr>
      <t>-&gt;</t>
    </r>
    <r>
      <rPr>
        <sz val="11"/>
        <color rgb="FF9CDCFE"/>
        <rFont val="Consolas"/>
        <family val="3"/>
      </rPr>
      <t>msgcode</t>
    </r>
    <r>
      <rPr>
        <sz val="11"/>
        <color rgb="FFD4D4D4"/>
        <rFont val="Consolas"/>
        <family val="3"/>
      </rPr>
      <t xml:space="preserve"> = </t>
    </r>
    <r>
      <rPr>
        <sz val="11"/>
        <color rgb="FF4EC9B0"/>
        <rFont val="Consolas"/>
        <family val="3"/>
      </rPr>
      <t>ConstantesMensagem</t>
    </r>
    <r>
      <rPr>
        <sz val="11"/>
        <color rgb="FFD4D4D4"/>
        <rFont val="Consolas"/>
        <family val="3"/>
      </rPr>
      <t>::COMANDO_REALIZADO_COM_SUCESSO;</t>
    </r>
  </si>
  <si>
    <t xml:space="preserve">        if(!$dao-&gt;delete($dto)){</t>
  </si>
  <si>
    <t xml:space="preserve">           $retorno-&gt;msgcode = ConstantesMensagem::ERRO_CRUD_EXCLUIR_REGISTRO;</t>
  </si>
  <si>
    <t>* deletar() - excluir fisicamente um registro com base no dto ${classebase}DTO-&gt;${pkdto}</t>
  </si>
  <si>
    <t>* @see ConstantesMensagem::ERRO_CRUD_EXCLUIR_REGISTRO</t>
  </si>
  <si>
    <t>* listar${classebase}PorStatus() - Usado para invocar a interface de acesso aos dados (DAO) ${classebase}DAO de forma geral</t>
  </si>
  <si>
    <t xml:space="preserve">    {</t>
  </si>
  <si>
    <t>* listarPagina() - listar registros de forma paginada</t>
  </si>
  <si>
    <r>
      <t xml:space="preserve">* </t>
    </r>
    <r>
      <rPr>
        <sz val="11"/>
        <color rgb="FF569CD6"/>
        <rFont val="Consolas"/>
        <family val="3"/>
      </rPr>
      <t>@deprecated</t>
    </r>
  </si>
  <si>
    <t>* carregarPorID() - Carrega APENAS um registro usando a ${pkdto} como item de busca</t>
  </si>
  <si>
    <t>* na tabela ${tabela} usando a Primary Key ${pk}</t>
  </si>
  <si>
    <r>
      <t xml:space="preserve">* </t>
    </r>
    <r>
      <rPr>
        <sz val="11"/>
        <color rgb="FF569CD6"/>
        <rFont val="Consolas"/>
        <family val="3"/>
      </rPr>
      <t>@return</t>
    </r>
    <r>
      <rPr>
        <sz val="11"/>
        <color rgb="FF6A9955"/>
        <rFont val="Consolas"/>
        <family val="3"/>
      </rPr>
      <t xml:space="preserve"> ${classebase}DTO</t>
    </r>
  </si>
  <si>
    <t>* atualizarStatus() - atualizar o campo de STATUS utilizando a ${pkdto} como item de busca</t>
  </si>
  <si>
    <t>* inserir() - inserir um registro com base no ${classebase}DTO. Alguns atributos dentro do DTO</t>
  </si>
  <si>
    <t>* serão ignorados caso estejam populados.</t>
  </si>
  <si>
    <t>* status</t>
  </si>
  <si>
    <t>* dataCadastro</t>
  </si>
  <si>
    <t>* dataAtualizacao</t>
  </si>
  <si>
    <r>
      <t xml:space="preserve">* </t>
    </r>
    <r>
      <rPr>
        <sz val="11"/>
        <color rgb="FF569CD6"/>
        <rFont val="Consolas"/>
        <family val="3"/>
      </rPr>
      <t>@return</t>
    </r>
    <r>
      <rPr>
        <sz val="11"/>
        <color rgb="FF6A9955"/>
        <rFont val="Consolas"/>
        <family val="3"/>
      </rPr>
      <t xml:space="preserve"> </t>
    </r>
    <r>
      <rPr>
        <sz val="11"/>
        <color rgb="FF4EC9B0"/>
        <rFont val="Consolas"/>
        <family val="3"/>
      </rPr>
      <t>DTOPadrao</t>
    </r>
  </si>
  <si>
    <t>* id</t>
  </si>
  <si>
    <t>* Atributos da classe ${classebase}DTO sumariamente IGNORADOS por este método MESMO que estejam preenchidos:</t>
  </si>
  <si>
    <t>* Validador de tamanho de campos ${classebase}DTO</t>
  </si>
  <si>
    <t>* @param $campo</t>
  </si>
  <si>
    <t>* @param $tamanho</t>
  </si>
  <si>
    <t>* @param $coment</t>
  </si>
  <si>
    <t>* @return DTOPadrao</t>
  </si>
  <si>
    <t xml:space="preserve">    public function validarTamanhoCampo($campo, $tamanho, $coment)    </t>
  </si>
  <si>
    <t xml:space="preserve">       if(strlen($campo) &gt; $tamanho){</t>
  </si>
  <si>
    <t xml:space="preserve">             ConstantesVariavel::P1 =&gt; $coment,</t>
  </si>
  <si>
    <t xml:space="preserve">             ConstantesVariavel::P2 =&gt; $tamanho,</t>
  </si>
  <si>
    <t>* validarTamanhoCampo()</t>
  </si>
  <si>
    <t xml:space="preserve">        $retorno = new DTOPadrao();</t>
  </si>
  <si>
    <t xml:space="preserve">        $retorno-&gt;msgcodeString = MensagemCache::getInstance()-&gt;getMensagem($retorno-&gt;msgcode);</t>
  </si>
  <si>
    <t xml:space="preserve">    }</t>
  </si>
  <si>
    <t>public function inserir($daofactory, $dto)</t>
  </si>
  <si>
    <t xml:space="preserve">{ </t>
  </si>
  <si>
    <t xml:space="preserve">    $retorno = new DTOPadrao();</t>
  </si>
  <si>
    <t xml:space="preserve">    $retorno-&gt;msgcode = ConstantesMensagem::COMANDO_REALIZADO_COM_SUCESSO;</t>
  </si>
  <si>
    <t xml:space="preserve">    $retorno-&gt;msgcodeString = MensagemCache::getInstance()-&gt;getMensagem($retorno-&gt;msgcode);</t>
  </si>
  <si>
    <t xml:space="preserve">    $dto-&gt;status = ConstantesVariavel::STATUS_ATIVO;</t>
  </si>
  <si>
    <t xml:space="preserve">    if (!$dao-&gt;insert($dto)) {</t>
  </si>
  <si>
    <t xml:space="preserve">        $retorno-&gt;msgcode = ConstantesMensagem::ERRO_CRUD_INSERIR_REGISTRO;</t>
  </si>
  <si>
    <t xml:space="preserve">    return $retorno;</t>
  </si>
  <si>
    <t xml:space="preserve">    if($ok-&gt;msgcode != ConstantesMensagem::COMANDO_REALIZADO_COM_SUCESSO){</t>
  </si>
  <si>
    <t xml:space="preserve">        return $ok;</t>
  </si>
  <si>
    <r>
      <t>    </t>
    </r>
    <r>
      <rPr>
        <sz val="11"/>
        <color rgb="FF569CD6"/>
        <rFont val="Consolas"/>
        <family val="3"/>
      </rPr>
      <t>public</t>
    </r>
    <r>
      <rPr>
        <sz val="11"/>
        <color rgb="FFD4D4D4"/>
        <rFont val="Consolas"/>
        <family val="3"/>
      </rPr>
      <t xml:space="preserve"> </t>
    </r>
    <r>
      <rPr>
        <sz val="11"/>
        <color rgb="FF569CD6"/>
        <rFont val="Consolas"/>
        <family val="3"/>
      </rPr>
      <t>function</t>
    </r>
    <r>
      <rPr>
        <sz val="11"/>
        <color rgb="FFD4D4D4"/>
        <rFont val="Consolas"/>
        <family val="3"/>
      </rPr>
      <t xml:space="preserve"> </t>
    </r>
    <r>
      <rPr>
        <sz val="11"/>
        <color rgb="FFDCDCAA"/>
        <rFont val="Consolas"/>
        <family val="3"/>
      </rPr>
      <t>loadPK</t>
    </r>
    <r>
      <rPr>
        <sz val="11"/>
        <color rgb="FFD4D4D4"/>
        <rFont val="Consolas"/>
        <family val="3"/>
      </rPr>
      <t>(</t>
    </r>
    <r>
      <rPr>
        <sz val="11"/>
        <color rgb="FF9CDCFE"/>
        <rFont val="Consolas"/>
        <family val="3"/>
      </rPr>
      <t>$${pkdto}</t>
    </r>
    <r>
      <rPr>
        <sz val="11"/>
        <color rgb="FFD4D4D4"/>
        <rFont val="Consolas"/>
        <family val="3"/>
      </rPr>
      <t>)</t>
    </r>
  </si>
  <si>
    <r>
      <t>interface</t>
    </r>
    <r>
      <rPr>
        <sz val="11"/>
        <color rgb="FFD4D4D4"/>
        <rFont val="Consolas"/>
        <family val="3"/>
      </rPr>
      <t xml:space="preserve"> </t>
    </r>
    <r>
      <rPr>
        <sz val="11"/>
        <color rgb="FF4EC9B0"/>
        <rFont val="Consolas"/>
        <family val="3"/>
      </rPr>
      <t>${classebase}Business</t>
    </r>
    <r>
      <rPr>
        <sz val="11"/>
        <color rgb="FFD4D4D4"/>
        <rFont val="Consolas"/>
        <family val="3"/>
      </rPr>
      <t xml:space="preserve"> </t>
    </r>
    <r>
      <rPr>
        <sz val="11"/>
        <color rgb="FF569CD6"/>
        <rFont val="Consolas"/>
        <family val="3"/>
      </rPr>
      <t>extends</t>
    </r>
    <r>
      <rPr>
        <sz val="11"/>
        <color rgb="FFD4D4D4"/>
        <rFont val="Consolas"/>
        <family val="3"/>
      </rPr>
      <t xml:space="preserve"> </t>
    </r>
    <r>
      <rPr>
        <sz val="11"/>
        <color rgb="FF4EC9B0"/>
        <rFont val="Consolas"/>
        <family val="3"/>
      </rPr>
      <t>BusinessObject</t>
    </r>
  </si>
  <si>
    <r>
      <t xml:space="preserve">    public</t>
    </r>
    <r>
      <rPr>
        <sz val="11"/>
        <color rgb="FFD4D4D4"/>
        <rFont val="Consolas"/>
        <family val="3"/>
      </rPr>
      <t xml:space="preserve"> </t>
    </r>
    <r>
      <rPr>
        <sz val="11"/>
        <color rgb="FF569CD6"/>
        <rFont val="Consolas"/>
        <family val="3"/>
      </rPr>
      <t>function</t>
    </r>
    <r>
      <rPr>
        <sz val="11"/>
        <color rgb="FFD4D4D4"/>
        <rFont val="Consolas"/>
        <family val="3"/>
      </rPr>
      <t xml:space="preserve"> </t>
    </r>
    <r>
      <rPr>
        <sz val="11"/>
        <color rgb="FFDCDCAA"/>
        <rFont val="Consolas"/>
        <family val="3"/>
      </rPr>
      <t>validarTamanhoCampo</t>
    </r>
    <r>
      <rPr>
        <sz val="11"/>
        <color rgb="FFD4D4D4"/>
        <rFont val="Consolas"/>
        <family val="3"/>
      </rPr>
      <t>(</t>
    </r>
    <r>
      <rPr>
        <sz val="11"/>
        <color rgb="FF9CDCFE"/>
        <rFont val="Consolas"/>
        <family val="3"/>
      </rPr>
      <t>$campo</t>
    </r>
    <r>
      <rPr>
        <sz val="11"/>
        <color rgb="FFD4D4D4"/>
        <rFont val="Consolas"/>
        <family val="3"/>
      </rPr>
      <t>,</t>
    </r>
    <r>
      <rPr>
        <sz val="11"/>
        <color rgb="FF9CDCFE"/>
        <rFont val="Consolas"/>
        <family val="3"/>
      </rPr>
      <t xml:space="preserve"> $tamanho</t>
    </r>
    <r>
      <rPr>
        <sz val="11"/>
        <color rgb="FFD4D4D4"/>
        <rFont val="Consolas"/>
        <family val="3"/>
      </rPr>
      <t>,</t>
    </r>
    <r>
      <rPr>
        <sz val="11"/>
        <color rgb="FF9CDCFE"/>
        <rFont val="Consolas"/>
        <family val="3"/>
      </rPr>
      <t xml:space="preserve"> $coment</t>
    </r>
    <r>
      <rPr>
        <sz val="11"/>
        <color rgb="FFD4D4D4"/>
        <rFont val="Consolas"/>
        <family val="3"/>
      </rPr>
      <t>);</t>
    </r>
  </si>
  <si>
    <r>
      <t xml:space="preserve">* </t>
    </r>
    <r>
      <rPr>
        <sz val="11"/>
        <color rgb="FF569CD6"/>
        <rFont val="Consolas"/>
        <family val="3"/>
      </rPr>
      <t>@return</t>
    </r>
    <r>
      <rPr>
        <sz val="11"/>
        <color rgb="FF6A9955"/>
        <rFont val="Consolas"/>
        <family val="3"/>
      </rPr>
      <t xml:space="preserve"> </t>
    </r>
    <r>
      <rPr>
        <sz val="11"/>
        <color rgb="FF4EC9B0"/>
        <rFont val="Consolas"/>
        <family val="3"/>
      </rPr>
      <t>List</t>
    </r>
    <r>
      <rPr>
        <sz val="11"/>
        <color rgb="FF6A9955"/>
        <rFont val="Consolas"/>
        <family val="3"/>
      </rPr>
      <t>&lt;${</t>
    </r>
    <r>
      <rPr>
        <sz val="11"/>
        <color rgb="FF4EC9B0"/>
        <rFont val="Consolas"/>
        <family val="3"/>
      </rPr>
      <t>classebase</t>
    </r>
    <r>
      <rPr>
        <sz val="11"/>
        <color rgb="FF6A9955"/>
        <rFont val="Consolas"/>
        <family val="3"/>
      </rPr>
      <t>}</t>
    </r>
    <r>
      <rPr>
        <sz val="11"/>
        <color rgb="FF4EC9B0"/>
        <rFont val="Consolas"/>
        <family val="3"/>
      </rPr>
      <t>DTO&gt;</t>
    </r>
    <r>
      <rPr>
        <sz val="11"/>
        <color rgb="FF569CD6"/>
        <rFont val="Consolas"/>
        <family val="3"/>
      </rPr>
      <t>[]</t>
    </r>
  </si>
  <si>
    <r>
      <t xml:space="preserve">* </t>
    </r>
    <r>
      <rPr>
        <sz val="11"/>
        <color rgb="FF569CD6"/>
        <rFont val="Consolas"/>
        <family val="3"/>
      </rPr>
      <t>@since</t>
    </r>
    <r>
      <rPr>
        <sz val="11"/>
        <color rgb="FF6A9955"/>
        <rFont val="Consolas"/>
        <family val="3"/>
      </rPr>
      <t xml:space="preserve"> 23/08/2019 10:06:20</t>
    </r>
  </si>
  <si>
    <t xml:space="preserve">* Classe de com todos os comandos DML e DDL (se necessário) para apoio </t>
  </si>
  <si>
    <t>* Tabela principal de atuação: ${tabela}</t>
  </si>
  <si>
    <t>* a classe MySqlKinghost${classebase}DAO</t>
  </si>
  <si>
    <t>* @author Julio Cesar Vitorino</t>
  </si>
  <si>
    <r>
      <t>require_once</t>
    </r>
    <r>
      <rPr>
        <sz val="11"/>
        <color rgb="FFD4D4D4"/>
        <rFont val="Consolas"/>
        <family val="3"/>
      </rPr>
      <t xml:space="preserve"> </t>
    </r>
    <r>
      <rPr>
        <sz val="11"/>
        <color rgb="FFCE9178"/>
        <rFont val="Consolas"/>
        <family val="3"/>
      </rPr>
      <t>'../util/util.php'</t>
    </r>
    <r>
      <rPr>
        <sz val="11"/>
        <color rgb="FFD4D4D4"/>
        <rFont val="Consolas"/>
        <family val="3"/>
      </rPr>
      <t>;</t>
    </r>
  </si>
  <si>
    <r>
      <t>$dto</t>
    </r>
    <r>
      <rPr>
        <sz val="11"/>
        <color rgb="FFD4D4D4"/>
        <rFont val="Consolas"/>
        <family val="3"/>
      </rPr>
      <t xml:space="preserve"> = </t>
    </r>
    <r>
      <rPr>
        <sz val="11"/>
        <color rgb="FF569CD6"/>
        <rFont val="Consolas"/>
        <family val="3"/>
      </rPr>
      <t>new</t>
    </r>
    <r>
      <rPr>
        <sz val="11"/>
        <color rgb="FFD4D4D4"/>
        <rFont val="Consolas"/>
        <family val="3"/>
      </rPr>
      <t xml:space="preserve"> ${classebase}</t>
    </r>
    <r>
      <rPr>
        <sz val="11"/>
        <color rgb="FFDCDCAA"/>
        <rFont val="Consolas"/>
        <family val="3"/>
      </rPr>
      <t>DTO</t>
    </r>
    <r>
      <rPr>
        <sz val="11"/>
        <color rgb="FFD4D4D4"/>
        <rFont val="Consolas"/>
        <family val="3"/>
      </rPr>
      <t>();</t>
    </r>
  </si>
  <si>
    <r>
      <t>$csi</t>
    </r>
    <r>
      <rPr>
        <sz val="11"/>
        <color rgb="FFD4D4D4"/>
        <rFont val="Consolas"/>
        <family val="3"/>
      </rPr>
      <t xml:space="preserve"> = </t>
    </r>
    <r>
      <rPr>
        <sz val="11"/>
        <color rgb="FF569CD6"/>
        <rFont val="Consolas"/>
        <family val="3"/>
      </rPr>
      <t>new</t>
    </r>
    <r>
      <rPr>
        <sz val="11"/>
        <color rgb="FFD4D4D4"/>
        <rFont val="Consolas"/>
        <family val="3"/>
      </rPr>
      <t xml:space="preserve"> ${classebase}</t>
    </r>
    <r>
      <rPr>
        <sz val="11"/>
        <color rgb="FFDCDCAA"/>
        <rFont val="Consolas"/>
        <family val="3"/>
      </rPr>
      <t>ServiceImpl</t>
    </r>
    <r>
      <rPr>
        <sz val="11"/>
        <color rgb="FFD4D4D4"/>
        <rFont val="Consolas"/>
        <family val="3"/>
      </rPr>
      <t>();</t>
    </r>
  </si>
  <si>
    <r>
      <t>$retorno</t>
    </r>
    <r>
      <rPr>
        <sz val="11"/>
        <color rgb="FFD4D4D4"/>
        <rFont val="Consolas"/>
        <family val="3"/>
      </rPr>
      <t xml:space="preserve"> = </t>
    </r>
    <r>
      <rPr>
        <sz val="11"/>
        <color rgb="FF9CDCFE"/>
        <rFont val="Consolas"/>
        <family val="3"/>
      </rPr>
      <t>$csi</t>
    </r>
    <r>
      <rPr>
        <sz val="11"/>
        <color rgb="FFD4D4D4"/>
        <rFont val="Consolas"/>
        <family val="3"/>
      </rPr>
      <t>-&gt;</t>
    </r>
    <r>
      <rPr>
        <sz val="11"/>
        <color rgb="FFDCDCAA"/>
        <rFont val="Consolas"/>
        <family val="3"/>
      </rPr>
      <t>cadastrar</t>
    </r>
    <r>
      <rPr>
        <sz val="11"/>
        <color rgb="FFD4D4D4"/>
        <rFont val="Consolas"/>
        <family val="3"/>
      </rPr>
      <t>(</t>
    </r>
    <r>
      <rPr>
        <sz val="11"/>
        <color rgb="FF9CDCFE"/>
        <rFont val="Consolas"/>
        <family val="3"/>
      </rPr>
      <t>$dto</t>
    </r>
    <r>
      <rPr>
        <sz val="11"/>
        <color rgb="FFD4D4D4"/>
        <rFont val="Consolas"/>
        <family val="3"/>
      </rPr>
      <t>);</t>
    </r>
  </si>
  <si>
    <t>// Cadastra o registro populado no DTO</t>
  </si>
  <si>
    <t xml:space="preserve">    $dao = $daofactory-&gt;get${classebase}DAO($daofactory);</t>
  </si>
  <si>
    <r>
      <t xml:space="preserve">* </t>
    </r>
    <r>
      <rPr>
        <sz val="11"/>
        <color rgb="FF569CD6"/>
        <rFont val="Consolas"/>
        <family val="3"/>
      </rPr>
      <t>@param</t>
    </r>
    <r>
      <rPr>
        <sz val="11"/>
        <color rgb="FF6A9955"/>
        <rFont val="Consolas"/>
        <family val="3"/>
      </rPr>
      <t xml:space="preserve"> $dto</t>
    </r>
  </si>
  <si>
    <t>* load() - Carrega apenas um registro com base no campo id do DTO = (TIPO_EMPREENDIMENTO::TIEM_ID)</t>
  </si>
  <si>
    <t>* listAll() - Lista todos os registros provenientes de ${tabela} sem critério de paginação</t>
  </si>
  <si>
    <r>
      <t xml:space="preserve">* </t>
    </r>
    <r>
      <rPr>
        <sz val="11"/>
        <color rgb="FF569CD6"/>
        <rFont val="Consolas"/>
        <family val="3"/>
      </rPr>
      <t>@return</t>
    </r>
    <r>
      <rPr>
        <sz val="11"/>
        <color rgb="FF6A9955"/>
        <rFont val="Consolas"/>
        <family val="3"/>
      </rPr>
      <t xml:space="preserve"> </t>
    </r>
    <r>
      <rPr>
        <sz val="11"/>
        <color rgb="FF4EC9B0"/>
        <rFont val="Consolas"/>
        <family val="3"/>
      </rPr>
      <t>List</t>
    </r>
    <r>
      <rPr>
        <sz val="11"/>
        <color rgb="FF6A9955"/>
        <rFont val="Consolas"/>
        <family val="3"/>
      </rPr>
      <t>&lt;</t>
    </r>
    <r>
      <rPr>
        <sz val="11"/>
        <color rgb="FF4EC9B0"/>
        <rFont val="Consolas"/>
        <family val="3"/>
      </rPr>
      <t>${classebase}DTO</t>
    </r>
    <r>
      <rPr>
        <sz val="11"/>
        <color rgb="FF6A9955"/>
        <rFont val="Consolas"/>
        <family val="3"/>
      </rPr>
      <t>&gt;[]</t>
    </r>
  </si>
  <si>
    <t>* update() - atualiza apenas um registro com base no dto ${classebase}DTO-&gt;${pkdto}</t>
  </si>
  <si>
    <r>
      <t xml:space="preserve">* </t>
    </r>
    <r>
      <rPr>
        <sz val="11"/>
        <color rgb="FF569CD6"/>
        <rFont val="Consolas"/>
        <family val="3"/>
      </rPr>
      <t>@return</t>
    </r>
    <r>
      <rPr>
        <sz val="11"/>
        <color rgb="FF6A9955"/>
        <rFont val="Consolas"/>
        <family val="3"/>
      </rPr>
      <t xml:space="preserve"> </t>
    </r>
    <r>
      <rPr>
        <sz val="11"/>
        <color rgb="FF569CD6"/>
        <rFont val="Consolas"/>
        <family val="3"/>
      </rPr>
      <t>boolean</t>
    </r>
  </si>
  <si>
    <t>* delete() - excluir fisicamente um registro com base no dto ${classebase}DTO-&gt;${pkdto}</t>
  </si>
  <si>
    <t>* loadPK() - Carrega APENAS um registro usando a id como item de busca</t>
  </si>
  <si>
    <r>
      <t xml:space="preserve">* </t>
    </r>
    <r>
      <rPr>
        <sz val="11"/>
        <color rgb="FF569CD6"/>
        <rFont val="Consolas"/>
        <family val="3"/>
      </rPr>
      <t>@return</t>
    </r>
    <r>
      <rPr>
        <sz val="11"/>
        <color rgb="FF6A9955"/>
        <rFont val="Consolas"/>
        <family val="3"/>
      </rPr>
      <t xml:space="preserve"> </t>
    </r>
    <r>
      <rPr>
        <sz val="11"/>
        <color rgb="FF4EC9B0"/>
        <rFont val="Consolas"/>
        <family val="3"/>
      </rPr>
      <t>${classebase}DTO</t>
    </r>
  </si>
  <si>
    <t>* updateStatus() - atualizar o campo de STATUS utilizando a id como item de busca</t>
  </si>
  <si>
    <t>* insert() - inserir um registro com base no ${classebase}DTO. Alguns atributos dentro do DTO</t>
  </si>
  <si>
    <t>* serão ignorados caso estejam populados, pois os mesmos possuem constraint de DEFAULT value</t>
  </si>
  <si>
    <t>* ou campos de AUTO INCREMENTO já previamente definidos no DDL de criação de tabelas do BD.</t>
  </si>
  <si>
    <t>import 'package:flutter/material.dart';</t>
  </si>
  <si>
    <t xml:space="preserve">  final String tokenid;</t>
  </si>
  <si>
    <t xml:space="preserve">  final String msgcode;</t>
  </si>
  <si>
    <t xml:space="preserve">  final String msgcodeString;</t>
  </si>
  <si>
    <t xml:space="preserve">  this.msgcode='', </t>
  </si>
  <si>
    <t xml:space="preserve">  this.msgcodeString=''});</t>
  </si>
  <si>
    <t xml:space="preserve">      tokenid: json['tokenid'],</t>
  </si>
  <si>
    <t xml:space="preserve">      msgcode: json['msgcode'],</t>
  </si>
  <si>
    <t xml:space="preserve">      msgcodeString: json['msgcodeString'],</t>
  </si>
  <si>
    <t xml:space="preserve">    );</t>
  </si>
  <si>
    <t xml:space="preserve">  }</t>
  </si>
  <si>
    <t xml:space="preserve">  Map toMap() {</t>
  </si>
  <si>
    <t xml:space="preserve">    var map = new Map&lt;String, dynamic&gt;();</t>
  </si>
  <si>
    <t xml:space="preserve">    map["tokenid"] = tokenid;</t>
  </si>
  <si>
    <t xml:space="preserve">    return map;</t>
  </si>
  <si>
    <t>DART</t>
  </si>
  <si>
    <t>String</t>
  </si>
  <si>
    <t xml:space="preserve">  this.${dto},</t>
  </si>
  <si>
    <t xml:space="preserve">      ${dto}: json['${dto}'],</t>
  </si>
  <si>
    <t>/// Retorno do Backend devolvendo um JSON na estrutura de campos abaixo</t>
  </si>
  <si>
    <t>/// Cria um mapa para ser enviado pelo método post da classe Http</t>
  </si>
  <si>
    <t>// Copyright (c) 2019 Julio Vitorino. Todos os direitos reservados.</t>
  </si>
  <si>
    <t>class ${classebase}VOPost {</t>
  </si>
  <si>
    <t>import 'package:http/http.dart' as http;</t>
  </si>
  <si>
    <t>import 'dart:convert';</t>
  </si>
  <si>
    <t>import 'package:junta10/br/com/jcv/linker/classes/storages/cacheSession.dart';</t>
  </si>
  <si>
    <t>import 'package:junta10/br/com/jcv/linker/classes/ui/common/common-actionbutton.dart';</t>
  </si>
  <si>
    <t>import 'package:junta10/br/com/jcv/linker/classes/ui/common/common-showdialog.dart';</t>
  </si>
  <si>
    <t xml:space="preserve">    final int statusCode = response.statusCode;</t>
  </si>
  <si>
    <t xml:space="preserve"> </t>
  </si>
  <si>
    <t xml:space="preserve">    if (statusCode &lt; 200 || statusCode &gt; 400 || json == null) {</t>
  </si>
  <si>
    <t xml:space="preserve">      throw new Exception("Erro ao submeter dados ao servidor.");</t>
  </si>
  <si>
    <t xml:space="preserve">  });</t>
  </si>
  <si>
    <t xml:space="preserve">  @override</t>
  </si>
  <si>
    <t xml:space="preserve">  int _value;</t>
  </si>
  <si>
    <t xml:space="preserve">  String _token;</t>
  </si>
  <si>
    <t xml:space="preserve">  String _urlControlador;</t>
  </si>
  <si>
    <t xml:space="preserve">  void initState(){</t>
  </si>
  <si>
    <t xml:space="preserve">    _token = CacheSession().getSession()['tokenid'];</t>
  </si>
  <si>
    <t xml:space="preserve">    _urlControlador = CacheSession().getSession()['urlControlador'];</t>
  </si>
  <si>
    <t xml:space="preserve">  Widget build(BuildContext context) {</t>
  </si>
  <si>
    <t xml:space="preserve">        ),</t>
  </si>
  <si>
    <t xml:space="preserve">            ),</t>
  </si>
  <si>
    <t xml:space="preserve">          ),</t>
  </si>
  <si>
    <t xml:space="preserve">        )</t>
  </si>
  <si>
    <t xml:space="preserve">          onpressed: () async {</t>
  </si>
  <si>
    <t xml:space="preserve">              tokenid: _token,</t>
  </si>
  <si>
    <t xml:space="preserve">          );</t>
  </si>
  <si>
    <t xml:space="preserve">          Icon _icon = p.msgcode == 'MSG-0001' </t>
  </si>
  <si>
    <t xml:space="preserve">          ? Icon(Icons.check_circle_outline, size: 120.0, color: Colors.green,)</t>
  </si>
  <si>
    <t xml:space="preserve">          : Icon(Icons.error, size: 120.0, color: Colors.red,);</t>
  </si>
  <si>
    <t xml:space="preserve">          CommonShowDialogYesNo retorno = new CommonShowDialogYesNo(</t>
  </si>
  <si>
    <t xml:space="preserve">            context: context,</t>
  </si>
  <si>
    <t xml:space="preserve">            icon: _icon,</t>
  </si>
  <si>
    <t xml:space="preserve">            msg: p.msgcodeString,</t>
  </si>
  <si>
    <t xml:space="preserve">          retorno.showDialogYesNo().then((onValue){</t>
  </si>
  <si>
    <t xml:space="preserve">              if(retorno.getChoice() == 'Y'){</t>
  </si>
  <si>
    <t xml:space="preserve">                Navigator.pop(context);</t>
  </si>
  <si>
    <t xml:space="preserve">              }</t>
  </si>
  <si>
    <t xml:space="preserve">            }</t>
  </si>
  <si>
    <t xml:space="preserve">        })      </t>
  </si>
  <si>
    <t xml:space="preserve">    SingleChildScrollView _sceditview = SingleChildScrollView(</t>
  </si>
  <si>
    <t xml:space="preserve">      child: Column(</t>
  </si>
  <si>
    <t xml:space="preserve">          crossAxisAlignment: CrossAxisAlignment.center,</t>
  </si>
  <si>
    <t xml:space="preserve">          children: &lt;Widget&gt;[</t>
  </si>
  <si>
    <t xml:space="preserve">            Padding(</t>
  </si>
  <si>
    <t xml:space="preserve">              padding: EdgeInsets.all(10.0),</t>
  </si>
  <si>
    <t xml:space="preserve">              child: Column(</t>
  </si>
  <si>
    <t xml:space="preserve">              ),</t>
  </si>
  <si>
    <t xml:space="preserve">          ],</t>
  </si>
  <si>
    <t xml:space="preserve">    return new Scaffold(</t>
  </si>
  <si>
    <t xml:space="preserve">      appBar: new AppBar(</t>
  </si>
  <si>
    <t xml:space="preserve">      ),</t>
  </si>
  <si>
    <t xml:space="preserve">      body: _sceditview,</t>
  </si>
  <si>
    <t>Future&lt;${classebase}VOPost&gt; createPost(String url, {Map body}) async {</t>
  </si>
  <si>
    <t xml:space="preserve">    return ${classebase}VOPost.fromJson(json.decode(response.body));</t>
  </si>
  <si>
    <t xml:space="preserve">  TextEditingController tec${dto} = new TextEditingController();</t>
  </si>
  <si>
    <t xml:space="preserve">    tec${dto}.text = widget.${lower_classebase}_full['${dto}'];</t>
  </si>
  <si>
    <t xml:space="preserve">    List&lt;Widget&gt; _lstCampos${classebase} = [];</t>
  </si>
  <si>
    <t xml:space="preserve">    _lstCampos${classebase}.add( </t>
  </si>
  <si>
    <t xml:space="preserve">          ${classebase}VOPost newPost = new ${classebase}VOPost(</t>
  </si>
  <si>
    <t xml:space="preserve">              ${dto}: tec${dto}.text, </t>
  </si>
  <si>
    <t xml:space="preserve">                children: _lstCampos${classebase}</t>
  </si>
  <si>
    <t>/// Construtor da classe ${classebase}VOPost</t>
  </si>
  <si>
    <t xml:space="preserve">  ${classebase}VOPost({this.tokenid, </t>
  </si>
  <si>
    <t xml:space="preserve">  factory ${classebase}VOPost.fromJson(Map&lt;String, dynamic&gt; json) {</t>
  </si>
  <si>
    <t xml:space="preserve">    return ${classebase}VOPost(</t>
  </si>
  <si>
    <t xml:space="preserve">    // ============================================================================</t>
  </si>
  <si>
    <t xml:space="preserve">  ${classebase}VOPost ${lower_classebase}VO;</t>
  </si>
  <si>
    <t xml:space="preserve">  /*</t>
  </si>
  <si>
    <t xml:space="preserve">   */</t>
  </si>
  <si>
    <t xml:space="preserve">    // inicializa os controladores de campos com os respectivos atributos</t>
  </si>
  <si>
    <t xml:space="preserve">  @deprecated</t>
  </si>
  <si>
    <t xml:space="preserve">    // Move os conteúdos dos controladores para um VO para enviar um Mapa JSON ao backend</t>
  </si>
  <si>
    <t xml:space="preserve">    // ==================================================================================</t>
  </si>
  <si>
    <r>
      <t xml:space="preserve">  bool </t>
    </r>
    <r>
      <rPr>
        <b/>
        <sz val="10"/>
        <color rgb="FF660E7A"/>
        <rFont val="Courier New"/>
        <family val="3"/>
      </rPr>
      <t xml:space="preserve">_iscadastro </t>
    </r>
    <r>
      <rPr>
        <sz val="10"/>
        <color rgb="FF000000"/>
        <rFont val="Courier New"/>
        <family val="3"/>
      </rPr>
      <t xml:space="preserve">= </t>
    </r>
    <r>
      <rPr>
        <b/>
        <sz val="10"/>
        <color rgb="FF000080"/>
        <rFont val="Courier New"/>
        <family val="3"/>
      </rPr>
      <t>true</t>
    </r>
    <r>
      <rPr>
        <sz val="10"/>
        <color rgb="FF000000"/>
        <rFont val="Courier New"/>
        <family val="3"/>
      </rPr>
      <t>;</t>
    </r>
  </si>
  <si>
    <r>
      <t xml:space="preserve">    tec${dto}</t>
    </r>
    <r>
      <rPr>
        <sz val="10"/>
        <color rgb="FF000000"/>
        <rFont val="Courier New"/>
        <family val="3"/>
      </rPr>
      <t>.</t>
    </r>
    <r>
      <rPr>
        <b/>
        <sz val="10"/>
        <color rgb="FF660E7A"/>
        <rFont val="Courier New"/>
        <family val="3"/>
      </rPr>
      <t xml:space="preserve">text </t>
    </r>
    <r>
      <rPr>
        <sz val="10"/>
        <color rgb="FF000000"/>
        <rFont val="Courier New"/>
        <family val="3"/>
      </rPr>
      <t xml:space="preserve">= </t>
    </r>
    <r>
      <rPr>
        <b/>
        <sz val="10"/>
        <color rgb="FF660E7A"/>
        <rFont val="Courier New"/>
        <family val="3"/>
      </rPr>
      <t>_iscadastro ? '' : widget</t>
    </r>
    <r>
      <rPr>
        <sz val="10"/>
        <color rgb="FF000000"/>
        <rFont val="Courier New"/>
        <family val="3"/>
      </rPr>
      <t>.${lower_classebase}VO.</t>
    </r>
    <r>
      <rPr>
        <b/>
        <sz val="10"/>
        <color rgb="FF660E7A"/>
        <rFont val="Courier New"/>
        <family val="3"/>
      </rPr>
      <t>${dto};</t>
    </r>
  </si>
  <si>
    <t xml:space="preserve">      new CommomActionButton(titulo: _iscadastro ? 'Salvar' : 'Enviar Modificações', </t>
  </si>
  <si>
    <r>
      <t xml:space="preserve">    ${classebase}VOPost p = </t>
    </r>
    <r>
      <rPr>
        <b/>
        <sz val="10"/>
        <color rgb="FF000080"/>
        <rFont val="Courier New"/>
        <family val="3"/>
      </rPr>
      <t xml:space="preserve">await </t>
    </r>
    <r>
      <rPr>
        <sz val="10"/>
        <color rgb="FF000000"/>
        <rFont val="Courier New"/>
        <family val="3"/>
      </rPr>
      <t>createPost(</t>
    </r>
    <r>
      <rPr>
        <b/>
        <sz val="10"/>
        <color rgb="FF008000"/>
        <rFont val="Courier New"/>
        <family val="3"/>
      </rPr>
      <t>'</t>
    </r>
    <r>
      <rPr>
        <sz val="10"/>
        <color rgb="FF000000"/>
        <rFont val="Courier New"/>
        <family val="3"/>
      </rPr>
      <t>${_urlcrud}</t>
    </r>
    <r>
      <rPr>
        <b/>
        <sz val="10"/>
        <color rgb="FF008000"/>
        <rFont val="Courier New"/>
        <family val="3"/>
      </rPr>
      <t>'</t>
    </r>
    <r>
      <rPr>
        <sz val="10"/>
        <color rgb="FF000000"/>
        <rFont val="Courier New"/>
        <family val="3"/>
      </rPr>
      <t>, body: newPost.toMap());</t>
    </r>
  </si>
  <si>
    <t xml:space="preserve">        title: Text(_iscadastro? "Adicionar" : "Editar"),</t>
  </si>
  <si>
    <t>class ${classebase}PageCRUD extends StatefulWidget {</t>
  </si>
  <si>
    <t xml:space="preserve">  ${classebase}PageCRUD({this.${lower_classebase}VO});</t>
  </si>
  <si>
    <t xml:space="preserve">  _${classebase}PageCRUDState createState() =&gt; _${classebase}PageCRUDState();</t>
  </si>
  <si>
    <t>class _${classebase}PageCRUDState extends State&lt;${classebase}PageCRUD&gt; {</t>
  </si>
  <si>
    <t>var_dump($dto);</t>
  </si>
  <si>
    <t>// Obtem o token de sessao (pode ser dispositivo ou outro hardware qualquer)</t>
  </si>
  <si>
    <r>
      <t>include_once</t>
    </r>
    <r>
      <rPr>
        <sz val="11"/>
        <color rgb="FFD4D4D4"/>
        <rFont val="Consolas"/>
        <family val="3"/>
      </rPr>
      <t xml:space="preserve"> </t>
    </r>
    <r>
      <rPr>
        <sz val="11"/>
        <color rgb="FFCE9178"/>
        <rFont val="Consolas"/>
        <family val="3"/>
      </rPr>
      <t>'../../inc/validarTokenApp.php'</t>
    </r>
    <r>
      <rPr>
        <sz val="11"/>
        <color rgb="FFD4D4D4"/>
        <rFont val="Consolas"/>
        <family val="3"/>
      </rPr>
      <t>;</t>
    </r>
  </si>
  <si>
    <r>
      <t>echo</t>
    </r>
    <r>
      <rPr>
        <sz val="11"/>
        <color rgb="FFD4D4D4"/>
        <rFont val="Consolas"/>
        <family val="3"/>
      </rPr>
      <t xml:space="preserve"> </t>
    </r>
    <r>
      <rPr>
        <sz val="11"/>
        <color rgb="FFDCDCAA"/>
        <rFont val="Consolas"/>
        <family val="3"/>
      </rPr>
      <t>json_encode</t>
    </r>
    <r>
      <rPr>
        <sz val="11"/>
        <color rgb="FFD4D4D4"/>
        <rFont val="Consolas"/>
        <family val="3"/>
      </rPr>
      <t>(</t>
    </r>
    <r>
      <rPr>
        <sz val="11"/>
        <color rgb="FF9CDCFE"/>
        <rFont val="Consolas"/>
        <family val="3"/>
      </rPr>
      <t>$retorno</t>
    </r>
    <r>
      <rPr>
        <sz val="11"/>
        <color rgb="FFD4D4D4"/>
        <rFont val="Consolas"/>
        <family val="3"/>
      </rPr>
      <t>);</t>
    </r>
  </si>
  <si>
    <r>
      <t>$dto</t>
    </r>
    <r>
      <rPr>
        <sz val="11"/>
        <color rgb="FFD4D4D4"/>
        <rFont val="Consolas"/>
        <family val="3"/>
      </rPr>
      <t>-&gt;${dto} = ${exemplo};</t>
    </r>
  </si>
  <si>
    <r>
      <t>$token</t>
    </r>
    <r>
      <rPr>
        <sz val="11"/>
        <color rgb="FFD4D4D4"/>
        <rFont val="Consolas"/>
        <family val="3"/>
      </rPr>
      <t xml:space="preserve"> = </t>
    </r>
    <r>
      <rPr>
        <sz val="11"/>
        <color rgb="FF9CDCFE"/>
        <rFont val="Consolas"/>
        <family val="3"/>
      </rPr>
      <t>$_POST</t>
    </r>
    <r>
      <rPr>
        <sz val="11"/>
        <color rgb="FFD4D4D4"/>
        <rFont val="Consolas"/>
        <family val="3"/>
      </rPr>
      <t>[</t>
    </r>
    <r>
      <rPr>
        <sz val="11"/>
        <color rgb="FFCE9178"/>
        <rFont val="Consolas"/>
        <family val="3"/>
      </rPr>
      <t>'tokenid'</t>
    </r>
    <r>
      <rPr>
        <sz val="11"/>
        <color rgb="FFD4D4D4"/>
        <rFont val="Consolas"/>
        <family val="3"/>
      </rPr>
      <t>];</t>
    </r>
  </si>
  <si>
    <t>// URL http://elitefinanceira.com/cfdi/php/classes/gateway/appInserir${classebase}.php</t>
  </si>
  <si>
    <t>// URL http://localhost/cfdi/php/classes/gateway/appInserir${classebase}.php</t>
  </si>
  <si>
    <r>
      <t>require_once</t>
    </r>
    <r>
      <rPr>
        <sz val="11"/>
        <color rgb="FFD4D4D4"/>
        <rFont val="Consolas"/>
        <family val="3"/>
      </rPr>
      <t xml:space="preserve"> </t>
    </r>
    <r>
      <rPr>
        <sz val="11"/>
        <color rgb="FFCE9178"/>
        <rFont val="Consolas"/>
        <family val="3"/>
      </rPr>
      <t>'../${lclassebase}/${classebase}ServiceImpl.php'</t>
    </r>
    <r>
      <rPr>
        <sz val="11"/>
        <color rgb="FFD4D4D4"/>
        <rFont val="Consolas"/>
        <family val="3"/>
      </rPr>
      <t>;</t>
    </r>
  </si>
  <si>
    <r>
      <t>require_once</t>
    </r>
    <r>
      <rPr>
        <sz val="11"/>
        <color rgb="FFD4D4D4"/>
        <rFont val="Consolas"/>
        <family val="3"/>
      </rPr>
      <t xml:space="preserve"> </t>
    </r>
    <r>
      <rPr>
        <sz val="11"/>
        <color rgb="FFCE9178"/>
        <rFont val="Consolas"/>
        <family val="3"/>
      </rPr>
      <t>'../${lclassebase}/${classebase}DTO.php'</t>
    </r>
    <r>
      <rPr>
        <sz val="11"/>
        <color rgb="FFD4D4D4"/>
        <rFont val="Consolas"/>
        <family val="3"/>
      </rPr>
      <t>;</t>
    </r>
  </si>
  <si>
    <r>
      <t>$dto</t>
    </r>
    <r>
      <rPr>
        <sz val="11"/>
        <color rgb="FFD4D4D4"/>
        <rFont val="Consolas"/>
        <family val="3"/>
      </rPr>
      <t xml:space="preserve"> = </t>
    </r>
    <r>
      <rPr>
        <sz val="11"/>
        <color rgb="FF569CD6"/>
        <rFont val="Consolas"/>
        <family val="3"/>
      </rPr>
      <t>new</t>
    </r>
    <r>
      <rPr>
        <sz val="11"/>
        <color rgb="FFD4D4D4"/>
        <rFont val="Consolas"/>
        <family val="3"/>
      </rPr>
      <t xml:space="preserve"> </t>
    </r>
    <r>
      <rPr>
        <sz val="11"/>
        <color rgb="FF4EC9B0"/>
        <rFont val="Consolas"/>
        <family val="3"/>
      </rPr>
      <t>${classebase}DTO</t>
    </r>
    <r>
      <rPr>
        <sz val="11"/>
        <color rgb="FFD4D4D4"/>
        <rFont val="Consolas"/>
        <family val="3"/>
      </rPr>
      <t>();</t>
    </r>
  </si>
  <si>
    <r>
      <t>$dto</t>
    </r>
    <r>
      <rPr>
        <sz val="11"/>
        <color rgb="FFD4D4D4"/>
        <rFont val="Consolas"/>
        <family val="3"/>
      </rPr>
      <t>-&gt;</t>
    </r>
    <r>
      <rPr>
        <sz val="11"/>
        <color rgb="FF9CDCFE"/>
        <rFont val="Consolas"/>
        <family val="3"/>
      </rPr>
      <t>${dto}</t>
    </r>
    <r>
      <rPr>
        <sz val="11"/>
        <color rgb="FFD4D4D4"/>
        <rFont val="Consolas"/>
        <family val="3"/>
      </rPr>
      <t xml:space="preserve"> = </t>
    </r>
    <r>
      <rPr>
        <sz val="11"/>
        <color rgb="FF9CDCFE"/>
        <rFont val="Consolas"/>
        <family val="3"/>
      </rPr>
      <t>$_POST</t>
    </r>
    <r>
      <rPr>
        <sz val="11"/>
        <color rgb="FFD4D4D4"/>
        <rFont val="Consolas"/>
        <family val="3"/>
      </rPr>
      <t>[</t>
    </r>
    <r>
      <rPr>
        <sz val="11"/>
        <color rgb="FFCE9178"/>
        <rFont val="Consolas"/>
        <family val="3"/>
      </rPr>
      <t>'${dto}'</t>
    </r>
    <r>
      <rPr>
        <sz val="11"/>
        <color rgb="FFD4D4D4"/>
        <rFont val="Consolas"/>
        <family val="3"/>
      </rPr>
      <t>];</t>
    </r>
  </si>
  <si>
    <t>* appInserir${classebase} - Controlador para permitir acesso ao backend no método cadastrar</t>
  </si>
  <si>
    <t>* da classe ${classebase}ServiceImpl.php</t>
  </si>
  <si>
    <t>* É uma camada visível para outros dispositivos e requisições</t>
  </si>
  <si>
    <t>* É OBRIGATÓRIO o fornecimento do tokenid no corpo da HttpRequest</t>
  </si>
  <si>
    <t>*======================================================================================</t>
  </si>
  <si>
    <t>// URL http://localhost/cfdi/php/classes/${lclassebase}/client${classebase}Inserir.php</t>
  </si>
  <si>
    <t xml:space="preserve"> /*</t>
  </si>
  <si>
    <t xml:space="preserve"> */</t>
  </si>
  <si>
    <t>?tokenid=tk</t>
  </si>
  <si>
    <t>&amp;${dto}=tr</t>
  </si>
  <si>
    <t>Faça um Find/Replace em $_POST por $_GET e use os parametros na URL para simular um GET na HttpRequest</t>
  </si>
  <si>
    <r>
      <t>echo</t>
    </r>
    <r>
      <rPr>
        <sz val="11"/>
        <color rgb="FFD4D4D4"/>
        <rFont val="Consolas"/>
        <family val="3"/>
      </rPr>
      <t xml:space="preserve"> </t>
    </r>
    <r>
      <rPr>
        <sz val="11"/>
        <color rgb="FFDCDCAA"/>
        <rFont val="Consolas"/>
        <family val="3"/>
      </rPr>
      <t>json_encode</t>
    </r>
    <r>
      <rPr>
        <sz val="11"/>
        <color rgb="FFD4D4D4"/>
        <rFont val="Consolas"/>
        <family val="3"/>
      </rPr>
      <t>(</t>
    </r>
    <r>
      <rPr>
        <sz val="11"/>
        <color rgb="FF9CDCFE"/>
        <rFont val="Consolas"/>
        <family val="3"/>
      </rPr>
      <t>$retorno</t>
    </r>
    <r>
      <rPr>
        <sz val="11"/>
        <color rgb="FFD4D4D4"/>
        <rFont val="Consolas"/>
        <family val="3"/>
      </rPr>
      <t>, JSON_UNESCAPED_SLASHES | JSON_UNESCAPED_UNICODE );</t>
    </r>
  </si>
  <si>
    <r>
      <t>require_once</t>
    </r>
    <r>
      <rPr>
        <sz val="11"/>
        <color rgb="FFD4D4D4"/>
        <rFont val="Consolas"/>
        <family val="3"/>
      </rPr>
      <t xml:space="preserve"> </t>
    </r>
    <r>
      <rPr>
        <sz val="11"/>
        <color rgb="FFCE9178"/>
        <rFont val="Consolas"/>
        <family val="3"/>
      </rPr>
      <t>'../${lclassebase}/MySqlKinghost${classebase}DAO.php'</t>
    </r>
    <r>
      <rPr>
        <sz val="11"/>
        <color rgb="FFD4D4D4"/>
        <rFont val="Consolas"/>
        <family val="3"/>
      </rPr>
      <t>;</t>
    </r>
  </si>
  <si>
    <r>
      <t xml:space="preserve">    _iscadastro </t>
    </r>
    <r>
      <rPr>
        <sz val="10"/>
        <color rgb="FF000000"/>
        <rFont val="Courier New"/>
        <family val="3"/>
      </rPr>
      <t>= (</t>
    </r>
    <r>
      <rPr>
        <b/>
        <sz val="10"/>
        <color rgb="FF660E7A"/>
        <rFont val="Courier New"/>
        <family val="3"/>
      </rPr>
      <t>widget</t>
    </r>
    <r>
      <rPr>
        <sz val="10"/>
        <color rgb="FF000000"/>
        <rFont val="Courier New"/>
        <family val="3"/>
      </rPr>
      <t>.${lclassebase}</t>
    </r>
    <r>
      <rPr>
        <b/>
        <sz val="10"/>
        <color rgb="FF660E7A"/>
        <rFont val="Courier New"/>
        <family val="3"/>
      </rPr>
      <t xml:space="preserve">VO </t>
    </r>
    <r>
      <rPr>
        <sz val="10"/>
        <color rgb="FF000000"/>
        <rFont val="Courier New"/>
        <family val="3"/>
      </rPr>
      <t xml:space="preserve">== </t>
    </r>
    <r>
      <rPr>
        <b/>
        <sz val="10"/>
        <color rgb="FF000080"/>
        <rFont val="Courier New"/>
        <family val="3"/>
      </rPr>
      <t>null</t>
    </r>
    <r>
      <rPr>
        <sz val="10"/>
        <color rgb="FF000000"/>
        <rFont val="Courier New"/>
        <family val="3"/>
      </rPr>
      <t>);</t>
    </r>
  </si>
  <si>
    <r>
      <t xml:space="preserve">    String _urlcrud = </t>
    </r>
    <r>
      <rPr>
        <b/>
        <sz val="10"/>
        <color rgb="FF660E7A"/>
        <rFont val="Courier New"/>
        <family val="3"/>
      </rPr>
      <t xml:space="preserve">_iscadastro </t>
    </r>
    <r>
      <rPr>
        <sz val="10"/>
        <color rgb="FF000000"/>
        <rFont val="Courier New"/>
        <family val="3"/>
      </rPr>
      <t xml:space="preserve">? </t>
    </r>
    <r>
      <rPr>
        <b/>
        <sz val="10"/>
        <color rgb="FF008000"/>
        <rFont val="Courier New"/>
        <family val="3"/>
      </rPr>
      <t>'</t>
    </r>
    <r>
      <rPr>
        <sz val="10"/>
        <color rgb="FF000000"/>
        <rFont val="Courier New"/>
        <family val="3"/>
      </rPr>
      <t>${</t>
    </r>
    <r>
      <rPr>
        <b/>
        <sz val="10"/>
        <color rgb="FF660E7A"/>
        <rFont val="Courier New"/>
        <family val="3"/>
      </rPr>
      <t>_urlControlador</t>
    </r>
    <r>
      <rPr>
        <sz val="10"/>
        <color rgb="FF000000"/>
        <rFont val="Courier New"/>
        <family val="3"/>
      </rPr>
      <t>}</t>
    </r>
    <r>
      <rPr>
        <b/>
        <sz val="10"/>
        <color rgb="FF008000"/>
        <rFont val="Courier New"/>
        <family val="3"/>
      </rPr>
      <t xml:space="preserve">appInserir${classebase}.php' </t>
    </r>
    <r>
      <rPr>
        <sz val="10"/>
        <color rgb="FF000000"/>
        <rFont val="Courier New"/>
        <family val="3"/>
      </rPr>
      <t xml:space="preserve">: </t>
    </r>
    <r>
      <rPr>
        <b/>
        <sz val="10"/>
        <color rgb="FF008000"/>
        <rFont val="Courier New"/>
        <family val="3"/>
      </rPr>
      <t>'</t>
    </r>
    <r>
      <rPr>
        <sz val="10"/>
        <color rgb="FF000000"/>
        <rFont val="Courier New"/>
        <family val="3"/>
      </rPr>
      <t>${</t>
    </r>
    <r>
      <rPr>
        <b/>
        <sz val="10"/>
        <color rgb="FF660E7A"/>
        <rFont val="Courier New"/>
        <family val="3"/>
      </rPr>
      <t>_urlControlador</t>
    </r>
    <r>
      <rPr>
        <sz val="10"/>
        <color rgb="FF000000"/>
        <rFont val="Courier New"/>
        <family val="3"/>
      </rPr>
      <t>}</t>
    </r>
    <r>
      <rPr>
        <b/>
        <sz val="10"/>
        <color rgb="FF008000"/>
        <rFont val="Courier New"/>
        <family val="3"/>
      </rPr>
      <t>appAtualizar${classebase}.php'</t>
    </r>
    <r>
      <rPr>
        <sz val="10"/>
        <color rgb="FF000000"/>
        <rFont val="Courier New"/>
        <family val="3"/>
      </rPr>
      <t>;</t>
    </r>
  </si>
  <si>
    <t xml:space="preserve">              ${dto}: widget.${lower_classebase}VO == null ? 0: widget.${lower_classebase}VO.${dto},</t>
  </si>
  <si>
    <t xml:space="preserve">  final String ${dto};</t>
  </si>
  <si>
    <t xml:space="preserve">    map["${dto}"] = ${dto} == null ? '' : ${dto};</t>
  </si>
  <si>
    <r>
      <t xml:space="preserve">import </t>
    </r>
    <r>
      <rPr>
        <b/>
        <sz val="10"/>
        <color rgb="FF008000"/>
        <rFont val="Courier New"/>
        <family val="3"/>
      </rPr>
      <t>'package:flutter/material.dart'</t>
    </r>
    <r>
      <rPr>
        <sz val="10"/>
        <color rgb="FF000000"/>
        <rFont val="Courier New"/>
        <family val="3"/>
      </rPr>
      <t>;</t>
    </r>
  </si>
  <si>
    <r>
      <t xml:space="preserve">import </t>
    </r>
    <r>
      <rPr>
        <b/>
        <sz val="10"/>
        <color rgb="FF008000"/>
        <rFont val="Courier New"/>
        <family val="3"/>
      </rPr>
      <t xml:space="preserve">'package:http/http.dart' </t>
    </r>
    <r>
      <rPr>
        <b/>
        <sz val="10"/>
        <color rgb="FF000080"/>
        <rFont val="Courier New"/>
        <family val="3"/>
      </rPr>
      <t xml:space="preserve">as </t>
    </r>
    <r>
      <rPr>
        <sz val="10"/>
        <color rgb="FF000000"/>
        <rFont val="Courier New"/>
        <family val="3"/>
      </rPr>
      <t>http;</t>
    </r>
  </si>
  <si>
    <r>
      <t xml:space="preserve">import </t>
    </r>
    <r>
      <rPr>
        <b/>
        <sz val="10"/>
        <color rgb="FF008000"/>
        <rFont val="Courier New"/>
        <family val="3"/>
      </rPr>
      <t>'dart:convert'</t>
    </r>
    <r>
      <rPr>
        <sz val="10"/>
        <color rgb="FF000000"/>
        <rFont val="Courier New"/>
        <family val="3"/>
      </rPr>
      <t>;</t>
    </r>
  </si>
  <si>
    <r>
      <t xml:space="preserve">import </t>
    </r>
    <r>
      <rPr>
        <b/>
        <sz val="10"/>
        <color rgb="FF008000"/>
        <rFont val="Courier New"/>
        <family val="3"/>
      </rPr>
      <t>'package:junta10/br/com/jcv/linker/classes/ui/common/common-loading.dart'</t>
    </r>
    <r>
      <rPr>
        <sz val="10"/>
        <color rgb="FF000000"/>
        <rFont val="Courier New"/>
        <family val="3"/>
      </rPr>
      <t>;</t>
    </r>
  </si>
  <si>
    <r>
      <t xml:space="preserve">import </t>
    </r>
    <r>
      <rPr>
        <b/>
        <sz val="10"/>
        <color rgb="FF008000"/>
        <rFont val="Courier New"/>
        <family val="3"/>
      </rPr>
      <t>'package:junta10/br/com/jcv/linker/classes/storages/cacheSession.dart'</t>
    </r>
    <r>
      <rPr>
        <sz val="10"/>
        <color rgb="FF000000"/>
        <rFont val="Courier New"/>
        <family val="3"/>
      </rPr>
      <t>;</t>
    </r>
  </si>
  <si>
    <r>
      <t xml:space="preserve">  </t>
    </r>
    <r>
      <rPr>
        <sz val="10"/>
        <color rgb="FF808000"/>
        <rFont val="Courier New"/>
        <family val="3"/>
      </rPr>
      <t>@override</t>
    </r>
  </si>
  <si>
    <r>
      <t xml:space="preserve">  String </t>
    </r>
    <r>
      <rPr>
        <b/>
        <sz val="10"/>
        <color rgb="FF660E7A"/>
        <rFont val="Courier New"/>
        <family val="3"/>
      </rPr>
      <t>_token</t>
    </r>
    <r>
      <rPr>
        <sz val="10"/>
        <color rgb="FF000000"/>
        <rFont val="Courier New"/>
        <family val="3"/>
      </rPr>
      <t>;</t>
    </r>
  </si>
  <si>
    <r>
      <t xml:space="preserve">  String </t>
    </r>
    <r>
      <rPr>
        <b/>
        <sz val="10"/>
        <color rgb="FF660E7A"/>
        <rFont val="Courier New"/>
        <family val="3"/>
      </rPr>
      <t>_urlControlador</t>
    </r>
    <r>
      <rPr>
        <sz val="10"/>
        <color rgb="FF000000"/>
        <rFont val="Courier New"/>
        <family val="3"/>
      </rPr>
      <t>;</t>
    </r>
  </si>
  <si>
    <r>
      <t xml:space="preserve">  int </t>
    </r>
    <r>
      <rPr>
        <b/>
        <sz val="10"/>
        <color rgb="FF660E7A"/>
        <rFont val="Courier New"/>
        <family val="3"/>
      </rPr>
      <t xml:space="preserve">_pag </t>
    </r>
    <r>
      <rPr>
        <sz val="10"/>
        <color rgb="FF000000"/>
        <rFont val="Courier New"/>
        <family val="3"/>
      </rPr>
      <t xml:space="preserve">= </t>
    </r>
    <r>
      <rPr>
        <sz val="10"/>
        <color rgb="FF0000FF"/>
        <rFont val="Courier New"/>
        <family val="3"/>
      </rPr>
      <t>1</t>
    </r>
    <r>
      <rPr>
        <sz val="10"/>
        <color rgb="FF000000"/>
        <rFont val="Courier New"/>
        <family val="3"/>
      </rPr>
      <t>;</t>
    </r>
  </si>
  <si>
    <r>
      <t xml:space="preserve">    </t>
    </r>
    <r>
      <rPr>
        <b/>
        <sz val="10"/>
        <color rgb="FF660E7A"/>
        <rFont val="Courier New"/>
        <family val="3"/>
      </rPr>
      <t xml:space="preserve">_token </t>
    </r>
    <r>
      <rPr>
        <sz val="10"/>
        <color rgb="FF000000"/>
        <rFont val="Courier New"/>
        <family val="3"/>
      </rPr>
      <t xml:space="preserve">= </t>
    </r>
    <r>
      <rPr>
        <sz val="10"/>
        <color rgb="FF2196F3"/>
        <rFont val="Courier New"/>
        <family val="3"/>
      </rPr>
      <t>CacheSession</t>
    </r>
    <r>
      <rPr>
        <sz val="10"/>
        <color rgb="FF000000"/>
        <rFont val="Courier New"/>
        <family val="3"/>
      </rPr>
      <t>().getSession()[</t>
    </r>
    <r>
      <rPr>
        <b/>
        <sz val="10"/>
        <color rgb="FF008000"/>
        <rFont val="Courier New"/>
        <family val="3"/>
      </rPr>
      <t>'tokenid'</t>
    </r>
    <r>
      <rPr>
        <sz val="10"/>
        <color rgb="FF000000"/>
        <rFont val="Courier New"/>
        <family val="3"/>
      </rPr>
      <t>];</t>
    </r>
  </si>
  <si>
    <r>
      <t xml:space="preserve">    </t>
    </r>
    <r>
      <rPr>
        <b/>
        <sz val="10"/>
        <color rgb="FF660E7A"/>
        <rFont val="Courier New"/>
        <family val="3"/>
      </rPr>
      <t xml:space="preserve">_urlControlador </t>
    </r>
    <r>
      <rPr>
        <sz val="10"/>
        <color rgb="FF000000"/>
        <rFont val="Courier New"/>
        <family val="3"/>
      </rPr>
      <t xml:space="preserve">= </t>
    </r>
    <r>
      <rPr>
        <sz val="10"/>
        <color rgb="FF2196F3"/>
        <rFont val="Courier New"/>
        <family val="3"/>
      </rPr>
      <t>CacheSession</t>
    </r>
    <r>
      <rPr>
        <sz val="10"/>
        <color rgb="FF000000"/>
        <rFont val="Courier New"/>
        <family val="3"/>
      </rPr>
      <t>().getSession()[</t>
    </r>
    <r>
      <rPr>
        <b/>
        <sz val="10"/>
        <color rgb="FF008000"/>
        <rFont val="Courier New"/>
        <family val="3"/>
      </rPr>
      <t>'urlControlador'</t>
    </r>
    <r>
      <rPr>
        <sz val="10"/>
        <color rgb="FF000000"/>
        <rFont val="Courier New"/>
        <family val="3"/>
      </rPr>
      <t>];</t>
    </r>
  </si>
  <si>
    <t xml:space="preserve">    http.Response response;</t>
  </si>
  <si>
    <t xml:space="preserve">    debugPrint(_url);</t>
  </si>
  <si>
    <r>
      <t xml:space="preserve">    </t>
    </r>
    <r>
      <rPr>
        <b/>
        <sz val="10"/>
        <color rgb="FF000080"/>
        <rFont val="Courier New"/>
        <family val="3"/>
      </rPr>
      <t xml:space="preserve">return </t>
    </r>
    <r>
      <rPr>
        <sz val="10"/>
        <color rgb="FF000000"/>
        <rFont val="Courier New"/>
        <family val="3"/>
      </rPr>
      <t>(json.decode(response.</t>
    </r>
    <r>
      <rPr>
        <b/>
        <sz val="10"/>
        <color rgb="FF660E7A"/>
        <rFont val="Courier New"/>
        <family val="3"/>
      </rPr>
      <t>body</t>
    </r>
    <r>
      <rPr>
        <sz val="10"/>
        <color rgb="FF000000"/>
        <rFont val="Courier New"/>
        <family val="3"/>
      </rPr>
      <t>));</t>
    </r>
  </si>
  <si>
    <r>
      <t xml:space="preserve">  </t>
    </r>
    <r>
      <rPr>
        <sz val="10"/>
        <color rgb="FF000000"/>
        <rFont val="Courier New"/>
        <family val="3"/>
      </rPr>
      <t>Widget build(BuildContext context) {</t>
    </r>
  </si>
  <si>
    <r>
      <t xml:space="preserve">    </t>
    </r>
    <r>
      <rPr>
        <b/>
        <sz val="10"/>
        <color rgb="FF000080"/>
        <rFont val="Courier New"/>
        <family val="3"/>
      </rPr>
      <t xml:space="preserve">return new </t>
    </r>
    <r>
      <rPr>
        <sz val="10"/>
        <color rgb="FF2196F3"/>
        <rFont val="Courier New"/>
        <family val="3"/>
      </rPr>
      <t>Scaffold</t>
    </r>
    <r>
      <rPr>
        <sz val="10"/>
        <color rgb="FF000000"/>
        <rFont val="Courier New"/>
        <family val="3"/>
      </rPr>
      <t>(</t>
    </r>
  </si>
  <si>
    <r>
      <t xml:space="preserve">      appBar: </t>
    </r>
    <r>
      <rPr>
        <b/>
        <sz val="10"/>
        <color rgb="FF000080"/>
        <rFont val="Courier New"/>
        <family val="3"/>
      </rPr>
      <t xml:space="preserve">new </t>
    </r>
    <r>
      <rPr>
        <sz val="10"/>
        <color rgb="FF2196F3"/>
        <rFont val="Courier New"/>
        <family val="3"/>
      </rPr>
      <t>AppBar</t>
    </r>
    <r>
      <rPr>
        <sz val="10"/>
        <color rgb="FF000000"/>
        <rFont val="Courier New"/>
        <family val="3"/>
      </rPr>
      <t>(</t>
    </r>
  </si>
  <si>
    <r>
      <t xml:space="preserve">      body: </t>
    </r>
    <r>
      <rPr>
        <sz val="10"/>
        <color rgb="FF2196F3"/>
        <rFont val="Courier New"/>
        <family val="3"/>
      </rPr>
      <t>FutureBuilder</t>
    </r>
    <r>
      <rPr>
        <sz val="10"/>
        <color rgb="FF000000"/>
        <rFont val="Courier New"/>
        <family val="3"/>
      </rPr>
      <t>(</t>
    </r>
  </si>
  <si>
    <t xml:space="preserve">        builder: (BuildContext context, AsyncSnapshot&lt;Map&gt; snapshot){</t>
  </si>
  <si>
    <r>
      <t xml:space="preserve">          </t>
    </r>
    <r>
      <rPr>
        <b/>
        <sz val="10"/>
        <color rgb="FF000080"/>
        <rFont val="Courier New"/>
        <family val="3"/>
      </rPr>
      <t xml:space="preserve">switch </t>
    </r>
    <r>
      <rPr>
        <sz val="10"/>
        <color rgb="FF000000"/>
        <rFont val="Courier New"/>
        <family val="3"/>
      </rPr>
      <t>(snapshot.</t>
    </r>
    <r>
      <rPr>
        <b/>
        <sz val="10"/>
        <color rgb="FF660E7A"/>
        <rFont val="Courier New"/>
        <family val="3"/>
      </rPr>
      <t>connectionState</t>
    </r>
    <r>
      <rPr>
        <sz val="10"/>
        <color rgb="FF000000"/>
        <rFont val="Courier New"/>
        <family val="3"/>
      </rPr>
      <t>) {</t>
    </r>
  </si>
  <si>
    <r>
      <t xml:space="preserve">            </t>
    </r>
    <r>
      <rPr>
        <b/>
        <sz val="10"/>
        <color rgb="FF000080"/>
        <rFont val="Courier New"/>
        <family val="3"/>
      </rPr>
      <t xml:space="preserve">case </t>
    </r>
    <r>
      <rPr>
        <sz val="10"/>
        <color rgb="FF000000"/>
        <rFont val="Courier New"/>
        <family val="3"/>
      </rPr>
      <t>ConnectionState.</t>
    </r>
    <r>
      <rPr>
        <b/>
        <sz val="10"/>
        <color rgb="FF660E7A"/>
        <rFont val="Courier New"/>
        <family val="3"/>
      </rPr>
      <t>none</t>
    </r>
    <r>
      <rPr>
        <sz val="10"/>
        <color rgb="FF000000"/>
        <rFont val="Courier New"/>
        <family val="3"/>
      </rPr>
      <t>:</t>
    </r>
  </si>
  <si>
    <r>
      <t xml:space="preserve">              </t>
    </r>
    <r>
      <rPr>
        <b/>
        <sz val="10"/>
        <color rgb="FF000080"/>
        <rFont val="Courier New"/>
        <family val="3"/>
      </rPr>
      <t>break</t>
    </r>
    <r>
      <rPr>
        <sz val="10"/>
        <color rgb="FF000000"/>
        <rFont val="Courier New"/>
        <family val="3"/>
      </rPr>
      <t>;</t>
    </r>
  </si>
  <si>
    <r>
      <t xml:space="preserve">            </t>
    </r>
    <r>
      <rPr>
        <b/>
        <sz val="10"/>
        <color rgb="FF000080"/>
        <rFont val="Courier New"/>
        <family val="3"/>
      </rPr>
      <t xml:space="preserve">case </t>
    </r>
    <r>
      <rPr>
        <sz val="10"/>
        <color rgb="FF000000"/>
        <rFont val="Courier New"/>
        <family val="3"/>
      </rPr>
      <t>ConnectionState.</t>
    </r>
    <r>
      <rPr>
        <b/>
        <sz val="10"/>
        <color rgb="FF660E7A"/>
        <rFont val="Courier New"/>
        <family val="3"/>
      </rPr>
      <t>active</t>
    </r>
    <r>
      <rPr>
        <sz val="10"/>
        <color rgb="FF000000"/>
        <rFont val="Courier New"/>
        <family val="3"/>
      </rPr>
      <t>:</t>
    </r>
  </si>
  <si>
    <r>
      <t xml:space="preserve">            </t>
    </r>
    <r>
      <rPr>
        <b/>
        <sz val="10"/>
        <color rgb="FF000080"/>
        <rFont val="Courier New"/>
        <family val="3"/>
      </rPr>
      <t xml:space="preserve">case </t>
    </r>
    <r>
      <rPr>
        <sz val="10"/>
        <color rgb="FF000000"/>
        <rFont val="Courier New"/>
        <family val="3"/>
      </rPr>
      <t>ConnectionState.</t>
    </r>
    <r>
      <rPr>
        <b/>
        <sz val="10"/>
        <color rgb="FF660E7A"/>
        <rFont val="Courier New"/>
        <family val="3"/>
      </rPr>
      <t>waiting</t>
    </r>
    <r>
      <rPr>
        <sz val="10"/>
        <color rgb="FF000000"/>
        <rFont val="Courier New"/>
        <family val="3"/>
      </rPr>
      <t>:</t>
    </r>
  </si>
  <si>
    <r>
      <t xml:space="preserve">              </t>
    </r>
    <r>
      <rPr>
        <b/>
        <sz val="10"/>
        <color rgb="FF000080"/>
        <rFont val="Courier New"/>
        <family val="3"/>
      </rPr>
      <t xml:space="preserve">return new </t>
    </r>
    <r>
      <rPr>
        <sz val="10"/>
        <color rgb="FF2196F3"/>
        <rFont val="Courier New"/>
        <family val="3"/>
      </rPr>
      <t>CommonLoading</t>
    </r>
    <r>
      <rPr>
        <sz val="10"/>
        <color rgb="FF000000"/>
        <rFont val="Courier New"/>
        <family val="3"/>
      </rPr>
      <t>();</t>
    </r>
  </si>
  <si>
    <r>
      <t xml:space="preserve">            </t>
    </r>
    <r>
      <rPr>
        <b/>
        <sz val="10"/>
        <color rgb="FF000080"/>
        <rFont val="Courier New"/>
        <family val="3"/>
      </rPr>
      <t xml:space="preserve">case </t>
    </r>
    <r>
      <rPr>
        <sz val="10"/>
        <color rgb="FF000000"/>
        <rFont val="Courier New"/>
        <family val="3"/>
      </rPr>
      <t>ConnectionState.</t>
    </r>
    <r>
      <rPr>
        <b/>
        <sz val="10"/>
        <color rgb="FF660E7A"/>
        <rFont val="Courier New"/>
        <family val="3"/>
      </rPr>
      <t>done</t>
    </r>
    <r>
      <rPr>
        <sz val="10"/>
        <color rgb="FF000000"/>
        <rFont val="Courier New"/>
        <family val="3"/>
      </rPr>
      <t>:</t>
    </r>
  </si>
  <si>
    <r>
      <t xml:space="preserve">              </t>
    </r>
    <r>
      <rPr>
        <b/>
        <sz val="10"/>
        <color rgb="FF000080"/>
        <rFont val="Courier New"/>
        <family val="3"/>
      </rPr>
      <t>if</t>
    </r>
    <r>
      <rPr>
        <sz val="10"/>
        <color rgb="FF000000"/>
        <rFont val="Courier New"/>
        <family val="3"/>
      </rPr>
      <t>(snapshot.</t>
    </r>
    <r>
      <rPr>
        <b/>
        <sz val="10"/>
        <color rgb="FF660E7A"/>
        <rFont val="Courier New"/>
        <family val="3"/>
      </rPr>
      <t>hasError</t>
    </r>
    <r>
      <rPr>
        <sz val="10"/>
        <color rgb="FF000000"/>
        <rFont val="Courier New"/>
        <family val="3"/>
      </rPr>
      <t>) {</t>
    </r>
  </si>
  <si>
    <r>
      <t xml:space="preserve">              </t>
    </r>
    <r>
      <rPr>
        <b/>
        <sz val="10"/>
        <color rgb="FF000080"/>
        <rFont val="Courier New"/>
        <family val="3"/>
      </rPr>
      <t>if</t>
    </r>
    <r>
      <rPr>
        <sz val="10"/>
        <color rgb="FF000000"/>
        <rFont val="Courier New"/>
        <family val="3"/>
      </rPr>
      <t>(snapshot.</t>
    </r>
    <r>
      <rPr>
        <b/>
        <sz val="10"/>
        <color rgb="FF660E7A"/>
        <rFont val="Courier New"/>
        <family val="3"/>
      </rPr>
      <t>hasData</t>
    </r>
    <r>
      <rPr>
        <sz val="10"/>
        <color rgb="FF000000"/>
        <rFont val="Courier New"/>
        <family val="3"/>
      </rPr>
      <t>){</t>
    </r>
  </si>
  <si>
    <r>
      <t xml:space="preserve">            </t>
    </r>
    <r>
      <rPr>
        <b/>
        <sz val="10"/>
        <color rgb="FF000080"/>
        <rFont val="Courier New"/>
        <family val="3"/>
      </rPr>
      <t>default</t>
    </r>
    <r>
      <rPr>
        <sz val="10"/>
        <color rgb="FF000000"/>
        <rFont val="Courier New"/>
        <family val="3"/>
      </rPr>
      <t>:</t>
    </r>
  </si>
  <si>
    <r>
      <t xml:space="preserve">              </t>
    </r>
    <r>
      <rPr>
        <b/>
        <sz val="10"/>
        <color rgb="FF000080"/>
        <rFont val="Courier New"/>
        <family val="3"/>
      </rPr>
      <t xml:space="preserve">return new </t>
    </r>
    <r>
      <rPr>
        <sz val="10"/>
        <color rgb="FF2196F3"/>
        <rFont val="Courier New"/>
        <family val="3"/>
      </rPr>
      <t>Container</t>
    </r>
    <r>
      <rPr>
        <sz val="10"/>
        <color rgb="FF000000"/>
        <rFont val="Courier New"/>
        <family val="3"/>
      </rPr>
      <t>(</t>
    </r>
  </si>
  <si>
    <r>
      <t xml:space="preserve">                height: </t>
    </r>
    <r>
      <rPr>
        <sz val="10"/>
        <color rgb="FF0000FF"/>
        <rFont val="Courier New"/>
        <family val="3"/>
      </rPr>
      <t>0.0</t>
    </r>
    <r>
      <rPr>
        <sz val="10"/>
        <color rgb="FF000000"/>
        <rFont val="Courier New"/>
        <family val="3"/>
      </rPr>
      <t>,</t>
    </r>
  </si>
  <si>
    <r>
      <t xml:space="preserve">                width: </t>
    </r>
    <r>
      <rPr>
        <sz val="10"/>
        <color rgb="FF0000FF"/>
        <rFont val="Courier New"/>
        <family val="3"/>
      </rPr>
      <t>0.0</t>
    </r>
    <r>
      <rPr>
        <sz val="10"/>
        <color rgb="FF000000"/>
        <rFont val="Courier New"/>
        <family val="3"/>
      </rPr>
      <t>,</t>
    </r>
  </si>
  <si>
    <t xml:space="preserve">              );</t>
  </si>
  <si>
    <t xml:space="preserve">          }</t>
  </si>
  <si>
    <t xml:space="preserve">        },</t>
  </si>
  <si>
    <r>
      <t xml:space="preserve">import </t>
    </r>
    <r>
      <rPr>
        <b/>
        <sz val="10"/>
        <color rgb="FF008000"/>
        <rFont val="Courier New"/>
        <family val="3"/>
      </rPr>
      <t>'${classebase}LV.dart'</t>
    </r>
    <r>
      <rPr>
        <sz val="10"/>
        <color rgb="FF000000"/>
        <rFont val="Courier New"/>
        <family val="3"/>
      </rPr>
      <t>;</t>
    </r>
  </si>
  <si>
    <r>
      <t>class ${classebase}</t>
    </r>
    <r>
      <rPr>
        <sz val="10"/>
        <color rgb="FF000000"/>
        <rFont val="Courier New"/>
        <family val="3"/>
      </rPr>
      <t xml:space="preserve">Page </t>
    </r>
    <r>
      <rPr>
        <b/>
        <sz val="10"/>
        <color rgb="FF000080"/>
        <rFont val="Courier New"/>
        <family val="3"/>
      </rPr>
      <t xml:space="preserve">extends </t>
    </r>
    <r>
      <rPr>
        <sz val="10"/>
        <color rgb="FF000000"/>
        <rFont val="Courier New"/>
        <family val="3"/>
      </rPr>
      <t>StatefulWidget {</t>
    </r>
  </si>
  <si>
    <r>
      <t xml:space="preserve">  </t>
    </r>
    <r>
      <rPr>
        <sz val="10"/>
        <color rgb="FF000000"/>
        <rFont val="Courier New"/>
        <family val="3"/>
      </rPr>
      <t xml:space="preserve">_${classebase}PageState createState() =&gt; </t>
    </r>
    <r>
      <rPr>
        <sz val="10"/>
        <color rgb="FF2196F3"/>
        <rFont val="Courier New"/>
        <family val="3"/>
      </rPr>
      <t>_${classebase}PageState</t>
    </r>
    <r>
      <rPr>
        <sz val="10"/>
        <color rgb="FF000000"/>
        <rFont val="Courier New"/>
        <family val="3"/>
      </rPr>
      <t>();</t>
    </r>
  </si>
  <si>
    <r>
      <t xml:space="preserve">class </t>
    </r>
    <r>
      <rPr>
        <sz val="10"/>
        <color rgb="FF000000"/>
        <rFont val="Courier New"/>
        <family val="3"/>
      </rPr>
      <t xml:space="preserve">_${classebase}PageState </t>
    </r>
    <r>
      <rPr>
        <b/>
        <sz val="10"/>
        <color rgb="FF000080"/>
        <rFont val="Courier New"/>
        <family val="3"/>
      </rPr>
      <t xml:space="preserve">extends </t>
    </r>
    <r>
      <rPr>
        <sz val="10"/>
        <color rgb="FF000000"/>
        <rFont val="Courier New"/>
        <family val="3"/>
      </rPr>
      <t>State&lt;${classebase}Page&gt; {</t>
    </r>
  </si>
  <si>
    <r>
      <t xml:space="preserve">  Future&lt;Map&gt; _list${classebase}() </t>
    </r>
    <r>
      <rPr>
        <b/>
        <sz val="10"/>
        <color rgb="FF000080"/>
        <rFont val="Courier New"/>
        <family val="3"/>
      </rPr>
      <t xml:space="preserve">async </t>
    </r>
    <r>
      <rPr>
        <sz val="10"/>
        <color rgb="FF000000"/>
        <rFont val="Courier New"/>
        <family val="3"/>
      </rPr>
      <t>{</t>
    </r>
  </si>
  <si>
    <r>
      <t xml:space="preserve">        title: </t>
    </r>
    <r>
      <rPr>
        <b/>
        <sz val="10"/>
        <color rgb="FF000080"/>
        <rFont val="Courier New"/>
        <family val="3"/>
      </rPr>
      <t xml:space="preserve">new </t>
    </r>
    <r>
      <rPr>
        <sz val="10"/>
        <color rgb="FF2196F3"/>
        <rFont val="Courier New"/>
        <family val="3"/>
      </rPr>
      <t>Text</t>
    </r>
    <r>
      <rPr>
        <sz val="10"/>
        <color rgb="FF000000"/>
        <rFont val="Courier New"/>
        <family val="3"/>
      </rPr>
      <t>(</t>
    </r>
    <r>
      <rPr>
        <b/>
        <sz val="10"/>
        <color rgb="FF008000"/>
        <rFont val="Courier New"/>
        <family val="3"/>
      </rPr>
      <t>"${classebase}"</t>
    </r>
    <r>
      <rPr>
        <sz val="10"/>
        <color rgb="FF000000"/>
        <rFont val="Courier New"/>
        <family val="3"/>
      </rPr>
      <t>),</t>
    </r>
  </si>
  <si>
    <t xml:space="preserve">        future: _list${classebase}(),</t>
  </si>
  <si>
    <r>
      <t xml:space="preserve">                </t>
    </r>
    <r>
      <rPr>
        <b/>
        <sz val="10"/>
        <color rgb="FF000080"/>
        <rFont val="Courier New"/>
        <family val="3"/>
      </rPr>
      <t xml:space="preserve">return </t>
    </r>
    <r>
      <rPr>
        <sz val="10"/>
        <color rgb="FF2196F3"/>
        <rFont val="Courier New"/>
        <family val="3"/>
      </rPr>
      <t>${classebase}LV</t>
    </r>
    <r>
      <rPr>
        <sz val="10"/>
        <color rgb="FF000000"/>
        <rFont val="Courier New"/>
        <family val="3"/>
      </rPr>
      <t>(snapshot.</t>
    </r>
    <r>
      <rPr>
        <b/>
        <sz val="10"/>
        <color rgb="FF660E7A"/>
        <rFont val="Courier New"/>
        <family val="3"/>
      </rPr>
      <t>data</t>
    </r>
    <r>
      <rPr>
        <sz val="10"/>
        <color rgb="FF000000"/>
        <rFont val="Courier New"/>
        <family val="3"/>
      </rPr>
      <t>);</t>
    </r>
  </si>
  <si>
    <r>
      <t xml:space="preserve">import </t>
    </r>
    <r>
      <rPr>
        <b/>
        <sz val="10"/>
        <color rgb="FF008000"/>
        <rFont val="Courier New"/>
        <family val="3"/>
      </rPr>
      <t>'package:junta10/br/com/jcv/linker/classes/ui/common/common-msgcode.dart'</t>
    </r>
    <r>
      <rPr>
        <sz val="10"/>
        <color rgb="FF000000"/>
        <rFont val="Courier New"/>
        <family val="3"/>
      </rPr>
      <t>;</t>
    </r>
  </si>
  <si>
    <r>
      <t xml:space="preserve">  </t>
    </r>
    <r>
      <rPr>
        <b/>
        <sz val="10"/>
        <color rgb="FF000080"/>
        <rFont val="Courier New"/>
        <family val="3"/>
      </rPr>
      <t xml:space="preserve">dynamic </t>
    </r>
    <r>
      <rPr>
        <b/>
        <sz val="10"/>
        <color rgb="FF660E7A"/>
        <rFont val="Courier New"/>
        <family val="3"/>
      </rPr>
      <t>_pagina</t>
    </r>
    <r>
      <rPr>
        <sz val="10"/>
        <color rgb="FF000000"/>
        <rFont val="Courier New"/>
        <family val="3"/>
      </rPr>
      <t>;</t>
    </r>
  </si>
  <si>
    <r>
      <t xml:space="preserve">    debugPrint(</t>
    </r>
    <r>
      <rPr>
        <b/>
        <sz val="10"/>
        <color rgb="FF660E7A"/>
        <rFont val="Courier New"/>
        <family val="3"/>
      </rPr>
      <t>widget</t>
    </r>
    <r>
      <rPr>
        <sz val="10"/>
        <color rgb="FF000000"/>
        <rFont val="Courier New"/>
        <family val="3"/>
      </rPr>
      <t>.</t>
    </r>
    <r>
      <rPr>
        <b/>
        <sz val="10"/>
        <color rgb="FF660E7A"/>
        <rFont val="Courier New"/>
        <family val="3"/>
      </rPr>
      <t>_pagina</t>
    </r>
    <r>
      <rPr>
        <sz val="10"/>
        <color rgb="FF000000"/>
        <rFont val="Courier New"/>
        <family val="3"/>
      </rPr>
      <t>[</t>
    </r>
    <r>
      <rPr>
        <b/>
        <sz val="10"/>
        <color rgb="FF008000"/>
        <rFont val="Courier New"/>
        <family val="3"/>
      </rPr>
      <t>'lst'</t>
    </r>
    <r>
      <rPr>
        <sz val="10"/>
        <color rgb="FF000000"/>
        <rFont val="Courier New"/>
        <family val="3"/>
      </rPr>
      <t>].length.toString());</t>
    </r>
  </si>
  <si>
    <r>
      <t xml:space="preserve">    </t>
    </r>
    <r>
      <rPr>
        <b/>
        <sz val="10"/>
        <color rgb="FF000080"/>
        <rFont val="Courier New"/>
        <family val="3"/>
      </rPr>
      <t xml:space="preserve">return </t>
    </r>
    <r>
      <rPr>
        <b/>
        <sz val="10"/>
        <color rgb="FF660E7A"/>
        <rFont val="Courier New"/>
        <family val="3"/>
      </rPr>
      <t>widget</t>
    </r>
    <r>
      <rPr>
        <sz val="10"/>
        <color rgb="FF000000"/>
        <rFont val="Courier New"/>
        <family val="3"/>
      </rPr>
      <t>.</t>
    </r>
    <r>
      <rPr>
        <b/>
        <sz val="10"/>
        <color rgb="FF660E7A"/>
        <rFont val="Courier New"/>
        <family val="3"/>
      </rPr>
      <t>_pagina</t>
    </r>
    <r>
      <rPr>
        <sz val="10"/>
        <color rgb="FF000000"/>
        <rFont val="Courier New"/>
        <family val="3"/>
      </rPr>
      <t>[</t>
    </r>
    <r>
      <rPr>
        <b/>
        <sz val="10"/>
        <color rgb="FF008000"/>
        <rFont val="Courier New"/>
        <family val="3"/>
      </rPr>
      <t>'lst'</t>
    </r>
    <r>
      <rPr>
        <sz val="10"/>
        <color rgb="FF000000"/>
        <rFont val="Courier New"/>
        <family val="3"/>
      </rPr>
      <t xml:space="preserve">].length == </t>
    </r>
    <r>
      <rPr>
        <sz val="10"/>
        <color rgb="FF0000FF"/>
        <rFont val="Courier New"/>
        <family val="3"/>
      </rPr>
      <t>0</t>
    </r>
  </si>
  <si>
    <r>
      <t xml:space="preserve">        </t>
    </r>
    <r>
      <rPr>
        <sz val="10"/>
        <color rgb="FF000000"/>
        <rFont val="Courier New"/>
        <family val="3"/>
      </rPr>
      <t xml:space="preserve">? </t>
    </r>
    <r>
      <rPr>
        <b/>
        <sz val="10"/>
        <color rgb="FF000080"/>
        <rFont val="Courier New"/>
        <family val="3"/>
      </rPr>
      <t xml:space="preserve">new </t>
    </r>
    <r>
      <rPr>
        <sz val="10"/>
        <color rgb="FF2196F3"/>
        <rFont val="Courier New"/>
        <family val="3"/>
      </rPr>
      <t>CommonMsgCode</t>
    </r>
    <r>
      <rPr>
        <sz val="10"/>
        <color rgb="FF000000"/>
        <rFont val="Courier New"/>
        <family val="3"/>
      </rPr>
      <t xml:space="preserve">(msgcode: </t>
    </r>
    <r>
      <rPr>
        <b/>
        <sz val="10"/>
        <color rgb="FF008000"/>
        <rFont val="Courier New"/>
        <family val="3"/>
      </rPr>
      <t>"LNK-0042"</t>
    </r>
    <r>
      <rPr>
        <sz val="10"/>
        <color rgb="FF000000"/>
        <rFont val="Courier New"/>
        <family val="3"/>
      </rPr>
      <t xml:space="preserve">, msgcodeString: </t>
    </r>
    <r>
      <rPr>
        <b/>
        <sz val="10"/>
        <color rgb="FF008000"/>
        <rFont val="Courier New"/>
        <family val="3"/>
      </rPr>
      <t>"Nenhum cartão encontrado."</t>
    </r>
    <r>
      <rPr>
        <sz val="10"/>
        <color rgb="FF000000"/>
        <rFont val="Courier New"/>
        <family val="3"/>
      </rPr>
      <t>)</t>
    </r>
  </si>
  <si>
    <r>
      <t xml:space="preserve">        : </t>
    </r>
    <r>
      <rPr>
        <b/>
        <sz val="10"/>
        <color rgb="FF000080"/>
        <rFont val="Courier New"/>
        <family val="3"/>
      </rPr>
      <t xml:space="preserve">new </t>
    </r>
    <r>
      <rPr>
        <sz val="10"/>
        <color rgb="FF2196F3"/>
        <rFont val="Courier New"/>
        <family val="3"/>
      </rPr>
      <t>ListView</t>
    </r>
    <r>
      <rPr>
        <sz val="10"/>
        <color rgb="FF000000"/>
        <rFont val="Courier New"/>
        <family val="3"/>
      </rPr>
      <t>.</t>
    </r>
    <r>
      <rPr>
        <sz val="10"/>
        <color rgb="FF2196F3"/>
        <rFont val="Courier New"/>
        <family val="3"/>
      </rPr>
      <t>builder</t>
    </r>
    <r>
      <rPr>
        <sz val="10"/>
        <color rgb="FF000000"/>
        <rFont val="Courier New"/>
        <family val="3"/>
      </rPr>
      <t>(</t>
    </r>
  </si>
  <si>
    <r>
      <t xml:space="preserve">      itemCount: </t>
    </r>
    <r>
      <rPr>
        <b/>
        <sz val="10"/>
        <color rgb="FF660E7A"/>
        <rFont val="Courier New"/>
        <family val="3"/>
      </rPr>
      <t>widget</t>
    </r>
    <r>
      <rPr>
        <sz val="10"/>
        <color rgb="FF000000"/>
        <rFont val="Courier New"/>
        <family val="3"/>
      </rPr>
      <t>.</t>
    </r>
    <r>
      <rPr>
        <b/>
        <sz val="10"/>
        <color rgb="FF660E7A"/>
        <rFont val="Courier New"/>
        <family val="3"/>
      </rPr>
      <t>_pagina</t>
    </r>
    <r>
      <rPr>
        <sz val="10"/>
        <color rgb="FF000000"/>
        <rFont val="Courier New"/>
        <family val="3"/>
      </rPr>
      <t>[</t>
    </r>
    <r>
      <rPr>
        <b/>
        <sz val="10"/>
        <color rgb="FF008000"/>
        <rFont val="Courier New"/>
        <family val="3"/>
      </rPr>
      <t>'lst'</t>
    </r>
    <r>
      <rPr>
        <sz val="10"/>
        <color rgb="FF000000"/>
        <rFont val="Courier New"/>
        <family val="3"/>
      </rPr>
      <t>].length,</t>
    </r>
  </si>
  <si>
    <t xml:space="preserve">      itemBuilder: (BuildContext context, int index){</t>
  </si>
  <si>
    <t xml:space="preserve">      },</t>
  </si>
  <si>
    <r>
      <t xml:space="preserve">import </t>
    </r>
    <r>
      <rPr>
        <b/>
        <sz val="10"/>
        <color rgb="FF008000"/>
        <rFont val="Courier New"/>
        <family val="3"/>
      </rPr>
      <t>'${classebase}UI.dart'</t>
    </r>
    <r>
      <rPr>
        <sz val="10"/>
        <color rgb="FF000000"/>
        <rFont val="Courier New"/>
        <family val="3"/>
      </rPr>
      <t>;</t>
    </r>
  </si>
  <si>
    <r>
      <t xml:space="preserve">class </t>
    </r>
    <r>
      <rPr>
        <sz val="10"/>
        <color rgb="FF000000"/>
        <rFont val="Courier New"/>
        <family val="3"/>
      </rPr>
      <t xml:space="preserve">${classebase}LV </t>
    </r>
    <r>
      <rPr>
        <b/>
        <sz val="10"/>
        <color rgb="FF000080"/>
        <rFont val="Courier New"/>
        <family val="3"/>
      </rPr>
      <t xml:space="preserve">extends </t>
    </r>
    <r>
      <rPr>
        <sz val="10"/>
        <color rgb="FF000000"/>
        <rFont val="Courier New"/>
        <family val="3"/>
      </rPr>
      <t>StatefulWidget {</t>
    </r>
  </si>
  <si>
    <r>
      <t xml:space="preserve">  ${classebase}LV(</t>
    </r>
    <r>
      <rPr>
        <b/>
        <sz val="10"/>
        <color rgb="FF000080"/>
        <rFont val="Courier New"/>
        <family val="3"/>
      </rPr>
      <t>this</t>
    </r>
    <r>
      <rPr>
        <sz val="10"/>
        <color rgb="FF000000"/>
        <rFont val="Courier New"/>
        <family val="3"/>
      </rPr>
      <t>.</t>
    </r>
    <r>
      <rPr>
        <b/>
        <sz val="10"/>
        <color rgb="FF660E7A"/>
        <rFont val="Courier New"/>
        <family val="3"/>
      </rPr>
      <t>_pagina</t>
    </r>
    <r>
      <rPr>
        <sz val="10"/>
        <color rgb="FF000000"/>
        <rFont val="Courier New"/>
        <family val="3"/>
      </rPr>
      <t>);</t>
    </r>
  </si>
  <si>
    <t xml:space="preserve">  _${classebase}LVState createState() =&gt; _${classebase}LVState();</t>
  </si>
  <si>
    <t>class _${classebase}LVState extends State&lt;${classebase}LV&gt; {</t>
  </si>
  <si>
    <r>
      <t xml:space="preserve">        </t>
    </r>
    <r>
      <rPr>
        <b/>
        <sz val="10"/>
        <color rgb="FF000080"/>
        <rFont val="Courier New"/>
        <family val="3"/>
      </rPr>
      <t xml:space="preserve">return </t>
    </r>
    <r>
      <rPr>
        <sz val="10"/>
        <color rgb="FF2196F3"/>
        <rFont val="Courier New"/>
        <family val="3"/>
      </rPr>
      <t>${classebase}UI</t>
    </r>
    <r>
      <rPr>
        <sz val="10"/>
        <color rgb="FF000000"/>
        <rFont val="Courier New"/>
        <family val="3"/>
      </rPr>
      <t>(</t>
    </r>
    <r>
      <rPr>
        <b/>
        <sz val="10"/>
        <color rgb="FF660E7A"/>
        <rFont val="Courier New"/>
        <family val="3"/>
      </rPr>
      <t>widget</t>
    </r>
    <r>
      <rPr>
        <sz val="10"/>
        <color rgb="FF000000"/>
        <rFont val="Courier New"/>
        <family val="3"/>
      </rPr>
      <t>.</t>
    </r>
    <r>
      <rPr>
        <b/>
        <sz val="10"/>
        <color rgb="FF660E7A"/>
        <rFont val="Courier New"/>
        <family val="3"/>
      </rPr>
      <t>_pagina</t>
    </r>
    <r>
      <rPr>
        <sz val="10"/>
        <color rgb="FF000000"/>
        <rFont val="Courier New"/>
        <family val="3"/>
      </rPr>
      <t>[</t>
    </r>
    <r>
      <rPr>
        <b/>
        <sz val="10"/>
        <color rgb="FF008000"/>
        <rFont val="Courier New"/>
        <family val="3"/>
      </rPr>
      <t>'lst'</t>
    </r>
    <r>
      <rPr>
        <sz val="10"/>
        <color rgb="FF000000"/>
        <rFont val="Courier New"/>
        <family val="3"/>
      </rPr>
      <t>][index]);</t>
    </r>
  </si>
  <si>
    <r>
      <t xml:space="preserve">import </t>
    </r>
    <r>
      <rPr>
        <b/>
        <sz val="10"/>
        <color rgb="FF008000"/>
        <rFont val="Courier New"/>
        <family val="3"/>
      </rPr>
      <t>'package:flutter/cupertino.dart'</t>
    </r>
    <r>
      <rPr>
        <sz val="10"/>
        <color rgb="FF000000"/>
        <rFont val="Courier New"/>
        <family val="3"/>
      </rPr>
      <t>;</t>
    </r>
  </si>
  <si>
    <r>
      <t xml:space="preserve">import </t>
    </r>
    <r>
      <rPr>
        <b/>
        <sz val="10"/>
        <color rgb="FF008000"/>
        <rFont val="Courier New"/>
        <family val="3"/>
      </rPr>
      <t>'package:flutter/rendering.dart'</t>
    </r>
    <r>
      <rPr>
        <sz val="10"/>
        <color rgb="FF000000"/>
        <rFont val="Courier New"/>
        <family val="3"/>
      </rPr>
      <t>;</t>
    </r>
  </si>
  <si>
    <r>
      <t xml:space="preserve">import </t>
    </r>
    <r>
      <rPr>
        <b/>
        <sz val="10"/>
        <color rgb="FF008000"/>
        <rFont val="Courier New"/>
        <family val="3"/>
      </rPr>
      <t>'package:flutter/widgets.dart'</t>
    </r>
    <r>
      <rPr>
        <sz val="10"/>
        <color rgb="FF000000"/>
        <rFont val="Courier New"/>
        <family val="3"/>
      </rPr>
      <t>;</t>
    </r>
  </si>
  <si>
    <t xml:space="preserve">              children: &lt;Widget&gt;[</t>
  </si>
  <si>
    <t xml:space="preserve">              ],</t>
  </si>
  <si>
    <t xml:space="preserve">  _${classebase}UIState createState() =&gt; _${classebase}UIState();</t>
  </si>
  <si>
    <t>// URL http://localhost/cfdi/php/classes/${lclassebase}/clientListar${classebase}PorStatus.php</t>
  </si>
  <si>
    <t>// Importar dependencias</t>
  </si>
  <si>
    <r>
      <t>$token</t>
    </r>
    <r>
      <rPr>
        <sz val="11"/>
        <color rgb="FFD4D4D4"/>
        <rFont val="Consolas"/>
        <family val="3"/>
      </rPr>
      <t xml:space="preserve"> = </t>
    </r>
    <r>
      <rPr>
        <sz val="11"/>
        <color rgb="FF9CDCFE"/>
        <rFont val="Consolas"/>
        <family val="3"/>
      </rPr>
      <t>$_GET</t>
    </r>
    <r>
      <rPr>
        <sz val="11"/>
        <color rgb="FFD4D4D4"/>
        <rFont val="Consolas"/>
        <family val="3"/>
      </rPr>
      <t>[</t>
    </r>
    <r>
      <rPr>
        <sz val="11"/>
        <color rgb="FFCE9178"/>
        <rFont val="Consolas"/>
        <family val="3"/>
      </rPr>
      <t>'tokenid'</t>
    </r>
    <r>
      <rPr>
        <sz val="11"/>
        <color rgb="FFD4D4D4"/>
        <rFont val="Consolas"/>
        <family val="3"/>
      </rPr>
      <t>];</t>
    </r>
  </si>
  <si>
    <r>
      <t>$pag</t>
    </r>
    <r>
      <rPr>
        <sz val="11"/>
        <color rgb="FFD4D4D4"/>
        <rFont val="Consolas"/>
        <family val="3"/>
      </rPr>
      <t xml:space="preserve"> = </t>
    </r>
    <r>
      <rPr>
        <sz val="11"/>
        <color rgb="FF9CDCFE"/>
        <rFont val="Consolas"/>
        <family val="3"/>
      </rPr>
      <t>$_GET</t>
    </r>
    <r>
      <rPr>
        <sz val="11"/>
        <color rgb="FFD4D4D4"/>
        <rFont val="Consolas"/>
        <family val="3"/>
      </rPr>
      <t>[</t>
    </r>
    <r>
      <rPr>
        <sz val="11"/>
        <color rgb="FFCE9178"/>
        <rFont val="Consolas"/>
        <family val="3"/>
      </rPr>
      <t>'pag'</t>
    </r>
    <r>
      <rPr>
        <sz val="11"/>
        <color rgb="FFD4D4D4"/>
        <rFont val="Consolas"/>
        <family val="3"/>
      </rPr>
      <t>];</t>
    </r>
  </si>
  <si>
    <t>// &gt;&gt;&gt;Backend</t>
  </si>
  <si>
    <t>* listar${classebase}PorUsuaIdStatus() - Usado para invocar a classe de negócio TipoEmpreendimentoBusinessImpl de forma geral</t>
  </si>
  <si>
    <t>* realizar lista paginada de registros tendo como referência os registros do usuário logado com uma instância de PaginacaoDTO</t>
  </si>
  <si>
    <r>
      <t xml:space="preserve">* </t>
    </r>
    <r>
      <rPr>
        <sz val="11"/>
        <color rgb="FF569CD6"/>
        <rFont val="Consolas"/>
        <family val="3"/>
      </rPr>
      <t>@param</t>
    </r>
    <r>
      <rPr>
        <sz val="11"/>
        <color rgb="FF6A9955"/>
        <rFont val="Consolas"/>
        <family val="3"/>
      </rPr>
      <t xml:space="preserve"> $usuaid</t>
    </r>
  </si>
  <si>
    <r>
      <t xml:space="preserve">           $retorno</t>
    </r>
    <r>
      <rPr>
        <sz val="11"/>
        <color rgb="FFD4D4D4"/>
        <rFont val="Consolas"/>
        <family val="3"/>
      </rPr>
      <t xml:space="preserve"> = </t>
    </r>
    <r>
      <rPr>
        <sz val="11"/>
        <color rgb="FF9CDCFE"/>
        <rFont val="Consolas"/>
        <family val="3"/>
      </rPr>
      <t>$bo</t>
    </r>
    <r>
      <rPr>
        <sz val="11"/>
        <color rgb="FFD4D4D4"/>
        <rFont val="Consolas"/>
        <family val="3"/>
      </rPr>
      <t>-&gt;</t>
    </r>
    <r>
      <rPr>
        <sz val="11"/>
        <color rgb="FFDCDCAA"/>
        <rFont val="Consolas"/>
        <family val="3"/>
      </rPr>
      <t>listar${classebase}PorUsuaIdStatus</t>
    </r>
    <r>
      <rPr>
        <sz val="11"/>
        <color rgb="FFD4D4D4"/>
        <rFont val="Consolas"/>
        <family val="3"/>
      </rPr>
      <t>(</t>
    </r>
    <r>
      <rPr>
        <sz val="11"/>
        <color rgb="FF9CDCFE"/>
        <rFont val="Consolas"/>
        <family val="3"/>
      </rPr>
      <t>$daofactory</t>
    </r>
    <r>
      <rPr>
        <sz val="11"/>
        <color rgb="FFD4D4D4"/>
        <rFont val="Consolas"/>
        <family val="3"/>
      </rPr>
      <t xml:space="preserve">, $usuaid, </t>
    </r>
    <r>
      <rPr>
        <sz val="11"/>
        <color rgb="FF9CDCFE"/>
        <rFont val="Consolas"/>
        <family val="3"/>
      </rPr>
      <t>$status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$pag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$qtde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$coluna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$ordem</t>
    </r>
    <r>
      <rPr>
        <sz val="11"/>
        <color rgb="FFD4D4D4"/>
        <rFont val="Consolas"/>
        <family val="3"/>
      </rPr>
      <t>);</t>
    </r>
  </si>
  <si>
    <r>
      <t xml:space="preserve">    public</t>
    </r>
    <r>
      <rPr>
        <sz val="11"/>
        <color rgb="FFD4D4D4"/>
        <rFont val="Consolas"/>
        <family val="3"/>
      </rPr>
      <t xml:space="preserve"> </t>
    </r>
    <r>
      <rPr>
        <sz val="11"/>
        <color rgb="FF569CD6"/>
        <rFont val="Consolas"/>
        <family val="3"/>
      </rPr>
      <t>function</t>
    </r>
    <r>
      <rPr>
        <sz val="11"/>
        <color rgb="FFD4D4D4"/>
        <rFont val="Consolas"/>
        <family val="3"/>
      </rPr>
      <t xml:space="preserve"> </t>
    </r>
    <r>
      <rPr>
        <sz val="11"/>
        <color rgb="FFDCDCAA"/>
        <rFont val="Consolas"/>
        <family val="3"/>
      </rPr>
      <t>listar${classebase}PorUsuaIdStatus</t>
    </r>
    <r>
      <rPr>
        <sz val="11"/>
        <color rgb="FFD4D4D4"/>
        <rFont val="Consolas"/>
        <family val="3"/>
      </rPr>
      <t>(</t>
    </r>
    <r>
      <rPr>
        <sz val="11"/>
        <color rgb="FF9CDCFE"/>
        <rFont val="Consolas"/>
        <family val="3"/>
      </rPr>
      <t>$daofactory</t>
    </r>
    <r>
      <rPr>
        <sz val="11"/>
        <color rgb="FFD4D4D4"/>
        <rFont val="Consolas"/>
        <family val="3"/>
      </rPr>
      <t>,</t>
    </r>
    <r>
      <rPr>
        <sz val="11"/>
        <color rgb="FF9CDCFE"/>
        <rFont val="Consolas"/>
        <family val="3"/>
      </rPr>
      <t xml:space="preserve"> $usuaid</t>
    </r>
    <r>
      <rPr>
        <sz val="11"/>
        <color rgb="FFD4D4D4"/>
        <rFont val="Consolas"/>
        <family val="3"/>
      </rPr>
      <t>,</t>
    </r>
    <r>
      <rPr>
        <sz val="11"/>
        <color rgb="FF9CDCFE"/>
        <rFont val="Consolas"/>
        <family val="3"/>
      </rPr>
      <t xml:space="preserve"> $status</t>
    </r>
    <r>
      <rPr>
        <sz val="11"/>
        <color rgb="FFD4D4D4"/>
        <rFont val="Consolas"/>
        <family val="3"/>
      </rPr>
      <t>,</t>
    </r>
    <r>
      <rPr>
        <sz val="11"/>
        <color rgb="FF9CDCFE"/>
        <rFont val="Consolas"/>
        <family val="3"/>
      </rPr>
      <t xml:space="preserve"> $pag</t>
    </r>
    <r>
      <rPr>
        <sz val="11"/>
        <color rgb="FFD4D4D4"/>
        <rFont val="Consolas"/>
        <family val="3"/>
      </rPr>
      <t>,</t>
    </r>
    <r>
      <rPr>
        <sz val="11"/>
        <color rgb="FF9CDCFE"/>
        <rFont val="Consolas"/>
        <family val="3"/>
      </rPr>
      <t xml:space="preserve"> $qtde</t>
    </r>
    <r>
      <rPr>
        <sz val="11"/>
        <color rgb="FFD4D4D4"/>
        <rFont val="Consolas"/>
        <family val="3"/>
      </rPr>
      <t>,</t>
    </r>
    <r>
      <rPr>
        <sz val="11"/>
        <color rgb="FF9CDCFE"/>
        <rFont val="Consolas"/>
        <family val="3"/>
      </rPr>
      <t xml:space="preserve"> $coluna</t>
    </r>
    <r>
      <rPr>
        <sz val="11"/>
        <color rgb="FFD4D4D4"/>
        <rFont val="Consolas"/>
        <family val="3"/>
      </rPr>
      <t>,</t>
    </r>
    <r>
      <rPr>
        <sz val="11"/>
        <color rgb="FF9CDCFE"/>
        <rFont val="Consolas"/>
        <family val="3"/>
      </rPr>
      <t xml:space="preserve"> $ordem</t>
    </r>
    <r>
      <rPr>
        <sz val="11"/>
        <color rgb="FFD4D4D4"/>
        <rFont val="Consolas"/>
        <family val="3"/>
      </rPr>
      <t>);</t>
    </r>
  </si>
  <si>
    <t>* listar${classebase}UsuaIdPorStatus() - Usado para invocar a interface de acesso aos dados (DAO) ${classebase}DAO de forma geral</t>
  </si>
  <si>
    <t>* realizar lista paginada de registros dos registros do usuário logado com uma instância de PaginacaoDTO</t>
  </si>
  <si>
    <r>
      <t>        </t>
    </r>
    <r>
      <rPr>
        <sz val="11"/>
        <color rgb="FF9CDCFE"/>
        <rFont val="Consolas"/>
        <family val="3"/>
      </rPr>
      <t>$retorno</t>
    </r>
    <r>
      <rPr>
        <sz val="11"/>
        <color rgb="FFD4D4D4"/>
        <rFont val="Consolas"/>
        <family val="3"/>
      </rPr>
      <t>-&gt;</t>
    </r>
    <r>
      <rPr>
        <sz val="11"/>
        <color rgb="FF9CDCFE"/>
        <rFont val="Consolas"/>
        <family val="3"/>
      </rPr>
      <t>totalPaginas</t>
    </r>
    <r>
      <rPr>
        <sz val="11"/>
        <color rgb="FFD4D4D4"/>
        <rFont val="Consolas"/>
        <family val="3"/>
      </rPr>
      <t xml:space="preserve"> = </t>
    </r>
    <r>
      <rPr>
        <sz val="11"/>
        <color rgb="FFDCDCAA"/>
        <rFont val="Consolas"/>
        <family val="3"/>
      </rPr>
      <t>ceil</t>
    </r>
    <r>
      <rPr>
        <sz val="11"/>
        <color rgb="FFD4D4D4"/>
        <rFont val="Consolas"/>
        <family val="3"/>
      </rPr>
      <t>(</t>
    </r>
    <r>
      <rPr>
        <sz val="11"/>
        <color rgb="FF9CDCFE"/>
        <rFont val="Consolas"/>
        <family val="3"/>
      </rPr>
      <t>$dao</t>
    </r>
    <r>
      <rPr>
        <sz val="11"/>
        <color rgb="FFD4D4D4"/>
        <rFont val="Consolas"/>
        <family val="3"/>
      </rPr>
      <t>-&gt;</t>
    </r>
    <r>
      <rPr>
        <sz val="11"/>
        <color rgb="FFDCDCAA"/>
        <rFont val="Consolas"/>
        <family val="3"/>
      </rPr>
      <t>count${classebase}PorUsuaIdStatus</t>
    </r>
    <r>
      <rPr>
        <sz val="11"/>
        <color rgb="FFD4D4D4"/>
        <rFont val="Consolas"/>
        <family val="3"/>
      </rPr>
      <t xml:space="preserve">($usuaid, </t>
    </r>
    <r>
      <rPr>
        <sz val="11"/>
        <color rgb="FF9CDCFE"/>
        <rFont val="Consolas"/>
        <family val="3"/>
      </rPr>
      <t>$status</t>
    </r>
    <r>
      <rPr>
        <sz val="11"/>
        <color rgb="FFD4D4D4"/>
        <rFont val="Consolas"/>
        <family val="3"/>
      </rPr>
      <t xml:space="preserve">) / </t>
    </r>
    <r>
      <rPr>
        <sz val="11"/>
        <color rgb="FF9CDCFE"/>
        <rFont val="Consolas"/>
        <family val="3"/>
      </rPr>
      <t>$retorno</t>
    </r>
    <r>
      <rPr>
        <sz val="11"/>
        <color rgb="FFD4D4D4"/>
        <rFont val="Consolas"/>
        <family val="3"/>
      </rPr>
      <t>-&gt;</t>
    </r>
    <r>
      <rPr>
        <sz val="11"/>
        <color rgb="FF9CDCFE"/>
        <rFont val="Consolas"/>
        <family val="3"/>
      </rPr>
      <t>itensPorPagina</t>
    </r>
    <r>
      <rPr>
        <sz val="11"/>
        <color rgb="FFD4D4D4"/>
        <rFont val="Consolas"/>
        <family val="3"/>
      </rPr>
      <t>);</t>
    </r>
  </si>
  <si>
    <r>
      <t xml:space="preserve">        $retorno</t>
    </r>
    <r>
      <rPr>
        <sz val="11"/>
        <color rgb="FFD4D4D4"/>
        <rFont val="Consolas"/>
        <family val="3"/>
      </rPr>
      <t>-&gt;</t>
    </r>
    <r>
      <rPr>
        <sz val="11"/>
        <color rgb="FF9CDCFE"/>
        <rFont val="Consolas"/>
        <family val="3"/>
      </rPr>
      <t>lst</t>
    </r>
    <r>
      <rPr>
        <sz val="11"/>
        <color rgb="FFD4D4D4"/>
        <rFont val="Consolas"/>
        <family val="3"/>
      </rPr>
      <t xml:space="preserve"> = </t>
    </r>
    <r>
      <rPr>
        <sz val="11"/>
        <color rgb="FF9CDCFE"/>
        <rFont val="Consolas"/>
        <family val="3"/>
      </rPr>
      <t>$dao</t>
    </r>
    <r>
      <rPr>
        <sz val="11"/>
        <color rgb="FFD4D4D4"/>
        <rFont val="Consolas"/>
        <family val="3"/>
      </rPr>
      <t>-&gt;</t>
    </r>
    <r>
      <rPr>
        <sz val="11"/>
        <color rgb="FFDCDCAA"/>
        <rFont val="Consolas"/>
        <family val="3"/>
      </rPr>
      <t>list${classebase}PorUsuaIdStatus</t>
    </r>
    <r>
      <rPr>
        <sz val="11"/>
        <color rgb="FFD4D4D4"/>
        <rFont val="Consolas"/>
        <family val="3"/>
      </rPr>
      <t xml:space="preserve">($usuaid, </t>
    </r>
    <r>
      <rPr>
        <sz val="11"/>
        <color rgb="FF9CDCFE"/>
        <rFont val="Consolas"/>
        <family val="3"/>
      </rPr>
      <t>$status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$pag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$qtde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$coluna</t>
    </r>
    <r>
      <rPr>
        <sz val="11"/>
        <color rgb="FFD4D4D4"/>
        <rFont val="Consolas"/>
        <family val="3"/>
      </rPr>
      <t xml:space="preserve">, </t>
    </r>
    <r>
      <rPr>
        <sz val="11"/>
        <color rgb="FF9CDCFE"/>
        <rFont val="Consolas"/>
        <family val="3"/>
      </rPr>
      <t>$ordem</t>
    </r>
    <r>
      <rPr>
        <sz val="11"/>
        <color rgb="FFD4D4D4"/>
        <rFont val="Consolas"/>
        <family val="3"/>
      </rPr>
      <t>);</t>
    </r>
  </si>
  <si>
    <r>
      <t xml:space="preserve">    public</t>
    </r>
    <r>
      <rPr>
        <sz val="11"/>
        <color rgb="FFD4D4D4"/>
        <rFont val="Consolas"/>
        <family val="3"/>
      </rPr>
      <t xml:space="preserve"> </t>
    </r>
    <r>
      <rPr>
        <sz val="11"/>
        <color rgb="FF569CD6"/>
        <rFont val="Consolas"/>
        <family val="3"/>
      </rPr>
      <t>function</t>
    </r>
    <r>
      <rPr>
        <sz val="11"/>
        <color rgb="FFD4D4D4"/>
        <rFont val="Consolas"/>
        <family val="3"/>
      </rPr>
      <t xml:space="preserve"> </t>
    </r>
    <r>
      <rPr>
        <sz val="11"/>
        <color rgb="FFDCDCAA"/>
        <rFont val="Consolas"/>
        <family val="3"/>
      </rPr>
      <t>count${classebase}PorUsuaIdStatus</t>
    </r>
    <r>
      <rPr>
        <sz val="11"/>
        <color rgb="FFD4D4D4"/>
        <rFont val="Consolas"/>
        <family val="3"/>
      </rPr>
      <t xml:space="preserve">($usuaid, </t>
    </r>
    <r>
      <rPr>
        <sz val="11"/>
        <color rgb="FF9CDCFE"/>
        <rFont val="Consolas"/>
        <family val="3"/>
      </rPr>
      <t>$status</t>
    </r>
    <r>
      <rPr>
        <sz val="11"/>
        <color rgb="FFD4D4D4"/>
        <rFont val="Consolas"/>
        <family val="3"/>
      </rPr>
      <t>);</t>
    </r>
  </si>
  <si>
    <r>
      <t xml:space="preserve">    public</t>
    </r>
    <r>
      <rPr>
        <sz val="11"/>
        <color rgb="FFD4D4D4"/>
        <rFont val="Consolas"/>
        <family val="3"/>
      </rPr>
      <t xml:space="preserve"> </t>
    </r>
    <r>
      <rPr>
        <sz val="11"/>
        <color rgb="FF569CD6"/>
        <rFont val="Consolas"/>
        <family val="3"/>
      </rPr>
      <t>function</t>
    </r>
    <r>
      <rPr>
        <sz val="11"/>
        <color rgb="FFD4D4D4"/>
        <rFont val="Consolas"/>
        <family val="3"/>
      </rPr>
      <t xml:space="preserve"> </t>
    </r>
    <r>
      <rPr>
        <sz val="11"/>
        <color rgb="FFDCDCAA"/>
        <rFont val="Consolas"/>
        <family val="3"/>
      </rPr>
      <t>list${classebase}PorUsuaIdStatus</t>
    </r>
    <r>
      <rPr>
        <sz val="11"/>
        <color rgb="FFD4D4D4"/>
        <rFont val="Consolas"/>
        <family val="3"/>
      </rPr>
      <t xml:space="preserve">($usuaid, </t>
    </r>
    <r>
      <rPr>
        <sz val="11"/>
        <color rgb="FF9CDCFE"/>
        <rFont val="Consolas"/>
        <family val="3"/>
      </rPr>
      <t>$status</t>
    </r>
    <r>
      <rPr>
        <sz val="11"/>
        <color rgb="FFD4D4D4"/>
        <rFont val="Consolas"/>
        <family val="3"/>
      </rPr>
      <t>,</t>
    </r>
    <r>
      <rPr>
        <sz val="11"/>
        <color rgb="FF9CDCFE"/>
        <rFont val="Consolas"/>
        <family val="3"/>
      </rPr>
      <t xml:space="preserve"> $pag</t>
    </r>
    <r>
      <rPr>
        <sz val="11"/>
        <color rgb="FFD4D4D4"/>
        <rFont val="Consolas"/>
        <family val="3"/>
      </rPr>
      <t>,</t>
    </r>
    <r>
      <rPr>
        <sz val="11"/>
        <color rgb="FF9CDCFE"/>
        <rFont val="Consolas"/>
        <family val="3"/>
      </rPr>
      <t xml:space="preserve"> $qtde</t>
    </r>
    <r>
      <rPr>
        <sz val="11"/>
        <color rgb="FFD4D4D4"/>
        <rFont val="Consolas"/>
        <family val="3"/>
      </rPr>
      <t>,</t>
    </r>
    <r>
      <rPr>
        <sz val="11"/>
        <color rgb="FF9CDCFE"/>
        <rFont val="Consolas"/>
        <family val="3"/>
      </rPr>
      <t xml:space="preserve"> $coluna</t>
    </r>
    <r>
      <rPr>
        <sz val="11"/>
        <color rgb="FFD4D4D4"/>
        <rFont val="Consolas"/>
        <family val="3"/>
      </rPr>
      <t>,</t>
    </r>
    <r>
      <rPr>
        <sz val="11"/>
        <color rgb="FF9CDCFE"/>
        <rFont val="Consolas"/>
        <family val="3"/>
      </rPr>
      <t xml:space="preserve"> $ordem</t>
    </r>
    <r>
      <rPr>
        <sz val="11"/>
        <color rgb="FFD4D4D4"/>
        <rFont val="Consolas"/>
        <family val="3"/>
      </rPr>
      <t>);</t>
    </r>
  </si>
  <si>
    <r>
      <t xml:space="preserve">    public</t>
    </r>
    <r>
      <rPr>
        <sz val="11"/>
        <color rgb="FFD4D4D4"/>
        <rFont val="Consolas"/>
        <family val="3"/>
      </rPr>
      <t xml:space="preserve"> </t>
    </r>
    <r>
      <rPr>
        <sz val="11"/>
        <color rgb="FF569CD6"/>
        <rFont val="Consolas"/>
        <family val="3"/>
      </rPr>
      <t>function</t>
    </r>
    <r>
      <rPr>
        <sz val="11"/>
        <color rgb="FFD4D4D4"/>
        <rFont val="Consolas"/>
        <family val="3"/>
      </rPr>
      <t xml:space="preserve"> </t>
    </r>
    <r>
      <rPr>
        <sz val="11"/>
        <color rgb="FFDCDCAA"/>
        <rFont val="Consolas"/>
        <family val="3"/>
      </rPr>
      <t>count${classebase}PorUsuaIdStatus</t>
    </r>
    <r>
      <rPr>
        <sz val="11"/>
        <color rgb="FFD4D4D4"/>
        <rFont val="Consolas"/>
        <family val="3"/>
      </rPr>
      <t xml:space="preserve">($usuaid, </t>
    </r>
    <r>
      <rPr>
        <sz val="11"/>
        <color rgb="FF9CDCFE"/>
        <rFont val="Consolas"/>
        <family val="3"/>
      </rPr>
      <t>$status</t>
    </r>
    <r>
      <rPr>
        <sz val="11"/>
        <color rgb="FFD4D4D4"/>
        <rFont val="Consolas"/>
        <family val="3"/>
      </rPr>
      <t>)</t>
    </r>
  </si>
  <si>
    <r>
      <t xml:space="preserve">    public</t>
    </r>
    <r>
      <rPr>
        <sz val="11"/>
        <color rgb="FFD4D4D4"/>
        <rFont val="Consolas"/>
        <family val="3"/>
      </rPr>
      <t xml:space="preserve"> </t>
    </r>
    <r>
      <rPr>
        <sz val="11"/>
        <color rgb="FF569CD6"/>
        <rFont val="Consolas"/>
        <family val="3"/>
      </rPr>
      <t>function</t>
    </r>
    <r>
      <rPr>
        <sz val="11"/>
        <color rgb="FFD4D4D4"/>
        <rFont val="Consolas"/>
        <family val="3"/>
      </rPr>
      <t xml:space="preserve"> </t>
    </r>
    <r>
      <rPr>
        <sz val="11"/>
        <color rgb="FFDCDCAA"/>
        <rFont val="Consolas"/>
        <family val="3"/>
      </rPr>
      <t>list${classebase}PorUsuaIdStatus</t>
    </r>
    <r>
      <rPr>
        <sz val="11"/>
        <color rgb="FFD4D4D4"/>
        <rFont val="Consolas"/>
        <family val="3"/>
      </rPr>
      <t xml:space="preserve">($usuaid, </t>
    </r>
    <r>
      <rPr>
        <sz val="11"/>
        <color rgb="FF9CDCFE"/>
        <rFont val="Consolas"/>
        <family val="3"/>
      </rPr>
      <t>$status</t>
    </r>
    <r>
      <rPr>
        <sz val="11"/>
        <color rgb="FFD4D4D4"/>
        <rFont val="Consolas"/>
        <family val="3"/>
      </rPr>
      <t>,</t>
    </r>
    <r>
      <rPr>
        <sz val="11"/>
        <color rgb="FF9CDCFE"/>
        <rFont val="Consolas"/>
        <family val="3"/>
      </rPr>
      <t xml:space="preserve"> $pag</t>
    </r>
    <r>
      <rPr>
        <sz val="11"/>
        <color rgb="FFD4D4D4"/>
        <rFont val="Consolas"/>
        <family val="3"/>
      </rPr>
      <t>,</t>
    </r>
    <r>
      <rPr>
        <sz val="11"/>
        <color rgb="FF9CDCFE"/>
        <rFont val="Consolas"/>
        <family val="3"/>
      </rPr>
      <t xml:space="preserve"> $qtde</t>
    </r>
    <r>
      <rPr>
        <sz val="11"/>
        <color rgb="FFD4D4D4"/>
        <rFont val="Consolas"/>
        <family val="3"/>
      </rPr>
      <t>,</t>
    </r>
    <r>
      <rPr>
        <sz val="11"/>
        <color rgb="FF9CDCFE"/>
        <rFont val="Consolas"/>
        <family val="3"/>
      </rPr>
      <t xml:space="preserve"> $coluna</t>
    </r>
    <r>
      <rPr>
        <sz val="11"/>
        <color rgb="FFD4D4D4"/>
        <rFont val="Consolas"/>
        <family val="3"/>
      </rPr>
      <t>,</t>
    </r>
    <r>
      <rPr>
        <sz val="11"/>
        <color rgb="FF9CDCFE"/>
        <rFont val="Consolas"/>
        <family val="3"/>
      </rPr>
      <t xml:space="preserve"> $ordem</t>
    </r>
    <r>
      <rPr>
        <sz val="11"/>
        <color rgb="FFD4D4D4"/>
        <rFont val="Consolas"/>
        <family val="3"/>
      </rPr>
      <t>)</t>
    </r>
  </si>
  <si>
    <r>
      <t>$usuaid</t>
    </r>
    <r>
      <rPr>
        <sz val="11"/>
        <color rgb="FFD4D4D4"/>
        <rFont val="Consolas"/>
        <family val="3"/>
      </rPr>
      <t xml:space="preserve"> = </t>
    </r>
    <r>
      <rPr>
        <sz val="11"/>
        <color rgb="FFB5CEA8"/>
        <rFont val="Consolas"/>
        <family val="3"/>
      </rPr>
      <t>1</t>
    </r>
    <r>
      <rPr>
        <sz val="11"/>
        <color rgb="FFD4D4D4"/>
        <rFont val="Consolas"/>
        <family val="3"/>
      </rPr>
      <t>;</t>
    </r>
  </si>
  <si>
    <t>// URL http://localhost/cfdi/php/classes/${lclassebase}/clientListar${classebase}PorUsuaIdStatus.php</t>
  </si>
  <si>
    <r>
      <t>$retorno</t>
    </r>
    <r>
      <rPr>
        <sz val="11"/>
        <color rgb="FFD4D4D4"/>
        <rFont val="Consolas"/>
        <family val="3"/>
      </rPr>
      <t xml:space="preserve"> = </t>
    </r>
    <r>
      <rPr>
        <sz val="11"/>
        <color rgb="FF9CDCFE"/>
        <rFont val="Consolas"/>
        <family val="3"/>
      </rPr>
      <t>$csi</t>
    </r>
    <r>
      <rPr>
        <sz val="11"/>
        <color rgb="FFD4D4D4"/>
        <rFont val="Consolas"/>
        <family val="3"/>
      </rPr>
      <t>-&gt;</t>
    </r>
    <r>
      <rPr>
        <sz val="11"/>
        <color rgb="FFDCDCAA"/>
        <rFont val="Consolas"/>
        <family val="3"/>
      </rPr>
      <t>listar${classebase}PorUsuaIdStatus</t>
    </r>
    <r>
      <rPr>
        <sz val="11"/>
        <color rgb="FFD4D4D4"/>
        <rFont val="Consolas"/>
        <family val="3"/>
      </rPr>
      <t>(</t>
    </r>
    <r>
      <rPr>
        <sz val="11"/>
        <color rgb="FF9CDCFE"/>
        <rFont val="Consolas"/>
        <family val="3"/>
      </rPr>
      <t>$usuaid</t>
    </r>
    <r>
      <rPr>
        <sz val="11"/>
        <color rgb="FFD4D4D4"/>
        <rFont val="Consolas"/>
        <family val="3"/>
      </rPr>
      <t>,</t>
    </r>
    <r>
      <rPr>
        <sz val="11"/>
        <color rgb="FF9CDCFE"/>
        <rFont val="Consolas"/>
        <family val="3"/>
      </rPr>
      <t>$status</t>
    </r>
    <r>
      <rPr>
        <sz val="11"/>
        <color rgb="FFD4D4D4"/>
        <rFont val="Consolas"/>
        <family val="3"/>
      </rPr>
      <t>,</t>
    </r>
    <r>
      <rPr>
        <sz val="11"/>
        <color rgb="FFB5CEA8"/>
        <rFont val="Consolas"/>
        <family val="3"/>
      </rPr>
      <t>1</t>
    </r>
    <r>
      <rPr>
        <sz val="11"/>
        <color rgb="FFD4D4D4"/>
        <rFont val="Consolas"/>
        <family val="3"/>
      </rPr>
      <t>,</t>
    </r>
    <r>
      <rPr>
        <sz val="11"/>
        <color rgb="FFB5CEA8"/>
        <rFont val="Consolas"/>
        <family val="3"/>
      </rPr>
      <t>2</t>
    </r>
    <r>
      <rPr>
        <sz val="11"/>
        <color rgb="FFD4D4D4"/>
        <rFont val="Consolas"/>
        <family val="3"/>
      </rPr>
      <t>);</t>
    </r>
  </si>
  <si>
    <r>
      <t>$retorno</t>
    </r>
    <r>
      <rPr>
        <sz val="11"/>
        <color rgb="FFD4D4D4"/>
        <rFont val="Consolas"/>
        <family val="3"/>
      </rPr>
      <t xml:space="preserve"> = </t>
    </r>
    <r>
      <rPr>
        <sz val="11"/>
        <color rgb="FF9CDCFE"/>
        <rFont val="Consolas"/>
        <family val="3"/>
      </rPr>
      <t>$csi</t>
    </r>
    <r>
      <rPr>
        <sz val="11"/>
        <color rgb="FFD4D4D4"/>
        <rFont val="Consolas"/>
        <family val="3"/>
      </rPr>
      <t>-&gt;</t>
    </r>
    <r>
      <rPr>
        <sz val="11"/>
        <color rgb="FFDCDCAA"/>
        <rFont val="Consolas"/>
        <family val="3"/>
      </rPr>
      <t>listar${classebase}PorUsuaIdStatus</t>
    </r>
    <r>
      <rPr>
        <sz val="11"/>
        <color rgb="FFD4D4D4"/>
        <rFont val="Consolas"/>
        <family val="3"/>
      </rPr>
      <t>(</t>
    </r>
    <r>
      <rPr>
        <sz val="11"/>
        <color rgb="FF9CDCFE"/>
        <rFont val="Consolas"/>
        <family val="3"/>
      </rPr>
      <t>$usuaid</t>
    </r>
    <r>
      <rPr>
        <sz val="11"/>
        <color rgb="FFD4D4D4"/>
        <rFont val="Consolas"/>
        <family val="3"/>
      </rPr>
      <t>,</t>
    </r>
    <r>
      <rPr>
        <sz val="11"/>
        <color rgb="FF9CDCFE"/>
        <rFont val="Consolas"/>
        <family val="3"/>
      </rPr>
      <t>$status</t>
    </r>
    <r>
      <rPr>
        <sz val="11"/>
        <color rgb="FFD4D4D4"/>
        <rFont val="Consolas"/>
        <family val="3"/>
      </rPr>
      <t>,</t>
    </r>
    <r>
      <rPr>
        <sz val="11"/>
        <color rgb="FFB5CEA8"/>
        <rFont val="Consolas"/>
        <family val="3"/>
      </rPr>
      <t>2</t>
    </r>
    <r>
      <rPr>
        <sz val="11"/>
        <color rgb="FFD4D4D4"/>
        <rFont val="Consolas"/>
        <family val="3"/>
      </rPr>
      <t>,</t>
    </r>
    <r>
      <rPr>
        <sz val="11"/>
        <color rgb="FFB5CEA8"/>
        <rFont val="Consolas"/>
        <family val="3"/>
      </rPr>
      <t>2</t>
    </r>
    <r>
      <rPr>
        <sz val="11"/>
        <color rgb="FFD4D4D4"/>
        <rFont val="Consolas"/>
        <family val="3"/>
      </rPr>
      <t>);</t>
    </r>
  </si>
  <si>
    <r>
      <t xml:space="preserve">    public</t>
    </r>
    <r>
      <rPr>
        <sz val="11"/>
        <color rgb="FFD4D4D4"/>
        <rFont val="Consolas"/>
        <family val="3"/>
      </rPr>
      <t xml:space="preserve"> </t>
    </r>
    <r>
      <rPr>
        <sz val="11"/>
        <color rgb="FF569CD6"/>
        <rFont val="Consolas"/>
        <family val="3"/>
      </rPr>
      <t>function</t>
    </r>
    <r>
      <rPr>
        <sz val="11"/>
        <color rgb="FFD4D4D4"/>
        <rFont val="Consolas"/>
        <family val="3"/>
      </rPr>
      <t xml:space="preserve"> </t>
    </r>
    <r>
      <rPr>
        <sz val="11"/>
        <color rgb="FFDCDCAA"/>
        <rFont val="Consolas"/>
        <family val="3"/>
      </rPr>
      <t>listar${classebase}PorUsuaIdStatus</t>
    </r>
    <r>
      <rPr>
        <sz val="11"/>
        <color rgb="FFD4D4D4"/>
        <rFont val="Consolas"/>
        <family val="3"/>
      </rPr>
      <t>(</t>
    </r>
    <r>
      <rPr>
        <sz val="11"/>
        <color rgb="FF9CDCFE"/>
        <rFont val="Consolas"/>
        <family val="3"/>
      </rPr>
      <t>$daofactory</t>
    </r>
    <r>
      <rPr>
        <sz val="11"/>
        <color rgb="FFD4D4D4"/>
        <rFont val="Consolas"/>
        <family val="3"/>
      </rPr>
      <t>,</t>
    </r>
    <r>
      <rPr>
        <sz val="11"/>
        <color rgb="FF9CDCFE"/>
        <rFont val="Consolas"/>
        <family val="3"/>
      </rPr>
      <t xml:space="preserve"> $usuaid, $status</t>
    </r>
    <r>
      <rPr>
        <sz val="11"/>
        <color rgb="FFD4D4D4"/>
        <rFont val="Consolas"/>
        <family val="3"/>
      </rPr>
      <t>,</t>
    </r>
    <r>
      <rPr>
        <sz val="11"/>
        <color rgb="FF9CDCFE"/>
        <rFont val="Consolas"/>
        <family val="3"/>
      </rPr>
      <t xml:space="preserve"> $pag</t>
    </r>
    <r>
      <rPr>
        <sz val="11"/>
        <color rgb="FFD4D4D4"/>
        <rFont val="Consolas"/>
        <family val="3"/>
      </rPr>
      <t>,</t>
    </r>
    <r>
      <rPr>
        <sz val="11"/>
        <color rgb="FF9CDCFE"/>
        <rFont val="Consolas"/>
        <family val="3"/>
      </rPr>
      <t xml:space="preserve"> $qtde</t>
    </r>
    <r>
      <rPr>
        <sz val="11"/>
        <color rgb="FFD4D4D4"/>
        <rFont val="Consolas"/>
        <family val="3"/>
      </rPr>
      <t>,</t>
    </r>
    <r>
      <rPr>
        <sz val="11"/>
        <color rgb="FF9CDCFE"/>
        <rFont val="Consolas"/>
        <family val="3"/>
      </rPr>
      <t xml:space="preserve"> $coluna</t>
    </r>
    <r>
      <rPr>
        <sz val="11"/>
        <color rgb="FFD4D4D4"/>
        <rFont val="Consolas"/>
        <family val="3"/>
      </rPr>
      <t>,</t>
    </r>
    <r>
      <rPr>
        <sz val="11"/>
        <color rgb="FF9CDCFE"/>
        <rFont val="Consolas"/>
        <family val="3"/>
      </rPr>
      <t xml:space="preserve"> $ordem</t>
    </r>
    <r>
      <rPr>
        <sz val="11"/>
        <color rgb="FFD4D4D4"/>
        <rFont val="Consolas"/>
        <family val="3"/>
      </rPr>
      <t>)</t>
    </r>
  </si>
  <si>
    <r>
      <t>$retorno</t>
    </r>
    <r>
      <rPr>
        <sz val="11"/>
        <color rgb="FFD4D4D4"/>
        <rFont val="Consolas"/>
        <family val="3"/>
      </rPr>
      <t xml:space="preserve"> = </t>
    </r>
    <r>
      <rPr>
        <sz val="11"/>
        <color rgb="FF9CDCFE"/>
        <rFont val="Consolas"/>
        <family val="3"/>
      </rPr>
      <t>$csi</t>
    </r>
    <r>
      <rPr>
        <sz val="11"/>
        <color rgb="FFD4D4D4"/>
        <rFont val="Consolas"/>
        <family val="3"/>
      </rPr>
      <t>-&gt;</t>
    </r>
    <r>
      <rPr>
        <sz val="11"/>
        <color rgb="FFDCDCAA"/>
        <rFont val="Consolas"/>
        <family val="3"/>
      </rPr>
      <t>listar${classebase}</t>
    </r>
    <r>
      <rPr>
        <sz val="11"/>
        <color rgb="FFD4D4D4"/>
        <rFont val="Consolas"/>
        <family val="3"/>
      </rPr>
      <t>(</t>
    </r>
    <r>
      <rPr>
        <sz val="11"/>
        <color rgb="FF9CDCFE"/>
        <rFont val="Consolas"/>
        <family val="3"/>
      </rPr>
      <t>$pag</t>
    </r>
    <r>
      <rPr>
        <sz val="11"/>
        <color rgb="FFD4D4D4"/>
        <rFont val="Consolas"/>
        <family val="3"/>
      </rPr>
      <t>);</t>
    </r>
  </si>
  <si>
    <r>
      <t xml:space="preserve">    public</t>
    </r>
    <r>
      <rPr>
        <sz val="11"/>
        <color rgb="FFD4D4D4"/>
        <rFont val="Consolas"/>
        <family val="3"/>
      </rPr>
      <t xml:space="preserve"> </t>
    </r>
    <r>
      <rPr>
        <sz val="11"/>
        <color rgb="FF569CD6"/>
        <rFont val="Consolas"/>
        <family val="3"/>
      </rPr>
      <t>function</t>
    </r>
    <r>
      <rPr>
        <sz val="11"/>
        <color rgb="FFD4D4D4"/>
        <rFont val="Consolas"/>
        <family val="3"/>
      </rPr>
      <t xml:space="preserve"> </t>
    </r>
    <r>
      <rPr>
        <sz val="11"/>
        <color rgb="FFDCDCAA"/>
        <rFont val="Consolas"/>
        <family val="3"/>
      </rPr>
      <t>listar${classebase}PorStatus</t>
    </r>
    <r>
      <rPr>
        <sz val="11"/>
        <color rgb="FFD4D4D4"/>
        <rFont val="Consolas"/>
        <family val="3"/>
      </rPr>
      <t>(</t>
    </r>
    <r>
      <rPr>
        <sz val="11"/>
        <color rgb="FF9CDCFE"/>
        <rFont val="Consolas"/>
        <family val="3"/>
      </rPr>
      <t>$status='A'</t>
    </r>
    <r>
      <rPr>
        <sz val="11"/>
        <color rgb="FFD4D4D4"/>
        <rFont val="Consolas"/>
        <family val="3"/>
      </rPr>
      <t>,</t>
    </r>
    <r>
      <rPr>
        <sz val="11"/>
        <color rgb="FF9CDCFE"/>
        <rFont val="Consolas"/>
        <family val="3"/>
      </rPr>
      <t xml:space="preserve"> $pag</t>
    </r>
    <r>
      <rPr>
        <sz val="11"/>
        <color rgb="FFD4D4D4"/>
        <rFont val="Consolas"/>
        <family val="3"/>
      </rPr>
      <t>=</t>
    </r>
    <r>
      <rPr>
        <sz val="11"/>
        <color rgb="FFB5CEA8"/>
        <rFont val="Consolas"/>
        <family val="3"/>
      </rPr>
      <t>1</t>
    </r>
    <r>
      <rPr>
        <sz val="11"/>
        <color rgb="FFD4D4D4"/>
        <rFont val="Consolas"/>
        <family val="3"/>
      </rPr>
      <t>,</t>
    </r>
    <r>
      <rPr>
        <sz val="11"/>
        <color rgb="FF9CDCFE"/>
        <rFont val="Consolas"/>
        <family val="3"/>
      </rPr>
      <t xml:space="preserve"> $qtde</t>
    </r>
    <r>
      <rPr>
        <sz val="11"/>
        <color rgb="FFD4D4D4"/>
        <rFont val="Consolas"/>
        <family val="3"/>
      </rPr>
      <t>=</t>
    </r>
    <r>
      <rPr>
        <sz val="11"/>
        <color rgb="FFB5CEA8"/>
        <rFont val="Consolas"/>
        <family val="3"/>
      </rPr>
      <t>0</t>
    </r>
    <r>
      <rPr>
        <sz val="11"/>
        <color rgb="FFD4D4D4"/>
        <rFont val="Consolas"/>
        <family val="3"/>
      </rPr>
      <t>,</t>
    </r>
    <r>
      <rPr>
        <sz val="11"/>
        <color rgb="FF9CDCFE"/>
        <rFont val="Consolas"/>
        <family val="3"/>
      </rPr>
      <t xml:space="preserve"> $coluna</t>
    </r>
    <r>
      <rPr>
        <sz val="11"/>
        <color rgb="FFD4D4D4"/>
        <rFont val="Consolas"/>
        <family val="3"/>
      </rPr>
      <t>=</t>
    </r>
    <r>
      <rPr>
        <sz val="11"/>
        <color rgb="FFB5CEA8"/>
        <rFont val="Consolas"/>
        <family val="3"/>
      </rPr>
      <t>1</t>
    </r>
    <r>
      <rPr>
        <sz val="11"/>
        <color rgb="FFD4D4D4"/>
        <rFont val="Consolas"/>
        <family val="3"/>
      </rPr>
      <t>,</t>
    </r>
    <r>
      <rPr>
        <sz val="11"/>
        <color rgb="FF9CDCFE"/>
        <rFont val="Consolas"/>
        <family val="3"/>
      </rPr>
      <t xml:space="preserve"> $ordem</t>
    </r>
    <r>
      <rPr>
        <sz val="11"/>
        <color rgb="FFD4D4D4"/>
        <rFont val="Consolas"/>
        <family val="3"/>
      </rPr>
      <t>=</t>
    </r>
    <r>
      <rPr>
        <sz val="11"/>
        <color rgb="FFB5CEA8"/>
        <rFont val="Consolas"/>
        <family val="3"/>
      </rPr>
      <t>0</t>
    </r>
    <r>
      <rPr>
        <sz val="11"/>
        <color rgb="FFD4D4D4"/>
        <rFont val="Consolas"/>
        <family val="3"/>
      </rPr>
      <t>);</t>
    </r>
  </si>
  <si>
    <r>
      <t xml:space="preserve">    public</t>
    </r>
    <r>
      <rPr>
        <sz val="11"/>
        <color rgb="FFD4D4D4"/>
        <rFont val="Consolas"/>
        <family val="3"/>
      </rPr>
      <t xml:space="preserve"> </t>
    </r>
    <r>
      <rPr>
        <sz val="11"/>
        <color rgb="FF569CD6"/>
        <rFont val="Consolas"/>
        <family val="3"/>
      </rPr>
      <t>function</t>
    </r>
    <r>
      <rPr>
        <sz val="11"/>
        <color rgb="FFD4D4D4"/>
        <rFont val="Consolas"/>
        <family val="3"/>
      </rPr>
      <t xml:space="preserve"> </t>
    </r>
    <r>
      <rPr>
        <sz val="11"/>
        <color rgb="FFDCDCAA"/>
        <rFont val="Consolas"/>
        <family val="3"/>
      </rPr>
      <t>listar${classebase}PorUsuaIdStatus</t>
    </r>
    <r>
      <rPr>
        <sz val="11"/>
        <color rgb="FFD4D4D4"/>
        <rFont val="Consolas"/>
        <family val="3"/>
      </rPr>
      <t xml:space="preserve">($usuaid, </t>
    </r>
    <r>
      <rPr>
        <sz val="11"/>
        <color rgb="FF9CDCFE"/>
        <rFont val="Consolas"/>
        <family val="3"/>
      </rPr>
      <t>$status='A'</t>
    </r>
    <r>
      <rPr>
        <sz val="11"/>
        <color rgb="FFD4D4D4"/>
        <rFont val="Consolas"/>
        <family val="3"/>
      </rPr>
      <t>,</t>
    </r>
    <r>
      <rPr>
        <sz val="11"/>
        <color rgb="FF9CDCFE"/>
        <rFont val="Consolas"/>
        <family val="3"/>
      </rPr>
      <t xml:space="preserve"> $pag</t>
    </r>
    <r>
      <rPr>
        <sz val="11"/>
        <color rgb="FFD4D4D4"/>
        <rFont val="Consolas"/>
        <family val="3"/>
      </rPr>
      <t>=</t>
    </r>
    <r>
      <rPr>
        <sz val="11"/>
        <color rgb="FFB5CEA8"/>
        <rFont val="Consolas"/>
        <family val="3"/>
      </rPr>
      <t>1</t>
    </r>
    <r>
      <rPr>
        <sz val="11"/>
        <color rgb="FFD4D4D4"/>
        <rFont val="Consolas"/>
        <family val="3"/>
      </rPr>
      <t>,</t>
    </r>
    <r>
      <rPr>
        <sz val="11"/>
        <color rgb="FF9CDCFE"/>
        <rFont val="Consolas"/>
        <family val="3"/>
      </rPr>
      <t xml:space="preserve"> $qtde</t>
    </r>
    <r>
      <rPr>
        <sz val="11"/>
        <color rgb="FFD4D4D4"/>
        <rFont val="Consolas"/>
        <family val="3"/>
      </rPr>
      <t>=</t>
    </r>
    <r>
      <rPr>
        <sz val="11"/>
        <color rgb="FFB5CEA8"/>
        <rFont val="Consolas"/>
        <family val="3"/>
      </rPr>
      <t>0</t>
    </r>
    <r>
      <rPr>
        <sz val="11"/>
        <color rgb="FFD4D4D4"/>
        <rFont val="Consolas"/>
        <family val="3"/>
      </rPr>
      <t>,</t>
    </r>
    <r>
      <rPr>
        <sz val="11"/>
        <color rgb="FF9CDCFE"/>
        <rFont val="Consolas"/>
        <family val="3"/>
      </rPr>
      <t xml:space="preserve"> $coluna</t>
    </r>
    <r>
      <rPr>
        <sz val="11"/>
        <color rgb="FFD4D4D4"/>
        <rFont val="Consolas"/>
        <family val="3"/>
      </rPr>
      <t>=</t>
    </r>
    <r>
      <rPr>
        <sz val="11"/>
        <color rgb="FFB5CEA8"/>
        <rFont val="Consolas"/>
        <family val="3"/>
      </rPr>
      <t>1</t>
    </r>
    <r>
      <rPr>
        <sz val="11"/>
        <color rgb="FFD4D4D4"/>
        <rFont val="Consolas"/>
        <family val="3"/>
      </rPr>
      <t>,</t>
    </r>
    <r>
      <rPr>
        <sz val="11"/>
        <color rgb="FF9CDCFE"/>
        <rFont val="Consolas"/>
        <family val="3"/>
      </rPr>
      <t xml:space="preserve"> $ordem</t>
    </r>
    <r>
      <rPr>
        <sz val="11"/>
        <color rgb="FFD4D4D4"/>
        <rFont val="Consolas"/>
        <family val="3"/>
      </rPr>
      <t>=</t>
    </r>
    <r>
      <rPr>
        <sz val="11"/>
        <color rgb="FFB5CEA8"/>
        <rFont val="Consolas"/>
        <family val="3"/>
      </rPr>
      <t>0</t>
    </r>
    <r>
      <rPr>
        <sz val="11"/>
        <color rgb="FFD4D4D4"/>
        <rFont val="Consolas"/>
        <family val="3"/>
      </rPr>
      <t>);</t>
    </r>
  </si>
  <si>
    <r>
      <t>$retorno</t>
    </r>
    <r>
      <rPr>
        <sz val="11"/>
        <color rgb="FFD4D4D4"/>
        <rFont val="Consolas"/>
        <family val="3"/>
      </rPr>
      <t xml:space="preserve"> = </t>
    </r>
    <r>
      <rPr>
        <sz val="11"/>
        <color rgb="FF9CDCFE"/>
        <rFont val="Consolas"/>
        <family val="3"/>
      </rPr>
      <t>$csi</t>
    </r>
    <r>
      <rPr>
        <sz val="11"/>
        <color rgb="FFD4D4D4"/>
        <rFont val="Consolas"/>
        <family val="3"/>
      </rPr>
      <t>-&gt;</t>
    </r>
    <r>
      <rPr>
        <sz val="11"/>
        <color rgb="FFDCDCAA"/>
        <rFont val="Consolas"/>
        <family val="3"/>
      </rPr>
      <t>listar${classebase}PorUsuaIdStatus</t>
    </r>
    <r>
      <rPr>
        <sz val="11"/>
        <color rgb="FFD4D4D4"/>
        <rFont val="Consolas"/>
        <family val="3"/>
      </rPr>
      <t>(</t>
    </r>
    <r>
      <rPr>
        <sz val="11"/>
        <color rgb="FF9CDCFE"/>
        <rFont val="Consolas"/>
        <family val="3"/>
      </rPr>
      <t>$sessaodto</t>
    </r>
    <r>
      <rPr>
        <sz val="11"/>
        <color rgb="FFD4D4D4"/>
        <rFont val="Consolas"/>
        <family val="3"/>
      </rPr>
      <t>-&gt;</t>
    </r>
    <r>
      <rPr>
        <sz val="11"/>
        <color rgb="FF9CDCFE"/>
        <rFont val="Consolas"/>
        <family val="3"/>
      </rPr>
      <t>usuariodto</t>
    </r>
    <r>
      <rPr>
        <sz val="11"/>
        <color rgb="FFD4D4D4"/>
        <rFont val="Consolas"/>
        <family val="3"/>
      </rPr>
      <t>-&gt;</t>
    </r>
    <r>
      <rPr>
        <sz val="11"/>
        <color rgb="FF9CDCFE"/>
        <rFont val="Consolas"/>
        <family val="3"/>
      </rPr>
      <t>id</t>
    </r>
    <r>
      <rPr>
        <sz val="11"/>
        <color rgb="FFD4D4D4"/>
        <rFont val="Consolas"/>
        <family val="3"/>
      </rPr>
      <t xml:space="preserve">, $status, </t>
    </r>
    <r>
      <rPr>
        <sz val="11"/>
        <color rgb="FF9CDCFE"/>
        <rFont val="Consolas"/>
        <family val="3"/>
      </rPr>
      <t>$pag</t>
    </r>
    <r>
      <rPr>
        <sz val="11"/>
        <color rgb="FFD4D4D4"/>
        <rFont val="Consolas"/>
        <family val="3"/>
      </rPr>
      <t>);</t>
    </r>
  </si>
  <si>
    <t>// URL http://elitefinanceira.com/cfdi/php/classes/gateway/appListar${classebase}PorUsuaIdStatus.php?tokenid=cb1&amp;pag=1</t>
  </si>
  <si>
    <t>// URL http://localhost/cfdi/php/classes/gateway/appListar${classebase}PorUsuaIdStatus.php?tokenid=cb1&amp;pag=1</t>
  </si>
  <si>
    <t>// URL http://elitefinanceira.com/cfdi/php/classes/gateway/appListar${classebase}.php?tokenid=cb1&amp;pag=1</t>
  </si>
  <si>
    <t>// URL http://localhost/cfdi/php/classes/gateway/appListar${classebase}.php?tokenid=cb1&amp;pag=1</t>
  </si>
  <si>
    <r>
      <t xml:space="preserve">    String _url = </t>
    </r>
    <r>
      <rPr>
        <b/>
        <sz val="10"/>
        <color rgb="FF008000"/>
        <rFont val="Courier New"/>
        <family val="3"/>
      </rPr>
      <t>'</t>
    </r>
    <r>
      <rPr>
        <sz val="10"/>
        <color rgb="FF000000"/>
        <rFont val="Courier New"/>
        <family val="3"/>
      </rPr>
      <t>${</t>
    </r>
    <r>
      <rPr>
        <b/>
        <sz val="10"/>
        <color rgb="FF660E7A"/>
        <rFont val="Courier New"/>
        <family val="3"/>
      </rPr>
      <t>_urlControlador</t>
    </r>
    <r>
      <rPr>
        <sz val="10"/>
        <color rgb="FF000000"/>
        <rFont val="Courier New"/>
        <family val="3"/>
      </rPr>
      <t>}</t>
    </r>
    <r>
      <rPr>
        <b/>
        <sz val="10"/>
        <color rgb="FF008000"/>
        <rFont val="Courier New"/>
        <family val="3"/>
      </rPr>
      <t>appListar${classebase}PorUsuaIdStatus.php?tokenid=</t>
    </r>
    <r>
      <rPr>
        <sz val="10"/>
        <color rgb="FF000000"/>
        <rFont val="Courier New"/>
        <family val="3"/>
      </rPr>
      <t>${</t>
    </r>
    <r>
      <rPr>
        <b/>
        <sz val="10"/>
        <color rgb="FF660E7A"/>
        <rFont val="Courier New"/>
        <family val="3"/>
      </rPr>
      <t>_token</t>
    </r>
    <r>
      <rPr>
        <sz val="10"/>
        <color rgb="FF000000"/>
        <rFont val="Courier New"/>
        <family val="3"/>
      </rPr>
      <t>}</t>
    </r>
    <r>
      <rPr>
        <b/>
        <sz val="10"/>
        <color rgb="FF008000"/>
        <rFont val="Courier New"/>
        <family val="3"/>
      </rPr>
      <t>&amp;pag=</t>
    </r>
    <r>
      <rPr>
        <sz val="10"/>
        <color rgb="FF000000"/>
        <rFont val="Courier New"/>
        <family val="3"/>
      </rPr>
      <t>${</t>
    </r>
    <r>
      <rPr>
        <b/>
        <sz val="10"/>
        <color rgb="FF660E7A"/>
        <rFont val="Courier New"/>
        <family val="3"/>
      </rPr>
      <t>_pag</t>
    </r>
    <r>
      <rPr>
        <sz val="10"/>
        <color rgb="FF000000"/>
        <rFont val="Courier New"/>
        <family val="3"/>
      </rPr>
      <t>}</t>
    </r>
    <r>
      <rPr>
        <b/>
        <sz val="10"/>
        <color rgb="FF008000"/>
        <rFont val="Courier New"/>
        <family val="3"/>
      </rPr>
      <t>'</t>
    </r>
    <r>
      <rPr>
        <sz val="10"/>
        <color rgb="FF000000"/>
        <rFont val="Courier New"/>
        <family val="3"/>
      </rPr>
      <t>;</t>
    </r>
  </si>
  <si>
    <t xml:space="preserve">  _${classebase}PageState initState(){</t>
  </si>
  <si>
    <t xml:space="preserve">  initState() {</t>
  </si>
  <si>
    <r>
      <t xml:space="preserve">    _token = CacheSession().getSession()[</t>
    </r>
    <r>
      <rPr>
        <b/>
        <sz val="10"/>
        <color rgb="FF008000"/>
        <rFont val="Courier New"/>
        <family val="3"/>
      </rPr>
      <t>'tokenid'</t>
    </r>
    <r>
      <rPr>
        <sz val="10"/>
        <color rgb="FF000000"/>
        <rFont val="Courier New"/>
        <family val="3"/>
      </rPr>
      <t>];</t>
    </r>
  </si>
  <si>
    <r>
      <t xml:space="preserve">    _urlControlador = CacheSession().getSession()[</t>
    </r>
    <r>
      <rPr>
        <b/>
        <sz val="10"/>
        <color rgb="FF008000"/>
        <rFont val="Courier New"/>
        <family val="3"/>
      </rPr>
      <t>'urlControlador'</t>
    </r>
    <r>
      <rPr>
        <sz val="10"/>
        <color rgb="FF000000"/>
        <rFont val="Courier New"/>
        <family val="3"/>
      </rPr>
      <t>];</t>
    </r>
  </si>
  <si>
    <t xml:space="preserve">        child: Card(</t>
  </si>
  <si>
    <t xml:space="preserve">          child: Padding(</t>
  </si>
  <si>
    <t xml:space="preserve">            child: Column(</t>
  </si>
  <si>
    <t xml:space="preserve">              mainAxisAlignment: MainAxisAlignment.start,</t>
  </si>
  <si>
    <t xml:space="preserve">              crossAxisAlignment: CrossAxisAlignment.start,</t>
  </si>
  <si>
    <r>
      <t>class ${classebase}</t>
    </r>
    <r>
      <rPr>
        <sz val="10"/>
        <color rgb="FF000000"/>
        <rFont val="Courier New"/>
        <family val="3"/>
      </rPr>
      <t xml:space="preserve">UI </t>
    </r>
    <r>
      <rPr>
        <b/>
        <sz val="10"/>
        <color rgb="FF000080"/>
        <rFont val="Courier New"/>
        <family val="3"/>
      </rPr>
      <t xml:space="preserve">extends </t>
    </r>
    <r>
      <rPr>
        <sz val="10"/>
        <color rgb="FF000000"/>
        <rFont val="Courier New"/>
        <family val="3"/>
      </rPr>
      <t>StatefulWidget {</t>
    </r>
  </si>
  <si>
    <r>
      <t xml:space="preserve">class </t>
    </r>
    <r>
      <rPr>
        <sz val="10"/>
        <color rgb="FF000000"/>
        <rFont val="Courier New"/>
        <family val="3"/>
      </rPr>
      <t xml:space="preserve">_${classebase}UIState </t>
    </r>
    <r>
      <rPr>
        <b/>
        <sz val="10"/>
        <color rgb="FF000080"/>
        <rFont val="Courier New"/>
        <family val="3"/>
      </rPr>
      <t xml:space="preserve">extends </t>
    </r>
    <r>
      <rPr>
        <sz val="10"/>
        <color rgb="FF000000"/>
        <rFont val="Courier New"/>
        <family val="3"/>
      </rPr>
      <t>State&lt;${classebase}UI&gt; {</t>
    </r>
  </si>
  <si>
    <t xml:space="preserve">  dynamic _${lclassebase}VO;</t>
  </si>
  <si>
    <r>
      <t xml:space="preserve">  ${classebase}UI(</t>
    </r>
    <r>
      <rPr>
        <b/>
        <sz val="10"/>
        <color rgb="FF000080"/>
        <rFont val="Courier New"/>
        <family val="3"/>
      </rPr>
      <t>this</t>
    </r>
    <r>
      <rPr>
        <sz val="10"/>
        <color rgb="FF000000"/>
        <rFont val="Courier New"/>
        <family val="3"/>
      </rPr>
      <t>._${lclassebase}VO);</t>
    </r>
  </si>
  <si>
    <r>
      <t xml:space="preserve">floatingActionButton: </t>
    </r>
    <r>
      <rPr>
        <b/>
        <sz val="10"/>
        <color rgb="FF000080"/>
        <rFont val="Courier New"/>
        <family val="3"/>
      </rPr>
      <t xml:space="preserve">new </t>
    </r>
    <r>
      <rPr>
        <sz val="10"/>
        <color rgb="FF2196F3"/>
        <rFont val="Courier New"/>
        <family val="3"/>
      </rPr>
      <t>FloatingActionButton</t>
    </r>
    <r>
      <rPr>
        <sz val="10"/>
        <color rgb="FF000000"/>
        <rFont val="Courier New"/>
        <family val="3"/>
      </rPr>
      <t>(</t>
    </r>
  </si>
  <si>
    <t xml:space="preserve">  onPressed: () {</t>
  </si>
  <si>
    <r>
      <t xml:space="preserve">    Navigator.</t>
    </r>
    <r>
      <rPr>
        <i/>
        <sz val="10"/>
        <color rgb="FF000000"/>
        <rFont val="Courier New"/>
        <family val="3"/>
      </rPr>
      <t>push</t>
    </r>
    <r>
      <rPr>
        <sz val="10"/>
        <color rgb="FF000000"/>
        <rFont val="Courier New"/>
        <family val="3"/>
      </rPr>
      <t>(</t>
    </r>
  </si>
  <si>
    <t xml:space="preserve">      context,</t>
  </si>
  <si>
    <t xml:space="preserve">  },</t>
  </si>
  <si>
    <r>
      <t xml:space="preserve">  child: </t>
    </r>
    <r>
      <rPr>
        <sz val="10"/>
        <color rgb="FF2196F3"/>
        <rFont val="Courier New"/>
        <family val="3"/>
      </rPr>
      <t>Icon</t>
    </r>
    <r>
      <rPr>
        <sz val="10"/>
        <color rgb="FF000000"/>
        <rFont val="Courier New"/>
        <family val="3"/>
      </rPr>
      <t>(Icons.</t>
    </r>
    <r>
      <rPr>
        <i/>
        <sz val="10"/>
        <color rgb="FF660E7A"/>
        <rFont val="Courier New"/>
        <family val="3"/>
      </rPr>
      <t>add_circle_outline</t>
    </r>
    <r>
      <rPr>
        <sz val="10"/>
        <color rgb="FF000000"/>
        <rFont val="Courier New"/>
        <family val="3"/>
      </rPr>
      <t>),</t>
    </r>
  </si>
  <si>
    <t>),</t>
  </si>
  <si>
    <r>
      <t xml:space="preserve">import </t>
    </r>
    <r>
      <rPr>
        <b/>
        <sz val="10"/>
        <color rgb="FF008000"/>
        <rFont val="Courier New"/>
        <family val="3"/>
      </rPr>
      <t>'${classebase}PageCRUD.dart'</t>
    </r>
    <r>
      <rPr>
        <sz val="10"/>
        <color rgb="FF000000"/>
        <rFont val="Courier New"/>
        <family val="3"/>
      </rPr>
      <t>;</t>
    </r>
  </si>
  <si>
    <r>
      <t xml:space="preserve">      </t>
    </r>
    <r>
      <rPr>
        <sz val="10"/>
        <color rgb="FF2196F3"/>
        <rFont val="Courier New"/>
        <family val="3"/>
      </rPr>
      <t>MaterialPageRoute</t>
    </r>
    <r>
      <rPr>
        <sz val="10"/>
        <color rgb="FF000000"/>
        <rFont val="Courier New"/>
        <family val="3"/>
      </rPr>
      <t xml:space="preserve">(builder: (context) =&gt; </t>
    </r>
    <r>
      <rPr>
        <b/>
        <sz val="10"/>
        <color rgb="FF000080"/>
        <rFont val="Courier New"/>
        <family val="3"/>
      </rPr>
      <t xml:space="preserve">new </t>
    </r>
    <r>
      <rPr>
        <sz val="10"/>
        <color rgb="FF2196F3"/>
        <rFont val="Courier New"/>
        <family val="3"/>
      </rPr>
      <t>${classebase}PageCRUD</t>
    </r>
    <r>
      <rPr>
        <sz val="10"/>
        <color rgb="FF000000"/>
        <rFont val="Courier New"/>
        <family val="3"/>
      </rPr>
      <t>() ),</t>
    </r>
  </si>
  <si>
    <t>* listPagina() - Listar um conjunto de registro previamente paginado</t>
  </si>
  <si>
    <r>
      <t xml:space="preserve">* e de acordo com a query em </t>
    </r>
    <r>
      <rPr>
        <sz val="11"/>
        <color rgb="FF569CD6"/>
        <rFont val="Consolas"/>
        <family val="3"/>
      </rPr>
      <t>@see</t>
    </r>
    <r>
      <rPr>
        <sz val="11"/>
        <color rgb="FF6A9955"/>
        <rFont val="Consolas"/>
        <family val="3"/>
      </rPr>
      <t xml:space="preserve"> $sql na tabela ${tabela} </t>
    </r>
  </si>
  <si>
    <r>
      <t xml:space="preserve">* </t>
    </r>
    <r>
      <rPr>
        <sz val="11"/>
        <color rgb="FF569CD6"/>
        <rFont val="Consolas"/>
        <family val="3"/>
      </rPr>
      <t>@param</t>
    </r>
    <r>
      <rPr>
        <sz val="11"/>
        <color rgb="FF6A9955"/>
        <rFont val="Consolas"/>
        <family val="3"/>
      </rPr>
      <t xml:space="preserve"> $sql</t>
    </r>
  </si>
  <si>
    <r>
      <t xml:space="preserve">* </t>
    </r>
    <r>
      <rPr>
        <sz val="11"/>
        <color rgb="FF569CD6"/>
        <rFont val="Consolas"/>
        <family val="3"/>
      </rPr>
      <t>@return</t>
    </r>
    <r>
      <rPr>
        <sz val="11"/>
        <color rgb="FF6A9955"/>
        <rFont val="Consolas"/>
        <family val="3"/>
      </rPr>
      <t xml:space="preserve"> </t>
    </r>
    <r>
      <rPr>
        <sz val="11"/>
        <color rgb="FF4EC9B0"/>
        <rFont val="Consolas"/>
        <family val="3"/>
      </rPr>
      <t>PaginacaoDTO</t>
    </r>
  </si>
  <si>
    <t>* list${classebase}PorUsuaIdStatus() - Listar um conjunto de registro previamente paginado</t>
  </si>
  <si>
    <t>* sob o contexto da classe ${classebase} com base no usuário específico. Esse usuário</t>
  </si>
  <si>
    <t xml:space="preserve">* é o usuário logado na sessão ou no próprio dispositivo móvel e de acordo com a </t>
  </si>
  <si>
    <r>
      <t xml:space="preserve">* query em </t>
    </r>
    <r>
      <rPr>
        <sz val="11"/>
        <color rgb="FF569CD6"/>
        <rFont val="Consolas"/>
        <family val="3"/>
      </rPr>
      <t>@see</t>
    </r>
    <r>
      <rPr>
        <sz val="11"/>
        <color rgb="FF6A9955"/>
        <rFont val="Consolas"/>
        <family val="3"/>
      </rPr>
      <t xml:space="preserve"> $sql na tabela ${tabela} </t>
    </r>
  </si>
  <si>
    <r>
      <t xml:space="preserve">* </t>
    </r>
    <r>
      <rPr>
        <sz val="11"/>
        <color rgb="FF569CD6"/>
        <rFont val="Consolas"/>
        <family val="3"/>
      </rPr>
      <t>@see</t>
    </r>
    <r>
      <rPr>
        <sz val="11"/>
        <color rgb="FF6A9955"/>
        <rFont val="Consolas"/>
        <family val="3"/>
      </rPr>
      <t xml:space="preserve"> listPagina()</t>
    </r>
  </si>
  <si>
    <t>* count${classebase}PorUsuaIdStatus() - contar a quantidade de registros</t>
  </si>
  <si>
    <t>* list${classebase}PorStatus() - Listar um conjunto de registro previamente paginado</t>
  </si>
  <si>
    <t>* sob o contexto da classe ${classebase} com base no status específico.</t>
  </si>
  <si>
    <r>
      <t xml:space="preserve">* Atenção em </t>
    </r>
    <r>
      <rPr>
        <sz val="11"/>
        <color rgb="FF569CD6"/>
        <rFont val="Consolas"/>
        <family val="3"/>
      </rPr>
      <t>@see</t>
    </r>
    <r>
      <rPr>
        <sz val="11"/>
        <color rgb="FF6A9955"/>
        <rFont val="Consolas"/>
        <family val="3"/>
      </rPr>
      <t xml:space="preserve"> $sql na tabela ${tabela} </t>
    </r>
  </si>
  <si>
    <t>* count${classebase}PorStatus() - contar a quantidade de registros</t>
  </si>
  <si>
    <t xml:space="preserve">* sob o contexto da classe ${classebase} com base no status específico. </t>
  </si>
  <si>
    <r>
      <t xml:space="preserve">   public</t>
    </r>
    <r>
      <rPr>
        <sz val="11"/>
        <color rgb="FFD4D4D4"/>
        <rFont val="Consolas"/>
        <family val="3"/>
      </rPr>
      <t xml:space="preserve"> </t>
    </r>
    <r>
      <rPr>
        <sz val="11"/>
        <color rgb="FF569CD6"/>
        <rFont val="Consolas"/>
        <family val="3"/>
      </rPr>
      <t>function</t>
    </r>
    <r>
      <rPr>
        <sz val="11"/>
        <color rgb="FFD4D4D4"/>
        <rFont val="Consolas"/>
        <family val="3"/>
      </rPr>
      <t xml:space="preserve"> </t>
    </r>
    <r>
      <rPr>
        <sz val="11"/>
        <color rgb="FFDCDCAA"/>
        <rFont val="Consolas"/>
        <family val="3"/>
      </rPr>
      <t>listar${classebase}PorUsuaIdStatus</t>
    </r>
    <r>
      <rPr>
        <sz val="11"/>
        <color rgb="FFD4D4D4"/>
        <rFont val="Consolas"/>
        <family val="3"/>
      </rPr>
      <t xml:space="preserve">($usuaid, </t>
    </r>
    <r>
      <rPr>
        <sz val="11"/>
        <color rgb="FF9CDCFE"/>
        <rFont val="Consolas"/>
        <family val="3"/>
      </rPr>
      <t>$status='A'</t>
    </r>
    <r>
      <rPr>
        <sz val="11"/>
        <color rgb="FFD4D4D4"/>
        <rFont val="Consolas"/>
        <family val="3"/>
      </rPr>
      <t>,</t>
    </r>
    <r>
      <rPr>
        <sz val="11"/>
        <color rgb="FF9CDCFE"/>
        <rFont val="Consolas"/>
        <family val="3"/>
      </rPr>
      <t xml:space="preserve"> $pag</t>
    </r>
    <r>
      <rPr>
        <sz val="11"/>
        <color rgb="FFD4D4D4"/>
        <rFont val="Consolas"/>
        <family val="3"/>
      </rPr>
      <t>=</t>
    </r>
    <r>
      <rPr>
        <sz val="11"/>
        <color rgb="FFB5CEA8"/>
        <rFont val="Consolas"/>
        <family val="3"/>
      </rPr>
      <t>1</t>
    </r>
    <r>
      <rPr>
        <sz val="11"/>
        <color rgb="FFD4D4D4"/>
        <rFont val="Consolas"/>
        <family val="3"/>
      </rPr>
      <t>,</t>
    </r>
    <r>
      <rPr>
        <sz val="11"/>
        <color rgb="FF9CDCFE"/>
        <rFont val="Consolas"/>
        <family val="3"/>
      </rPr>
      <t xml:space="preserve"> $qtde</t>
    </r>
    <r>
      <rPr>
        <sz val="11"/>
        <color rgb="FFD4D4D4"/>
        <rFont val="Consolas"/>
        <family val="3"/>
      </rPr>
      <t>=</t>
    </r>
    <r>
      <rPr>
        <sz val="11"/>
        <color rgb="FFB5CEA8"/>
        <rFont val="Consolas"/>
        <family val="3"/>
      </rPr>
      <t>0</t>
    </r>
    <r>
      <rPr>
        <sz val="11"/>
        <color rgb="FFD4D4D4"/>
        <rFont val="Consolas"/>
        <family val="3"/>
      </rPr>
      <t>,</t>
    </r>
    <r>
      <rPr>
        <sz val="11"/>
        <color rgb="FF9CDCFE"/>
        <rFont val="Consolas"/>
        <family val="3"/>
      </rPr>
      <t xml:space="preserve"> $coluna</t>
    </r>
    <r>
      <rPr>
        <sz val="11"/>
        <color rgb="FFD4D4D4"/>
        <rFont val="Consolas"/>
        <family val="3"/>
      </rPr>
      <t>=</t>
    </r>
    <r>
      <rPr>
        <sz val="11"/>
        <color rgb="FFB5CEA8"/>
        <rFont val="Consolas"/>
        <family val="3"/>
      </rPr>
      <t>1</t>
    </r>
    <r>
      <rPr>
        <sz val="11"/>
        <color rgb="FFD4D4D4"/>
        <rFont val="Consolas"/>
        <family val="3"/>
      </rPr>
      <t>,</t>
    </r>
    <r>
      <rPr>
        <sz val="11"/>
        <color rgb="FF9CDCFE"/>
        <rFont val="Consolas"/>
        <family val="3"/>
      </rPr>
      <t xml:space="preserve"> $ordem</t>
    </r>
    <r>
      <rPr>
        <sz val="11"/>
        <color rgb="FFD4D4D4"/>
        <rFont val="Consolas"/>
        <family val="3"/>
      </rPr>
      <t>=</t>
    </r>
    <r>
      <rPr>
        <sz val="11"/>
        <color rgb="FFB5CEA8"/>
        <rFont val="Consolas"/>
        <family val="3"/>
      </rPr>
      <t>0</t>
    </r>
    <r>
      <rPr>
        <sz val="11"/>
        <color rgb="FFD4D4D4"/>
        <rFont val="Consolas"/>
        <family val="3"/>
      </rPr>
      <t xml:space="preserve">) </t>
    </r>
  </si>
  <si>
    <r>
      <t xml:space="preserve">   public</t>
    </r>
    <r>
      <rPr>
        <sz val="11"/>
        <color rgb="FFD4D4D4"/>
        <rFont val="Consolas"/>
        <family val="3"/>
      </rPr>
      <t xml:space="preserve"> </t>
    </r>
    <r>
      <rPr>
        <sz val="11"/>
        <color rgb="FF569CD6"/>
        <rFont val="Consolas"/>
        <family val="3"/>
      </rPr>
      <t>function</t>
    </r>
    <r>
      <rPr>
        <sz val="11"/>
        <color rgb="FFD4D4D4"/>
        <rFont val="Consolas"/>
        <family val="3"/>
      </rPr>
      <t xml:space="preserve"> </t>
    </r>
    <r>
      <rPr>
        <sz val="11"/>
        <color rgb="FFDCDCAA"/>
        <rFont val="Consolas"/>
        <family val="3"/>
      </rPr>
      <t>listar${classebase}PorStatus</t>
    </r>
    <r>
      <rPr>
        <sz val="11"/>
        <color rgb="FFD4D4D4"/>
        <rFont val="Consolas"/>
        <family val="3"/>
      </rPr>
      <t>(</t>
    </r>
    <r>
      <rPr>
        <sz val="11"/>
        <color rgb="FF9CDCFE"/>
        <rFont val="Consolas"/>
        <family val="3"/>
      </rPr>
      <t>$status='A'</t>
    </r>
    <r>
      <rPr>
        <sz val="11"/>
        <color rgb="FFD4D4D4"/>
        <rFont val="Consolas"/>
        <family val="3"/>
      </rPr>
      <t>,</t>
    </r>
    <r>
      <rPr>
        <sz val="11"/>
        <color rgb="FF9CDCFE"/>
        <rFont val="Consolas"/>
        <family val="3"/>
      </rPr>
      <t xml:space="preserve"> $pag</t>
    </r>
    <r>
      <rPr>
        <sz val="11"/>
        <color rgb="FFD4D4D4"/>
        <rFont val="Consolas"/>
        <family val="3"/>
      </rPr>
      <t>=</t>
    </r>
    <r>
      <rPr>
        <sz val="11"/>
        <color rgb="FFB5CEA8"/>
        <rFont val="Consolas"/>
        <family val="3"/>
      </rPr>
      <t>1</t>
    </r>
    <r>
      <rPr>
        <sz val="11"/>
        <color rgb="FFD4D4D4"/>
        <rFont val="Consolas"/>
        <family val="3"/>
      </rPr>
      <t>,</t>
    </r>
    <r>
      <rPr>
        <sz val="11"/>
        <color rgb="FF9CDCFE"/>
        <rFont val="Consolas"/>
        <family val="3"/>
      </rPr>
      <t xml:space="preserve"> $qtde</t>
    </r>
    <r>
      <rPr>
        <sz val="11"/>
        <color rgb="FFD4D4D4"/>
        <rFont val="Consolas"/>
        <family val="3"/>
      </rPr>
      <t>=</t>
    </r>
    <r>
      <rPr>
        <sz val="11"/>
        <color rgb="FFB5CEA8"/>
        <rFont val="Consolas"/>
        <family val="3"/>
      </rPr>
      <t>0</t>
    </r>
    <r>
      <rPr>
        <sz val="11"/>
        <color rgb="FFD4D4D4"/>
        <rFont val="Consolas"/>
        <family val="3"/>
      </rPr>
      <t>,</t>
    </r>
    <r>
      <rPr>
        <sz val="11"/>
        <color rgb="FF9CDCFE"/>
        <rFont val="Consolas"/>
        <family val="3"/>
      </rPr>
      <t xml:space="preserve"> $coluna</t>
    </r>
    <r>
      <rPr>
        <sz val="11"/>
        <color rgb="FFD4D4D4"/>
        <rFont val="Consolas"/>
        <family val="3"/>
      </rPr>
      <t>=</t>
    </r>
    <r>
      <rPr>
        <sz val="11"/>
        <color rgb="FFB5CEA8"/>
        <rFont val="Consolas"/>
        <family val="3"/>
      </rPr>
      <t>1</t>
    </r>
    <r>
      <rPr>
        <sz val="11"/>
        <color rgb="FFD4D4D4"/>
        <rFont val="Consolas"/>
        <family val="3"/>
      </rPr>
      <t>,</t>
    </r>
    <r>
      <rPr>
        <sz val="11"/>
        <color rgb="FF9CDCFE"/>
        <rFont val="Consolas"/>
        <family val="3"/>
      </rPr>
      <t xml:space="preserve"> $ordem</t>
    </r>
    <r>
      <rPr>
        <sz val="11"/>
        <color rgb="FFD4D4D4"/>
        <rFont val="Consolas"/>
        <family val="3"/>
      </rPr>
      <t>=</t>
    </r>
    <r>
      <rPr>
        <sz val="11"/>
        <color rgb="FFB5CEA8"/>
        <rFont val="Consolas"/>
        <family val="3"/>
      </rPr>
      <t>0</t>
    </r>
    <r>
      <rPr>
        <sz val="11"/>
        <color rgb="FFD4D4D4"/>
        <rFont val="Consolas"/>
        <family val="3"/>
      </rPr>
      <t xml:space="preserve">) </t>
    </r>
  </si>
  <si>
    <r>
      <t>$retorno</t>
    </r>
    <r>
      <rPr>
        <sz val="11"/>
        <color rgb="FFD4D4D4"/>
        <rFont val="Consolas"/>
        <family val="3"/>
      </rPr>
      <t xml:space="preserve"> = </t>
    </r>
    <r>
      <rPr>
        <sz val="11"/>
        <color rgb="FF9CDCFE"/>
        <rFont val="Consolas"/>
        <family val="3"/>
      </rPr>
      <t>$csi</t>
    </r>
    <r>
      <rPr>
        <sz val="11"/>
        <color rgb="FFD4D4D4"/>
        <rFont val="Consolas"/>
        <family val="3"/>
      </rPr>
      <t>-&gt;</t>
    </r>
    <r>
      <rPr>
        <sz val="11"/>
        <color rgb="FFDCDCAA"/>
        <rFont val="Consolas"/>
        <family val="3"/>
      </rPr>
      <t>listar${classebase}PorUsuaIdStatus</t>
    </r>
    <r>
      <rPr>
        <sz val="11"/>
        <color rgb="FFD4D4D4"/>
        <rFont val="Consolas"/>
        <family val="3"/>
      </rPr>
      <t>(</t>
    </r>
    <r>
      <rPr>
        <sz val="11"/>
        <color rgb="FF9CDCFE"/>
        <rFont val="Consolas"/>
        <family val="3"/>
      </rPr>
      <t>$usuaid</t>
    </r>
    <r>
      <rPr>
        <sz val="11"/>
        <color rgb="FFD4D4D4"/>
        <rFont val="Consolas"/>
        <family val="3"/>
      </rPr>
      <t>,</t>
    </r>
    <r>
      <rPr>
        <sz val="11"/>
        <color rgb="FF9CDCFE"/>
        <rFont val="Consolas"/>
        <family val="3"/>
      </rPr>
      <t>$status</t>
    </r>
    <r>
      <rPr>
        <sz val="11"/>
        <color rgb="FFD4D4D4"/>
        <rFont val="Consolas"/>
        <family val="3"/>
      </rPr>
      <t>,</t>
    </r>
    <r>
      <rPr>
        <sz val="11"/>
        <color rgb="FFB5CEA8"/>
        <rFont val="Consolas"/>
        <family val="3"/>
      </rPr>
      <t>3</t>
    </r>
    <r>
      <rPr>
        <sz val="11"/>
        <color rgb="FFD4D4D4"/>
        <rFont val="Consolas"/>
        <family val="3"/>
      </rPr>
      <t>,</t>
    </r>
    <r>
      <rPr>
        <sz val="11"/>
        <color rgb="FFB5CEA8"/>
        <rFont val="Consolas"/>
        <family val="3"/>
      </rPr>
      <t>2</t>
    </r>
    <r>
      <rPr>
        <sz val="11"/>
        <color rgb="FFD4D4D4"/>
        <rFont val="Consolas"/>
        <family val="3"/>
      </rPr>
      <t>);</t>
    </r>
  </si>
  <si>
    <t>* pesquisarPor${Adto}() - Usado para invocar a classe de negócio ${classebase}BusinessImpl de forma geral</t>
  </si>
  <si>
    <t>* realizar uma busca de ${comentario} diretamente na tabela ${tabela} campo ${campo}</t>
  </si>
  <si>
    <r>
      <t xml:space="preserve">    public</t>
    </r>
    <r>
      <rPr>
        <sz val="11"/>
        <color rgb="FFD4D4D4"/>
        <rFont val="Consolas"/>
        <family val="3"/>
      </rPr>
      <t xml:space="preserve"> </t>
    </r>
    <r>
      <rPr>
        <sz val="11"/>
        <color rgb="FF569CD6"/>
        <rFont val="Consolas"/>
        <family val="3"/>
      </rPr>
      <t>function</t>
    </r>
    <r>
      <rPr>
        <sz val="11"/>
        <color rgb="FFD4D4D4"/>
        <rFont val="Consolas"/>
        <family val="3"/>
      </rPr>
      <t xml:space="preserve"> </t>
    </r>
    <r>
      <rPr>
        <sz val="11"/>
        <color rgb="FFDCDCAA"/>
        <rFont val="Consolas"/>
        <family val="3"/>
      </rPr>
      <t>atualizar${Adto}PorPK</t>
    </r>
    <r>
      <rPr>
        <sz val="11"/>
        <color rgb="FFD4D4D4"/>
        <rFont val="Consolas"/>
        <family val="3"/>
      </rPr>
      <t>(</t>
    </r>
    <r>
      <rPr>
        <sz val="11"/>
        <color rgb="FF9CDCFE"/>
        <rFont val="Consolas"/>
        <family val="3"/>
      </rPr>
      <t>$${dto},$${pkdto}</t>
    </r>
    <r>
      <rPr>
        <sz val="11"/>
        <color rgb="FFD4D4D4"/>
        <rFont val="Consolas"/>
        <family val="3"/>
      </rPr>
      <t>);</t>
    </r>
  </si>
  <si>
    <r>
      <t xml:space="preserve">    public</t>
    </r>
    <r>
      <rPr>
        <sz val="11"/>
        <color rgb="FFD4D4D4"/>
        <rFont val="Consolas"/>
        <family val="3"/>
      </rPr>
      <t xml:space="preserve"> </t>
    </r>
    <r>
      <rPr>
        <sz val="11"/>
        <color rgb="FF569CD6"/>
        <rFont val="Consolas"/>
        <family val="3"/>
      </rPr>
      <t>function</t>
    </r>
    <r>
      <rPr>
        <sz val="11"/>
        <color rgb="FFD4D4D4"/>
        <rFont val="Consolas"/>
        <family val="3"/>
      </rPr>
      <t xml:space="preserve"> </t>
    </r>
    <r>
      <rPr>
        <sz val="11"/>
        <color rgb="FFDCDCAA"/>
        <rFont val="Consolas"/>
        <family val="3"/>
      </rPr>
      <t>pesquisarPor${Adto}</t>
    </r>
    <r>
      <rPr>
        <sz val="11"/>
        <color rgb="FFD4D4D4"/>
        <rFont val="Consolas"/>
        <family val="3"/>
      </rPr>
      <t>(</t>
    </r>
    <r>
      <rPr>
        <sz val="11"/>
        <color rgb="FF9CDCFE"/>
        <rFont val="Consolas"/>
        <family val="3"/>
      </rPr>
      <t>$${dto}</t>
    </r>
    <r>
      <rPr>
        <sz val="11"/>
        <color rgb="FFD4D4D4"/>
        <rFont val="Consolas"/>
        <family val="3"/>
      </rPr>
      <t>);</t>
    </r>
  </si>
  <si>
    <r>
      <t>    </t>
    </r>
    <r>
      <rPr>
        <sz val="11"/>
        <color rgb="FF569CD6"/>
        <rFont val="Consolas"/>
        <family val="3"/>
      </rPr>
      <t>public</t>
    </r>
    <r>
      <rPr>
        <sz val="11"/>
        <color rgb="FFD4D4D4"/>
        <rFont val="Consolas"/>
        <family val="3"/>
      </rPr>
      <t xml:space="preserve"> </t>
    </r>
    <r>
      <rPr>
        <sz val="11"/>
        <color rgb="FF569CD6"/>
        <rFont val="Consolas"/>
        <family val="3"/>
      </rPr>
      <t>function</t>
    </r>
    <r>
      <rPr>
        <sz val="11"/>
        <color rgb="FFD4D4D4"/>
        <rFont val="Consolas"/>
        <family val="3"/>
      </rPr>
      <t xml:space="preserve"> </t>
    </r>
    <r>
      <rPr>
        <sz val="11"/>
        <color rgb="FFDCDCAA"/>
        <rFont val="Consolas"/>
        <family val="3"/>
      </rPr>
      <t>pesquisarPor${Adto}</t>
    </r>
    <r>
      <rPr>
        <sz val="11"/>
        <color rgb="FFD4D4D4"/>
        <rFont val="Consolas"/>
        <family val="3"/>
      </rPr>
      <t>(</t>
    </r>
    <r>
      <rPr>
        <sz val="11"/>
        <color rgb="FF9CDCFE"/>
        <rFont val="Consolas"/>
        <family val="3"/>
      </rPr>
      <t>$${dto}</t>
    </r>
    <r>
      <rPr>
        <sz val="11"/>
        <color rgb="FFD4D4D4"/>
        <rFont val="Consolas"/>
        <family val="3"/>
      </rPr>
      <t>)</t>
    </r>
  </si>
  <si>
    <r>
      <t>           </t>
    </r>
    <r>
      <rPr>
        <sz val="11"/>
        <color rgb="FF9CDCFE"/>
        <rFont val="Consolas"/>
        <family val="3"/>
      </rPr>
      <t>$retorno</t>
    </r>
    <r>
      <rPr>
        <sz val="11"/>
        <color rgb="FFD4D4D4"/>
        <rFont val="Consolas"/>
        <family val="3"/>
      </rPr>
      <t xml:space="preserve"> = </t>
    </r>
    <r>
      <rPr>
        <sz val="11"/>
        <color rgb="FF9CDCFE"/>
        <rFont val="Consolas"/>
        <family val="3"/>
      </rPr>
      <t>$bo</t>
    </r>
    <r>
      <rPr>
        <sz val="11"/>
        <color rgb="FFD4D4D4"/>
        <rFont val="Consolas"/>
        <family val="3"/>
      </rPr>
      <t>-&gt;</t>
    </r>
    <r>
      <rPr>
        <sz val="11"/>
        <color rgb="FFDCDCAA"/>
        <rFont val="Consolas"/>
        <family val="3"/>
      </rPr>
      <t>carregarPor${Adto}</t>
    </r>
    <r>
      <rPr>
        <sz val="11"/>
        <color rgb="FFD4D4D4"/>
        <rFont val="Consolas"/>
        <family val="3"/>
      </rPr>
      <t>(</t>
    </r>
    <r>
      <rPr>
        <sz val="11"/>
        <color rgb="FF9CDCFE"/>
        <rFont val="Consolas"/>
        <family val="3"/>
      </rPr>
      <t>$daofactory</t>
    </r>
    <r>
      <rPr>
        <sz val="11"/>
        <color rgb="FFD4D4D4"/>
        <rFont val="Consolas"/>
        <family val="3"/>
      </rPr>
      <t>, $</t>
    </r>
    <r>
      <rPr>
        <sz val="11"/>
        <color rgb="FF9CDCFE"/>
        <rFont val="Consolas"/>
        <family val="3"/>
      </rPr>
      <t>${dto}</t>
    </r>
    <r>
      <rPr>
        <sz val="11"/>
        <color rgb="FFD4D4D4"/>
        <rFont val="Consolas"/>
        <family val="3"/>
      </rPr>
      <t>);</t>
    </r>
  </si>
  <si>
    <t>            // pesquisar pelo atributo ${classebase}.${dto} no campo ${campo} da tabela ${tabela}</t>
  </si>
  <si>
    <r>
      <t xml:space="preserve">* </t>
    </r>
    <r>
      <rPr>
        <sz val="11"/>
        <color rgb="FF569CD6"/>
        <rFont val="Consolas"/>
        <family val="3"/>
      </rPr>
      <t>@param</t>
    </r>
    <r>
      <rPr>
        <sz val="11"/>
        <color rgb="FF6A9955"/>
        <rFont val="Consolas"/>
        <family val="3"/>
      </rPr>
      <t xml:space="preserve"> $${dto}</t>
    </r>
  </si>
  <si>
    <t xml:space="preserve">        $daofactory = NULL;</t>
  </si>
  <si>
    <t xml:space="preserve">        $retorno = NULL;</t>
  </si>
  <si>
    <t xml:space="preserve">        try {</t>
  </si>
  <si>
    <t xml:space="preserve">            $daofactory = DAOFactory::getDAOFactory();</t>
  </si>
  <si>
    <t xml:space="preserve">            $daofactory-&gt;open();</t>
  </si>
  <si>
    <t xml:space="preserve">            $daofactory-&gt;beginTransaction();</t>
  </si>
  <si>
    <t xml:space="preserve">            </t>
  </si>
  <si>
    <t xml:space="preserve">           if ($retorno-&gt;msgcode == ConstantesMensagem::COMANDO_REALIZADO_COM_SUCESSO){</t>
  </si>
  <si>
    <t xml:space="preserve">                $daofactory-&gt;commit();</t>
  </si>
  <si>
    <t xml:space="preserve">            } else {</t>
  </si>
  <si>
    <t xml:space="preserve">                $daofactory-&gt;rollback();</t>
  </si>
  <si>
    <t xml:space="preserve">        } catch (Exception $e) {</t>
  </si>
  <si>
    <t xml:space="preserve">            // rollback na transação</t>
  </si>
  <si>
    <t xml:space="preserve">            $daofactory-&gt;rollback();</t>
  </si>
  <si>
    <t xml:space="preserve">        } finally {</t>
  </si>
  <si>
    <t xml:space="preserve">            try {</t>
  </si>
  <si>
    <t xml:space="preserve">                $daofactory-&gt;close();</t>
  </si>
  <si>
    <t xml:space="preserve">            } catch (Exception $e) {</t>
  </si>
  <si>
    <t xml:space="preserve">                // faz algo</t>
  </si>
  <si>
    <t xml:space="preserve">        return $retorno;</t>
  </si>
  <si>
    <t>* atualizar${Adto}PorPK() - Usado para invocar a classe de negócio ${classebase}BusinessImpl de forma geral</t>
  </si>
  <si>
    <t>* realizar uma atualização de ${comentario} diretamente na tabela ${tabela} campo ${campo}</t>
  </si>
  <si>
    <t xml:space="preserve">            // atualizar registro por meio do método ${classebase}BusinessImpl::atualizar${Adto}PorPK($${dto},$${pkdto})</t>
  </si>
  <si>
    <t xml:space="preserve">           $bo = new ${classebase}BusinessImpl();</t>
  </si>
  <si>
    <t xml:space="preserve">           $retorno = $bo-&gt;atualizar${Adto}PorPK($daofactory,$${dto},$${pkdto});</t>
  </si>
  <si>
    <t xml:space="preserve">    public function atualizar${Adto}PorPK($daofactory,$${dto},$${pkdto});</t>
  </si>
  <si>
    <t xml:space="preserve">        // resposta padrão</t>
  </si>
  <si>
    <t xml:space="preserve">            $retorno-&gt;msgcode = ConstantesMensagem::COMANDO_REALIZADO_COM_SUCESSO;</t>
  </si>
  <si>
    <t xml:space="preserve">        }       </t>
  </si>
  <si>
    <t xml:space="preserve">        // Obtem o texto da mensagem em razão do código de retorno</t>
  </si>
  <si>
    <t xml:space="preserve">        $dao = $daofactory-&gt;get${classebase}DAO($daofactory);</t>
  </si>
  <si>
    <t xml:space="preserve">        if($dao-&gt;update${Adto}($${pkdto}, $${dto})){   </t>
  </si>
  <si>
    <t>* @param $${dto}</t>
  </si>
  <si>
    <t>* @return ${classebase}DTO</t>
  </si>
  <si>
    <t xml:space="preserve">    { </t>
  </si>
  <si>
    <t xml:space="preserve">        return $dao-&gt;load${Adto}($${dto});</t>
  </si>
  <si>
    <t xml:space="preserve">    public function load${Adto}($${dto});</t>
  </si>
  <si>
    <t xml:space="preserve">    public function update${Adto}($${pkdto}, $${dto});</t>
  </si>
  <si>
    <t>    const UPD_${tabela}_${campo}_PK = 'UPDATE `' . self::TABELA . '` set ' . ' `' . self::${campo} . '` = ? ' . 'WHERE ' . ' `' . self::${pk} . '` = ? ' ;</t>
  </si>
  <si>
    <t xml:space="preserve">    {   </t>
  </si>
  <si>
    <t xml:space="preserve">        $retorno = false;</t>
  </si>
  <si>
    <t xml:space="preserve">        // prepara sessão, query, troca de valores, acoplagem do resultado e o fetch</t>
  </si>
  <si>
    <t xml:space="preserve">        $conexao = $this-&gt;daofactory-&gt;getSession();</t>
  </si>
  <si>
    <t xml:space="preserve">        if ($stmt-&gt;execute())</t>
  </si>
  <si>
    <t xml:space="preserve">        {</t>
  </si>
  <si>
    <t xml:space="preserve">            $retorno = true;</t>
  </si>
  <si>
    <t xml:space="preserve">        $stmt-&gt;bind_param(DmlSql::${mysql} </t>
  </si>
  <si>
    <t xml:space="preserve">                            . DmlSql::${mysql}</t>
  </si>
  <si>
    <t xml:space="preserve">                            ,$${dto}</t>
  </si>
  <si>
    <t xml:space="preserve">                            ,$${pkdto});</t>
  </si>
  <si>
    <t xml:space="preserve">        $stmt = $conexao-&gt;prepare(DmlSql${classebase}::UPD_${tabela}_${campo}_PK);</t>
  </si>
  <si>
    <t>    * update${Adto}() - implementação da assinatura em ${classebase}DAO</t>
  </si>
  <si>
    <t xml:space="preserve">    public function update${Adto}($${pkdto}, $${dto})</t>
  </si>
  <si>
    <t xml:space="preserve">    public function load${Adto}($${dto})</t>
  </si>
  <si>
    <t xml:space="preserve">        if ($res){</t>
  </si>
  <si>
    <t xml:space="preserve">            $retorno = $this-&gt;getDTO($res-&gt;fetch_assoc());</t>
  </si>
  <si>
    <t xml:space="preserve">        $res = $conexao-&gt;query(DmlSql${classebase}::SELECT . ' WHERE ' . DmlSql${classebase}::${campo} . '=' . $${dto} );</t>
  </si>
  <si>
    <t>    * load${Adto}() - implementação da assinatura em ${classebase}DAO</t>
  </si>
  <si>
    <r>
      <t xml:space="preserve">    public</t>
    </r>
    <r>
      <rPr>
        <sz val="11"/>
        <color rgb="FFD4D4D4"/>
        <rFont val="Consolas"/>
        <family val="3"/>
      </rPr>
      <t xml:space="preserve"> </t>
    </r>
    <r>
      <rPr>
        <sz val="11"/>
        <color rgb="FF569CD6"/>
        <rFont val="Consolas"/>
        <family val="3"/>
      </rPr>
      <t>function</t>
    </r>
    <r>
      <rPr>
        <sz val="11"/>
        <color rgb="FFD4D4D4"/>
        <rFont val="Consolas"/>
        <family val="3"/>
      </rPr>
      <t xml:space="preserve"> </t>
    </r>
    <r>
      <rPr>
        <sz val="11"/>
        <color rgb="FFDCDCAA"/>
        <rFont val="Consolas"/>
        <family val="3"/>
      </rPr>
      <t>atualizar${Adto}PorPK</t>
    </r>
    <r>
      <rPr>
        <sz val="11"/>
        <color rgb="FFD4D4D4"/>
        <rFont val="Consolas"/>
        <family val="3"/>
      </rPr>
      <t>(</t>
    </r>
    <r>
      <rPr>
        <sz val="11"/>
        <color rgb="FF9CDCFE"/>
        <rFont val="Consolas"/>
        <family val="3"/>
      </rPr>
      <t>$${dto},$${pkdto}</t>
    </r>
    <r>
      <rPr>
        <sz val="11"/>
        <color rgb="FFD4D4D4"/>
        <rFont val="Consolas"/>
        <family val="3"/>
      </rPr>
      <t>)</t>
    </r>
  </si>
  <si>
    <t xml:space="preserve">    public function atualizar${Adto}PorPK($daofactory,$${dto},$${pkdto})</t>
  </si>
  <si>
    <t xml:space="preserve">    public function pesquisarPor${Adto}($daofactory,$${dto})</t>
  </si>
  <si>
    <t xml:space="preserve">    public function pesquisarPor${Adto}($daofactory, $${dto});</t>
  </si>
  <si>
    <t>* a buscar a MAIOR PK pra um dado status.</t>
  </si>
  <si>
    <t>* @param status</t>
  </si>
  <si>
    <t xml:space="preserve">    $daofactory = NULL;</t>
  </si>
  <si>
    <t xml:space="preserve">    $retorno = NULL;</t>
  </si>
  <si>
    <t xml:space="preserve">    try {</t>
  </si>
  <si>
    <t xml:space="preserve">        $daofactory = DAOFactory::getDAOFactory();</t>
  </si>
  <si>
    <t xml:space="preserve">        $daofactory-&gt;open();</t>
  </si>
  <si>
    <t xml:space="preserve">        $daofactory-&gt;beginTransaction();</t>
  </si>
  <si>
    <t xml:space="preserve">       if ($retorno-&gt;msgcode == ConstantesMensagem::COMANDO_REALIZADO_COM_SUCESSO) {</t>
  </si>
  <si>
    <t xml:space="preserve">            $daofactory-&gt;commit();</t>
  </si>
  <si>
    <t xml:space="preserve">        } else {</t>
  </si>
  <si>
    <t xml:space="preserve">    } catch (Exception $e) {</t>
  </si>
  <si>
    <t xml:space="preserve">        // rollback na transação</t>
  </si>
  <si>
    <t xml:space="preserve">        $daofactory-&gt;rollback();</t>
  </si>
  <si>
    <t xml:space="preserve">    } finally {</t>
  </si>
  <si>
    <t xml:space="preserve">            $daofactory-&gt;close();</t>
  </si>
  <si>
    <t xml:space="preserve">            // faz algo</t>
  </si>
  <si>
    <t xml:space="preserve">        return $this-&gt;carregarPorID($daofactory, $maxid);</t>
  </si>
  <si>
    <t>* PesquisarMaxPKAtivo${Adto}PorStatus() - Usado para invocar a classe de negócio ${classebase}BusinessImpl de forma geral</t>
  </si>
  <si>
    <t xml:space="preserve">        $maxid = $dao-&gt;loadMax${Adto}PK($${dto},$status);</t>
  </si>
  <si>
    <t xml:space="preserve">    public function loadMax${Adto}PK($${dto},$status);</t>
  </si>
  <si>
    <t>* loadMax${Adto}PK() - Carrega um MaxID (pk) para um ${CAMPO} e status</t>
  </si>
  <si>
    <t xml:space="preserve">    public function loadMax${Adto}PK($${dto},$status)</t>
  </si>
  <si>
    <t xml:space="preserve">        $retorno = 0;</t>
  </si>
  <si>
    <t xml:space="preserve">            $tmp = $res-&gt;fetch_assoc();</t>
  </si>
  <si>
    <t xml:space="preserve">        $res = $conexao-&gt;query($sql);</t>
  </si>
  <si>
    <t xml:space="preserve">            $retorno = $tmp['maxid'] == NULL ? 0 : $tmp['maxid'];</t>
  </si>
  <si>
    <t>const SELECT_MAX_PK = 'SELECT MAX(${pk}) AS maxid FROM `'.self::TABELA.'` ';</t>
  </si>
  <si>
    <t>* listarTudo() - Usado para invocar a classe de negócio ${classebase}BusinessImpl de forma geral</t>
  </si>
  <si>
    <t>* para listar todos os registros sem critérios de paginação dos dados.</t>
  </si>
  <si>
    <t>* Use este método com MUITA moderação.</t>
  </si>
  <si>
    <t>    public function listarTudo() {  }</t>
  </si>
  <si>
    <t>    public function pesquisar($dto){ }</t>
  </si>
  <si>
    <t>    public function apagar($dto) { }</t>
  </si>
  <si>
    <t>    public function cancelar($dto) { }</t>
  </si>
  <si>
    <t>import 'package:junta10/br/com/jcv/linker/classes/${lclassebase}/${classebase}VOPost.dart';</t>
  </si>
  <si>
    <r>
      <t>  </t>
    </r>
    <r>
      <rPr>
        <sz val="11"/>
        <color rgb="FF6A9955"/>
        <rFont val="Consolas"/>
        <family val="3"/>
      </rPr>
      <t>// ===============================================</t>
    </r>
  </si>
  <si>
    <r>
      <t>  </t>
    </r>
    <r>
      <rPr>
        <sz val="11"/>
        <color rgb="FF6A9955"/>
        <rFont val="Consolas"/>
        <family val="3"/>
      </rPr>
      <t>// função que cria o widget  base entrada de dados</t>
    </r>
  </si>
  <si>
    <r>
      <t>  </t>
    </r>
    <r>
      <rPr>
        <sz val="11"/>
        <color rgb="FF4EC9B0"/>
        <rFont val="Consolas"/>
        <family val="3"/>
      </rPr>
      <t>Widget</t>
    </r>
    <r>
      <rPr>
        <sz val="11"/>
        <color rgb="FFD4D4D4"/>
        <rFont val="Consolas"/>
        <family val="3"/>
      </rPr>
      <t> </t>
    </r>
    <r>
      <rPr>
        <sz val="11"/>
        <color rgb="FFDCDCAA"/>
        <rFont val="Consolas"/>
        <family val="3"/>
      </rPr>
      <t>criarWidgetEntry</t>
    </r>
    <r>
      <rPr>
        <sz val="11"/>
        <color rgb="FFD4D4D4"/>
        <rFont val="Consolas"/>
        <family val="3"/>
      </rPr>
      <t>({</t>
    </r>
    <r>
      <rPr>
        <sz val="11"/>
        <color rgb="FF4EC9B0"/>
        <rFont val="Consolas"/>
        <family val="3"/>
      </rPr>
      <t>TextEditingController</t>
    </r>
    <r>
      <rPr>
        <sz val="11"/>
        <color rgb="FFD4D4D4"/>
        <rFont val="Consolas"/>
        <family val="3"/>
      </rPr>
      <t> tec, </t>
    </r>
    <r>
      <rPr>
        <sz val="11"/>
        <color rgb="FF4EC9B0"/>
        <rFont val="Consolas"/>
        <family val="3"/>
      </rPr>
      <t>TextInputType</t>
    </r>
    <r>
      <rPr>
        <sz val="11"/>
        <color rgb="FFD4D4D4"/>
        <rFont val="Consolas"/>
        <family val="3"/>
      </rPr>
      <t> tit, </t>
    </r>
    <r>
      <rPr>
        <sz val="11"/>
        <color rgb="FF4EC9B0"/>
        <rFont val="Consolas"/>
        <family val="3"/>
      </rPr>
      <t>String</t>
    </r>
    <r>
      <rPr>
        <sz val="11"/>
        <color rgb="FFD4D4D4"/>
        <rFont val="Consolas"/>
        <family val="3"/>
      </rPr>
      <t> label}) =&gt; </t>
    </r>
    <r>
      <rPr>
        <sz val="11"/>
        <color rgb="FF4EC9B0"/>
        <rFont val="Consolas"/>
        <family val="3"/>
      </rPr>
      <t>Padding</t>
    </r>
    <r>
      <rPr>
        <sz val="11"/>
        <color rgb="FFD4D4D4"/>
        <rFont val="Consolas"/>
        <family val="3"/>
      </rPr>
      <t>(</t>
    </r>
  </si>
  <si>
    <r>
      <t>      padding: </t>
    </r>
    <r>
      <rPr>
        <sz val="11"/>
        <color rgb="FF4EC9B0"/>
        <rFont val="Consolas"/>
        <family val="3"/>
      </rPr>
      <t>EdgeInsets</t>
    </r>
    <r>
      <rPr>
        <sz val="11"/>
        <color rgb="FFD4D4D4"/>
        <rFont val="Consolas"/>
        <family val="3"/>
      </rPr>
      <t>.</t>
    </r>
    <r>
      <rPr>
        <sz val="11"/>
        <color rgb="FFDCDCAA"/>
        <rFont val="Consolas"/>
        <family val="3"/>
      </rPr>
      <t>only</t>
    </r>
    <r>
      <rPr>
        <sz val="11"/>
        <color rgb="FFD4D4D4"/>
        <rFont val="Consolas"/>
        <family val="3"/>
      </rPr>
      <t>(top: </t>
    </r>
    <r>
      <rPr>
        <sz val="11"/>
        <color rgb="FFB5CEA8"/>
        <rFont val="Consolas"/>
        <family val="3"/>
      </rPr>
      <t>8.0</t>
    </r>
    <r>
      <rPr>
        <sz val="11"/>
        <color rgb="FFD4D4D4"/>
        <rFont val="Consolas"/>
        <family val="3"/>
      </rPr>
      <t>),</t>
    </r>
  </si>
  <si>
    <r>
      <t>      child: </t>
    </r>
    <r>
      <rPr>
        <sz val="11"/>
        <color rgb="FF4EC9B0"/>
        <rFont val="Consolas"/>
        <family val="3"/>
      </rPr>
      <t>TextField</t>
    </r>
    <r>
      <rPr>
        <sz val="11"/>
        <color rgb="FFD4D4D4"/>
        <rFont val="Consolas"/>
        <family val="3"/>
      </rPr>
      <t>(</t>
    </r>
  </si>
  <si>
    <t>          controller: tec,</t>
  </si>
  <si>
    <t>          keyboardType: tit,</t>
  </si>
  <si>
    <r>
      <t>          decoration: </t>
    </r>
    <r>
      <rPr>
        <sz val="11"/>
        <color rgb="FF4EC9B0"/>
        <rFont val="Consolas"/>
        <family val="3"/>
      </rPr>
      <t>InputDecoration</t>
    </r>
    <r>
      <rPr>
        <sz val="11"/>
        <color rgb="FFD4D4D4"/>
        <rFont val="Consolas"/>
        <family val="3"/>
      </rPr>
      <t>(</t>
    </r>
  </si>
  <si>
    <t>                labelText: label,</t>
  </si>
  <si>
    <r>
      <t>                labelStyle: </t>
    </r>
    <r>
      <rPr>
        <sz val="11"/>
        <color rgb="FF4EC9B0"/>
        <rFont val="Consolas"/>
        <family val="3"/>
      </rPr>
      <t>TextStyle</t>
    </r>
    <r>
      <rPr>
        <sz val="11"/>
        <color rgb="FFD4D4D4"/>
        <rFont val="Consolas"/>
        <family val="3"/>
      </rPr>
      <t>(color: </t>
    </r>
    <r>
      <rPr>
        <sz val="11"/>
        <color rgb="FF4EC9B0"/>
        <rFont val="Consolas"/>
        <family val="3"/>
      </rPr>
      <t>Colors</t>
    </r>
    <r>
      <rPr>
        <sz val="11"/>
        <color rgb="FFD4D4D4"/>
        <rFont val="Consolas"/>
        <family val="3"/>
      </rPr>
      <t>.black),</t>
    </r>
  </si>
  <si>
    <r>
      <t>                border: </t>
    </r>
    <r>
      <rPr>
        <sz val="11"/>
        <color rgb="FF4EC9B0"/>
        <rFont val="Consolas"/>
        <family val="3"/>
      </rPr>
      <t>OutlineInputBorder</t>
    </r>
    <r>
      <rPr>
        <sz val="11"/>
        <color rgb="FFD4D4D4"/>
        <rFont val="Consolas"/>
        <family val="3"/>
      </rPr>
      <t>()</t>
    </r>
  </si>
  <si>
    <t>            ),</t>
  </si>
  <si>
    <r>
      <t>          style: </t>
    </r>
    <r>
      <rPr>
        <sz val="11"/>
        <color rgb="FF4EC9B0"/>
        <rFont val="Consolas"/>
        <family val="3"/>
      </rPr>
      <t>TextStyle</t>
    </r>
    <r>
      <rPr>
        <sz val="11"/>
        <color rgb="FFD4D4D4"/>
        <rFont val="Consolas"/>
        <family val="3"/>
      </rPr>
      <t>(</t>
    </r>
  </si>
  <si>
    <r>
      <t>            color: </t>
    </r>
    <r>
      <rPr>
        <sz val="11"/>
        <color rgb="FF4EC9B0"/>
        <rFont val="Consolas"/>
        <family val="3"/>
      </rPr>
      <t>Colors</t>
    </r>
    <r>
      <rPr>
        <sz val="11"/>
        <color rgb="FFD4D4D4"/>
        <rFont val="Consolas"/>
        <family val="3"/>
      </rPr>
      <t>.black,</t>
    </r>
  </si>
  <si>
    <r>
      <t>            fontSize: </t>
    </r>
    <r>
      <rPr>
        <sz val="11"/>
        <color rgb="FFB5CEA8"/>
        <rFont val="Consolas"/>
        <family val="3"/>
      </rPr>
      <t>15.0</t>
    </r>
  </si>
  <si>
    <t>        ),</t>
  </si>
  <si>
    <t>      ),</t>
  </si>
  <si>
    <t>    );</t>
  </si>
  <si>
    <t>  </t>
  </si>
  <si>
    <r>
      <t>    _lstCampos${classebase}.</t>
    </r>
    <r>
      <rPr>
        <sz val="11"/>
        <color rgb="FFDCDCAA"/>
        <rFont val="Consolas"/>
        <family val="3"/>
      </rPr>
      <t>add</t>
    </r>
    <r>
      <rPr>
        <sz val="11"/>
        <color rgb="FFD4D4D4"/>
        <rFont val="Consolas"/>
        <family val="3"/>
      </rPr>
      <t>(</t>
    </r>
    <r>
      <rPr>
        <sz val="11"/>
        <color rgb="FFDCDCAA"/>
        <rFont val="Consolas"/>
        <family val="3"/>
      </rPr>
      <t>criarWidgetEntry</t>
    </r>
    <r>
      <rPr>
        <sz val="11"/>
        <color rgb="FFD4D4D4"/>
        <rFont val="Consolas"/>
        <family val="3"/>
      </rPr>
      <t>(tec: tec${dto}, tit: </t>
    </r>
    <r>
      <rPr>
        <sz val="11"/>
        <color rgb="FF4EC9B0"/>
        <rFont val="Consolas"/>
        <family val="3"/>
      </rPr>
      <t>TextInputType</t>
    </r>
    <r>
      <rPr>
        <sz val="11"/>
        <color rgb="FFD4D4D4"/>
        <rFont val="Consolas"/>
        <family val="3"/>
      </rPr>
      <t>.</t>
    </r>
    <r>
      <rPr>
        <sz val="11"/>
        <color rgb="FFDCDCAA"/>
        <rFont val="Consolas"/>
        <family val="3"/>
      </rPr>
      <t>text</t>
    </r>
    <r>
      <rPr>
        <sz val="11"/>
        <color rgb="FFD4D4D4"/>
        <rFont val="Consolas"/>
        <family val="3"/>
      </rPr>
      <t>, label: </t>
    </r>
    <r>
      <rPr>
        <sz val="11"/>
        <color rgb="FFCE9178"/>
        <rFont val="Consolas"/>
        <family val="3"/>
      </rPr>
      <t>"${comentario}"</t>
    </r>
    <r>
      <rPr>
        <sz val="11"/>
        <color rgb="FFD4D4D4"/>
        <rFont val="Consolas"/>
        <family val="3"/>
      </rPr>
      <t>));</t>
    </r>
  </si>
  <si>
    <t xml:space="preserve">    // Criação dos campos que irão permitir a entrada de dados</t>
  </si>
  <si>
    <t>        . ' WHERE ' . DmlSql${classebase}::${campo} . " = '$status'"</t>
  </si>
  <si>
    <t xml:space="preserve">&lt;?php </t>
  </si>
  <si>
    <t>* ${classebase}Helper - Classe de implementação dos métodos de adaptação para a classe de negócio ${classebase}</t>
  </si>
  <si>
    <t>* É uma classe para apoiar, criar ou evitar que na classe de negócio se crie muitos códigos repetidos para obter apenas</t>
  </si>
  <si>
    <t>* uma informação ou objeto.</t>
  </si>
  <si>
    <t>* Todos os métodos DEVEM ser declarados como estáticos</t>
  </si>
  <si>
    <t xml:space="preserve">* @author ${autor} </t>
  </si>
  <si>
    <t>class ${classebase}Helper</t>
  </si>
  <si>
    <t xml:space="preserve">        return $dto;</t>
  </si>
  <si>
    <t xml:space="preserve">        $usbo = new ${classebase}BusinessImpl();</t>
  </si>
  <si>
    <t xml:space="preserve">    </t>
  </si>
  <si>
    <t xml:space="preserve">        $sql = DmlSql${classebase}::SELECT_MAX_PK . ' WHERE ' </t>
  </si>
  <si>
    <t xml:space="preserve">        . DmlSql${classebase}::${campo} . " = $${dto} "</t>
  </si>
  <si>
    <t xml:space="preserve">                Row(</t>
  </si>
  <si>
    <t xml:space="preserve">                  children: &lt;Widget&gt;[</t>
  </si>
  <si>
    <t xml:space="preserve">                    new CommonImageCircle("no-user.png"</t>
  </si>
  <si>
    <t xml:space="preserve">                        ,heightcic: 64</t>
  </si>
  <si>
    <t xml:space="preserve">                        ,widthcic: 64</t>
  </si>
  <si>
    <t xml:space="preserve">                        ,bordercolorcic: Colors.transparent),</t>
  </si>
  <si>
    <t xml:space="preserve">                    SizedBox(width: 8,),</t>
  </si>
  <si>
    <t xml:space="preserve">                    Column(</t>
  </si>
  <si>
    <t xml:space="preserve">                      crossAxisAlignment: CrossAxisAlignment.start,</t>
  </si>
  <si>
    <t xml:space="preserve">                      children: &lt;Widget&gt;[</t>
  </si>
  <si>
    <t xml:space="preserve">                      ],</t>
  </si>
  <si>
    <t xml:space="preserve">                    ),</t>
  </si>
  <si>
    <t xml:space="preserve">                  ],</t>
  </si>
  <si>
    <t xml:space="preserve">                ),</t>
  </si>
  <si>
    <t xml:space="preserve">                        Text(widget._${lclassebase}VO['${dto}'] ,style: TextStyle(fontSize: 14, color: Colors.black)),</t>
  </si>
  <si>
    <t xml:space="preserve">        $usbo = new ${classebase}ServiceImpl();</t>
  </si>
  <si>
    <t xml:space="preserve">       $bo = new ${classebase}BusinessImpl();</t>
  </si>
  <si>
    <t xml:space="preserve">    public static function get${classebase}Service($${lpk}) {</t>
  </si>
  <si>
    <t xml:space="preserve">        $dto = $usbo-&gt;pesquisarPorID($${lpk});</t>
  </si>
  <si>
    <t xml:space="preserve">    public static function get${classebase}Business($daofactory, $${lpk}) {</t>
  </si>
  <si>
    <t xml:space="preserve">        $dto = $usbo-&gt;carregarPorID($daofactory, $${lpk});</t>
  </si>
  <si>
    <t>        . ' WHERE ' . DmlSql${classebase}::USUA_ID . " = $usuaid "</t>
  </si>
  <si>
    <t xml:space="preserve"> **/    </t>
  </si>
  <si>
    <t xml:space="preserve">            return true;</t>
  </si>
  <si>
    <t xml:space="preserve">        return false;</t>
  </si>
  <si>
    <t xml:space="preserve"> * is${classebase}Valido() - Verifica o ${classebase} é valido com base na PK</t>
  </si>
  <si>
    <t xml:space="preserve">    public static function is${classebase}Valido($daofactory, $${lpk}) {</t>
  </si>
  <si>
    <t xml:space="preserve">        $${lmnemonico}dto = self::get${classebase}Business($daofactory, $${lpk});</t>
  </si>
  <si>
    <t xml:space="preserve">        if($${lmnemonico}dto == NULL || $${lmnemonico}dto-&gt;id == NULL) {</t>
  </si>
  <si>
    <t xml:space="preserve">        . " AND " . DmlSql${classebase}::${mnemonico}_IN_STATUS . " = '$status'";</t>
  </si>
  <si>
    <t>* ${classebase}Constantes - Classe de constantes estáticas com definições para uso na classe de negócio ${classebase}</t>
  </si>
  <si>
    <t>class ${classebase}Constantes</t>
  </si>
  <si>
    <t xml:space="preserve">   const COL_${campo} = '${campo}';</t>
  </si>
  <si>
    <t xml:space="preserve">   /* definição para colunas do banco de dados */</t>
  </si>
  <si>
    <t xml:space="preserve">   /* definição para campos do ${classebase}DTO */</t>
  </si>
  <si>
    <t xml:space="preserve">   const DTO_${Udto} = '${dto}';</t>
  </si>
  <si>
    <r>
      <t>import</t>
    </r>
    <r>
      <rPr>
        <sz val="11"/>
        <color rgb="FFD4D4D4"/>
        <rFont val="Consolas"/>
        <family val="3"/>
      </rPr>
      <t> </t>
    </r>
    <r>
      <rPr>
        <sz val="11"/>
        <color rgb="FFCE9178"/>
        <rFont val="Consolas"/>
        <family val="3"/>
      </rPr>
      <t>'package:junta10/br/com/jcv/linker/classes/ui/common/common-flatbutton-function.dart'</t>
    </r>
    <r>
      <rPr>
        <sz val="11"/>
        <color rgb="FFD4D4D4"/>
        <rFont val="Consolas"/>
        <family val="3"/>
      </rPr>
      <t>;</t>
    </r>
  </si>
  <si>
    <r>
      <t>import</t>
    </r>
    <r>
      <rPr>
        <sz val="11"/>
        <color rgb="FFD4D4D4"/>
        <rFont val="Consolas"/>
        <family val="3"/>
      </rPr>
      <t> </t>
    </r>
    <r>
      <rPr>
        <sz val="11"/>
        <color rgb="FFCE9178"/>
        <rFont val="Consolas"/>
        <family val="3"/>
      </rPr>
      <t>'package:junta10/br/com/jcv/linker/classes/ui/common/common-image-circle.dart'</t>
    </r>
    <r>
      <rPr>
        <sz val="11"/>
        <color rgb="FFD4D4D4"/>
        <rFont val="Consolas"/>
        <family val="3"/>
      </rPr>
      <t>;</t>
    </r>
  </si>
  <si>
    <r>
      <t xml:space="preserve">   bool</t>
    </r>
    <r>
      <rPr>
        <sz val="11"/>
        <color rgb="FFD4D4D4"/>
        <rFont val="Consolas"/>
        <family val="3"/>
      </rPr>
      <t> _isVisibleActionBtn = </t>
    </r>
    <r>
      <rPr>
        <sz val="11"/>
        <color rgb="FF569CD6"/>
        <rFont val="Consolas"/>
        <family val="3"/>
      </rPr>
      <t>false</t>
    </r>
    <r>
      <rPr>
        <sz val="11"/>
        <color rgb="FFD4D4D4"/>
        <rFont val="Consolas"/>
        <family val="3"/>
      </rPr>
      <t>;</t>
    </r>
  </si>
  <si>
    <r>
      <t>    </t>
    </r>
    <r>
      <rPr>
        <sz val="11"/>
        <color rgb="FF6A9955"/>
        <rFont val="Consolas"/>
        <family val="3"/>
      </rPr>
      <t>// Toolbar com botões de ação</t>
    </r>
  </si>
  <si>
    <r>
      <t>    </t>
    </r>
    <r>
      <rPr>
        <sz val="11"/>
        <color rgb="FF4EC9B0"/>
        <rFont val="Consolas"/>
        <family val="3"/>
      </rPr>
      <t>Widget</t>
    </r>
    <r>
      <rPr>
        <sz val="11"/>
        <color rgb="FFD4D4D4"/>
        <rFont val="Consolas"/>
        <family val="3"/>
      </rPr>
      <t> _widActionBtn = </t>
    </r>
    <r>
      <rPr>
        <sz val="11"/>
        <color rgb="FF4EC9B0"/>
        <rFont val="Consolas"/>
        <family val="3"/>
      </rPr>
      <t>Row</t>
    </r>
    <r>
      <rPr>
        <sz val="11"/>
        <color rgb="FFD4D4D4"/>
        <rFont val="Consolas"/>
        <family val="3"/>
      </rPr>
      <t>(</t>
    </r>
  </si>
  <si>
    <r>
      <t>      mainAxisAlignment: </t>
    </r>
    <r>
      <rPr>
        <sz val="11"/>
        <color rgb="FF4EC9B0"/>
        <rFont val="Consolas"/>
        <family val="3"/>
      </rPr>
      <t>MainAxisAlignment</t>
    </r>
    <r>
      <rPr>
        <sz val="11"/>
        <color rgb="FFD4D4D4"/>
        <rFont val="Consolas"/>
        <family val="3"/>
      </rPr>
      <t>.spaceBetween,</t>
    </r>
  </si>
  <si>
    <r>
      <t>      children: &lt;</t>
    </r>
    <r>
      <rPr>
        <sz val="11"/>
        <color rgb="FF4EC9B0"/>
        <rFont val="Consolas"/>
        <family val="3"/>
      </rPr>
      <t>Widget</t>
    </r>
    <r>
      <rPr>
        <sz val="11"/>
        <color rgb="FFD4D4D4"/>
        <rFont val="Consolas"/>
        <family val="3"/>
      </rPr>
      <t>&gt;[</t>
    </r>
  </si>
  <si>
    <r>
      <t>        </t>
    </r>
    <r>
      <rPr>
        <sz val="11"/>
        <color rgb="FF4EC9B0"/>
        <rFont val="Consolas"/>
        <family val="3"/>
      </rPr>
      <t>CommonFlatButtonFunction</t>
    </r>
    <r>
      <rPr>
        <sz val="11"/>
        <color rgb="FFD4D4D4"/>
        <rFont val="Consolas"/>
        <family val="3"/>
      </rPr>
      <t>(</t>
    </r>
    <r>
      <rPr>
        <sz val="11"/>
        <color rgb="FF4EC9B0"/>
        <rFont val="Consolas"/>
        <family val="3"/>
      </rPr>
      <t>Icon</t>
    </r>
    <r>
      <rPr>
        <sz val="11"/>
        <color rgb="FFD4D4D4"/>
        <rFont val="Consolas"/>
        <family val="3"/>
      </rPr>
      <t>(</t>
    </r>
    <r>
      <rPr>
        <sz val="11"/>
        <color rgb="FF4EC9B0"/>
        <rFont val="Consolas"/>
        <family val="3"/>
      </rPr>
      <t>Icons</t>
    </r>
    <r>
      <rPr>
        <sz val="11"/>
        <color rgb="FFD4D4D4"/>
        <rFont val="Consolas"/>
        <family val="3"/>
      </rPr>
      <t>.edit, color: </t>
    </r>
    <r>
      <rPr>
        <sz val="11"/>
        <color rgb="FF4EC9B0"/>
        <rFont val="Consolas"/>
        <family val="3"/>
      </rPr>
      <t>Colors</t>
    </r>
    <r>
      <rPr>
        <sz val="11"/>
        <color rgb="FFD4D4D4"/>
        <rFont val="Consolas"/>
        <family val="3"/>
      </rPr>
      <t>.white), </t>
    </r>
    <r>
      <rPr>
        <sz val="11"/>
        <color rgb="FFCE9178"/>
        <rFont val="Consolas"/>
        <family val="3"/>
      </rPr>
      <t>"Editar"</t>
    </r>
    <r>
      <rPr>
        <sz val="11"/>
        <color rgb="FFD4D4D4"/>
        <rFont val="Consolas"/>
        <family val="3"/>
      </rPr>
      <t>, (){}),</t>
    </r>
  </si>
  <si>
    <r>
      <t>        </t>
    </r>
    <r>
      <rPr>
        <sz val="11"/>
        <color rgb="FF4EC9B0"/>
        <rFont val="Consolas"/>
        <family val="3"/>
      </rPr>
      <t>CommonFlatButtonFunction</t>
    </r>
    <r>
      <rPr>
        <sz val="11"/>
        <color rgb="FFD4D4D4"/>
        <rFont val="Consolas"/>
        <family val="3"/>
      </rPr>
      <t>(</t>
    </r>
    <r>
      <rPr>
        <sz val="11"/>
        <color rgb="FF4EC9B0"/>
        <rFont val="Consolas"/>
        <family val="3"/>
      </rPr>
      <t>Icon</t>
    </r>
    <r>
      <rPr>
        <sz val="11"/>
        <color rgb="FFD4D4D4"/>
        <rFont val="Consolas"/>
        <family val="3"/>
      </rPr>
      <t>(</t>
    </r>
    <r>
      <rPr>
        <sz val="11"/>
        <color rgb="FF4EC9B0"/>
        <rFont val="Consolas"/>
        <family val="3"/>
      </rPr>
      <t>Icons</t>
    </r>
    <r>
      <rPr>
        <sz val="11"/>
        <color rgb="FFD4D4D4"/>
        <rFont val="Consolas"/>
        <family val="3"/>
      </rPr>
      <t>.cancel, color: </t>
    </r>
    <r>
      <rPr>
        <sz val="11"/>
        <color rgb="FF4EC9B0"/>
        <rFont val="Consolas"/>
        <family val="3"/>
      </rPr>
      <t>Colors</t>
    </r>
    <r>
      <rPr>
        <sz val="11"/>
        <color rgb="FFD4D4D4"/>
        <rFont val="Consolas"/>
        <family val="3"/>
      </rPr>
      <t>.white), </t>
    </r>
    <r>
      <rPr>
        <sz val="11"/>
        <color rgb="FFCE9178"/>
        <rFont val="Consolas"/>
        <family val="3"/>
      </rPr>
      <t>"Apagar"</t>
    </r>
    <r>
      <rPr>
        <sz val="11"/>
        <color rgb="FFD4D4D4"/>
        <rFont val="Consolas"/>
        <family val="3"/>
      </rPr>
      <t>, (){}),</t>
    </r>
  </si>
  <si>
    <t>      ],</t>
  </si>
  <si>
    <t xml:space="preserve">    return Container(</t>
  </si>
  <si>
    <t xml:space="preserve">        padding: EdgeInsets.symmetric(horizontal: 4, vertical: 2),</t>
  </si>
  <si>
    <t xml:space="preserve">            padding: EdgeInsets.symmetric(horizontal:8.0, vertical: 10.0),</t>
  </si>
  <si>
    <t xml:space="preserve">                        Text("Titulo principal" ,</t>
  </si>
  <si>
    <t xml:space="preserve">                            style: TextStyle(fontStyle: FontStyle.italic, color: Colors.black45)),</t>
  </si>
  <si>
    <t xml:space="preserve">                            style: TextStyle(fontSize: 16, color: Colors.red)),</t>
  </si>
  <si>
    <t xml:space="preserve">                    IconButton(icon: Icon(Icons.arrow_drop_down), onPressed: (){</t>
  </si>
  <si>
    <t xml:space="preserve">                      setState(() {</t>
  </si>
  <si>
    <t xml:space="preserve">                         _isVisibleActionBtn = !_isVisibleActionBtn;</t>
  </si>
  <si>
    <t xml:space="preserve">                      });</t>
  </si>
  <si>
    <t xml:space="preserve">                    },)</t>
  </si>
  <si>
    <t xml:space="preserve">                SizedBox(height: 10,),</t>
  </si>
  <si>
    <t xml:space="preserve">                _isVisibleActionBtn ? _widActionBtn : Container(height: 0, width: 0,)</t>
  </si>
  <si>
    <t xml:space="preserve">                        Text(widget._${lclassebase}VO['statusdesc'].toUpperCase(),</t>
  </si>
  <si>
    <t xml:space="preserve">   const LEN_${Udto} = ${len};</t>
  </si>
  <si>
    <t xml:space="preserve">   /* definição de tamanhos para os campos */</t>
  </si>
  <si>
    <t xml:space="preserve">   const DESC_${Udto} = '${txt}';</t>
  </si>
  <si>
    <r>
      <t>require_once</t>
    </r>
    <r>
      <rPr>
        <sz val="11"/>
        <color rgb="FFD4D4D4"/>
        <rFont val="Consolas"/>
        <family val="3"/>
      </rPr>
      <t xml:space="preserve"> </t>
    </r>
    <r>
      <rPr>
        <sz val="11"/>
        <color rgb="FFCE9178"/>
        <rFont val="Consolas"/>
        <family val="3"/>
      </rPr>
      <t>'${classebase}Constantes.php'</t>
    </r>
    <r>
      <rPr>
        <sz val="11"/>
        <color rgb="FFD4D4D4"/>
        <rFont val="Consolas"/>
        <family val="3"/>
      </rPr>
      <t>;</t>
    </r>
  </si>
  <si>
    <t xml:space="preserve">    // Efetua validações no campo $dto-&gt;${dto} com tamanho ${classebase}Constantes::LEN_${Udto}</t>
  </si>
  <si>
    <t xml:space="preserve">    $ok = $this-&gt;validarTamanhoCampo($dto-&gt;${dto}, ${classebase}Constantes::LEN_${Udto}, ${classebase}Constantes::DESC_${Udto});</t>
  </si>
  <si>
    <r>
      <t>$dto</t>
    </r>
    <r>
      <rPr>
        <sz val="11"/>
        <color rgb="FFD4D4D4"/>
        <rFont val="Consolas"/>
        <family val="3"/>
      </rPr>
      <t>-&gt;${dto} = Util::getNow();</t>
    </r>
  </si>
  <si>
    <t xml:space="preserve">    public function pesquisarMaxPKAtivo${Adto}PorStatus($${dto},$status);</t>
  </si>
  <si>
    <t>public function pesquisarMaxPKAtivo${Adto}PorStatus($${dto},$status)</t>
  </si>
  <si>
    <t xml:space="preserve">       $retorno = $bo-&gt;pesquisarMaxPKAtivo${Adto}PorStatus($daofactory, $${dto},$status);</t>
  </si>
  <si>
    <t xml:space="preserve">    public function pesquisarMaxPKAtivo${Adto}PorStatus($daofactory, $${dto}, $status);</t>
  </si>
  <si>
    <t>* pesquisarMaxPKAtivo${Adto}PorStatus() - Carrega apenas um registro com base no ${dto}  e status para buscar a MAIOR PK</t>
  </si>
  <si>
    <t xml:space="preserve">    public function pesquisarMaxPKAtivo${Adto}PorStatus($daofactory, $${dto},$status)</t>
  </si>
  <si>
    <t>require_once '${classebase}ServiceImpl.php';</t>
  </si>
  <si>
    <r>
      <t>echo json_encode</t>
    </r>
    <r>
      <rPr>
        <sz val="11"/>
        <color rgb="FFD4D4D4"/>
        <rFont val="Consolas"/>
        <family val="3"/>
      </rPr>
      <t>(</t>
    </r>
    <r>
      <rPr>
        <sz val="11"/>
        <color rgb="FF9CDCFE"/>
        <rFont val="Consolas"/>
        <family val="3"/>
      </rPr>
      <t>$retorno</t>
    </r>
    <r>
      <rPr>
        <sz val="11"/>
        <color rgb="FFD4D4D4"/>
        <rFont val="Consolas"/>
        <family val="3"/>
      </rPr>
      <t>);</t>
    </r>
  </si>
  <si>
    <r>
      <t>        </t>
    </r>
    <r>
      <rPr>
        <sz val="11"/>
        <color rgb="FFC586C0"/>
        <rFont val="Consolas"/>
        <family val="3"/>
      </rPr>
      <t>if</t>
    </r>
    <r>
      <rPr>
        <sz val="11"/>
        <color rgb="FFD4D4D4"/>
        <rFont val="Consolas"/>
        <family val="3"/>
      </rPr>
      <t xml:space="preserve"> (</t>
    </r>
    <r>
      <rPr>
        <sz val="11"/>
        <color rgb="FF9CDCFE"/>
        <rFont val="Consolas"/>
        <family val="3"/>
      </rPr>
      <t>$res-&gt;num_rows &gt; 0</t>
    </r>
    <r>
      <rPr>
        <sz val="11"/>
        <color rgb="FFD4D4D4"/>
        <rFont val="Consolas"/>
        <family val="3"/>
      </rPr>
      <t>){</t>
    </r>
  </si>
  <si>
    <r>
      <rPr>
        <sz val="11"/>
        <color rgb="FF9CDCFE"/>
        <rFont val="Consolas"/>
        <family val="3"/>
      </rPr>
      <t xml:space="preserve">        $retorno</t>
    </r>
    <r>
      <rPr>
        <sz val="11"/>
        <color rgb="FFD4D4D4"/>
        <rFont val="Consolas"/>
        <family val="3"/>
      </rPr>
      <t>-&gt;</t>
    </r>
    <r>
      <rPr>
        <sz val="11"/>
        <color rgb="FF9CDCFE"/>
        <rFont val="Consolas"/>
        <family val="3"/>
      </rPr>
      <t>msgcode</t>
    </r>
    <r>
      <rPr>
        <sz val="11"/>
        <color rgb="FFD4D4D4"/>
        <rFont val="Consolas"/>
        <family val="3"/>
      </rPr>
      <t> = </t>
    </r>
    <r>
      <rPr>
        <sz val="11"/>
        <color rgb="FF4EC9B0"/>
        <rFont val="Consolas"/>
        <family val="3"/>
      </rPr>
      <t>ConstantesMensagem</t>
    </r>
    <r>
      <rPr>
        <sz val="11"/>
        <color rgb="FFD4D4D4"/>
        <rFont val="Consolas"/>
        <family val="3"/>
      </rPr>
      <t>::COMANDO_REALIZADO_COM_SUCESSO;</t>
    </r>
  </si>
  <si>
    <r>
      <rPr>
        <sz val="11"/>
        <color rgb="FF9CDCFE"/>
        <rFont val="Consolas"/>
        <family val="3"/>
      </rPr>
      <t xml:space="preserve">        $retorno</t>
    </r>
    <r>
      <rPr>
        <sz val="11"/>
        <color rgb="FFD4D4D4"/>
        <rFont val="Consolas"/>
        <family val="3"/>
      </rPr>
      <t>-&gt;</t>
    </r>
    <r>
      <rPr>
        <sz val="11"/>
        <color rgb="FF9CDCFE"/>
        <rFont val="Consolas"/>
        <family val="3"/>
      </rPr>
      <t>msgcodeString</t>
    </r>
    <r>
      <rPr>
        <sz val="11"/>
        <color rgb="FFD4D4D4"/>
        <rFont val="Consolas"/>
        <family val="3"/>
      </rPr>
      <t> = </t>
    </r>
    <r>
      <rPr>
        <sz val="11"/>
        <color rgb="FF4EC9B0"/>
        <rFont val="Consolas"/>
        <family val="3"/>
      </rPr>
      <t>MensagemCache</t>
    </r>
    <r>
      <rPr>
        <sz val="11"/>
        <color rgb="FFD4D4D4"/>
        <rFont val="Consolas"/>
        <family val="3"/>
      </rPr>
      <t>::</t>
    </r>
    <r>
      <rPr>
        <sz val="11"/>
        <color rgb="FFDCDCAA"/>
        <rFont val="Consolas"/>
        <family val="3"/>
      </rPr>
      <t>getInstance</t>
    </r>
    <r>
      <rPr>
        <sz val="11"/>
        <color rgb="FFD4D4D4"/>
        <rFont val="Consolas"/>
        <family val="3"/>
      </rPr>
      <t>()-&gt;</t>
    </r>
    <r>
      <rPr>
        <sz val="11"/>
        <color rgb="FFDCDCAA"/>
        <rFont val="Consolas"/>
        <family val="3"/>
      </rPr>
      <t>getMensagem</t>
    </r>
    <r>
      <rPr>
        <sz val="11"/>
        <color rgb="FFD4D4D4"/>
        <rFont val="Consolas"/>
        <family val="3"/>
      </rPr>
      <t>(</t>
    </r>
    <r>
      <rPr>
        <sz val="11"/>
        <color rgb="FF9CDCFE"/>
        <rFont val="Consolas"/>
        <family val="3"/>
      </rPr>
      <t>$retorno</t>
    </r>
    <r>
      <rPr>
        <sz val="11"/>
        <color rgb="FFD4D4D4"/>
        <rFont val="Consolas"/>
        <family val="3"/>
      </rPr>
      <t>-&gt;</t>
    </r>
    <r>
      <rPr>
        <sz val="11"/>
        <color rgb="FF9CDCFE"/>
        <rFont val="Consolas"/>
        <family val="3"/>
      </rPr>
      <t>msgcode</t>
    </r>
    <r>
      <rPr>
        <sz val="11"/>
        <color rgb="FFD4D4D4"/>
        <rFont val="Consolas"/>
        <family val="3"/>
      </rPr>
      <t>);</t>
    </r>
  </si>
  <si>
    <t>require_once '../mensagem/ConstantesMensagem.php';</t>
  </si>
  <si>
    <t>require_once '../mensagem/MensagemCache.php';</t>
  </si>
  <si>
    <r>
      <t>            </t>
    </r>
    <r>
      <rPr>
        <sz val="11"/>
        <color rgb="FFC586C0"/>
        <rFont val="Consolas"/>
        <family val="3"/>
      </rPr>
      <t>return</t>
    </r>
    <r>
      <rPr>
        <sz val="11"/>
        <color rgb="FFD4D4D4"/>
        <rFont val="Consolas"/>
        <family val="3"/>
      </rPr>
      <t> </t>
    </r>
    <r>
      <rPr>
        <sz val="11"/>
        <color rgb="FF569CD6"/>
        <rFont val="Consolas"/>
        <family val="3"/>
      </rPr>
      <t>NULL</t>
    </r>
    <r>
      <rPr>
        <sz val="11"/>
        <color rgb="FFD4D4D4"/>
        <rFont val="Consolas"/>
        <family val="3"/>
      </rPr>
      <t>;</t>
    </r>
  </si>
  <si>
    <r>
      <t xml:space="preserve">    response = </t>
    </r>
    <r>
      <rPr>
        <b/>
        <sz val="10"/>
        <color rgb="FF000080"/>
        <rFont val="Courier New"/>
        <family val="3"/>
      </rPr>
      <t xml:space="preserve">await </t>
    </r>
    <r>
      <rPr>
        <sz val="10"/>
        <color rgb="FF000000"/>
        <rFont val="Courier New"/>
        <family val="3"/>
      </rPr>
      <t>http.get(Uri.parse(_url));</t>
    </r>
  </si>
  <si>
    <t xml:space="preserve">  return http.post(Uri.parse(url), body: body).then((http.Response response) {</t>
  </si>
  <si>
    <r>
      <t>        </t>
    </r>
    <r>
      <rPr>
        <sz val="11"/>
        <color rgb="FFC586C0"/>
        <rFont val="Consolas"/>
        <family val="3"/>
      </rPr>
      <t>if</t>
    </r>
    <r>
      <rPr>
        <sz val="11"/>
        <color rgb="FFD4D4D4"/>
        <rFont val="Consolas"/>
        <family val="3"/>
      </rPr>
      <t>(is_null(</t>
    </r>
    <r>
      <rPr>
        <sz val="11"/>
        <color rgb="FF9CDCFE"/>
        <rFont val="Consolas"/>
        <family val="3"/>
      </rPr>
      <t>$resultset)</t>
    </r>
    <r>
      <rPr>
        <sz val="11"/>
        <color rgb="FFD4D4D4"/>
        <rFont val="Consolas"/>
        <family val="3"/>
      </rPr>
      <t>){</t>
    </r>
  </si>
  <si>
    <r>
      <t>require_once</t>
    </r>
    <r>
      <rPr>
        <sz val="11"/>
        <color rgb="FFD4D4D4"/>
        <rFont val="Consolas"/>
        <family val="3"/>
      </rPr>
      <t xml:space="preserve"> </t>
    </r>
    <r>
      <rPr>
        <sz val="11"/>
        <color rgb="FFCE9178"/>
        <rFont val="Consolas"/>
        <family val="3"/>
      </rPr>
      <t>'${classebase}Helper.php'</t>
    </r>
    <r>
      <rPr>
        <sz val="11"/>
        <color rgb="FFD4D4D4"/>
        <rFont val="Consolas"/>
        <family val="3"/>
      </rPr>
      <t>;</t>
    </r>
  </si>
  <si>
    <t>public static function criarNotificacaoAdmin($daofactory, $msgOrigem, $parametros, $icone)</t>
  </si>
  <si>
    <t xml:space="preserve">    // Envia uma notificação ao ADMIN se chave estiver ligada</t>
  </si>
  <si>
    <t xml:space="preserve">    if (VariavelCache::getInstance()-&gt;getVariavel(ConstantesVariavel::CHAVE_NOTIFICACAO_ADMIN_NOVO_USUARIO) == ConstantesVariavel::ATIVADO){</t>
  </si>
  <si>
    <t xml:space="preserve">        $usuaid_admin = (int) VariavelCache::getInstance()-&gt;getVariavel(ConstantesVariavel::NOTIFICACAO_ADMIN_USUA_ID);</t>
  </si>
  <si>
    <t xml:space="preserve">        $msg =  MensagemCache::getInstance()-&gt;getMensagemParametrizada($msgOrigem,$parametros);</t>
  </si>
  <si>
    <t xml:space="preserve">        self::criarUsuarioNotificacaoPorBusiness($daofactory, $usuaid_admin, $msg, $icone);</t>
  </si>
  <si>
    <r>
      <t>require_once</t>
    </r>
    <r>
      <rPr>
        <sz val="11"/>
        <color rgb="FFD4D4D4"/>
        <rFont val="Consolas"/>
        <family val="3"/>
      </rPr>
      <t> </t>
    </r>
    <r>
      <rPr>
        <sz val="11"/>
        <color rgb="FFCE9178"/>
        <rFont val="Consolas"/>
        <family val="3"/>
      </rPr>
      <t>'../variavel/VariavelCache.php'</t>
    </r>
    <r>
      <rPr>
        <sz val="11"/>
        <color rgb="FFD4D4D4"/>
        <rFont val="Consolas"/>
        <family val="3"/>
      </rPr>
      <t>;</t>
    </r>
  </si>
  <si>
    <r>
      <t>require_once</t>
    </r>
    <r>
      <rPr>
        <sz val="11"/>
        <color rgb="FFD4D4D4"/>
        <rFont val="Consolas"/>
        <family val="3"/>
      </rPr>
      <t> </t>
    </r>
    <r>
      <rPr>
        <sz val="11"/>
        <color rgb="FFCE9178"/>
        <rFont val="Consolas"/>
        <family val="3"/>
      </rPr>
      <t>'../variavel/ConstantesVariavel.php'</t>
    </r>
    <r>
      <rPr>
        <sz val="11"/>
        <color rgb="FFD4D4D4"/>
        <rFont val="Consolas"/>
        <family val="3"/>
      </rPr>
      <t>;</t>
    </r>
  </si>
  <si>
    <r>
      <t>require_once</t>
    </r>
    <r>
      <rPr>
        <sz val="11"/>
        <color rgb="FFD4D4D4"/>
        <rFont val="Consolas"/>
        <family val="3"/>
      </rPr>
      <t> </t>
    </r>
    <r>
      <rPr>
        <sz val="11"/>
        <color rgb="FFCE9178"/>
        <rFont val="Consolas"/>
        <family val="3"/>
      </rPr>
      <t>'../mensagem/MensagemCache.php'</t>
    </r>
    <r>
      <rPr>
        <sz val="11"/>
        <color rgb="FFD4D4D4"/>
        <rFont val="Consolas"/>
        <family val="3"/>
      </rPr>
      <t>;</t>
    </r>
  </si>
  <si>
    <t>* criarNotificacaoAdmin - Ajuda para publicar uma notificação ao usuário Admin</t>
  </si>
  <si>
    <t>* @param $msgOrigem</t>
  </si>
  <si>
    <t>* @param $parametros</t>
  </si>
  <si>
    <t>* @param $icone</t>
  </si>
  <si>
    <t>`CCRP_ID` int(11) NOT NULL AUTO_INCREMENT COMMENT 'ID Resgate Cashback',</t>
  </si>
  <si>
    <t>`CACA_ID` int(11) NOT NULL COMMENT 'ID Campanha x Cashback',</t>
  </si>
  <si>
    <t>`USUA_ID` int(11) NOT NULL COMMENT 'ID do usuário solicitante',</t>
  </si>
  <si>
    <t>`CCRP_IN_TIPO_CHAVE_PIX` varchar(1) NOT NULL DEFAULT '0' COMMENT 'Tipo da Chave PIX',</t>
  </si>
  <si>
    <t>`CCRP_TX_CHAVE_PIX` varchar(100) NOT NULL COMMENT 'Chave PIX',</t>
  </si>
  <si>
    <t>`CCRP_VL_RESGATE` DECIMAL(11,2) NOT NULL DEFAULT 0 COMMENT 'Valor Pretendido a Resgatar',</t>
  </si>
  <si>
    <t>`CCRP_TX_AUTENT_BCO` varchar(200) DEFAULT NULL COMMENT 'Autenticação do Banco',</t>
  </si>
  <si>
    <t>`CCRP_IN_ESTAGIO_RT` varchar(1) NOT NULL DEFAULT '0' COMMENT 'Estágio Real Time',</t>
  </si>
  <si>
    <t>`CCRP_DT_ESTAGIO_ANALISE` timestamp NULL COMMENT 'Data Registro Estágio Análise',</t>
  </si>
  <si>
    <t>`CCRP_DT_ESTAGIO_FINANCEIRO` timestamp NULL COMMENT 'Data Registro Estágio Financeiro',</t>
  </si>
  <si>
    <t>`CCRP_DT_ESTAGIO_ERRO` timestamp NULL COMMENT 'Data Registro Estágio Erro',</t>
  </si>
  <si>
    <t>`CCRP_DT_ESTAGIO_TRANSF_BCO` timestamp NULL COMMENT 'Data Registro Estágio Transferido Bco',</t>
  </si>
  <si>
    <t>`CCRP_TX_LIVRE_ESTAGIO_RT` varchar(2000) DEFAULT NULL COMMENT 'Texto Livre do Estagio RT',</t>
  </si>
  <si>
    <t>NUMERIC</t>
  </si>
  <si>
    <t>idCampanhaCashback</t>
  </si>
  <si>
    <t>idUsuarioSolicitante</t>
  </si>
  <si>
    <t>tipoChavePix</t>
  </si>
  <si>
    <t>chavePix</t>
  </si>
  <si>
    <t>valorResgate</t>
  </si>
  <si>
    <t>autenticacaoBco</t>
  </si>
  <si>
    <t>estagioRealTime</t>
  </si>
  <si>
    <t>dtEstagioAnalise</t>
  </si>
  <si>
    <t>dtEstagioFinanceiro</t>
  </si>
  <si>
    <t>dtEstagioErro</t>
  </si>
  <si>
    <t>dtEstagioTranfBco</t>
  </si>
  <si>
    <t>txtLivreEstagioRT</t>
  </si>
  <si>
    <t>CAMPANHA_CASHBACK_RESGATE_PIX</t>
  </si>
  <si>
    <t>CampanhaCashbackResgatePix</t>
  </si>
  <si>
    <t>CCRP</t>
  </si>
  <si>
    <t>Classe de negócio com métodos para apoiar a integridade de informações sobre a movimentação de resgate via PIX gerenciado pela plataforma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</si>
</sst>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sz val="11"/>
      <color rgb="FFD4D4D4"/>
      <name val="Consolas"/>
      <family val="3"/>
    </font>
    <font>
      <sz val="11"/>
      <color rgb="FFCE9178"/>
      <name val="Consolas"/>
      <family val="3"/>
    </font>
    <font>
      <sz val="11"/>
      <color rgb="FF569CD6"/>
      <name val="Consolas"/>
      <family val="3"/>
    </font>
    <font>
      <sz val="11"/>
      <color rgb="FFB5CEA8"/>
      <name val="Consolas"/>
      <family val="3"/>
    </font>
    <font>
      <sz val="11"/>
      <color rgb="FFDCDCAA"/>
      <name val="Consolas"/>
      <family val="3"/>
    </font>
    <font>
      <sz val="11"/>
      <color rgb="FF6A9955"/>
      <name val="Consolas"/>
      <family val="3"/>
    </font>
    <font>
      <sz val="11"/>
      <color rgb="FFC586C0"/>
      <name val="Consolas"/>
      <family val="3"/>
    </font>
    <font>
      <sz val="11"/>
      <color rgb="FF4EC9B0"/>
      <name val="Consolas"/>
      <family val="3"/>
    </font>
    <font>
      <sz val="11"/>
      <color rgb="FF9CDCFE"/>
      <name val="Consolas"/>
      <family val="3"/>
    </font>
    <font>
      <b/>
      <sz val="11"/>
      <color theme="0"/>
      <name val="Calibri"/>
      <family val="2"/>
      <scheme val="minor"/>
    </font>
    <font>
      <sz val="9"/>
      <color rgb="FF6E6E70"/>
      <name val="Consolas"/>
      <family val="3"/>
    </font>
    <font>
      <sz val="10"/>
      <color rgb="FF000000"/>
      <name val="Courier New"/>
      <family val="3"/>
    </font>
    <font>
      <b/>
      <sz val="10"/>
      <color rgb="FF660E7A"/>
      <name val="Courier New"/>
      <family val="3"/>
    </font>
    <font>
      <b/>
      <sz val="10"/>
      <color rgb="FF000080"/>
      <name val="Courier New"/>
      <family val="3"/>
    </font>
    <font>
      <b/>
      <sz val="10"/>
      <color rgb="FF008000"/>
      <name val="Courier New"/>
      <family val="3"/>
    </font>
    <font>
      <sz val="10"/>
      <color rgb="FF808000"/>
      <name val="Courier New"/>
      <family val="3"/>
    </font>
    <font>
      <sz val="10"/>
      <color rgb="FF2196F3"/>
      <name val="Courier New"/>
      <family val="3"/>
    </font>
    <font>
      <sz val="10"/>
      <color rgb="FF0000FF"/>
      <name val="Courier New"/>
      <family val="3"/>
    </font>
    <font>
      <i/>
      <sz val="10"/>
      <color rgb="FF808080"/>
      <name val="Courier New"/>
      <family val="3"/>
    </font>
    <font>
      <i/>
      <sz val="10"/>
      <color rgb="FF660E7A"/>
      <name val="Courier New"/>
      <family val="3"/>
    </font>
    <font>
      <i/>
      <sz val="10"/>
      <color rgb="FF000000"/>
      <name val="Courier New"/>
      <family val="3"/>
    </font>
    <font>
      <sz val="11"/>
      <color theme="1"/>
      <name val="Consolas"/>
      <family val="3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1E1E1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5F5F7"/>
        <bgColor indexed="64"/>
      </patternFill>
    </fill>
    <fill>
      <patternFill patternType="solid">
        <fgColor rgb="FFFFFFF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0" fillId="2" borderId="0" xfId="0" applyFill="1" applyAlignment="1">
      <alignment vertic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3" borderId="0" xfId="0" applyFill="1"/>
    <xf numFmtId="0" fontId="9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2" fillId="0" borderId="0" xfId="0" quotePrefix="1" applyFont="1" applyAlignment="1">
      <alignment vertical="center"/>
    </xf>
    <xf numFmtId="0" fontId="0" fillId="0" borderId="0" xfId="0" applyAlignment="1">
      <alignment horizontal="center"/>
    </xf>
    <xf numFmtId="22" fontId="0" fillId="0" borderId="0" xfId="0" applyNumberFormat="1"/>
    <xf numFmtId="0" fontId="10" fillId="4" borderId="0" xfId="0" applyFont="1" applyFill="1"/>
    <xf numFmtId="0" fontId="8" fillId="0" borderId="0" xfId="0" applyFont="1" applyAlignment="1">
      <alignment vertical="center"/>
    </xf>
    <xf numFmtId="0" fontId="11" fillId="0" borderId="0" xfId="0" applyFont="1" applyAlignment="1">
      <alignment horizontal="left" vertical="center" indent="3"/>
    </xf>
    <xf numFmtId="0" fontId="11" fillId="5" borderId="0" xfId="0" applyFont="1" applyFill="1" applyAlignment="1">
      <alignment horizontal="left" vertical="center" indent="3"/>
    </xf>
    <xf numFmtId="0" fontId="13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0" fillId="0" borderId="0" xfId="0" applyAlignment="1">
      <alignment vertical="center"/>
    </xf>
    <xf numFmtId="0" fontId="14" fillId="0" borderId="0" xfId="0" applyFont="1" applyAlignment="1">
      <alignment vertical="center"/>
    </xf>
    <xf numFmtId="0" fontId="16" fillId="6" borderId="0" xfId="0" applyFont="1" applyFill="1" applyAlignment="1">
      <alignment vertical="center"/>
    </xf>
    <xf numFmtId="0" fontId="0" fillId="6" borderId="0" xfId="0" applyFill="1" applyAlignment="1">
      <alignment vertical="center"/>
    </xf>
    <xf numFmtId="0" fontId="12" fillId="6" borderId="0" xfId="0" applyFont="1" applyFill="1" applyAlignment="1">
      <alignment vertical="center"/>
    </xf>
    <xf numFmtId="0" fontId="14" fillId="6" borderId="0" xfId="0" applyFont="1" applyFill="1" applyAlignment="1">
      <alignment vertical="center"/>
    </xf>
    <xf numFmtId="0" fontId="18" fillId="6" borderId="0" xfId="0" applyFont="1" applyFill="1" applyAlignment="1">
      <alignment vertical="center"/>
    </xf>
    <xf numFmtId="0" fontId="19" fillId="6" borderId="0" xfId="0" applyFont="1" applyFill="1" applyAlignment="1">
      <alignment vertical="center"/>
    </xf>
    <xf numFmtId="0" fontId="15" fillId="6" borderId="0" xfId="0" applyFont="1" applyFill="1" applyAlignment="1">
      <alignment vertical="center"/>
    </xf>
    <xf numFmtId="0" fontId="17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0" fillId="0" borderId="0" xfId="0" applyFont="1"/>
    <xf numFmtId="0" fontId="0" fillId="2" borderId="0" xfId="0" applyFont="1" applyFill="1" applyAlignment="1">
      <alignment vertical="center"/>
    </xf>
    <xf numFmtId="0" fontId="22" fillId="0" borderId="0" xfId="0" quotePrefix="1" applyFont="1" applyAlignment="1">
      <alignment vertical="center"/>
    </xf>
    <xf numFmtId="0" fontId="24" fillId="0" borderId="0" xfId="0" applyFon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F3185-599D-4781-81E2-C4A8F21F8C4B}">
  <sheetPr codeName="Sheet1"/>
  <dimension ref="A1:Y58"/>
  <sheetViews>
    <sheetView workbookViewId="0">
      <selection activeCell="C4" sqref="C4"/>
    </sheetView>
  </sheetViews>
  <sheetFormatPr defaultRowHeight="15" x14ac:dyDescent="0.25"/>
  <cols>
    <col min="2" max="2" width="28" customWidth="1"/>
    <col min="3" max="3" width="23" customWidth="1"/>
    <col min="4" max="4" width="15.85546875" bestFit="1" customWidth="1"/>
    <col min="5" max="5" width="20.85546875" customWidth="1"/>
    <col min="6" max="6" width="15.28515625" customWidth="1"/>
    <col min="7" max="7" width="20" customWidth="1"/>
  </cols>
  <sheetData>
    <row r="1" spans="1:25" x14ac:dyDescent="0.25">
      <c r="B1" s="13" t="s">
        <v>225</v>
      </c>
      <c r="C1" t="s">
        <v>226</v>
      </c>
    </row>
    <row r="2" spans="1:25" x14ac:dyDescent="0.25">
      <c r="B2" s="13" t="s">
        <v>0</v>
      </c>
      <c r="C2" s="1" t="s">
        <v>980</v>
      </c>
    </row>
    <row r="3" spans="1:25" x14ac:dyDescent="0.25">
      <c r="B3" s="13" t="s">
        <v>1</v>
      </c>
      <c r="C3" t="s">
        <v>981</v>
      </c>
      <c r="D3" t="s">
        <v>983</v>
      </c>
    </row>
    <row r="4" spans="1:25" x14ac:dyDescent="0.25">
      <c r="B4" s="13" t="s">
        <v>114</v>
      </c>
      <c r="C4" t="s">
        <v>982</v>
      </c>
    </row>
    <row r="5" spans="1:25" x14ac:dyDescent="0.25">
      <c r="B5" t="s">
        <v>227</v>
      </c>
      <c r="C5" s="12">
        <f ca="1">NOW()</f>
        <v>44403.633190740744</v>
      </c>
    </row>
    <row r="6" spans="1:25" x14ac:dyDescent="0.25">
      <c r="A6">
        <v>1</v>
      </c>
      <c r="B6">
        <v>2</v>
      </c>
      <c r="C6">
        <v>3</v>
      </c>
      <c r="D6">
        <v>4</v>
      </c>
      <c r="E6">
        <v>5</v>
      </c>
      <c r="F6">
        <v>6</v>
      </c>
      <c r="G6">
        <v>7</v>
      </c>
      <c r="P6" t="s">
        <v>8</v>
      </c>
      <c r="R6" t="s">
        <v>9</v>
      </c>
      <c r="T6" t="s">
        <v>10</v>
      </c>
      <c r="V6" t="s">
        <v>217</v>
      </c>
      <c r="W6" s="34"/>
      <c r="X6" s="34"/>
      <c r="Y6" s="11"/>
    </row>
    <row r="7" spans="1:25" x14ac:dyDescent="0.25">
      <c r="A7" t="s">
        <v>115</v>
      </c>
      <c r="B7" t="s">
        <v>5</v>
      </c>
      <c r="C7" t="s">
        <v>6</v>
      </c>
      <c r="D7" t="s">
        <v>7</v>
      </c>
      <c r="E7" s="13" t="s">
        <v>11</v>
      </c>
      <c r="F7" t="s">
        <v>148</v>
      </c>
      <c r="G7" t="s">
        <v>216</v>
      </c>
      <c r="H7" t="s">
        <v>461</v>
      </c>
      <c r="I7" s="13" t="s">
        <v>2</v>
      </c>
      <c r="P7" t="s">
        <v>3</v>
      </c>
      <c r="Q7" t="s">
        <v>4</v>
      </c>
    </row>
    <row r="8" spans="1:25" x14ac:dyDescent="0.25">
      <c r="A8" s="7">
        <v>0</v>
      </c>
      <c r="B8" t="str">
        <f>MID(I8,P8+1,Q8-P8-1)</f>
        <v>CCRP_ID</v>
      </c>
      <c r="C8" t="s">
        <v>145</v>
      </c>
      <c r="D8" t="str">
        <f>IF(C8="timestamp",19,MID(I8,T8+1,U8-T8-1))</f>
        <v>11</v>
      </c>
      <c r="E8" s="29" t="s">
        <v>12</v>
      </c>
      <c r="F8" t="str">
        <f>IF(C8="INT","INTEGER_TYPE",IF(C8="DECIMAL","DOUBLE_TYPE","STRING_TYPE"))</f>
        <v>INTEGER_TYPE</v>
      </c>
      <c r="G8" t="str">
        <f>MID(I8,V8,W8-V8)</f>
        <v>ID Resgate Cashback</v>
      </c>
      <c r="H8" t="str">
        <f>IF(C8="INT","int","String")</f>
        <v>int</v>
      </c>
      <c r="I8" s="6" t="s">
        <v>954</v>
      </c>
      <c r="P8">
        <f>FIND("`",I8,1)</f>
        <v>1</v>
      </c>
      <c r="Q8">
        <f>FIND("`",I8,2)</f>
        <v>9</v>
      </c>
      <c r="T8">
        <f>FIND("(",I8)</f>
        <v>14</v>
      </c>
      <c r="U8">
        <f>FIND(")",I8,T8+1)</f>
        <v>17</v>
      </c>
      <c r="V8">
        <f>FIND("COMMENT '",I8)+9</f>
        <v>52</v>
      </c>
      <c r="W8">
        <f>FIND("'",I8,V8)</f>
        <v>71</v>
      </c>
    </row>
    <row r="9" spans="1:25" x14ac:dyDescent="0.25">
      <c r="A9">
        <v>1</v>
      </c>
      <c r="B9" t="str">
        <f t="shared" ref="B9:B19" si="0">MID(I9,P9+1,Q9-P9-1)</f>
        <v>CACA_ID</v>
      </c>
      <c r="C9" t="s">
        <v>145</v>
      </c>
      <c r="D9" t="str">
        <f t="shared" ref="D9:D22" si="1">IF(C9="timestamp",19,MID(I9,T9+1,U9-T9-1))</f>
        <v>11</v>
      </c>
      <c r="E9" s="29" t="s">
        <v>968</v>
      </c>
      <c r="F9" t="str">
        <f t="shared" ref="F9:F21" si="2">IF(C9="INT","INTEGER_TYPE",IF(C9="DECIMAL","DOUBLE_TYPE","STRING_TYPE"))</f>
        <v>INTEGER_TYPE</v>
      </c>
      <c r="G9" t="str">
        <f t="shared" ref="G9:G21" si="3">MID(I9,V9,W9-V9)</f>
        <v>ID Campanha x Cashback</v>
      </c>
      <c r="H9" t="str">
        <f t="shared" ref="H9:H21" si="4">IF(C9="INT","int","String")</f>
        <v>int</v>
      </c>
      <c r="I9" s="6" t="s">
        <v>955</v>
      </c>
      <c r="P9">
        <f t="shared" ref="P9:P18" si="5">FIND("`",I9,1)</f>
        <v>1</v>
      </c>
      <c r="Q9">
        <f t="shared" ref="Q9:Q18" si="6">FIND("`",I9,2)</f>
        <v>9</v>
      </c>
      <c r="T9">
        <f t="shared" ref="T9:T18" si="7">FIND("(",I9)</f>
        <v>14</v>
      </c>
      <c r="U9">
        <f t="shared" ref="U9:U18" si="8">FIND(")",I9,T9+1)</f>
        <v>17</v>
      </c>
      <c r="V9">
        <f t="shared" ref="V9:V36" si="9">FIND("COMMENT '",I9)+9</f>
        <v>37</v>
      </c>
      <c r="W9">
        <f t="shared" ref="W9:W36" si="10">FIND("'",I9,V9)</f>
        <v>59</v>
      </c>
    </row>
    <row r="10" spans="1:25" x14ac:dyDescent="0.25">
      <c r="A10">
        <v>2</v>
      </c>
      <c r="B10" t="str">
        <f t="shared" si="0"/>
        <v>USUA_ID</v>
      </c>
      <c r="C10" t="s">
        <v>145</v>
      </c>
      <c r="D10" t="str">
        <f t="shared" si="1"/>
        <v>11</v>
      </c>
      <c r="E10" s="29" t="s">
        <v>969</v>
      </c>
      <c r="F10" t="str">
        <f t="shared" si="2"/>
        <v>INTEGER_TYPE</v>
      </c>
      <c r="G10" t="str">
        <f t="shared" si="3"/>
        <v>ID do usuário solicitante</v>
      </c>
      <c r="H10" t="str">
        <f t="shared" si="4"/>
        <v>int</v>
      </c>
      <c r="I10" s="6" t="s">
        <v>956</v>
      </c>
      <c r="P10">
        <f t="shared" si="5"/>
        <v>1</v>
      </c>
      <c r="Q10">
        <f t="shared" si="6"/>
        <v>9</v>
      </c>
      <c r="T10">
        <f t="shared" si="7"/>
        <v>14</v>
      </c>
      <c r="U10">
        <f t="shared" si="8"/>
        <v>17</v>
      </c>
      <c r="V10">
        <f t="shared" si="9"/>
        <v>37</v>
      </c>
      <c r="W10">
        <f t="shared" si="10"/>
        <v>62</v>
      </c>
    </row>
    <row r="11" spans="1:25" x14ac:dyDescent="0.25">
      <c r="A11">
        <v>3</v>
      </c>
      <c r="B11" t="str">
        <f t="shared" si="0"/>
        <v>CCRP_IN_TIPO_CHAVE_PIX</v>
      </c>
      <c r="C11" t="s">
        <v>145</v>
      </c>
      <c r="D11" t="str">
        <f t="shared" si="1"/>
        <v>1</v>
      </c>
      <c r="E11" s="29" t="s">
        <v>970</v>
      </c>
      <c r="F11" t="str">
        <f t="shared" si="2"/>
        <v>INTEGER_TYPE</v>
      </c>
      <c r="G11" t="str">
        <f t="shared" si="3"/>
        <v>Tipo da Chave PIX</v>
      </c>
      <c r="H11" t="str">
        <f t="shared" si="4"/>
        <v>int</v>
      </c>
      <c r="I11" s="6" t="s">
        <v>957</v>
      </c>
      <c r="P11">
        <f t="shared" si="5"/>
        <v>1</v>
      </c>
      <c r="Q11">
        <f t="shared" si="6"/>
        <v>24</v>
      </c>
      <c r="T11">
        <f t="shared" si="7"/>
        <v>33</v>
      </c>
      <c r="U11">
        <f t="shared" si="8"/>
        <v>35</v>
      </c>
      <c r="V11">
        <f t="shared" si="9"/>
        <v>67</v>
      </c>
      <c r="W11">
        <f t="shared" si="10"/>
        <v>84</v>
      </c>
    </row>
    <row r="12" spans="1:25" x14ac:dyDescent="0.25">
      <c r="A12">
        <v>4</v>
      </c>
      <c r="B12" t="str">
        <f t="shared" si="0"/>
        <v>CCRP_TX_CHAVE_PIX</v>
      </c>
      <c r="C12" t="s">
        <v>146</v>
      </c>
      <c r="D12" t="str">
        <f t="shared" si="1"/>
        <v>100</v>
      </c>
      <c r="E12" s="29" t="s">
        <v>971</v>
      </c>
      <c r="F12" t="str">
        <f t="shared" si="2"/>
        <v>STRING_TYPE</v>
      </c>
      <c r="G12" t="str">
        <f t="shared" si="3"/>
        <v>Chave PIX</v>
      </c>
      <c r="H12" t="str">
        <f t="shared" si="4"/>
        <v>String</v>
      </c>
      <c r="I12" s="6" t="s">
        <v>958</v>
      </c>
      <c r="P12">
        <f t="shared" si="5"/>
        <v>1</v>
      </c>
      <c r="Q12">
        <f t="shared" si="6"/>
        <v>19</v>
      </c>
      <c r="T12">
        <f t="shared" si="7"/>
        <v>28</v>
      </c>
      <c r="U12">
        <f t="shared" si="8"/>
        <v>32</v>
      </c>
      <c r="V12">
        <f t="shared" si="9"/>
        <v>52</v>
      </c>
      <c r="W12">
        <f t="shared" si="10"/>
        <v>61</v>
      </c>
    </row>
    <row r="13" spans="1:25" x14ac:dyDescent="0.25">
      <c r="A13">
        <v>5</v>
      </c>
      <c r="B13" t="str">
        <f t="shared" si="0"/>
        <v>CCRP_VL_RESGATE</v>
      </c>
      <c r="C13" t="s">
        <v>967</v>
      </c>
      <c r="D13" t="str">
        <f t="shared" si="1"/>
        <v>11,2</v>
      </c>
      <c r="E13" s="29" t="s">
        <v>972</v>
      </c>
      <c r="F13" t="str">
        <f t="shared" si="2"/>
        <v>STRING_TYPE</v>
      </c>
      <c r="G13" t="str">
        <f t="shared" si="3"/>
        <v>Valor Pretendido a Resgatar</v>
      </c>
      <c r="H13" t="str">
        <f t="shared" si="4"/>
        <v>String</v>
      </c>
      <c r="I13" s="6" t="s">
        <v>959</v>
      </c>
      <c r="P13">
        <f t="shared" si="5"/>
        <v>1</v>
      </c>
      <c r="Q13">
        <f t="shared" si="6"/>
        <v>17</v>
      </c>
      <c r="T13">
        <f t="shared" si="7"/>
        <v>26</v>
      </c>
      <c r="U13">
        <f t="shared" si="8"/>
        <v>31</v>
      </c>
      <c r="V13">
        <f t="shared" si="9"/>
        <v>61</v>
      </c>
      <c r="W13">
        <f t="shared" si="10"/>
        <v>88</v>
      </c>
    </row>
    <row r="14" spans="1:25" x14ac:dyDescent="0.25">
      <c r="A14">
        <v>6</v>
      </c>
      <c r="B14" t="str">
        <f t="shared" si="0"/>
        <v>CCRP_TX_AUTENT_BCO</v>
      </c>
      <c r="C14" t="s">
        <v>146</v>
      </c>
      <c r="D14" t="str">
        <f t="shared" si="1"/>
        <v>200</v>
      </c>
      <c r="E14" s="29" t="s">
        <v>973</v>
      </c>
      <c r="F14" t="str">
        <f t="shared" si="2"/>
        <v>STRING_TYPE</v>
      </c>
      <c r="G14" t="str">
        <f t="shared" si="3"/>
        <v>Autenticação do Banco</v>
      </c>
      <c r="H14" t="str">
        <f t="shared" si="4"/>
        <v>String</v>
      </c>
      <c r="I14" s="6" t="s">
        <v>960</v>
      </c>
      <c r="P14">
        <f t="shared" si="5"/>
        <v>1</v>
      </c>
      <c r="Q14">
        <f t="shared" si="6"/>
        <v>20</v>
      </c>
      <c r="T14">
        <f t="shared" si="7"/>
        <v>29</v>
      </c>
      <c r="U14">
        <f t="shared" si="8"/>
        <v>33</v>
      </c>
      <c r="V14">
        <f t="shared" si="9"/>
        <v>57</v>
      </c>
      <c r="W14">
        <f t="shared" si="10"/>
        <v>78</v>
      </c>
    </row>
    <row r="15" spans="1:25" x14ac:dyDescent="0.25">
      <c r="A15">
        <v>7</v>
      </c>
      <c r="B15" t="str">
        <f t="shared" si="0"/>
        <v>CCRP_IN_ESTAGIO_RT</v>
      </c>
      <c r="C15" t="s">
        <v>145</v>
      </c>
      <c r="D15" t="str">
        <f t="shared" si="1"/>
        <v>1</v>
      </c>
      <c r="E15" s="29" t="s">
        <v>974</v>
      </c>
      <c r="F15" t="str">
        <f t="shared" si="2"/>
        <v>INTEGER_TYPE</v>
      </c>
      <c r="G15" t="str">
        <f t="shared" si="3"/>
        <v>Estágio Real Time</v>
      </c>
      <c r="H15" t="str">
        <f t="shared" si="4"/>
        <v>int</v>
      </c>
      <c r="I15" s="6" t="s">
        <v>961</v>
      </c>
      <c r="P15">
        <f t="shared" si="5"/>
        <v>1</v>
      </c>
      <c r="Q15">
        <f t="shared" si="6"/>
        <v>20</v>
      </c>
      <c r="T15">
        <f t="shared" si="7"/>
        <v>29</v>
      </c>
      <c r="U15">
        <f t="shared" si="8"/>
        <v>31</v>
      </c>
      <c r="V15">
        <f t="shared" si="9"/>
        <v>63</v>
      </c>
      <c r="W15">
        <f t="shared" si="10"/>
        <v>80</v>
      </c>
    </row>
    <row r="16" spans="1:25" x14ac:dyDescent="0.25">
      <c r="A16">
        <v>8</v>
      </c>
      <c r="B16" t="str">
        <f t="shared" si="0"/>
        <v>CCRP_DT_ESTAGIO_ANALISE</v>
      </c>
      <c r="C16" t="s">
        <v>147</v>
      </c>
      <c r="D16">
        <f t="shared" si="1"/>
        <v>19</v>
      </c>
      <c r="E16" s="29" t="s">
        <v>975</v>
      </c>
      <c r="F16" t="str">
        <f t="shared" si="2"/>
        <v>STRING_TYPE</v>
      </c>
      <c r="G16" t="str">
        <f t="shared" si="3"/>
        <v>Data Registro Estágio Análise</v>
      </c>
      <c r="H16" t="str">
        <f t="shared" si="4"/>
        <v>String</v>
      </c>
      <c r="I16" s="6" t="s">
        <v>962</v>
      </c>
      <c r="P16">
        <f t="shared" si="5"/>
        <v>1</v>
      </c>
      <c r="Q16">
        <f t="shared" si="6"/>
        <v>25</v>
      </c>
      <c r="T16" t="e">
        <f t="shared" si="7"/>
        <v>#VALUE!</v>
      </c>
      <c r="U16" t="e">
        <f t="shared" si="8"/>
        <v>#VALUE!</v>
      </c>
      <c r="V16">
        <f t="shared" si="9"/>
        <v>51</v>
      </c>
      <c r="W16">
        <f t="shared" si="10"/>
        <v>80</v>
      </c>
    </row>
    <row r="17" spans="1:23" x14ac:dyDescent="0.25">
      <c r="A17">
        <v>9</v>
      </c>
      <c r="B17" t="str">
        <f t="shared" si="0"/>
        <v>CCRP_DT_ESTAGIO_FINANCEIRO</v>
      </c>
      <c r="C17" t="s">
        <v>147</v>
      </c>
      <c r="D17">
        <f t="shared" si="1"/>
        <v>19</v>
      </c>
      <c r="E17" s="29" t="s">
        <v>976</v>
      </c>
      <c r="F17" t="str">
        <f t="shared" si="2"/>
        <v>STRING_TYPE</v>
      </c>
      <c r="G17" t="str">
        <f t="shared" si="3"/>
        <v>Data Registro Estágio Financeiro</v>
      </c>
      <c r="H17" t="str">
        <f t="shared" si="4"/>
        <v>String</v>
      </c>
      <c r="I17" s="6" t="s">
        <v>963</v>
      </c>
      <c r="P17">
        <f t="shared" si="5"/>
        <v>1</v>
      </c>
      <c r="Q17">
        <f t="shared" si="6"/>
        <v>28</v>
      </c>
      <c r="T17" t="e">
        <f t="shared" si="7"/>
        <v>#VALUE!</v>
      </c>
      <c r="U17" t="e">
        <f t="shared" si="8"/>
        <v>#VALUE!</v>
      </c>
      <c r="V17">
        <f t="shared" si="9"/>
        <v>54</v>
      </c>
      <c r="W17">
        <f t="shared" si="10"/>
        <v>86</v>
      </c>
    </row>
    <row r="18" spans="1:23" x14ac:dyDescent="0.25">
      <c r="A18">
        <v>10</v>
      </c>
      <c r="B18" t="str">
        <f t="shared" si="0"/>
        <v>CCRP_DT_ESTAGIO_ERRO</v>
      </c>
      <c r="C18" t="s">
        <v>147</v>
      </c>
      <c r="D18">
        <f t="shared" si="1"/>
        <v>19</v>
      </c>
      <c r="E18" s="29" t="s">
        <v>977</v>
      </c>
      <c r="F18" t="str">
        <f t="shared" si="2"/>
        <v>STRING_TYPE</v>
      </c>
      <c r="G18" t="str">
        <f t="shared" si="3"/>
        <v>Data Registro Estágio Erro</v>
      </c>
      <c r="H18" t="str">
        <f t="shared" si="4"/>
        <v>String</v>
      </c>
      <c r="I18" s="6" t="s">
        <v>964</v>
      </c>
      <c r="P18">
        <f t="shared" si="5"/>
        <v>1</v>
      </c>
      <c r="Q18">
        <f t="shared" si="6"/>
        <v>22</v>
      </c>
      <c r="T18" t="e">
        <f t="shared" si="7"/>
        <v>#VALUE!</v>
      </c>
      <c r="U18" t="e">
        <f t="shared" si="8"/>
        <v>#VALUE!</v>
      </c>
      <c r="V18">
        <f t="shared" si="9"/>
        <v>48</v>
      </c>
      <c r="W18">
        <f t="shared" si="10"/>
        <v>74</v>
      </c>
    </row>
    <row r="19" spans="1:23" x14ac:dyDescent="0.25">
      <c r="A19">
        <v>11</v>
      </c>
      <c r="B19" t="str">
        <f t="shared" si="0"/>
        <v>CCRP_DT_ESTAGIO_TRANSF_BCO</v>
      </c>
      <c r="C19" t="s">
        <v>147</v>
      </c>
      <c r="D19">
        <f t="shared" si="1"/>
        <v>19</v>
      </c>
      <c r="E19" s="29" t="s">
        <v>978</v>
      </c>
      <c r="F19" t="str">
        <f t="shared" si="2"/>
        <v>STRING_TYPE</v>
      </c>
      <c r="G19" t="str">
        <f t="shared" si="3"/>
        <v>Data Registro Estágio Transferido Bco</v>
      </c>
      <c r="H19" t="str">
        <f t="shared" si="4"/>
        <v>String</v>
      </c>
      <c r="I19" s="1" t="s">
        <v>965</v>
      </c>
      <c r="P19">
        <f t="shared" ref="P19:P58" si="11">FIND("`",I19,1)</f>
        <v>1</v>
      </c>
      <c r="Q19">
        <f t="shared" ref="Q19:Q58" si="12">FIND("`",I19,2)</f>
        <v>28</v>
      </c>
      <c r="T19" t="e">
        <f t="shared" ref="T19:T56" si="13">FIND("(",I19)</f>
        <v>#VALUE!</v>
      </c>
      <c r="U19" t="e">
        <f t="shared" ref="U19:U56" si="14">FIND(")",I19,T19+1)</f>
        <v>#VALUE!</v>
      </c>
      <c r="V19">
        <f t="shared" si="9"/>
        <v>54</v>
      </c>
      <c r="W19">
        <f t="shared" si="10"/>
        <v>91</v>
      </c>
    </row>
    <row r="20" spans="1:23" x14ac:dyDescent="0.25">
      <c r="A20">
        <f t="shared" ref="A20:A58" si="15">A19+1</f>
        <v>12</v>
      </c>
      <c r="B20" t="str">
        <f t="shared" ref="B20:B21" si="16">MID(I20,P20+1,Q20-P20-1)</f>
        <v>CCRP_TX_LIVRE_ESTAGIO_RT</v>
      </c>
      <c r="C20" t="s">
        <v>146</v>
      </c>
      <c r="D20" t="str">
        <f t="shared" si="1"/>
        <v>2000</v>
      </c>
      <c r="E20" s="29" t="s">
        <v>979</v>
      </c>
      <c r="F20" t="str">
        <f t="shared" si="2"/>
        <v>STRING_TYPE</v>
      </c>
      <c r="G20" t="str">
        <f t="shared" si="3"/>
        <v>Texto Livre do Estagio RT</v>
      </c>
      <c r="H20" t="str">
        <f t="shared" si="4"/>
        <v>String</v>
      </c>
      <c r="I20" s="1" t="s">
        <v>966</v>
      </c>
      <c r="P20">
        <f t="shared" si="11"/>
        <v>1</v>
      </c>
      <c r="Q20">
        <f t="shared" si="12"/>
        <v>26</v>
      </c>
      <c r="T20">
        <f t="shared" si="13"/>
        <v>35</v>
      </c>
      <c r="U20">
        <f t="shared" si="14"/>
        <v>40</v>
      </c>
      <c r="V20">
        <f t="shared" si="9"/>
        <v>64</v>
      </c>
      <c r="W20">
        <f t="shared" si="10"/>
        <v>89</v>
      </c>
    </row>
    <row r="21" spans="1:23" x14ac:dyDescent="0.25">
      <c r="A21">
        <f t="shared" si="15"/>
        <v>13</v>
      </c>
      <c r="B21" t="e">
        <f t="shared" si="16"/>
        <v>#VALUE!</v>
      </c>
      <c r="D21" t="e">
        <f t="shared" si="1"/>
        <v>#VALUE!</v>
      </c>
      <c r="F21" t="str">
        <f t="shared" si="2"/>
        <v>STRING_TYPE</v>
      </c>
      <c r="G21" t="e">
        <f t="shared" si="3"/>
        <v>#VALUE!</v>
      </c>
      <c r="H21" t="str">
        <f t="shared" si="4"/>
        <v>String</v>
      </c>
      <c r="I21" s="1" t="s">
        <v>475</v>
      </c>
      <c r="P21" t="e">
        <f t="shared" si="11"/>
        <v>#VALUE!</v>
      </c>
      <c r="Q21" t="e">
        <f t="shared" si="12"/>
        <v>#VALUE!</v>
      </c>
      <c r="T21" t="e">
        <f t="shared" si="13"/>
        <v>#VALUE!</v>
      </c>
      <c r="U21" t="e">
        <f t="shared" si="14"/>
        <v>#VALUE!</v>
      </c>
      <c r="V21" t="e">
        <f t="shared" si="9"/>
        <v>#VALUE!</v>
      </c>
      <c r="W21" t="e">
        <f t="shared" si="10"/>
        <v>#VALUE!</v>
      </c>
    </row>
    <row r="22" spans="1:23" x14ac:dyDescent="0.25">
      <c r="A22">
        <f t="shared" si="15"/>
        <v>14</v>
      </c>
      <c r="B22" t="e">
        <f t="shared" ref="B22:B58" si="17">MID(I22,P22+1,Q22-P22-1)</f>
        <v>#VALUE!</v>
      </c>
      <c r="D22" t="e">
        <f t="shared" si="1"/>
        <v>#VALUE!</v>
      </c>
      <c r="P22" t="e">
        <f t="shared" si="11"/>
        <v>#VALUE!</v>
      </c>
      <c r="Q22" t="e">
        <f t="shared" si="12"/>
        <v>#VALUE!</v>
      </c>
      <c r="T22" t="e">
        <f t="shared" si="13"/>
        <v>#VALUE!</v>
      </c>
      <c r="U22" t="e">
        <f t="shared" si="14"/>
        <v>#VALUE!</v>
      </c>
      <c r="V22" t="e">
        <f t="shared" si="9"/>
        <v>#VALUE!</v>
      </c>
      <c r="W22" t="e">
        <f t="shared" si="10"/>
        <v>#VALUE!</v>
      </c>
    </row>
    <row r="23" spans="1:23" x14ac:dyDescent="0.25">
      <c r="A23">
        <f t="shared" si="15"/>
        <v>15</v>
      </c>
      <c r="B23" t="e">
        <f t="shared" si="17"/>
        <v>#VALUE!</v>
      </c>
      <c r="P23" t="e">
        <f t="shared" si="11"/>
        <v>#VALUE!</v>
      </c>
      <c r="Q23" t="e">
        <f t="shared" si="12"/>
        <v>#VALUE!</v>
      </c>
      <c r="T23" t="e">
        <f t="shared" si="13"/>
        <v>#VALUE!</v>
      </c>
      <c r="U23" t="e">
        <f t="shared" si="14"/>
        <v>#VALUE!</v>
      </c>
      <c r="V23" t="e">
        <f t="shared" si="9"/>
        <v>#VALUE!</v>
      </c>
      <c r="W23" t="e">
        <f t="shared" si="10"/>
        <v>#VALUE!</v>
      </c>
    </row>
    <row r="24" spans="1:23" x14ac:dyDescent="0.25">
      <c r="A24">
        <f t="shared" si="15"/>
        <v>16</v>
      </c>
      <c r="B24" t="e">
        <f t="shared" si="17"/>
        <v>#VALUE!</v>
      </c>
      <c r="P24" t="e">
        <f t="shared" si="11"/>
        <v>#VALUE!</v>
      </c>
      <c r="Q24" t="e">
        <f t="shared" si="12"/>
        <v>#VALUE!</v>
      </c>
      <c r="T24" t="e">
        <f t="shared" si="13"/>
        <v>#VALUE!</v>
      </c>
      <c r="U24" t="e">
        <f t="shared" si="14"/>
        <v>#VALUE!</v>
      </c>
      <c r="V24" t="e">
        <f t="shared" si="9"/>
        <v>#VALUE!</v>
      </c>
      <c r="W24" t="e">
        <f t="shared" si="10"/>
        <v>#VALUE!</v>
      </c>
    </row>
    <row r="25" spans="1:23" x14ac:dyDescent="0.25">
      <c r="A25">
        <f t="shared" si="15"/>
        <v>17</v>
      </c>
      <c r="B25" t="e">
        <f t="shared" si="17"/>
        <v>#VALUE!</v>
      </c>
      <c r="P25" t="e">
        <f t="shared" si="11"/>
        <v>#VALUE!</v>
      </c>
      <c r="Q25" t="e">
        <f t="shared" si="12"/>
        <v>#VALUE!</v>
      </c>
      <c r="T25" t="e">
        <f t="shared" si="13"/>
        <v>#VALUE!</v>
      </c>
      <c r="U25" t="e">
        <f t="shared" si="14"/>
        <v>#VALUE!</v>
      </c>
      <c r="V25" t="e">
        <f t="shared" si="9"/>
        <v>#VALUE!</v>
      </c>
      <c r="W25" t="e">
        <f t="shared" si="10"/>
        <v>#VALUE!</v>
      </c>
    </row>
    <row r="26" spans="1:23" x14ac:dyDescent="0.25">
      <c r="A26">
        <f t="shared" si="15"/>
        <v>18</v>
      </c>
      <c r="B26" t="e">
        <f t="shared" si="17"/>
        <v>#VALUE!</v>
      </c>
      <c r="P26" t="e">
        <f t="shared" si="11"/>
        <v>#VALUE!</v>
      </c>
      <c r="Q26" t="e">
        <f t="shared" si="12"/>
        <v>#VALUE!</v>
      </c>
      <c r="T26" t="e">
        <f t="shared" si="13"/>
        <v>#VALUE!</v>
      </c>
      <c r="U26" t="e">
        <f t="shared" si="14"/>
        <v>#VALUE!</v>
      </c>
      <c r="V26" t="e">
        <f t="shared" si="9"/>
        <v>#VALUE!</v>
      </c>
      <c r="W26" t="e">
        <f t="shared" si="10"/>
        <v>#VALUE!</v>
      </c>
    </row>
    <row r="27" spans="1:23" x14ac:dyDescent="0.25">
      <c r="A27">
        <f t="shared" si="15"/>
        <v>19</v>
      </c>
      <c r="B27" t="e">
        <f t="shared" si="17"/>
        <v>#VALUE!</v>
      </c>
      <c r="P27" t="e">
        <f t="shared" si="11"/>
        <v>#VALUE!</v>
      </c>
      <c r="Q27" t="e">
        <f t="shared" si="12"/>
        <v>#VALUE!</v>
      </c>
      <c r="T27" t="e">
        <f t="shared" si="13"/>
        <v>#VALUE!</v>
      </c>
      <c r="U27" t="e">
        <f t="shared" si="14"/>
        <v>#VALUE!</v>
      </c>
      <c r="V27" t="e">
        <f t="shared" si="9"/>
        <v>#VALUE!</v>
      </c>
      <c r="W27" t="e">
        <f t="shared" si="10"/>
        <v>#VALUE!</v>
      </c>
    </row>
    <row r="28" spans="1:23" x14ac:dyDescent="0.25">
      <c r="A28">
        <f t="shared" si="15"/>
        <v>20</v>
      </c>
      <c r="B28" t="e">
        <f t="shared" si="17"/>
        <v>#VALUE!</v>
      </c>
      <c r="P28" t="e">
        <f t="shared" si="11"/>
        <v>#VALUE!</v>
      </c>
      <c r="Q28" t="e">
        <f t="shared" si="12"/>
        <v>#VALUE!</v>
      </c>
      <c r="T28" t="e">
        <f t="shared" si="13"/>
        <v>#VALUE!</v>
      </c>
      <c r="U28" t="e">
        <f t="shared" si="14"/>
        <v>#VALUE!</v>
      </c>
      <c r="V28" t="e">
        <f t="shared" si="9"/>
        <v>#VALUE!</v>
      </c>
      <c r="W28" t="e">
        <f t="shared" si="10"/>
        <v>#VALUE!</v>
      </c>
    </row>
    <row r="29" spans="1:23" x14ac:dyDescent="0.25">
      <c r="A29">
        <f t="shared" si="15"/>
        <v>21</v>
      </c>
      <c r="B29" t="e">
        <f t="shared" si="17"/>
        <v>#VALUE!</v>
      </c>
      <c r="E29" t="s">
        <v>475</v>
      </c>
      <c r="P29" t="e">
        <f t="shared" si="11"/>
        <v>#VALUE!</v>
      </c>
      <c r="Q29" t="e">
        <f t="shared" si="12"/>
        <v>#VALUE!</v>
      </c>
      <c r="T29" t="e">
        <f t="shared" si="13"/>
        <v>#VALUE!</v>
      </c>
      <c r="U29" t="e">
        <f t="shared" si="14"/>
        <v>#VALUE!</v>
      </c>
      <c r="V29" t="e">
        <f t="shared" si="9"/>
        <v>#VALUE!</v>
      </c>
      <c r="W29" t="e">
        <f t="shared" si="10"/>
        <v>#VALUE!</v>
      </c>
    </row>
    <row r="30" spans="1:23" x14ac:dyDescent="0.25">
      <c r="A30">
        <f t="shared" si="15"/>
        <v>22</v>
      </c>
      <c r="B30" t="e">
        <f t="shared" si="17"/>
        <v>#VALUE!</v>
      </c>
      <c r="P30" t="e">
        <f t="shared" si="11"/>
        <v>#VALUE!</v>
      </c>
      <c r="Q30" t="e">
        <f t="shared" si="12"/>
        <v>#VALUE!</v>
      </c>
      <c r="T30" t="e">
        <f t="shared" si="13"/>
        <v>#VALUE!</v>
      </c>
      <c r="U30" t="e">
        <f t="shared" si="14"/>
        <v>#VALUE!</v>
      </c>
      <c r="V30" t="e">
        <f t="shared" si="9"/>
        <v>#VALUE!</v>
      </c>
      <c r="W30" t="e">
        <f t="shared" si="10"/>
        <v>#VALUE!</v>
      </c>
    </row>
    <row r="31" spans="1:23" x14ac:dyDescent="0.25">
      <c r="A31">
        <f t="shared" si="15"/>
        <v>23</v>
      </c>
      <c r="B31" t="e">
        <f t="shared" si="17"/>
        <v>#VALUE!</v>
      </c>
      <c r="P31" t="e">
        <f t="shared" si="11"/>
        <v>#VALUE!</v>
      </c>
      <c r="Q31" t="e">
        <f t="shared" si="12"/>
        <v>#VALUE!</v>
      </c>
      <c r="T31" t="e">
        <f t="shared" si="13"/>
        <v>#VALUE!</v>
      </c>
      <c r="U31" t="e">
        <f t="shared" si="14"/>
        <v>#VALUE!</v>
      </c>
      <c r="V31" t="e">
        <f t="shared" si="9"/>
        <v>#VALUE!</v>
      </c>
      <c r="W31" t="e">
        <f t="shared" si="10"/>
        <v>#VALUE!</v>
      </c>
    </row>
    <row r="32" spans="1:23" x14ac:dyDescent="0.25">
      <c r="A32">
        <f t="shared" si="15"/>
        <v>24</v>
      </c>
      <c r="B32" t="e">
        <f t="shared" si="17"/>
        <v>#VALUE!</v>
      </c>
      <c r="P32" t="e">
        <f t="shared" si="11"/>
        <v>#VALUE!</v>
      </c>
      <c r="Q32" t="e">
        <f t="shared" si="12"/>
        <v>#VALUE!</v>
      </c>
      <c r="T32" t="e">
        <f t="shared" si="13"/>
        <v>#VALUE!</v>
      </c>
      <c r="U32" t="e">
        <f t="shared" si="14"/>
        <v>#VALUE!</v>
      </c>
      <c r="V32" t="e">
        <f t="shared" si="9"/>
        <v>#VALUE!</v>
      </c>
      <c r="W32" t="e">
        <f t="shared" si="10"/>
        <v>#VALUE!</v>
      </c>
    </row>
    <row r="33" spans="1:23" x14ac:dyDescent="0.25">
      <c r="A33">
        <f t="shared" si="15"/>
        <v>25</v>
      </c>
      <c r="B33" t="e">
        <f t="shared" si="17"/>
        <v>#VALUE!</v>
      </c>
      <c r="P33" t="e">
        <f t="shared" si="11"/>
        <v>#VALUE!</v>
      </c>
      <c r="Q33" t="e">
        <f t="shared" si="12"/>
        <v>#VALUE!</v>
      </c>
      <c r="T33" t="e">
        <f t="shared" si="13"/>
        <v>#VALUE!</v>
      </c>
      <c r="U33" t="e">
        <f t="shared" si="14"/>
        <v>#VALUE!</v>
      </c>
      <c r="V33" t="e">
        <f t="shared" si="9"/>
        <v>#VALUE!</v>
      </c>
      <c r="W33" t="e">
        <f t="shared" si="10"/>
        <v>#VALUE!</v>
      </c>
    </row>
    <row r="34" spans="1:23" x14ac:dyDescent="0.25">
      <c r="A34">
        <f t="shared" si="15"/>
        <v>26</v>
      </c>
      <c r="B34" t="e">
        <f t="shared" si="17"/>
        <v>#VALUE!</v>
      </c>
      <c r="P34" t="e">
        <f t="shared" si="11"/>
        <v>#VALUE!</v>
      </c>
      <c r="Q34" t="e">
        <f t="shared" si="12"/>
        <v>#VALUE!</v>
      </c>
      <c r="T34" t="e">
        <f t="shared" si="13"/>
        <v>#VALUE!</v>
      </c>
      <c r="U34" t="e">
        <f t="shared" si="14"/>
        <v>#VALUE!</v>
      </c>
      <c r="V34" t="e">
        <f t="shared" si="9"/>
        <v>#VALUE!</v>
      </c>
      <c r="W34" t="e">
        <f t="shared" si="10"/>
        <v>#VALUE!</v>
      </c>
    </row>
    <row r="35" spans="1:23" x14ac:dyDescent="0.25">
      <c r="A35">
        <f t="shared" si="15"/>
        <v>27</v>
      </c>
      <c r="B35" t="e">
        <f t="shared" si="17"/>
        <v>#VALUE!</v>
      </c>
      <c r="P35" t="e">
        <f t="shared" si="11"/>
        <v>#VALUE!</v>
      </c>
      <c r="Q35" t="e">
        <f t="shared" si="12"/>
        <v>#VALUE!</v>
      </c>
      <c r="T35" t="e">
        <f t="shared" si="13"/>
        <v>#VALUE!</v>
      </c>
      <c r="U35" t="e">
        <f t="shared" si="14"/>
        <v>#VALUE!</v>
      </c>
      <c r="V35" t="e">
        <f t="shared" si="9"/>
        <v>#VALUE!</v>
      </c>
      <c r="W35" t="e">
        <f t="shared" si="10"/>
        <v>#VALUE!</v>
      </c>
    </row>
    <row r="36" spans="1:23" x14ac:dyDescent="0.25">
      <c r="A36">
        <f t="shared" si="15"/>
        <v>28</v>
      </c>
      <c r="B36" t="e">
        <f t="shared" si="17"/>
        <v>#VALUE!</v>
      </c>
      <c r="P36" t="e">
        <f t="shared" si="11"/>
        <v>#VALUE!</v>
      </c>
      <c r="Q36" t="e">
        <f t="shared" si="12"/>
        <v>#VALUE!</v>
      </c>
      <c r="T36" t="e">
        <f t="shared" si="13"/>
        <v>#VALUE!</v>
      </c>
      <c r="U36" t="e">
        <f t="shared" si="14"/>
        <v>#VALUE!</v>
      </c>
      <c r="V36" t="e">
        <f t="shared" si="9"/>
        <v>#VALUE!</v>
      </c>
      <c r="W36" t="e">
        <f t="shared" si="10"/>
        <v>#VALUE!</v>
      </c>
    </row>
    <row r="37" spans="1:23" x14ac:dyDescent="0.25">
      <c r="A37">
        <f t="shared" si="15"/>
        <v>29</v>
      </c>
      <c r="B37" t="e">
        <f t="shared" si="17"/>
        <v>#VALUE!</v>
      </c>
      <c r="P37" t="e">
        <f t="shared" si="11"/>
        <v>#VALUE!</v>
      </c>
      <c r="Q37" t="e">
        <f t="shared" si="12"/>
        <v>#VALUE!</v>
      </c>
      <c r="T37" t="e">
        <f t="shared" si="13"/>
        <v>#VALUE!</v>
      </c>
      <c r="U37" t="e">
        <f t="shared" si="14"/>
        <v>#VALUE!</v>
      </c>
    </row>
    <row r="38" spans="1:23" x14ac:dyDescent="0.25">
      <c r="A38">
        <f t="shared" si="15"/>
        <v>30</v>
      </c>
      <c r="B38" t="e">
        <f t="shared" si="17"/>
        <v>#VALUE!</v>
      </c>
      <c r="P38" t="e">
        <f t="shared" si="11"/>
        <v>#VALUE!</v>
      </c>
      <c r="Q38" t="e">
        <f t="shared" si="12"/>
        <v>#VALUE!</v>
      </c>
      <c r="T38" t="e">
        <f t="shared" si="13"/>
        <v>#VALUE!</v>
      </c>
      <c r="U38" t="e">
        <f t="shared" si="14"/>
        <v>#VALUE!</v>
      </c>
    </row>
    <row r="39" spans="1:23" x14ac:dyDescent="0.25">
      <c r="A39">
        <f t="shared" si="15"/>
        <v>31</v>
      </c>
      <c r="B39" t="e">
        <f t="shared" si="17"/>
        <v>#VALUE!</v>
      </c>
      <c r="P39" t="e">
        <f t="shared" si="11"/>
        <v>#VALUE!</v>
      </c>
      <c r="Q39" t="e">
        <f t="shared" si="12"/>
        <v>#VALUE!</v>
      </c>
      <c r="T39" t="e">
        <f t="shared" si="13"/>
        <v>#VALUE!</v>
      </c>
      <c r="U39" t="e">
        <f t="shared" si="14"/>
        <v>#VALUE!</v>
      </c>
    </row>
    <row r="40" spans="1:23" x14ac:dyDescent="0.25">
      <c r="A40">
        <f t="shared" si="15"/>
        <v>32</v>
      </c>
      <c r="B40" t="e">
        <f t="shared" si="17"/>
        <v>#VALUE!</v>
      </c>
      <c r="P40" t="e">
        <f t="shared" si="11"/>
        <v>#VALUE!</v>
      </c>
      <c r="Q40" t="e">
        <f t="shared" si="12"/>
        <v>#VALUE!</v>
      </c>
      <c r="T40" t="e">
        <f t="shared" si="13"/>
        <v>#VALUE!</v>
      </c>
      <c r="U40" t="e">
        <f t="shared" si="14"/>
        <v>#VALUE!</v>
      </c>
    </row>
    <row r="41" spans="1:23" x14ac:dyDescent="0.25">
      <c r="A41">
        <f t="shared" si="15"/>
        <v>33</v>
      </c>
      <c r="B41" t="e">
        <f t="shared" si="17"/>
        <v>#VALUE!</v>
      </c>
      <c r="P41" t="e">
        <f t="shared" si="11"/>
        <v>#VALUE!</v>
      </c>
      <c r="Q41" t="e">
        <f t="shared" si="12"/>
        <v>#VALUE!</v>
      </c>
      <c r="T41" t="e">
        <f t="shared" si="13"/>
        <v>#VALUE!</v>
      </c>
      <c r="U41" t="e">
        <f t="shared" si="14"/>
        <v>#VALUE!</v>
      </c>
    </row>
    <row r="42" spans="1:23" x14ac:dyDescent="0.25">
      <c r="A42">
        <f t="shared" si="15"/>
        <v>34</v>
      </c>
      <c r="B42" t="e">
        <f t="shared" si="17"/>
        <v>#VALUE!</v>
      </c>
      <c r="P42" t="e">
        <f t="shared" si="11"/>
        <v>#VALUE!</v>
      </c>
      <c r="Q42" t="e">
        <f t="shared" si="12"/>
        <v>#VALUE!</v>
      </c>
      <c r="T42" t="e">
        <f t="shared" si="13"/>
        <v>#VALUE!</v>
      </c>
      <c r="U42" t="e">
        <f t="shared" si="14"/>
        <v>#VALUE!</v>
      </c>
    </row>
    <row r="43" spans="1:23" x14ac:dyDescent="0.25">
      <c r="A43">
        <f t="shared" si="15"/>
        <v>35</v>
      </c>
      <c r="B43" t="e">
        <f t="shared" si="17"/>
        <v>#VALUE!</v>
      </c>
      <c r="P43" t="e">
        <f t="shared" si="11"/>
        <v>#VALUE!</v>
      </c>
      <c r="Q43" t="e">
        <f t="shared" si="12"/>
        <v>#VALUE!</v>
      </c>
      <c r="T43" t="e">
        <f t="shared" si="13"/>
        <v>#VALUE!</v>
      </c>
      <c r="U43" t="e">
        <f t="shared" si="14"/>
        <v>#VALUE!</v>
      </c>
    </row>
    <row r="44" spans="1:23" x14ac:dyDescent="0.25">
      <c r="A44">
        <f t="shared" si="15"/>
        <v>36</v>
      </c>
      <c r="B44" t="e">
        <f t="shared" si="17"/>
        <v>#VALUE!</v>
      </c>
      <c r="P44" t="e">
        <f t="shared" si="11"/>
        <v>#VALUE!</v>
      </c>
      <c r="Q44" t="e">
        <f t="shared" si="12"/>
        <v>#VALUE!</v>
      </c>
      <c r="T44" t="e">
        <f t="shared" si="13"/>
        <v>#VALUE!</v>
      </c>
      <c r="U44" t="e">
        <f t="shared" si="14"/>
        <v>#VALUE!</v>
      </c>
    </row>
    <row r="45" spans="1:23" x14ac:dyDescent="0.25">
      <c r="A45">
        <f t="shared" si="15"/>
        <v>37</v>
      </c>
      <c r="B45" t="e">
        <f t="shared" si="17"/>
        <v>#VALUE!</v>
      </c>
      <c r="P45" t="e">
        <f t="shared" si="11"/>
        <v>#VALUE!</v>
      </c>
      <c r="Q45" t="e">
        <f t="shared" si="12"/>
        <v>#VALUE!</v>
      </c>
      <c r="T45" t="e">
        <f t="shared" si="13"/>
        <v>#VALUE!</v>
      </c>
      <c r="U45" t="e">
        <f t="shared" si="14"/>
        <v>#VALUE!</v>
      </c>
    </row>
    <row r="46" spans="1:23" x14ac:dyDescent="0.25">
      <c r="A46">
        <f t="shared" si="15"/>
        <v>38</v>
      </c>
      <c r="B46" t="e">
        <f t="shared" si="17"/>
        <v>#VALUE!</v>
      </c>
      <c r="P46" t="e">
        <f t="shared" si="11"/>
        <v>#VALUE!</v>
      </c>
      <c r="Q46" t="e">
        <f t="shared" si="12"/>
        <v>#VALUE!</v>
      </c>
      <c r="T46" t="e">
        <f t="shared" si="13"/>
        <v>#VALUE!</v>
      </c>
      <c r="U46" t="e">
        <f t="shared" si="14"/>
        <v>#VALUE!</v>
      </c>
    </row>
    <row r="47" spans="1:23" x14ac:dyDescent="0.25">
      <c r="A47">
        <f t="shared" si="15"/>
        <v>39</v>
      </c>
      <c r="B47" t="e">
        <f t="shared" si="17"/>
        <v>#VALUE!</v>
      </c>
      <c r="P47" t="e">
        <f t="shared" si="11"/>
        <v>#VALUE!</v>
      </c>
      <c r="Q47" t="e">
        <f t="shared" si="12"/>
        <v>#VALUE!</v>
      </c>
      <c r="T47" t="e">
        <f t="shared" si="13"/>
        <v>#VALUE!</v>
      </c>
      <c r="U47" t="e">
        <f t="shared" si="14"/>
        <v>#VALUE!</v>
      </c>
    </row>
    <row r="48" spans="1:23" x14ac:dyDescent="0.25">
      <c r="A48">
        <f t="shared" si="15"/>
        <v>40</v>
      </c>
      <c r="B48" t="e">
        <f t="shared" si="17"/>
        <v>#VALUE!</v>
      </c>
      <c r="P48" t="e">
        <f t="shared" si="11"/>
        <v>#VALUE!</v>
      </c>
      <c r="Q48" t="e">
        <f t="shared" si="12"/>
        <v>#VALUE!</v>
      </c>
      <c r="T48" t="e">
        <f t="shared" si="13"/>
        <v>#VALUE!</v>
      </c>
      <c r="U48" t="e">
        <f t="shared" si="14"/>
        <v>#VALUE!</v>
      </c>
    </row>
    <row r="49" spans="1:21" x14ac:dyDescent="0.25">
      <c r="A49">
        <f t="shared" si="15"/>
        <v>41</v>
      </c>
      <c r="B49" t="e">
        <f t="shared" si="17"/>
        <v>#VALUE!</v>
      </c>
      <c r="P49" t="e">
        <f t="shared" si="11"/>
        <v>#VALUE!</v>
      </c>
      <c r="Q49" t="e">
        <f t="shared" si="12"/>
        <v>#VALUE!</v>
      </c>
      <c r="T49" t="e">
        <f t="shared" si="13"/>
        <v>#VALUE!</v>
      </c>
      <c r="U49" t="e">
        <f t="shared" si="14"/>
        <v>#VALUE!</v>
      </c>
    </row>
    <row r="50" spans="1:21" x14ac:dyDescent="0.25">
      <c r="A50">
        <f t="shared" si="15"/>
        <v>42</v>
      </c>
      <c r="B50" t="e">
        <f t="shared" si="17"/>
        <v>#VALUE!</v>
      </c>
      <c r="P50" t="e">
        <f t="shared" si="11"/>
        <v>#VALUE!</v>
      </c>
      <c r="Q50" t="e">
        <f t="shared" si="12"/>
        <v>#VALUE!</v>
      </c>
      <c r="T50" t="e">
        <f t="shared" si="13"/>
        <v>#VALUE!</v>
      </c>
      <c r="U50" t="e">
        <f t="shared" si="14"/>
        <v>#VALUE!</v>
      </c>
    </row>
    <row r="51" spans="1:21" x14ac:dyDescent="0.25">
      <c r="A51">
        <f t="shared" si="15"/>
        <v>43</v>
      </c>
      <c r="B51" t="e">
        <f t="shared" si="17"/>
        <v>#VALUE!</v>
      </c>
      <c r="P51" t="e">
        <f t="shared" si="11"/>
        <v>#VALUE!</v>
      </c>
      <c r="Q51" t="e">
        <f t="shared" si="12"/>
        <v>#VALUE!</v>
      </c>
      <c r="T51" t="e">
        <f t="shared" si="13"/>
        <v>#VALUE!</v>
      </c>
      <c r="U51" t="e">
        <f t="shared" si="14"/>
        <v>#VALUE!</v>
      </c>
    </row>
    <row r="52" spans="1:21" x14ac:dyDescent="0.25">
      <c r="A52">
        <f t="shared" si="15"/>
        <v>44</v>
      </c>
      <c r="B52" t="e">
        <f t="shared" si="17"/>
        <v>#VALUE!</v>
      </c>
      <c r="P52" t="e">
        <f t="shared" si="11"/>
        <v>#VALUE!</v>
      </c>
      <c r="Q52" t="e">
        <f t="shared" si="12"/>
        <v>#VALUE!</v>
      </c>
      <c r="T52" t="e">
        <f t="shared" si="13"/>
        <v>#VALUE!</v>
      </c>
      <c r="U52" t="e">
        <f t="shared" si="14"/>
        <v>#VALUE!</v>
      </c>
    </row>
    <row r="53" spans="1:21" x14ac:dyDescent="0.25">
      <c r="A53">
        <f t="shared" si="15"/>
        <v>45</v>
      </c>
      <c r="B53" t="e">
        <f t="shared" si="17"/>
        <v>#VALUE!</v>
      </c>
      <c r="P53" t="e">
        <f t="shared" si="11"/>
        <v>#VALUE!</v>
      </c>
      <c r="Q53" t="e">
        <f t="shared" si="12"/>
        <v>#VALUE!</v>
      </c>
      <c r="T53" t="e">
        <f t="shared" si="13"/>
        <v>#VALUE!</v>
      </c>
      <c r="U53" t="e">
        <f t="shared" si="14"/>
        <v>#VALUE!</v>
      </c>
    </row>
    <row r="54" spans="1:21" x14ac:dyDescent="0.25">
      <c r="A54">
        <f t="shared" si="15"/>
        <v>46</v>
      </c>
      <c r="B54" t="e">
        <f t="shared" si="17"/>
        <v>#VALUE!</v>
      </c>
      <c r="P54" t="e">
        <f t="shared" si="11"/>
        <v>#VALUE!</v>
      </c>
      <c r="Q54" t="e">
        <f t="shared" si="12"/>
        <v>#VALUE!</v>
      </c>
      <c r="T54" t="e">
        <f t="shared" si="13"/>
        <v>#VALUE!</v>
      </c>
      <c r="U54" t="e">
        <f t="shared" si="14"/>
        <v>#VALUE!</v>
      </c>
    </row>
    <row r="55" spans="1:21" x14ac:dyDescent="0.25">
      <c r="A55">
        <f t="shared" si="15"/>
        <v>47</v>
      </c>
      <c r="B55" t="e">
        <f t="shared" si="17"/>
        <v>#VALUE!</v>
      </c>
      <c r="P55" t="e">
        <f t="shared" si="11"/>
        <v>#VALUE!</v>
      </c>
      <c r="Q55" t="e">
        <f t="shared" si="12"/>
        <v>#VALUE!</v>
      </c>
      <c r="T55" t="e">
        <f t="shared" si="13"/>
        <v>#VALUE!</v>
      </c>
      <c r="U55" t="e">
        <f t="shared" si="14"/>
        <v>#VALUE!</v>
      </c>
    </row>
    <row r="56" spans="1:21" x14ac:dyDescent="0.25">
      <c r="A56" s="7">
        <f t="shared" si="15"/>
        <v>48</v>
      </c>
      <c r="B56" t="str">
        <f t="shared" si="17"/>
        <v>CCRP_IN_STATUS</v>
      </c>
      <c r="C56" t="s">
        <v>146</v>
      </c>
      <c r="D56">
        <v>1</v>
      </c>
      <c r="E56" t="s">
        <v>13</v>
      </c>
      <c r="F56" t="s">
        <v>149</v>
      </c>
      <c r="G56" t="s">
        <v>220</v>
      </c>
      <c r="H56" t="s">
        <v>462</v>
      </c>
      <c r="I56" s="1" t="str">
        <f>CONCATENATE("`",$C$4,"_IN_STATUS` varchar(1) NOT NULL DEFAULT 'A',")</f>
        <v>`CCRP_IN_STATUS` varchar(1) NOT NULL DEFAULT 'A',</v>
      </c>
      <c r="P56">
        <f t="shared" si="11"/>
        <v>1</v>
      </c>
      <c r="Q56">
        <f t="shared" si="12"/>
        <v>16</v>
      </c>
      <c r="T56">
        <f t="shared" si="13"/>
        <v>25</v>
      </c>
      <c r="U56">
        <f t="shared" si="14"/>
        <v>27</v>
      </c>
    </row>
    <row r="57" spans="1:21" x14ac:dyDescent="0.25">
      <c r="A57" s="7">
        <f t="shared" si="15"/>
        <v>49</v>
      </c>
      <c r="B57" t="str">
        <f t="shared" si="17"/>
        <v>CCRP_DT_CADASTRO</v>
      </c>
      <c r="C57" t="s">
        <v>147</v>
      </c>
      <c r="D57">
        <v>19</v>
      </c>
      <c r="E57" t="s">
        <v>14</v>
      </c>
      <c r="F57" t="s">
        <v>149</v>
      </c>
      <c r="G57" t="s">
        <v>221</v>
      </c>
      <c r="H57" t="s">
        <v>462</v>
      </c>
      <c r="I57" s="1" t="str">
        <f>CONCATENATE("`",$C$4,"_DT_CADASTRO` timestamp NOT NULL DEFAULT CURRENT_TIMESTAMP,")</f>
        <v>`CCRP_DT_CADASTRO` timestamp NOT NULL DEFAULT CURRENT_TIMESTAMP,</v>
      </c>
      <c r="P57">
        <f t="shared" si="11"/>
        <v>1</v>
      </c>
      <c r="Q57">
        <f t="shared" si="12"/>
        <v>18</v>
      </c>
      <c r="T57" t="e">
        <f t="shared" ref="T57:T58" si="18">FIND("(",I57)</f>
        <v>#VALUE!</v>
      </c>
      <c r="U57" t="e">
        <f t="shared" ref="U57:U58" si="19">FIND(")",I57,T57+1)</f>
        <v>#VALUE!</v>
      </c>
    </row>
    <row r="58" spans="1:21" x14ac:dyDescent="0.25">
      <c r="A58" s="7">
        <f t="shared" si="15"/>
        <v>50</v>
      </c>
      <c r="B58" t="str">
        <f t="shared" si="17"/>
        <v>CCRP_DT_UPDATE</v>
      </c>
      <c r="C58" t="s">
        <v>147</v>
      </c>
      <c r="D58">
        <v>19</v>
      </c>
      <c r="E58" t="s">
        <v>15</v>
      </c>
      <c r="F58" t="s">
        <v>149</v>
      </c>
      <c r="G58" t="s">
        <v>222</v>
      </c>
      <c r="H58" t="s">
        <v>462</v>
      </c>
      <c r="I58" s="1" t="str">
        <f>CONCATENATE("`",$C$4,"_DT_UPDATE` timestamp NOT NULL DEFAULT CURRENT_TIMESTAMP ON UPDATE CURRENT_TIMESTAMP,")</f>
        <v>`CCRP_DT_UPDATE` timestamp NOT NULL DEFAULT CURRENT_TIMESTAMP ON UPDATE CURRENT_TIMESTAMP,</v>
      </c>
      <c r="P58">
        <f t="shared" si="11"/>
        <v>1</v>
      </c>
      <c r="Q58">
        <f t="shared" si="12"/>
        <v>16</v>
      </c>
      <c r="T58" t="e">
        <f t="shared" si="18"/>
        <v>#VALUE!</v>
      </c>
      <c r="U58" t="e">
        <f t="shared" si="19"/>
        <v>#VALUE!</v>
      </c>
    </row>
  </sheetData>
  <mergeCells count="1">
    <mergeCell ref="W6:X6"/>
  </mergeCells>
  <phoneticPr fontId="23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BBDAA-A244-47D3-B8D2-6CBB9077175C}">
  <sheetPr codeName="Sheet2"/>
  <dimension ref="A3:O146"/>
  <sheetViews>
    <sheetView workbookViewId="0">
      <selection activeCell="O1" sqref="O1:O1048576"/>
    </sheetView>
  </sheetViews>
  <sheetFormatPr defaultRowHeight="15" x14ac:dyDescent="0.25"/>
  <cols>
    <col min="1" max="13" width="9.140625" customWidth="1"/>
  </cols>
  <sheetData>
    <row r="3" spans="1:15" x14ac:dyDescent="0.25">
      <c r="A3" t="s">
        <v>30</v>
      </c>
    </row>
    <row r="4" spans="1:15" x14ac:dyDescent="0.25">
      <c r="A4" s="2" t="s">
        <v>16</v>
      </c>
      <c r="O4" s="7" t="str">
        <f ca="1">getCodigoBackend(N4,A4,VLOOKUP(N4,setup!$A$8:$H$58,2),VLOOKUP(N4,setup!$A$8:$H$58,3),VLOOKUP(N4,setup!$A$8:$H$58,4),VLOOKUP(N4,setup!$A$8:$H$58,5),VLOOKUP(N4,setup!$A$8:$H$58,6),VLOOKUP(N4,setup!$A$8:$H$58,7), VLOOKUP(0,setup!$A$8:$H$58,2),VLOOKUP(0,setup!$A$8:$H$58,5),VLOOKUP(N4,setup!$A$8:$H$58,8))</f>
        <v>&lt;?php</v>
      </c>
    </row>
    <row r="5" spans="1:15" x14ac:dyDescent="0.25">
      <c r="A5" s="4" t="s">
        <v>17</v>
      </c>
      <c r="O5" s="7" t="str">
        <f ca="1">getCodigoBackend(N5,A5,VLOOKUP(N5,setup!$A$8:$H$58,2),VLOOKUP(N5,setup!$A$8:$H$58,3),VLOOKUP(N5,setup!$A$8:$H$58,4),VLOOKUP(N5,setup!$A$8:$H$58,5),VLOOKUP(N5,setup!$A$8:$H$58,6),VLOOKUP(N5,setup!$A$8:$H$58,7), VLOOKUP(0,setup!$A$8:$H$58,2),VLOOKUP(0,setup!$A$8:$H$58,5),VLOOKUP(N5,setup!$A$8:$H$58,8))</f>
        <v>// importar dependencias</v>
      </c>
    </row>
    <row r="6" spans="1:15" x14ac:dyDescent="0.25">
      <c r="A6" s="5" t="s">
        <v>18</v>
      </c>
      <c r="O6" s="7" t="str">
        <f ca="1">getCodigoBackend(N6,A6,VLOOKUP(N6,setup!$A$8:$H$58,2),VLOOKUP(N6,setup!$A$8:$H$58,3),VLOOKUP(N6,setup!$A$8:$H$58,4),VLOOKUP(N6,setup!$A$8:$H$58,5),VLOOKUP(N6,setup!$A$8:$H$58,6),VLOOKUP(N6,setup!$A$8:$H$58,7), VLOOKUP(0,setup!$A$8:$H$58,2),VLOOKUP(0,setup!$A$8:$H$58,5),VLOOKUP(N6,setup!$A$8:$H$58,8))</f>
        <v>require_once '../dto/DTOPadraoEntidade.php';</v>
      </c>
    </row>
    <row r="7" spans="1:15" x14ac:dyDescent="0.25">
      <c r="A7" s="4" t="s">
        <v>19</v>
      </c>
      <c r="O7" s="7" t="str">
        <f ca="1">getCodigoBackend(N7,A7,VLOOKUP(N7,setup!$A$8:$H$58,2),VLOOKUP(N7,setup!$A$8:$H$58,3),VLOOKUP(N7,setup!$A$8:$H$58,4),VLOOKUP(N7,setup!$A$8:$H$58,5),VLOOKUP(N7,setup!$A$8:$H$58,6),VLOOKUP(N7,setup!$A$8:$H$58,7), VLOOKUP(0,setup!$A$8:$H$58,2),VLOOKUP(0,setup!$A$8:$H$58,5),VLOOKUP(N7,setup!$A$8:$H$58,8))</f>
        <v>/**</v>
      </c>
    </row>
    <row r="8" spans="1:15" x14ac:dyDescent="0.25">
      <c r="A8" s="4" t="s">
        <v>238</v>
      </c>
      <c r="O8" s="7" t="str">
        <f ca="1">getCodigoBackend(N8,A8,VLOOKUP(N8,setup!$A$8:$H$58,2),VLOOKUP(N8,setup!$A$8:$H$58,3),VLOOKUP(N8,setup!$A$8:$H$58,4),VLOOKUP(N8,setup!$A$8:$H$58,5),VLOOKUP(N8,setup!$A$8:$H$58,6),VLOOKUP(N8,setup!$A$8:$H$58,7), VLOOKUP(0,setup!$A$8:$H$58,2),VLOOKUP(0,setup!$A$8:$H$58,5),VLOOKUP(N8,setup!$A$8:$H$58,8))</f>
        <v>* CampanhaCashbackResgatePixDTO - Data Transfer Object</v>
      </c>
    </row>
    <row r="9" spans="1:15" x14ac:dyDescent="0.25">
      <c r="A9" s="4" t="s">
        <v>20</v>
      </c>
      <c r="O9" s="7" t="str">
        <f ca="1">getCodigoBackend(N9,A9,VLOOKUP(N9,setup!$A$8:$H$58,2),VLOOKUP(N9,setup!$A$8:$H$58,3),VLOOKUP(N9,setup!$A$8:$H$58,4),VLOOKUP(N9,setup!$A$8:$H$58,5),VLOOKUP(N9,setup!$A$8:$H$58,6),VLOOKUP(N9,setup!$A$8:$H$58,7), VLOOKUP(0,setup!$A$8:$H$58,2),VLOOKUP(0,setup!$A$8:$H$58,5),VLOOKUP(N9,setup!$A$8:$H$58,8))</f>
        <v>*</v>
      </c>
    </row>
    <row r="10" spans="1:15" x14ac:dyDescent="0.25">
      <c r="A10" s="4" t="s">
        <v>241</v>
      </c>
      <c r="O10" s="7" t="str">
        <f ca="1">getCodigoBackend(N10,A10,VLOOKUP(N10,setup!$A$8:$H$58,2),VLOOKUP(N10,setup!$A$8:$H$58,3),VLOOKUP(N10,setup!$A$8:$H$58,4),VLOOKUP(N10,setup!$A$8:$H$58,5),VLOOKUP(N10,setup!$A$8:$H$58,6),VLOOKUP(N10,setup!$A$8:$H$58,7), VLOOKUP(0,setup!$A$8:$H$58,2),VLOOKUP(0,setup!$A$8:$H$58,5),VLOOKUP(N10,setup!$A$8:$H$58,8))</f>
        <v xml:space="preserve">* @author Julio Cesar Vitorino </v>
      </c>
    </row>
    <row r="11" spans="1:15" x14ac:dyDescent="0.25">
      <c r="A11" s="4" t="s">
        <v>240</v>
      </c>
      <c r="O11" s="7" t="str">
        <f ca="1">getCodigoBackend(N11,A11,VLOOKUP(N11,setup!$A$8:$H$58,2),VLOOKUP(N11,setup!$A$8:$H$58,3),VLOOKUP(N11,setup!$A$8:$H$58,4),VLOOKUP(N11,setup!$A$8:$H$58,5),VLOOKUP(N11,setup!$A$8:$H$58,6),VLOOKUP(N11,setup!$A$8:$H$58,7), VLOOKUP(0,setup!$A$8:$H$58,2),VLOOKUP(0,setup!$A$8:$H$58,5),VLOOKUP(N11,setup!$A$8:$H$58,8))</f>
        <v>* @since 26/07/2021 15:11:48</v>
      </c>
    </row>
    <row r="12" spans="1:15" x14ac:dyDescent="0.25">
      <c r="A12" s="4" t="s">
        <v>242</v>
      </c>
      <c r="O12" s="7" t="str">
        <f ca="1">getCodigoBackend(N12,A12,VLOOKUP(N12,setup!$A$8:$H$58,2),VLOOKUP(N12,setup!$A$8:$H$58,3),VLOOKUP(N12,setup!$A$8:$H$58,4),VLOOKUP(N12,setup!$A$8:$H$58,5),VLOOKUP(N12,setup!$A$8:$H$58,6),VLOOKUP(N12,setup!$A$8:$H$58,7), VLOOKUP(0,setup!$A$8:$H$58,2),VLOOKUP(0,setup!$A$8:$H$58,5),VLOOKUP(N12,setup!$A$8:$H$58,8))</f>
        <v>* @copyright(c), Julio Vitorino &lt;julio.vitorino@gmail.com&gt;</v>
      </c>
    </row>
    <row r="13" spans="1:15" x14ac:dyDescent="0.25">
      <c r="A13" s="4" t="s">
        <v>21</v>
      </c>
      <c r="O13" s="7" t="str">
        <f ca="1">getCodigoBackend(N13,A13,VLOOKUP(N13,setup!$A$8:$H$58,2),VLOOKUP(N13,setup!$A$8:$H$58,3),VLOOKUP(N13,setup!$A$8:$H$58,4),VLOOKUP(N13,setup!$A$8:$H$58,5),VLOOKUP(N13,setup!$A$8:$H$58,6),VLOOKUP(N13,setup!$A$8:$H$58,7), VLOOKUP(0,setup!$A$8:$H$58,2),VLOOKUP(0,setup!$A$8:$H$58,5),VLOOKUP(N13,setup!$A$8:$H$58,8))</f>
        <v>*/</v>
      </c>
    </row>
    <row r="14" spans="1:15" x14ac:dyDescent="0.25">
      <c r="A14" s="2" t="s">
        <v>239</v>
      </c>
      <c r="O14" s="7" t="str">
        <f ca="1">getCodigoBackend(N14,A14,VLOOKUP(N14,setup!$A$8:$H$58,2),VLOOKUP(N14,setup!$A$8:$H$58,3),VLOOKUP(N14,setup!$A$8:$H$58,4),VLOOKUP(N14,setup!$A$8:$H$58,5),VLOOKUP(N14,setup!$A$8:$H$58,6),VLOOKUP(N14,setup!$A$8:$H$58,7), VLOOKUP(0,setup!$A$8:$H$58,2),VLOOKUP(0,setup!$A$8:$H$58,5),VLOOKUP(N14,setup!$A$8:$H$58,8))</f>
        <v>class CampanhaCashbackResgatePixDTO extends DTOPadraoEntidade implements JsonSerializable</v>
      </c>
    </row>
    <row r="15" spans="1:15" x14ac:dyDescent="0.25">
      <c r="A15" s="6" t="s">
        <v>22</v>
      </c>
      <c r="O15" s="7" t="str">
        <f ca="1">getCodigoBackend(N15,A15,VLOOKUP(N15,setup!$A$8:$H$58,2),VLOOKUP(N15,setup!$A$8:$H$58,3),VLOOKUP(N15,setup!$A$8:$H$58,4),VLOOKUP(N15,setup!$A$8:$H$58,5),VLOOKUP(N15,setup!$A$8:$H$58,6),VLOOKUP(N15,setup!$A$8:$H$58,7), VLOOKUP(0,setup!$A$8:$H$58,2),VLOOKUP(0,setup!$A$8:$H$58,5),VLOOKUP(N15,setup!$A$8:$H$58,8))</f>
        <v>{</v>
      </c>
    </row>
    <row r="16" spans="1:15" x14ac:dyDescent="0.25">
      <c r="A16" s="6" t="str">
        <f>CONCATENATE("    public $${dto};")</f>
        <v>    public $${dto};</v>
      </c>
      <c r="N16" s="7">
        <v>0</v>
      </c>
      <c r="O16" s="7" t="str">
        <f ca="1">getCodigoBackend(N16,A16,VLOOKUP(N16,setup!$A$8:$H$58,2),VLOOKUP(N16,setup!$A$8:$H$58,3),VLOOKUP(N16,setup!$A$8:$H$58,4),VLOOKUP(N16,setup!$A$8:$H$58,5),VLOOKUP(N16,setup!$A$8:$H$58,6),VLOOKUP(N16,setup!$A$8:$H$58,7), VLOOKUP(0,setup!$A$8:$H$58,2),VLOOKUP(0,setup!$A$8:$H$58,5),VLOOKUP(N16,setup!$A$8:$H$58,8))</f>
        <v>    public $id;</v>
      </c>
    </row>
    <row r="17" spans="1:15" x14ac:dyDescent="0.25">
      <c r="A17" s="6" t="str">
        <f t="shared" ref="A17:A66" si="0">CONCATENATE("    public $${dto};")</f>
        <v>    public $${dto};</v>
      </c>
      <c r="N17">
        <f>N16+1</f>
        <v>1</v>
      </c>
      <c r="O17" s="7" t="str">
        <f ca="1">getCodigoBackend(N17,A17,VLOOKUP(N17,setup!$A$8:$H$58,2),VLOOKUP(N17,setup!$A$8:$H$58,3),VLOOKUP(N17,setup!$A$8:$H$58,4),VLOOKUP(N17,setup!$A$8:$H$58,5),VLOOKUP(N17,setup!$A$8:$H$58,6),VLOOKUP(N17,setup!$A$8:$H$58,7), VLOOKUP(0,setup!$A$8:$H$58,2),VLOOKUP(0,setup!$A$8:$H$58,5),VLOOKUP(N17,setup!$A$8:$H$58,8))</f>
        <v>    public $idCampanhaCashback;</v>
      </c>
    </row>
    <row r="18" spans="1:15" x14ac:dyDescent="0.25">
      <c r="A18" s="6" t="str">
        <f t="shared" si="0"/>
        <v>    public $${dto};</v>
      </c>
      <c r="N18">
        <f t="shared" ref="N18:N66" si="1">N17+1</f>
        <v>2</v>
      </c>
      <c r="O18" s="7" t="str">
        <f ca="1">getCodigoBackend(N18,A18,VLOOKUP(N18,setup!$A$8:$H$58,2),VLOOKUP(N18,setup!$A$8:$H$58,3),VLOOKUP(N18,setup!$A$8:$H$58,4),VLOOKUP(N18,setup!$A$8:$H$58,5),VLOOKUP(N18,setup!$A$8:$H$58,6),VLOOKUP(N18,setup!$A$8:$H$58,7), VLOOKUP(0,setup!$A$8:$H$58,2),VLOOKUP(0,setup!$A$8:$H$58,5),VLOOKUP(N18,setup!$A$8:$H$58,8))</f>
        <v>    public $idUsuarioSolicitante;</v>
      </c>
    </row>
    <row r="19" spans="1:15" x14ac:dyDescent="0.25">
      <c r="A19" s="6" t="str">
        <f t="shared" si="0"/>
        <v>    public $${dto};</v>
      </c>
      <c r="N19">
        <f t="shared" si="1"/>
        <v>3</v>
      </c>
      <c r="O19" s="7" t="str">
        <f ca="1">getCodigoBackend(N19,A19,VLOOKUP(N19,setup!$A$8:$H$58,2),VLOOKUP(N19,setup!$A$8:$H$58,3),VLOOKUP(N19,setup!$A$8:$H$58,4),VLOOKUP(N19,setup!$A$8:$H$58,5),VLOOKUP(N19,setup!$A$8:$H$58,6),VLOOKUP(N19,setup!$A$8:$H$58,7), VLOOKUP(0,setup!$A$8:$H$58,2),VLOOKUP(0,setup!$A$8:$H$58,5),VLOOKUP(N19,setup!$A$8:$H$58,8))</f>
        <v>    public $tipoChavePix;</v>
      </c>
    </row>
    <row r="20" spans="1:15" x14ac:dyDescent="0.25">
      <c r="A20" s="6" t="str">
        <f t="shared" si="0"/>
        <v>    public $${dto};</v>
      </c>
      <c r="N20">
        <f t="shared" si="1"/>
        <v>4</v>
      </c>
      <c r="O20" s="7" t="str">
        <f ca="1">getCodigoBackend(N20,A20,VLOOKUP(N20,setup!$A$8:$H$58,2),VLOOKUP(N20,setup!$A$8:$H$58,3),VLOOKUP(N20,setup!$A$8:$H$58,4),VLOOKUP(N20,setup!$A$8:$H$58,5),VLOOKUP(N20,setup!$A$8:$H$58,6),VLOOKUP(N20,setup!$A$8:$H$58,7), VLOOKUP(0,setup!$A$8:$H$58,2),VLOOKUP(0,setup!$A$8:$H$58,5),VLOOKUP(N20,setup!$A$8:$H$58,8))</f>
        <v>    public $chavePix;</v>
      </c>
    </row>
    <row r="21" spans="1:15" x14ac:dyDescent="0.25">
      <c r="A21" s="6" t="str">
        <f t="shared" si="0"/>
        <v>    public $${dto};</v>
      </c>
      <c r="N21">
        <f t="shared" si="1"/>
        <v>5</v>
      </c>
      <c r="O21" s="7" t="str">
        <f ca="1">getCodigoBackend(N21,A21,VLOOKUP(N21,setup!$A$8:$H$58,2),VLOOKUP(N21,setup!$A$8:$H$58,3),VLOOKUP(N21,setup!$A$8:$H$58,4),VLOOKUP(N21,setup!$A$8:$H$58,5),VLOOKUP(N21,setup!$A$8:$H$58,6),VLOOKUP(N21,setup!$A$8:$H$58,7), VLOOKUP(0,setup!$A$8:$H$58,2),VLOOKUP(0,setup!$A$8:$H$58,5),VLOOKUP(N21,setup!$A$8:$H$58,8))</f>
        <v>    public $valorResgate;</v>
      </c>
    </row>
    <row r="22" spans="1:15" x14ac:dyDescent="0.25">
      <c r="A22" s="6" t="str">
        <f t="shared" si="0"/>
        <v>    public $${dto};</v>
      </c>
      <c r="N22">
        <f t="shared" si="1"/>
        <v>6</v>
      </c>
      <c r="O22" s="7" t="str">
        <f ca="1">getCodigoBackend(N22,A22,VLOOKUP(N22,setup!$A$8:$H$58,2),VLOOKUP(N22,setup!$A$8:$H$58,3),VLOOKUP(N22,setup!$A$8:$H$58,4),VLOOKUP(N22,setup!$A$8:$H$58,5),VLOOKUP(N22,setup!$A$8:$H$58,6),VLOOKUP(N22,setup!$A$8:$H$58,7), VLOOKUP(0,setup!$A$8:$H$58,2),VLOOKUP(0,setup!$A$8:$H$58,5),VLOOKUP(N22,setup!$A$8:$H$58,8))</f>
        <v>    public $autenticacaoBco;</v>
      </c>
    </row>
    <row r="23" spans="1:15" x14ac:dyDescent="0.25">
      <c r="A23" s="6" t="str">
        <f t="shared" si="0"/>
        <v>    public $${dto};</v>
      </c>
      <c r="N23">
        <f t="shared" si="1"/>
        <v>7</v>
      </c>
      <c r="O23" s="7" t="str">
        <f ca="1">getCodigoBackend(N23,A23,VLOOKUP(N23,setup!$A$8:$H$58,2),VLOOKUP(N23,setup!$A$8:$H$58,3),VLOOKUP(N23,setup!$A$8:$H$58,4),VLOOKUP(N23,setup!$A$8:$H$58,5),VLOOKUP(N23,setup!$A$8:$H$58,6),VLOOKUP(N23,setup!$A$8:$H$58,7), VLOOKUP(0,setup!$A$8:$H$58,2),VLOOKUP(0,setup!$A$8:$H$58,5),VLOOKUP(N23,setup!$A$8:$H$58,8))</f>
        <v>    public $estagioRealTime;</v>
      </c>
    </row>
    <row r="24" spans="1:15" x14ac:dyDescent="0.25">
      <c r="A24" s="6" t="str">
        <f t="shared" si="0"/>
        <v>    public $${dto};</v>
      </c>
      <c r="N24">
        <f t="shared" si="1"/>
        <v>8</v>
      </c>
      <c r="O24" s="7" t="str">
        <f ca="1">getCodigoBackend(N24,A24,VLOOKUP(N24,setup!$A$8:$H$58,2),VLOOKUP(N24,setup!$A$8:$H$58,3),VLOOKUP(N24,setup!$A$8:$H$58,4),VLOOKUP(N24,setup!$A$8:$H$58,5),VLOOKUP(N24,setup!$A$8:$H$58,6),VLOOKUP(N24,setup!$A$8:$H$58,7), VLOOKUP(0,setup!$A$8:$H$58,2),VLOOKUP(0,setup!$A$8:$H$58,5),VLOOKUP(N24,setup!$A$8:$H$58,8))</f>
        <v>    public $dtEstagioAnalise;</v>
      </c>
    </row>
    <row r="25" spans="1:15" x14ac:dyDescent="0.25">
      <c r="A25" s="6" t="str">
        <f t="shared" si="0"/>
        <v>    public $${dto};</v>
      </c>
      <c r="N25">
        <f t="shared" si="1"/>
        <v>9</v>
      </c>
      <c r="O25" s="7" t="str">
        <f ca="1">getCodigoBackend(N25,A25,VLOOKUP(N25,setup!$A$8:$H$58,2),VLOOKUP(N25,setup!$A$8:$H$58,3),VLOOKUP(N25,setup!$A$8:$H$58,4),VLOOKUP(N25,setup!$A$8:$H$58,5),VLOOKUP(N25,setup!$A$8:$H$58,6),VLOOKUP(N25,setup!$A$8:$H$58,7), VLOOKUP(0,setup!$A$8:$H$58,2),VLOOKUP(0,setup!$A$8:$H$58,5),VLOOKUP(N25,setup!$A$8:$H$58,8))</f>
        <v>    public $dtEstagioFinanceiro;</v>
      </c>
    </row>
    <row r="26" spans="1:15" x14ac:dyDescent="0.25">
      <c r="A26" s="6" t="str">
        <f t="shared" si="0"/>
        <v>    public $${dto};</v>
      </c>
      <c r="N26">
        <f t="shared" si="1"/>
        <v>10</v>
      </c>
      <c r="O26" s="7" t="str">
        <f ca="1">getCodigoBackend(N26,A26,VLOOKUP(N26,setup!$A$8:$H$58,2),VLOOKUP(N26,setup!$A$8:$H$58,3),VLOOKUP(N26,setup!$A$8:$H$58,4),VLOOKUP(N26,setup!$A$8:$H$58,5),VLOOKUP(N26,setup!$A$8:$H$58,6),VLOOKUP(N26,setup!$A$8:$H$58,7), VLOOKUP(0,setup!$A$8:$H$58,2),VLOOKUP(0,setup!$A$8:$H$58,5),VLOOKUP(N26,setup!$A$8:$H$58,8))</f>
        <v>    public $dtEstagioErro;</v>
      </c>
    </row>
    <row r="27" spans="1:15" x14ac:dyDescent="0.25">
      <c r="A27" s="6" t="str">
        <f t="shared" si="0"/>
        <v>    public $${dto};</v>
      </c>
      <c r="N27">
        <f t="shared" si="1"/>
        <v>11</v>
      </c>
      <c r="O27" s="7" t="str">
        <f ca="1">getCodigoBackend(N27,A27,VLOOKUP(N27,setup!$A$8:$H$58,2),VLOOKUP(N27,setup!$A$8:$H$58,3),VLOOKUP(N27,setup!$A$8:$H$58,4),VLOOKUP(N27,setup!$A$8:$H$58,5),VLOOKUP(N27,setup!$A$8:$H$58,6),VLOOKUP(N27,setup!$A$8:$H$58,7), VLOOKUP(0,setup!$A$8:$H$58,2),VLOOKUP(0,setup!$A$8:$H$58,5),VLOOKUP(N27,setup!$A$8:$H$58,8))</f>
        <v>    public $dtEstagioTranfBco;</v>
      </c>
    </row>
    <row r="28" spans="1:15" x14ac:dyDescent="0.25">
      <c r="A28" s="6" t="str">
        <f t="shared" si="0"/>
        <v>    public $${dto};</v>
      </c>
      <c r="N28">
        <f t="shared" si="1"/>
        <v>12</v>
      </c>
      <c r="O28" s="7" t="str">
        <f ca="1">getCodigoBackend(N28,A28,VLOOKUP(N28,setup!$A$8:$H$58,2),VLOOKUP(N28,setup!$A$8:$H$58,3),VLOOKUP(N28,setup!$A$8:$H$58,4),VLOOKUP(N28,setup!$A$8:$H$58,5),VLOOKUP(N28,setup!$A$8:$H$58,6),VLOOKUP(N28,setup!$A$8:$H$58,7), VLOOKUP(0,setup!$A$8:$H$58,2),VLOOKUP(0,setup!$A$8:$H$58,5),VLOOKUP(N28,setup!$A$8:$H$58,8))</f>
        <v>    public $txtLivreEstagioRT;</v>
      </c>
    </row>
    <row r="29" spans="1:15" x14ac:dyDescent="0.25">
      <c r="A29" s="6" t="str">
        <f t="shared" si="0"/>
        <v>    public $${dto};</v>
      </c>
      <c r="N29">
        <f t="shared" si="1"/>
        <v>13</v>
      </c>
      <c r="O29" s="7" t="e">
        <f>getCodigoBackend(N29,A29,VLOOKUP(N29,setup!$A$8:$H$58,2),VLOOKUP(N29,setup!$A$8:$H$58,3),VLOOKUP(N29,setup!$A$8:$H$58,4),VLOOKUP(N29,setup!$A$8:$H$58,5),VLOOKUP(N29,setup!$A$8:$H$58,6),VLOOKUP(N29,setup!$A$8:$H$58,7), VLOOKUP(0,setup!$A$8:$H$58,2),VLOOKUP(0,setup!$A$8:$H$58,5),VLOOKUP(N29,setup!$A$8:$H$58,8))</f>
        <v>#VALUE!</v>
      </c>
    </row>
    <row r="30" spans="1:15" x14ac:dyDescent="0.25">
      <c r="A30" s="6" t="str">
        <f t="shared" si="0"/>
        <v>    public $${dto};</v>
      </c>
      <c r="N30">
        <f t="shared" si="1"/>
        <v>14</v>
      </c>
      <c r="O30" s="7" t="e">
        <f>getCodigoBackend(N30,A30,VLOOKUP(N30,setup!$A$8:$H$58,2),VLOOKUP(N30,setup!$A$8:$H$58,3),VLOOKUP(N30,setup!$A$8:$H$58,4),VLOOKUP(N30,setup!$A$8:$H$58,5),VLOOKUP(N30,setup!$A$8:$H$58,6),VLOOKUP(N30,setup!$A$8:$H$58,7), VLOOKUP(0,setup!$A$8:$H$58,2),VLOOKUP(0,setup!$A$8:$H$58,5),VLOOKUP(N30,setup!$A$8:$H$58,8))</f>
        <v>#VALUE!</v>
      </c>
    </row>
    <row r="31" spans="1:15" x14ac:dyDescent="0.25">
      <c r="A31" s="6" t="str">
        <f t="shared" si="0"/>
        <v>    public $${dto};</v>
      </c>
      <c r="N31">
        <f t="shared" si="1"/>
        <v>15</v>
      </c>
      <c r="O31" s="7" t="e">
        <f>getCodigoBackend(N31,A31,VLOOKUP(N31,setup!$A$8:$H$58,2),VLOOKUP(N31,setup!$A$8:$H$58,3),VLOOKUP(N31,setup!$A$8:$H$58,4),VLOOKUP(N31,setup!$A$8:$H$58,5),VLOOKUP(N31,setup!$A$8:$H$58,6),VLOOKUP(N31,setup!$A$8:$H$58,7), VLOOKUP(0,setup!$A$8:$H$58,2),VLOOKUP(0,setup!$A$8:$H$58,5),VLOOKUP(N31,setup!$A$8:$H$58,8))</f>
        <v>#VALUE!</v>
      </c>
    </row>
    <row r="32" spans="1:15" x14ac:dyDescent="0.25">
      <c r="A32" s="6" t="str">
        <f t="shared" si="0"/>
        <v>    public $${dto};</v>
      </c>
      <c r="N32">
        <f t="shared" si="1"/>
        <v>16</v>
      </c>
      <c r="O32" s="7" t="e">
        <f>getCodigoBackend(N32,A32,VLOOKUP(N32,setup!$A$8:$H$58,2),VLOOKUP(N32,setup!$A$8:$H$58,3),VLOOKUP(N32,setup!$A$8:$H$58,4),VLOOKUP(N32,setup!$A$8:$H$58,5),VLOOKUP(N32,setup!$A$8:$H$58,6),VLOOKUP(N32,setup!$A$8:$H$58,7), VLOOKUP(0,setup!$A$8:$H$58,2),VLOOKUP(0,setup!$A$8:$H$58,5),VLOOKUP(N32,setup!$A$8:$H$58,8))</f>
        <v>#VALUE!</v>
      </c>
    </row>
    <row r="33" spans="1:15" x14ac:dyDescent="0.25">
      <c r="A33" s="6" t="str">
        <f t="shared" si="0"/>
        <v>    public $${dto};</v>
      </c>
      <c r="N33">
        <f t="shared" si="1"/>
        <v>17</v>
      </c>
      <c r="O33" s="7" t="e">
        <f>getCodigoBackend(N33,A33,VLOOKUP(N33,setup!$A$8:$H$58,2),VLOOKUP(N33,setup!$A$8:$H$58,3),VLOOKUP(N33,setup!$A$8:$H$58,4),VLOOKUP(N33,setup!$A$8:$H$58,5),VLOOKUP(N33,setup!$A$8:$H$58,6),VLOOKUP(N33,setup!$A$8:$H$58,7), VLOOKUP(0,setup!$A$8:$H$58,2),VLOOKUP(0,setup!$A$8:$H$58,5),VLOOKUP(N33,setup!$A$8:$H$58,8))</f>
        <v>#VALUE!</v>
      </c>
    </row>
    <row r="34" spans="1:15" x14ac:dyDescent="0.25">
      <c r="A34" s="6" t="str">
        <f t="shared" si="0"/>
        <v>    public $${dto};</v>
      </c>
      <c r="N34">
        <f t="shared" si="1"/>
        <v>18</v>
      </c>
      <c r="O34" s="7" t="e">
        <f>getCodigoBackend(N34,A34,VLOOKUP(N34,setup!$A$8:$H$58,2),VLOOKUP(N34,setup!$A$8:$H$58,3),VLOOKUP(N34,setup!$A$8:$H$58,4),VLOOKUP(N34,setup!$A$8:$H$58,5),VLOOKUP(N34,setup!$A$8:$H$58,6),VLOOKUP(N34,setup!$A$8:$H$58,7), VLOOKUP(0,setup!$A$8:$H$58,2),VLOOKUP(0,setup!$A$8:$H$58,5),VLOOKUP(N34,setup!$A$8:$H$58,8))</f>
        <v>#VALUE!</v>
      </c>
    </row>
    <row r="35" spans="1:15" x14ac:dyDescent="0.25">
      <c r="A35" s="6" t="str">
        <f t="shared" si="0"/>
        <v>    public $${dto};</v>
      </c>
      <c r="N35">
        <f t="shared" si="1"/>
        <v>19</v>
      </c>
      <c r="O35" s="7" t="e">
        <f>getCodigoBackend(N35,A35,VLOOKUP(N35,setup!$A$8:$H$58,2),VLOOKUP(N35,setup!$A$8:$H$58,3),VLOOKUP(N35,setup!$A$8:$H$58,4),VLOOKUP(N35,setup!$A$8:$H$58,5),VLOOKUP(N35,setup!$A$8:$H$58,6),VLOOKUP(N35,setup!$A$8:$H$58,7), VLOOKUP(0,setup!$A$8:$H$58,2),VLOOKUP(0,setup!$A$8:$H$58,5),VLOOKUP(N35,setup!$A$8:$H$58,8))</f>
        <v>#VALUE!</v>
      </c>
    </row>
    <row r="36" spans="1:15" x14ac:dyDescent="0.25">
      <c r="A36" s="6" t="str">
        <f t="shared" si="0"/>
        <v>    public $${dto};</v>
      </c>
      <c r="N36">
        <f t="shared" si="1"/>
        <v>20</v>
      </c>
      <c r="O36" s="7" t="e">
        <f>getCodigoBackend(N36,A36,VLOOKUP(N36,setup!$A$8:$H$58,2),VLOOKUP(N36,setup!$A$8:$H$58,3),VLOOKUP(N36,setup!$A$8:$H$58,4),VLOOKUP(N36,setup!$A$8:$H$58,5),VLOOKUP(N36,setup!$A$8:$H$58,6),VLOOKUP(N36,setup!$A$8:$H$58,7), VLOOKUP(0,setup!$A$8:$H$58,2),VLOOKUP(0,setup!$A$8:$H$58,5),VLOOKUP(N36,setup!$A$8:$H$58,8))</f>
        <v>#VALUE!</v>
      </c>
    </row>
    <row r="37" spans="1:15" x14ac:dyDescent="0.25">
      <c r="A37" s="6" t="str">
        <f t="shared" si="0"/>
        <v>    public $${dto};</v>
      </c>
      <c r="N37">
        <f t="shared" si="1"/>
        <v>21</v>
      </c>
      <c r="O37" s="7" t="e">
        <f>getCodigoBackend(N37,A37,VLOOKUP(N37,setup!$A$8:$H$58,2),VLOOKUP(N37,setup!$A$8:$H$58,3),VLOOKUP(N37,setup!$A$8:$H$58,4),VLOOKUP(N37,setup!$A$8:$H$58,5),VLOOKUP(N37,setup!$A$8:$H$58,6),VLOOKUP(N37,setup!$A$8:$H$58,7), VLOOKUP(0,setup!$A$8:$H$58,2),VLOOKUP(0,setup!$A$8:$H$58,5),VLOOKUP(N37,setup!$A$8:$H$58,8))</f>
        <v>#VALUE!</v>
      </c>
    </row>
    <row r="38" spans="1:15" x14ac:dyDescent="0.25">
      <c r="A38" s="6" t="str">
        <f t="shared" si="0"/>
        <v>    public $${dto};</v>
      </c>
      <c r="N38">
        <f t="shared" si="1"/>
        <v>22</v>
      </c>
      <c r="O38" s="7" t="e">
        <f>getCodigoBackend(N38,A38,VLOOKUP(N38,setup!$A$8:$H$58,2),VLOOKUP(N38,setup!$A$8:$H$58,3),VLOOKUP(N38,setup!$A$8:$H$58,4),VLOOKUP(N38,setup!$A$8:$H$58,5),VLOOKUP(N38,setup!$A$8:$H$58,6),VLOOKUP(N38,setup!$A$8:$H$58,7), VLOOKUP(0,setup!$A$8:$H$58,2),VLOOKUP(0,setup!$A$8:$H$58,5),VLOOKUP(N38,setup!$A$8:$H$58,8))</f>
        <v>#VALUE!</v>
      </c>
    </row>
    <row r="39" spans="1:15" x14ac:dyDescent="0.25">
      <c r="A39" s="6" t="str">
        <f t="shared" si="0"/>
        <v>    public $${dto};</v>
      </c>
      <c r="N39">
        <f t="shared" si="1"/>
        <v>23</v>
      </c>
      <c r="O39" s="7" t="e">
        <f>getCodigoBackend(N39,A39,VLOOKUP(N39,setup!$A$8:$H$58,2),VLOOKUP(N39,setup!$A$8:$H$58,3),VLOOKUP(N39,setup!$A$8:$H$58,4),VLOOKUP(N39,setup!$A$8:$H$58,5),VLOOKUP(N39,setup!$A$8:$H$58,6),VLOOKUP(N39,setup!$A$8:$H$58,7), VLOOKUP(0,setup!$A$8:$H$58,2),VLOOKUP(0,setup!$A$8:$H$58,5),VLOOKUP(N39,setup!$A$8:$H$58,8))</f>
        <v>#VALUE!</v>
      </c>
    </row>
    <row r="40" spans="1:15" x14ac:dyDescent="0.25">
      <c r="A40" s="6" t="str">
        <f t="shared" si="0"/>
        <v>    public $${dto};</v>
      </c>
      <c r="N40">
        <f t="shared" si="1"/>
        <v>24</v>
      </c>
      <c r="O40" s="7" t="e">
        <f>getCodigoBackend(N40,A40,VLOOKUP(N40,setup!$A$8:$H$58,2),VLOOKUP(N40,setup!$A$8:$H$58,3),VLOOKUP(N40,setup!$A$8:$H$58,4),VLOOKUP(N40,setup!$A$8:$H$58,5),VLOOKUP(N40,setup!$A$8:$H$58,6),VLOOKUP(N40,setup!$A$8:$H$58,7), VLOOKUP(0,setup!$A$8:$H$58,2),VLOOKUP(0,setup!$A$8:$H$58,5),VLOOKUP(N40,setup!$A$8:$H$58,8))</f>
        <v>#VALUE!</v>
      </c>
    </row>
    <row r="41" spans="1:15" x14ac:dyDescent="0.25">
      <c r="A41" s="6" t="str">
        <f t="shared" si="0"/>
        <v>    public $${dto};</v>
      </c>
      <c r="N41">
        <f t="shared" si="1"/>
        <v>25</v>
      </c>
      <c r="O41" s="7" t="e">
        <f>getCodigoBackend(N41,A41,VLOOKUP(N41,setup!$A$8:$H$58,2),VLOOKUP(N41,setup!$A$8:$H$58,3),VLOOKUP(N41,setup!$A$8:$H$58,4),VLOOKUP(N41,setup!$A$8:$H$58,5),VLOOKUP(N41,setup!$A$8:$H$58,6),VLOOKUP(N41,setup!$A$8:$H$58,7), VLOOKUP(0,setup!$A$8:$H$58,2),VLOOKUP(0,setup!$A$8:$H$58,5),VLOOKUP(N41,setup!$A$8:$H$58,8))</f>
        <v>#VALUE!</v>
      </c>
    </row>
    <row r="42" spans="1:15" x14ac:dyDescent="0.25">
      <c r="A42" s="6" t="str">
        <f t="shared" si="0"/>
        <v>    public $${dto};</v>
      </c>
      <c r="N42">
        <f t="shared" si="1"/>
        <v>26</v>
      </c>
      <c r="O42" s="7" t="e">
        <f>getCodigoBackend(N42,A42,VLOOKUP(N42,setup!$A$8:$H$58,2),VLOOKUP(N42,setup!$A$8:$H$58,3),VLOOKUP(N42,setup!$A$8:$H$58,4),VLOOKUP(N42,setup!$A$8:$H$58,5),VLOOKUP(N42,setup!$A$8:$H$58,6),VLOOKUP(N42,setup!$A$8:$H$58,7), VLOOKUP(0,setup!$A$8:$H$58,2),VLOOKUP(0,setup!$A$8:$H$58,5),VLOOKUP(N42,setup!$A$8:$H$58,8))</f>
        <v>#VALUE!</v>
      </c>
    </row>
    <row r="43" spans="1:15" x14ac:dyDescent="0.25">
      <c r="A43" s="6" t="str">
        <f t="shared" si="0"/>
        <v>    public $${dto};</v>
      </c>
      <c r="N43">
        <f t="shared" si="1"/>
        <v>27</v>
      </c>
      <c r="O43" s="7" t="e">
        <f>getCodigoBackend(N43,A43,VLOOKUP(N43,setup!$A$8:$H$58,2),VLOOKUP(N43,setup!$A$8:$H$58,3),VLOOKUP(N43,setup!$A$8:$H$58,4),VLOOKUP(N43,setup!$A$8:$H$58,5),VLOOKUP(N43,setup!$A$8:$H$58,6),VLOOKUP(N43,setup!$A$8:$H$58,7), VLOOKUP(0,setup!$A$8:$H$58,2),VLOOKUP(0,setup!$A$8:$H$58,5),VLOOKUP(N43,setup!$A$8:$H$58,8))</f>
        <v>#VALUE!</v>
      </c>
    </row>
    <row r="44" spans="1:15" x14ac:dyDescent="0.25">
      <c r="A44" s="6" t="str">
        <f t="shared" si="0"/>
        <v>    public $${dto};</v>
      </c>
      <c r="N44">
        <f t="shared" si="1"/>
        <v>28</v>
      </c>
      <c r="O44" s="7" t="e">
        <f>getCodigoBackend(N44,A44,VLOOKUP(N44,setup!$A$8:$H$58,2),VLOOKUP(N44,setup!$A$8:$H$58,3),VLOOKUP(N44,setup!$A$8:$H$58,4),VLOOKUP(N44,setup!$A$8:$H$58,5),VLOOKUP(N44,setup!$A$8:$H$58,6),VLOOKUP(N44,setup!$A$8:$H$58,7), VLOOKUP(0,setup!$A$8:$H$58,2),VLOOKUP(0,setup!$A$8:$H$58,5),VLOOKUP(N44,setup!$A$8:$H$58,8))</f>
        <v>#VALUE!</v>
      </c>
    </row>
    <row r="45" spans="1:15" x14ac:dyDescent="0.25">
      <c r="A45" s="6" t="str">
        <f t="shared" si="0"/>
        <v>    public $${dto};</v>
      </c>
      <c r="N45">
        <f t="shared" si="1"/>
        <v>29</v>
      </c>
      <c r="O45" s="7" t="e">
        <f>getCodigoBackend(N45,A45,VLOOKUP(N45,setup!$A$8:$H$58,2),VLOOKUP(N45,setup!$A$8:$H$58,3),VLOOKUP(N45,setup!$A$8:$H$58,4),VLOOKUP(N45,setup!$A$8:$H$58,5),VLOOKUP(N45,setup!$A$8:$H$58,6),VLOOKUP(N45,setup!$A$8:$H$58,7), VLOOKUP(0,setup!$A$8:$H$58,2),VLOOKUP(0,setup!$A$8:$H$58,5),VLOOKUP(N45,setup!$A$8:$H$58,8))</f>
        <v>#VALUE!</v>
      </c>
    </row>
    <row r="46" spans="1:15" x14ac:dyDescent="0.25">
      <c r="A46" s="6" t="str">
        <f t="shared" si="0"/>
        <v>    public $${dto};</v>
      </c>
      <c r="N46">
        <f t="shared" si="1"/>
        <v>30</v>
      </c>
      <c r="O46" s="7" t="e">
        <f>getCodigoBackend(N46,A46,VLOOKUP(N46,setup!$A$8:$H$58,2),VLOOKUP(N46,setup!$A$8:$H$58,3),VLOOKUP(N46,setup!$A$8:$H$58,4),VLOOKUP(N46,setup!$A$8:$H$58,5),VLOOKUP(N46,setup!$A$8:$H$58,6),VLOOKUP(N46,setup!$A$8:$H$58,7), VLOOKUP(0,setup!$A$8:$H$58,2),VLOOKUP(0,setup!$A$8:$H$58,5),VLOOKUP(N46,setup!$A$8:$H$58,8))</f>
        <v>#VALUE!</v>
      </c>
    </row>
    <row r="47" spans="1:15" x14ac:dyDescent="0.25">
      <c r="A47" s="6" t="str">
        <f t="shared" si="0"/>
        <v>    public $${dto};</v>
      </c>
      <c r="N47">
        <f t="shared" si="1"/>
        <v>31</v>
      </c>
      <c r="O47" s="7" t="e">
        <f>getCodigoBackend(N47,A47,VLOOKUP(N47,setup!$A$8:$H$58,2),VLOOKUP(N47,setup!$A$8:$H$58,3),VLOOKUP(N47,setup!$A$8:$H$58,4),VLOOKUP(N47,setup!$A$8:$H$58,5),VLOOKUP(N47,setup!$A$8:$H$58,6),VLOOKUP(N47,setup!$A$8:$H$58,7), VLOOKUP(0,setup!$A$8:$H$58,2),VLOOKUP(0,setup!$A$8:$H$58,5),VLOOKUP(N47,setup!$A$8:$H$58,8))</f>
        <v>#VALUE!</v>
      </c>
    </row>
    <row r="48" spans="1:15" x14ac:dyDescent="0.25">
      <c r="A48" s="6" t="str">
        <f t="shared" si="0"/>
        <v>    public $${dto};</v>
      </c>
      <c r="N48">
        <f t="shared" si="1"/>
        <v>32</v>
      </c>
      <c r="O48" s="7" t="e">
        <f>getCodigoBackend(N48,A48,VLOOKUP(N48,setup!$A$8:$H$58,2),VLOOKUP(N48,setup!$A$8:$H$58,3),VLOOKUP(N48,setup!$A$8:$H$58,4),VLOOKUP(N48,setup!$A$8:$H$58,5),VLOOKUP(N48,setup!$A$8:$H$58,6),VLOOKUP(N48,setup!$A$8:$H$58,7), VLOOKUP(0,setup!$A$8:$H$58,2),VLOOKUP(0,setup!$A$8:$H$58,5),VLOOKUP(N48,setup!$A$8:$H$58,8))</f>
        <v>#VALUE!</v>
      </c>
    </row>
    <row r="49" spans="1:15" x14ac:dyDescent="0.25">
      <c r="A49" s="6" t="str">
        <f t="shared" si="0"/>
        <v>    public $${dto};</v>
      </c>
      <c r="N49">
        <f t="shared" si="1"/>
        <v>33</v>
      </c>
      <c r="O49" s="7" t="e">
        <f>getCodigoBackend(N49,A49,VLOOKUP(N49,setup!$A$8:$H$58,2),VLOOKUP(N49,setup!$A$8:$H$58,3),VLOOKUP(N49,setup!$A$8:$H$58,4),VLOOKUP(N49,setup!$A$8:$H$58,5),VLOOKUP(N49,setup!$A$8:$H$58,6),VLOOKUP(N49,setup!$A$8:$H$58,7), VLOOKUP(0,setup!$A$8:$H$58,2),VLOOKUP(0,setup!$A$8:$H$58,5),VLOOKUP(N49,setup!$A$8:$H$58,8))</f>
        <v>#VALUE!</v>
      </c>
    </row>
    <row r="50" spans="1:15" x14ac:dyDescent="0.25">
      <c r="A50" s="6" t="str">
        <f t="shared" si="0"/>
        <v>    public $${dto};</v>
      </c>
      <c r="N50">
        <f t="shared" si="1"/>
        <v>34</v>
      </c>
      <c r="O50" s="7" t="e">
        <f>getCodigoBackend(N50,A50,VLOOKUP(N50,setup!$A$8:$H$58,2),VLOOKUP(N50,setup!$A$8:$H$58,3),VLOOKUP(N50,setup!$A$8:$H$58,4),VLOOKUP(N50,setup!$A$8:$H$58,5),VLOOKUP(N50,setup!$A$8:$H$58,6),VLOOKUP(N50,setup!$A$8:$H$58,7), VLOOKUP(0,setup!$A$8:$H$58,2),VLOOKUP(0,setup!$A$8:$H$58,5),VLOOKUP(N50,setup!$A$8:$H$58,8))</f>
        <v>#VALUE!</v>
      </c>
    </row>
    <row r="51" spans="1:15" x14ac:dyDescent="0.25">
      <c r="A51" s="6" t="str">
        <f t="shared" si="0"/>
        <v>    public $${dto};</v>
      </c>
      <c r="N51">
        <f t="shared" si="1"/>
        <v>35</v>
      </c>
      <c r="O51" s="7" t="e">
        <f>getCodigoBackend(N51,A51,VLOOKUP(N51,setup!$A$8:$H$58,2),VLOOKUP(N51,setup!$A$8:$H$58,3),VLOOKUP(N51,setup!$A$8:$H$58,4),VLOOKUP(N51,setup!$A$8:$H$58,5),VLOOKUP(N51,setup!$A$8:$H$58,6),VLOOKUP(N51,setup!$A$8:$H$58,7), VLOOKUP(0,setup!$A$8:$H$58,2),VLOOKUP(0,setup!$A$8:$H$58,5),VLOOKUP(N51,setup!$A$8:$H$58,8))</f>
        <v>#VALUE!</v>
      </c>
    </row>
    <row r="52" spans="1:15" x14ac:dyDescent="0.25">
      <c r="A52" s="6" t="str">
        <f t="shared" si="0"/>
        <v>    public $${dto};</v>
      </c>
      <c r="N52">
        <f t="shared" si="1"/>
        <v>36</v>
      </c>
      <c r="O52" s="7" t="e">
        <f>getCodigoBackend(N52,A52,VLOOKUP(N52,setup!$A$8:$H$58,2),VLOOKUP(N52,setup!$A$8:$H$58,3),VLOOKUP(N52,setup!$A$8:$H$58,4),VLOOKUP(N52,setup!$A$8:$H$58,5),VLOOKUP(N52,setup!$A$8:$H$58,6),VLOOKUP(N52,setup!$A$8:$H$58,7), VLOOKUP(0,setup!$A$8:$H$58,2),VLOOKUP(0,setup!$A$8:$H$58,5),VLOOKUP(N52,setup!$A$8:$H$58,8))</f>
        <v>#VALUE!</v>
      </c>
    </row>
    <row r="53" spans="1:15" x14ac:dyDescent="0.25">
      <c r="A53" s="6" t="str">
        <f t="shared" si="0"/>
        <v>    public $${dto};</v>
      </c>
      <c r="N53">
        <f t="shared" si="1"/>
        <v>37</v>
      </c>
      <c r="O53" s="7" t="e">
        <f>getCodigoBackend(N53,A53,VLOOKUP(N53,setup!$A$8:$H$58,2),VLOOKUP(N53,setup!$A$8:$H$58,3),VLOOKUP(N53,setup!$A$8:$H$58,4),VLOOKUP(N53,setup!$A$8:$H$58,5),VLOOKUP(N53,setup!$A$8:$H$58,6),VLOOKUP(N53,setup!$A$8:$H$58,7), VLOOKUP(0,setup!$A$8:$H$58,2),VLOOKUP(0,setup!$A$8:$H$58,5),VLOOKUP(N53,setup!$A$8:$H$58,8))</f>
        <v>#VALUE!</v>
      </c>
    </row>
    <row r="54" spans="1:15" x14ac:dyDescent="0.25">
      <c r="A54" s="6" t="str">
        <f t="shared" si="0"/>
        <v>    public $${dto};</v>
      </c>
      <c r="N54">
        <f t="shared" si="1"/>
        <v>38</v>
      </c>
      <c r="O54" s="7" t="e">
        <f>getCodigoBackend(N54,A54,VLOOKUP(N54,setup!$A$8:$H$58,2),VLOOKUP(N54,setup!$A$8:$H$58,3),VLOOKUP(N54,setup!$A$8:$H$58,4),VLOOKUP(N54,setup!$A$8:$H$58,5),VLOOKUP(N54,setup!$A$8:$H$58,6),VLOOKUP(N54,setup!$A$8:$H$58,7), VLOOKUP(0,setup!$A$8:$H$58,2),VLOOKUP(0,setup!$A$8:$H$58,5),VLOOKUP(N54,setup!$A$8:$H$58,8))</f>
        <v>#VALUE!</v>
      </c>
    </row>
    <row r="55" spans="1:15" x14ac:dyDescent="0.25">
      <c r="A55" s="6" t="str">
        <f t="shared" si="0"/>
        <v>    public $${dto};</v>
      </c>
      <c r="N55">
        <f t="shared" si="1"/>
        <v>39</v>
      </c>
      <c r="O55" s="7" t="e">
        <f>getCodigoBackend(N55,A55,VLOOKUP(N55,setup!$A$8:$H$58,2),VLOOKUP(N55,setup!$A$8:$H$58,3),VLOOKUP(N55,setup!$A$8:$H$58,4),VLOOKUP(N55,setup!$A$8:$H$58,5),VLOOKUP(N55,setup!$A$8:$H$58,6),VLOOKUP(N55,setup!$A$8:$H$58,7), VLOOKUP(0,setup!$A$8:$H$58,2),VLOOKUP(0,setup!$A$8:$H$58,5),VLOOKUP(N55,setup!$A$8:$H$58,8))</f>
        <v>#VALUE!</v>
      </c>
    </row>
    <row r="56" spans="1:15" x14ac:dyDescent="0.25">
      <c r="A56" s="6" t="str">
        <f t="shared" si="0"/>
        <v>    public $${dto};</v>
      </c>
      <c r="N56">
        <f t="shared" si="1"/>
        <v>40</v>
      </c>
      <c r="O56" s="7" t="e">
        <f>getCodigoBackend(N56,A56,VLOOKUP(N56,setup!$A$8:$H$58,2),VLOOKUP(N56,setup!$A$8:$H$58,3),VLOOKUP(N56,setup!$A$8:$H$58,4),VLOOKUP(N56,setup!$A$8:$H$58,5),VLOOKUP(N56,setup!$A$8:$H$58,6),VLOOKUP(N56,setup!$A$8:$H$58,7), VLOOKUP(0,setup!$A$8:$H$58,2),VLOOKUP(0,setup!$A$8:$H$58,5),VLOOKUP(N56,setup!$A$8:$H$58,8))</f>
        <v>#VALUE!</v>
      </c>
    </row>
    <row r="57" spans="1:15" x14ac:dyDescent="0.25">
      <c r="A57" s="6" t="str">
        <f t="shared" si="0"/>
        <v>    public $${dto};</v>
      </c>
      <c r="N57">
        <f t="shared" si="1"/>
        <v>41</v>
      </c>
      <c r="O57" s="7" t="e">
        <f>getCodigoBackend(N57,A57,VLOOKUP(N57,setup!$A$8:$H$58,2),VLOOKUP(N57,setup!$A$8:$H$58,3),VLOOKUP(N57,setup!$A$8:$H$58,4),VLOOKUP(N57,setup!$A$8:$H$58,5),VLOOKUP(N57,setup!$A$8:$H$58,6),VLOOKUP(N57,setup!$A$8:$H$58,7), VLOOKUP(0,setup!$A$8:$H$58,2),VLOOKUP(0,setup!$A$8:$H$58,5),VLOOKUP(N57,setup!$A$8:$H$58,8))</f>
        <v>#VALUE!</v>
      </c>
    </row>
    <row r="58" spans="1:15" x14ac:dyDescent="0.25">
      <c r="A58" s="6" t="str">
        <f t="shared" si="0"/>
        <v>    public $${dto};</v>
      </c>
      <c r="N58">
        <f t="shared" si="1"/>
        <v>42</v>
      </c>
      <c r="O58" s="7" t="e">
        <f>getCodigoBackend(N58,A58,VLOOKUP(N58,setup!$A$8:$H$58,2),VLOOKUP(N58,setup!$A$8:$H$58,3),VLOOKUP(N58,setup!$A$8:$H$58,4),VLOOKUP(N58,setup!$A$8:$H$58,5),VLOOKUP(N58,setup!$A$8:$H$58,6),VLOOKUP(N58,setup!$A$8:$H$58,7), VLOOKUP(0,setup!$A$8:$H$58,2),VLOOKUP(0,setup!$A$8:$H$58,5),VLOOKUP(N58,setup!$A$8:$H$58,8))</f>
        <v>#VALUE!</v>
      </c>
    </row>
    <row r="59" spans="1:15" x14ac:dyDescent="0.25">
      <c r="A59" s="6" t="str">
        <f t="shared" si="0"/>
        <v>    public $${dto};</v>
      </c>
      <c r="N59">
        <f t="shared" si="1"/>
        <v>43</v>
      </c>
      <c r="O59" s="7" t="e">
        <f>getCodigoBackend(N59,A59,VLOOKUP(N59,setup!$A$8:$H$58,2),VLOOKUP(N59,setup!$A$8:$H$58,3),VLOOKUP(N59,setup!$A$8:$H$58,4),VLOOKUP(N59,setup!$A$8:$H$58,5),VLOOKUP(N59,setup!$A$8:$H$58,6),VLOOKUP(N59,setup!$A$8:$H$58,7), VLOOKUP(0,setup!$A$8:$H$58,2),VLOOKUP(0,setup!$A$8:$H$58,5),VLOOKUP(N59,setup!$A$8:$H$58,8))</f>
        <v>#VALUE!</v>
      </c>
    </row>
    <row r="60" spans="1:15" x14ac:dyDescent="0.25">
      <c r="A60" s="6" t="str">
        <f t="shared" si="0"/>
        <v>    public $${dto};</v>
      </c>
      <c r="N60">
        <f t="shared" si="1"/>
        <v>44</v>
      </c>
      <c r="O60" s="7" t="e">
        <f>getCodigoBackend(N60,A60,VLOOKUP(N60,setup!$A$8:$H$58,2),VLOOKUP(N60,setup!$A$8:$H$58,3),VLOOKUP(N60,setup!$A$8:$H$58,4),VLOOKUP(N60,setup!$A$8:$H$58,5),VLOOKUP(N60,setup!$A$8:$H$58,6),VLOOKUP(N60,setup!$A$8:$H$58,7), VLOOKUP(0,setup!$A$8:$H$58,2),VLOOKUP(0,setup!$A$8:$H$58,5),VLOOKUP(N60,setup!$A$8:$H$58,8))</f>
        <v>#VALUE!</v>
      </c>
    </row>
    <row r="61" spans="1:15" x14ac:dyDescent="0.25">
      <c r="A61" s="6" t="str">
        <f t="shared" si="0"/>
        <v>    public $${dto};</v>
      </c>
      <c r="N61">
        <f t="shared" si="1"/>
        <v>45</v>
      </c>
      <c r="O61" s="7" t="e">
        <f>getCodigoBackend(N61,A61,VLOOKUP(N61,setup!$A$8:$H$58,2),VLOOKUP(N61,setup!$A$8:$H$58,3),VLOOKUP(N61,setup!$A$8:$H$58,4),VLOOKUP(N61,setup!$A$8:$H$58,5),VLOOKUP(N61,setup!$A$8:$H$58,6),VLOOKUP(N61,setup!$A$8:$H$58,7), VLOOKUP(0,setup!$A$8:$H$58,2),VLOOKUP(0,setup!$A$8:$H$58,5),VLOOKUP(N61,setup!$A$8:$H$58,8))</f>
        <v>#VALUE!</v>
      </c>
    </row>
    <row r="62" spans="1:15" x14ac:dyDescent="0.25">
      <c r="A62" s="6" t="str">
        <f t="shared" si="0"/>
        <v>    public $${dto};</v>
      </c>
      <c r="N62">
        <f t="shared" si="1"/>
        <v>46</v>
      </c>
      <c r="O62" s="7" t="e">
        <f>getCodigoBackend(N62,A62,VLOOKUP(N62,setup!$A$8:$H$58,2),VLOOKUP(N62,setup!$A$8:$H$58,3),VLOOKUP(N62,setup!$A$8:$H$58,4),VLOOKUP(N62,setup!$A$8:$H$58,5),VLOOKUP(N62,setup!$A$8:$H$58,6),VLOOKUP(N62,setup!$A$8:$H$58,7), VLOOKUP(0,setup!$A$8:$H$58,2),VLOOKUP(0,setup!$A$8:$H$58,5),VLOOKUP(N62,setup!$A$8:$H$58,8))</f>
        <v>#VALUE!</v>
      </c>
    </row>
    <row r="63" spans="1:15" x14ac:dyDescent="0.25">
      <c r="A63" s="6" t="str">
        <f t="shared" si="0"/>
        <v>    public $${dto};</v>
      </c>
      <c r="N63">
        <f t="shared" si="1"/>
        <v>47</v>
      </c>
      <c r="O63" s="7" t="e">
        <f>getCodigoBackend(N63,A63,VLOOKUP(N63,setup!$A$8:$H$58,2),VLOOKUP(N63,setup!$A$8:$H$58,3),VLOOKUP(N63,setup!$A$8:$H$58,4),VLOOKUP(N63,setup!$A$8:$H$58,5),VLOOKUP(N63,setup!$A$8:$H$58,6),VLOOKUP(N63,setup!$A$8:$H$58,7), VLOOKUP(0,setup!$A$8:$H$58,2),VLOOKUP(0,setup!$A$8:$H$58,5),VLOOKUP(N63,setup!$A$8:$H$58,8))</f>
        <v>#VALUE!</v>
      </c>
    </row>
    <row r="64" spans="1:15" x14ac:dyDescent="0.25">
      <c r="A64" s="6" t="str">
        <f t="shared" si="0"/>
        <v>    public $${dto};</v>
      </c>
      <c r="N64">
        <f t="shared" si="1"/>
        <v>48</v>
      </c>
      <c r="O64" s="7" t="str">
        <f ca="1">getCodigoBackend(N64,A64,VLOOKUP(N64,setup!$A$8:$H$58,2),VLOOKUP(N64,setup!$A$8:$H$58,3),VLOOKUP(N64,setup!$A$8:$H$58,4),VLOOKUP(N64,setup!$A$8:$H$58,5),VLOOKUP(N64,setup!$A$8:$H$58,6),VLOOKUP(N64,setup!$A$8:$H$58,7), VLOOKUP(0,setup!$A$8:$H$58,2),VLOOKUP(0,setup!$A$8:$H$58,5),VLOOKUP(N64,setup!$A$8:$H$58,8))</f>
        <v>    public $status;</v>
      </c>
    </row>
    <row r="65" spans="1:15" x14ac:dyDescent="0.25">
      <c r="A65" s="6" t="str">
        <f t="shared" si="0"/>
        <v>    public $${dto};</v>
      </c>
      <c r="N65">
        <f t="shared" si="1"/>
        <v>49</v>
      </c>
      <c r="O65" s="7" t="str">
        <f ca="1">getCodigoBackend(N65,A65,VLOOKUP(N65,setup!$A$8:$H$58,2),VLOOKUP(N65,setup!$A$8:$H$58,3),VLOOKUP(N65,setup!$A$8:$H$58,4),VLOOKUP(N65,setup!$A$8:$H$58,5),VLOOKUP(N65,setup!$A$8:$H$58,6),VLOOKUP(N65,setup!$A$8:$H$58,7), VLOOKUP(0,setup!$A$8:$H$58,2),VLOOKUP(0,setup!$A$8:$H$58,5),VLOOKUP(N65,setup!$A$8:$H$58,8))</f>
        <v>    public $dataCadastro;</v>
      </c>
    </row>
    <row r="66" spans="1:15" x14ac:dyDescent="0.25">
      <c r="A66" s="6" t="str">
        <f t="shared" si="0"/>
        <v>    public $${dto};</v>
      </c>
      <c r="N66">
        <f t="shared" si="1"/>
        <v>50</v>
      </c>
      <c r="O66" s="7" t="str">
        <f ca="1">getCodigoBackend(N66,A66,VLOOKUP(N66,setup!$A$8:$H$58,2),VLOOKUP(N66,setup!$A$8:$H$58,3),VLOOKUP(N66,setup!$A$8:$H$58,4),VLOOKUP(N66,setup!$A$8:$H$58,5),VLOOKUP(N66,setup!$A$8:$H$58,6),VLOOKUP(N66,setup!$A$8:$H$58,7), VLOOKUP(0,setup!$A$8:$H$58,2),VLOOKUP(0,setup!$A$8:$H$58,5),VLOOKUP(N66,setup!$A$8:$H$58,8))</f>
        <v>    public $dataAtualizacao;</v>
      </c>
    </row>
    <row r="67" spans="1:15" x14ac:dyDescent="0.25">
      <c r="A67" s="6"/>
      <c r="O67" s="7" t="str">
        <f ca="1">getCodigoBackend(N67,A67,VLOOKUP(N67,setup!$A$8:$H$58,2),VLOOKUP(N67,setup!$A$8:$H$58,3),VLOOKUP(N67,setup!$A$8:$H$58,4),VLOOKUP(N67,setup!$A$8:$H$58,5),VLOOKUP(N67,setup!$A$8:$H$58,6),VLOOKUP(N67,setup!$A$8:$H$58,7), VLOOKUP(0,setup!$A$8:$H$58,2),VLOOKUP(0,setup!$A$8:$H$58,5),VLOOKUP(N67,setup!$A$8:$H$58,8))</f>
        <v/>
      </c>
    </row>
    <row r="68" spans="1:15" x14ac:dyDescent="0.25">
      <c r="A68" s="2"/>
      <c r="O68" s="7" t="str">
        <f ca="1">getCodigoBackend(N68,A68,VLOOKUP(N68,setup!$A$8:$H$58,2),VLOOKUP(N68,setup!$A$8:$H$58,3),VLOOKUP(N68,setup!$A$8:$H$58,4),VLOOKUP(N68,setup!$A$8:$H$58,5),VLOOKUP(N68,setup!$A$8:$H$58,6),VLOOKUP(N68,setup!$A$8:$H$58,7), VLOOKUP(0,setup!$A$8:$H$58,2),VLOOKUP(0,setup!$A$8:$H$58,5),VLOOKUP(N68,setup!$A$8:$H$58,8))</f>
        <v/>
      </c>
    </row>
    <row r="69" spans="1:15" x14ac:dyDescent="0.25">
      <c r="A69" s="2"/>
      <c r="O69" s="7" t="str">
        <f ca="1">getCodigoBackend(N69,A69,VLOOKUP(N69,setup!$A$8:$H$58,2),VLOOKUP(N69,setup!$A$8:$H$58,3),VLOOKUP(N69,setup!$A$8:$H$58,4),VLOOKUP(N69,setup!$A$8:$H$58,5),VLOOKUP(N69,setup!$A$8:$H$58,6),VLOOKUP(N69,setup!$A$8:$H$58,7), VLOOKUP(0,setup!$A$8:$H$58,2),VLOOKUP(0,setup!$A$8:$H$58,5),VLOOKUP(N69,setup!$A$8:$H$58,8))</f>
        <v/>
      </c>
    </row>
    <row r="70" spans="1:15" x14ac:dyDescent="0.25">
      <c r="A70" s="3"/>
      <c r="O70" s="7" t="str">
        <f ca="1">getCodigoBackend(N70,A70,VLOOKUP(N70,setup!$A$8:$H$58,2),VLOOKUP(N70,setup!$A$8:$H$58,3),VLOOKUP(N70,setup!$A$8:$H$58,4),VLOOKUP(N70,setup!$A$8:$H$58,5),VLOOKUP(N70,setup!$A$8:$H$58,6),VLOOKUP(N70,setup!$A$8:$H$58,7), VLOOKUP(0,setup!$A$8:$H$58,2),VLOOKUP(0,setup!$A$8:$H$58,5),VLOOKUP(N70,setup!$A$8:$H$58,8))</f>
        <v/>
      </c>
    </row>
    <row r="71" spans="1:15" x14ac:dyDescent="0.25">
      <c r="A71" s="2" t="s">
        <v>23</v>
      </c>
      <c r="O71" s="7" t="str">
        <f ca="1">getCodigoBackend(N71,A71,VLOOKUP(N71,setup!$A$8:$H$58,2),VLOOKUP(N71,setup!$A$8:$H$58,3),VLOOKUP(N71,setup!$A$8:$H$58,4),VLOOKUP(N71,setup!$A$8:$H$58,5),VLOOKUP(N71,setup!$A$8:$H$58,6),VLOOKUP(N71,setup!$A$8:$H$58,7), VLOOKUP(0,setup!$A$8:$H$58,2),VLOOKUP(0,setup!$A$8:$H$58,5),VLOOKUP(N71,setup!$A$8:$H$58,8))</f>
        <v>public function jsonSerialize()</v>
      </c>
    </row>
    <row r="72" spans="1:15" x14ac:dyDescent="0.25">
      <c r="A72" s="6" t="s">
        <v>22</v>
      </c>
      <c r="O72" s="7" t="str">
        <f ca="1">getCodigoBackend(N72,A72,VLOOKUP(N72,setup!$A$8:$H$58,2),VLOOKUP(N72,setup!$A$8:$H$58,3),VLOOKUP(N72,setup!$A$8:$H$58,4),VLOOKUP(N72,setup!$A$8:$H$58,5),VLOOKUP(N72,setup!$A$8:$H$58,6),VLOOKUP(N72,setup!$A$8:$H$58,7), VLOOKUP(0,setup!$A$8:$H$58,2),VLOOKUP(0,setup!$A$8:$H$58,5),VLOOKUP(N72,setup!$A$8:$H$58,8))</f>
        <v>{</v>
      </c>
    </row>
    <row r="73" spans="1:15" x14ac:dyDescent="0.25">
      <c r="A73" s="5" t="s">
        <v>24</v>
      </c>
      <c r="O73" s="7" t="str">
        <f ca="1">getCodigoBackend(N73,A73,VLOOKUP(N73,setup!$A$8:$H$58,2),VLOOKUP(N73,setup!$A$8:$H$58,3),VLOOKUP(N73,setup!$A$8:$H$58,4),VLOOKUP(N73,setup!$A$8:$H$58,5),VLOOKUP(N73,setup!$A$8:$H$58,6),VLOOKUP(N73,setup!$A$8:$H$58,7), VLOOKUP(0,setup!$A$8:$H$58,2),VLOOKUP(0,setup!$A$8:$H$58,5),VLOOKUP(N73,setup!$A$8:$H$58,8))</f>
        <v xml:space="preserve">return </v>
      </c>
    </row>
    <row r="74" spans="1:15" x14ac:dyDescent="0.25">
      <c r="A74" s="6" t="s">
        <v>25</v>
      </c>
      <c r="O74" s="7" t="str">
        <f ca="1">getCodigoBackend(N74,A74,VLOOKUP(N74,setup!$A$8:$H$58,2),VLOOKUP(N74,setup!$A$8:$H$58,3),VLOOKUP(N74,setup!$A$8:$H$58,4),VLOOKUP(N74,setup!$A$8:$H$58,5),VLOOKUP(N74,setup!$A$8:$H$58,6),VLOOKUP(N74,setup!$A$8:$H$58,7), VLOOKUP(0,setup!$A$8:$H$58,2),VLOOKUP(0,setup!$A$8:$H$58,5),VLOOKUP(N74,setup!$A$8:$H$58,8))</f>
        <v>[</v>
      </c>
    </row>
    <row r="75" spans="1:15" x14ac:dyDescent="0.25">
      <c r="A75" s="10" t="str">
        <f>CONCATENATE("   '${dto}' =&gt; $this-&gt;${dto},")</f>
        <v xml:space="preserve">   '${dto}' =&gt; $this-&gt;${dto},</v>
      </c>
      <c r="N75">
        <v>0</v>
      </c>
      <c r="O75" s="7" t="str">
        <f ca="1">getCodigoBackend(N75,A75,VLOOKUP(N75,setup!$A$8:$H$58,2),VLOOKUP(N75,setup!$A$8:$H$58,3),VLOOKUP(N75,setup!$A$8:$H$58,4),VLOOKUP(N75,setup!$A$8:$H$58,5),VLOOKUP(N75,setup!$A$8:$H$58,6),VLOOKUP(N75,setup!$A$8:$H$58,7), VLOOKUP(0,setup!$A$8:$H$58,2),VLOOKUP(0,setup!$A$8:$H$58,5),VLOOKUP(N75,setup!$A$8:$H$58,8))</f>
        <v xml:space="preserve">   'id' =&gt; $this-&gt;id,</v>
      </c>
    </row>
    <row r="76" spans="1:15" x14ac:dyDescent="0.25">
      <c r="A76" s="10" t="str">
        <f t="shared" ref="A76:A125" si="2">CONCATENATE("   '${dto}' =&gt; $this-&gt;${dto},")</f>
        <v xml:space="preserve">   '${dto}' =&gt; $this-&gt;${dto},</v>
      </c>
      <c r="N76">
        <f>N75+1</f>
        <v>1</v>
      </c>
      <c r="O76" s="7" t="str">
        <f ca="1">getCodigoBackend(N76,A76,VLOOKUP(N76,setup!$A$8:$H$58,2),VLOOKUP(N76,setup!$A$8:$H$58,3),VLOOKUP(N76,setup!$A$8:$H$58,4),VLOOKUP(N76,setup!$A$8:$H$58,5),VLOOKUP(N76,setup!$A$8:$H$58,6),VLOOKUP(N76,setup!$A$8:$H$58,7), VLOOKUP(0,setup!$A$8:$H$58,2),VLOOKUP(0,setup!$A$8:$H$58,5),VLOOKUP(N76,setup!$A$8:$H$58,8))</f>
        <v xml:space="preserve">   'idCampanhaCashback' =&gt; $this-&gt;idCampanhaCashback,</v>
      </c>
    </row>
    <row r="77" spans="1:15" x14ac:dyDescent="0.25">
      <c r="A77" s="10" t="str">
        <f t="shared" si="2"/>
        <v xml:space="preserve">   '${dto}' =&gt; $this-&gt;${dto},</v>
      </c>
      <c r="N77">
        <f t="shared" ref="N77:N125" si="3">N76+1</f>
        <v>2</v>
      </c>
      <c r="O77" s="7" t="str">
        <f ca="1">getCodigoBackend(N77,A77,VLOOKUP(N77,setup!$A$8:$H$58,2),VLOOKUP(N77,setup!$A$8:$H$58,3),VLOOKUP(N77,setup!$A$8:$H$58,4),VLOOKUP(N77,setup!$A$8:$H$58,5),VLOOKUP(N77,setup!$A$8:$H$58,6),VLOOKUP(N77,setup!$A$8:$H$58,7), VLOOKUP(0,setup!$A$8:$H$58,2),VLOOKUP(0,setup!$A$8:$H$58,5),VLOOKUP(N77,setup!$A$8:$H$58,8))</f>
        <v xml:space="preserve">   'idUsuarioSolicitante' =&gt; $this-&gt;idUsuarioSolicitante,</v>
      </c>
    </row>
    <row r="78" spans="1:15" x14ac:dyDescent="0.25">
      <c r="A78" s="10" t="str">
        <f t="shared" si="2"/>
        <v xml:space="preserve">   '${dto}' =&gt; $this-&gt;${dto},</v>
      </c>
      <c r="N78">
        <f t="shared" si="3"/>
        <v>3</v>
      </c>
      <c r="O78" s="7" t="str">
        <f ca="1">getCodigoBackend(N78,A78,VLOOKUP(N78,setup!$A$8:$H$58,2),VLOOKUP(N78,setup!$A$8:$H$58,3),VLOOKUP(N78,setup!$A$8:$H$58,4),VLOOKUP(N78,setup!$A$8:$H$58,5),VLOOKUP(N78,setup!$A$8:$H$58,6),VLOOKUP(N78,setup!$A$8:$H$58,7), VLOOKUP(0,setup!$A$8:$H$58,2),VLOOKUP(0,setup!$A$8:$H$58,5),VLOOKUP(N78,setup!$A$8:$H$58,8))</f>
        <v xml:space="preserve">   'tipoChavePix' =&gt; $this-&gt;tipoChavePix,</v>
      </c>
    </row>
    <row r="79" spans="1:15" x14ac:dyDescent="0.25">
      <c r="A79" s="10" t="str">
        <f t="shared" si="2"/>
        <v xml:space="preserve">   '${dto}' =&gt; $this-&gt;${dto},</v>
      </c>
      <c r="N79">
        <f t="shared" si="3"/>
        <v>4</v>
      </c>
      <c r="O79" s="7" t="str">
        <f ca="1">getCodigoBackend(N79,A79,VLOOKUP(N79,setup!$A$8:$H$58,2),VLOOKUP(N79,setup!$A$8:$H$58,3),VLOOKUP(N79,setup!$A$8:$H$58,4),VLOOKUP(N79,setup!$A$8:$H$58,5),VLOOKUP(N79,setup!$A$8:$H$58,6),VLOOKUP(N79,setup!$A$8:$H$58,7), VLOOKUP(0,setup!$A$8:$H$58,2),VLOOKUP(0,setup!$A$8:$H$58,5),VLOOKUP(N79,setup!$A$8:$H$58,8))</f>
        <v xml:space="preserve">   'chavePix' =&gt; $this-&gt;chavePix,</v>
      </c>
    </row>
    <row r="80" spans="1:15" x14ac:dyDescent="0.25">
      <c r="A80" s="10" t="str">
        <f t="shared" si="2"/>
        <v xml:space="preserve">   '${dto}' =&gt; $this-&gt;${dto},</v>
      </c>
      <c r="N80">
        <f t="shared" si="3"/>
        <v>5</v>
      </c>
      <c r="O80" s="7" t="str">
        <f ca="1">getCodigoBackend(N80,A80,VLOOKUP(N80,setup!$A$8:$H$58,2),VLOOKUP(N80,setup!$A$8:$H$58,3),VLOOKUP(N80,setup!$A$8:$H$58,4),VLOOKUP(N80,setup!$A$8:$H$58,5),VLOOKUP(N80,setup!$A$8:$H$58,6),VLOOKUP(N80,setup!$A$8:$H$58,7), VLOOKUP(0,setup!$A$8:$H$58,2),VLOOKUP(0,setup!$A$8:$H$58,5),VLOOKUP(N80,setup!$A$8:$H$58,8))</f>
        <v xml:space="preserve">   'valorResgate' =&gt; $this-&gt;valorResgate,</v>
      </c>
    </row>
    <row r="81" spans="1:15" x14ac:dyDescent="0.25">
      <c r="A81" s="10" t="str">
        <f t="shared" si="2"/>
        <v xml:space="preserve">   '${dto}' =&gt; $this-&gt;${dto},</v>
      </c>
      <c r="N81">
        <f t="shared" si="3"/>
        <v>6</v>
      </c>
      <c r="O81" s="7" t="str">
        <f ca="1">getCodigoBackend(N81,A81,VLOOKUP(N81,setup!$A$8:$H$58,2),VLOOKUP(N81,setup!$A$8:$H$58,3),VLOOKUP(N81,setup!$A$8:$H$58,4),VLOOKUP(N81,setup!$A$8:$H$58,5),VLOOKUP(N81,setup!$A$8:$H$58,6),VLOOKUP(N81,setup!$A$8:$H$58,7), VLOOKUP(0,setup!$A$8:$H$58,2),VLOOKUP(0,setup!$A$8:$H$58,5),VLOOKUP(N81,setup!$A$8:$H$58,8))</f>
        <v xml:space="preserve">   'autenticacaoBco' =&gt; $this-&gt;autenticacaoBco,</v>
      </c>
    </row>
    <row r="82" spans="1:15" x14ac:dyDescent="0.25">
      <c r="A82" s="10" t="str">
        <f t="shared" si="2"/>
        <v xml:space="preserve">   '${dto}' =&gt; $this-&gt;${dto},</v>
      </c>
      <c r="N82">
        <f t="shared" si="3"/>
        <v>7</v>
      </c>
      <c r="O82" s="7" t="str">
        <f ca="1">getCodigoBackend(N82,A82,VLOOKUP(N82,setup!$A$8:$H$58,2),VLOOKUP(N82,setup!$A$8:$H$58,3),VLOOKUP(N82,setup!$A$8:$H$58,4),VLOOKUP(N82,setup!$A$8:$H$58,5),VLOOKUP(N82,setup!$A$8:$H$58,6),VLOOKUP(N82,setup!$A$8:$H$58,7), VLOOKUP(0,setup!$A$8:$H$58,2),VLOOKUP(0,setup!$A$8:$H$58,5),VLOOKUP(N82,setup!$A$8:$H$58,8))</f>
        <v xml:space="preserve">   'estagioRealTime' =&gt; $this-&gt;estagioRealTime,</v>
      </c>
    </row>
    <row r="83" spans="1:15" x14ac:dyDescent="0.25">
      <c r="A83" s="10" t="str">
        <f t="shared" si="2"/>
        <v xml:space="preserve">   '${dto}' =&gt; $this-&gt;${dto},</v>
      </c>
      <c r="N83">
        <f t="shared" si="3"/>
        <v>8</v>
      </c>
      <c r="O83" s="7" t="str">
        <f ca="1">getCodigoBackend(N83,A83,VLOOKUP(N83,setup!$A$8:$H$58,2),VLOOKUP(N83,setup!$A$8:$H$58,3),VLOOKUP(N83,setup!$A$8:$H$58,4),VLOOKUP(N83,setup!$A$8:$H$58,5),VLOOKUP(N83,setup!$A$8:$H$58,6),VLOOKUP(N83,setup!$A$8:$H$58,7), VLOOKUP(0,setup!$A$8:$H$58,2),VLOOKUP(0,setup!$A$8:$H$58,5),VLOOKUP(N83,setup!$A$8:$H$58,8))</f>
        <v xml:space="preserve">   'dtEstagioAnalise' =&gt; $this-&gt;dtEstagioAnalise,</v>
      </c>
    </row>
    <row r="84" spans="1:15" x14ac:dyDescent="0.25">
      <c r="A84" s="10" t="str">
        <f t="shared" si="2"/>
        <v xml:space="preserve">   '${dto}' =&gt; $this-&gt;${dto},</v>
      </c>
      <c r="N84">
        <f t="shared" si="3"/>
        <v>9</v>
      </c>
      <c r="O84" s="7" t="str">
        <f ca="1">getCodigoBackend(N84,A84,VLOOKUP(N84,setup!$A$8:$H$58,2),VLOOKUP(N84,setup!$A$8:$H$58,3),VLOOKUP(N84,setup!$A$8:$H$58,4),VLOOKUP(N84,setup!$A$8:$H$58,5),VLOOKUP(N84,setup!$A$8:$H$58,6),VLOOKUP(N84,setup!$A$8:$H$58,7), VLOOKUP(0,setup!$A$8:$H$58,2),VLOOKUP(0,setup!$A$8:$H$58,5),VLOOKUP(N84,setup!$A$8:$H$58,8))</f>
        <v xml:space="preserve">   'dtEstagioFinanceiro' =&gt; $this-&gt;dtEstagioFinanceiro,</v>
      </c>
    </row>
    <row r="85" spans="1:15" x14ac:dyDescent="0.25">
      <c r="A85" s="10" t="str">
        <f t="shared" si="2"/>
        <v xml:space="preserve">   '${dto}' =&gt; $this-&gt;${dto},</v>
      </c>
      <c r="N85">
        <f t="shared" si="3"/>
        <v>10</v>
      </c>
      <c r="O85" s="7" t="str">
        <f ca="1">getCodigoBackend(N85,A85,VLOOKUP(N85,setup!$A$8:$H$58,2),VLOOKUP(N85,setup!$A$8:$H$58,3),VLOOKUP(N85,setup!$A$8:$H$58,4),VLOOKUP(N85,setup!$A$8:$H$58,5),VLOOKUP(N85,setup!$A$8:$H$58,6),VLOOKUP(N85,setup!$A$8:$H$58,7), VLOOKUP(0,setup!$A$8:$H$58,2),VLOOKUP(0,setup!$A$8:$H$58,5),VLOOKUP(N85,setup!$A$8:$H$58,8))</f>
        <v xml:space="preserve">   'dtEstagioErro' =&gt; $this-&gt;dtEstagioErro,</v>
      </c>
    </row>
    <row r="86" spans="1:15" x14ac:dyDescent="0.25">
      <c r="A86" s="10" t="str">
        <f t="shared" si="2"/>
        <v xml:space="preserve">   '${dto}' =&gt; $this-&gt;${dto},</v>
      </c>
      <c r="N86">
        <f t="shared" si="3"/>
        <v>11</v>
      </c>
      <c r="O86" s="7" t="str">
        <f ca="1">getCodigoBackend(N86,A86,VLOOKUP(N86,setup!$A$8:$H$58,2),VLOOKUP(N86,setup!$A$8:$H$58,3),VLOOKUP(N86,setup!$A$8:$H$58,4),VLOOKUP(N86,setup!$A$8:$H$58,5),VLOOKUP(N86,setup!$A$8:$H$58,6),VLOOKUP(N86,setup!$A$8:$H$58,7), VLOOKUP(0,setup!$A$8:$H$58,2),VLOOKUP(0,setup!$A$8:$H$58,5),VLOOKUP(N86,setup!$A$8:$H$58,8))</f>
        <v xml:space="preserve">   'dtEstagioTranfBco' =&gt; $this-&gt;dtEstagioTranfBco,</v>
      </c>
    </row>
    <row r="87" spans="1:15" x14ac:dyDescent="0.25">
      <c r="A87" s="10" t="str">
        <f t="shared" si="2"/>
        <v xml:space="preserve">   '${dto}' =&gt; $this-&gt;${dto},</v>
      </c>
      <c r="N87">
        <f t="shared" si="3"/>
        <v>12</v>
      </c>
      <c r="O87" s="7" t="str">
        <f ca="1">getCodigoBackend(N87,A87,VLOOKUP(N87,setup!$A$8:$H$58,2),VLOOKUP(N87,setup!$A$8:$H$58,3),VLOOKUP(N87,setup!$A$8:$H$58,4),VLOOKUP(N87,setup!$A$8:$H$58,5),VLOOKUP(N87,setup!$A$8:$H$58,6),VLOOKUP(N87,setup!$A$8:$H$58,7), VLOOKUP(0,setup!$A$8:$H$58,2),VLOOKUP(0,setup!$A$8:$H$58,5),VLOOKUP(N87,setup!$A$8:$H$58,8))</f>
        <v xml:space="preserve">   'txtLivreEstagioRT' =&gt; $this-&gt;txtLivreEstagioRT,</v>
      </c>
    </row>
    <row r="88" spans="1:15" x14ac:dyDescent="0.25">
      <c r="A88" s="10" t="str">
        <f t="shared" si="2"/>
        <v xml:space="preserve">   '${dto}' =&gt; $this-&gt;${dto},</v>
      </c>
      <c r="N88">
        <f t="shared" si="3"/>
        <v>13</v>
      </c>
      <c r="O88" s="7" t="e">
        <f>getCodigoBackend(N88,A88,VLOOKUP(N88,setup!$A$8:$H$58,2),VLOOKUP(N88,setup!$A$8:$H$58,3),VLOOKUP(N88,setup!$A$8:$H$58,4),VLOOKUP(N88,setup!$A$8:$H$58,5),VLOOKUP(N88,setup!$A$8:$H$58,6),VLOOKUP(N88,setup!$A$8:$H$58,7), VLOOKUP(0,setup!$A$8:$H$58,2),VLOOKUP(0,setup!$A$8:$H$58,5),VLOOKUP(N88,setup!$A$8:$H$58,8))</f>
        <v>#VALUE!</v>
      </c>
    </row>
    <row r="89" spans="1:15" x14ac:dyDescent="0.25">
      <c r="A89" s="10" t="str">
        <f t="shared" si="2"/>
        <v xml:space="preserve">   '${dto}' =&gt; $this-&gt;${dto},</v>
      </c>
      <c r="N89">
        <f t="shared" si="3"/>
        <v>14</v>
      </c>
      <c r="O89" s="7" t="e">
        <f>getCodigoBackend(N89,A89,VLOOKUP(N89,setup!$A$8:$H$58,2),VLOOKUP(N89,setup!$A$8:$H$58,3),VLOOKUP(N89,setup!$A$8:$H$58,4),VLOOKUP(N89,setup!$A$8:$H$58,5),VLOOKUP(N89,setup!$A$8:$H$58,6),VLOOKUP(N89,setup!$A$8:$H$58,7), VLOOKUP(0,setup!$A$8:$H$58,2),VLOOKUP(0,setup!$A$8:$H$58,5),VLOOKUP(N89,setup!$A$8:$H$58,8))</f>
        <v>#VALUE!</v>
      </c>
    </row>
    <row r="90" spans="1:15" x14ac:dyDescent="0.25">
      <c r="A90" s="10" t="str">
        <f t="shared" si="2"/>
        <v xml:space="preserve">   '${dto}' =&gt; $this-&gt;${dto},</v>
      </c>
      <c r="N90">
        <f t="shared" si="3"/>
        <v>15</v>
      </c>
      <c r="O90" s="7" t="e">
        <f>getCodigoBackend(N90,A90,VLOOKUP(N90,setup!$A$8:$H$58,2),VLOOKUP(N90,setup!$A$8:$H$58,3),VLOOKUP(N90,setup!$A$8:$H$58,4),VLOOKUP(N90,setup!$A$8:$H$58,5),VLOOKUP(N90,setup!$A$8:$H$58,6),VLOOKUP(N90,setup!$A$8:$H$58,7), VLOOKUP(0,setup!$A$8:$H$58,2),VLOOKUP(0,setup!$A$8:$H$58,5),VLOOKUP(N90,setup!$A$8:$H$58,8))</f>
        <v>#VALUE!</v>
      </c>
    </row>
    <row r="91" spans="1:15" x14ac:dyDescent="0.25">
      <c r="A91" s="10" t="str">
        <f t="shared" si="2"/>
        <v xml:space="preserve">   '${dto}' =&gt; $this-&gt;${dto},</v>
      </c>
      <c r="N91">
        <f t="shared" si="3"/>
        <v>16</v>
      </c>
      <c r="O91" s="7" t="e">
        <f>getCodigoBackend(N91,A91,VLOOKUP(N91,setup!$A$8:$H$58,2),VLOOKUP(N91,setup!$A$8:$H$58,3),VLOOKUP(N91,setup!$A$8:$H$58,4),VLOOKUP(N91,setup!$A$8:$H$58,5),VLOOKUP(N91,setup!$A$8:$H$58,6),VLOOKUP(N91,setup!$A$8:$H$58,7), VLOOKUP(0,setup!$A$8:$H$58,2),VLOOKUP(0,setup!$A$8:$H$58,5),VLOOKUP(N91,setup!$A$8:$H$58,8))</f>
        <v>#VALUE!</v>
      </c>
    </row>
    <row r="92" spans="1:15" x14ac:dyDescent="0.25">
      <c r="A92" s="10" t="str">
        <f t="shared" si="2"/>
        <v xml:space="preserve">   '${dto}' =&gt; $this-&gt;${dto},</v>
      </c>
      <c r="N92">
        <f t="shared" si="3"/>
        <v>17</v>
      </c>
      <c r="O92" s="7" t="e">
        <f>getCodigoBackend(N92,A92,VLOOKUP(N92,setup!$A$8:$H$58,2),VLOOKUP(N92,setup!$A$8:$H$58,3),VLOOKUP(N92,setup!$A$8:$H$58,4),VLOOKUP(N92,setup!$A$8:$H$58,5),VLOOKUP(N92,setup!$A$8:$H$58,6),VLOOKUP(N92,setup!$A$8:$H$58,7), VLOOKUP(0,setup!$A$8:$H$58,2),VLOOKUP(0,setup!$A$8:$H$58,5),VLOOKUP(N92,setup!$A$8:$H$58,8))</f>
        <v>#VALUE!</v>
      </c>
    </row>
    <row r="93" spans="1:15" x14ac:dyDescent="0.25">
      <c r="A93" s="10" t="str">
        <f t="shared" si="2"/>
        <v xml:space="preserve">   '${dto}' =&gt; $this-&gt;${dto},</v>
      </c>
      <c r="N93">
        <f t="shared" si="3"/>
        <v>18</v>
      </c>
      <c r="O93" s="7" t="e">
        <f>getCodigoBackend(N93,A93,VLOOKUP(N93,setup!$A$8:$H$58,2),VLOOKUP(N93,setup!$A$8:$H$58,3),VLOOKUP(N93,setup!$A$8:$H$58,4),VLOOKUP(N93,setup!$A$8:$H$58,5),VLOOKUP(N93,setup!$A$8:$H$58,6),VLOOKUP(N93,setup!$A$8:$H$58,7), VLOOKUP(0,setup!$A$8:$H$58,2),VLOOKUP(0,setup!$A$8:$H$58,5),VLOOKUP(N93,setup!$A$8:$H$58,8))</f>
        <v>#VALUE!</v>
      </c>
    </row>
    <row r="94" spans="1:15" x14ac:dyDescent="0.25">
      <c r="A94" s="10" t="str">
        <f t="shared" si="2"/>
        <v xml:space="preserve">   '${dto}' =&gt; $this-&gt;${dto},</v>
      </c>
      <c r="N94">
        <f t="shared" si="3"/>
        <v>19</v>
      </c>
      <c r="O94" s="7" t="e">
        <f>getCodigoBackend(N94,A94,VLOOKUP(N94,setup!$A$8:$H$58,2),VLOOKUP(N94,setup!$A$8:$H$58,3),VLOOKUP(N94,setup!$A$8:$H$58,4),VLOOKUP(N94,setup!$A$8:$H$58,5),VLOOKUP(N94,setup!$A$8:$H$58,6),VLOOKUP(N94,setup!$A$8:$H$58,7), VLOOKUP(0,setup!$A$8:$H$58,2),VLOOKUP(0,setup!$A$8:$H$58,5),VLOOKUP(N94,setup!$A$8:$H$58,8))</f>
        <v>#VALUE!</v>
      </c>
    </row>
    <row r="95" spans="1:15" x14ac:dyDescent="0.25">
      <c r="A95" s="10" t="str">
        <f t="shared" si="2"/>
        <v xml:space="preserve">   '${dto}' =&gt; $this-&gt;${dto},</v>
      </c>
      <c r="N95">
        <f t="shared" si="3"/>
        <v>20</v>
      </c>
      <c r="O95" s="7" t="e">
        <f>getCodigoBackend(N95,A95,VLOOKUP(N95,setup!$A$8:$H$58,2),VLOOKUP(N95,setup!$A$8:$H$58,3),VLOOKUP(N95,setup!$A$8:$H$58,4),VLOOKUP(N95,setup!$A$8:$H$58,5),VLOOKUP(N95,setup!$A$8:$H$58,6),VLOOKUP(N95,setup!$A$8:$H$58,7), VLOOKUP(0,setup!$A$8:$H$58,2),VLOOKUP(0,setup!$A$8:$H$58,5),VLOOKUP(N95,setup!$A$8:$H$58,8))</f>
        <v>#VALUE!</v>
      </c>
    </row>
    <row r="96" spans="1:15" x14ac:dyDescent="0.25">
      <c r="A96" s="10" t="str">
        <f t="shared" si="2"/>
        <v xml:space="preserve">   '${dto}' =&gt; $this-&gt;${dto},</v>
      </c>
      <c r="N96">
        <f t="shared" si="3"/>
        <v>21</v>
      </c>
      <c r="O96" s="7" t="e">
        <f>getCodigoBackend(N96,A96,VLOOKUP(N96,setup!$A$8:$H$58,2),VLOOKUP(N96,setup!$A$8:$H$58,3),VLOOKUP(N96,setup!$A$8:$H$58,4),VLOOKUP(N96,setup!$A$8:$H$58,5),VLOOKUP(N96,setup!$A$8:$H$58,6),VLOOKUP(N96,setup!$A$8:$H$58,7), VLOOKUP(0,setup!$A$8:$H$58,2),VLOOKUP(0,setup!$A$8:$H$58,5),VLOOKUP(N96,setup!$A$8:$H$58,8))</f>
        <v>#VALUE!</v>
      </c>
    </row>
    <row r="97" spans="1:15" x14ac:dyDescent="0.25">
      <c r="A97" s="10" t="str">
        <f t="shared" si="2"/>
        <v xml:space="preserve">   '${dto}' =&gt; $this-&gt;${dto},</v>
      </c>
      <c r="N97">
        <f t="shared" si="3"/>
        <v>22</v>
      </c>
      <c r="O97" s="7" t="e">
        <f>getCodigoBackend(N97,A97,VLOOKUP(N97,setup!$A$8:$H$58,2),VLOOKUP(N97,setup!$A$8:$H$58,3),VLOOKUP(N97,setup!$A$8:$H$58,4),VLOOKUP(N97,setup!$A$8:$H$58,5),VLOOKUP(N97,setup!$A$8:$H$58,6),VLOOKUP(N97,setup!$A$8:$H$58,7), VLOOKUP(0,setup!$A$8:$H$58,2),VLOOKUP(0,setup!$A$8:$H$58,5),VLOOKUP(N97,setup!$A$8:$H$58,8))</f>
        <v>#VALUE!</v>
      </c>
    </row>
    <row r="98" spans="1:15" x14ac:dyDescent="0.25">
      <c r="A98" s="10" t="str">
        <f t="shared" si="2"/>
        <v xml:space="preserve">   '${dto}' =&gt; $this-&gt;${dto},</v>
      </c>
      <c r="N98">
        <f t="shared" si="3"/>
        <v>23</v>
      </c>
      <c r="O98" s="7" t="e">
        <f>getCodigoBackend(N98,A98,VLOOKUP(N98,setup!$A$8:$H$58,2),VLOOKUP(N98,setup!$A$8:$H$58,3),VLOOKUP(N98,setup!$A$8:$H$58,4),VLOOKUP(N98,setup!$A$8:$H$58,5),VLOOKUP(N98,setup!$A$8:$H$58,6),VLOOKUP(N98,setup!$A$8:$H$58,7), VLOOKUP(0,setup!$A$8:$H$58,2),VLOOKUP(0,setup!$A$8:$H$58,5),VLOOKUP(N98,setup!$A$8:$H$58,8))</f>
        <v>#VALUE!</v>
      </c>
    </row>
    <row r="99" spans="1:15" x14ac:dyDescent="0.25">
      <c r="A99" s="10" t="str">
        <f t="shared" si="2"/>
        <v xml:space="preserve">   '${dto}' =&gt; $this-&gt;${dto},</v>
      </c>
      <c r="N99">
        <f t="shared" si="3"/>
        <v>24</v>
      </c>
      <c r="O99" s="7" t="e">
        <f>getCodigoBackend(N99,A99,VLOOKUP(N99,setup!$A$8:$H$58,2),VLOOKUP(N99,setup!$A$8:$H$58,3),VLOOKUP(N99,setup!$A$8:$H$58,4),VLOOKUP(N99,setup!$A$8:$H$58,5),VLOOKUP(N99,setup!$A$8:$H$58,6),VLOOKUP(N99,setup!$A$8:$H$58,7), VLOOKUP(0,setup!$A$8:$H$58,2),VLOOKUP(0,setup!$A$8:$H$58,5),VLOOKUP(N99,setup!$A$8:$H$58,8))</f>
        <v>#VALUE!</v>
      </c>
    </row>
    <row r="100" spans="1:15" x14ac:dyDescent="0.25">
      <c r="A100" s="10" t="str">
        <f t="shared" si="2"/>
        <v xml:space="preserve">   '${dto}' =&gt; $this-&gt;${dto},</v>
      </c>
      <c r="N100">
        <f t="shared" si="3"/>
        <v>25</v>
      </c>
      <c r="O100" s="7" t="e">
        <f>getCodigoBackend(N100,A100,VLOOKUP(N100,setup!$A$8:$H$58,2),VLOOKUP(N100,setup!$A$8:$H$58,3),VLOOKUP(N100,setup!$A$8:$H$58,4),VLOOKUP(N100,setup!$A$8:$H$58,5),VLOOKUP(N100,setup!$A$8:$H$58,6),VLOOKUP(N100,setup!$A$8:$H$58,7), VLOOKUP(0,setup!$A$8:$H$58,2),VLOOKUP(0,setup!$A$8:$H$58,5),VLOOKUP(N100,setup!$A$8:$H$58,8))</f>
        <v>#VALUE!</v>
      </c>
    </row>
    <row r="101" spans="1:15" x14ac:dyDescent="0.25">
      <c r="A101" s="10" t="str">
        <f t="shared" si="2"/>
        <v xml:space="preserve">   '${dto}' =&gt; $this-&gt;${dto},</v>
      </c>
      <c r="N101">
        <f t="shared" si="3"/>
        <v>26</v>
      </c>
      <c r="O101" s="7" t="e">
        <f>getCodigoBackend(N101,A101,VLOOKUP(N101,setup!$A$8:$H$58,2),VLOOKUP(N101,setup!$A$8:$H$58,3),VLOOKUP(N101,setup!$A$8:$H$58,4),VLOOKUP(N101,setup!$A$8:$H$58,5),VLOOKUP(N101,setup!$A$8:$H$58,6),VLOOKUP(N101,setup!$A$8:$H$58,7), VLOOKUP(0,setup!$A$8:$H$58,2),VLOOKUP(0,setup!$A$8:$H$58,5),VLOOKUP(N101,setup!$A$8:$H$58,8))</f>
        <v>#VALUE!</v>
      </c>
    </row>
    <row r="102" spans="1:15" x14ac:dyDescent="0.25">
      <c r="A102" s="10" t="str">
        <f t="shared" si="2"/>
        <v xml:space="preserve">   '${dto}' =&gt; $this-&gt;${dto},</v>
      </c>
      <c r="N102">
        <f t="shared" si="3"/>
        <v>27</v>
      </c>
      <c r="O102" s="7" t="e">
        <f>getCodigoBackend(N102,A102,VLOOKUP(N102,setup!$A$8:$H$58,2),VLOOKUP(N102,setup!$A$8:$H$58,3),VLOOKUP(N102,setup!$A$8:$H$58,4),VLOOKUP(N102,setup!$A$8:$H$58,5),VLOOKUP(N102,setup!$A$8:$H$58,6),VLOOKUP(N102,setup!$A$8:$H$58,7), VLOOKUP(0,setup!$A$8:$H$58,2),VLOOKUP(0,setup!$A$8:$H$58,5),VLOOKUP(N102,setup!$A$8:$H$58,8))</f>
        <v>#VALUE!</v>
      </c>
    </row>
    <row r="103" spans="1:15" x14ac:dyDescent="0.25">
      <c r="A103" s="10" t="str">
        <f t="shared" si="2"/>
        <v xml:space="preserve">   '${dto}' =&gt; $this-&gt;${dto},</v>
      </c>
      <c r="N103">
        <f t="shared" si="3"/>
        <v>28</v>
      </c>
      <c r="O103" s="7" t="e">
        <f>getCodigoBackend(N103,A103,VLOOKUP(N103,setup!$A$8:$H$58,2),VLOOKUP(N103,setup!$A$8:$H$58,3),VLOOKUP(N103,setup!$A$8:$H$58,4),VLOOKUP(N103,setup!$A$8:$H$58,5),VLOOKUP(N103,setup!$A$8:$H$58,6),VLOOKUP(N103,setup!$A$8:$H$58,7), VLOOKUP(0,setup!$A$8:$H$58,2),VLOOKUP(0,setup!$A$8:$H$58,5),VLOOKUP(N103,setup!$A$8:$H$58,8))</f>
        <v>#VALUE!</v>
      </c>
    </row>
    <row r="104" spans="1:15" x14ac:dyDescent="0.25">
      <c r="A104" s="10" t="str">
        <f t="shared" si="2"/>
        <v xml:space="preserve">   '${dto}' =&gt; $this-&gt;${dto},</v>
      </c>
      <c r="N104">
        <f t="shared" si="3"/>
        <v>29</v>
      </c>
      <c r="O104" s="7" t="e">
        <f>getCodigoBackend(N104,A104,VLOOKUP(N104,setup!$A$8:$H$58,2),VLOOKUP(N104,setup!$A$8:$H$58,3),VLOOKUP(N104,setup!$A$8:$H$58,4),VLOOKUP(N104,setup!$A$8:$H$58,5),VLOOKUP(N104,setup!$A$8:$H$58,6),VLOOKUP(N104,setup!$A$8:$H$58,7), VLOOKUP(0,setup!$A$8:$H$58,2),VLOOKUP(0,setup!$A$8:$H$58,5),VLOOKUP(N104,setup!$A$8:$H$58,8))</f>
        <v>#VALUE!</v>
      </c>
    </row>
    <row r="105" spans="1:15" x14ac:dyDescent="0.25">
      <c r="A105" s="10" t="str">
        <f t="shared" si="2"/>
        <v xml:space="preserve">   '${dto}' =&gt; $this-&gt;${dto},</v>
      </c>
      <c r="N105">
        <f t="shared" si="3"/>
        <v>30</v>
      </c>
      <c r="O105" s="7" t="e">
        <f>getCodigoBackend(N105,A105,VLOOKUP(N105,setup!$A$8:$H$58,2),VLOOKUP(N105,setup!$A$8:$H$58,3),VLOOKUP(N105,setup!$A$8:$H$58,4),VLOOKUP(N105,setup!$A$8:$H$58,5),VLOOKUP(N105,setup!$A$8:$H$58,6),VLOOKUP(N105,setup!$A$8:$H$58,7), VLOOKUP(0,setup!$A$8:$H$58,2),VLOOKUP(0,setup!$A$8:$H$58,5),VLOOKUP(N105,setup!$A$8:$H$58,8))</f>
        <v>#VALUE!</v>
      </c>
    </row>
    <row r="106" spans="1:15" x14ac:dyDescent="0.25">
      <c r="A106" s="10" t="str">
        <f t="shared" si="2"/>
        <v xml:space="preserve">   '${dto}' =&gt; $this-&gt;${dto},</v>
      </c>
      <c r="N106">
        <f t="shared" si="3"/>
        <v>31</v>
      </c>
      <c r="O106" s="7" t="e">
        <f>getCodigoBackend(N106,A106,VLOOKUP(N106,setup!$A$8:$H$58,2),VLOOKUP(N106,setup!$A$8:$H$58,3),VLOOKUP(N106,setup!$A$8:$H$58,4),VLOOKUP(N106,setup!$A$8:$H$58,5),VLOOKUP(N106,setup!$A$8:$H$58,6),VLOOKUP(N106,setup!$A$8:$H$58,7), VLOOKUP(0,setup!$A$8:$H$58,2),VLOOKUP(0,setup!$A$8:$H$58,5),VLOOKUP(N106,setup!$A$8:$H$58,8))</f>
        <v>#VALUE!</v>
      </c>
    </row>
    <row r="107" spans="1:15" x14ac:dyDescent="0.25">
      <c r="A107" s="10" t="str">
        <f t="shared" si="2"/>
        <v xml:space="preserve">   '${dto}' =&gt; $this-&gt;${dto},</v>
      </c>
      <c r="N107">
        <f t="shared" si="3"/>
        <v>32</v>
      </c>
      <c r="O107" s="7" t="e">
        <f>getCodigoBackend(N107,A107,VLOOKUP(N107,setup!$A$8:$H$58,2),VLOOKUP(N107,setup!$A$8:$H$58,3),VLOOKUP(N107,setup!$A$8:$H$58,4),VLOOKUP(N107,setup!$A$8:$H$58,5),VLOOKUP(N107,setup!$A$8:$H$58,6),VLOOKUP(N107,setup!$A$8:$H$58,7), VLOOKUP(0,setup!$A$8:$H$58,2),VLOOKUP(0,setup!$A$8:$H$58,5),VLOOKUP(N107,setup!$A$8:$H$58,8))</f>
        <v>#VALUE!</v>
      </c>
    </row>
    <row r="108" spans="1:15" x14ac:dyDescent="0.25">
      <c r="A108" s="10" t="str">
        <f t="shared" si="2"/>
        <v xml:space="preserve">   '${dto}' =&gt; $this-&gt;${dto},</v>
      </c>
      <c r="N108">
        <f t="shared" si="3"/>
        <v>33</v>
      </c>
      <c r="O108" s="7" t="e">
        <f>getCodigoBackend(N108,A108,VLOOKUP(N108,setup!$A$8:$H$58,2),VLOOKUP(N108,setup!$A$8:$H$58,3),VLOOKUP(N108,setup!$A$8:$H$58,4),VLOOKUP(N108,setup!$A$8:$H$58,5),VLOOKUP(N108,setup!$A$8:$H$58,6),VLOOKUP(N108,setup!$A$8:$H$58,7), VLOOKUP(0,setup!$A$8:$H$58,2),VLOOKUP(0,setup!$A$8:$H$58,5),VLOOKUP(N108,setup!$A$8:$H$58,8))</f>
        <v>#VALUE!</v>
      </c>
    </row>
    <row r="109" spans="1:15" x14ac:dyDescent="0.25">
      <c r="A109" s="10" t="str">
        <f t="shared" si="2"/>
        <v xml:space="preserve">   '${dto}' =&gt; $this-&gt;${dto},</v>
      </c>
      <c r="N109">
        <f t="shared" si="3"/>
        <v>34</v>
      </c>
      <c r="O109" s="7" t="e">
        <f>getCodigoBackend(N109,A109,VLOOKUP(N109,setup!$A$8:$H$58,2),VLOOKUP(N109,setup!$A$8:$H$58,3),VLOOKUP(N109,setup!$A$8:$H$58,4),VLOOKUP(N109,setup!$A$8:$H$58,5),VLOOKUP(N109,setup!$A$8:$H$58,6),VLOOKUP(N109,setup!$A$8:$H$58,7), VLOOKUP(0,setup!$A$8:$H$58,2),VLOOKUP(0,setup!$A$8:$H$58,5),VLOOKUP(N109,setup!$A$8:$H$58,8))</f>
        <v>#VALUE!</v>
      </c>
    </row>
    <row r="110" spans="1:15" x14ac:dyDescent="0.25">
      <c r="A110" s="10" t="str">
        <f t="shared" si="2"/>
        <v xml:space="preserve">   '${dto}' =&gt; $this-&gt;${dto},</v>
      </c>
      <c r="N110">
        <f t="shared" si="3"/>
        <v>35</v>
      </c>
      <c r="O110" s="7" t="e">
        <f>getCodigoBackend(N110,A110,VLOOKUP(N110,setup!$A$8:$H$58,2),VLOOKUP(N110,setup!$A$8:$H$58,3),VLOOKUP(N110,setup!$A$8:$H$58,4),VLOOKUP(N110,setup!$A$8:$H$58,5),VLOOKUP(N110,setup!$A$8:$H$58,6),VLOOKUP(N110,setup!$A$8:$H$58,7), VLOOKUP(0,setup!$A$8:$H$58,2),VLOOKUP(0,setup!$A$8:$H$58,5),VLOOKUP(N110,setup!$A$8:$H$58,8))</f>
        <v>#VALUE!</v>
      </c>
    </row>
    <row r="111" spans="1:15" x14ac:dyDescent="0.25">
      <c r="A111" s="10" t="str">
        <f t="shared" si="2"/>
        <v xml:space="preserve">   '${dto}' =&gt; $this-&gt;${dto},</v>
      </c>
      <c r="N111">
        <f t="shared" si="3"/>
        <v>36</v>
      </c>
      <c r="O111" s="7" t="e">
        <f>getCodigoBackend(N111,A111,VLOOKUP(N111,setup!$A$8:$H$58,2),VLOOKUP(N111,setup!$A$8:$H$58,3),VLOOKUP(N111,setup!$A$8:$H$58,4),VLOOKUP(N111,setup!$A$8:$H$58,5),VLOOKUP(N111,setup!$A$8:$H$58,6),VLOOKUP(N111,setup!$A$8:$H$58,7), VLOOKUP(0,setup!$A$8:$H$58,2),VLOOKUP(0,setup!$A$8:$H$58,5),VLOOKUP(N111,setup!$A$8:$H$58,8))</f>
        <v>#VALUE!</v>
      </c>
    </row>
    <row r="112" spans="1:15" x14ac:dyDescent="0.25">
      <c r="A112" s="10" t="str">
        <f t="shared" si="2"/>
        <v xml:space="preserve">   '${dto}' =&gt; $this-&gt;${dto},</v>
      </c>
      <c r="N112">
        <f t="shared" si="3"/>
        <v>37</v>
      </c>
      <c r="O112" s="7" t="e">
        <f>getCodigoBackend(N112,A112,VLOOKUP(N112,setup!$A$8:$H$58,2),VLOOKUP(N112,setup!$A$8:$H$58,3),VLOOKUP(N112,setup!$A$8:$H$58,4),VLOOKUP(N112,setup!$A$8:$H$58,5),VLOOKUP(N112,setup!$A$8:$H$58,6),VLOOKUP(N112,setup!$A$8:$H$58,7), VLOOKUP(0,setup!$A$8:$H$58,2),VLOOKUP(0,setup!$A$8:$H$58,5),VLOOKUP(N112,setup!$A$8:$H$58,8))</f>
        <v>#VALUE!</v>
      </c>
    </row>
    <row r="113" spans="1:15" x14ac:dyDescent="0.25">
      <c r="A113" s="10" t="str">
        <f t="shared" si="2"/>
        <v xml:space="preserve">   '${dto}' =&gt; $this-&gt;${dto},</v>
      </c>
      <c r="N113">
        <f t="shared" si="3"/>
        <v>38</v>
      </c>
      <c r="O113" s="7" t="e">
        <f>getCodigoBackend(N113,A113,VLOOKUP(N113,setup!$A$8:$H$58,2),VLOOKUP(N113,setup!$A$8:$H$58,3),VLOOKUP(N113,setup!$A$8:$H$58,4),VLOOKUP(N113,setup!$A$8:$H$58,5),VLOOKUP(N113,setup!$A$8:$H$58,6),VLOOKUP(N113,setup!$A$8:$H$58,7), VLOOKUP(0,setup!$A$8:$H$58,2),VLOOKUP(0,setup!$A$8:$H$58,5),VLOOKUP(N113,setup!$A$8:$H$58,8))</f>
        <v>#VALUE!</v>
      </c>
    </row>
    <row r="114" spans="1:15" x14ac:dyDescent="0.25">
      <c r="A114" s="10" t="str">
        <f t="shared" si="2"/>
        <v xml:space="preserve">   '${dto}' =&gt; $this-&gt;${dto},</v>
      </c>
      <c r="N114">
        <f t="shared" si="3"/>
        <v>39</v>
      </c>
      <c r="O114" s="7" t="e">
        <f>getCodigoBackend(N114,A114,VLOOKUP(N114,setup!$A$8:$H$58,2),VLOOKUP(N114,setup!$A$8:$H$58,3),VLOOKUP(N114,setup!$A$8:$H$58,4),VLOOKUP(N114,setup!$A$8:$H$58,5),VLOOKUP(N114,setup!$A$8:$H$58,6),VLOOKUP(N114,setup!$A$8:$H$58,7), VLOOKUP(0,setup!$A$8:$H$58,2),VLOOKUP(0,setup!$A$8:$H$58,5),VLOOKUP(N114,setup!$A$8:$H$58,8))</f>
        <v>#VALUE!</v>
      </c>
    </row>
    <row r="115" spans="1:15" x14ac:dyDescent="0.25">
      <c r="A115" s="10" t="str">
        <f t="shared" si="2"/>
        <v xml:space="preserve">   '${dto}' =&gt; $this-&gt;${dto},</v>
      </c>
      <c r="N115">
        <f>N114+1</f>
        <v>40</v>
      </c>
      <c r="O115" s="7" t="e">
        <f>getCodigoBackend(N115,A115,VLOOKUP(N115,setup!$A$8:$H$58,2),VLOOKUP(N115,setup!$A$8:$H$58,3),VLOOKUP(N115,setup!$A$8:$H$58,4),VLOOKUP(N115,setup!$A$8:$H$58,5),VLOOKUP(N115,setup!$A$8:$H$58,6),VLOOKUP(N115,setup!$A$8:$H$58,7), VLOOKUP(0,setup!$A$8:$H$58,2),VLOOKUP(0,setup!$A$8:$H$58,5),VLOOKUP(N115,setup!$A$8:$H$58,8))</f>
        <v>#VALUE!</v>
      </c>
    </row>
    <row r="116" spans="1:15" x14ac:dyDescent="0.25">
      <c r="A116" s="10" t="str">
        <f t="shared" si="2"/>
        <v xml:space="preserve">   '${dto}' =&gt; $this-&gt;${dto},</v>
      </c>
      <c r="N116">
        <f t="shared" si="3"/>
        <v>41</v>
      </c>
      <c r="O116" s="7" t="e">
        <f>getCodigoBackend(N116,A116,VLOOKUP(N116,setup!$A$8:$H$58,2),VLOOKUP(N116,setup!$A$8:$H$58,3),VLOOKUP(N116,setup!$A$8:$H$58,4),VLOOKUP(N116,setup!$A$8:$H$58,5),VLOOKUP(N116,setup!$A$8:$H$58,6),VLOOKUP(N116,setup!$A$8:$H$58,7), VLOOKUP(0,setup!$A$8:$H$58,2),VLOOKUP(0,setup!$A$8:$H$58,5),VLOOKUP(N116,setup!$A$8:$H$58,8))</f>
        <v>#VALUE!</v>
      </c>
    </row>
    <row r="117" spans="1:15" x14ac:dyDescent="0.25">
      <c r="A117" s="10" t="str">
        <f t="shared" si="2"/>
        <v xml:space="preserve">   '${dto}' =&gt; $this-&gt;${dto},</v>
      </c>
      <c r="N117">
        <f t="shared" si="3"/>
        <v>42</v>
      </c>
      <c r="O117" s="7" t="e">
        <f>getCodigoBackend(N117,A117,VLOOKUP(N117,setup!$A$8:$H$58,2),VLOOKUP(N117,setup!$A$8:$H$58,3),VLOOKUP(N117,setup!$A$8:$H$58,4),VLOOKUP(N117,setup!$A$8:$H$58,5),VLOOKUP(N117,setup!$A$8:$H$58,6),VLOOKUP(N117,setup!$A$8:$H$58,7), VLOOKUP(0,setup!$A$8:$H$58,2),VLOOKUP(0,setup!$A$8:$H$58,5),VLOOKUP(N117,setup!$A$8:$H$58,8))</f>
        <v>#VALUE!</v>
      </c>
    </row>
    <row r="118" spans="1:15" x14ac:dyDescent="0.25">
      <c r="A118" s="10" t="str">
        <f t="shared" si="2"/>
        <v xml:space="preserve">   '${dto}' =&gt; $this-&gt;${dto},</v>
      </c>
      <c r="N118">
        <f t="shared" si="3"/>
        <v>43</v>
      </c>
      <c r="O118" s="7" t="e">
        <f>getCodigoBackend(N118,A118,VLOOKUP(N118,setup!$A$8:$H$58,2),VLOOKUP(N118,setup!$A$8:$H$58,3),VLOOKUP(N118,setup!$A$8:$H$58,4),VLOOKUP(N118,setup!$A$8:$H$58,5),VLOOKUP(N118,setup!$A$8:$H$58,6),VLOOKUP(N118,setup!$A$8:$H$58,7), VLOOKUP(0,setup!$A$8:$H$58,2),VLOOKUP(0,setup!$A$8:$H$58,5),VLOOKUP(N118,setup!$A$8:$H$58,8))</f>
        <v>#VALUE!</v>
      </c>
    </row>
    <row r="119" spans="1:15" x14ac:dyDescent="0.25">
      <c r="A119" s="10" t="str">
        <f t="shared" si="2"/>
        <v xml:space="preserve">   '${dto}' =&gt; $this-&gt;${dto},</v>
      </c>
      <c r="N119">
        <f t="shared" si="3"/>
        <v>44</v>
      </c>
      <c r="O119" s="7" t="e">
        <f>getCodigoBackend(N119,A119,VLOOKUP(N119,setup!$A$8:$H$58,2),VLOOKUP(N119,setup!$A$8:$H$58,3),VLOOKUP(N119,setup!$A$8:$H$58,4),VLOOKUP(N119,setup!$A$8:$H$58,5),VLOOKUP(N119,setup!$A$8:$H$58,6),VLOOKUP(N119,setup!$A$8:$H$58,7), VLOOKUP(0,setup!$A$8:$H$58,2),VLOOKUP(0,setup!$A$8:$H$58,5),VLOOKUP(N119,setup!$A$8:$H$58,8))</f>
        <v>#VALUE!</v>
      </c>
    </row>
    <row r="120" spans="1:15" x14ac:dyDescent="0.25">
      <c r="A120" s="10" t="str">
        <f t="shared" si="2"/>
        <v xml:space="preserve">   '${dto}' =&gt; $this-&gt;${dto},</v>
      </c>
      <c r="N120">
        <f t="shared" si="3"/>
        <v>45</v>
      </c>
      <c r="O120" s="7" t="e">
        <f>getCodigoBackend(N120,A120,VLOOKUP(N120,setup!$A$8:$H$58,2),VLOOKUP(N120,setup!$A$8:$H$58,3),VLOOKUP(N120,setup!$A$8:$H$58,4),VLOOKUP(N120,setup!$A$8:$H$58,5),VLOOKUP(N120,setup!$A$8:$H$58,6),VLOOKUP(N120,setup!$A$8:$H$58,7), VLOOKUP(0,setup!$A$8:$H$58,2),VLOOKUP(0,setup!$A$8:$H$58,5),VLOOKUP(N120,setup!$A$8:$H$58,8))</f>
        <v>#VALUE!</v>
      </c>
    </row>
    <row r="121" spans="1:15" x14ac:dyDescent="0.25">
      <c r="A121" s="10" t="str">
        <f t="shared" si="2"/>
        <v xml:space="preserve">   '${dto}' =&gt; $this-&gt;${dto},</v>
      </c>
      <c r="N121">
        <f t="shared" si="3"/>
        <v>46</v>
      </c>
      <c r="O121" s="7" t="e">
        <f>getCodigoBackend(N121,A121,VLOOKUP(N121,setup!$A$8:$H$58,2),VLOOKUP(N121,setup!$A$8:$H$58,3),VLOOKUP(N121,setup!$A$8:$H$58,4),VLOOKUP(N121,setup!$A$8:$H$58,5),VLOOKUP(N121,setup!$A$8:$H$58,6),VLOOKUP(N121,setup!$A$8:$H$58,7), VLOOKUP(0,setup!$A$8:$H$58,2),VLOOKUP(0,setup!$A$8:$H$58,5),VLOOKUP(N121,setup!$A$8:$H$58,8))</f>
        <v>#VALUE!</v>
      </c>
    </row>
    <row r="122" spans="1:15" x14ac:dyDescent="0.25">
      <c r="A122" s="10" t="str">
        <f t="shared" si="2"/>
        <v xml:space="preserve">   '${dto}' =&gt; $this-&gt;${dto},</v>
      </c>
      <c r="N122">
        <f t="shared" si="3"/>
        <v>47</v>
      </c>
      <c r="O122" s="7" t="e">
        <f>getCodigoBackend(N122,A122,VLOOKUP(N122,setup!$A$8:$H$58,2),VLOOKUP(N122,setup!$A$8:$H$58,3),VLOOKUP(N122,setup!$A$8:$H$58,4),VLOOKUP(N122,setup!$A$8:$H$58,5),VLOOKUP(N122,setup!$A$8:$H$58,6),VLOOKUP(N122,setup!$A$8:$H$58,7), VLOOKUP(0,setup!$A$8:$H$58,2),VLOOKUP(0,setup!$A$8:$H$58,5),VLOOKUP(N122,setup!$A$8:$H$58,8))</f>
        <v>#VALUE!</v>
      </c>
    </row>
    <row r="123" spans="1:15" x14ac:dyDescent="0.25">
      <c r="A123" s="10" t="str">
        <f t="shared" si="2"/>
        <v xml:space="preserve">   '${dto}' =&gt; $this-&gt;${dto},</v>
      </c>
      <c r="N123">
        <f t="shared" si="3"/>
        <v>48</v>
      </c>
      <c r="O123" s="7" t="str">
        <f ca="1">getCodigoBackend(N123,A123,VLOOKUP(N123,setup!$A$8:$H$58,2),VLOOKUP(N123,setup!$A$8:$H$58,3),VLOOKUP(N123,setup!$A$8:$H$58,4),VLOOKUP(N123,setup!$A$8:$H$58,5),VLOOKUP(N123,setup!$A$8:$H$58,6),VLOOKUP(N123,setup!$A$8:$H$58,7), VLOOKUP(0,setup!$A$8:$H$58,2),VLOOKUP(0,setup!$A$8:$H$58,5),VLOOKUP(N123,setup!$A$8:$H$58,8))</f>
        <v xml:space="preserve">   'status' =&gt; $this-&gt;status,</v>
      </c>
    </row>
    <row r="124" spans="1:15" x14ac:dyDescent="0.25">
      <c r="A124" s="10" t="str">
        <f t="shared" si="2"/>
        <v xml:space="preserve">   '${dto}' =&gt; $this-&gt;${dto},</v>
      </c>
      <c r="N124">
        <f t="shared" si="3"/>
        <v>49</v>
      </c>
      <c r="O124" s="7" t="str">
        <f ca="1">getCodigoBackend(N124,A124,VLOOKUP(N124,setup!$A$8:$H$58,2),VLOOKUP(N124,setup!$A$8:$H$58,3),VLOOKUP(N124,setup!$A$8:$H$58,4),VLOOKUP(N124,setup!$A$8:$H$58,5),VLOOKUP(N124,setup!$A$8:$H$58,6),VLOOKUP(N124,setup!$A$8:$H$58,7), VLOOKUP(0,setup!$A$8:$H$58,2),VLOOKUP(0,setup!$A$8:$H$58,5),VLOOKUP(N124,setup!$A$8:$H$58,8))</f>
        <v xml:space="preserve">   'dataCadastro' =&gt; $this-&gt;dataCadastro,</v>
      </c>
    </row>
    <row r="125" spans="1:15" x14ac:dyDescent="0.25">
      <c r="A125" s="10" t="str">
        <f t="shared" si="2"/>
        <v xml:space="preserve">   '${dto}' =&gt; $this-&gt;${dto},</v>
      </c>
      <c r="N125">
        <f t="shared" si="3"/>
        <v>50</v>
      </c>
      <c r="O125" s="7" t="str">
        <f ca="1">getCodigoBackend(N125,A125,VLOOKUP(N125,setup!$A$8:$H$58,2),VLOOKUP(N125,setup!$A$8:$H$58,3),VLOOKUP(N125,setup!$A$8:$H$58,4),VLOOKUP(N125,setup!$A$8:$H$58,5),VLOOKUP(N125,setup!$A$8:$H$58,6),VLOOKUP(N125,setup!$A$8:$H$58,7), VLOOKUP(0,setup!$A$8:$H$58,2),VLOOKUP(0,setup!$A$8:$H$58,5),VLOOKUP(N125,setup!$A$8:$H$58,8))</f>
        <v xml:space="preserve">   'dataAtualizacao' =&gt; $this-&gt;dataAtualizacao,</v>
      </c>
    </row>
    <row r="126" spans="1:15" x14ac:dyDescent="0.25">
      <c r="A126" s="1" t="s">
        <v>197</v>
      </c>
      <c r="O126" s="7" t="str">
        <f ca="1">getCodigoBackend(N126,A126,VLOOKUP(N126,setup!$A$8:$H$58,2),VLOOKUP(N126,setup!$A$8:$H$58,3),VLOOKUP(N126,setup!$A$8:$H$58,4),VLOOKUP(N126,setup!$A$8:$H$58,5),VLOOKUP(N126,setup!$A$8:$H$58,6),VLOOKUP(N126,setup!$A$8:$H$58,7), VLOOKUP(0,setup!$A$8:$H$58,2),VLOOKUP(0,setup!$A$8:$H$58,5),VLOOKUP(N126,setup!$A$8:$H$58,8))</f>
        <v xml:space="preserve">   'statusdesc' =&gt; $this-&gt;statusdesc,</v>
      </c>
    </row>
    <row r="127" spans="1:15" x14ac:dyDescent="0.25">
      <c r="A127" s="1" t="s">
        <v>198</v>
      </c>
      <c r="O127" s="7" t="str">
        <f ca="1">getCodigoBackend(N127,A127,VLOOKUP(N127,setup!$A$8:$H$58,2),VLOOKUP(N127,setup!$A$8:$H$58,3),VLOOKUP(N127,setup!$A$8:$H$58,4),VLOOKUP(N127,setup!$A$8:$H$58,5),VLOOKUP(N127,setup!$A$8:$H$58,6),VLOOKUP(N127,setup!$A$8:$H$58,7), VLOOKUP(0,setup!$A$8:$H$58,2),VLOOKUP(0,setup!$A$8:$H$58,5),VLOOKUP(N127,setup!$A$8:$H$58,8))</f>
        <v xml:space="preserve">   'msgcode' =&gt; $this-&gt;msgcode,</v>
      </c>
    </row>
    <row r="128" spans="1:15" x14ac:dyDescent="0.25">
      <c r="A128" s="1" t="s">
        <v>199</v>
      </c>
      <c r="O128" s="7" t="str">
        <f ca="1">getCodigoBackend(N128,A128,VLOOKUP(N128,setup!$A$8:$H$58,2),VLOOKUP(N128,setup!$A$8:$H$58,3),VLOOKUP(N128,setup!$A$8:$H$58,4),VLOOKUP(N128,setup!$A$8:$H$58,5),VLOOKUP(N128,setup!$A$8:$H$58,6),VLOOKUP(N128,setup!$A$8:$H$58,7), VLOOKUP(0,setup!$A$8:$H$58,2),VLOOKUP(0,setup!$A$8:$H$58,5),VLOOKUP(N128,setup!$A$8:$H$58,8))</f>
        <v xml:space="preserve">   'msgcodeString' =&gt; $this-&gt;msgcodeString</v>
      </c>
    </row>
    <row r="129" spans="1:15" x14ac:dyDescent="0.25">
      <c r="A129" s="1"/>
      <c r="O129" s="7" t="str">
        <f ca="1">getCodigoBackend(N129,A129,VLOOKUP(N129,setup!$A$8:$H$58,2),VLOOKUP(N129,setup!$A$8:$H$58,3),VLOOKUP(N129,setup!$A$8:$H$58,4),VLOOKUP(N129,setup!$A$8:$H$58,5),VLOOKUP(N129,setup!$A$8:$H$58,6),VLOOKUP(N129,setup!$A$8:$H$58,7), VLOOKUP(0,setup!$A$8:$H$58,2),VLOOKUP(0,setup!$A$8:$H$58,5),VLOOKUP(N129,setup!$A$8:$H$58,8))</f>
        <v/>
      </c>
    </row>
    <row r="130" spans="1:15" x14ac:dyDescent="0.25">
      <c r="A130" s="6" t="s">
        <v>26</v>
      </c>
      <c r="O130" s="7" t="str">
        <f ca="1">getCodigoBackend(N130,A130,VLOOKUP(N130,setup!$A$8:$H$58,2),VLOOKUP(N130,setup!$A$8:$H$58,3),VLOOKUP(N130,setup!$A$8:$H$58,4),VLOOKUP(N130,setup!$A$8:$H$58,5),VLOOKUP(N130,setup!$A$8:$H$58,6),VLOOKUP(N130,setup!$A$8:$H$58,7), VLOOKUP(0,setup!$A$8:$H$58,2),VLOOKUP(0,setup!$A$8:$H$58,5),VLOOKUP(N130,setup!$A$8:$H$58,8))</f>
        <v>];</v>
      </c>
    </row>
    <row r="131" spans="1:15" x14ac:dyDescent="0.25">
      <c r="A131" s="6" t="s">
        <v>27</v>
      </c>
      <c r="O131" s="7" t="str">
        <f ca="1">getCodigoBackend(N131,A131,VLOOKUP(N131,setup!$A$8:$H$58,2),VLOOKUP(N131,setup!$A$8:$H$58,3),VLOOKUP(N131,setup!$A$8:$H$58,4),VLOOKUP(N131,setup!$A$8:$H$58,5),VLOOKUP(N131,setup!$A$8:$H$58,6),VLOOKUP(N131,setup!$A$8:$H$58,7), VLOOKUP(0,setup!$A$8:$H$58,2),VLOOKUP(0,setup!$A$8:$H$58,5),VLOOKUP(N131,setup!$A$8:$H$58,8))</f>
        <v>}   </v>
      </c>
    </row>
    <row r="132" spans="1:15" x14ac:dyDescent="0.25">
      <c r="A132" s="3"/>
      <c r="O132" s="7" t="str">
        <f ca="1">getCodigoBackend(N132,A132,VLOOKUP(N132,setup!$A$8:$H$58,2),VLOOKUP(N132,setup!$A$8:$H$58,3),VLOOKUP(N132,setup!$A$8:$H$58,4),VLOOKUP(N132,setup!$A$8:$H$58,5),VLOOKUP(N132,setup!$A$8:$H$58,6),VLOOKUP(N132,setup!$A$8:$H$58,7), VLOOKUP(0,setup!$A$8:$H$58,2),VLOOKUP(0,setup!$A$8:$H$58,5),VLOOKUP(N132,setup!$A$8:$H$58,8))</f>
        <v/>
      </c>
    </row>
    <row r="133" spans="1:15" x14ac:dyDescent="0.25">
      <c r="A133" s="3"/>
      <c r="O133" s="7" t="str">
        <f ca="1">getCodigoBackend(N133,A133,VLOOKUP(N133,setup!$A$8:$H$58,2),VLOOKUP(N133,setup!$A$8:$H$58,3),VLOOKUP(N133,setup!$A$8:$H$58,4),VLOOKUP(N133,setup!$A$8:$H$58,5),VLOOKUP(N133,setup!$A$8:$H$58,6),VLOOKUP(N133,setup!$A$8:$H$58,7), VLOOKUP(0,setup!$A$8:$H$58,2),VLOOKUP(0,setup!$A$8:$H$58,5),VLOOKUP(N133,setup!$A$8:$H$58,8))</f>
        <v/>
      </c>
    </row>
    <row r="134" spans="1:15" x14ac:dyDescent="0.25">
      <c r="A134" s="6" t="s">
        <v>28</v>
      </c>
      <c r="O134" s="7" t="str">
        <f ca="1">getCodigoBackend(N134,A134,VLOOKUP(N134,setup!$A$8:$H$58,2),VLOOKUP(N134,setup!$A$8:$H$58,3),VLOOKUP(N134,setup!$A$8:$H$58,4),VLOOKUP(N134,setup!$A$8:$H$58,5),VLOOKUP(N134,setup!$A$8:$H$58,6),VLOOKUP(N134,setup!$A$8:$H$58,7), VLOOKUP(0,setup!$A$8:$H$58,2),VLOOKUP(0,setup!$A$8:$H$58,5),VLOOKUP(N134,setup!$A$8:$H$58,8))</f>
        <v>}</v>
      </c>
    </row>
    <row r="135" spans="1:15" x14ac:dyDescent="0.25">
      <c r="A135" s="2" t="s">
        <v>29</v>
      </c>
      <c r="O135" s="7" t="str">
        <f ca="1">getCodigoBackend(N135,A135,VLOOKUP(N135,setup!$A$8:$H$58,2),VLOOKUP(N135,setup!$A$8:$H$58,3),VLOOKUP(N135,setup!$A$8:$H$58,4),VLOOKUP(N135,setup!$A$8:$H$58,5),VLOOKUP(N135,setup!$A$8:$H$58,6),VLOOKUP(N135,setup!$A$8:$H$58,7), VLOOKUP(0,setup!$A$8:$H$58,2),VLOOKUP(0,setup!$A$8:$H$58,5),VLOOKUP(N135,setup!$A$8:$H$58,8))</f>
        <v>?&gt;</v>
      </c>
    </row>
    <row r="136" spans="1:15" x14ac:dyDescent="0.25">
      <c r="O136" t="str">
        <f>SUBSTITUTE(SUBSTITUTE(SUBSTITUTE(SUBSTITUTE(A136,"${dto}",setup!$C$3),"${pk}",setup!$E$8),"${tabela}",setup!$C$2),CONCATENATE("${",N136,"}"),VLOOKUP(N136,setup!$A$8:$E$58,5))</f>
        <v/>
      </c>
    </row>
    <row r="137" spans="1:15" x14ac:dyDescent="0.25">
      <c r="O137" t="str">
        <f>SUBSTITUTE(SUBSTITUTE(SUBSTITUTE(SUBSTITUTE(A137,"${dto}",setup!$C$3),"${pk}",setup!$E$8),"${tabela}",setup!$C$2),CONCATENATE("${",N137,"}"),VLOOKUP(N137,setup!$A$8:$E$58,5))</f>
        <v/>
      </c>
    </row>
    <row r="138" spans="1:15" x14ac:dyDescent="0.25">
      <c r="O138" t="str">
        <f>SUBSTITUTE(SUBSTITUTE(SUBSTITUTE(SUBSTITUTE(A138,"${dto}",setup!$C$3),"${pk}",setup!$E$8),"${tabela}",setup!$C$2),CONCATENATE("${",N138,"}"),VLOOKUP(N138,setup!$A$8:$E$58,5))</f>
        <v/>
      </c>
    </row>
    <row r="139" spans="1:15" x14ac:dyDescent="0.25">
      <c r="O139" t="str">
        <f>SUBSTITUTE(SUBSTITUTE(SUBSTITUTE(SUBSTITUTE(A139,"${dto}",setup!$C$3),"${pk}",setup!$E$8),"${tabela}",setup!$C$2),CONCATENATE("${",N139,"}"),VLOOKUP(N139,setup!$A$8:$E$58,5))</f>
        <v/>
      </c>
    </row>
    <row r="140" spans="1:15" x14ac:dyDescent="0.25">
      <c r="O140" t="str">
        <f>SUBSTITUTE(SUBSTITUTE(SUBSTITUTE(SUBSTITUTE(A140,"${dto}",setup!$C$3),"${pk}",setup!$E$8),"${tabela}",setup!$C$2),CONCATENATE("${",N140,"}"),VLOOKUP(N140,setup!$A$8:$E$58,5))</f>
        <v/>
      </c>
    </row>
    <row r="141" spans="1:15" x14ac:dyDescent="0.25">
      <c r="O141" t="str">
        <f>SUBSTITUTE(SUBSTITUTE(SUBSTITUTE(SUBSTITUTE(A141,"${dto}",setup!$C$3),"${pk}",setup!$E$8),"${tabela}",setup!$C$2),CONCATENATE("${",N141,"}"),VLOOKUP(N141,setup!$A$8:$E$58,5))</f>
        <v/>
      </c>
    </row>
    <row r="142" spans="1:15" x14ac:dyDescent="0.25">
      <c r="O142" t="str">
        <f>SUBSTITUTE(SUBSTITUTE(SUBSTITUTE(SUBSTITUTE(A142,"${dto}",setup!$C$3),"${pk}",setup!$E$8),"${tabela}",setup!$C$2),CONCATENATE("${",N142,"}"),VLOOKUP(N142,setup!$A$8:$E$58,5))</f>
        <v/>
      </c>
    </row>
    <row r="143" spans="1:15" x14ac:dyDescent="0.25">
      <c r="O143" t="str">
        <f>SUBSTITUTE(SUBSTITUTE(SUBSTITUTE(SUBSTITUTE(A143,"${dto}",setup!$C$3),"${pk}",setup!$E$8),"${tabela}",setup!$C$2),CONCATENATE("${",N143,"}"),VLOOKUP(N143,setup!$A$8:$E$58,5))</f>
        <v/>
      </c>
    </row>
    <row r="144" spans="1:15" x14ac:dyDescent="0.25">
      <c r="O144" t="str">
        <f>SUBSTITUTE(SUBSTITUTE(SUBSTITUTE(SUBSTITUTE(A144,"${dto}",setup!$C$3),"${pk}",setup!$E$8),"${tabela}",setup!$C$2),CONCATENATE("${",N144,"}"),VLOOKUP(N144,setup!$A$8:$E$58,5))</f>
        <v/>
      </c>
    </row>
    <row r="145" spans="15:15" x14ac:dyDescent="0.25">
      <c r="O145" t="str">
        <f>SUBSTITUTE(SUBSTITUTE(SUBSTITUTE(SUBSTITUTE(A145,"${dto}",setup!$C$3),"${pk}",setup!$E$8),"${tabela}",setup!$C$2),CONCATENATE("${",N145,"}"),VLOOKUP(N145,setup!$A$8:$E$58,5))</f>
        <v/>
      </c>
    </row>
    <row r="146" spans="15:15" x14ac:dyDescent="0.25">
      <c r="O146" t="str">
        <f>SUBSTITUTE(SUBSTITUTE(SUBSTITUTE(SUBSTITUTE(A146,"${dto}",setup!$C$3),"${pk}",setup!$E$8),"${tabela}",setup!$C$2),CONCATENATE("${",N146,"}"),VLOOKUP(N146,setup!$A$8:$E$58,5))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671F0E-5FA3-458B-BCB0-5EC35EB7FDAC}">
  <sheetPr codeName="Sheet21"/>
  <dimension ref="A4:O178"/>
  <sheetViews>
    <sheetView topLeftCell="A41" workbookViewId="0">
      <selection activeCell="O41" sqref="O1:O1048576"/>
    </sheetView>
  </sheetViews>
  <sheetFormatPr defaultRowHeight="15" x14ac:dyDescent="0.25"/>
  <cols>
    <col min="1" max="1" width="9.140625" style="30" customWidth="1"/>
    <col min="2" max="13" width="9.140625" customWidth="1"/>
  </cols>
  <sheetData>
    <row r="4" spans="1:15" x14ac:dyDescent="0.25">
      <c r="A4" s="29" t="s">
        <v>844</v>
      </c>
      <c r="O4" s="7" t="str">
        <f ca="1">getCodigoBackend(N4,A4,VLOOKUP(N4,setup!$A$8:$H$58,2),VLOOKUP(N4,setup!$A$8:$H$58,3),VLOOKUP(N4,setup!$A$8:$H$58,4),VLOOKUP(N4,setup!$A$8:$H$58,5),VLOOKUP(N4,setup!$A$8:$H$58,6),VLOOKUP(N4,setup!$A$8:$H$58,7), VLOOKUP(0,setup!$A$8:$H$58,2),VLOOKUP(0,setup!$A$8:$H$58,5),VLOOKUP(N4,setup!$A$8:$H$58,8))</f>
        <v xml:space="preserve">&lt;?php </v>
      </c>
    </row>
    <row r="5" spans="1:15" x14ac:dyDescent="0.25">
      <c r="A5" s="29"/>
      <c r="O5" s="7" t="str">
        <f ca="1">getCodigoBackend(N5,A5,VLOOKUP(N5,setup!$A$8:$H$58,2),VLOOKUP(N5,setup!$A$8:$H$58,3),VLOOKUP(N5,setup!$A$8:$H$58,4),VLOOKUP(N5,setup!$A$8:$H$58,5),VLOOKUP(N5,setup!$A$8:$H$58,6),VLOOKUP(N5,setup!$A$8:$H$58,7), VLOOKUP(0,setup!$A$8:$H$58,2),VLOOKUP(0,setup!$A$8:$H$58,5),VLOOKUP(N5,setup!$A$8:$H$58,8))</f>
        <v/>
      </c>
    </row>
    <row r="6" spans="1:15" x14ac:dyDescent="0.25">
      <c r="A6" s="29" t="s">
        <v>17</v>
      </c>
      <c r="O6" s="7" t="str">
        <f ca="1">getCodigoBackend(N6,A6,VLOOKUP(N6,setup!$A$8:$H$58,2),VLOOKUP(N6,setup!$A$8:$H$58,3),VLOOKUP(N6,setup!$A$8:$H$58,4),VLOOKUP(N6,setup!$A$8:$H$58,5),VLOOKUP(N6,setup!$A$8:$H$58,6),VLOOKUP(N6,setup!$A$8:$H$58,7), VLOOKUP(0,setup!$A$8:$H$58,2),VLOOKUP(0,setup!$A$8:$H$58,5),VLOOKUP(N6,setup!$A$8:$H$58,8))</f>
        <v>// importar dependencias</v>
      </c>
    </row>
    <row r="7" spans="1:15" x14ac:dyDescent="0.25">
      <c r="A7" s="29" t="s">
        <v>246</v>
      </c>
      <c r="O7" s="7" t="str">
        <f ca="1">getCodigoBackend(N7,A7,VLOOKUP(N7,setup!$A$8:$H$58,2),VLOOKUP(N7,setup!$A$8:$H$58,3),VLOOKUP(N7,setup!$A$8:$H$58,4),VLOOKUP(N7,setup!$A$8:$H$58,5),VLOOKUP(N7,setup!$A$8:$H$58,6),VLOOKUP(N7,setup!$A$8:$H$58,7), VLOOKUP(0,setup!$A$8:$H$58,2),VLOOKUP(0,setup!$A$8:$H$58,5),VLOOKUP(N7,setup!$A$8:$H$58,8))</f>
        <v>require_once 'CampanhaCashbackResgatePixBusinessImpl.php';</v>
      </c>
    </row>
    <row r="8" spans="1:15" x14ac:dyDescent="0.25">
      <c r="A8" s="29" t="s">
        <v>929</v>
      </c>
      <c r="O8" s="7" t="str">
        <f ca="1">getCodigoBackend(N8,A8,VLOOKUP(N8,setup!$A$8:$H$58,2),VLOOKUP(N8,setup!$A$8:$H$58,3),VLOOKUP(N8,setup!$A$8:$H$58,4),VLOOKUP(N8,setup!$A$8:$H$58,5),VLOOKUP(N8,setup!$A$8:$H$58,6),VLOOKUP(N8,setup!$A$8:$H$58,7), VLOOKUP(0,setup!$A$8:$H$58,2),VLOOKUP(0,setup!$A$8:$H$58,5),VLOOKUP(N8,setup!$A$8:$H$58,8))</f>
        <v>require_once 'CampanhaCashbackResgatePixServiceImpl.php';</v>
      </c>
    </row>
    <row r="9" spans="1:15" x14ac:dyDescent="0.25">
      <c r="A9" s="29"/>
      <c r="O9" s="7" t="str">
        <f ca="1">getCodigoBackend(N9,A9,VLOOKUP(N9,setup!$A$8:$H$58,2),VLOOKUP(N9,setup!$A$8:$H$58,3),VLOOKUP(N9,setup!$A$8:$H$58,4),VLOOKUP(N9,setup!$A$8:$H$58,5),VLOOKUP(N9,setup!$A$8:$H$58,6),VLOOKUP(N9,setup!$A$8:$H$58,7), VLOOKUP(0,setup!$A$8:$H$58,2),VLOOKUP(0,setup!$A$8:$H$58,5),VLOOKUP(N9,setup!$A$8:$H$58,8))</f>
        <v/>
      </c>
    </row>
    <row r="10" spans="1:15" x14ac:dyDescent="0.25">
      <c r="A10" s="5" t="s">
        <v>947</v>
      </c>
      <c r="O10" s="7" t="str">
        <f ca="1">getCodigoBackend(N10,A10,VLOOKUP(N10,setup!$A$8:$H$58,2),VLOOKUP(N10,setup!$A$8:$H$58,3),VLOOKUP(N10,setup!$A$8:$H$58,4),VLOOKUP(N10,setup!$A$8:$H$58,5),VLOOKUP(N10,setup!$A$8:$H$58,6),VLOOKUP(N10,setup!$A$8:$H$58,7), VLOOKUP(0,setup!$A$8:$H$58,2),VLOOKUP(0,setup!$A$8:$H$58,5),VLOOKUP(N10,setup!$A$8:$H$58,8))</f>
        <v>require_once '../variavel/VariavelCache.php';</v>
      </c>
    </row>
    <row r="11" spans="1:15" x14ac:dyDescent="0.25">
      <c r="A11" s="5" t="s">
        <v>948</v>
      </c>
      <c r="O11" s="7" t="str">
        <f ca="1">getCodigoBackend(N11,A11,VLOOKUP(N11,setup!$A$8:$H$58,2),VLOOKUP(N11,setup!$A$8:$H$58,3),VLOOKUP(N11,setup!$A$8:$H$58,4),VLOOKUP(N11,setup!$A$8:$H$58,5),VLOOKUP(N11,setup!$A$8:$H$58,6),VLOOKUP(N11,setup!$A$8:$H$58,7), VLOOKUP(0,setup!$A$8:$H$58,2),VLOOKUP(0,setup!$A$8:$H$58,5),VLOOKUP(N11,setup!$A$8:$H$58,8))</f>
        <v>require_once '../variavel/ConstantesVariavel.php';</v>
      </c>
    </row>
    <row r="12" spans="1:15" x14ac:dyDescent="0.25">
      <c r="A12" s="5" t="s">
        <v>949</v>
      </c>
      <c r="O12" s="7" t="str">
        <f ca="1">getCodigoBackend(N12,A12,VLOOKUP(N12,setup!$A$8:$H$58,2),VLOOKUP(N12,setup!$A$8:$H$58,3),VLOOKUP(N12,setup!$A$8:$H$58,4),VLOOKUP(N12,setup!$A$8:$H$58,5),VLOOKUP(N12,setup!$A$8:$H$58,6),VLOOKUP(N12,setup!$A$8:$H$58,7), VLOOKUP(0,setup!$A$8:$H$58,2),VLOOKUP(0,setup!$A$8:$H$58,5),VLOOKUP(N12,setup!$A$8:$H$58,8))</f>
        <v>require_once '../mensagem/MensagemCache.php';</v>
      </c>
    </row>
    <row r="13" spans="1:15" x14ac:dyDescent="0.25">
      <c r="A13" s="29"/>
      <c r="O13" s="7" t="str">
        <f ca="1">getCodigoBackend(N13,A13,VLOOKUP(N13,setup!$A$8:$H$58,2),VLOOKUP(N13,setup!$A$8:$H$58,3),VLOOKUP(N13,setup!$A$8:$H$58,4),VLOOKUP(N13,setup!$A$8:$H$58,5),VLOOKUP(N13,setup!$A$8:$H$58,6),VLOOKUP(N13,setup!$A$8:$H$58,7), VLOOKUP(0,setup!$A$8:$H$58,2),VLOOKUP(0,setup!$A$8:$H$58,5),VLOOKUP(N13,setup!$A$8:$H$58,8))</f>
        <v/>
      </c>
    </row>
    <row r="14" spans="1:15" x14ac:dyDescent="0.25">
      <c r="A14" s="29"/>
      <c r="O14" s="7" t="str">
        <f ca="1">getCodigoBackend(N14,A14,VLOOKUP(N14,setup!$A$8:$H$58,2),VLOOKUP(N14,setup!$A$8:$H$58,3),VLOOKUP(N14,setup!$A$8:$H$58,4),VLOOKUP(N14,setup!$A$8:$H$58,5),VLOOKUP(N14,setup!$A$8:$H$58,6),VLOOKUP(N14,setup!$A$8:$H$58,7), VLOOKUP(0,setup!$A$8:$H$58,2),VLOOKUP(0,setup!$A$8:$H$58,5),VLOOKUP(N14,setup!$A$8:$H$58,8))</f>
        <v/>
      </c>
    </row>
    <row r="15" spans="1:15" x14ac:dyDescent="0.25">
      <c r="A15" s="29"/>
      <c r="O15" s="7" t="str">
        <f ca="1">getCodigoBackend(N15,A15,VLOOKUP(N15,setup!$A$8:$H$58,2),VLOOKUP(N15,setup!$A$8:$H$58,3),VLOOKUP(N15,setup!$A$8:$H$58,4),VLOOKUP(N15,setup!$A$8:$H$58,5),VLOOKUP(N15,setup!$A$8:$H$58,6),VLOOKUP(N15,setup!$A$8:$H$58,7), VLOOKUP(0,setup!$A$8:$H$58,2),VLOOKUP(0,setup!$A$8:$H$58,5),VLOOKUP(N15,setup!$A$8:$H$58,8))</f>
        <v/>
      </c>
    </row>
    <row r="16" spans="1:15" x14ac:dyDescent="0.25">
      <c r="A16" s="29" t="s">
        <v>19</v>
      </c>
      <c r="O16" s="7" t="str">
        <f ca="1">getCodigoBackend(N16,A16,VLOOKUP(N16,setup!$A$8:$H$58,2),VLOOKUP(N16,setup!$A$8:$H$58,3),VLOOKUP(N16,setup!$A$8:$H$58,4),VLOOKUP(N16,setup!$A$8:$H$58,5),VLOOKUP(N16,setup!$A$8:$H$58,6),VLOOKUP(N16,setup!$A$8:$H$58,7), VLOOKUP(0,setup!$A$8:$H$58,2),VLOOKUP(0,setup!$A$8:$H$58,5),VLOOKUP(N16,setup!$A$8:$H$58,8))</f>
        <v>/**</v>
      </c>
    </row>
    <row r="17" spans="1:15" x14ac:dyDescent="0.25">
      <c r="A17" s="29" t="s">
        <v>20</v>
      </c>
      <c r="O17" s="7" t="str">
        <f ca="1">getCodigoBackend(N17,A17,VLOOKUP(N17,setup!$A$8:$H$58,2),VLOOKUP(N17,setup!$A$8:$H$58,3),VLOOKUP(N17,setup!$A$8:$H$58,4),VLOOKUP(N17,setup!$A$8:$H$58,5),VLOOKUP(N17,setup!$A$8:$H$58,6),VLOOKUP(N17,setup!$A$8:$H$58,7), VLOOKUP(0,setup!$A$8:$H$58,2),VLOOKUP(0,setup!$A$8:$H$58,5),VLOOKUP(N17,setup!$A$8:$H$58,8))</f>
        <v>*</v>
      </c>
    </row>
    <row r="18" spans="1:15" x14ac:dyDescent="0.25">
      <c r="A18" s="29" t="s">
        <v>845</v>
      </c>
      <c r="O18" s="7" t="str">
        <f ca="1">getCodigoBackend(N18,A18,VLOOKUP(N18,setup!$A$8:$H$58,2),VLOOKUP(N18,setup!$A$8:$H$58,3),VLOOKUP(N18,setup!$A$8:$H$58,4),VLOOKUP(N18,setup!$A$8:$H$58,5),VLOOKUP(N18,setup!$A$8:$H$58,6),VLOOKUP(N18,setup!$A$8:$H$58,7), VLOOKUP(0,setup!$A$8:$H$58,2),VLOOKUP(0,setup!$A$8:$H$58,5),VLOOKUP(N18,setup!$A$8:$H$58,8))</f>
        <v>* CampanhaCashbackResgatePixHelper - Classe de implementação dos métodos de adaptação para a classe de negócio CampanhaCashbackResgatePix</v>
      </c>
    </row>
    <row r="19" spans="1:15" x14ac:dyDescent="0.25">
      <c r="A19" s="29" t="s">
        <v>282</v>
      </c>
      <c r="O19" s="7" t="str">
        <f ca="1">getCodigoBackend(N19,A19,VLOOKUP(N19,setup!$A$8:$H$58,2),VLOOKUP(N19,setup!$A$8:$H$58,3),VLOOKUP(N19,setup!$A$8:$H$58,4),VLOOKUP(N19,setup!$A$8:$H$58,5),VLOOKUP(N19,setup!$A$8:$H$58,6),VLOOKUP(N19,setup!$A$8:$H$58,7), VLOOKUP(0,setup!$A$8:$H$58,2),VLOOKUP(0,setup!$A$8:$H$58,5),VLOOKUP(N19,setup!$A$8:$H$58,8))</f>
        <v xml:space="preserve">* Camada de negócio CampanhaCashbackResgatePix - camada responsável pela lógica de negócios de CampanhaCashbackResgatePix do sistema. </v>
      </c>
    </row>
    <row r="20" spans="1:15" x14ac:dyDescent="0.25">
      <c r="A20" s="29" t="s">
        <v>255</v>
      </c>
      <c r="O20" s="7" t="str">
        <f ca="1">getCodigoBackend(N20,A20,VLOOKUP(N20,setup!$A$8:$H$58,2),VLOOKUP(N20,setup!$A$8:$H$58,3),VLOOKUP(N20,setup!$A$8:$H$58,4),VLOOKUP(N20,setup!$A$8:$H$58,5),VLOOKUP(N20,setup!$A$8:$H$58,6),VLOOKUP(N20,setup!$A$8:$H$58,7), VLOOKUP(0,setup!$A$8:$H$58,2),VLOOKUP(0,setup!$A$8:$H$58,5),VLOOKUP(N20,setup!$A$8:$H$58,8))</f>
        <v xml:space="preserve">* Não é uma camada visível para outros dispositivos, como as camadas de apresentação e aplicação. </v>
      </c>
    </row>
    <row r="21" spans="1:15" x14ac:dyDescent="0.25">
      <c r="A21" s="29" t="s">
        <v>20</v>
      </c>
      <c r="O21" s="7" t="str">
        <f ca="1">getCodigoBackend(N21,A21,VLOOKUP(N21,setup!$A$8:$H$58,2),VLOOKUP(N21,setup!$A$8:$H$58,3),VLOOKUP(N21,setup!$A$8:$H$58,4),VLOOKUP(N21,setup!$A$8:$H$58,5),VLOOKUP(N21,setup!$A$8:$H$58,6),VLOOKUP(N21,setup!$A$8:$H$58,7), VLOOKUP(0,setup!$A$8:$H$58,2),VLOOKUP(0,setup!$A$8:$H$58,5),VLOOKUP(N21,setup!$A$8:$H$58,8))</f>
        <v>*</v>
      </c>
    </row>
    <row r="22" spans="1:15" x14ac:dyDescent="0.25">
      <c r="A22" s="29" t="s">
        <v>846</v>
      </c>
      <c r="N22" s="7"/>
      <c r="O22" s="7" t="str">
        <f ca="1">getCodigoBackend(N22,A22,VLOOKUP(N22,setup!$A$8:$H$58,2),VLOOKUP(N22,setup!$A$8:$H$58,3),VLOOKUP(N22,setup!$A$8:$H$58,4),VLOOKUP(N22,setup!$A$8:$H$58,5),VLOOKUP(N22,setup!$A$8:$H$58,6),VLOOKUP(N22,setup!$A$8:$H$58,7), VLOOKUP(0,setup!$A$8:$H$58,2),VLOOKUP(0,setup!$A$8:$H$58,5),VLOOKUP(N22,setup!$A$8:$H$58,8))</f>
        <v>* É uma classe para apoiar, criar ou evitar que na classe de negócio se crie muitos códigos repetidos para obter apenas</v>
      </c>
    </row>
    <row r="23" spans="1:15" x14ac:dyDescent="0.25">
      <c r="A23" s="29" t="s">
        <v>847</v>
      </c>
      <c r="O23" s="7" t="str">
        <f ca="1">getCodigoBackend(N23,A23,VLOOKUP(N23,setup!$A$8:$H$58,2),VLOOKUP(N23,setup!$A$8:$H$58,3),VLOOKUP(N23,setup!$A$8:$H$58,4),VLOOKUP(N23,setup!$A$8:$H$58,5),VLOOKUP(N23,setup!$A$8:$H$58,6),VLOOKUP(N23,setup!$A$8:$H$58,7), VLOOKUP(0,setup!$A$8:$H$58,2),VLOOKUP(0,setup!$A$8:$H$58,5),VLOOKUP(N23,setup!$A$8:$H$58,8))</f>
        <v>* uma informação ou objeto.</v>
      </c>
    </row>
    <row r="24" spans="1:15" x14ac:dyDescent="0.25">
      <c r="A24" s="29" t="s">
        <v>20</v>
      </c>
      <c r="O24" s="7" t="str">
        <f ca="1">getCodigoBackend(N24,A24,VLOOKUP(N24,setup!$A$8:$H$58,2),VLOOKUP(N24,setup!$A$8:$H$58,3),VLOOKUP(N24,setup!$A$8:$H$58,4),VLOOKUP(N24,setup!$A$8:$H$58,5),VLOOKUP(N24,setup!$A$8:$H$58,6),VLOOKUP(N24,setup!$A$8:$H$58,7), VLOOKUP(0,setup!$A$8:$H$58,2),VLOOKUP(0,setup!$A$8:$H$58,5),VLOOKUP(N24,setup!$A$8:$H$58,8))</f>
        <v>*</v>
      </c>
    </row>
    <row r="25" spans="1:15" x14ac:dyDescent="0.25">
      <c r="A25" s="29" t="s">
        <v>848</v>
      </c>
      <c r="O25" s="7" t="str">
        <f ca="1">getCodigoBackend(N25,A25,VLOOKUP(N25,setup!$A$8:$H$58,2),VLOOKUP(N25,setup!$A$8:$H$58,3),VLOOKUP(N25,setup!$A$8:$H$58,4),VLOOKUP(N25,setup!$A$8:$H$58,5),VLOOKUP(N25,setup!$A$8:$H$58,6),VLOOKUP(N25,setup!$A$8:$H$58,7), VLOOKUP(0,setup!$A$8:$H$58,2),VLOOKUP(0,setup!$A$8:$H$58,5),VLOOKUP(N25,setup!$A$8:$H$58,8))</f>
        <v>* Todos os métodos DEVEM ser declarados como estáticos</v>
      </c>
    </row>
    <row r="26" spans="1:15" x14ac:dyDescent="0.25">
      <c r="A26" s="29" t="s">
        <v>20</v>
      </c>
      <c r="O26" s="7" t="str">
        <f ca="1">getCodigoBackend(N26,A26,VLOOKUP(N26,setup!$A$8:$H$58,2),VLOOKUP(N26,setup!$A$8:$H$58,3),VLOOKUP(N26,setup!$A$8:$H$58,4),VLOOKUP(N26,setup!$A$8:$H$58,5),VLOOKUP(N26,setup!$A$8:$H$58,6),VLOOKUP(N26,setup!$A$8:$H$58,7), VLOOKUP(0,setup!$A$8:$H$58,2),VLOOKUP(0,setup!$A$8:$H$58,5),VLOOKUP(N26,setup!$A$8:$H$58,8))</f>
        <v>*</v>
      </c>
    </row>
    <row r="27" spans="1:15" x14ac:dyDescent="0.25">
      <c r="A27" s="29" t="s">
        <v>260</v>
      </c>
      <c r="O27" s="7" t="str">
        <f ca="1">getCodigoBackend(N27,A27,VLOOKUP(N27,setup!$A$8:$H$58,2),VLOOKUP(N27,setup!$A$8:$H$58,3),VLOOKUP(N27,setup!$A$8:$H$58,4),VLOOKUP(N27,setup!$A$8:$H$58,5),VLOOKUP(N27,setup!$A$8:$H$58,6),VLOOKUP(N27,setup!$A$8:$H$58,7), VLOOKUP(0,setup!$A$8:$H$58,2),VLOOKUP(0,setup!$A$8:$H$58,5),VLOOKUP(N27,setup!$A$8:$H$58,8))</f>
        <v>* Changelog:</v>
      </c>
    </row>
    <row r="28" spans="1:15" x14ac:dyDescent="0.25">
      <c r="A28" s="29" t="s">
        <v>75</v>
      </c>
      <c r="O28" s="7" t="str">
        <f ca="1">getCodigoBackend(N28,A28,VLOOKUP(N28,setup!$A$8:$H$58,2),VLOOKUP(N28,setup!$A$8:$H$58,3),VLOOKUP(N28,setup!$A$8:$H$58,4),VLOOKUP(N28,setup!$A$8:$H$58,5),VLOOKUP(N28,setup!$A$8:$H$58,6),VLOOKUP(N28,setup!$A$8:$H$58,7), VLOOKUP(0,setup!$A$8:$H$58,2),VLOOKUP(0,setup!$A$8:$H$58,5),VLOOKUP(N28,setup!$A$8:$H$58,8))</f>
        <v xml:space="preserve">* </v>
      </c>
    </row>
    <row r="29" spans="1:15" x14ac:dyDescent="0.25">
      <c r="A29" s="29" t="s">
        <v>849</v>
      </c>
      <c r="O29" s="7" t="str">
        <f ca="1">getCodigoBackend(N29,A29,VLOOKUP(N29,setup!$A$8:$H$58,2),VLOOKUP(N29,setup!$A$8:$H$58,3),VLOOKUP(N29,setup!$A$8:$H$58,4),VLOOKUP(N29,setup!$A$8:$H$58,5),VLOOKUP(N29,setup!$A$8:$H$58,6),VLOOKUP(N29,setup!$A$8:$H$58,7), VLOOKUP(0,setup!$A$8:$H$58,2),VLOOKUP(0,setup!$A$8:$H$58,5),VLOOKUP(N29,setup!$A$8:$H$58,8))</f>
        <v xml:space="preserve">* @author Julio Cesar Vitorino </v>
      </c>
    </row>
    <row r="30" spans="1:15" x14ac:dyDescent="0.25">
      <c r="A30" s="29" t="s">
        <v>240</v>
      </c>
      <c r="O30" s="7" t="str">
        <f ca="1">getCodigoBackend(N30,A30,VLOOKUP(N30,setup!$A$8:$H$58,2),VLOOKUP(N30,setup!$A$8:$H$58,3),VLOOKUP(N30,setup!$A$8:$H$58,4),VLOOKUP(N30,setup!$A$8:$H$58,5),VLOOKUP(N30,setup!$A$8:$H$58,6),VLOOKUP(N30,setup!$A$8:$H$58,7), VLOOKUP(0,setup!$A$8:$H$58,2),VLOOKUP(0,setup!$A$8:$H$58,5),VLOOKUP(N30,setup!$A$8:$H$58,8))</f>
        <v>* @since 26/07/2021 15:11:48</v>
      </c>
    </row>
    <row r="31" spans="1:15" x14ac:dyDescent="0.25">
      <c r="A31" s="29" t="s">
        <v>242</v>
      </c>
      <c r="O31" s="7" t="str">
        <f ca="1">getCodigoBackend(N31,A31,VLOOKUP(N31,setup!$A$8:$H$58,2),VLOOKUP(N31,setup!$A$8:$H$58,3),VLOOKUP(N31,setup!$A$8:$H$58,4),VLOOKUP(N31,setup!$A$8:$H$58,5),VLOOKUP(N31,setup!$A$8:$H$58,6),VLOOKUP(N31,setup!$A$8:$H$58,7), VLOOKUP(0,setup!$A$8:$H$58,2),VLOOKUP(0,setup!$A$8:$H$58,5),VLOOKUP(N31,setup!$A$8:$H$58,8))</f>
        <v>* @copyright(c), Julio Vitorino &lt;julio.vitorino@gmail.com&gt;</v>
      </c>
    </row>
    <row r="32" spans="1:15" x14ac:dyDescent="0.25">
      <c r="A32" s="29" t="s">
        <v>21</v>
      </c>
      <c r="O32" s="7" t="str">
        <f ca="1">getCodigoBackend(N32,A32,VLOOKUP(N32,setup!$A$8:$H$58,2),VLOOKUP(N32,setup!$A$8:$H$58,3),VLOOKUP(N32,setup!$A$8:$H$58,4),VLOOKUP(N32,setup!$A$8:$H$58,5),VLOOKUP(N32,setup!$A$8:$H$58,6),VLOOKUP(N32,setup!$A$8:$H$58,7), VLOOKUP(0,setup!$A$8:$H$58,2),VLOOKUP(0,setup!$A$8:$H$58,5),VLOOKUP(N32,setup!$A$8:$H$58,8))</f>
        <v>*/</v>
      </c>
    </row>
    <row r="33" spans="1:15" x14ac:dyDescent="0.25">
      <c r="A33" s="29"/>
      <c r="O33" s="7" t="str">
        <f ca="1">getCodigoBackend(N33,A33,VLOOKUP(N33,setup!$A$8:$H$58,2),VLOOKUP(N33,setup!$A$8:$H$58,3),VLOOKUP(N33,setup!$A$8:$H$58,4),VLOOKUP(N33,setup!$A$8:$H$58,5),VLOOKUP(N33,setup!$A$8:$H$58,6),VLOOKUP(N33,setup!$A$8:$H$58,7), VLOOKUP(0,setup!$A$8:$H$58,2),VLOOKUP(0,setup!$A$8:$H$58,5),VLOOKUP(N33,setup!$A$8:$H$58,8))</f>
        <v/>
      </c>
    </row>
    <row r="34" spans="1:15" x14ac:dyDescent="0.25">
      <c r="A34" s="29" t="s">
        <v>850</v>
      </c>
      <c r="O34" s="7" t="str">
        <f ca="1">getCodigoBackend(N34,A34,VLOOKUP(N34,setup!$A$8:$H$58,2),VLOOKUP(N34,setup!$A$8:$H$58,3),VLOOKUP(N34,setup!$A$8:$H$58,4),VLOOKUP(N34,setup!$A$8:$H$58,5),VLOOKUP(N34,setup!$A$8:$H$58,6),VLOOKUP(N34,setup!$A$8:$H$58,7), VLOOKUP(0,setup!$A$8:$H$58,2),VLOOKUP(0,setup!$A$8:$H$58,5),VLOOKUP(N34,setup!$A$8:$H$58,8))</f>
        <v>class CampanhaCashbackResgatePixHelper</v>
      </c>
    </row>
    <row r="35" spans="1:15" x14ac:dyDescent="0.25">
      <c r="A35" s="29" t="s">
        <v>22</v>
      </c>
      <c r="O35" s="7" t="str">
        <f ca="1">getCodigoBackend(N35,A35,VLOOKUP(N35,setup!$A$8:$H$58,2),VLOOKUP(N35,setup!$A$8:$H$58,3),VLOOKUP(N35,setup!$A$8:$H$58,4),VLOOKUP(N35,setup!$A$8:$H$58,5),VLOOKUP(N35,setup!$A$8:$H$58,6),VLOOKUP(N35,setup!$A$8:$H$58,7), VLOOKUP(0,setup!$A$8:$H$58,2),VLOOKUP(0,setup!$A$8:$H$58,5),VLOOKUP(N35,setup!$A$8:$H$58,8))</f>
        <v>{</v>
      </c>
    </row>
    <row r="36" spans="1:15" x14ac:dyDescent="0.25">
      <c r="A36" s="29" t="s">
        <v>873</v>
      </c>
      <c r="O36" s="7" t="str">
        <f ca="1">getCodigoBackend(N36,A36,VLOOKUP(N36,setup!$A$8:$H$58,2),VLOOKUP(N36,setup!$A$8:$H$58,3),VLOOKUP(N36,setup!$A$8:$H$58,4),VLOOKUP(N36,setup!$A$8:$H$58,5),VLOOKUP(N36,setup!$A$8:$H$58,6),VLOOKUP(N36,setup!$A$8:$H$58,7), VLOOKUP(0,setup!$A$8:$H$58,2),VLOOKUP(0,setup!$A$8:$H$58,5),VLOOKUP(N36,setup!$A$8:$H$58,8))</f>
        <v xml:space="preserve">    public static function getCampanhaCashbackResgatePixService($ccrp_id) {</v>
      </c>
    </row>
    <row r="37" spans="1:15" x14ac:dyDescent="0.25">
      <c r="A37" s="29" t="s">
        <v>871</v>
      </c>
      <c r="O37" s="7" t="str">
        <f ca="1">getCodigoBackend(N37,A37,VLOOKUP(N37,setup!$A$8:$H$58,2),VLOOKUP(N37,setup!$A$8:$H$58,3),VLOOKUP(N37,setup!$A$8:$H$58,4),VLOOKUP(N37,setup!$A$8:$H$58,5),VLOOKUP(N37,setup!$A$8:$H$58,6),VLOOKUP(N37,setup!$A$8:$H$58,7), VLOOKUP(0,setup!$A$8:$H$58,2),VLOOKUP(0,setup!$A$8:$H$58,5),VLOOKUP(N37,setup!$A$8:$H$58,8))</f>
        <v xml:space="preserve">        $usbo = new CampanhaCashbackResgatePixServiceImpl();</v>
      </c>
    </row>
    <row r="38" spans="1:15" x14ac:dyDescent="0.25">
      <c r="A38" s="29" t="s">
        <v>874</v>
      </c>
      <c r="O38" s="7" t="str">
        <f ca="1">getCodigoBackend(N38,A38,VLOOKUP(N38,setup!$A$8:$H$58,2),VLOOKUP(N38,setup!$A$8:$H$58,3),VLOOKUP(N38,setup!$A$8:$H$58,4),VLOOKUP(N38,setup!$A$8:$H$58,5),VLOOKUP(N38,setup!$A$8:$H$58,6),VLOOKUP(N38,setup!$A$8:$H$58,7), VLOOKUP(0,setup!$A$8:$H$58,2),VLOOKUP(0,setup!$A$8:$H$58,5),VLOOKUP(N38,setup!$A$8:$H$58,8))</f>
        <v xml:space="preserve">        $dto = $usbo-&gt;pesquisarPorID($ccrp_id);</v>
      </c>
    </row>
    <row r="39" spans="1:15" x14ac:dyDescent="0.25">
      <c r="A39" s="29" t="s">
        <v>851</v>
      </c>
      <c r="O39" s="7" t="str">
        <f ca="1">getCodigoBackend(N39,A39,VLOOKUP(N39,setup!$A$8:$H$58,2),VLOOKUP(N39,setup!$A$8:$H$58,3),VLOOKUP(N39,setup!$A$8:$H$58,4),VLOOKUP(N39,setup!$A$8:$H$58,5),VLOOKUP(N39,setup!$A$8:$H$58,6),VLOOKUP(N39,setup!$A$8:$H$58,7), VLOOKUP(0,setup!$A$8:$H$58,2),VLOOKUP(0,setup!$A$8:$H$58,5),VLOOKUP(N39,setup!$A$8:$H$58,8))</f>
        <v xml:space="preserve">        return $dto;</v>
      </c>
    </row>
    <row r="40" spans="1:15" x14ac:dyDescent="0.25">
      <c r="A40" s="29" t="s">
        <v>406</v>
      </c>
      <c r="O40" s="7" t="str">
        <f ca="1">getCodigoBackend(N40,A40,VLOOKUP(N40,setup!$A$8:$H$58,2),VLOOKUP(N40,setup!$A$8:$H$58,3),VLOOKUP(N40,setup!$A$8:$H$58,4),VLOOKUP(N40,setup!$A$8:$H$58,5),VLOOKUP(N40,setup!$A$8:$H$58,6),VLOOKUP(N40,setup!$A$8:$H$58,7), VLOOKUP(0,setup!$A$8:$H$58,2),VLOOKUP(0,setup!$A$8:$H$58,5),VLOOKUP(N40,setup!$A$8:$H$58,8))</f>
        <v xml:space="preserve">    }</v>
      </c>
    </row>
    <row r="41" spans="1:15" x14ac:dyDescent="0.25">
      <c r="A41" s="29"/>
      <c r="O41" s="7" t="str">
        <f ca="1">getCodigoBackend(N41,A41,VLOOKUP(N41,setup!$A$8:$H$58,2),VLOOKUP(N41,setup!$A$8:$H$58,3),VLOOKUP(N41,setup!$A$8:$H$58,4),VLOOKUP(N41,setup!$A$8:$H$58,5),VLOOKUP(N41,setup!$A$8:$H$58,6),VLOOKUP(N41,setup!$A$8:$H$58,7), VLOOKUP(0,setup!$A$8:$H$58,2),VLOOKUP(0,setup!$A$8:$H$58,5),VLOOKUP(N41,setup!$A$8:$H$58,8))</f>
        <v/>
      </c>
    </row>
    <row r="42" spans="1:15" x14ac:dyDescent="0.25">
      <c r="A42" s="29" t="s">
        <v>875</v>
      </c>
      <c r="O42" s="7" t="str">
        <f ca="1">getCodigoBackend(N42,A42,VLOOKUP(N42,setup!$A$8:$H$58,2),VLOOKUP(N42,setup!$A$8:$H$58,3),VLOOKUP(N42,setup!$A$8:$H$58,4),VLOOKUP(N42,setup!$A$8:$H$58,5),VLOOKUP(N42,setup!$A$8:$H$58,6),VLOOKUP(N42,setup!$A$8:$H$58,7), VLOOKUP(0,setup!$A$8:$H$58,2),VLOOKUP(0,setup!$A$8:$H$58,5),VLOOKUP(N42,setup!$A$8:$H$58,8))</f>
        <v xml:space="preserve">    public static function getCampanhaCashbackResgatePixBusiness($daofactory, $ccrp_id) {</v>
      </c>
    </row>
    <row r="43" spans="1:15" x14ac:dyDescent="0.25">
      <c r="A43" s="29" t="s">
        <v>852</v>
      </c>
      <c r="O43" s="7" t="str">
        <f ca="1">getCodigoBackend(N43,A43,VLOOKUP(N43,setup!$A$8:$H$58,2),VLOOKUP(N43,setup!$A$8:$H$58,3),VLOOKUP(N43,setup!$A$8:$H$58,4),VLOOKUP(N43,setup!$A$8:$H$58,5),VLOOKUP(N43,setup!$A$8:$H$58,6),VLOOKUP(N43,setup!$A$8:$H$58,7), VLOOKUP(0,setup!$A$8:$H$58,2),VLOOKUP(0,setup!$A$8:$H$58,5),VLOOKUP(N43,setup!$A$8:$H$58,8))</f>
        <v xml:space="preserve">        $usbo = new CampanhaCashbackResgatePixBusinessImpl();</v>
      </c>
    </row>
    <row r="44" spans="1:15" x14ac:dyDescent="0.25">
      <c r="A44" s="29" t="s">
        <v>876</v>
      </c>
      <c r="O44" s="7" t="str">
        <f ca="1">getCodigoBackend(N44,A44,VLOOKUP(N44,setup!$A$8:$H$58,2),VLOOKUP(N44,setup!$A$8:$H$58,3),VLOOKUP(N44,setup!$A$8:$H$58,4),VLOOKUP(N44,setup!$A$8:$H$58,5),VLOOKUP(N44,setup!$A$8:$H$58,6),VLOOKUP(N44,setup!$A$8:$H$58,7), VLOOKUP(0,setup!$A$8:$H$58,2),VLOOKUP(0,setup!$A$8:$H$58,5),VLOOKUP(N44,setup!$A$8:$H$58,8))</f>
        <v xml:space="preserve">        $dto = $usbo-&gt;carregarPorID($daofactory, $ccrp_id);</v>
      </c>
    </row>
    <row r="45" spans="1:15" x14ac:dyDescent="0.25">
      <c r="A45" s="29" t="s">
        <v>851</v>
      </c>
      <c r="O45" s="7" t="str">
        <f ca="1">getCodigoBackend(N45,A45,VLOOKUP(N45,setup!$A$8:$H$58,2),VLOOKUP(N45,setup!$A$8:$H$58,3),VLOOKUP(N45,setup!$A$8:$H$58,4),VLOOKUP(N45,setup!$A$8:$H$58,5),VLOOKUP(N45,setup!$A$8:$H$58,6),VLOOKUP(N45,setup!$A$8:$H$58,7), VLOOKUP(0,setup!$A$8:$H$58,2),VLOOKUP(0,setup!$A$8:$H$58,5),VLOOKUP(N45,setup!$A$8:$H$58,8))</f>
        <v xml:space="preserve">        return $dto;</v>
      </c>
    </row>
    <row r="46" spans="1:15" x14ac:dyDescent="0.25">
      <c r="A46" s="29" t="s">
        <v>406</v>
      </c>
      <c r="O46" s="7" t="str">
        <f ca="1">getCodigoBackend(N46,A46,VLOOKUP(N46,setup!$A$8:$H$58,2),VLOOKUP(N46,setup!$A$8:$H$58,3),VLOOKUP(N46,setup!$A$8:$H$58,4),VLOOKUP(N46,setup!$A$8:$H$58,5),VLOOKUP(N46,setup!$A$8:$H$58,6),VLOOKUP(N46,setup!$A$8:$H$58,7), VLOOKUP(0,setup!$A$8:$H$58,2),VLOOKUP(0,setup!$A$8:$H$58,5),VLOOKUP(N46,setup!$A$8:$H$58,8))</f>
        <v xml:space="preserve">    }</v>
      </c>
    </row>
    <row r="47" spans="1:15" x14ac:dyDescent="0.25">
      <c r="A47" s="29"/>
      <c r="O47" s="7" t="str">
        <f ca="1">getCodigoBackend(N47,A47,VLOOKUP(N47,setup!$A$8:$H$58,2),VLOOKUP(N47,setup!$A$8:$H$58,3),VLOOKUP(N47,setup!$A$8:$H$58,4),VLOOKUP(N47,setup!$A$8:$H$58,5),VLOOKUP(N47,setup!$A$8:$H$58,6),VLOOKUP(N47,setup!$A$8:$H$58,7), VLOOKUP(0,setup!$A$8:$H$58,2),VLOOKUP(0,setup!$A$8:$H$58,5),VLOOKUP(N47,setup!$A$8:$H$58,8))</f>
        <v/>
      </c>
    </row>
    <row r="48" spans="1:15" x14ac:dyDescent="0.25">
      <c r="A48" s="29" t="s">
        <v>19</v>
      </c>
      <c r="O48" s="7" t="str">
        <f ca="1">getCodigoBackend(N48,A48,VLOOKUP(N48,setup!$A$8:$H$58,2),VLOOKUP(N48,setup!$A$8:$H$58,3),VLOOKUP(N48,setup!$A$8:$H$58,4),VLOOKUP(N48,setup!$A$8:$H$58,5),VLOOKUP(N48,setup!$A$8:$H$58,6),VLOOKUP(N48,setup!$A$8:$H$58,7), VLOOKUP(0,setup!$A$8:$H$58,2),VLOOKUP(0,setup!$A$8:$H$58,5),VLOOKUP(N48,setup!$A$8:$H$58,8))</f>
        <v>/**</v>
      </c>
    </row>
    <row r="49" spans="1:15" x14ac:dyDescent="0.25">
      <c r="A49" s="29" t="s">
        <v>881</v>
      </c>
      <c r="O49" s="7" t="str">
        <f ca="1">getCodigoBackend(N49,A49,VLOOKUP(N49,setup!$A$8:$H$58,2),VLOOKUP(N49,setup!$A$8:$H$58,3),VLOOKUP(N49,setup!$A$8:$H$58,4),VLOOKUP(N49,setup!$A$8:$H$58,5),VLOOKUP(N49,setup!$A$8:$H$58,6),VLOOKUP(N49,setup!$A$8:$H$58,7), VLOOKUP(0,setup!$A$8:$H$58,2),VLOOKUP(0,setup!$A$8:$H$58,5),VLOOKUP(N49,setup!$A$8:$H$58,8))</f>
        <v xml:space="preserve"> * isCampanhaCashbackResgatePixValido() - Verifica o CampanhaCashbackResgatePix é valido com base na PK</v>
      </c>
    </row>
    <row r="50" spans="1:15" x14ac:dyDescent="0.25">
      <c r="A50" s="29" t="s">
        <v>878</v>
      </c>
      <c r="O50" s="7" t="str">
        <f ca="1">getCodigoBackend(N50,A50,VLOOKUP(N50,setup!$A$8:$H$58,2),VLOOKUP(N50,setup!$A$8:$H$58,3),VLOOKUP(N50,setup!$A$8:$H$58,4),VLOOKUP(N50,setup!$A$8:$H$58,5),VLOOKUP(N50,setup!$A$8:$H$58,6),VLOOKUP(N50,setup!$A$8:$H$58,7), VLOOKUP(0,setup!$A$8:$H$58,2),VLOOKUP(0,setup!$A$8:$H$58,5),VLOOKUP(N50,setup!$A$8:$H$58,8))</f>
        <v xml:space="preserve"> **/    </v>
      </c>
    </row>
    <row r="51" spans="1:15" x14ac:dyDescent="0.25">
      <c r="A51" s="29" t="s">
        <v>882</v>
      </c>
      <c r="O51" s="7" t="str">
        <f ca="1">getCodigoBackend(N51,A51,VLOOKUP(N51,setup!$A$8:$H$58,2),VLOOKUP(N51,setup!$A$8:$H$58,3),VLOOKUP(N51,setup!$A$8:$H$58,4),VLOOKUP(N51,setup!$A$8:$H$58,5),VLOOKUP(N51,setup!$A$8:$H$58,6),VLOOKUP(N51,setup!$A$8:$H$58,7), VLOOKUP(0,setup!$A$8:$H$58,2),VLOOKUP(0,setup!$A$8:$H$58,5),VLOOKUP(N51,setup!$A$8:$H$58,8))</f>
        <v xml:space="preserve">    public static function isCampanhaCashbackResgatePixValido($daofactory, $ccrp_id) {</v>
      </c>
    </row>
    <row r="52" spans="1:15" x14ac:dyDescent="0.25">
      <c r="A52" s="29" t="s">
        <v>883</v>
      </c>
      <c r="O52" s="7" t="str">
        <f ca="1">getCodigoBackend(N52,A52,VLOOKUP(N52,setup!$A$8:$H$58,2),VLOOKUP(N52,setup!$A$8:$H$58,3),VLOOKUP(N52,setup!$A$8:$H$58,4),VLOOKUP(N52,setup!$A$8:$H$58,5),VLOOKUP(N52,setup!$A$8:$H$58,6),VLOOKUP(N52,setup!$A$8:$H$58,7), VLOOKUP(0,setup!$A$8:$H$58,2),VLOOKUP(0,setup!$A$8:$H$58,5),VLOOKUP(N52,setup!$A$8:$H$58,8))</f>
        <v xml:space="preserve">        $ccrpdto = self::getCampanhaCashbackResgatePixBusiness($daofactory, $ccrp_id);</v>
      </c>
    </row>
    <row r="53" spans="1:15" x14ac:dyDescent="0.25">
      <c r="A53" s="29" t="s">
        <v>884</v>
      </c>
      <c r="O53" s="7" t="str">
        <f ca="1">getCodigoBackend(N53,A53,VLOOKUP(N53,setup!$A$8:$H$58,2),VLOOKUP(N53,setup!$A$8:$H$58,3),VLOOKUP(N53,setup!$A$8:$H$58,4),VLOOKUP(N53,setup!$A$8:$H$58,5),VLOOKUP(N53,setup!$A$8:$H$58,6),VLOOKUP(N53,setup!$A$8:$H$58,7), VLOOKUP(0,setup!$A$8:$H$58,2),VLOOKUP(0,setup!$A$8:$H$58,5),VLOOKUP(N53,setup!$A$8:$H$58,8))</f>
        <v xml:space="preserve">        if($ccrpdto == NULL || $ccrpdto-&gt;id == NULL) {</v>
      </c>
    </row>
    <row r="54" spans="1:15" x14ac:dyDescent="0.25">
      <c r="A54" s="29" t="s">
        <v>879</v>
      </c>
      <c r="O54" s="7" t="str">
        <f ca="1">getCodigoBackend(N54,A54,VLOOKUP(N54,setup!$A$8:$H$58,2),VLOOKUP(N54,setup!$A$8:$H$58,3),VLOOKUP(N54,setup!$A$8:$H$58,4),VLOOKUP(N54,setup!$A$8:$H$58,5),VLOOKUP(N54,setup!$A$8:$H$58,6),VLOOKUP(N54,setup!$A$8:$H$58,7), VLOOKUP(0,setup!$A$8:$H$58,2),VLOOKUP(0,setup!$A$8:$H$58,5),VLOOKUP(N54,setup!$A$8:$H$58,8))</f>
        <v xml:space="preserve">            return true;</v>
      </c>
    </row>
    <row r="55" spans="1:15" x14ac:dyDescent="0.25">
      <c r="A55" s="29" t="s">
        <v>157</v>
      </c>
      <c r="O55" s="7" t="str">
        <f ca="1">getCodigoBackend(N55,A55,VLOOKUP(N55,setup!$A$8:$H$58,2),VLOOKUP(N55,setup!$A$8:$H$58,3),VLOOKUP(N55,setup!$A$8:$H$58,4),VLOOKUP(N55,setup!$A$8:$H$58,5),VLOOKUP(N55,setup!$A$8:$H$58,6),VLOOKUP(N55,setup!$A$8:$H$58,7), VLOOKUP(0,setup!$A$8:$H$58,2),VLOOKUP(0,setup!$A$8:$H$58,5),VLOOKUP(N55,setup!$A$8:$H$58,8))</f>
        <v xml:space="preserve">        }</v>
      </c>
    </row>
    <row r="56" spans="1:15" x14ac:dyDescent="0.25">
      <c r="A56" s="29" t="s">
        <v>880</v>
      </c>
      <c r="O56" s="7" t="str">
        <f ca="1">getCodigoBackend(N56,A56,VLOOKUP(N56,setup!$A$8:$H$58,2),VLOOKUP(N56,setup!$A$8:$H$58,3),VLOOKUP(N56,setup!$A$8:$H$58,4),VLOOKUP(N56,setup!$A$8:$H$58,5),VLOOKUP(N56,setup!$A$8:$H$58,6),VLOOKUP(N56,setup!$A$8:$H$58,7), VLOOKUP(0,setup!$A$8:$H$58,2),VLOOKUP(0,setup!$A$8:$H$58,5),VLOOKUP(N56,setup!$A$8:$H$58,8))</f>
        <v xml:space="preserve">        return false;</v>
      </c>
    </row>
    <row r="57" spans="1:15" x14ac:dyDescent="0.25">
      <c r="A57" s="29" t="s">
        <v>406</v>
      </c>
      <c r="O57" s="7" t="str">
        <f ca="1">getCodigoBackend(N57,A57,VLOOKUP(N57,setup!$A$8:$H$58,2),VLOOKUP(N57,setup!$A$8:$H$58,3),VLOOKUP(N57,setup!$A$8:$H$58,4),VLOOKUP(N57,setup!$A$8:$H$58,5),VLOOKUP(N57,setup!$A$8:$H$58,6),VLOOKUP(N57,setup!$A$8:$H$58,7), VLOOKUP(0,setup!$A$8:$H$58,2),VLOOKUP(0,setup!$A$8:$H$58,5),VLOOKUP(N57,setup!$A$8:$H$58,8))</f>
        <v xml:space="preserve">    }</v>
      </c>
    </row>
    <row r="58" spans="1:15" x14ac:dyDescent="0.25">
      <c r="A58" s="29"/>
      <c r="O58" s="7" t="str">
        <f ca="1">getCodigoBackend(N58,A58,VLOOKUP(N58,setup!$A$8:$H$58,2),VLOOKUP(N58,setup!$A$8:$H$58,3),VLOOKUP(N58,setup!$A$8:$H$58,4),VLOOKUP(N58,setup!$A$8:$H$58,5),VLOOKUP(N58,setup!$A$8:$H$58,6),VLOOKUP(N58,setup!$A$8:$H$58,7), VLOOKUP(0,setup!$A$8:$H$58,2),VLOOKUP(0,setup!$A$8:$H$58,5),VLOOKUP(N58,setup!$A$8:$H$58,8))</f>
        <v/>
      </c>
    </row>
    <row r="59" spans="1:15" x14ac:dyDescent="0.25">
      <c r="A59" s="29" t="s">
        <v>19</v>
      </c>
      <c r="O59" s="7" t="str">
        <f ca="1">getCodigoBackend(N59,A59,VLOOKUP(N59,setup!$A$8:$H$58,2),VLOOKUP(N59,setup!$A$8:$H$58,3),VLOOKUP(N59,setup!$A$8:$H$58,4),VLOOKUP(N59,setup!$A$8:$H$58,5),VLOOKUP(N59,setup!$A$8:$H$58,6),VLOOKUP(N59,setup!$A$8:$H$58,7), VLOOKUP(0,setup!$A$8:$H$58,2),VLOOKUP(0,setup!$A$8:$H$58,5),VLOOKUP(N59,setup!$A$8:$H$58,8))</f>
        <v>/**</v>
      </c>
    </row>
    <row r="60" spans="1:15" x14ac:dyDescent="0.25">
      <c r="A60" s="29" t="s">
        <v>20</v>
      </c>
      <c r="O60" s="7" t="str">
        <f ca="1">getCodigoBackend(N60,A60,VLOOKUP(N60,setup!$A$8:$H$58,2),VLOOKUP(N60,setup!$A$8:$H$58,3),VLOOKUP(N60,setup!$A$8:$H$58,4),VLOOKUP(N60,setup!$A$8:$H$58,5),VLOOKUP(N60,setup!$A$8:$H$58,6),VLOOKUP(N60,setup!$A$8:$H$58,7), VLOOKUP(0,setup!$A$8:$H$58,2),VLOOKUP(0,setup!$A$8:$H$58,5),VLOOKUP(N60,setup!$A$8:$H$58,8))</f>
        <v>*</v>
      </c>
    </row>
    <row r="61" spans="1:15" x14ac:dyDescent="0.25">
      <c r="A61" s="29" t="s">
        <v>950</v>
      </c>
      <c r="O61" s="7" t="str">
        <f ca="1">getCodigoBackend(N61,A61,VLOOKUP(N61,setup!$A$8:$H$58,2),VLOOKUP(N61,setup!$A$8:$H$58,3),VLOOKUP(N61,setup!$A$8:$H$58,4),VLOOKUP(N61,setup!$A$8:$H$58,5),VLOOKUP(N61,setup!$A$8:$H$58,6),VLOOKUP(N61,setup!$A$8:$H$58,7), VLOOKUP(0,setup!$A$8:$H$58,2),VLOOKUP(0,setup!$A$8:$H$58,5),VLOOKUP(N61,setup!$A$8:$H$58,8))</f>
        <v>* criarNotificacaoAdmin - Ajuda para publicar uma notificação ao usuário Admin</v>
      </c>
    </row>
    <row r="62" spans="1:15" x14ac:dyDescent="0.25">
      <c r="A62" s="29" t="s">
        <v>20</v>
      </c>
      <c r="O62" s="7" t="str">
        <f ca="1">getCodigoBackend(N62,A62,VLOOKUP(N62,setup!$A$8:$H$58,2),VLOOKUP(N62,setup!$A$8:$H$58,3),VLOOKUP(N62,setup!$A$8:$H$58,4),VLOOKUP(N62,setup!$A$8:$H$58,5),VLOOKUP(N62,setup!$A$8:$H$58,6),VLOOKUP(N62,setup!$A$8:$H$58,7), VLOOKUP(0,setup!$A$8:$H$58,2),VLOOKUP(0,setup!$A$8:$H$58,5),VLOOKUP(N62,setup!$A$8:$H$58,8))</f>
        <v>*</v>
      </c>
    </row>
    <row r="63" spans="1:15" x14ac:dyDescent="0.25">
      <c r="A63" s="29" t="s">
        <v>357</v>
      </c>
      <c r="O63" s="7" t="str">
        <f ca="1">getCodigoBackend(N63,A63,VLOOKUP(N63,setup!$A$8:$H$58,2),VLOOKUP(N63,setup!$A$8:$H$58,3),VLOOKUP(N63,setup!$A$8:$H$58,4),VLOOKUP(N63,setup!$A$8:$H$58,5),VLOOKUP(N63,setup!$A$8:$H$58,6),VLOOKUP(N63,setup!$A$8:$H$58,7), VLOOKUP(0,setup!$A$8:$H$58,2),VLOOKUP(0,setup!$A$8:$H$58,5),VLOOKUP(N63,setup!$A$8:$H$58,8))</f>
        <v>* @param $daofactory</v>
      </c>
    </row>
    <row r="64" spans="1:15" x14ac:dyDescent="0.25">
      <c r="A64" s="29" t="s">
        <v>951</v>
      </c>
      <c r="O64" s="7" t="str">
        <f ca="1">getCodigoBackend(N64,A64,VLOOKUP(N64,setup!$A$8:$H$58,2),VLOOKUP(N64,setup!$A$8:$H$58,3),VLOOKUP(N64,setup!$A$8:$H$58,4),VLOOKUP(N64,setup!$A$8:$H$58,5),VLOOKUP(N64,setup!$A$8:$H$58,6),VLOOKUP(N64,setup!$A$8:$H$58,7), VLOOKUP(0,setup!$A$8:$H$58,2),VLOOKUP(0,setup!$A$8:$H$58,5),VLOOKUP(N64,setup!$A$8:$H$58,8))</f>
        <v>* @param $msgOrigem</v>
      </c>
    </row>
    <row r="65" spans="1:15" x14ac:dyDescent="0.25">
      <c r="A65" s="29" t="s">
        <v>952</v>
      </c>
      <c r="O65" s="7" t="str">
        <f ca="1">getCodigoBackend(N65,A65,VLOOKUP(N65,setup!$A$8:$H$58,2),VLOOKUP(N65,setup!$A$8:$H$58,3),VLOOKUP(N65,setup!$A$8:$H$58,4),VLOOKUP(N65,setup!$A$8:$H$58,5),VLOOKUP(N65,setup!$A$8:$H$58,6),VLOOKUP(N65,setup!$A$8:$H$58,7), VLOOKUP(0,setup!$A$8:$H$58,2),VLOOKUP(0,setup!$A$8:$H$58,5),VLOOKUP(N65,setup!$A$8:$H$58,8))</f>
        <v>* @param $parametros</v>
      </c>
    </row>
    <row r="66" spans="1:15" x14ac:dyDescent="0.25">
      <c r="A66" s="29" t="s">
        <v>953</v>
      </c>
      <c r="O66" s="7" t="str">
        <f ca="1">getCodigoBackend(N66,A66,VLOOKUP(N66,setup!$A$8:$H$58,2),VLOOKUP(N66,setup!$A$8:$H$58,3),VLOOKUP(N66,setup!$A$8:$H$58,4),VLOOKUP(N66,setup!$A$8:$H$58,5),VLOOKUP(N66,setup!$A$8:$H$58,6),VLOOKUP(N66,setup!$A$8:$H$58,7), VLOOKUP(0,setup!$A$8:$H$58,2),VLOOKUP(0,setup!$A$8:$H$58,5),VLOOKUP(N66,setup!$A$8:$H$58,8))</f>
        <v>* @param $icone</v>
      </c>
    </row>
    <row r="67" spans="1:15" x14ac:dyDescent="0.25">
      <c r="A67" s="29" t="s">
        <v>20</v>
      </c>
      <c r="O67" s="7" t="str">
        <f ca="1">getCodigoBackend(N67,A67,VLOOKUP(N67,setup!$A$8:$H$58,2),VLOOKUP(N67,setup!$A$8:$H$58,3),VLOOKUP(N67,setup!$A$8:$H$58,4),VLOOKUP(N67,setup!$A$8:$H$58,5),VLOOKUP(N67,setup!$A$8:$H$58,6),VLOOKUP(N67,setup!$A$8:$H$58,7), VLOOKUP(0,setup!$A$8:$H$58,2),VLOOKUP(0,setup!$A$8:$H$58,5),VLOOKUP(N67,setup!$A$8:$H$58,8))</f>
        <v>*</v>
      </c>
    </row>
    <row r="68" spans="1:15" x14ac:dyDescent="0.25">
      <c r="A68" s="29" t="s">
        <v>21</v>
      </c>
      <c r="O68" s="7" t="str">
        <f ca="1">getCodigoBackend(N68,A68,VLOOKUP(N68,setup!$A$8:$H$58,2),VLOOKUP(N68,setup!$A$8:$H$58,3),VLOOKUP(N68,setup!$A$8:$H$58,4),VLOOKUP(N68,setup!$A$8:$H$58,5),VLOOKUP(N68,setup!$A$8:$H$58,6),VLOOKUP(N68,setup!$A$8:$H$58,7), VLOOKUP(0,setup!$A$8:$H$58,2),VLOOKUP(0,setup!$A$8:$H$58,5),VLOOKUP(N68,setup!$A$8:$H$58,8))</f>
        <v>*/</v>
      </c>
    </row>
    <row r="69" spans="1:15" x14ac:dyDescent="0.25">
      <c r="A69" s="29"/>
      <c r="O69" s="7" t="str">
        <f ca="1">getCodigoBackend(N69,A69,VLOOKUP(N69,setup!$A$8:$H$58,2),VLOOKUP(N69,setup!$A$8:$H$58,3),VLOOKUP(N69,setup!$A$8:$H$58,4),VLOOKUP(N69,setup!$A$8:$H$58,5),VLOOKUP(N69,setup!$A$8:$H$58,6),VLOOKUP(N69,setup!$A$8:$H$58,7), VLOOKUP(0,setup!$A$8:$H$58,2),VLOOKUP(0,setup!$A$8:$H$58,5),VLOOKUP(N69,setup!$A$8:$H$58,8))</f>
        <v/>
      </c>
    </row>
    <row r="70" spans="1:15" x14ac:dyDescent="0.25">
      <c r="A70" s="29" t="s">
        <v>941</v>
      </c>
      <c r="O70" s="7" t="str">
        <f ca="1">getCodigoBackend(N70,A70,VLOOKUP(N70,setup!$A$8:$H$58,2),VLOOKUP(N70,setup!$A$8:$H$58,3),VLOOKUP(N70,setup!$A$8:$H$58,4),VLOOKUP(N70,setup!$A$8:$H$58,5),VLOOKUP(N70,setup!$A$8:$H$58,6),VLOOKUP(N70,setup!$A$8:$H$58,7), VLOOKUP(0,setup!$A$8:$H$58,2),VLOOKUP(0,setup!$A$8:$H$58,5),VLOOKUP(N70,setup!$A$8:$H$58,8))</f>
        <v>public static function criarNotificacaoAdmin($daofactory, $msgOrigem, $parametros, $icone)</v>
      </c>
    </row>
    <row r="71" spans="1:15" x14ac:dyDescent="0.25">
      <c r="A71" s="29" t="s">
        <v>22</v>
      </c>
      <c r="O71" s="7" t="str">
        <f ca="1">getCodigoBackend(N71,A71,VLOOKUP(N71,setup!$A$8:$H$58,2),VLOOKUP(N71,setup!$A$8:$H$58,3),VLOOKUP(N71,setup!$A$8:$H$58,4),VLOOKUP(N71,setup!$A$8:$H$58,5),VLOOKUP(N71,setup!$A$8:$H$58,6),VLOOKUP(N71,setup!$A$8:$H$58,7), VLOOKUP(0,setup!$A$8:$H$58,2),VLOOKUP(0,setup!$A$8:$H$58,5),VLOOKUP(N71,setup!$A$8:$H$58,8))</f>
        <v>{</v>
      </c>
    </row>
    <row r="72" spans="1:15" x14ac:dyDescent="0.25">
      <c r="A72" s="29" t="s">
        <v>942</v>
      </c>
      <c r="O72" s="7" t="str">
        <f ca="1">getCodigoBackend(N72,A72,VLOOKUP(N72,setup!$A$8:$H$58,2),VLOOKUP(N72,setup!$A$8:$H$58,3),VLOOKUP(N72,setup!$A$8:$H$58,4),VLOOKUP(N72,setup!$A$8:$H$58,5),VLOOKUP(N72,setup!$A$8:$H$58,6),VLOOKUP(N72,setup!$A$8:$H$58,7), VLOOKUP(0,setup!$A$8:$H$58,2),VLOOKUP(0,setup!$A$8:$H$58,5),VLOOKUP(N72,setup!$A$8:$H$58,8))</f>
        <v xml:space="preserve">    // Envia uma notificação ao ADMIN se chave estiver ligada</v>
      </c>
    </row>
    <row r="73" spans="1:15" x14ac:dyDescent="0.25">
      <c r="A73" s="29" t="s">
        <v>943</v>
      </c>
      <c r="O73" s="7" t="str">
        <f ca="1">getCodigoBackend(N73,A73,VLOOKUP(N73,setup!$A$8:$H$58,2),VLOOKUP(N73,setup!$A$8:$H$58,3),VLOOKUP(N73,setup!$A$8:$H$58,4),VLOOKUP(N73,setup!$A$8:$H$58,5),VLOOKUP(N73,setup!$A$8:$H$58,6),VLOOKUP(N73,setup!$A$8:$H$58,7), VLOOKUP(0,setup!$A$8:$H$58,2),VLOOKUP(0,setup!$A$8:$H$58,5),VLOOKUP(N73,setup!$A$8:$H$58,8))</f>
        <v xml:space="preserve">    if (VariavelCache::getInstance()-&gt;getVariavel(ConstantesVariavel::CHAVE_NOTIFICACAO_ADMIN_NOVO_USUARIO) == ConstantesVariavel::ATIVADO){</v>
      </c>
    </row>
    <row r="74" spans="1:15" x14ac:dyDescent="0.25">
      <c r="A74" s="29" t="s">
        <v>944</v>
      </c>
      <c r="O74" s="7" t="str">
        <f ca="1">getCodigoBackend(N74,A74,VLOOKUP(N74,setup!$A$8:$H$58,2),VLOOKUP(N74,setup!$A$8:$H$58,3),VLOOKUP(N74,setup!$A$8:$H$58,4),VLOOKUP(N74,setup!$A$8:$H$58,5),VLOOKUP(N74,setup!$A$8:$H$58,6),VLOOKUP(N74,setup!$A$8:$H$58,7), VLOOKUP(0,setup!$A$8:$H$58,2),VLOOKUP(0,setup!$A$8:$H$58,5),VLOOKUP(N74,setup!$A$8:$H$58,8))</f>
        <v xml:space="preserve">        $usuaid_admin = (int) VariavelCache::getInstance()-&gt;getVariavel(ConstantesVariavel::NOTIFICACAO_ADMIN_USUA_ID);</v>
      </c>
    </row>
    <row r="75" spans="1:15" x14ac:dyDescent="0.25">
      <c r="A75" s="29" t="s">
        <v>945</v>
      </c>
      <c r="O75" s="7" t="str">
        <f ca="1">getCodigoBackend(N75,A75,VLOOKUP(N75,setup!$A$8:$H$58,2),VLOOKUP(N75,setup!$A$8:$H$58,3),VLOOKUP(N75,setup!$A$8:$H$58,4),VLOOKUP(N75,setup!$A$8:$H$58,5),VLOOKUP(N75,setup!$A$8:$H$58,6),VLOOKUP(N75,setup!$A$8:$H$58,7), VLOOKUP(0,setup!$A$8:$H$58,2),VLOOKUP(0,setup!$A$8:$H$58,5),VLOOKUP(N75,setup!$A$8:$H$58,8))</f>
        <v xml:space="preserve">        $msg =  MensagemCache::getInstance()-&gt;getMensagemParametrizada($msgOrigem,$parametros);</v>
      </c>
    </row>
    <row r="76" spans="1:15" x14ac:dyDescent="0.25">
      <c r="A76" s="29" t="s">
        <v>946</v>
      </c>
      <c r="O76" s="7" t="str">
        <f ca="1">getCodigoBackend(N76,A76,VLOOKUP(N76,setup!$A$8:$H$58,2),VLOOKUP(N76,setup!$A$8:$H$58,3),VLOOKUP(N76,setup!$A$8:$H$58,4),VLOOKUP(N76,setup!$A$8:$H$58,5),VLOOKUP(N76,setup!$A$8:$H$58,6),VLOOKUP(N76,setup!$A$8:$H$58,7), VLOOKUP(0,setup!$A$8:$H$58,2),VLOOKUP(0,setup!$A$8:$H$58,5),VLOOKUP(N76,setup!$A$8:$H$58,8))</f>
        <v xml:space="preserve">        self::criarUsuarioNotificacaoPorBusiness($daofactory, $usuaid_admin, $msg, $icone);</v>
      </c>
    </row>
    <row r="77" spans="1:15" x14ac:dyDescent="0.25">
      <c r="A77" s="29" t="s">
        <v>406</v>
      </c>
      <c r="O77" s="7" t="str">
        <f ca="1">getCodigoBackend(N77,A77,VLOOKUP(N77,setup!$A$8:$H$58,2),VLOOKUP(N77,setup!$A$8:$H$58,3),VLOOKUP(N77,setup!$A$8:$H$58,4),VLOOKUP(N77,setup!$A$8:$H$58,5),VLOOKUP(N77,setup!$A$8:$H$58,6),VLOOKUP(N77,setup!$A$8:$H$58,7), VLOOKUP(0,setup!$A$8:$H$58,2),VLOOKUP(0,setup!$A$8:$H$58,5),VLOOKUP(N77,setup!$A$8:$H$58,8))</f>
        <v xml:space="preserve">    }</v>
      </c>
    </row>
    <row r="78" spans="1:15" x14ac:dyDescent="0.25">
      <c r="A78" s="29" t="s">
        <v>853</v>
      </c>
      <c r="O78" s="7" t="str">
        <f ca="1">getCodigoBackend(N78,A78,VLOOKUP(N78,setup!$A$8:$H$58,2),VLOOKUP(N78,setup!$A$8:$H$58,3),VLOOKUP(N78,setup!$A$8:$H$58,4),VLOOKUP(N78,setup!$A$8:$H$58,5),VLOOKUP(N78,setup!$A$8:$H$58,6),VLOOKUP(N78,setup!$A$8:$H$58,7), VLOOKUP(0,setup!$A$8:$H$58,2),VLOOKUP(0,setup!$A$8:$H$58,5),VLOOKUP(N78,setup!$A$8:$H$58,8))</f>
        <v xml:space="preserve">    </v>
      </c>
    </row>
    <row r="79" spans="1:15" x14ac:dyDescent="0.25">
      <c r="A79" s="29" t="s">
        <v>28</v>
      </c>
      <c r="O79" s="7" t="str">
        <f ca="1">getCodigoBackend(N79,A79,VLOOKUP(N79,setup!$A$8:$H$58,2),VLOOKUP(N79,setup!$A$8:$H$58,3),VLOOKUP(N79,setup!$A$8:$H$58,4),VLOOKUP(N79,setup!$A$8:$H$58,5),VLOOKUP(N79,setup!$A$8:$H$58,6),VLOOKUP(N79,setup!$A$8:$H$58,7), VLOOKUP(0,setup!$A$8:$H$58,2),VLOOKUP(0,setup!$A$8:$H$58,5),VLOOKUP(N79,setup!$A$8:$H$58,8))</f>
        <v>}</v>
      </c>
    </row>
    <row r="80" spans="1:15" x14ac:dyDescent="0.25">
      <c r="A80" s="29"/>
      <c r="O80" s="7"/>
    </row>
    <row r="81" spans="1:15" x14ac:dyDescent="0.25">
      <c r="A81" s="29" t="s">
        <v>853</v>
      </c>
      <c r="O81" s="7" t="str">
        <f ca="1">getCodigoBackend(N81,A81,VLOOKUP(N81,setup!$A$8:$H$58,2),VLOOKUP(N81,setup!$A$8:$H$58,3),VLOOKUP(N81,setup!$A$8:$H$58,4),VLOOKUP(N81,setup!$A$8:$H$58,5),VLOOKUP(N81,setup!$A$8:$H$58,6),VLOOKUP(N81,setup!$A$8:$H$58,7), VLOOKUP(0,setup!$A$8:$H$58,2),VLOOKUP(0,setup!$A$8:$H$58,5),VLOOKUP(N81,setup!$A$8:$H$58,8))</f>
        <v xml:space="preserve">    </v>
      </c>
    </row>
    <row r="82" spans="1:15" x14ac:dyDescent="0.25">
      <c r="A82" s="29" t="s">
        <v>28</v>
      </c>
      <c r="O82" s="7" t="str">
        <f ca="1">getCodigoBackend(N82,A82,VLOOKUP(N82,setup!$A$8:$H$58,2),VLOOKUP(N82,setup!$A$8:$H$58,3),VLOOKUP(N82,setup!$A$8:$H$58,4),VLOOKUP(N82,setup!$A$8:$H$58,5),VLOOKUP(N82,setup!$A$8:$H$58,6),VLOOKUP(N82,setup!$A$8:$H$58,7), VLOOKUP(0,setup!$A$8:$H$58,2),VLOOKUP(0,setup!$A$8:$H$58,5),VLOOKUP(N82,setup!$A$8:$H$58,8))</f>
        <v>}</v>
      </c>
    </row>
    <row r="83" spans="1:15" x14ac:dyDescent="0.25">
      <c r="A83" s="29"/>
      <c r="O83" s="7" t="str">
        <f ca="1">getCodigoBackend(N83,A83,VLOOKUP(N83,setup!$A$8:$H$58,2),VLOOKUP(N83,setup!$A$8:$H$58,3),VLOOKUP(N83,setup!$A$8:$H$58,4),VLOOKUP(N83,setup!$A$8:$H$58,5),VLOOKUP(N83,setup!$A$8:$H$58,6),VLOOKUP(N83,setup!$A$8:$H$58,7), VLOOKUP(0,setup!$A$8:$H$58,2),VLOOKUP(0,setup!$A$8:$H$58,5),VLOOKUP(N83,setup!$A$8:$H$58,8))</f>
        <v/>
      </c>
    </row>
    <row r="84" spans="1:15" x14ac:dyDescent="0.25">
      <c r="A84" s="29"/>
      <c r="O84" s="7" t="str">
        <f ca="1">getCodigoBackend(N84,A84,VLOOKUP(N84,setup!$A$8:$H$58,2),VLOOKUP(N84,setup!$A$8:$H$58,3),VLOOKUP(N84,setup!$A$8:$H$58,4),VLOOKUP(N84,setup!$A$8:$H$58,5),VLOOKUP(N84,setup!$A$8:$H$58,6),VLOOKUP(N84,setup!$A$8:$H$58,7), VLOOKUP(0,setup!$A$8:$H$58,2),VLOOKUP(0,setup!$A$8:$H$58,5),VLOOKUP(N84,setup!$A$8:$H$58,8))</f>
        <v/>
      </c>
    </row>
    <row r="85" spans="1:15" x14ac:dyDescent="0.25">
      <c r="A85" s="29" t="s">
        <v>29</v>
      </c>
      <c r="O85" s="7" t="str">
        <f ca="1">getCodigoBackend(N85,A85,VLOOKUP(N85,setup!$A$8:$H$58,2),VLOOKUP(N85,setup!$A$8:$H$58,3),VLOOKUP(N85,setup!$A$8:$H$58,4),VLOOKUP(N85,setup!$A$8:$H$58,5),VLOOKUP(N85,setup!$A$8:$H$58,6),VLOOKUP(N85,setup!$A$8:$H$58,7), VLOOKUP(0,setup!$A$8:$H$58,2),VLOOKUP(0,setup!$A$8:$H$58,5),VLOOKUP(N85,setup!$A$8:$H$58,8))</f>
        <v>?&gt;</v>
      </c>
    </row>
    <row r="86" spans="1:15" x14ac:dyDescent="0.25">
      <c r="A86" s="29"/>
      <c r="O86" s="7" t="str">
        <f ca="1">getCodigoBackend(N86,A86,VLOOKUP(N86,setup!$A$8:$H$58,2),VLOOKUP(N86,setup!$A$8:$H$58,3),VLOOKUP(N86,setup!$A$8:$H$58,4),VLOOKUP(N86,setup!$A$8:$H$58,5),VLOOKUP(N86,setup!$A$8:$H$58,6),VLOOKUP(N86,setup!$A$8:$H$58,7), VLOOKUP(0,setup!$A$8:$H$58,2),VLOOKUP(0,setup!$A$8:$H$58,5),VLOOKUP(N86,setup!$A$8:$H$58,8))</f>
        <v/>
      </c>
    </row>
    <row r="87" spans="1:15" x14ac:dyDescent="0.25">
      <c r="A87" s="29"/>
      <c r="O87" s="7" t="str">
        <f ca="1">getCodigoBackend(N87,A87,VLOOKUP(N87,setup!$A$8:$H$58,2),VLOOKUP(N87,setup!$A$8:$H$58,3),VLOOKUP(N87,setup!$A$8:$H$58,4),VLOOKUP(N87,setup!$A$8:$H$58,5),VLOOKUP(N87,setup!$A$8:$H$58,6),VLOOKUP(N87,setup!$A$8:$H$58,7), VLOOKUP(0,setup!$A$8:$H$58,2),VLOOKUP(0,setup!$A$8:$H$58,5),VLOOKUP(N87,setup!$A$8:$H$58,8))</f>
        <v/>
      </c>
    </row>
    <row r="88" spans="1:15" x14ac:dyDescent="0.25">
      <c r="A88" s="29"/>
      <c r="O88" s="7" t="str">
        <f ca="1">getCodigoBackend(N88,A88,VLOOKUP(N88,setup!$A$8:$H$58,2),VLOOKUP(N88,setup!$A$8:$H$58,3),VLOOKUP(N88,setup!$A$8:$H$58,4),VLOOKUP(N88,setup!$A$8:$H$58,5),VLOOKUP(N88,setup!$A$8:$H$58,6),VLOOKUP(N88,setup!$A$8:$H$58,7), VLOOKUP(0,setup!$A$8:$H$58,2),VLOOKUP(0,setup!$A$8:$H$58,5),VLOOKUP(N88,setup!$A$8:$H$58,8))</f>
        <v/>
      </c>
    </row>
    <row r="89" spans="1:15" x14ac:dyDescent="0.25">
      <c r="A89" s="29"/>
      <c r="O89" s="7" t="str">
        <f ca="1">getCodigoBackend(N89,A89,VLOOKUP(N89,setup!$A$8:$H$58,2),VLOOKUP(N89,setup!$A$8:$H$58,3),VLOOKUP(N89,setup!$A$8:$H$58,4),VLOOKUP(N89,setup!$A$8:$H$58,5),VLOOKUP(N89,setup!$A$8:$H$58,6),VLOOKUP(N89,setup!$A$8:$H$58,7), VLOOKUP(0,setup!$A$8:$H$58,2),VLOOKUP(0,setup!$A$8:$H$58,5),VLOOKUP(N89,setup!$A$8:$H$58,8))</f>
        <v/>
      </c>
    </row>
    <row r="90" spans="1:15" x14ac:dyDescent="0.25">
      <c r="A90" s="29"/>
      <c r="O90" s="7" t="str">
        <f ca="1">getCodigoBackend(N90,A90,VLOOKUP(N90,setup!$A$8:$H$58,2),VLOOKUP(N90,setup!$A$8:$H$58,3),VLOOKUP(N90,setup!$A$8:$H$58,4),VLOOKUP(N90,setup!$A$8:$H$58,5),VLOOKUP(N90,setup!$A$8:$H$58,6),VLOOKUP(N90,setup!$A$8:$H$58,7), VLOOKUP(0,setup!$A$8:$H$58,2),VLOOKUP(0,setup!$A$8:$H$58,5),VLOOKUP(N90,setup!$A$8:$H$58,8))</f>
        <v/>
      </c>
    </row>
    <row r="91" spans="1:15" x14ac:dyDescent="0.25">
      <c r="A91" s="29"/>
      <c r="O91" s="7" t="str">
        <f ca="1">getCodigoBackend(N91,A91,VLOOKUP(N91,setup!$A$8:$H$58,2),VLOOKUP(N91,setup!$A$8:$H$58,3),VLOOKUP(N91,setup!$A$8:$H$58,4),VLOOKUP(N91,setup!$A$8:$H$58,5),VLOOKUP(N91,setup!$A$8:$H$58,6),VLOOKUP(N91,setup!$A$8:$H$58,7), VLOOKUP(0,setup!$A$8:$H$58,2),VLOOKUP(0,setup!$A$8:$H$58,5),VLOOKUP(N91,setup!$A$8:$H$58,8))</f>
        <v/>
      </c>
    </row>
    <row r="92" spans="1:15" x14ac:dyDescent="0.25">
      <c r="A92" s="29"/>
      <c r="O92" s="7" t="str">
        <f ca="1">getCodigoBackend(N92,A92,VLOOKUP(N92,setup!$A$8:$H$58,2),VLOOKUP(N92,setup!$A$8:$H$58,3),VLOOKUP(N92,setup!$A$8:$H$58,4),VLOOKUP(N92,setup!$A$8:$H$58,5),VLOOKUP(N92,setup!$A$8:$H$58,6),VLOOKUP(N92,setup!$A$8:$H$58,7), VLOOKUP(0,setup!$A$8:$H$58,2),VLOOKUP(0,setup!$A$8:$H$58,5),VLOOKUP(N92,setup!$A$8:$H$58,8))</f>
        <v/>
      </c>
    </row>
    <row r="93" spans="1:15" x14ac:dyDescent="0.25">
      <c r="A93" s="29"/>
      <c r="O93" s="7" t="str">
        <f ca="1">getCodigoBackend(N93,A93,VLOOKUP(N93,setup!$A$8:$H$58,2),VLOOKUP(N93,setup!$A$8:$H$58,3),VLOOKUP(N93,setup!$A$8:$H$58,4),VLOOKUP(N93,setup!$A$8:$H$58,5),VLOOKUP(N93,setup!$A$8:$H$58,6),VLOOKUP(N93,setup!$A$8:$H$58,7), VLOOKUP(0,setup!$A$8:$H$58,2),VLOOKUP(0,setup!$A$8:$H$58,5),VLOOKUP(N93,setup!$A$8:$H$58,8))</f>
        <v/>
      </c>
    </row>
    <row r="94" spans="1:15" x14ac:dyDescent="0.25">
      <c r="A94" s="29"/>
      <c r="O94" s="7" t="str">
        <f ca="1">getCodigoBackend(N94,A94,VLOOKUP(N94,setup!$A$8:$H$58,2),VLOOKUP(N94,setup!$A$8:$H$58,3),VLOOKUP(N94,setup!$A$8:$H$58,4),VLOOKUP(N94,setup!$A$8:$H$58,5),VLOOKUP(N94,setup!$A$8:$H$58,6),VLOOKUP(N94,setup!$A$8:$H$58,7), VLOOKUP(0,setup!$A$8:$H$58,2),VLOOKUP(0,setup!$A$8:$H$58,5),VLOOKUP(N94,setup!$A$8:$H$58,8))</f>
        <v/>
      </c>
    </row>
    <row r="95" spans="1:15" x14ac:dyDescent="0.25">
      <c r="A95" s="29"/>
      <c r="O95" s="7" t="str">
        <f ca="1">getCodigoBackend(N95,A95,VLOOKUP(N95,setup!$A$8:$H$58,2),VLOOKUP(N95,setup!$A$8:$H$58,3),VLOOKUP(N95,setup!$A$8:$H$58,4),VLOOKUP(N95,setup!$A$8:$H$58,5),VLOOKUP(N95,setup!$A$8:$H$58,6),VLOOKUP(N95,setup!$A$8:$H$58,7), VLOOKUP(0,setup!$A$8:$H$58,2),VLOOKUP(0,setup!$A$8:$H$58,5),VLOOKUP(N95,setup!$A$8:$H$58,8))</f>
        <v/>
      </c>
    </row>
    <row r="96" spans="1:15" x14ac:dyDescent="0.25">
      <c r="A96" s="29"/>
      <c r="O96" s="7" t="str">
        <f ca="1">getCodigoBackend(N96,A96,VLOOKUP(N96,setup!$A$8:$H$58,2),VLOOKUP(N96,setup!$A$8:$H$58,3),VLOOKUP(N96,setup!$A$8:$H$58,4),VLOOKUP(N96,setup!$A$8:$H$58,5),VLOOKUP(N96,setup!$A$8:$H$58,6),VLOOKUP(N96,setup!$A$8:$H$58,7), VLOOKUP(0,setup!$A$8:$H$58,2),VLOOKUP(0,setup!$A$8:$H$58,5),VLOOKUP(N96,setup!$A$8:$H$58,8))</f>
        <v/>
      </c>
    </row>
    <row r="97" spans="1:15" x14ac:dyDescent="0.25">
      <c r="A97" s="29"/>
      <c r="O97" s="7" t="str">
        <f ca="1">getCodigoBackend(N97,A97,VLOOKUP(N97,setup!$A$8:$H$58,2),VLOOKUP(N97,setup!$A$8:$H$58,3),VLOOKUP(N97,setup!$A$8:$H$58,4),VLOOKUP(N97,setup!$A$8:$H$58,5),VLOOKUP(N97,setup!$A$8:$H$58,6),VLOOKUP(N97,setup!$A$8:$H$58,7), VLOOKUP(0,setup!$A$8:$H$58,2),VLOOKUP(0,setup!$A$8:$H$58,5),VLOOKUP(N97,setup!$A$8:$H$58,8))</f>
        <v/>
      </c>
    </row>
    <row r="98" spans="1:15" x14ac:dyDescent="0.25">
      <c r="A98" s="29"/>
      <c r="O98" s="7" t="str">
        <f ca="1">getCodigoBackend(N98,A98,VLOOKUP(N98,setup!$A$8:$H$58,2),VLOOKUP(N98,setup!$A$8:$H$58,3),VLOOKUP(N98,setup!$A$8:$H$58,4),VLOOKUP(N98,setup!$A$8:$H$58,5),VLOOKUP(N98,setup!$A$8:$H$58,6),VLOOKUP(N98,setup!$A$8:$H$58,7), VLOOKUP(0,setup!$A$8:$H$58,2),VLOOKUP(0,setup!$A$8:$H$58,5),VLOOKUP(N98,setup!$A$8:$H$58,8))</f>
        <v/>
      </c>
    </row>
    <row r="99" spans="1:15" x14ac:dyDescent="0.25">
      <c r="A99" s="29"/>
      <c r="O99" s="7" t="str">
        <f ca="1">getCodigoBackend(N99,A99,VLOOKUP(N99,setup!$A$8:$H$58,2),VLOOKUP(N99,setup!$A$8:$H$58,3),VLOOKUP(N99,setup!$A$8:$H$58,4),VLOOKUP(N99,setup!$A$8:$H$58,5),VLOOKUP(N99,setup!$A$8:$H$58,6),VLOOKUP(N99,setup!$A$8:$H$58,7), VLOOKUP(0,setup!$A$8:$H$58,2),VLOOKUP(0,setup!$A$8:$H$58,5),VLOOKUP(N99,setup!$A$8:$H$58,8))</f>
        <v/>
      </c>
    </row>
    <row r="100" spans="1:15" x14ac:dyDescent="0.25">
      <c r="A100" s="29"/>
      <c r="O100" s="7" t="str">
        <f ca="1">getCodigoBackend(N100,A100,VLOOKUP(N100,setup!$A$8:$H$58,2),VLOOKUP(N100,setup!$A$8:$H$58,3),VLOOKUP(N100,setup!$A$8:$H$58,4),VLOOKUP(N100,setup!$A$8:$H$58,5),VLOOKUP(N100,setup!$A$8:$H$58,6),VLOOKUP(N100,setup!$A$8:$H$58,7), VLOOKUP(0,setup!$A$8:$H$58,2),VLOOKUP(0,setup!$A$8:$H$58,5),VLOOKUP(N100,setup!$A$8:$H$58,8))</f>
        <v/>
      </c>
    </row>
    <row r="101" spans="1:15" x14ac:dyDescent="0.25">
      <c r="A101" s="29"/>
      <c r="O101" s="7" t="str">
        <f ca="1">getCodigoBackend(N101,A101,VLOOKUP(N101,setup!$A$8:$H$58,2),VLOOKUP(N101,setup!$A$8:$H$58,3),VLOOKUP(N101,setup!$A$8:$H$58,4),VLOOKUP(N101,setup!$A$8:$H$58,5),VLOOKUP(N101,setup!$A$8:$H$58,6),VLOOKUP(N101,setup!$A$8:$H$58,7), VLOOKUP(0,setup!$A$8:$H$58,2),VLOOKUP(0,setup!$A$8:$H$58,5),VLOOKUP(N101,setup!$A$8:$H$58,8))</f>
        <v/>
      </c>
    </row>
    <row r="102" spans="1:15" x14ac:dyDescent="0.25">
      <c r="A102" s="31"/>
      <c r="O102" s="7" t="str">
        <f ca="1">getCodigoBackend(N102,A102,VLOOKUP(N102,setup!$A$8:$H$58,2),VLOOKUP(N102,setup!$A$8:$H$58,3),VLOOKUP(N102,setup!$A$8:$H$58,4),VLOOKUP(N102,setup!$A$8:$H$58,5),VLOOKUP(N102,setup!$A$8:$H$58,6),VLOOKUP(N102,setup!$A$8:$H$58,7), VLOOKUP(0,setup!$A$8:$H$58,2),VLOOKUP(0,setup!$A$8:$H$58,5),VLOOKUP(N102,setup!$A$8:$H$58,8))</f>
        <v/>
      </c>
    </row>
    <row r="103" spans="1:15" x14ac:dyDescent="0.25">
      <c r="A103" s="29"/>
      <c r="O103" s="7" t="str">
        <f ca="1">getCodigoBackend(N103,A103,VLOOKUP(N103,setup!$A$8:$H$58,2),VLOOKUP(N103,setup!$A$8:$H$58,3),VLOOKUP(N103,setup!$A$8:$H$58,4),VLOOKUP(N103,setup!$A$8:$H$58,5),VLOOKUP(N103,setup!$A$8:$H$58,6),VLOOKUP(N103,setup!$A$8:$H$58,7), VLOOKUP(0,setup!$A$8:$H$58,2),VLOOKUP(0,setup!$A$8:$H$58,5),VLOOKUP(N103,setup!$A$8:$H$58,8))</f>
        <v/>
      </c>
    </row>
    <row r="104" spans="1:15" x14ac:dyDescent="0.25">
      <c r="A104" s="29"/>
      <c r="O104" s="7" t="str">
        <f ca="1">getCodigoBackend(N104,A104,VLOOKUP(N104,setup!$A$8:$H$58,2),VLOOKUP(N104,setup!$A$8:$H$58,3),VLOOKUP(N104,setup!$A$8:$H$58,4),VLOOKUP(N104,setup!$A$8:$H$58,5),VLOOKUP(N104,setup!$A$8:$H$58,6),VLOOKUP(N104,setup!$A$8:$H$58,7), VLOOKUP(0,setup!$A$8:$H$58,2),VLOOKUP(0,setup!$A$8:$H$58,5),VLOOKUP(N104,setup!$A$8:$H$58,8))</f>
        <v/>
      </c>
    </row>
    <row r="105" spans="1:15" x14ac:dyDescent="0.25">
      <c r="A105" s="29"/>
      <c r="O105" s="7" t="str">
        <f ca="1">getCodigoBackend(N105,A105,VLOOKUP(N105,setup!$A$8:$H$58,2),VLOOKUP(N105,setup!$A$8:$H$58,3),VLOOKUP(N105,setup!$A$8:$H$58,4),VLOOKUP(N105,setup!$A$8:$H$58,5),VLOOKUP(N105,setup!$A$8:$H$58,6),VLOOKUP(N105,setup!$A$8:$H$58,7), VLOOKUP(0,setup!$A$8:$H$58,2),VLOOKUP(0,setup!$A$8:$H$58,5),VLOOKUP(N105,setup!$A$8:$H$58,8))</f>
        <v/>
      </c>
    </row>
    <row r="106" spans="1:15" x14ac:dyDescent="0.25">
      <c r="A106" s="29"/>
      <c r="O106" s="7" t="str">
        <f ca="1">getCodigoBackend(N106,A106,VLOOKUP(N106,setup!$A$8:$H$58,2),VLOOKUP(N106,setup!$A$8:$H$58,3),VLOOKUP(N106,setup!$A$8:$H$58,4),VLOOKUP(N106,setup!$A$8:$H$58,5),VLOOKUP(N106,setup!$A$8:$H$58,6),VLOOKUP(N106,setup!$A$8:$H$58,7), VLOOKUP(0,setup!$A$8:$H$58,2),VLOOKUP(0,setup!$A$8:$H$58,5),VLOOKUP(N106,setup!$A$8:$H$58,8))</f>
        <v/>
      </c>
    </row>
    <row r="107" spans="1:15" x14ac:dyDescent="0.25">
      <c r="A107" s="32"/>
      <c r="O107" s="7" t="str">
        <f ca="1">getCodigoBackend(N107,A107,VLOOKUP(N107,setup!$A$8:$H$58,2),VLOOKUP(N107,setup!$A$8:$H$58,3),VLOOKUP(N107,setup!$A$8:$H$58,4),VLOOKUP(N107,setup!$A$8:$H$58,5),VLOOKUP(N107,setup!$A$8:$H$58,6),VLOOKUP(N107,setup!$A$8:$H$58,7), VLOOKUP(0,setup!$A$8:$H$58,2),VLOOKUP(0,setup!$A$8:$H$58,5),VLOOKUP(N107,setup!$A$8:$H$58,8))</f>
        <v/>
      </c>
    </row>
    <row r="108" spans="1:15" x14ac:dyDescent="0.25">
      <c r="A108" s="32"/>
      <c r="O108" s="7" t="str">
        <f ca="1">getCodigoBackend(N108,A108,VLOOKUP(N108,setup!$A$8:$H$58,2),VLOOKUP(N108,setup!$A$8:$H$58,3),VLOOKUP(N108,setup!$A$8:$H$58,4),VLOOKUP(N108,setup!$A$8:$H$58,5),VLOOKUP(N108,setup!$A$8:$H$58,6),VLOOKUP(N108,setup!$A$8:$H$58,7), VLOOKUP(0,setup!$A$8:$H$58,2),VLOOKUP(0,setup!$A$8:$H$58,5),VLOOKUP(N108,setup!$A$8:$H$58,8))</f>
        <v/>
      </c>
    </row>
    <row r="109" spans="1:15" x14ac:dyDescent="0.25">
      <c r="A109" s="32"/>
      <c r="O109" s="7" t="str">
        <f ca="1">getCodigoBackend(N109,A109,VLOOKUP(N109,setup!$A$8:$H$58,2),VLOOKUP(N109,setup!$A$8:$H$58,3),VLOOKUP(N109,setup!$A$8:$H$58,4),VLOOKUP(N109,setup!$A$8:$H$58,5),VLOOKUP(N109,setup!$A$8:$H$58,6),VLOOKUP(N109,setup!$A$8:$H$58,7), VLOOKUP(0,setup!$A$8:$H$58,2),VLOOKUP(0,setup!$A$8:$H$58,5),VLOOKUP(N109,setup!$A$8:$H$58,8))</f>
        <v/>
      </c>
    </row>
    <row r="110" spans="1:15" x14ac:dyDescent="0.25">
      <c r="A110" s="32"/>
      <c r="O110" s="7" t="str">
        <f ca="1">getCodigoBackend(N110,A110,VLOOKUP(N110,setup!$A$8:$H$58,2),VLOOKUP(N110,setup!$A$8:$H$58,3),VLOOKUP(N110,setup!$A$8:$H$58,4),VLOOKUP(N110,setup!$A$8:$H$58,5),VLOOKUP(N110,setup!$A$8:$H$58,6),VLOOKUP(N110,setup!$A$8:$H$58,7), VLOOKUP(0,setup!$A$8:$H$58,2),VLOOKUP(0,setup!$A$8:$H$58,5),VLOOKUP(N110,setup!$A$8:$H$58,8))</f>
        <v/>
      </c>
    </row>
    <row r="111" spans="1:15" x14ac:dyDescent="0.25">
      <c r="A111" s="32"/>
      <c r="O111" s="7" t="str">
        <f ca="1">getCodigoBackend(N111,A111,VLOOKUP(N111,setup!$A$8:$H$58,2),VLOOKUP(N111,setup!$A$8:$H$58,3),VLOOKUP(N111,setup!$A$8:$H$58,4),VLOOKUP(N111,setup!$A$8:$H$58,5),VLOOKUP(N111,setup!$A$8:$H$58,6),VLOOKUP(N111,setup!$A$8:$H$58,7), VLOOKUP(0,setup!$A$8:$H$58,2),VLOOKUP(0,setup!$A$8:$H$58,5),VLOOKUP(N111,setup!$A$8:$H$58,8))</f>
        <v/>
      </c>
    </row>
    <row r="112" spans="1:15" x14ac:dyDescent="0.25">
      <c r="A112" s="32"/>
      <c r="O112" s="7" t="str">
        <f ca="1">getCodigoBackend(N112,A112,VLOOKUP(N112,setup!$A$8:$H$58,2),VLOOKUP(N112,setup!$A$8:$H$58,3),VLOOKUP(N112,setup!$A$8:$H$58,4),VLOOKUP(N112,setup!$A$8:$H$58,5),VLOOKUP(N112,setup!$A$8:$H$58,6),VLOOKUP(N112,setup!$A$8:$H$58,7), VLOOKUP(0,setup!$A$8:$H$58,2),VLOOKUP(0,setup!$A$8:$H$58,5),VLOOKUP(N112,setup!$A$8:$H$58,8))</f>
        <v/>
      </c>
    </row>
    <row r="113" spans="1:15" x14ac:dyDescent="0.25">
      <c r="A113" s="32"/>
      <c r="O113" s="7" t="str">
        <f ca="1">getCodigoBackend(N113,A113,VLOOKUP(N113,setup!$A$8:$H$58,2),VLOOKUP(N113,setup!$A$8:$H$58,3),VLOOKUP(N113,setup!$A$8:$H$58,4),VLOOKUP(N113,setup!$A$8:$H$58,5),VLOOKUP(N113,setup!$A$8:$H$58,6),VLOOKUP(N113,setup!$A$8:$H$58,7), VLOOKUP(0,setup!$A$8:$H$58,2),VLOOKUP(0,setup!$A$8:$H$58,5),VLOOKUP(N113,setup!$A$8:$H$58,8))</f>
        <v/>
      </c>
    </row>
    <row r="114" spans="1:15" x14ac:dyDescent="0.25">
      <c r="A114" s="32"/>
      <c r="O114" s="7" t="str">
        <f ca="1">getCodigoBackend(N114,A114,VLOOKUP(N114,setup!$A$8:$H$58,2),VLOOKUP(N114,setup!$A$8:$H$58,3),VLOOKUP(N114,setup!$A$8:$H$58,4),VLOOKUP(N114,setup!$A$8:$H$58,5),VLOOKUP(N114,setup!$A$8:$H$58,6),VLOOKUP(N114,setup!$A$8:$H$58,7), VLOOKUP(0,setup!$A$8:$H$58,2),VLOOKUP(0,setup!$A$8:$H$58,5),VLOOKUP(N114,setup!$A$8:$H$58,8))</f>
        <v/>
      </c>
    </row>
    <row r="115" spans="1:15" x14ac:dyDescent="0.25">
      <c r="A115" s="32"/>
      <c r="O115" s="7" t="str">
        <f ca="1">getCodigoBackend(N115,A115,VLOOKUP(N115,setup!$A$8:$H$58,2),VLOOKUP(N115,setup!$A$8:$H$58,3),VLOOKUP(N115,setup!$A$8:$H$58,4),VLOOKUP(N115,setup!$A$8:$H$58,5),VLOOKUP(N115,setup!$A$8:$H$58,6),VLOOKUP(N115,setup!$A$8:$H$58,7), VLOOKUP(0,setup!$A$8:$H$58,2),VLOOKUP(0,setup!$A$8:$H$58,5),VLOOKUP(N115,setup!$A$8:$H$58,8))</f>
        <v/>
      </c>
    </row>
    <row r="116" spans="1:15" x14ac:dyDescent="0.25">
      <c r="A116" s="32"/>
      <c r="O116" s="7" t="str">
        <f ca="1">getCodigoBackend(N116,A116,VLOOKUP(N116,setup!$A$8:$H$58,2),VLOOKUP(N116,setup!$A$8:$H$58,3),VLOOKUP(N116,setup!$A$8:$H$58,4),VLOOKUP(N116,setup!$A$8:$H$58,5),VLOOKUP(N116,setup!$A$8:$H$58,6),VLOOKUP(N116,setup!$A$8:$H$58,7), VLOOKUP(0,setup!$A$8:$H$58,2),VLOOKUP(0,setup!$A$8:$H$58,5),VLOOKUP(N116,setup!$A$8:$H$58,8))</f>
        <v/>
      </c>
    </row>
    <row r="117" spans="1:15" x14ac:dyDescent="0.25">
      <c r="A117" s="32"/>
      <c r="O117" s="7" t="str">
        <f ca="1">getCodigoBackend(N117,A117,VLOOKUP(N117,setup!$A$8:$H$58,2),VLOOKUP(N117,setup!$A$8:$H$58,3),VLOOKUP(N117,setup!$A$8:$H$58,4),VLOOKUP(N117,setup!$A$8:$H$58,5),VLOOKUP(N117,setup!$A$8:$H$58,6),VLOOKUP(N117,setup!$A$8:$H$58,7), VLOOKUP(0,setup!$A$8:$H$58,2),VLOOKUP(0,setup!$A$8:$H$58,5),VLOOKUP(N117,setup!$A$8:$H$58,8))</f>
        <v/>
      </c>
    </row>
    <row r="118" spans="1:15" x14ac:dyDescent="0.25">
      <c r="A118" s="32"/>
      <c r="O118" s="7" t="str">
        <f ca="1">getCodigoBackend(N118,A118,VLOOKUP(N118,setup!$A$8:$H$58,2),VLOOKUP(N118,setup!$A$8:$H$58,3),VLOOKUP(N118,setup!$A$8:$H$58,4),VLOOKUP(N118,setup!$A$8:$H$58,5),VLOOKUP(N118,setup!$A$8:$H$58,6),VLOOKUP(N118,setup!$A$8:$H$58,7), VLOOKUP(0,setup!$A$8:$H$58,2),VLOOKUP(0,setup!$A$8:$H$58,5),VLOOKUP(N118,setup!$A$8:$H$58,8))</f>
        <v/>
      </c>
    </row>
    <row r="119" spans="1:15" x14ac:dyDescent="0.25">
      <c r="A119" s="32"/>
      <c r="O119" s="7" t="str">
        <f ca="1">getCodigoBackend(N119,A119,VLOOKUP(N119,setup!$A$8:$H$58,2),VLOOKUP(N119,setup!$A$8:$H$58,3),VLOOKUP(N119,setup!$A$8:$H$58,4),VLOOKUP(N119,setup!$A$8:$H$58,5),VLOOKUP(N119,setup!$A$8:$H$58,6),VLOOKUP(N119,setup!$A$8:$H$58,7), VLOOKUP(0,setup!$A$8:$H$58,2),VLOOKUP(0,setup!$A$8:$H$58,5),VLOOKUP(N119,setup!$A$8:$H$58,8))</f>
        <v/>
      </c>
    </row>
    <row r="120" spans="1:15" x14ac:dyDescent="0.25">
      <c r="A120" s="32"/>
      <c r="O120" s="7" t="str">
        <f ca="1">getCodigoBackend(N120,A120,VLOOKUP(N120,setup!$A$8:$H$58,2),VLOOKUP(N120,setup!$A$8:$H$58,3),VLOOKUP(N120,setup!$A$8:$H$58,4),VLOOKUP(N120,setup!$A$8:$H$58,5),VLOOKUP(N120,setup!$A$8:$H$58,6),VLOOKUP(N120,setup!$A$8:$H$58,7), VLOOKUP(0,setup!$A$8:$H$58,2),VLOOKUP(0,setup!$A$8:$H$58,5),VLOOKUP(N120,setup!$A$8:$H$58,8))</f>
        <v/>
      </c>
    </row>
    <row r="121" spans="1:15" x14ac:dyDescent="0.25">
      <c r="A121" s="32"/>
      <c r="O121" s="7" t="str">
        <f ca="1">getCodigoBackend(N121,A121,VLOOKUP(N121,setup!$A$8:$H$58,2),VLOOKUP(N121,setup!$A$8:$H$58,3),VLOOKUP(N121,setup!$A$8:$H$58,4),VLOOKUP(N121,setup!$A$8:$H$58,5),VLOOKUP(N121,setup!$A$8:$H$58,6),VLOOKUP(N121,setup!$A$8:$H$58,7), VLOOKUP(0,setup!$A$8:$H$58,2),VLOOKUP(0,setup!$A$8:$H$58,5),VLOOKUP(N121,setup!$A$8:$H$58,8))</f>
        <v/>
      </c>
    </row>
    <row r="122" spans="1:15" x14ac:dyDescent="0.25">
      <c r="A122" s="32"/>
      <c r="O122" s="7" t="str">
        <f ca="1">getCodigoBackend(N122,A122,VLOOKUP(N122,setup!$A$8:$H$58,2),VLOOKUP(N122,setup!$A$8:$H$58,3),VLOOKUP(N122,setup!$A$8:$H$58,4),VLOOKUP(N122,setup!$A$8:$H$58,5),VLOOKUP(N122,setup!$A$8:$H$58,6),VLOOKUP(N122,setup!$A$8:$H$58,7), VLOOKUP(0,setup!$A$8:$H$58,2),VLOOKUP(0,setup!$A$8:$H$58,5),VLOOKUP(N122,setup!$A$8:$H$58,8))</f>
        <v/>
      </c>
    </row>
    <row r="123" spans="1:15" x14ac:dyDescent="0.25">
      <c r="A123" s="32"/>
      <c r="O123" s="7" t="str">
        <f ca="1">getCodigoBackend(N123,A123,VLOOKUP(N123,setup!$A$8:$H$58,2),VLOOKUP(N123,setup!$A$8:$H$58,3),VLOOKUP(N123,setup!$A$8:$H$58,4),VLOOKUP(N123,setup!$A$8:$H$58,5),VLOOKUP(N123,setup!$A$8:$H$58,6),VLOOKUP(N123,setup!$A$8:$H$58,7), VLOOKUP(0,setup!$A$8:$H$58,2),VLOOKUP(0,setup!$A$8:$H$58,5),VLOOKUP(N123,setup!$A$8:$H$58,8))</f>
        <v/>
      </c>
    </row>
    <row r="124" spans="1:15" x14ac:dyDescent="0.25">
      <c r="A124" s="32"/>
      <c r="O124" s="7" t="str">
        <f ca="1">getCodigoBackend(N124,A124,VLOOKUP(N124,setup!$A$8:$H$58,2),VLOOKUP(N124,setup!$A$8:$H$58,3),VLOOKUP(N124,setup!$A$8:$H$58,4),VLOOKUP(N124,setup!$A$8:$H$58,5),VLOOKUP(N124,setup!$A$8:$H$58,6),VLOOKUP(N124,setup!$A$8:$H$58,7), VLOOKUP(0,setup!$A$8:$H$58,2),VLOOKUP(0,setup!$A$8:$H$58,5),VLOOKUP(N124,setup!$A$8:$H$58,8))</f>
        <v/>
      </c>
    </row>
    <row r="125" spans="1:15" x14ac:dyDescent="0.25">
      <c r="A125" s="32"/>
      <c r="O125" s="7" t="str">
        <f ca="1">getCodigoBackend(N125,A125,VLOOKUP(N125,setup!$A$8:$H$58,2),VLOOKUP(N125,setup!$A$8:$H$58,3),VLOOKUP(N125,setup!$A$8:$H$58,4),VLOOKUP(N125,setup!$A$8:$H$58,5),VLOOKUP(N125,setup!$A$8:$H$58,6),VLOOKUP(N125,setup!$A$8:$H$58,7), VLOOKUP(0,setup!$A$8:$H$58,2),VLOOKUP(0,setup!$A$8:$H$58,5),VLOOKUP(N125,setup!$A$8:$H$58,8))</f>
        <v/>
      </c>
    </row>
    <row r="126" spans="1:15" x14ac:dyDescent="0.25">
      <c r="A126" s="32"/>
      <c r="O126" s="7" t="str">
        <f ca="1">getCodigoBackend(N126,A126,VLOOKUP(N126,setup!$A$8:$H$58,2),VLOOKUP(N126,setup!$A$8:$H$58,3),VLOOKUP(N126,setup!$A$8:$H$58,4),VLOOKUP(N126,setup!$A$8:$H$58,5),VLOOKUP(N126,setup!$A$8:$H$58,6),VLOOKUP(N126,setup!$A$8:$H$58,7), VLOOKUP(0,setup!$A$8:$H$58,2),VLOOKUP(0,setup!$A$8:$H$58,5),VLOOKUP(N126,setup!$A$8:$H$58,8))</f>
        <v/>
      </c>
    </row>
    <row r="127" spans="1:15" x14ac:dyDescent="0.25">
      <c r="A127" s="32"/>
      <c r="O127" s="7" t="str">
        <f ca="1">getCodigoBackend(N127,A127,VLOOKUP(N127,setup!$A$8:$H$58,2),VLOOKUP(N127,setup!$A$8:$H$58,3),VLOOKUP(N127,setup!$A$8:$H$58,4),VLOOKUP(N127,setup!$A$8:$H$58,5),VLOOKUP(N127,setup!$A$8:$H$58,6),VLOOKUP(N127,setup!$A$8:$H$58,7), VLOOKUP(0,setup!$A$8:$H$58,2),VLOOKUP(0,setup!$A$8:$H$58,5),VLOOKUP(N127,setup!$A$8:$H$58,8))</f>
        <v/>
      </c>
    </row>
    <row r="128" spans="1:15" x14ac:dyDescent="0.25">
      <c r="A128" s="32"/>
      <c r="O128" s="7" t="str">
        <f ca="1">getCodigoBackend(N128,A128,VLOOKUP(N128,setup!$A$8:$H$58,2),VLOOKUP(N128,setup!$A$8:$H$58,3),VLOOKUP(N128,setup!$A$8:$H$58,4),VLOOKUP(N128,setup!$A$8:$H$58,5),VLOOKUP(N128,setup!$A$8:$H$58,6),VLOOKUP(N128,setup!$A$8:$H$58,7), VLOOKUP(0,setup!$A$8:$H$58,2),VLOOKUP(0,setup!$A$8:$H$58,5),VLOOKUP(N128,setup!$A$8:$H$58,8))</f>
        <v/>
      </c>
    </row>
    <row r="129" spans="1:15" x14ac:dyDescent="0.25">
      <c r="A129" s="32"/>
      <c r="O129" s="7" t="str">
        <f ca="1">getCodigoBackend(N129,A129,VLOOKUP(N129,setup!$A$8:$H$58,2),VLOOKUP(N129,setup!$A$8:$H$58,3),VLOOKUP(N129,setup!$A$8:$H$58,4),VLOOKUP(N129,setup!$A$8:$H$58,5),VLOOKUP(N129,setup!$A$8:$H$58,6),VLOOKUP(N129,setup!$A$8:$H$58,7), VLOOKUP(0,setup!$A$8:$H$58,2),VLOOKUP(0,setup!$A$8:$H$58,5),VLOOKUP(N129,setup!$A$8:$H$58,8))</f>
        <v/>
      </c>
    </row>
    <row r="130" spans="1:15" x14ac:dyDescent="0.25">
      <c r="A130" s="32"/>
      <c r="O130" s="7" t="str">
        <f ca="1">getCodigoBackend(N130,A130,VLOOKUP(N130,setup!$A$8:$H$58,2),VLOOKUP(N130,setup!$A$8:$H$58,3),VLOOKUP(N130,setup!$A$8:$H$58,4),VLOOKUP(N130,setup!$A$8:$H$58,5),VLOOKUP(N130,setup!$A$8:$H$58,6),VLOOKUP(N130,setup!$A$8:$H$58,7), VLOOKUP(0,setup!$A$8:$H$58,2),VLOOKUP(0,setup!$A$8:$H$58,5),VLOOKUP(N130,setup!$A$8:$H$58,8))</f>
        <v/>
      </c>
    </row>
    <row r="131" spans="1:15" x14ac:dyDescent="0.25">
      <c r="A131" s="32"/>
      <c r="O131" s="7" t="str">
        <f ca="1">getCodigoBackend(N131,A131,VLOOKUP(N131,setup!$A$8:$H$58,2),VLOOKUP(N131,setup!$A$8:$H$58,3),VLOOKUP(N131,setup!$A$8:$H$58,4),VLOOKUP(N131,setup!$A$8:$H$58,5),VLOOKUP(N131,setup!$A$8:$H$58,6),VLOOKUP(N131,setup!$A$8:$H$58,7), VLOOKUP(0,setup!$A$8:$H$58,2),VLOOKUP(0,setup!$A$8:$H$58,5),VLOOKUP(N131,setup!$A$8:$H$58,8))</f>
        <v/>
      </c>
    </row>
    <row r="132" spans="1:15" x14ac:dyDescent="0.25">
      <c r="A132" s="32"/>
      <c r="O132" s="7" t="str">
        <f ca="1">getCodigoBackend(N132,A132,VLOOKUP(N132,setup!$A$8:$H$58,2),VLOOKUP(N132,setup!$A$8:$H$58,3),VLOOKUP(N132,setup!$A$8:$H$58,4),VLOOKUP(N132,setup!$A$8:$H$58,5),VLOOKUP(N132,setup!$A$8:$H$58,6),VLOOKUP(N132,setup!$A$8:$H$58,7), VLOOKUP(0,setup!$A$8:$H$58,2),VLOOKUP(0,setup!$A$8:$H$58,5),VLOOKUP(N132,setup!$A$8:$H$58,8))</f>
        <v/>
      </c>
    </row>
    <row r="133" spans="1:15" x14ac:dyDescent="0.25">
      <c r="A133" s="32"/>
      <c r="O133" s="7" t="str">
        <f ca="1">getCodigoBackend(N133,A133,VLOOKUP(N133,setup!$A$8:$H$58,2),VLOOKUP(N133,setup!$A$8:$H$58,3),VLOOKUP(N133,setup!$A$8:$H$58,4),VLOOKUP(N133,setup!$A$8:$H$58,5),VLOOKUP(N133,setup!$A$8:$H$58,6),VLOOKUP(N133,setup!$A$8:$H$58,7), VLOOKUP(0,setup!$A$8:$H$58,2),VLOOKUP(0,setup!$A$8:$H$58,5),VLOOKUP(N133,setup!$A$8:$H$58,8))</f>
        <v/>
      </c>
    </row>
    <row r="134" spans="1:15" x14ac:dyDescent="0.25">
      <c r="A134" s="32"/>
      <c r="O134" s="7" t="str">
        <f ca="1">getCodigoBackend(N134,A134,VLOOKUP(N134,setup!$A$8:$H$58,2),VLOOKUP(N134,setup!$A$8:$H$58,3),VLOOKUP(N134,setup!$A$8:$H$58,4),VLOOKUP(N134,setup!$A$8:$H$58,5),VLOOKUP(N134,setup!$A$8:$H$58,6),VLOOKUP(N134,setup!$A$8:$H$58,7), VLOOKUP(0,setup!$A$8:$H$58,2),VLOOKUP(0,setup!$A$8:$H$58,5),VLOOKUP(N134,setup!$A$8:$H$58,8))</f>
        <v/>
      </c>
    </row>
    <row r="135" spans="1:15" x14ac:dyDescent="0.25">
      <c r="A135" s="32"/>
      <c r="O135" s="7" t="str">
        <f ca="1">getCodigoBackend(N135,A135,VLOOKUP(N135,setup!$A$8:$H$58,2),VLOOKUP(N135,setup!$A$8:$H$58,3),VLOOKUP(N135,setup!$A$8:$H$58,4),VLOOKUP(N135,setup!$A$8:$H$58,5),VLOOKUP(N135,setup!$A$8:$H$58,6),VLOOKUP(N135,setup!$A$8:$H$58,7), VLOOKUP(0,setup!$A$8:$H$58,2),VLOOKUP(0,setup!$A$8:$H$58,5),VLOOKUP(N135,setup!$A$8:$H$58,8))</f>
        <v/>
      </c>
    </row>
    <row r="136" spans="1:15" x14ac:dyDescent="0.25">
      <c r="A136" s="32"/>
      <c r="O136" s="7" t="str">
        <f ca="1">getCodigoBackend(N136,A136,VLOOKUP(N136,setup!$A$8:$H$58,2),VLOOKUP(N136,setup!$A$8:$H$58,3),VLOOKUP(N136,setup!$A$8:$H$58,4),VLOOKUP(N136,setup!$A$8:$H$58,5),VLOOKUP(N136,setup!$A$8:$H$58,6),VLOOKUP(N136,setup!$A$8:$H$58,7), VLOOKUP(0,setup!$A$8:$H$58,2),VLOOKUP(0,setup!$A$8:$H$58,5),VLOOKUP(N136,setup!$A$8:$H$58,8))</f>
        <v/>
      </c>
    </row>
    <row r="137" spans="1:15" x14ac:dyDescent="0.25">
      <c r="A137" s="32"/>
      <c r="O137" s="7" t="str">
        <f ca="1">getCodigoBackend(N137,A137,VLOOKUP(N137,setup!$A$8:$H$58,2),VLOOKUP(N137,setup!$A$8:$H$58,3),VLOOKUP(N137,setup!$A$8:$H$58,4),VLOOKUP(N137,setup!$A$8:$H$58,5),VLOOKUP(N137,setup!$A$8:$H$58,6),VLOOKUP(N137,setup!$A$8:$H$58,7), VLOOKUP(0,setup!$A$8:$H$58,2),VLOOKUP(0,setup!$A$8:$H$58,5),VLOOKUP(N137,setup!$A$8:$H$58,8))</f>
        <v/>
      </c>
    </row>
    <row r="138" spans="1:15" x14ac:dyDescent="0.25">
      <c r="A138" s="32"/>
      <c r="O138" s="7" t="str">
        <f ca="1">getCodigoBackend(N138,A138,VLOOKUP(N138,setup!$A$8:$H$58,2),VLOOKUP(N138,setup!$A$8:$H$58,3),VLOOKUP(N138,setup!$A$8:$H$58,4),VLOOKUP(N138,setup!$A$8:$H$58,5),VLOOKUP(N138,setup!$A$8:$H$58,6),VLOOKUP(N138,setup!$A$8:$H$58,7), VLOOKUP(0,setup!$A$8:$H$58,2),VLOOKUP(0,setup!$A$8:$H$58,5),VLOOKUP(N138,setup!$A$8:$H$58,8))</f>
        <v/>
      </c>
    </row>
    <row r="139" spans="1:15" x14ac:dyDescent="0.25">
      <c r="A139" s="32"/>
      <c r="O139" s="7" t="str">
        <f ca="1">getCodigoBackend(N139,A139,VLOOKUP(N139,setup!$A$8:$H$58,2),VLOOKUP(N139,setup!$A$8:$H$58,3),VLOOKUP(N139,setup!$A$8:$H$58,4),VLOOKUP(N139,setup!$A$8:$H$58,5),VLOOKUP(N139,setup!$A$8:$H$58,6),VLOOKUP(N139,setup!$A$8:$H$58,7), VLOOKUP(0,setup!$A$8:$H$58,2),VLOOKUP(0,setup!$A$8:$H$58,5),VLOOKUP(N139,setup!$A$8:$H$58,8))</f>
        <v/>
      </c>
    </row>
    <row r="140" spans="1:15" x14ac:dyDescent="0.25">
      <c r="A140" s="32"/>
      <c r="O140" s="7" t="str">
        <f ca="1">getCodigoBackend(N140,A140,VLOOKUP(N140,setup!$A$8:$H$58,2),VLOOKUP(N140,setup!$A$8:$H$58,3),VLOOKUP(N140,setup!$A$8:$H$58,4),VLOOKUP(N140,setup!$A$8:$H$58,5),VLOOKUP(N140,setup!$A$8:$H$58,6),VLOOKUP(N140,setup!$A$8:$H$58,7), VLOOKUP(0,setup!$A$8:$H$58,2),VLOOKUP(0,setup!$A$8:$H$58,5),VLOOKUP(N140,setup!$A$8:$H$58,8))</f>
        <v/>
      </c>
    </row>
    <row r="141" spans="1:15" x14ac:dyDescent="0.25">
      <c r="A141" s="32"/>
      <c r="O141" s="7" t="str">
        <f ca="1">getCodigoBackend(N141,A141,VLOOKUP(N141,setup!$A$8:$H$58,2),VLOOKUP(N141,setup!$A$8:$H$58,3),VLOOKUP(N141,setup!$A$8:$H$58,4),VLOOKUP(N141,setup!$A$8:$H$58,5),VLOOKUP(N141,setup!$A$8:$H$58,6),VLOOKUP(N141,setup!$A$8:$H$58,7), VLOOKUP(0,setup!$A$8:$H$58,2),VLOOKUP(0,setup!$A$8:$H$58,5),VLOOKUP(N141,setup!$A$8:$H$58,8))</f>
        <v/>
      </c>
    </row>
    <row r="142" spans="1:15" x14ac:dyDescent="0.25">
      <c r="A142" s="32"/>
      <c r="O142" s="7" t="str">
        <f ca="1">getCodigoBackend(N142,A142,VLOOKUP(N142,setup!$A$8:$H$58,2),VLOOKUP(N142,setup!$A$8:$H$58,3),VLOOKUP(N142,setup!$A$8:$H$58,4),VLOOKUP(N142,setup!$A$8:$H$58,5),VLOOKUP(N142,setup!$A$8:$H$58,6),VLOOKUP(N142,setup!$A$8:$H$58,7), VLOOKUP(0,setup!$A$8:$H$58,2),VLOOKUP(0,setup!$A$8:$H$58,5),VLOOKUP(N142,setup!$A$8:$H$58,8))</f>
        <v/>
      </c>
    </row>
    <row r="143" spans="1:15" x14ac:dyDescent="0.25">
      <c r="A143" s="32"/>
      <c r="O143" s="7" t="str">
        <f ca="1">getCodigoBackend(N143,A143,VLOOKUP(N143,setup!$A$8:$H$58,2),VLOOKUP(N143,setup!$A$8:$H$58,3),VLOOKUP(N143,setup!$A$8:$H$58,4),VLOOKUP(N143,setup!$A$8:$H$58,5),VLOOKUP(N143,setup!$A$8:$H$58,6),VLOOKUP(N143,setup!$A$8:$H$58,7), VLOOKUP(0,setup!$A$8:$H$58,2),VLOOKUP(0,setup!$A$8:$H$58,5),VLOOKUP(N143,setup!$A$8:$H$58,8))</f>
        <v/>
      </c>
    </row>
    <row r="144" spans="1:15" x14ac:dyDescent="0.25">
      <c r="A144" s="32"/>
      <c r="O144" s="7" t="str">
        <f ca="1">getCodigoBackend(N144,A144,VLOOKUP(N144,setup!$A$8:$H$58,2),VLOOKUP(N144,setup!$A$8:$H$58,3),VLOOKUP(N144,setup!$A$8:$H$58,4),VLOOKUP(N144,setup!$A$8:$H$58,5),VLOOKUP(N144,setup!$A$8:$H$58,6),VLOOKUP(N144,setup!$A$8:$H$58,7), VLOOKUP(0,setup!$A$8:$H$58,2),VLOOKUP(0,setup!$A$8:$H$58,5),VLOOKUP(N144,setup!$A$8:$H$58,8))</f>
        <v/>
      </c>
    </row>
    <row r="145" spans="1:15" x14ac:dyDescent="0.25">
      <c r="A145" s="32"/>
      <c r="O145" s="7" t="str">
        <f ca="1">getCodigoBackend(N145,A145,VLOOKUP(N145,setup!$A$8:$H$58,2),VLOOKUP(N145,setup!$A$8:$H$58,3),VLOOKUP(N145,setup!$A$8:$H$58,4),VLOOKUP(N145,setup!$A$8:$H$58,5),VLOOKUP(N145,setup!$A$8:$H$58,6),VLOOKUP(N145,setup!$A$8:$H$58,7), VLOOKUP(0,setup!$A$8:$H$58,2),VLOOKUP(0,setup!$A$8:$H$58,5),VLOOKUP(N145,setup!$A$8:$H$58,8))</f>
        <v/>
      </c>
    </row>
    <row r="146" spans="1:15" x14ac:dyDescent="0.25">
      <c r="A146" s="32"/>
      <c r="O146" s="7" t="str">
        <f ca="1">getCodigoBackend(N146,A146,VLOOKUP(N146,setup!$A$8:$H$58,2),VLOOKUP(N146,setup!$A$8:$H$58,3),VLOOKUP(N146,setup!$A$8:$H$58,4),VLOOKUP(N146,setup!$A$8:$H$58,5),VLOOKUP(N146,setup!$A$8:$H$58,6),VLOOKUP(N146,setup!$A$8:$H$58,7), VLOOKUP(0,setup!$A$8:$H$58,2),VLOOKUP(0,setup!$A$8:$H$58,5),VLOOKUP(N146,setup!$A$8:$H$58,8))</f>
        <v/>
      </c>
    </row>
    <row r="147" spans="1:15" x14ac:dyDescent="0.25">
      <c r="A147" s="32"/>
      <c r="O147" s="7" t="str">
        <f ca="1">getCodigoBackend(N147,A147,VLOOKUP(N147,setup!$A$8:$H$58,2),VLOOKUP(N147,setup!$A$8:$H$58,3),VLOOKUP(N147,setup!$A$8:$H$58,4),VLOOKUP(N147,setup!$A$8:$H$58,5),VLOOKUP(N147,setup!$A$8:$H$58,6),VLOOKUP(N147,setup!$A$8:$H$58,7), VLOOKUP(0,setup!$A$8:$H$58,2),VLOOKUP(0,setup!$A$8:$H$58,5),VLOOKUP(N147,setup!$A$8:$H$58,8))</f>
        <v/>
      </c>
    </row>
    <row r="148" spans="1:15" x14ac:dyDescent="0.25">
      <c r="A148" s="32"/>
      <c r="O148" s="7" t="str">
        <f ca="1">getCodigoBackend(N148,A148,VLOOKUP(N148,setup!$A$8:$H$58,2),VLOOKUP(N148,setup!$A$8:$H$58,3),VLOOKUP(N148,setup!$A$8:$H$58,4),VLOOKUP(N148,setup!$A$8:$H$58,5),VLOOKUP(N148,setup!$A$8:$H$58,6),VLOOKUP(N148,setup!$A$8:$H$58,7), VLOOKUP(0,setup!$A$8:$H$58,2),VLOOKUP(0,setup!$A$8:$H$58,5),VLOOKUP(N148,setup!$A$8:$H$58,8))</f>
        <v/>
      </c>
    </row>
    <row r="149" spans="1:15" x14ac:dyDescent="0.25">
      <c r="A149" s="32"/>
      <c r="O149" s="7" t="str">
        <f ca="1">getCodigoBackend(N149,A149,VLOOKUP(N149,setup!$A$8:$H$58,2),VLOOKUP(N149,setup!$A$8:$H$58,3),VLOOKUP(N149,setup!$A$8:$H$58,4),VLOOKUP(N149,setup!$A$8:$H$58,5),VLOOKUP(N149,setup!$A$8:$H$58,6),VLOOKUP(N149,setup!$A$8:$H$58,7), VLOOKUP(0,setup!$A$8:$H$58,2),VLOOKUP(0,setup!$A$8:$H$58,5),VLOOKUP(N149,setup!$A$8:$H$58,8))</f>
        <v/>
      </c>
    </row>
    <row r="150" spans="1:15" x14ac:dyDescent="0.25">
      <c r="A150" s="32"/>
      <c r="O150" s="7" t="str">
        <f ca="1">getCodigoBackend(N150,A150,VLOOKUP(N150,setup!$A$8:$H$58,2),VLOOKUP(N150,setup!$A$8:$H$58,3),VLOOKUP(N150,setup!$A$8:$H$58,4),VLOOKUP(N150,setup!$A$8:$H$58,5),VLOOKUP(N150,setup!$A$8:$H$58,6),VLOOKUP(N150,setup!$A$8:$H$58,7), VLOOKUP(0,setup!$A$8:$H$58,2),VLOOKUP(0,setup!$A$8:$H$58,5),VLOOKUP(N150,setup!$A$8:$H$58,8))</f>
        <v/>
      </c>
    </row>
    <row r="151" spans="1:15" x14ac:dyDescent="0.25">
      <c r="A151" s="32"/>
      <c r="O151" s="7" t="str">
        <f ca="1">getCodigoBackend(N151,A151,VLOOKUP(N151,setup!$A$8:$H$58,2),VLOOKUP(N151,setup!$A$8:$H$58,3),VLOOKUP(N151,setup!$A$8:$H$58,4),VLOOKUP(N151,setup!$A$8:$H$58,5),VLOOKUP(N151,setup!$A$8:$H$58,6),VLOOKUP(N151,setup!$A$8:$H$58,7), VLOOKUP(0,setup!$A$8:$H$58,2),VLOOKUP(0,setup!$A$8:$H$58,5),VLOOKUP(N151,setup!$A$8:$H$58,8))</f>
        <v/>
      </c>
    </row>
    <row r="152" spans="1:15" x14ac:dyDescent="0.25">
      <c r="A152" s="32"/>
      <c r="O152" s="7" t="str">
        <f ca="1">getCodigoBackend(N152,A152,VLOOKUP(N152,setup!$A$8:$H$58,2),VLOOKUP(N152,setup!$A$8:$H$58,3),VLOOKUP(N152,setup!$A$8:$H$58,4),VLOOKUP(N152,setup!$A$8:$H$58,5),VLOOKUP(N152,setup!$A$8:$H$58,6),VLOOKUP(N152,setup!$A$8:$H$58,7), VLOOKUP(0,setup!$A$8:$H$58,2),VLOOKUP(0,setup!$A$8:$H$58,5),VLOOKUP(N152,setup!$A$8:$H$58,8))</f>
        <v/>
      </c>
    </row>
    <row r="153" spans="1:15" x14ac:dyDescent="0.25">
      <c r="A153" s="32"/>
      <c r="O153" s="7" t="str">
        <f ca="1">getCodigoBackend(N153,A153,VLOOKUP(N153,setup!$A$8:$H$58,2),VLOOKUP(N153,setup!$A$8:$H$58,3),VLOOKUP(N153,setup!$A$8:$H$58,4),VLOOKUP(N153,setup!$A$8:$H$58,5),VLOOKUP(N153,setup!$A$8:$H$58,6),VLOOKUP(N153,setup!$A$8:$H$58,7), VLOOKUP(0,setup!$A$8:$H$58,2),VLOOKUP(0,setup!$A$8:$H$58,5),VLOOKUP(N153,setup!$A$8:$H$58,8))</f>
        <v/>
      </c>
    </row>
    <row r="154" spans="1:15" x14ac:dyDescent="0.25">
      <c r="A154" s="32"/>
      <c r="O154" s="7" t="str">
        <f ca="1">getCodigoBackend(N154,A154,VLOOKUP(N154,setup!$A$8:$H$58,2),VLOOKUP(N154,setup!$A$8:$H$58,3),VLOOKUP(N154,setup!$A$8:$H$58,4),VLOOKUP(N154,setup!$A$8:$H$58,5),VLOOKUP(N154,setup!$A$8:$H$58,6),VLOOKUP(N154,setup!$A$8:$H$58,7), VLOOKUP(0,setup!$A$8:$H$58,2),VLOOKUP(0,setup!$A$8:$H$58,5),VLOOKUP(N154,setup!$A$8:$H$58,8))</f>
        <v/>
      </c>
    </row>
    <row r="155" spans="1:15" x14ac:dyDescent="0.25">
      <c r="A155" s="32"/>
      <c r="O155" s="7" t="str">
        <f ca="1">getCodigoBackend(N155,A155,VLOOKUP(N155,setup!$A$8:$H$58,2),VLOOKUP(N155,setup!$A$8:$H$58,3),VLOOKUP(N155,setup!$A$8:$H$58,4),VLOOKUP(N155,setup!$A$8:$H$58,5),VLOOKUP(N155,setup!$A$8:$H$58,6),VLOOKUP(N155,setup!$A$8:$H$58,7), VLOOKUP(0,setup!$A$8:$H$58,2),VLOOKUP(0,setup!$A$8:$H$58,5),VLOOKUP(N155,setup!$A$8:$H$58,8))</f>
        <v/>
      </c>
    </row>
    <row r="156" spans="1:15" x14ac:dyDescent="0.25">
      <c r="A156" s="32"/>
      <c r="O156" s="7" t="str">
        <f ca="1">getCodigoBackend(N156,A156,VLOOKUP(N156,setup!$A$8:$H$58,2),VLOOKUP(N156,setup!$A$8:$H$58,3),VLOOKUP(N156,setup!$A$8:$H$58,4),VLOOKUP(N156,setup!$A$8:$H$58,5),VLOOKUP(N156,setup!$A$8:$H$58,6),VLOOKUP(N156,setup!$A$8:$H$58,7), VLOOKUP(0,setup!$A$8:$H$58,2),VLOOKUP(0,setup!$A$8:$H$58,5),VLOOKUP(N156,setup!$A$8:$H$58,8))</f>
        <v/>
      </c>
    </row>
    <row r="157" spans="1:15" x14ac:dyDescent="0.25">
      <c r="A157" s="32"/>
      <c r="O157" s="7" t="str">
        <f ca="1">getCodigoBackend(N157,A157,VLOOKUP(N157,setup!$A$8:$H$58,2),VLOOKUP(N157,setup!$A$8:$H$58,3),VLOOKUP(N157,setup!$A$8:$H$58,4),VLOOKUP(N157,setup!$A$8:$H$58,5),VLOOKUP(N157,setup!$A$8:$H$58,6),VLOOKUP(N157,setup!$A$8:$H$58,7), VLOOKUP(0,setup!$A$8:$H$58,2),VLOOKUP(0,setup!$A$8:$H$58,5),VLOOKUP(N157,setup!$A$8:$H$58,8))</f>
        <v/>
      </c>
    </row>
    <row r="158" spans="1:15" x14ac:dyDescent="0.25">
      <c r="A158" s="29"/>
      <c r="O158" s="7" t="str">
        <f ca="1">getCodigoBackend(N158,A158,VLOOKUP(N158,setup!$A$8:$H$58,2),VLOOKUP(N158,setup!$A$8:$H$58,3),VLOOKUP(N158,setup!$A$8:$H$58,4),VLOOKUP(N158,setup!$A$8:$H$58,5),VLOOKUP(N158,setup!$A$8:$H$58,6),VLOOKUP(N158,setup!$A$8:$H$58,7), VLOOKUP(0,setup!$A$8:$H$58,2),VLOOKUP(0,setup!$A$8:$H$58,5),VLOOKUP(N158,setup!$A$8:$H$58,8))</f>
        <v/>
      </c>
    </row>
    <row r="159" spans="1:15" x14ac:dyDescent="0.25">
      <c r="A159" s="29"/>
      <c r="O159" s="7" t="str">
        <f ca="1">getCodigoBackend(N159,A159,VLOOKUP(N159,setup!$A$8:$H$58,2),VLOOKUP(N159,setup!$A$8:$H$58,3),VLOOKUP(N159,setup!$A$8:$H$58,4),VLOOKUP(N159,setup!$A$8:$H$58,5),VLOOKUP(N159,setup!$A$8:$H$58,6),VLOOKUP(N159,setup!$A$8:$H$58,7), VLOOKUP(0,setup!$A$8:$H$58,2),VLOOKUP(0,setup!$A$8:$H$58,5),VLOOKUP(N159,setup!$A$8:$H$58,8))</f>
        <v/>
      </c>
    </row>
    <row r="160" spans="1:15" x14ac:dyDescent="0.25">
      <c r="A160" s="29"/>
      <c r="O160" s="7" t="str">
        <f ca="1">getCodigoBackend(N160,A160,VLOOKUP(N160,setup!$A$8:$H$58,2),VLOOKUP(N160,setup!$A$8:$H$58,3),VLOOKUP(N160,setup!$A$8:$H$58,4),VLOOKUP(N160,setup!$A$8:$H$58,5),VLOOKUP(N160,setup!$A$8:$H$58,6),VLOOKUP(N160,setup!$A$8:$H$58,7), VLOOKUP(0,setup!$A$8:$H$58,2),VLOOKUP(0,setup!$A$8:$H$58,5),VLOOKUP(N160,setup!$A$8:$H$58,8))</f>
        <v/>
      </c>
    </row>
    <row r="161" spans="1:15" x14ac:dyDescent="0.25">
      <c r="A161" s="29"/>
      <c r="O161" s="7" t="str">
        <f ca="1">getCodigoBackend(N161,A161,VLOOKUP(N161,setup!$A$8:$H$58,2),VLOOKUP(N161,setup!$A$8:$H$58,3),VLOOKUP(N161,setup!$A$8:$H$58,4),VLOOKUP(N161,setup!$A$8:$H$58,5),VLOOKUP(N161,setup!$A$8:$H$58,6),VLOOKUP(N161,setup!$A$8:$H$58,7), VLOOKUP(0,setup!$A$8:$H$58,2),VLOOKUP(0,setup!$A$8:$H$58,5),VLOOKUP(N161,setup!$A$8:$H$58,8))</f>
        <v/>
      </c>
    </row>
    <row r="162" spans="1:15" x14ac:dyDescent="0.25">
      <c r="A162" s="29"/>
      <c r="O162" s="7" t="str">
        <f ca="1">getCodigoBackend(N162,A162,VLOOKUP(N162,setup!$A$8:$H$58,2),VLOOKUP(N162,setup!$A$8:$H$58,3),VLOOKUP(N162,setup!$A$8:$H$58,4),VLOOKUP(N162,setup!$A$8:$H$58,5),VLOOKUP(N162,setup!$A$8:$H$58,6),VLOOKUP(N162,setup!$A$8:$H$58,7), VLOOKUP(0,setup!$A$8:$H$58,2),VLOOKUP(0,setup!$A$8:$H$58,5),VLOOKUP(N162,setup!$A$8:$H$58,8))</f>
        <v/>
      </c>
    </row>
    <row r="163" spans="1:15" x14ac:dyDescent="0.25">
      <c r="A163" s="29"/>
      <c r="O163" s="7" t="str">
        <f ca="1">getCodigoBackend(N163,A163,VLOOKUP(N163,setup!$A$8:$H$58,2),VLOOKUP(N163,setup!$A$8:$H$58,3),VLOOKUP(N163,setup!$A$8:$H$58,4),VLOOKUP(N163,setup!$A$8:$H$58,5),VLOOKUP(N163,setup!$A$8:$H$58,6),VLOOKUP(N163,setup!$A$8:$H$58,7), VLOOKUP(0,setup!$A$8:$H$58,2),VLOOKUP(0,setup!$A$8:$H$58,5),VLOOKUP(N163,setup!$A$8:$H$58,8))</f>
        <v/>
      </c>
    </row>
    <row r="164" spans="1:15" x14ac:dyDescent="0.25">
      <c r="A164" s="31"/>
      <c r="O164" s="7" t="str">
        <f ca="1">getCodigoBackend(N164,A164,VLOOKUP(N164,setup!$A$8:$H$58,2),VLOOKUP(N164,setup!$A$8:$H$58,3),VLOOKUP(N164,setup!$A$8:$H$58,4),VLOOKUP(N164,setup!$A$8:$H$58,5),VLOOKUP(N164,setup!$A$8:$H$58,6),VLOOKUP(N164,setup!$A$8:$H$58,7), VLOOKUP(0,setup!$A$8:$H$58,2),VLOOKUP(0,setup!$A$8:$H$58,5),VLOOKUP(N164,setup!$A$8:$H$58,8))</f>
        <v/>
      </c>
    </row>
    <row r="165" spans="1:15" x14ac:dyDescent="0.25">
      <c r="A165" s="31"/>
      <c r="O165" s="7" t="str">
        <f ca="1">getCodigoBackend(N165,A165,VLOOKUP(N165,setup!$A$8:$H$58,2),VLOOKUP(N165,setup!$A$8:$H$58,3),VLOOKUP(N165,setup!$A$8:$H$58,4),VLOOKUP(N165,setup!$A$8:$H$58,5),VLOOKUP(N165,setup!$A$8:$H$58,6),VLOOKUP(N165,setup!$A$8:$H$58,7), VLOOKUP(0,setup!$A$8:$H$58,2),VLOOKUP(0,setup!$A$8:$H$58,5),VLOOKUP(N165,setup!$A$8:$H$58,8))</f>
        <v/>
      </c>
    </row>
    <row r="166" spans="1:15" x14ac:dyDescent="0.25">
      <c r="A166" s="29"/>
      <c r="O166" s="7" t="str">
        <f ca="1">getCodigoBackend(N166,A166,VLOOKUP(N166,setup!$A$8:$H$58,2),VLOOKUP(N166,setup!$A$8:$H$58,3),VLOOKUP(N166,setup!$A$8:$H$58,4),VLOOKUP(N166,setup!$A$8:$H$58,5),VLOOKUP(N166,setup!$A$8:$H$58,6),VLOOKUP(N166,setup!$A$8:$H$58,7), VLOOKUP(0,setup!$A$8:$H$58,2),VLOOKUP(0,setup!$A$8:$H$58,5),VLOOKUP(N166,setup!$A$8:$H$58,8))</f>
        <v/>
      </c>
    </row>
    <row r="167" spans="1:15" x14ac:dyDescent="0.25">
      <c r="A167" s="29"/>
      <c r="O167" s="7" t="str">
        <f ca="1">getCodigoBackend(N167,A167,VLOOKUP(N167,setup!$A$8:$H$58,2),VLOOKUP(N167,setup!$A$8:$H$58,3),VLOOKUP(N167,setup!$A$8:$H$58,4),VLOOKUP(N167,setup!$A$8:$H$58,5),VLOOKUP(N167,setup!$A$8:$H$58,6),VLOOKUP(N167,setup!$A$8:$H$58,7), VLOOKUP(0,setup!$A$8:$H$58,2),VLOOKUP(0,setup!$A$8:$H$58,5),VLOOKUP(N167,setup!$A$8:$H$58,8))</f>
        <v/>
      </c>
    </row>
    <row r="168" spans="1:15" x14ac:dyDescent="0.25">
      <c r="O168" t="str">
        <f>SUBSTITUTE(SUBSTITUTE(SUBSTITUTE(SUBSTITUTE(A168,"${dto}",setup!$C$3),"${pk}",setup!$E$8),"${tabela}",setup!$C$2),CONCATENATE("${",N168,"}"),VLOOKUP(N168,setup!$A$8:$E$58,5))</f>
        <v/>
      </c>
    </row>
    <row r="169" spans="1:15" x14ac:dyDescent="0.25">
      <c r="O169" t="str">
        <f>SUBSTITUTE(SUBSTITUTE(SUBSTITUTE(SUBSTITUTE(A169,"${dto}",setup!$C$3),"${pk}",setup!$E$8),"${tabela}",setup!$C$2),CONCATENATE("${",N169,"}"),VLOOKUP(N169,setup!$A$8:$E$58,5))</f>
        <v/>
      </c>
    </row>
    <row r="170" spans="1:15" x14ac:dyDescent="0.25">
      <c r="O170" t="str">
        <f>SUBSTITUTE(SUBSTITUTE(SUBSTITUTE(SUBSTITUTE(A170,"${dto}",setup!$C$3),"${pk}",setup!$E$8),"${tabela}",setup!$C$2),CONCATENATE("${",N170,"}"),VLOOKUP(N170,setup!$A$8:$E$58,5))</f>
        <v/>
      </c>
    </row>
    <row r="171" spans="1:15" x14ac:dyDescent="0.25">
      <c r="O171" t="str">
        <f>SUBSTITUTE(SUBSTITUTE(SUBSTITUTE(SUBSTITUTE(A171,"${dto}",setup!$C$3),"${pk}",setup!$E$8),"${tabela}",setup!$C$2),CONCATENATE("${",N171,"}"),VLOOKUP(N171,setup!$A$8:$E$58,5))</f>
        <v/>
      </c>
    </row>
    <row r="172" spans="1:15" x14ac:dyDescent="0.25">
      <c r="O172" t="str">
        <f>SUBSTITUTE(SUBSTITUTE(SUBSTITUTE(SUBSTITUTE(A172,"${dto}",setup!$C$3),"${pk}",setup!$E$8),"${tabela}",setup!$C$2),CONCATENATE("${",N172,"}"),VLOOKUP(N172,setup!$A$8:$E$58,5))</f>
        <v/>
      </c>
    </row>
    <row r="173" spans="1:15" x14ac:dyDescent="0.25">
      <c r="O173" t="str">
        <f>SUBSTITUTE(SUBSTITUTE(SUBSTITUTE(SUBSTITUTE(A173,"${dto}",setup!$C$3),"${pk}",setup!$E$8),"${tabela}",setup!$C$2),CONCATENATE("${",N173,"}"),VLOOKUP(N173,setup!$A$8:$E$58,5))</f>
        <v/>
      </c>
    </row>
    <row r="174" spans="1:15" x14ac:dyDescent="0.25">
      <c r="O174" t="str">
        <f>SUBSTITUTE(SUBSTITUTE(SUBSTITUTE(SUBSTITUTE(A174,"${dto}",setup!$C$3),"${pk}",setup!$E$8),"${tabela}",setup!$C$2),CONCATENATE("${",N174,"}"),VLOOKUP(N174,setup!$A$8:$E$58,5))</f>
        <v/>
      </c>
    </row>
    <row r="175" spans="1:15" x14ac:dyDescent="0.25">
      <c r="O175" t="str">
        <f>SUBSTITUTE(SUBSTITUTE(SUBSTITUTE(SUBSTITUTE(A175,"${dto}",setup!$C$3),"${pk}",setup!$E$8),"${tabela}",setup!$C$2),CONCATENATE("${",N175,"}"),VLOOKUP(N175,setup!$A$8:$E$58,5))</f>
        <v/>
      </c>
    </row>
    <row r="176" spans="1:15" x14ac:dyDescent="0.25">
      <c r="O176" t="str">
        <f>SUBSTITUTE(SUBSTITUTE(SUBSTITUTE(SUBSTITUTE(A176,"${dto}",setup!$C$3),"${pk}",setup!$E$8),"${tabela}",setup!$C$2),CONCATENATE("${",N176,"}"),VLOOKUP(N176,setup!$A$8:$E$58,5))</f>
        <v/>
      </c>
    </row>
    <row r="177" spans="15:15" x14ac:dyDescent="0.25">
      <c r="O177" t="str">
        <f>SUBSTITUTE(SUBSTITUTE(SUBSTITUTE(SUBSTITUTE(A177,"${dto}",setup!$C$3),"${pk}",setup!$E$8),"${tabela}",setup!$C$2),CONCATENATE("${",N177,"}"),VLOOKUP(N177,setup!$A$8:$E$58,5))</f>
        <v/>
      </c>
    </row>
    <row r="178" spans="15:15" x14ac:dyDescent="0.25">
      <c r="O178" t="str">
        <f>SUBSTITUTE(SUBSTITUTE(SUBSTITUTE(SUBSTITUTE(A178,"${dto}",setup!$C$3),"${pk}",setup!$E$8),"${tabela}",setup!$C$2),CONCATENATE("${",N178,"}"),VLOOKUP(N178,setup!$A$8:$E$58,5))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1B278-FCB4-48B5-B201-BF45089FB58F}">
  <sheetPr codeName="Sheet22"/>
  <dimension ref="A4:O332"/>
  <sheetViews>
    <sheetView topLeftCell="A180" workbookViewId="0">
      <selection activeCell="O180" sqref="O1:O1048576"/>
    </sheetView>
  </sheetViews>
  <sheetFormatPr defaultRowHeight="15" x14ac:dyDescent="0.25"/>
  <cols>
    <col min="1" max="1" width="9.140625" style="30" customWidth="1"/>
    <col min="2" max="13" width="9.140625" customWidth="1"/>
  </cols>
  <sheetData>
    <row r="4" spans="1:15" x14ac:dyDescent="0.25">
      <c r="A4" s="29" t="s">
        <v>844</v>
      </c>
      <c r="O4" s="7" t="str">
        <f ca="1">getCodigoBackend(N4,A4,VLOOKUP(N4,setup!$A$8:$H$58,2),VLOOKUP(N4,setup!$A$8:$H$58,3),VLOOKUP(N4,setup!$A$8:$H$58,4),VLOOKUP(N4,setup!$A$8:$H$58,5),VLOOKUP(N4,setup!$A$8:$H$58,6),VLOOKUP(N4,setup!$A$8:$H$58,7), VLOOKUP(0,setup!$A$8:$H$58,2),VLOOKUP(0,setup!$A$8:$H$58,5),VLOOKUP(N4,setup!$A$8:$H$58,8))</f>
        <v xml:space="preserve">&lt;?php </v>
      </c>
    </row>
    <row r="5" spans="1:15" x14ac:dyDescent="0.25">
      <c r="A5" s="29"/>
      <c r="O5" s="7" t="str">
        <f ca="1">getCodigoBackend(N5,A5,VLOOKUP(N5,setup!$A$8:$H$58,2),VLOOKUP(N5,setup!$A$8:$H$58,3),VLOOKUP(N5,setup!$A$8:$H$58,4),VLOOKUP(N5,setup!$A$8:$H$58,5),VLOOKUP(N5,setup!$A$8:$H$58,6),VLOOKUP(N5,setup!$A$8:$H$58,7), VLOOKUP(0,setup!$A$8:$H$58,2),VLOOKUP(0,setup!$A$8:$H$58,5),VLOOKUP(N5,setup!$A$8:$H$58,8))</f>
        <v/>
      </c>
    </row>
    <row r="6" spans="1:15" x14ac:dyDescent="0.25">
      <c r="A6" s="29"/>
      <c r="O6" s="7" t="str">
        <f ca="1">getCodigoBackend(N6,A6,VLOOKUP(N6,setup!$A$8:$H$58,2),VLOOKUP(N6,setup!$A$8:$H$58,3),VLOOKUP(N6,setup!$A$8:$H$58,4),VLOOKUP(N6,setup!$A$8:$H$58,5),VLOOKUP(N6,setup!$A$8:$H$58,6),VLOOKUP(N6,setup!$A$8:$H$58,7), VLOOKUP(0,setup!$A$8:$H$58,2),VLOOKUP(0,setup!$A$8:$H$58,5),VLOOKUP(N6,setup!$A$8:$H$58,8))</f>
        <v/>
      </c>
    </row>
    <row r="7" spans="1:15" x14ac:dyDescent="0.25">
      <c r="A7" s="29" t="s">
        <v>19</v>
      </c>
      <c r="O7" s="7" t="str">
        <f ca="1">getCodigoBackend(N7,A7,VLOOKUP(N7,setup!$A$8:$H$58,2),VLOOKUP(N7,setup!$A$8:$H$58,3),VLOOKUP(N7,setup!$A$8:$H$58,4),VLOOKUP(N7,setup!$A$8:$H$58,5),VLOOKUP(N7,setup!$A$8:$H$58,6),VLOOKUP(N7,setup!$A$8:$H$58,7), VLOOKUP(0,setup!$A$8:$H$58,2),VLOOKUP(0,setup!$A$8:$H$58,5),VLOOKUP(N7,setup!$A$8:$H$58,8))</f>
        <v>/**</v>
      </c>
    </row>
    <row r="8" spans="1:15" x14ac:dyDescent="0.25">
      <c r="A8" s="29" t="s">
        <v>20</v>
      </c>
      <c r="O8" s="7" t="str">
        <f ca="1">getCodigoBackend(N8,A8,VLOOKUP(N8,setup!$A$8:$H$58,2),VLOOKUP(N8,setup!$A$8:$H$58,3),VLOOKUP(N8,setup!$A$8:$H$58,4),VLOOKUP(N8,setup!$A$8:$H$58,5),VLOOKUP(N8,setup!$A$8:$H$58,6),VLOOKUP(N8,setup!$A$8:$H$58,7), VLOOKUP(0,setup!$A$8:$H$58,2),VLOOKUP(0,setup!$A$8:$H$58,5),VLOOKUP(N8,setup!$A$8:$H$58,8))</f>
        <v>*</v>
      </c>
    </row>
    <row r="9" spans="1:15" x14ac:dyDescent="0.25">
      <c r="A9" s="29" t="s">
        <v>886</v>
      </c>
      <c r="O9" s="7" t="str">
        <f ca="1">getCodigoBackend(N9,A9,VLOOKUP(N9,setup!$A$8:$H$58,2),VLOOKUP(N9,setup!$A$8:$H$58,3),VLOOKUP(N9,setup!$A$8:$H$58,4),VLOOKUP(N9,setup!$A$8:$H$58,5),VLOOKUP(N9,setup!$A$8:$H$58,6),VLOOKUP(N9,setup!$A$8:$H$58,7), VLOOKUP(0,setup!$A$8:$H$58,2),VLOOKUP(0,setup!$A$8:$H$58,5),VLOOKUP(N9,setup!$A$8:$H$58,8))</f>
        <v>* CampanhaCashbackResgatePixConstantes - Classe de constantes estáticas com definições para uso na classe de negócio CampanhaCashbackResgatePix</v>
      </c>
    </row>
    <row r="10" spans="1:15" x14ac:dyDescent="0.25">
      <c r="A10" s="29" t="s">
        <v>20</v>
      </c>
      <c r="O10" s="7" t="str">
        <f ca="1">getCodigoBackend(N10,A10,VLOOKUP(N10,setup!$A$8:$H$58,2),VLOOKUP(N10,setup!$A$8:$H$58,3),VLOOKUP(N10,setup!$A$8:$H$58,4),VLOOKUP(N10,setup!$A$8:$H$58,5),VLOOKUP(N10,setup!$A$8:$H$58,6),VLOOKUP(N10,setup!$A$8:$H$58,7), VLOOKUP(0,setup!$A$8:$H$58,2),VLOOKUP(0,setup!$A$8:$H$58,5),VLOOKUP(N10,setup!$A$8:$H$58,8))</f>
        <v>*</v>
      </c>
    </row>
    <row r="11" spans="1:15" x14ac:dyDescent="0.25">
      <c r="A11" s="29" t="s">
        <v>255</v>
      </c>
      <c r="O11" s="7" t="str">
        <f ca="1">getCodigoBackend(N11,A11,VLOOKUP(N11,setup!$A$8:$H$58,2),VLOOKUP(N11,setup!$A$8:$H$58,3),VLOOKUP(N11,setup!$A$8:$H$58,4),VLOOKUP(N11,setup!$A$8:$H$58,5),VLOOKUP(N11,setup!$A$8:$H$58,6),VLOOKUP(N11,setup!$A$8:$H$58,7), VLOOKUP(0,setup!$A$8:$H$58,2),VLOOKUP(0,setup!$A$8:$H$58,5),VLOOKUP(N11,setup!$A$8:$H$58,8))</f>
        <v xml:space="preserve">* Não é uma camada visível para outros dispositivos, como as camadas de apresentação e aplicação. </v>
      </c>
    </row>
    <row r="12" spans="1:15" x14ac:dyDescent="0.25">
      <c r="A12" s="29" t="s">
        <v>20</v>
      </c>
      <c r="O12" s="7" t="str">
        <f ca="1">getCodigoBackend(N12,A12,VLOOKUP(N12,setup!$A$8:$H$58,2),VLOOKUP(N12,setup!$A$8:$H$58,3),VLOOKUP(N12,setup!$A$8:$H$58,4),VLOOKUP(N12,setup!$A$8:$H$58,5),VLOOKUP(N12,setup!$A$8:$H$58,6),VLOOKUP(N12,setup!$A$8:$H$58,7), VLOOKUP(0,setup!$A$8:$H$58,2),VLOOKUP(0,setup!$A$8:$H$58,5),VLOOKUP(N12,setup!$A$8:$H$58,8))</f>
        <v>*</v>
      </c>
    </row>
    <row r="13" spans="1:15" x14ac:dyDescent="0.25">
      <c r="A13" s="29" t="s">
        <v>848</v>
      </c>
      <c r="O13" s="7" t="str">
        <f ca="1">getCodigoBackend(N13,A13,VLOOKUP(N13,setup!$A$8:$H$58,2),VLOOKUP(N13,setup!$A$8:$H$58,3),VLOOKUP(N13,setup!$A$8:$H$58,4),VLOOKUP(N13,setup!$A$8:$H$58,5),VLOOKUP(N13,setup!$A$8:$H$58,6),VLOOKUP(N13,setup!$A$8:$H$58,7), VLOOKUP(0,setup!$A$8:$H$58,2),VLOOKUP(0,setup!$A$8:$H$58,5),VLOOKUP(N13,setup!$A$8:$H$58,8))</f>
        <v>* Todos os métodos DEVEM ser declarados como estáticos</v>
      </c>
    </row>
    <row r="14" spans="1:15" x14ac:dyDescent="0.25">
      <c r="A14" s="29" t="s">
        <v>20</v>
      </c>
      <c r="O14" s="7" t="str">
        <f ca="1">getCodigoBackend(N14,A14,VLOOKUP(N14,setup!$A$8:$H$58,2),VLOOKUP(N14,setup!$A$8:$H$58,3),VLOOKUP(N14,setup!$A$8:$H$58,4),VLOOKUP(N14,setup!$A$8:$H$58,5),VLOOKUP(N14,setup!$A$8:$H$58,6),VLOOKUP(N14,setup!$A$8:$H$58,7), VLOOKUP(0,setup!$A$8:$H$58,2),VLOOKUP(0,setup!$A$8:$H$58,5),VLOOKUP(N14,setup!$A$8:$H$58,8))</f>
        <v>*</v>
      </c>
    </row>
    <row r="15" spans="1:15" x14ac:dyDescent="0.25">
      <c r="A15" s="29" t="s">
        <v>260</v>
      </c>
      <c r="O15" s="7" t="str">
        <f ca="1">getCodigoBackend(N15,A15,VLOOKUP(N15,setup!$A$8:$H$58,2),VLOOKUP(N15,setup!$A$8:$H$58,3),VLOOKUP(N15,setup!$A$8:$H$58,4),VLOOKUP(N15,setup!$A$8:$H$58,5),VLOOKUP(N15,setup!$A$8:$H$58,6),VLOOKUP(N15,setup!$A$8:$H$58,7), VLOOKUP(0,setup!$A$8:$H$58,2),VLOOKUP(0,setup!$A$8:$H$58,5),VLOOKUP(N15,setup!$A$8:$H$58,8))</f>
        <v>* Changelog:</v>
      </c>
    </row>
    <row r="16" spans="1:15" x14ac:dyDescent="0.25">
      <c r="A16" s="29" t="s">
        <v>75</v>
      </c>
      <c r="O16" s="7" t="str">
        <f ca="1">getCodigoBackend(N16,A16,VLOOKUP(N16,setup!$A$8:$H$58,2),VLOOKUP(N16,setup!$A$8:$H$58,3),VLOOKUP(N16,setup!$A$8:$H$58,4),VLOOKUP(N16,setup!$A$8:$H$58,5),VLOOKUP(N16,setup!$A$8:$H$58,6),VLOOKUP(N16,setup!$A$8:$H$58,7), VLOOKUP(0,setup!$A$8:$H$58,2),VLOOKUP(0,setup!$A$8:$H$58,5),VLOOKUP(N16,setup!$A$8:$H$58,8))</f>
        <v xml:space="preserve">* </v>
      </c>
    </row>
    <row r="17" spans="1:15" x14ac:dyDescent="0.25">
      <c r="A17" s="29" t="s">
        <v>849</v>
      </c>
      <c r="O17" s="7" t="str">
        <f ca="1">getCodigoBackend(N17,A17,VLOOKUP(N17,setup!$A$8:$H$58,2),VLOOKUP(N17,setup!$A$8:$H$58,3),VLOOKUP(N17,setup!$A$8:$H$58,4),VLOOKUP(N17,setup!$A$8:$H$58,5),VLOOKUP(N17,setup!$A$8:$H$58,6),VLOOKUP(N17,setup!$A$8:$H$58,7), VLOOKUP(0,setup!$A$8:$H$58,2),VLOOKUP(0,setup!$A$8:$H$58,5),VLOOKUP(N17,setup!$A$8:$H$58,8))</f>
        <v xml:space="preserve">* @author Julio Cesar Vitorino </v>
      </c>
    </row>
    <row r="18" spans="1:15" x14ac:dyDescent="0.25">
      <c r="A18" s="29" t="s">
        <v>240</v>
      </c>
      <c r="O18" s="7" t="str">
        <f ca="1">getCodigoBackend(N18,A18,VLOOKUP(N18,setup!$A$8:$H$58,2),VLOOKUP(N18,setup!$A$8:$H$58,3),VLOOKUP(N18,setup!$A$8:$H$58,4),VLOOKUP(N18,setup!$A$8:$H$58,5),VLOOKUP(N18,setup!$A$8:$H$58,6),VLOOKUP(N18,setup!$A$8:$H$58,7), VLOOKUP(0,setup!$A$8:$H$58,2),VLOOKUP(0,setup!$A$8:$H$58,5),VLOOKUP(N18,setup!$A$8:$H$58,8))</f>
        <v>* @since 26/07/2021 15:11:48</v>
      </c>
    </row>
    <row r="19" spans="1:15" x14ac:dyDescent="0.25">
      <c r="A19" s="29" t="s">
        <v>242</v>
      </c>
      <c r="O19" s="7" t="str">
        <f ca="1">getCodigoBackend(N19,A19,VLOOKUP(N19,setup!$A$8:$H$58,2),VLOOKUP(N19,setup!$A$8:$H$58,3),VLOOKUP(N19,setup!$A$8:$H$58,4),VLOOKUP(N19,setup!$A$8:$H$58,5),VLOOKUP(N19,setup!$A$8:$H$58,6),VLOOKUP(N19,setup!$A$8:$H$58,7), VLOOKUP(0,setup!$A$8:$H$58,2),VLOOKUP(0,setup!$A$8:$H$58,5),VLOOKUP(N19,setup!$A$8:$H$58,8))</f>
        <v>* @copyright(c), Julio Vitorino &lt;julio.vitorino@gmail.com&gt;</v>
      </c>
    </row>
    <row r="20" spans="1:15" x14ac:dyDescent="0.25">
      <c r="A20" s="29" t="s">
        <v>21</v>
      </c>
      <c r="O20" s="7" t="str">
        <f ca="1">getCodigoBackend(N20,A20,VLOOKUP(N20,setup!$A$8:$H$58,2),VLOOKUP(N20,setup!$A$8:$H$58,3),VLOOKUP(N20,setup!$A$8:$H$58,4),VLOOKUP(N20,setup!$A$8:$H$58,5),VLOOKUP(N20,setup!$A$8:$H$58,6),VLOOKUP(N20,setup!$A$8:$H$58,7), VLOOKUP(0,setup!$A$8:$H$58,2),VLOOKUP(0,setup!$A$8:$H$58,5),VLOOKUP(N20,setup!$A$8:$H$58,8))</f>
        <v>*/</v>
      </c>
    </row>
    <row r="21" spans="1:15" x14ac:dyDescent="0.25">
      <c r="A21" s="29"/>
      <c r="O21" s="7" t="str">
        <f ca="1">getCodigoBackend(N21,A21,VLOOKUP(N21,setup!$A$8:$H$58,2),VLOOKUP(N21,setup!$A$8:$H$58,3),VLOOKUP(N21,setup!$A$8:$H$58,4),VLOOKUP(N21,setup!$A$8:$H$58,5),VLOOKUP(N21,setup!$A$8:$H$58,6),VLOOKUP(N21,setup!$A$8:$H$58,7), VLOOKUP(0,setup!$A$8:$H$58,2),VLOOKUP(0,setup!$A$8:$H$58,5),VLOOKUP(N21,setup!$A$8:$H$58,8))</f>
        <v/>
      </c>
    </row>
    <row r="22" spans="1:15" x14ac:dyDescent="0.25">
      <c r="A22" s="29" t="s">
        <v>887</v>
      </c>
      <c r="O22" s="7" t="str">
        <f ca="1">getCodigoBackend(N22,A22,VLOOKUP(N22,setup!$A$8:$H$58,2),VLOOKUP(N22,setup!$A$8:$H$58,3),VLOOKUP(N22,setup!$A$8:$H$58,4),VLOOKUP(N22,setup!$A$8:$H$58,5),VLOOKUP(N22,setup!$A$8:$H$58,6),VLOOKUP(N22,setup!$A$8:$H$58,7), VLOOKUP(0,setup!$A$8:$H$58,2),VLOOKUP(0,setup!$A$8:$H$58,5),VLOOKUP(N22,setup!$A$8:$H$58,8))</f>
        <v>class CampanhaCashbackResgatePixConstantes</v>
      </c>
    </row>
    <row r="23" spans="1:15" x14ac:dyDescent="0.25">
      <c r="A23" s="29" t="s">
        <v>22</v>
      </c>
      <c r="O23" s="7" t="str">
        <f ca="1">getCodigoBackend(N23,A23,VLOOKUP(N23,setup!$A$8:$H$58,2),VLOOKUP(N23,setup!$A$8:$H$58,3),VLOOKUP(N23,setup!$A$8:$H$58,4),VLOOKUP(N23,setup!$A$8:$H$58,5),VLOOKUP(N23,setup!$A$8:$H$58,6),VLOOKUP(N23,setup!$A$8:$H$58,7), VLOOKUP(0,setup!$A$8:$H$58,2),VLOOKUP(0,setup!$A$8:$H$58,5),VLOOKUP(N23,setup!$A$8:$H$58,8))</f>
        <v>{</v>
      </c>
    </row>
    <row r="24" spans="1:15" x14ac:dyDescent="0.25">
      <c r="A24" s="29" t="s">
        <v>889</v>
      </c>
      <c r="O24" s="7" t="str">
        <f ca="1">getCodigoBackend(N24,A24,VLOOKUP(N24,setup!$A$8:$H$58,2),VLOOKUP(N24,setup!$A$8:$H$58,3),VLOOKUP(N24,setup!$A$8:$H$58,4),VLOOKUP(N24,setup!$A$8:$H$58,5),VLOOKUP(N24,setup!$A$8:$H$58,6),VLOOKUP(N24,setup!$A$8:$H$58,7), VLOOKUP(0,setup!$A$8:$H$58,2),VLOOKUP(0,setup!$A$8:$H$58,5),VLOOKUP(N24,setup!$A$8:$H$58,8))</f>
        <v xml:space="preserve">   /* definição para colunas do banco de dados */</v>
      </c>
    </row>
    <row r="25" spans="1:15" x14ac:dyDescent="0.25">
      <c r="A25" s="29" t="s">
        <v>888</v>
      </c>
      <c r="N25">
        <v>0</v>
      </c>
      <c r="O25" s="7" t="str">
        <f ca="1">getCodigoBackend(N25,A25,VLOOKUP(N25,setup!$A$8:$H$58,2),VLOOKUP(N25,setup!$A$8:$H$58,3),VLOOKUP(N25,setup!$A$8:$H$58,4),VLOOKUP(N25,setup!$A$8:$H$58,5),VLOOKUP(N25,setup!$A$8:$H$58,6),VLOOKUP(N25,setup!$A$8:$H$58,7), VLOOKUP(0,setup!$A$8:$H$58,2),VLOOKUP(0,setup!$A$8:$H$58,5),VLOOKUP(N25,setup!$A$8:$H$58,8))</f>
        <v xml:space="preserve">   const COL_CCRP_ID = 'CCRP_ID';</v>
      </c>
    </row>
    <row r="26" spans="1:15" x14ac:dyDescent="0.25">
      <c r="A26" s="29" t="s">
        <v>888</v>
      </c>
      <c r="N26">
        <f>N25+1</f>
        <v>1</v>
      </c>
      <c r="O26" s="7" t="str">
        <f ca="1">getCodigoBackend(N26,A26,VLOOKUP(N26,setup!$A$8:$H$58,2),VLOOKUP(N26,setup!$A$8:$H$58,3),VLOOKUP(N26,setup!$A$8:$H$58,4),VLOOKUP(N26,setup!$A$8:$H$58,5),VLOOKUP(N26,setup!$A$8:$H$58,6),VLOOKUP(N26,setup!$A$8:$H$58,7), VLOOKUP(0,setup!$A$8:$H$58,2),VLOOKUP(0,setup!$A$8:$H$58,5),VLOOKUP(N26,setup!$A$8:$H$58,8))</f>
        <v xml:space="preserve">   const COL_CACA_ID = 'CACA_ID';</v>
      </c>
    </row>
    <row r="27" spans="1:15" x14ac:dyDescent="0.25">
      <c r="A27" s="29" t="s">
        <v>888</v>
      </c>
      <c r="N27">
        <f t="shared" ref="N27:N44" si="0">N26+1</f>
        <v>2</v>
      </c>
      <c r="O27" s="7" t="str">
        <f ca="1">getCodigoBackend(N27,A27,VLOOKUP(N27,setup!$A$8:$H$58,2),VLOOKUP(N27,setup!$A$8:$H$58,3),VLOOKUP(N27,setup!$A$8:$H$58,4),VLOOKUP(N27,setup!$A$8:$H$58,5),VLOOKUP(N27,setup!$A$8:$H$58,6),VLOOKUP(N27,setup!$A$8:$H$58,7), VLOOKUP(0,setup!$A$8:$H$58,2),VLOOKUP(0,setup!$A$8:$H$58,5),VLOOKUP(N27,setup!$A$8:$H$58,8))</f>
        <v xml:space="preserve">   const COL_USUA_ID = 'USUA_ID';</v>
      </c>
    </row>
    <row r="28" spans="1:15" x14ac:dyDescent="0.25">
      <c r="A28" s="29" t="s">
        <v>888</v>
      </c>
      <c r="N28">
        <f t="shared" si="0"/>
        <v>3</v>
      </c>
      <c r="O28" s="7" t="str">
        <f ca="1">getCodigoBackend(N28,A28,VLOOKUP(N28,setup!$A$8:$H$58,2),VLOOKUP(N28,setup!$A$8:$H$58,3),VLOOKUP(N28,setup!$A$8:$H$58,4),VLOOKUP(N28,setup!$A$8:$H$58,5),VLOOKUP(N28,setup!$A$8:$H$58,6),VLOOKUP(N28,setup!$A$8:$H$58,7), VLOOKUP(0,setup!$A$8:$H$58,2),VLOOKUP(0,setup!$A$8:$H$58,5),VLOOKUP(N28,setup!$A$8:$H$58,8))</f>
        <v xml:space="preserve">   const COL_CCRP_IN_TIPO_CHAVE_PIX = 'CCRP_IN_TIPO_CHAVE_PIX';</v>
      </c>
    </row>
    <row r="29" spans="1:15" x14ac:dyDescent="0.25">
      <c r="A29" s="29" t="s">
        <v>888</v>
      </c>
      <c r="N29">
        <f t="shared" si="0"/>
        <v>4</v>
      </c>
      <c r="O29" s="7" t="str">
        <f ca="1">getCodigoBackend(N29,A29,VLOOKUP(N29,setup!$A$8:$H$58,2),VLOOKUP(N29,setup!$A$8:$H$58,3),VLOOKUP(N29,setup!$A$8:$H$58,4),VLOOKUP(N29,setup!$A$8:$H$58,5),VLOOKUP(N29,setup!$A$8:$H$58,6),VLOOKUP(N29,setup!$A$8:$H$58,7), VLOOKUP(0,setup!$A$8:$H$58,2),VLOOKUP(0,setup!$A$8:$H$58,5),VLOOKUP(N29,setup!$A$8:$H$58,8))</f>
        <v xml:space="preserve">   const COL_CCRP_TX_CHAVE_PIX = 'CCRP_TX_CHAVE_PIX';</v>
      </c>
    </row>
    <row r="30" spans="1:15" x14ac:dyDescent="0.25">
      <c r="A30" s="29" t="s">
        <v>888</v>
      </c>
      <c r="N30">
        <f t="shared" si="0"/>
        <v>5</v>
      </c>
      <c r="O30" s="7" t="str">
        <f ca="1">getCodigoBackend(N30,A30,VLOOKUP(N30,setup!$A$8:$H$58,2),VLOOKUP(N30,setup!$A$8:$H$58,3),VLOOKUP(N30,setup!$A$8:$H$58,4),VLOOKUP(N30,setup!$A$8:$H$58,5),VLOOKUP(N30,setup!$A$8:$H$58,6),VLOOKUP(N30,setup!$A$8:$H$58,7), VLOOKUP(0,setup!$A$8:$H$58,2),VLOOKUP(0,setup!$A$8:$H$58,5),VLOOKUP(N30,setup!$A$8:$H$58,8))</f>
        <v xml:space="preserve">   const COL_CCRP_VL_RESGATE = 'CCRP_VL_RESGATE';</v>
      </c>
    </row>
    <row r="31" spans="1:15" x14ac:dyDescent="0.25">
      <c r="A31" s="29" t="s">
        <v>888</v>
      </c>
      <c r="N31">
        <f t="shared" si="0"/>
        <v>6</v>
      </c>
      <c r="O31" s="7" t="str">
        <f ca="1">getCodigoBackend(N31,A31,VLOOKUP(N31,setup!$A$8:$H$58,2),VLOOKUP(N31,setup!$A$8:$H$58,3),VLOOKUP(N31,setup!$A$8:$H$58,4),VLOOKUP(N31,setup!$A$8:$H$58,5),VLOOKUP(N31,setup!$A$8:$H$58,6),VLOOKUP(N31,setup!$A$8:$H$58,7), VLOOKUP(0,setup!$A$8:$H$58,2),VLOOKUP(0,setup!$A$8:$H$58,5),VLOOKUP(N31,setup!$A$8:$H$58,8))</f>
        <v xml:space="preserve">   const COL_CCRP_TX_AUTENT_BCO = 'CCRP_TX_AUTENT_BCO';</v>
      </c>
    </row>
    <row r="32" spans="1:15" x14ac:dyDescent="0.25">
      <c r="A32" s="29" t="s">
        <v>888</v>
      </c>
      <c r="N32">
        <f t="shared" si="0"/>
        <v>7</v>
      </c>
      <c r="O32" s="7" t="str">
        <f ca="1">getCodigoBackend(N32,A32,VLOOKUP(N32,setup!$A$8:$H$58,2),VLOOKUP(N32,setup!$A$8:$H$58,3),VLOOKUP(N32,setup!$A$8:$H$58,4),VLOOKUP(N32,setup!$A$8:$H$58,5),VLOOKUP(N32,setup!$A$8:$H$58,6),VLOOKUP(N32,setup!$A$8:$H$58,7), VLOOKUP(0,setup!$A$8:$H$58,2),VLOOKUP(0,setup!$A$8:$H$58,5),VLOOKUP(N32,setup!$A$8:$H$58,8))</f>
        <v xml:space="preserve">   const COL_CCRP_IN_ESTAGIO_RT = 'CCRP_IN_ESTAGIO_RT';</v>
      </c>
    </row>
    <row r="33" spans="1:15" x14ac:dyDescent="0.25">
      <c r="A33" s="29" t="s">
        <v>888</v>
      </c>
      <c r="N33">
        <f t="shared" si="0"/>
        <v>8</v>
      </c>
      <c r="O33" s="7" t="str">
        <f ca="1">getCodigoBackend(N33,A33,VLOOKUP(N33,setup!$A$8:$H$58,2),VLOOKUP(N33,setup!$A$8:$H$58,3),VLOOKUP(N33,setup!$A$8:$H$58,4),VLOOKUP(N33,setup!$A$8:$H$58,5),VLOOKUP(N33,setup!$A$8:$H$58,6),VLOOKUP(N33,setup!$A$8:$H$58,7), VLOOKUP(0,setup!$A$8:$H$58,2),VLOOKUP(0,setup!$A$8:$H$58,5),VLOOKUP(N33,setup!$A$8:$H$58,8))</f>
        <v xml:space="preserve">   const COL_CCRP_DT_ESTAGIO_ANALISE = 'CCRP_DT_ESTAGIO_ANALISE';</v>
      </c>
    </row>
    <row r="34" spans="1:15" x14ac:dyDescent="0.25">
      <c r="A34" s="29" t="s">
        <v>888</v>
      </c>
      <c r="N34">
        <f t="shared" si="0"/>
        <v>9</v>
      </c>
      <c r="O34" s="7" t="str">
        <f ca="1">getCodigoBackend(N34,A34,VLOOKUP(N34,setup!$A$8:$H$58,2),VLOOKUP(N34,setup!$A$8:$H$58,3),VLOOKUP(N34,setup!$A$8:$H$58,4),VLOOKUP(N34,setup!$A$8:$H$58,5),VLOOKUP(N34,setup!$A$8:$H$58,6),VLOOKUP(N34,setup!$A$8:$H$58,7), VLOOKUP(0,setup!$A$8:$H$58,2),VLOOKUP(0,setup!$A$8:$H$58,5),VLOOKUP(N34,setup!$A$8:$H$58,8))</f>
        <v xml:space="preserve">   const COL_CCRP_DT_ESTAGIO_FINANCEIRO = 'CCRP_DT_ESTAGIO_FINANCEIRO';</v>
      </c>
    </row>
    <row r="35" spans="1:15" x14ac:dyDescent="0.25">
      <c r="A35" s="29" t="s">
        <v>888</v>
      </c>
      <c r="N35">
        <f t="shared" si="0"/>
        <v>10</v>
      </c>
      <c r="O35" s="7" t="str">
        <f ca="1">getCodigoBackend(N35,A35,VLOOKUP(N35,setup!$A$8:$H$58,2),VLOOKUP(N35,setup!$A$8:$H$58,3),VLOOKUP(N35,setup!$A$8:$H$58,4),VLOOKUP(N35,setup!$A$8:$H$58,5),VLOOKUP(N35,setup!$A$8:$H$58,6),VLOOKUP(N35,setup!$A$8:$H$58,7), VLOOKUP(0,setup!$A$8:$H$58,2),VLOOKUP(0,setup!$A$8:$H$58,5),VLOOKUP(N35,setup!$A$8:$H$58,8))</f>
        <v xml:space="preserve">   const COL_CCRP_DT_ESTAGIO_ERRO = 'CCRP_DT_ESTAGIO_ERRO';</v>
      </c>
    </row>
    <row r="36" spans="1:15" x14ac:dyDescent="0.25">
      <c r="A36" s="29" t="s">
        <v>888</v>
      </c>
      <c r="N36">
        <f t="shared" si="0"/>
        <v>11</v>
      </c>
      <c r="O36" s="7" t="str">
        <f ca="1">getCodigoBackend(N36,A36,VLOOKUP(N36,setup!$A$8:$H$58,2),VLOOKUP(N36,setup!$A$8:$H$58,3),VLOOKUP(N36,setup!$A$8:$H$58,4),VLOOKUP(N36,setup!$A$8:$H$58,5),VLOOKUP(N36,setup!$A$8:$H$58,6),VLOOKUP(N36,setup!$A$8:$H$58,7), VLOOKUP(0,setup!$A$8:$H$58,2),VLOOKUP(0,setup!$A$8:$H$58,5),VLOOKUP(N36,setup!$A$8:$H$58,8))</f>
        <v xml:space="preserve">   const COL_CCRP_DT_ESTAGIO_TRANSF_BCO = 'CCRP_DT_ESTAGIO_TRANSF_BCO';</v>
      </c>
    </row>
    <row r="37" spans="1:15" x14ac:dyDescent="0.25">
      <c r="A37" s="29" t="s">
        <v>888</v>
      </c>
      <c r="N37">
        <f t="shared" si="0"/>
        <v>12</v>
      </c>
      <c r="O37" s="7" t="str">
        <f ca="1">getCodigoBackend(N37,A37,VLOOKUP(N37,setup!$A$8:$H$58,2),VLOOKUP(N37,setup!$A$8:$H$58,3),VLOOKUP(N37,setup!$A$8:$H$58,4),VLOOKUP(N37,setup!$A$8:$H$58,5),VLOOKUP(N37,setup!$A$8:$H$58,6),VLOOKUP(N37,setup!$A$8:$H$58,7), VLOOKUP(0,setup!$A$8:$H$58,2),VLOOKUP(0,setup!$A$8:$H$58,5),VLOOKUP(N37,setup!$A$8:$H$58,8))</f>
        <v xml:space="preserve">   const COL_CCRP_TX_LIVRE_ESTAGIO_RT = 'CCRP_TX_LIVRE_ESTAGIO_RT';</v>
      </c>
    </row>
    <row r="38" spans="1:15" x14ac:dyDescent="0.25">
      <c r="A38" s="29" t="s">
        <v>888</v>
      </c>
      <c r="N38">
        <f t="shared" si="0"/>
        <v>13</v>
      </c>
      <c r="O38" s="7" t="e">
        <f>getCodigoBackend(N38,A38,VLOOKUP(N38,setup!$A$8:$H$58,2),VLOOKUP(N38,setup!$A$8:$H$58,3),VLOOKUP(N38,setup!$A$8:$H$58,4),VLOOKUP(N38,setup!$A$8:$H$58,5),VLOOKUP(N38,setup!$A$8:$H$58,6),VLOOKUP(N38,setup!$A$8:$H$58,7), VLOOKUP(0,setup!$A$8:$H$58,2),VLOOKUP(0,setup!$A$8:$H$58,5),VLOOKUP(N38,setup!$A$8:$H$58,8))</f>
        <v>#VALUE!</v>
      </c>
    </row>
    <row r="39" spans="1:15" x14ac:dyDescent="0.25">
      <c r="A39" s="29" t="s">
        <v>888</v>
      </c>
      <c r="N39">
        <f t="shared" si="0"/>
        <v>14</v>
      </c>
      <c r="O39" s="7" t="e">
        <f>getCodigoBackend(N39,A39,VLOOKUP(N39,setup!$A$8:$H$58,2),VLOOKUP(N39,setup!$A$8:$H$58,3),VLOOKUP(N39,setup!$A$8:$H$58,4),VLOOKUP(N39,setup!$A$8:$H$58,5),VLOOKUP(N39,setup!$A$8:$H$58,6),VLOOKUP(N39,setup!$A$8:$H$58,7), VLOOKUP(0,setup!$A$8:$H$58,2),VLOOKUP(0,setup!$A$8:$H$58,5),VLOOKUP(N39,setup!$A$8:$H$58,8))</f>
        <v>#VALUE!</v>
      </c>
    </row>
    <row r="40" spans="1:15" x14ac:dyDescent="0.25">
      <c r="A40" s="29" t="s">
        <v>888</v>
      </c>
      <c r="N40">
        <f t="shared" si="0"/>
        <v>15</v>
      </c>
      <c r="O40" s="7" t="e">
        <f>getCodigoBackend(N40,A40,VLOOKUP(N40,setup!$A$8:$H$58,2),VLOOKUP(N40,setup!$A$8:$H$58,3),VLOOKUP(N40,setup!$A$8:$H$58,4),VLOOKUP(N40,setup!$A$8:$H$58,5),VLOOKUP(N40,setup!$A$8:$H$58,6),VLOOKUP(N40,setup!$A$8:$H$58,7), VLOOKUP(0,setup!$A$8:$H$58,2),VLOOKUP(0,setup!$A$8:$H$58,5),VLOOKUP(N40,setup!$A$8:$H$58,8))</f>
        <v>#VALUE!</v>
      </c>
    </row>
    <row r="41" spans="1:15" x14ac:dyDescent="0.25">
      <c r="A41" s="29" t="s">
        <v>888</v>
      </c>
      <c r="N41">
        <f t="shared" si="0"/>
        <v>16</v>
      </c>
      <c r="O41" s="7" t="e">
        <f>getCodigoBackend(N41,A41,VLOOKUP(N41,setup!$A$8:$H$58,2),VLOOKUP(N41,setup!$A$8:$H$58,3),VLOOKUP(N41,setup!$A$8:$H$58,4),VLOOKUP(N41,setup!$A$8:$H$58,5),VLOOKUP(N41,setup!$A$8:$H$58,6),VLOOKUP(N41,setup!$A$8:$H$58,7), VLOOKUP(0,setup!$A$8:$H$58,2),VLOOKUP(0,setup!$A$8:$H$58,5),VLOOKUP(N41,setup!$A$8:$H$58,8))</f>
        <v>#VALUE!</v>
      </c>
    </row>
    <row r="42" spans="1:15" x14ac:dyDescent="0.25">
      <c r="A42" s="29" t="s">
        <v>888</v>
      </c>
      <c r="N42">
        <f t="shared" si="0"/>
        <v>17</v>
      </c>
      <c r="O42" s="7" t="e">
        <f>getCodigoBackend(N42,A42,VLOOKUP(N42,setup!$A$8:$H$58,2),VLOOKUP(N42,setup!$A$8:$H$58,3),VLOOKUP(N42,setup!$A$8:$H$58,4),VLOOKUP(N42,setup!$A$8:$H$58,5),VLOOKUP(N42,setup!$A$8:$H$58,6),VLOOKUP(N42,setup!$A$8:$H$58,7), VLOOKUP(0,setup!$A$8:$H$58,2),VLOOKUP(0,setup!$A$8:$H$58,5),VLOOKUP(N42,setup!$A$8:$H$58,8))</f>
        <v>#VALUE!</v>
      </c>
    </row>
    <row r="43" spans="1:15" x14ac:dyDescent="0.25">
      <c r="A43" s="29" t="s">
        <v>888</v>
      </c>
      <c r="N43">
        <f t="shared" si="0"/>
        <v>18</v>
      </c>
      <c r="O43" s="7" t="e">
        <f>getCodigoBackend(N43,A43,VLOOKUP(N43,setup!$A$8:$H$58,2),VLOOKUP(N43,setup!$A$8:$H$58,3),VLOOKUP(N43,setup!$A$8:$H$58,4),VLOOKUP(N43,setup!$A$8:$H$58,5),VLOOKUP(N43,setup!$A$8:$H$58,6),VLOOKUP(N43,setup!$A$8:$H$58,7), VLOOKUP(0,setup!$A$8:$H$58,2),VLOOKUP(0,setup!$A$8:$H$58,5),VLOOKUP(N43,setup!$A$8:$H$58,8))</f>
        <v>#VALUE!</v>
      </c>
    </row>
    <row r="44" spans="1:15" x14ac:dyDescent="0.25">
      <c r="A44" s="29" t="s">
        <v>888</v>
      </c>
      <c r="N44">
        <f t="shared" si="0"/>
        <v>19</v>
      </c>
      <c r="O44" s="7" t="e">
        <f>getCodigoBackend(N44,A44,VLOOKUP(N44,setup!$A$8:$H$58,2),VLOOKUP(N44,setup!$A$8:$H$58,3),VLOOKUP(N44,setup!$A$8:$H$58,4),VLOOKUP(N44,setup!$A$8:$H$58,5),VLOOKUP(N44,setup!$A$8:$H$58,6),VLOOKUP(N44,setup!$A$8:$H$58,7), VLOOKUP(0,setup!$A$8:$H$58,2),VLOOKUP(0,setup!$A$8:$H$58,5),VLOOKUP(N44,setup!$A$8:$H$58,8))</f>
        <v>#VALUE!</v>
      </c>
    </row>
    <row r="45" spans="1:15" x14ac:dyDescent="0.25">
      <c r="A45" s="29" t="s">
        <v>888</v>
      </c>
      <c r="N45">
        <f t="shared" ref="N45:N75" si="1">N44+1</f>
        <v>20</v>
      </c>
      <c r="O45" s="7" t="e">
        <f>getCodigoBackend(N45,A45,VLOOKUP(N45,setup!$A$8:$H$58,2),VLOOKUP(N45,setup!$A$8:$H$58,3),VLOOKUP(N45,setup!$A$8:$H$58,4),VLOOKUP(N45,setup!$A$8:$H$58,5),VLOOKUP(N45,setup!$A$8:$H$58,6),VLOOKUP(N45,setup!$A$8:$H$58,7), VLOOKUP(0,setup!$A$8:$H$58,2),VLOOKUP(0,setup!$A$8:$H$58,5),VLOOKUP(N45,setup!$A$8:$H$58,8))</f>
        <v>#VALUE!</v>
      </c>
    </row>
    <row r="46" spans="1:15" x14ac:dyDescent="0.25">
      <c r="A46" s="29" t="s">
        <v>888</v>
      </c>
      <c r="N46">
        <f t="shared" si="1"/>
        <v>21</v>
      </c>
      <c r="O46" s="7" t="e">
        <f>getCodigoBackend(N46,A46,VLOOKUP(N46,setup!$A$8:$H$58,2),VLOOKUP(N46,setup!$A$8:$H$58,3),VLOOKUP(N46,setup!$A$8:$H$58,4),VLOOKUP(N46,setup!$A$8:$H$58,5),VLOOKUP(N46,setup!$A$8:$H$58,6),VLOOKUP(N46,setup!$A$8:$H$58,7), VLOOKUP(0,setup!$A$8:$H$58,2),VLOOKUP(0,setup!$A$8:$H$58,5),VLOOKUP(N46,setup!$A$8:$H$58,8))</f>
        <v>#VALUE!</v>
      </c>
    </row>
    <row r="47" spans="1:15" x14ac:dyDescent="0.25">
      <c r="A47" s="29" t="s">
        <v>888</v>
      </c>
      <c r="N47">
        <f t="shared" si="1"/>
        <v>22</v>
      </c>
      <c r="O47" s="7" t="e">
        <f>getCodigoBackend(N47,A47,VLOOKUP(N47,setup!$A$8:$H$58,2),VLOOKUP(N47,setup!$A$8:$H$58,3),VLOOKUP(N47,setup!$A$8:$H$58,4),VLOOKUP(N47,setup!$A$8:$H$58,5),VLOOKUP(N47,setup!$A$8:$H$58,6),VLOOKUP(N47,setup!$A$8:$H$58,7), VLOOKUP(0,setup!$A$8:$H$58,2),VLOOKUP(0,setup!$A$8:$H$58,5),VLOOKUP(N47,setup!$A$8:$H$58,8))</f>
        <v>#VALUE!</v>
      </c>
    </row>
    <row r="48" spans="1:15" x14ac:dyDescent="0.25">
      <c r="A48" s="29" t="s">
        <v>888</v>
      </c>
      <c r="N48">
        <f t="shared" si="1"/>
        <v>23</v>
      </c>
      <c r="O48" s="7" t="e">
        <f>getCodigoBackend(N48,A48,VLOOKUP(N48,setup!$A$8:$H$58,2),VLOOKUP(N48,setup!$A$8:$H$58,3),VLOOKUP(N48,setup!$A$8:$H$58,4),VLOOKUP(N48,setup!$A$8:$H$58,5),VLOOKUP(N48,setup!$A$8:$H$58,6),VLOOKUP(N48,setup!$A$8:$H$58,7), VLOOKUP(0,setup!$A$8:$H$58,2),VLOOKUP(0,setup!$A$8:$H$58,5),VLOOKUP(N48,setup!$A$8:$H$58,8))</f>
        <v>#VALUE!</v>
      </c>
    </row>
    <row r="49" spans="1:15" x14ac:dyDescent="0.25">
      <c r="A49" s="29" t="s">
        <v>888</v>
      </c>
      <c r="N49">
        <f t="shared" si="1"/>
        <v>24</v>
      </c>
      <c r="O49" s="7" t="e">
        <f>getCodigoBackend(N49,A49,VLOOKUP(N49,setup!$A$8:$H$58,2),VLOOKUP(N49,setup!$A$8:$H$58,3),VLOOKUP(N49,setup!$A$8:$H$58,4),VLOOKUP(N49,setup!$A$8:$H$58,5),VLOOKUP(N49,setup!$A$8:$H$58,6),VLOOKUP(N49,setup!$A$8:$H$58,7), VLOOKUP(0,setup!$A$8:$H$58,2),VLOOKUP(0,setup!$A$8:$H$58,5),VLOOKUP(N49,setup!$A$8:$H$58,8))</f>
        <v>#VALUE!</v>
      </c>
    </row>
    <row r="50" spans="1:15" x14ac:dyDescent="0.25">
      <c r="A50" s="29" t="s">
        <v>888</v>
      </c>
      <c r="N50">
        <f t="shared" si="1"/>
        <v>25</v>
      </c>
      <c r="O50" s="7" t="e">
        <f>getCodigoBackend(N50,A50,VLOOKUP(N50,setup!$A$8:$H$58,2),VLOOKUP(N50,setup!$A$8:$H$58,3),VLOOKUP(N50,setup!$A$8:$H$58,4),VLOOKUP(N50,setup!$A$8:$H$58,5),VLOOKUP(N50,setup!$A$8:$H$58,6),VLOOKUP(N50,setup!$A$8:$H$58,7), VLOOKUP(0,setup!$A$8:$H$58,2),VLOOKUP(0,setup!$A$8:$H$58,5),VLOOKUP(N50,setup!$A$8:$H$58,8))</f>
        <v>#VALUE!</v>
      </c>
    </row>
    <row r="51" spans="1:15" x14ac:dyDescent="0.25">
      <c r="A51" s="29" t="s">
        <v>888</v>
      </c>
      <c r="N51">
        <f t="shared" si="1"/>
        <v>26</v>
      </c>
      <c r="O51" s="7" t="e">
        <f>getCodigoBackend(N51,A51,VLOOKUP(N51,setup!$A$8:$H$58,2),VLOOKUP(N51,setup!$A$8:$H$58,3),VLOOKUP(N51,setup!$A$8:$H$58,4),VLOOKUP(N51,setup!$A$8:$H$58,5),VLOOKUP(N51,setup!$A$8:$H$58,6),VLOOKUP(N51,setup!$A$8:$H$58,7), VLOOKUP(0,setup!$A$8:$H$58,2),VLOOKUP(0,setup!$A$8:$H$58,5),VLOOKUP(N51,setup!$A$8:$H$58,8))</f>
        <v>#VALUE!</v>
      </c>
    </row>
    <row r="52" spans="1:15" x14ac:dyDescent="0.25">
      <c r="A52" s="29" t="s">
        <v>888</v>
      </c>
      <c r="N52">
        <f t="shared" si="1"/>
        <v>27</v>
      </c>
      <c r="O52" s="7" t="e">
        <f>getCodigoBackend(N52,A52,VLOOKUP(N52,setup!$A$8:$H$58,2),VLOOKUP(N52,setup!$A$8:$H$58,3),VLOOKUP(N52,setup!$A$8:$H$58,4),VLOOKUP(N52,setup!$A$8:$H$58,5),VLOOKUP(N52,setup!$A$8:$H$58,6),VLOOKUP(N52,setup!$A$8:$H$58,7), VLOOKUP(0,setup!$A$8:$H$58,2),VLOOKUP(0,setup!$A$8:$H$58,5),VLOOKUP(N52,setup!$A$8:$H$58,8))</f>
        <v>#VALUE!</v>
      </c>
    </row>
    <row r="53" spans="1:15" x14ac:dyDescent="0.25">
      <c r="A53" s="29" t="s">
        <v>888</v>
      </c>
      <c r="N53">
        <f t="shared" si="1"/>
        <v>28</v>
      </c>
      <c r="O53" s="7" t="e">
        <f>getCodigoBackend(N53,A53,VLOOKUP(N53,setup!$A$8:$H$58,2),VLOOKUP(N53,setup!$A$8:$H$58,3),VLOOKUP(N53,setup!$A$8:$H$58,4),VLOOKUP(N53,setup!$A$8:$H$58,5),VLOOKUP(N53,setup!$A$8:$H$58,6),VLOOKUP(N53,setup!$A$8:$H$58,7), VLOOKUP(0,setup!$A$8:$H$58,2),VLOOKUP(0,setup!$A$8:$H$58,5),VLOOKUP(N53,setup!$A$8:$H$58,8))</f>
        <v>#VALUE!</v>
      </c>
    </row>
    <row r="54" spans="1:15" x14ac:dyDescent="0.25">
      <c r="A54" s="29" t="s">
        <v>888</v>
      </c>
      <c r="N54">
        <f t="shared" si="1"/>
        <v>29</v>
      </c>
      <c r="O54" s="7" t="e">
        <f>getCodigoBackend(N54,A54,VLOOKUP(N54,setup!$A$8:$H$58,2),VLOOKUP(N54,setup!$A$8:$H$58,3),VLOOKUP(N54,setup!$A$8:$H$58,4),VLOOKUP(N54,setup!$A$8:$H$58,5),VLOOKUP(N54,setup!$A$8:$H$58,6),VLOOKUP(N54,setup!$A$8:$H$58,7), VLOOKUP(0,setup!$A$8:$H$58,2),VLOOKUP(0,setup!$A$8:$H$58,5),VLOOKUP(N54,setup!$A$8:$H$58,8))</f>
        <v>#VALUE!</v>
      </c>
    </row>
    <row r="55" spans="1:15" x14ac:dyDescent="0.25">
      <c r="A55" s="29" t="s">
        <v>888</v>
      </c>
      <c r="N55">
        <f t="shared" si="1"/>
        <v>30</v>
      </c>
      <c r="O55" s="7" t="e">
        <f>getCodigoBackend(N55,A55,VLOOKUP(N55,setup!$A$8:$H$58,2),VLOOKUP(N55,setup!$A$8:$H$58,3),VLOOKUP(N55,setup!$A$8:$H$58,4),VLOOKUP(N55,setup!$A$8:$H$58,5),VLOOKUP(N55,setup!$A$8:$H$58,6),VLOOKUP(N55,setup!$A$8:$H$58,7), VLOOKUP(0,setup!$A$8:$H$58,2),VLOOKUP(0,setup!$A$8:$H$58,5),VLOOKUP(N55,setup!$A$8:$H$58,8))</f>
        <v>#VALUE!</v>
      </c>
    </row>
    <row r="56" spans="1:15" x14ac:dyDescent="0.25">
      <c r="A56" s="29" t="s">
        <v>888</v>
      </c>
      <c r="N56">
        <f t="shared" si="1"/>
        <v>31</v>
      </c>
      <c r="O56" s="7" t="e">
        <f>getCodigoBackend(N56,A56,VLOOKUP(N56,setup!$A$8:$H$58,2),VLOOKUP(N56,setup!$A$8:$H$58,3),VLOOKUP(N56,setup!$A$8:$H$58,4),VLOOKUP(N56,setup!$A$8:$H$58,5),VLOOKUP(N56,setup!$A$8:$H$58,6),VLOOKUP(N56,setup!$A$8:$H$58,7), VLOOKUP(0,setup!$A$8:$H$58,2),VLOOKUP(0,setup!$A$8:$H$58,5),VLOOKUP(N56,setup!$A$8:$H$58,8))</f>
        <v>#VALUE!</v>
      </c>
    </row>
    <row r="57" spans="1:15" x14ac:dyDescent="0.25">
      <c r="A57" s="29" t="s">
        <v>888</v>
      </c>
      <c r="N57">
        <f t="shared" si="1"/>
        <v>32</v>
      </c>
      <c r="O57" s="7" t="e">
        <f>getCodigoBackend(N57,A57,VLOOKUP(N57,setup!$A$8:$H$58,2),VLOOKUP(N57,setup!$A$8:$H$58,3),VLOOKUP(N57,setup!$A$8:$H$58,4),VLOOKUP(N57,setup!$A$8:$H$58,5),VLOOKUP(N57,setup!$A$8:$H$58,6),VLOOKUP(N57,setup!$A$8:$H$58,7), VLOOKUP(0,setup!$A$8:$H$58,2),VLOOKUP(0,setup!$A$8:$H$58,5),VLOOKUP(N57,setup!$A$8:$H$58,8))</f>
        <v>#VALUE!</v>
      </c>
    </row>
    <row r="58" spans="1:15" x14ac:dyDescent="0.25">
      <c r="A58" s="29" t="s">
        <v>888</v>
      </c>
      <c r="N58">
        <f t="shared" si="1"/>
        <v>33</v>
      </c>
      <c r="O58" s="7" t="e">
        <f>getCodigoBackend(N58,A58,VLOOKUP(N58,setup!$A$8:$H$58,2),VLOOKUP(N58,setup!$A$8:$H$58,3),VLOOKUP(N58,setup!$A$8:$H$58,4),VLOOKUP(N58,setup!$A$8:$H$58,5),VLOOKUP(N58,setup!$A$8:$H$58,6),VLOOKUP(N58,setup!$A$8:$H$58,7), VLOOKUP(0,setup!$A$8:$H$58,2),VLOOKUP(0,setup!$A$8:$H$58,5),VLOOKUP(N58,setup!$A$8:$H$58,8))</f>
        <v>#VALUE!</v>
      </c>
    </row>
    <row r="59" spans="1:15" x14ac:dyDescent="0.25">
      <c r="A59" s="29" t="s">
        <v>888</v>
      </c>
      <c r="N59">
        <f t="shared" si="1"/>
        <v>34</v>
      </c>
      <c r="O59" s="7" t="e">
        <f>getCodigoBackend(N59,A59,VLOOKUP(N59,setup!$A$8:$H$58,2),VLOOKUP(N59,setup!$A$8:$H$58,3),VLOOKUP(N59,setup!$A$8:$H$58,4),VLOOKUP(N59,setup!$A$8:$H$58,5),VLOOKUP(N59,setup!$A$8:$H$58,6),VLOOKUP(N59,setup!$A$8:$H$58,7), VLOOKUP(0,setup!$A$8:$H$58,2),VLOOKUP(0,setup!$A$8:$H$58,5),VLOOKUP(N59,setup!$A$8:$H$58,8))</f>
        <v>#VALUE!</v>
      </c>
    </row>
    <row r="60" spans="1:15" x14ac:dyDescent="0.25">
      <c r="A60" s="29" t="s">
        <v>888</v>
      </c>
      <c r="N60">
        <f t="shared" si="1"/>
        <v>35</v>
      </c>
      <c r="O60" s="7" t="e">
        <f>getCodigoBackend(N60,A60,VLOOKUP(N60,setup!$A$8:$H$58,2),VLOOKUP(N60,setup!$A$8:$H$58,3),VLOOKUP(N60,setup!$A$8:$H$58,4),VLOOKUP(N60,setup!$A$8:$H$58,5),VLOOKUP(N60,setup!$A$8:$H$58,6),VLOOKUP(N60,setup!$A$8:$H$58,7), VLOOKUP(0,setup!$A$8:$H$58,2),VLOOKUP(0,setup!$A$8:$H$58,5),VLOOKUP(N60,setup!$A$8:$H$58,8))</f>
        <v>#VALUE!</v>
      </c>
    </row>
    <row r="61" spans="1:15" x14ac:dyDescent="0.25">
      <c r="A61" s="29" t="s">
        <v>888</v>
      </c>
      <c r="N61">
        <f t="shared" si="1"/>
        <v>36</v>
      </c>
      <c r="O61" s="7" t="e">
        <f>getCodigoBackend(N61,A61,VLOOKUP(N61,setup!$A$8:$H$58,2),VLOOKUP(N61,setup!$A$8:$H$58,3),VLOOKUP(N61,setup!$A$8:$H$58,4),VLOOKUP(N61,setup!$A$8:$H$58,5),VLOOKUP(N61,setup!$A$8:$H$58,6),VLOOKUP(N61,setup!$A$8:$H$58,7), VLOOKUP(0,setup!$A$8:$H$58,2),VLOOKUP(0,setup!$A$8:$H$58,5),VLOOKUP(N61,setup!$A$8:$H$58,8))</f>
        <v>#VALUE!</v>
      </c>
    </row>
    <row r="62" spans="1:15" x14ac:dyDescent="0.25">
      <c r="A62" s="29" t="s">
        <v>888</v>
      </c>
      <c r="N62">
        <f t="shared" si="1"/>
        <v>37</v>
      </c>
      <c r="O62" s="7" t="e">
        <f>getCodigoBackend(N62,A62,VLOOKUP(N62,setup!$A$8:$H$58,2),VLOOKUP(N62,setup!$A$8:$H$58,3),VLOOKUP(N62,setup!$A$8:$H$58,4),VLOOKUP(N62,setup!$A$8:$H$58,5),VLOOKUP(N62,setup!$A$8:$H$58,6),VLOOKUP(N62,setup!$A$8:$H$58,7), VLOOKUP(0,setup!$A$8:$H$58,2),VLOOKUP(0,setup!$A$8:$H$58,5),VLOOKUP(N62,setup!$A$8:$H$58,8))</f>
        <v>#VALUE!</v>
      </c>
    </row>
    <row r="63" spans="1:15" x14ac:dyDescent="0.25">
      <c r="A63" s="29" t="s">
        <v>888</v>
      </c>
      <c r="N63">
        <f t="shared" si="1"/>
        <v>38</v>
      </c>
      <c r="O63" s="7" t="e">
        <f>getCodigoBackend(N63,A63,VLOOKUP(N63,setup!$A$8:$H$58,2),VLOOKUP(N63,setup!$A$8:$H$58,3),VLOOKUP(N63,setup!$A$8:$H$58,4),VLOOKUP(N63,setup!$A$8:$H$58,5),VLOOKUP(N63,setup!$A$8:$H$58,6),VLOOKUP(N63,setup!$A$8:$H$58,7), VLOOKUP(0,setup!$A$8:$H$58,2),VLOOKUP(0,setup!$A$8:$H$58,5),VLOOKUP(N63,setup!$A$8:$H$58,8))</f>
        <v>#VALUE!</v>
      </c>
    </row>
    <row r="64" spans="1:15" x14ac:dyDescent="0.25">
      <c r="A64" s="29" t="s">
        <v>888</v>
      </c>
      <c r="N64">
        <f t="shared" si="1"/>
        <v>39</v>
      </c>
      <c r="O64" s="7" t="e">
        <f>getCodigoBackend(N64,A64,VLOOKUP(N64,setup!$A$8:$H$58,2),VLOOKUP(N64,setup!$A$8:$H$58,3),VLOOKUP(N64,setup!$A$8:$H$58,4),VLOOKUP(N64,setup!$A$8:$H$58,5),VLOOKUP(N64,setup!$A$8:$H$58,6),VLOOKUP(N64,setup!$A$8:$H$58,7), VLOOKUP(0,setup!$A$8:$H$58,2),VLOOKUP(0,setup!$A$8:$H$58,5),VLOOKUP(N64,setup!$A$8:$H$58,8))</f>
        <v>#VALUE!</v>
      </c>
    </row>
    <row r="65" spans="1:15" x14ac:dyDescent="0.25">
      <c r="A65" s="29" t="s">
        <v>888</v>
      </c>
      <c r="N65">
        <f t="shared" si="1"/>
        <v>40</v>
      </c>
      <c r="O65" s="7" t="e">
        <f>getCodigoBackend(N65,A65,VLOOKUP(N65,setup!$A$8:$H$58,2),VLOOKUP(N65,setup!$A$8:$H$58,3),VLOOKUP(N65,setup!$A$8:$H$58,4),VLOOKUP(N65,setup!$A$8:$H$58,5),VLOOKUP(N65,setup!$A$8:$H$58,6),VLOOKUP(N65,setup!$A$8:$H$58,7), VLOOKUP(0,setup!$A$8:$H$58,2),VLOOKUP(0,setup!$A$8:$H$58,5),VLOOKUP(N65,setup!$A$8:$H$58,8))</f>
        <v>#VALUE!</v>
      </c>
    </row>
    <row r="66" spans="1:15" x14ac:dyDescent="0.25">
      <c r="A66" s="29" t="s">
        <v>888</v>
      </c>
      <c r="N66">
        <f t="shared" si="1"/>
        <v>41</v>
      </c>
      <c r="O66" s="7" t="e">
        <f>getCodigoBackend(N66,A66,VLOOKUP(N66,setup!$A$8:$H$58,2),VLOOKUP(N66,setup!$A$8:$H$58,3),VLOOKUP(N66,setup!$A$8:$H$58,4),VLOOKUP(N66,setup!$A$8:$H$58,5),VLOOKUP(N66,setup!$A$8:$H$58,6),VLOOKUP(N66,setup!$A$8:$H$58,7), VLOOKUP(0,setup!$A$8:$H$58,2),VLOOKUP(0,setup!$A$8:$H$58,5),VLOOKUP(N66,setup!$A$8:$H$58,8))</f>
        <v>#VALUE!</v>
      </c>
    </row>
    <row r="67" spans="1:15" x14ac:dyDescent="0.25">
      <c r="A67" s="29" t="s">
        <v>888</v>
      </c>
      <c r="N67">
        <f t="shared" si="1"/>
        <v>42</v>
      </c>
      <c r="O67" s="7" t="e">
        <f>getCodigoBackend(N67,A67,VLOOKUP(N67,setup!$A$8:$H$58,2),VLOOKUP(N67,setup!$A$8:$H$58,3),VLOOKUP(N67,setup!$A$8:$H$58,4),VLOOKUP(N67,setup!$A$8:$H$58,5),VLOOKUP(N67,setup!$A$8:$H$58,6),VLOOKUP(N67,setup!$A$8:$H$58,7), VLOOKUP(0,setup!$A$8:$H$58,2),VLOOKUP(0,setup!$A$8:$H$58,5),VLOOKUP(N67,setup!$A$8:$H$58,8))</f>
        <v>#VALUE!</v>
      </c>
    </row>
    <row r="68" spans="1:15" x14ac:dyDescent="0.25">
      <c r="A68" s="29" t="s">
        <v>888</v>
      </c>
      <c r="N68">
        <f t="shared" si="1"/>
        <v>43</v>
      </c>
      <c r="O68" s="7" t="e">
        <f>getCodigoBackend(N68,A68,VLOOKUP(N68,setup!$A$8:$H$58,2),VLOOKUP(N68,setup!$A$8:$H$58,3),VLOOKUP(N68,setup!$A$8:$H$58,4),VLOOKUP(N68,setup!$A$8:$H$58,5),VLOOKUP(N68,setup!$A$8:$H$58,6),VLOOKUP(N68,setup!$A$8:$H$58,7), VLOOKUP(0,setup!$A$8:$H$58,2),VLOOKUP(0,setup!$A$8:$H$58,5),VLOOKUP(N68,setup!$A$8:$H$58,8))</f>
        <v>#VALUE!</v>
      </c>
    </row>
    <row r="69" spans="1:15" x14ac:dyDescent="0.25">
      <c r="A69" s="29" t="s">
        <v>888</v>
      </c>
      <c r="N69">
        <f t="shared" si="1"/>
        <v>44</v>
      </c>
      <c r="O69" s="7" t="e">
        <f>getCodigoBackend(N69,A69,VLOOKUP(N69,setup!$A$8:$H$58,2),VLOOKUP(N69,setup!$A$8:$H$58,3),VLOOKUP(N69,setup!$A$8:$H$58,4),VLOOKUP(N69,setup!$A$8:$H$58,5),VLOOKUP(N69,setup!$A$8:$H$58,6),VLOOKUP(N69,setup!$A$8:$H$58,7), VLOOKUP(0,setup!$A$8:$H$58,2),VLOOKUP(0,setup!$A$8:$H$58,5),VLOOKUP(N69,setup!$A$8:$H$58,8))</f>
        <v>#VALUE!</v>
      </c>
    </row>
    <row r="70" spans="1:15" x14ac:dyDescent="0.25">
      <c r="A70" s="29" t="s">
        <v>888</v>
      </c>
      <c r="N70">
        <f t="shared" si="1"/>
        <v>45</v>
      </c>
      <c r="O70" s="7" t="e">
        <f>getCodigoBackend(N70,A70,VLOOKUP(N70,setup!$A$8:$H$58,2),VLOOKUP(N70,setup!$A$8:$H$58,3),VLOOKUP(N70,setup!$A$8:$H$58,4),VLOOKUP(N70,setup!$A$8:$H$58,5),VLOOKUP(N70,setup!$A$8:$H$58,6),VLOOKUP(N70,setup!$A$8:$H$58,7), VLOOKUP(0,setup!$A$8:$H$58,2),VLOOKUP(0,setup!$A$8:$H$58,5),VLOOKUP(N70,setup!$A$8:$H$58,8))</f>
        <v>#VALUE!</v>
      </c>
    </row>
    <row r="71" spans="1:15" x14ac:dyDescent="0.25">
      <c r="A71" s="29" t="s">
        <v>888</v>
      </c>
      <c r="N71">
        <f t="shared" si="1"/>
        <v>46</v>
      </c>
      <c r="O71" s="7" t="e">
        <f>getCodigoBackend(N71,A71,VLOOKUP(N71,setup!$A$8:$H$58,2),VLOOKUP(N71,setup!$A$8:$H$58,3),VLOOKUP(N71,setup!$A$8:$H$58,4),VLOOKUP(N71,setup!$A$8:$H$58,5),VLOOKUP(N71,setup!$A$8:$H$58,6),VLOOKUP(N71,setup!$A$8:$H$58,7), VLOOKUP(0,setup!$A$8:$H$58,2),VLOOKUP(0,setup!$A$8:$H$58,5),VLOOKUP(N71,setup!$A$8:$H$58,8))</f>
        <v>#VALUE!</v>
      </c>
    </row>
    <row r="72" spans="1:15" x14ac:dyDescent="0.25">
      <c r="A72" s="29" t="s">
        <v>888</v>
      </c>
      <c r="N72">
        <f t="shared" si="1"/>
        <v>47</v>
      </c>
      <c r="O72" s="7" t="e">
        <f>getCodigoBackend(N72,A72,VLOOKUP(N72,setup!$A$8:$H$58,2),VLOOKUP(N72,setup!$A$8:$H$58,3),VLOOKUP(N72,setup!$A$8:$H$58,4),VLOOKUP(N72,setup!$A$8:$H$58,5),VLOOKUP(N72,setup!$A$8:$H$58,6),VLOOKUP(N72,setup!$A$8:$H$58,7), VLOOKUP(0,setup!$A$8:$H$58,2),VLOOKUP(0,setup!$A$8:$H$58,5),VLOOKUP(N72,setup!$A$8:$H$58,8))</f>
        <v>#VALUE!</v>
      </c>
    </row>
    <row r="73" spans="1:15" x14ac:dyDescent="0.25">
      <c r="A73" s="29" t="s">
        <v>888</v>
      </c>
      <c r="N73">
        <f t="shared" si="1"/>
        <v>48</v>
      </c>
      <c r="O73" s="7" t="str">
        <f ca="1">getCodigoBackend(N73,A73,VLOOKUP(N73,setup!$A$8:$H$58,2),VLOOKUP(N73,setup!$A$8:$H$58,3),VLOOKUP(N73,setup!$A$8:$H$58,4),VLOOKUP(N73,setup!$A$8:$H$58,5),VLOOKUP(N73,setup!$A$8:$H$58,6),VLOOKUP(N73,setup!$A$8:$H$58,7), VLOOKUP(0,setup!$A$8:$H$58,2),VLOOKUP(0,setup!$A$8:$H$58,5),VLOOKUP(N73,setup!$A$8:$H$58,8))</f>
        <v xml:space="preserve">   const COL_CCRP_IN_STATUS = 'CCRP_IN_STATUS';</v>
      </c>
    </row>
    <row r="74" spans="1:15" x14ac:dyDescent="0.25">
      <c r="A74" s="29" t="s">
        <v>888</v>
      </c>
      <c r="N74">
        <f t="shared" si="1"/>
        <v>49</v>
      </c>
      <c r="O74" s="7" t="str">
        <f ca="1">getCodigoBackend(N74,A74,VLOOKUP(N74,setup!$A$8:$H$58,2),VLOOKUP(N74,setup!$A$8:$H$58,3),VLOOKUP(N74,setup!$A$8:$H$58,4),VLOOKUP(N74,setup!$A$8:$H$58,5),VLOOKUP(N74,setup!$A$8:$H$58,6),VLOOKUP(N74,setup!$A$8:$H$58,7), VLOOKUP(0,setup!$A$8:$H$58,2),VLOOKUP(0,setup!$A$8:$H$58,5),VLOOKUP(N74,setup!$A$8:$H$58,8))</f>
        <v xml:space="preserve">   const COL_CCRP_DT_CADASTRO = 'CCRP_DT_CADASTRO';</v>
      </c>
    </row>
    <row r="75" spans="1:15" x14ac:dyDescent="0.25">
      <c r="A75" s="29" t="s">
        <v>888</v>
      </c>
      <c r="N75">
        <f t="shared" si="1"/>
        <v>50</v>
      </c>
      <c r="O75" s="7" t="str">
        <f ca="1">getCodigoBackend(N75,A75,VLOOKUP(N75,setup!$A$8:$H$58,2),VLOOKUP(N75,setup!$A$8:$H$58,3),VLOOKUP(N75,setup!$A$8:$H$58,4),VLOOKUP(N75,setup!$A$8:$H$58,5),VLOOKUP(N75,setup!$A$8:$H$58,6),VLOOKUP(N75,setup!$A$8:$H$58,7), VLOOKUP(0,setup!$A$8:$H$58,2),VLOOKUP(0,setup!$A$8:$H$58,5),VLOOKUP(N75,setup!$A$8:$H$58,8))</f>
        <v xml:space="preserve">   const COL_CCRP_DT_UPDATE = 'CCRP_DT_UPDATE';</v>
      </c>
    </row>
    <row r="76" spans="1:15" x14ac:dyDescent="0.25">
      <c r="A76" s="29"/>
      <c r="O76" s="7" t="str">
        <f ca="1">getCodigoBackend(N76,A76,VLOOKUP(N76,setup!$A$8:$H$58,2),VLOOKUP(N76,setup!$A$8:$H$58,3),VLOOKUP(N76,setup!$A$8:$H$58,4),VLOOKUP(N76,setup!$A$8:$H$58,5),VLOOKUP(N76,setup!$A$8:$H$58,6),VLOOKUP(N76,setup!$A$8:$H$58,7), VLOOKUP(0,setup!$A$8:$H$58,2),VLOOKUP(0,setup!$A$8:$H$58,5),VLOOKUP(N76,setup!$A$8:$H$58,8))</f>
        <v/>
      </c>
    </row>
    <row r="77" spans="1:15" x14ac:dyDescent="0.25">
      <c r="A77" s="29" t="s">
        <v>890</v>
      </c>
      <c r="O77" s="7" t="str">
        <f ca="1">getCodigoBackend(N77,A77,VLOOKUP(N77,setup!$A$8:$H$58,2),VLOOKUP(N77,setup!$A$8:$H$58,3),VLOOKUP(N77,setup!$A$8:$H$58,4),VLOOKUP(N77,setup!$A$8:$H$58,5),VLOOKUP(N77,setup!$A$8:$H$58,6),VLOOKUP(N77,setup!$A$8:$H$58,7), VLOOKUP(0,setup!$A$8:$H$58,2),VLOOKUP(0,setup!$A$8:$H$58,5),VLOOKUP(N77,setup!$A$8:$H$58,8))</f>
        <v xml:space="preserve">   /* definição para campos do CampanhaCashbackResgatePixDTO */</v>
      </c>
    </row>
    <row r="78" spans="1:15" x14ac:dyDescent="0.25">
      <c r="A78" s="29" t="s">
        <v>891</v>
      </c>
      <c r="N78">
        <v>0</v>
      </c>
      <c r="O78" s="7" t="str">
        <f ca="1">getCodigoBackend(N78,A78,VLOOKUP(N78,setup!$A$8:$H$58,2),VLOOKUP(N78,setup!$A$8:$H$58,3),VLOOKUP(N78,setup!$A$8:$H$58,4),VLOOKUP(N78,setup!$A$8:$H$58,5),VLOOKUP(N78,setup!$A$8:$H$58,6),VLOOKUP(N78,setup!$A$8:$H$58,7), VLOOKUP(0,setup!$A$8:$H$58,2),VLOOKUP(0,setup!$A$8:$H$58,5),VLOOKUP(N78,setup!$A$8:$H$58,8))</f>
        <v xml:space="preserve">   const DTO_ID = 'id';</v>
      </c>
    </row>
    <row r="79" spans="1:15" x14ac:dyDescent="0.25">
      <c r="A79" s="29" t="s">
        <v>891</v>
      </c>
      <c r="N79">
        <f>N78+1</f>
        <v>1</v>
      </c>
      <c r="O79" s="7" t="str">
        <f ca="1">getCodigoBackend(N79,A79,VLOOKUP(N79,setup!$A$8:$H$58,2),VLOOKUP(N79,setup!$A$8:$H$58,3),VLOOKUP(N79,setup!$A$8:$H$58,4),VLOOKUP(N79,setup!$A$8:$H$58,5),VLOOKUP(N79,setup!$A$8:$H$58,6),VLOOKUP(N79,setup!$A$8:$H$58,7), VLOOKUP(0,setup!$A$8:$H$58,2),VLOOKUP(0,setup!$A$8:$H$58,5),VLOOKUP(N79,setup!$A$8:$H$58,8))</f>
        <v xml:space="preserve">   const DTO_IDCAMPANHACASHBACK = 'idCampanhaCashback';</v>
      </c>
    </row>
    <row r="80" spans="1:15" x14ac:dyDescent="0.25">
      <c r="A80" s="29" t="s">
        <v>891</v>
      </c>
      <c r="N80">
        <f t="shared" ref="N80:N128" si="2">N79+1</f>
        <v>2</v>
      </c>
      <c r="O80" s="7" t="str">
        <f ca="1">getCodigoBackend(N80,A80,VLOOKUP(N80,setup!$A$8:$H$58,2),VLOOKUP(N80,setup!$A$8:$H$58,3),VLOOKUP(N80,setup!$A$8:$H$58,4),VLOOKUP(N80,setup!$A$8:$H$58,5),VLOOKUP(N80,setup!$A$8:$H$58,6),VLOOKUP(N80,setup!$A$8:$H$58,7), VLOOKUP(0,setup!$A$8:$H$58,2),VLOOKUP(0,setup!$A$8:$H$58,5),VLOOKUP(N80,setup!$A$8:$H$58,8))</f>
        <v xml:space="preserve">   const DTO_IDUSUARIOSOLICITANTE = 'idUsuarioSolicitante';</v>
      </c>
    </row>
    <row r="81" spans="1:15" x14ac:dyDescent="0.25">
      <c r="A81" s="29" t="s">
        <v>891</v>
      </c>
      <c r="N81">
        <f t="shared" si="2"/>
        <v>3</v>
      </c>
      <c r="O81" s="7" t="str">
        <f ca="1">getCodigoBackend(N81,A81,VLOOKUP(N81,setup!$A$8:$H$58,2),VLOOKUP(N81,setup!$A$8:$H$58,3),VLOOKUP(N81,setup!$A$8:$H$58,4),VLOOKUP(N81,setup!$A$8:$H$58,5),VLOOKUP(N81,setup!$A$8:$H$58,6),VLOOKUP(N81,setup!$A$8:$H$58,7), VLOOKUP(0,setup!$A$8:$H$58,2),VLOOKUP(0,setup!$A$8:$H$58,5),VLOOKUP(N81,setup!$A$8:$H$58,8))</f>
        <v xml:space="preserve">   const DTO_TIPOCHAVEPIX = 'tipoChavePix';</v>
      </c>
    </row>
    <row r="82" spans="1:15" x14ac:dyDescent="0.25">
      <c r="A82" s="29" t="s">
        <v>891</v>
      </c>
      <c r="N82">
        <f t="shared" si="2"/>
        <v>4</v>
      </c>
      <c r="O82" s="7" t="str">
        <f ca="1">getCodigoBackend(N82,A82,VLOOKUP(N82,setup!$A$8:$H$58,2),VLOOKUP(N82,setup!$A$8:$H$58,3),VLOOKUP(N82,setup!$A$8:$H$58,4),VLOOKUP(N82,setup!$A$8:$H$58,5),VLOOKUP(N82,setup!$A$8:$H$58,6),VLOOKUP(N82,setup!$A$8:$H$58,7), VLOOKUP(0,setup!$A$8:$H$58,2),VLOOKUP(0,setup!$A$8:$H$58,5),VLOOKUP(N82,setup!$A$8:$H$58,8))</f>
        <v xml:space="preserve">   const DTO_CHAVEPIX = 'chavePix';</v>
      </c>
    </row>
    <row r="83" spans="1:15" x14ac:dyDescent="0.25">
      <c r="A83" s="29" t="s">
        <v>891</v>
      </c>
      <c r="N83">
        <f t="shared" si="2"/>
        <v>5</v>
      </c>
      <c r="O83" s="7" t="str">
        <f ca="1">getCodigoBackend(N83,A83,VLOOKUP(N83,setup!$A$8:$H$58,2),VLOOKUP(N83,setup!$A$8:$H$58,3),VLOOKUP(N83,setup!$A$8:$H$58,4),VLOOKUP(N83,setup!$A$8:$H$58,5),VLOOKUP(N83,setup!$A$8:$H$58,6),VLOOKUP(N83,setup!$A$8:$H$58,7), VLOOKUP(0,setup!$A$8:$H$58,2),VLOOKUP(0,setup!$A$8:$H$58,5),VLOOKUP(N83,setup!$A$8:$H$58,8))</f>
        <v xml:space="preserve">   const DTO_VALORRESGATE = 'valorResgate';</v>
      </c>
    </row>
    <row r="84" spans="1:15" x14ac:dyDescent="0.25">
      <c r="A84" s="29" t="s">
        <v>891</v>
      </c>
      <c r="N84">
        <f t="shared" si="2"/>
        <v>6</v>
      </c>
      <c r="O84" s="7" t="str">
        <f ca="1">getCodigoBackend(N84,A84,VLOOKUP(N84,setup!$A$8:$H$58,2),VLOOKUP(N84,setup!$A$8:$H$58,3),VLOOKUP(N84,setup!$A$8:$H$58,4),VLOOKUP(N84,setup!$A$8:$H$58,5),VLOOKUP(N84,setup!$A$8:$H$58,6),VLOOKUP(N84,setup!$A$8:$H$58,7), VLOOKUP(0,setup!$A$8:$H$58,2),VLOOKUP(0,setup!$A$8:$H$58,5),VLOOKUP(N84,setup!$A$8:$H$58,8))</f>
        <v xml:space="preserve">   const DTO_AUTENTICACAOBCO = 'autenticacaoBco';</v>
      </c>
    </row>
    <row r="85" spans="1:15" x14ac:dyDescent="0.25">
      <c r="A85" s="29" t="s">
        <v>891</v>
      </c>
      <c r="N85">
        <f t="shared" si="2"/>
        <v>7</v>
      </c>
      <c r="O85" s="7" t="str">
        <f ca="1">getCodigoBackend(N85,A85,VLOOKUP(N85,setup!$A$8:$H$58,2),VLOOKUP(N85,setup!$A$8:$H$58,3),VLOOKUP(N85,setup!$A$8:$H$58,4),VLOOKUP(N85,setup!$A$8:$H$58,5),VLOOKUP(N85,setup!$A$8:$H$58,6),VLOOKUP(N85,setup!$A$8:$H$58,7), VLOOKUP(0,setup!$A$8:$H$58,2),VLOOKUP(0,setup!$A$8:$H$58,5),VLOOKUP(N85,setup!$A$8:$H$58,8))</f>
        <v xml:space="preserve">   const DTO_ESTAGIOREALTIME = 'estagioRealTime';</v>
      </c>
    </row>
    <row r="86" spans="1:15" x14ac:dyDescent="0.25">
      <c r="A86" s="29" t="s">
        <v>891</v>
      </c>
      <c r="N86">
        <f t="shared" si="2"/>
        <v>8</v>
      </c>
      <c r="O86" s="7" t="str">
        <f ca="1">getCodigoBackend(N86,A86,VLOOKUP(N86,setup!$A$8:$H$58,2),VLOOKUP(N86,setup!$A$8:$H$58,3),VLOOKUP(N86,setup!$A$8:$H$58,4),VLOOKUP(N86,setup!$A$8:$H$58,5),VLOOKUP(N86,setup!$A$8:$H$58,6),VLOOKUP(N86,setup!$A$8:$H$58,7), VLOOKUP(0,setup!$A$8:$H$58,2),VLOOKUP(0,setup!$A$8:$H$58,5),VLOOKUP(N86,setup!$A$8:$H$58,8))</f>
        <v xml:space="preserve">   const DTO_DTESTAGIOANALISE = 'dtEstagioAnalise';</v>
      </c>
    </row>
    <row r="87" spans="1:15" x14ac:dyDescent="0.25">
      <c r="A87" s="29" t="s">
        <v>891</v>
      </c>
      <c r="N87">
        <f t="shared" si="2"/>
        <v>9</v>
      </c>
      <c r="O87" s="7" t="str">
        <f ca="1">getCodigoBackend(N87,A87,VLOOKUP(N87,setup!$A$8:$H$58,2),VLOOKUP(N87,setup!$A$8:$H$58,3),VLOOKUP(N87,setup!$A$8:$H$58,4),VLOOKUP(N87,setup!$A$8:$H$58,5),VLOOKUP(N87,setup!$A$8:$H$58,6),VLOOKUP(N87,setup!$A$8:$H$58,7), VLOOKUP(0,setup!$A$8:$H$58,2),VLOOKUP(0,setup!$A$8:$H$58,5),VLOOKUP(N87,setup!$A$8:$H$58,8))</f>
        <v xml:space="preserve">   const DTO_DTESTAGIOFINANCEIRO = 'dtEstagioFinanceiro';</v>
      </c>
    </row>
    <row r="88" spans="1:15" x14ac:dyDescent="0.25">
      <c r="A88" s="29" t="s">
        <v>891</v>
      </c>
      <c r="N88">
        <f t="shared" si="2"/>
        <v>10</v>
      </c>
      <c r="O88" s="7" t="str">
        <f ca="1">getCodigoBackend(N88,A88,VLOOKUP(N88,setup!$A$8:$H$58,2),VLOOKUP(N88,setup!$A$8:$H$58,3),VLOOKUP(N88,setup!$A$8:$H$58,4),VLOOKUP(N88,setup!$A$8:$H$58,5),VLOOKUP(N88,setup!$A$8:$H$58,6),VLOOKUP(N88,setup!$A$8:$H$58,7), VLOOKUP(0,setup!$A$8:$H$58,2),VLOOKUP(0,setup!$A$8:$H$58,5),VLOOKUP(N88,setup!$A$8:$H$58,8))</f>
        <v xml:space="preserve">   const DTO_DTESTAGIOERRO = 'dtEstagioErro';</v>
      </c>
    </row>
    <row r="89" spans="1:15" x14ac:dyDescent="0.25">
      <c r="A89" s="29" t="s">
        <v>891</v>
      </c>
      <c r="N89">
        <f t="shared" si="2"/>
        <v>11</v>
      </c>
      <c r="O89" s="7" t="str">
        <f ca="1">getCodigoBackend(N89,A89,VLOOKUP(N89,setup!$A$8:$H$58,2),VLOOKUP(N89,setup!$A$8:$H$58,3),VLOOKUP(N89,setup!$A$8:$H$58,4),VLOOKUP(N89,setup!$A$8:$H$58,5),VLOOKUP(N89,setup!$A$8:$H$58,6),VLOOKUP(N89,setup!$A$8:$H$58,7), VLOOKUP(0,setup!$A$8:$H$58,2),VLOOKUP(0,setup!$A$8:$H$58,5),VLOOKUP(N89,setup!$A$8:$H$58,8))</f>
        <v xml:space="preserve">   const DTO_DTESTAGIOTRANFBCO = 'dtEstagioTranfBco';</v>
      </c>
    </row>
    <row r="90" spans="1:15" x14ac:dyDescent="0.25">
      <c r="A90" s="29" t="s">
        <v>891</v>
      </c>
      <c r="N90">
        <f t="shared" si="2"/>
        <v>12</v>
      </c>
      <c r="O90" s="7" t="str">
        <f ca="1">getCodigoBackend(N90,A90,VLOOKUP(N90,setup!$A$8:$H$58,2),VLOOKUP(N90,setup!$A$8:$H$58,3),VLOOKUP(N90,setup!$A$8:$H$58,4),VLOOKUP(N90,setup!$A$8:$H$58,5),VLOOKUP(N90,setup!$A$8:$H$58,6),VLOOKUP(N90,setup!$A$8:$H$58,7), VLOOKUP(0,setup!$A$8:$H$58,2),VLOOKUP(0,setup!$A$8:$H$58,5),VLOOKUP(N90,setup!$A$8:$H$58,8))</f>
        <v xml:space="preserve">   const DTO_TXTLIVREESTAGIORT = 'txtLivreEstagioRT';</v>
      </c>
    </row>
    <row r="91" spans="1:15" x14ac:dyDescent="0.25">
      <c r="A91" s="29" t="s">
        <v>891</v>
      </c>
      <c r="N91">
        <f t="shared" si="2"/>
        <v>13</v>
      </c>
      <c r="O91" s="7" t="e">
        <f>getCodigoBackend(N91,A91,VLOOKUP(N91,setup!$A$8:$H$58,2),VLOOKUP(N91,setup!$A$8:$H$58,3),VLOOKUP(N91,setup!$A$8:$H$58,4),VLOOKUP(N91,setup!$A$8:$H$58,5),VLOOKUP(N91,setup!$A$8:$H$58,6),VLOOKUP(N91,setup!$A$8:$H$58,7), VLOOKUP(0,setup!$A$8:$H$58,2),VLOOKUP(0,setup!$A$8:$H$58,5),VLOOKUP(N91,setup!$A$8:$H$58,8))</f>
        <v>#VALUE!</v>
      </c>
    </row>
    <row r="92" spans="1:15" x14ac:dyDescent="0.25">
      <c r="A92" s="29" t="s">
        <v>891</v>
      </c>
      <c r="N92">
        <f t="shared" si="2"/>
        <v>14</v>
      </c>
      <c r="O92" s="7" t="e">
        <f>getCodigoBackend(N92,A92,VLOOKUP(N92,setup!$A$8:$H$58,2),VLOOKUP(N92,setup!$A$8:$H$58,3),VLOOKUP(N92,setup!$A$8:$H$58,4),VLOOKUP(N92,setup!$A$8:$H$58,5),VLOOKUP(N92,setup!$A$8:$H$58,6),VLOOKUP(N92,setup!$A$8:$H$58,7), VLOOKUP(0,setup!$A$8:$H$58,2),VLOOKUP(0,setup!$A$8:$H$58,5),VLOOKUP(N92,setup!$A$8:$H$58,8))</f>
        <v>#VALUE!</v>
      </c>
    </row>
    <row r="93" spans="1:15" x14ac:dyDescent="0.25">
      <c r="A93" s="29" t="s">
        <v>891</v>
      </c>
      <c r="N93">
        <f t="shared" si="2"/>
        <v>15</v>
      </c>
      <c r="O93" s="7" t="e">
        <f>getCodigoBackend(N93,A93,VLOOKUP(N93,setup!$A$8:$H$58,2),VLOOKUP(N93,setup!$A$8:$H$58,3),VLOOKUP(N93,setup!$A$8:$H$58,4),VLOOKUP(N93,setup!$A$8:$H$58,5),VLOOKUP(N93,setup!$A$8:$H$58,6),VLOOKUP(N93,setup!$A$8:$H$58,7), VLOOKUP(0,setup!$A$8:$H$58,2),VLOOKUP(0,setup!$A$8:$H$58,5),VLOOKUP(N93,setup!$A$8:$H$58,8))</f>
        <v>#VALUE!</v>
      </c>
    </row>
    <row r="94" spans="1:15" x14ac:dyDescent="0.25">
      <c r="A94" s="29" t="s">
        <v>891</v>
      </c>
      <c r="N94">
        <f t="shared" si="2"/>
        <v>16</v>
      </c>
      <c r="O94" s="7" t="e">
        <f>getCodigoBackend(N94,A94,VLOOKUP(N94,setup!$A$8:$H$58,2),VLOOKUP(N94,setup!$A$8:$H$58,3),VLOOKUP(N94,setup!$A$8:$H$58,4),VLOOKUP(N94,setup!$A$8:$H$58,5),VLOOKUP(N94,setup!$A$8:$H$58,6),VLOOKUP(N94,setup!$A$8:$H$58,7), VLOOKUP(0,setup!$A$8:$H$58,2),VLOOKUP(0,setup!$A$8:$H$58,5),VLOOKUP(N94,setup!$A$8:$H$58,8))</f>
        <v>#VALUE!</v>
      </c>
    </row>
    <row r="95" spans="1:15" x14ac:dyDescent="0.25">
      <c r="A95" s="29" t="s">
        <v>891</v>
      </c>
      <c r="N95">
        <f t="shared" si="2"/>
        <v>17</v>
      </c>
      <c r="O95" s="7" t="e">
        <f>getCodigoBackend(N95,A95,VLOOKUP(N95,setup!$A$8:$H$58,2),VLOOKUP(N95,setup!$A$8:$H$58,3),VLOOKUP(N95,setup!$A$8:$H$58,4),VLOOKUP(N95,setup!$A$8:$H$58,5),VLOOKUP(N95,setup!$A$8:$H$58,6),VLOOKUP(N95,setup!$A$8:$H$58,7), VLOOKUP(0,setup!$A$8:$H$58,2),VLOOKUP(0,setup!$A$8:$H$58,5),VLOOKUP(N95,setup!$A$8:$H$58,8))</f>
        <v>#VALUE!</v>
      </c>
    </row>
    <row r="96" spans="1:15" x14ac:dyDescent="0.25">
      <c r="A96" s="29" t="s">
        <v>891</v>
      </c>
      <c r="N96">
        <f t="shared" si="2"/>
        <v>18</v>
      </c>
      <c r="O96" s="7" t="e">
        <f>getCodigoBackend(N96,A96,VLOOKUP(N96,setup!$A$8:$H$58,2),VLOOKUP(N96,setup!$A$8:$H$58,3),VLOOKUP(N96,setup!$A$8:$H$58,4),VLOOKUP(N96,setup!$A$8:$H$58,5),VLOOKUP(N96,setup!$A$8:$H$58,6),VLOOKUP(N96,setup!$A$8:$H$58,7), VLOOKUP(0,setup!$A$8:$H$58,2),VLOOKUP(0,setup!$A$8:$H$58,5),VLOOKUP(N96,setup!$A$8:$H$58,8))</f>
        <v>#VALUE!</v>
      </c>
    </row>
    <row r="97" spans="1:15" x14ac:dyDescent="0.25">
      <c r="A97" s="29" t="s">
        <v>891</v>
      </c>
      <c r="N97">
        <f t="shared" si="2"/>
        <v>19</v>
      </c>
      <c r="O97" s="7" t="e">
        <f>getCodigoBackend(N97,A97,VLOOKUP(N97,setup!$A$8:$H$58,2),VLOOKUP(N97,setup!$A$8:$H$58,3),VLOOKUP(N97,setup!$A$8:$H$58,4),VLOOKUP(N97,setup!$A$8:$H$58,5),VLOOKUP(N97,setup!$A$8:$H$58,6),VLOOKUP(N97,setup!$A$8:$H$58,7), VLOOKUP(0,setup!$A$8:$H$58,2),VLOOKUP(0,setup!$A$8:$H$58,5),VLOOKUP(N97,setup!$A$8:$H$58,8))</f>
        <v>#VALUE!</v>
      </c>
    </row>
    <row r="98" spans="1:15" x14ac:dyDescent="0.25">
      <c r="A98" s="29" t="s">
        <v>891</v>
      </c>
      <c r="N98">
        <f t="shared" si="2"/>
        <v>20</v>
      </c>
      <c r="O98" s="7" t="e">
        <f>getCodigoBackend(N98,A98,VLOOKUP(N98,setup!$A$8:$H$58,2),VLOOKUP(N98,setup!$A$8:$H$58,3),VLOOKUP(N98,setup!$A$8:$H$58,4),VLOOKUP(N98,setup!$A$8:$H$58,5),VLOOKUP(N98,setup!$A$8:$H$58,6),VLOOKUP(N98,setup!$A$8:$H$58,7), VLOOKUP(0,setup!$A$8:$H$58,2),VLOOKUP(0,setup!$A$8:$H$58,5),VLOOKUP(N98,setup!$A$8:$H$58,8))</f>
        <v>#VALUE!</v>
      </c>
    </row>
    <row r="99" spans="1:15" x14ac:dyDescent="0.25">
      <c r="A99" s="29" t="s">
        <v>891</v>
      </c>
      <c r="N99">
        <f t="shared" si="2"/>
        <v>21</v>
      </c>
      <c r="O99" s="7" t="e">
        <f>getCodigoBackend(N99,A99,VLOOKUP(N99,setup!$A$8:$H$58,2),VLOOKUP(N99,setup!$A$8:$H$58,3),VLOOKUP(N99,setup!$A$8:$H$58,4),VLOOKUP(N99,setup!$A$8:$H$58,5),VLOOKUP(N99,setup!$A$8:$H$58,6),VLOOKUP(N99,setup!$A$8:$H$58,7), VLOOKUP(0,setup!$A$8:$H$58,2),VLOOKUP(0,setup!$A$8:$H$58,5),VLOOKUP(N99,setup!$A$8:$H$58,8))</f>
        <v>#VALUE!</v>
      </c>
    </row>
    <row r="100" spans="1:15" x14ac:dyDescent="0.25">
      <c r="A100" s="29" t="s">
        <v>891</v>
      </c>
      <c r="N100">
        <f t="shared" si="2"/>
        <v>22</v>
      </c>
      <c r="O100" s="7" t="e">
        <f>getCodigoBackend(N100,A100,VLOOKUP(N100,setup!$A$8:$H$58,2),VLOOKUP(N100,setup!$A$8:$H$58,3),VLOOKUP(N100,setup!$A$8:$H$58,4),VLOOKUP(N100,setup!$A$8:$H$58,5),VLOOKUP(N100,setup!$A$8:$H$58,6),VLOOKUP(N100,setup!$A$8:$H$58,7), VLOOKUP(0,setup!$A$8:$H$58,2),VLOOKUP(0,setup!$A$8:$H$58,5),VLOOKUP(N100,setup!$A$8:$H$58,8))</f>
        <v>#VALUE!</v>
      </c>
    </row>
    <row r="101" spans="1:15" x14ac:dyDescent="0.25">
      <c r="A101" s="29" t="s">
        <v>891</v>
      </c>
      <c r="N101">
        <f t="shared" si="2"/>
        <v>23</v>
      </c>
      <c r="O101" s="7" t="e">
        <f>getCodigoBackend(N101,A101,VLOOKUP(N101,setup!$A$8:$H$58,2),VLOOKUP(N101,setup!$A$8:$H$58,3),VLOOKUP(N101,setup!$A$8:$H$58,4),VLOOKUP(N101,setup!$A$8:$H$58,5),VLOOKUP(N101,setup!$A$8:$H$58,6),VLOOKUP(N101,setup!$A$8:$H$58,7), VLOOKUP(0,setup!$A$8:$H$58,2),VLOOKUP(0,setup!$A$8:$H$58,5),VLOOKUP(N101,setup!$A$8:$H$58,8))</f>
        <v>#VALUE!</v>
      </c>
    </row>
    <row r="102" spans="1:15" x14ac:dyDescent="0.25">
      <c r="A102" s="29" t="s">
        <v>891</v>
      </c>
      <c r="N102">
        <f t="shared" si="2"/>
        <v>24</v>
      </c>
      <c r="O102" s="7" t="e">
        <f>getCodigoBackend(N102,A102,VLOOKUP(N102,setup!$A$8:$H$58,2),VLOOKUP(N102,setup!$A$8:$H$58,3),VLOOKUP(N102,setup!$A$8:$H$58,4),VLOOKUP(N102,setup!$A$8:$H$58,5),VLOOKUP(N102,setup!$A$8:$H$58,6),VLOOKUP(N102,setup!$A$8:$H$58,7), VLOOKUP(0,setup!$A$8:$H$58,2),VLOOKUP(0,setup!$A$8:$H$58,5),VLOOKUP(N102,setup!$A$8:$H$58,8))</f>
        <v>#VALUE!</v>
      </c>
    </row>
    <row r="103" spans="1:15" x14ac:dyDescent="0.25">
      <c r="A103" s="29" t="s">
        <v>891</v>
      </c>
      <c r="N103">
        <f t="shared" si="2"/>
        <v>25</v>
      </c>
      <c r="O103" s="7" t="e">
        <f>getCodigoBackend(N103,A103,VLOOKUP(N103,setup!$A$8:$H$58,2),VLOOKUP(N103,setup!$A$8:$H$58,3),VLOOKUP(N103,setup!$A$8:$H$58,4),VLOOKUP(N103,setup!$A$8:$H$58,5),VLOOKUP(N103,setup!$A$8:$H$58,6),VLOOKUP(N103,setup!$A$8:$H$58,7), VLOOKUP(0,setup!$A$8:$H$58,2),VLOOKUP(0,setup!$A$8:$H$58,5),VLOOKUP(N103,setup!$A$8:$H$58,8))</f>
        <v>#VALUE!</v>
      </c>
    </row>
    <row r="104" spans="1:15" x14ac:dyDescent="0.25">
      <c r="A104" s="29" t="s">
        <v>891</v>
      </c>
      <c r="N104">
        <f t="shared" si="2"/>
        <v>26</v>
      </c>
      <c r="O104" s="7" t="e">
        <f>getCodigoBackend(N104,A104,VLOOKUP(N104,setup!$A$8:$H$58,2),VLOOKUP(N104,setup!$A$8:$H$58,3),VLOOKUP(N104,setup!$A$8:$H$58,4),VLOOKUP(N104,setup!$A$8:$H$58,5),VLOOKUP(N104,setup!$A$8:$H$58,6),VLOOKUP(N104,setup!$A$8:$H$58,7), VLOOKUP(0,setup!$A$8:$H$58,2),VLOOKUP(0,setup!$A$8:$H$58,5),VLOOKUP(N104,setup!$A$8:$H$58,8))</f>
        <v>#VALUE!</v>
      </c>
    </row>
    <row r="105" spans="1:15" x14ac:dyDescent="0.25">
      <c r="A105" s="29" t="s">
        <v>891</v>
      </c>
      <c r="N105">
        <f t="shared" si="2"/>
        <v>27</v>
      </c>
      <c r="O105" s="7" t="e">
        <f>getCodigoBackend(N105,A105,VLOOKUP(N105,setup!$A$8:$H$58,2),VLOOKUP(N105,setup!$A$8:$H$58,3),VLOOKUP(N105,setup!$A$8:$H$58,4),VLOOKUP(N105,setup!$A$8:$H$58,5),VLOOKUP(N105,setup!$A$8:$H$58,6),VLOOKUP(N105,setup!$A$8:$H$58,7), VLOOKUP(0,setup!$A$8:$H$58,2),VLOOKUP(0,setup!$A$8:$H$58,5),VLOOKUP(N105,setup!$A$8:$H$58,8))</f>
        <v>#VALUE!</v>
      </c>
    </row>
    <row r="106" spans="1:15" x14ac:dyDescent="0.25">
      <c r="A106" s="29" t="s">
        <v>891</v>
      </c>
      <c r="N106">
        <f t="shared" si="2"/>
        <v>28</v>
      </c>
      <c r="O106" s="7" t="e">
        <f>getCodigoBackend(N106,A106,VLOOKUP(N106,setup!$A$8:$H$58,2),VLOOKUP(N106,setup!$A$8:$H$58,3),VLOOKUP(N106,setup!$A$8:$H$58,4),VLOOKUP(N106,setup!$A$8:$H$58,5),VLOOKUP(N106,setup!$A$8:$H$58,6),VLOOKUP(N106,setup!$A$8:$H$58,7), VLOOKUP(0,setup!$A$8:$H$58,2),VLOOKUP(0,setup!$A$8:$H$58,5),VLOOKUP(N106,setup!$A$8:$H$58,8))</f>
        <v>#VALUE!</v>
      </c>
    </row>
    <row r="107" spans="1:15" x14ac:dyDescent="0.25">
      <c r="A107" s="29" t="s">
        <v>891</v>
      </c>
      <c r="N107">
        <f t="shared" si="2"/>
        <v>29</v>
      </c>
      <c r="O107" s="7" t="e">
        <f>getCodigoBackend(N107,A107,VLOOKUP(N107,setup!$A$8:$H$58,2),VLOOKUP(N107,setup!$A$8:$H$58,3),VLOOKUP(N107,setup!$A$8:$H$58,4),VLOOKUP(N107,setup!$A$8:$H$58,5),VLOOKUP(N107,setup!$A$8:$H$58,6),VLOOKUP(N107,setup!$A$8:$H$58,7), VLOOKUP(0,setup!$A$8:$H$58,2),VLOOKUP(0,setup!$A$8:$H$58,5),VLOOKUP(N107,setup!$A$8:$H$58,8))</f>
        <v>#VALUE!</v>
      </c>
    </row>
    <row r="108" spans="1:15" x14ac:dyDescent="0.25">
      <c r="A108" s="29" t="s">
        <v>891</v>
      </c>
      <c r="N108">
        <f t="shared" si="2"/>
        <v>30</v>
      </c>
      <c r="O108" s="7" t="e">
        <f>getCodigoBackend(N108,A108,VLOOKUP(N108,setup!$A$8:$H$58,2),VLOOKUP(N108,setup!$A$8:$H$58,3),VLOOKUP(N108,setup!$A$8:$H$58,4),VLOOKUP(N108,setup!$A$8:$H$58,5),VLOOKUP(N108,setup!$A$8:$H$58,6),VLOOKUP(N108,setup!$A$8:$H$58,7), VLOOKUP(0,setup!$A$8:$H$58,2),VLOOKUP(0,setup!$A$8:$H$58,5),VLOOKUP(N108,setup!$A$8:$H$58,8))</f>
        <v>#VALUE!</v>
      </c>
    </row>
    <row r="109" spans="1:15" x14ac:dyDescent="0.25">
      <c r="A109" s="29" t="s">
        <v>891</v>
      </c>
      <c r="N109">
        <f t="shared" si="2"/>
        <v>31</v>
      </c>
      <c r="O109" s="7" t="e">
        <f>getCodigoBackend(N109,A109,VLOOKUP(N109,setup!$A$8:$H$58,2),VLOOKUP(N109,setup!$A$8:$H$58,3),VLOOKUP(N109,setup!$A$8:$H$58,4),VLOOKUP(N109,setup!$A$8:$H$58,5),VLOOKUP(N109,setup!$A$8:$H$58,6),VLOOKUP(N109,setup!$A$8:$H$58,7), VLOOKUP(0,setup!$A$8:$H$58,2),VLOOKUP(0,setup!$A$8:$H$58,5),VLOOKUP(N109,setup!$A$8:$H$58,8))</f>
        <v>#VALUE!</v>
      </c>
    </row>
    <row r="110" spans="1:15" x14ac:dyDescent="0.25">
      <c r="A110" s="29" t="s">
        <v>891</v>
      </c>
      <c r="N110">
        <f t="shared" si="2"/>
        <v>32</v>
      </c>
      <c r="O110" s="7" t="e">
        <f>getCodigoBackend(N110,A110,VLOOKUP(N110,setup!$A$8:$H$58,2),VLOOKUP(N110,setup!$A$8:$H$58,3),VLOOKUP(N110,setup!$A$8:$H$58,4),VLOOKUP(N110,setup!$A$8:$H$58,5),VLOOKUP(N110,setup!$A$8:$H$58,6),VLOOKUP(N110,setup!$A$8:$H$58,7), VLOOKUP(0,setup!$A$8:$H$58,2),VLOOKUP(0,setup!$A$8:$H$58,5),VLOOKUP(N110,setup!$A$8:$H$58,8))</f>
        <v>#VALUE!</v>
      </c>
    </row>
    <row r="111" spans="1:15" x14ac:dyDescent="0.25">
      <c r="A111" s="29" t="s">
        <v>891</v>
      </c>
      <c r="N111">
        <f t="shared" si="2"/>
        <v>33</v>
      </c>
      <c r="O111" s="7" t="e">
        <f>getCodigoBackend(N111,A111,VLOOKUP(N111,setup!$A$8:$H$58,2),VLOOKUP(N111,setup!$A$8:$H$58,3),VLOOKUP(N111,setup!$A$8:$H$58,4),VLOOKUP(N111,setup!$A$8:$H$58,5),VLOOKUP(N111,setup!$A$8:$H$58,6),VLOOKUP(N111,setup!$A$8:$H$58,7), VLOOKUP(0,setup!$A$8:$H$58,2),VLOOKUP(0,setup!$A$8:$H$58,5),VLOOKUP(N111,setup!$A$8:$H$58,8))</f>
        <v>#VALUE!</v>
      </c>
    </row>
    <row r="112" spans="1:15" x14ac:dyDescent="0.25">
      <c r="A112" s="29" t="s">
        <v>891</v>
      </c>
      <c r="N112">
        <f t="shared" si="2"/>
        <v>34</v>
      </c>
      <c r="O112" s="7" t="e">
        <f>getCodigoBackend(N112,A112,VLOOKUP(N112,setup!$A$8:$H$58,2),VLOOKUP(N112,setup!$A$8:$H$58,3),VLOOKUP(N112,setup!$A$8:$H$58,4),VLOOKUP(N112,setup!$A$8:$H$58,5),VLOOKUP(N112,setup!$A$8:$H$58,6),VLOOKUP(N112,setup!$A$8:$H$58,7), VLOOKUP(0,setup!$A$8:$H$58,2),VLOOKUP(0,setup!$A$8:$H$58,5),VLOOKUP(N112,setup!$A$8:$H$58,8))</f>
        <v>#VALUE!</v>
      </c>
    </row>
    <row r="113" spans="1:15" x14ac:dyDescent="0.25">
      <c r="A113" s="29" t="s">
        <v>891</v>
      </c>
      <c r="N113">
        <f t="shared" si="2"/>
        <v>35</v>
      </c>
      <c r="O113" s="7" t="e">
        <f>getCodigoBackend(N113,A113,VLOOKUP(N113,setup!$A$8:$H$58,2),VLOOKUP(N113,setup!$A$8:$H$58,3),VLOOKUP(N113,setup!$A$8:$H$58,4),VLOOKUP(N113,setup!$A$8:$H$58,5),VLOOKUP(N113,setup!$A$8:$H$58,6),VLOOKUP(N113,setup!$A$8:$H$58,7), VLOOKUP(0,setup!$A$8:$H$58,2),VLOOKUP(0,setup!$A$8:$H$58,5),VLOOKUP(N113,setup!$A$8:$H$58,8))</f>
        <v>#VALUE!</v>
      </c>
    </row>
    <row r="114" spans="1:15" x14ac:dyDescent="0.25">
      <c r="A114" s="29" t="s">
        <v>891</v>
      </c>
      <c r="N114">
        <f t="shared" si="2"/>
        <v>36</v>
      </c>
      <c r="O114" s="7" t="e">
        <f>getCodigoBackend(N114,A114,VLOOKUP(N114,setup!$A$8:$H$58,2),VLOOKUP(N114,setup!$A$8:$H$58,3),VLOOKUP(N114,setup!$A$8:$H$58,4),VLOOKUP(N114,setup!$A$8:$H$58,5),VLOOKUP(N114,setup!$A$8:$H$58,6),VLOOKUP(N114,setup!$A$8:$H$58,7), VLOOKUP(0,setup!$A$8:$H$58,2),VLOOKUP(0,setup!$A$8:$H$58,5),VLOOKUP(N114,setup!$A$8:$H$58,8))</f>
        <v>#VALUE!</v>
      </c>
    </row>
    <row r="115" spans="1:15" x14ac:dyDescent="0.25">
      <c r="A115" s="29" t="s">
        <v>891</v>
      </c>
      <c r="N115">
        <f t="shared" si="2"/>
        <v>37</v>
      </c>
      <c r="O115" s="7" t="e">
        <f>getCodigoBackend(N115,A115,VLOOKUP(N115,setup!$A$8:$H$58,2),VLOOKUP(N115,setup!$A$8:$H$58,3),VLOOKUP(N115,setup!$A$8:$H$58,4),VLOOKUP(N115,setup!$A$8:$H$58,5),VLOOKUP(N115,setup!$A$8:$H$58,6),VLOOKUP(N115,setup!$A$8:$H$58,7), VLOOKUP(0,setup!$A$8:$H$58,2),VLOOKUP(0,setup!$A$8:$H$58,5),VLOOKUP(N115,setup!$A$8:$H$58,8))</f>
        <v>#VALUE!</v>
      </c>
    </row>
    <row r="116" spans="1:15" x14ac:dyDescent="0.25">
      <c r="A116" s="29" t="s">
        <v>891</v>
      </c>
      <c r="N116">
        <f t="shared" si="2"/>
        <v>38</v>
      </c>
      <c r="O116" s="7" t="e">
        <f>getCodigoBackend(N116,A116,VLOOKUP(N116,setup!$A$8:$H$58,2),VLOOKUP(N116,setup!$A$8:$H$58,3),VLOOKUP(N116,setup!$A$8:$H$58,4),VLOOKUP(N116,setup!$A$8:$H$58,5),VLOOKUP(N116,setup!$A$8:$H$58,6),VLOOKUP(N116,setup!$A$8:$H$58,7), VLOOKUP(0,setup!$A$8:$H$58,2),VLOOKUP(0,setup!$A$8:$H$58,5),VLOOKUP(N116,setup!$A$8:$H$58,8))</f>
        <v>#VALUE!</v>
      </c>
    </row>
    <row r="117" spans="1:15" x14ac:dyDescent="0.25">
      <c r="A117" s="29" t="s">
        <v>891</v>
      </c>
      <c r="N117">
        <f t="shared" si="2"/>
        <v>39</v>
      </c>
      <c r="O117" s="7" t="e">
        <f>getCodigoBackend(N117,A117,VLOOKUP(N117,setup!$A$8:$H$58,2),VLOOKUP(N117,setup!$A$8:$H$58,3),VLOOKUP(N117,setup!$A$8:$H$58,4),VLOOKUP(N117,setup!$A$8:$H$58,5),VLOOKUP(N117,setup!$A$8:$H$58,6),VLOOKUP(N117,setup!$A$8:$H$58,7), VLOOKUP(0,setup!$A$8:$H$58,2),VLOOKUP(0,setup!$A$8:$H$58,5),VLOOKUP(N117,setup!$A$8:$H$58,8))</f>
        <v>#VALUE!</v>
      </c>
    </row>
    <row r="118" spans="1:15" x14ac:dyDescent="0.25">
      <c r="A118" s="29" t="s">
        <v>891</v>
      </c>
      <c r="N118">
        <f t="shared" si="2"/>
        <v>40</v>
      </c>
      <c r="O118" s="7" t="e">
        <f>getCodigoBackend(N118,A118,VLOOKUP(N118,setup!$A$8:$H$58,2),VLOOKUP(N118,setup!$A$8:$H$58,3),VLOOKUP(N118,setup!$A$8:$H$58,4),VLOOKUP(N118,setup!$A$8:$H$58,5),VLOOKUP(N118,setup!$A$8:$H$58,6),VLOOKUP(N118,setup!$A$8:$H$58,7), VLOOKUP(0,setup!$A$8:$H$58,2),VLOOKUP(0,setup!$A$8:$H$58,5),VLOOKUP(N118,setup!$A$8:$H$58,8))</f>
        <v>#VALUE!</v>
      </c>
    </row>
    <row r="119" spans="1:15" x14ac:dyDescent="0.25">
      <c r="A119" s="29" t="s">
        <v>891</v>
      </c>
      <c r="N119">
        <f t="shared" si="2"/>
        <v>41</v>
      </c>
      <c r="O119" s="7" t="e">
        <f>getCodigoBackend(N119,A119,VLOOKUP(N119,setup!$A$8:$H$58,2),VLOOKUP(N119,setup!$A$8:$H$58,3),VLOOKUP(N119,setup!$A$8:$H$58,4),VLOOKUP(N119,setup!$A$8:$H$58,5),VLOOKUP(N119,setup!$A$8:$H$58,6),VLOOKUP(N119,setup!$A$8:$H$58,7), VLOOKUP(0,setup!$A$8:$H$58,2),VLOOKUP(0,setup!$A$8:$H$58,5),VLOOKUP(N119,setup!$A$8:$H$58,8))</f>
        <v>#VALUE!</v>
      </c>
    </row>
    <row r="120" spans="1:15" x14ac:dyDescent="0.25">
      <c r="A120" s="29" t="s">
        <v>891</v>
      </c>
      <c r="N120">
        <f t="shared" si="2"/>
        <v>42</v>
      </c>
      <c r="O120" s="7" t="e">
        <f>getCodigoBackend(N120,A120,VLOOKUP(N120,setup!$A$8:$H$58,2),VLOOKUP(N120,setup!$A$8:$H$58,3),VLOOKUP(N120,setup!$A$8:$H$58,4),VLOOKUP(N120,setup!$A$8:$H$58,5),VLOOKUP(N120,setup!$A$8:$H$58,6),VLOOKUP(N120,setup!$A$8:$H$58,7), VLOOKUP(0,setup!$A$8:$H$58,2),VLOOKUP(0,setup!$A$8:$H$58,5),VLOOKUP(N120,setup!$A$8:$H$58,8))</f>
        <v>#VALUE!</v>
      </c>
    </row>
    <row r="121" spans="1:15" x14ac:dyDescent="0.25">
      <c r="A121" s="29" t="s">
        <v>891</v>
      </c>
      <c r="N121">
        <f t="shared" si="2"/>
        <v>43</v>
      </c>
      <c r="O121" s="7" t="e">
        <f>getCodigoBackend(N121,A121,VLOOKUP(N121,setup!$A$8:$H$58,2),VLOOKUP(N121,setup!$A$8:$H$58,3),VLOOKUP(N121,setup!$A$8:$H$58,4),VLOOKUP(N121,setup!$A$8:$H$58,5),VLOOKUP(N121,setup!$A$8:$H$58,6),VLOOKUP(N121,setup!$A$8:$H$58,7), VLOOKUP(0,setup!$A$8:$H$58,2),VLOOKUP(0,setup!$A$8:$H$58,5),VLOOKUP(N121,setup!$A$8:$H$58,8))</f>
        <v>#VALUE!</v>
      </c>
    </row>
    <row r="122" spans="1:15" x14ac:dyDescent="0.25">
      <c r="A122" s="29" t="s">
        <v>891</v>
      </c>
      <c r="N122">
        <f t="shared" si="2"/>
        <v>44</v>
      </c>
      <c r="O122" s="7" t="e">
        <f>getCodigoBackend(N122,A122,VLOOKUP(N122,setup!$A$8:$H$58,2),VLOOKUP(N122,setup!$A$8:$H$58,3),VLOOKUP(N122,setup!$A$8:$H$58,4),VLOOKUP(N122,setup!$A$8:$H$58,5),VLOOKUP(N122,setup!$A$8:$H$58,6),VLOOKUP(N122,setup!$A$8:$H$58,7), VLOOKUP(0,setup!$A$8:$H$58,2),VLOOKUP(0,setup!$A$8:$H$58,5),VLOOKUP(N122,setup!$A$8:$H$58,8))</f>
        <v>#VALUE!</v>
      </c>
    </row>
    <row r="123" spans="1:15" x14ac:dyDescent="0.25">
      <c r="A123" s="29" t="s">
        <v>891</v>
      </c>
      <c r="N123">
        <f t="shared" si="2"/>
        <v>45</v>
      </c>
      <c r="O123" s="7" t="e">
        <f>getCodigoBackend(N123,A123,VLOOKUP(N123,setup!$A$8:$H$58,2),VLOOKUP(N123,setup!$A$8:$H$58,3),VLOOKUP(N123,setup!$A$8:$H$58,4),VLOOKUP(N123,setup!$A$8:$H$58,5),VLOOKUP(N123,setup!$A$8:$H$58,6),VLOOKUP(N123,setup!$A$8:$H$58,7), VLOOKUP(0,setup!$A$8:$H$58,2),VLOOKUP(0,setup!$A$8:$H$58,5),VLOOKUP(N123,setup!$A$8:$H$58,8))</f>
        <v>#VALUE!</v>
      </c>
    </row>
    <row r="124" spans="1:15" x14ac:dyDescent="0.25">
      <c r="A124" s="29" t="s">
        <v>891</v>
      </c>
      <c r="N124">
        <f t="shared" si="2"/>
        <v>46</v>
      </c>
      <c r="O124" s="7" t="e">
        <f>getCodigoBackend(N124,A124,VLOOKUP(N124,setup!$A$8:$H$58,2),VLOOKUP(N124,setup!$A$8:$H$58,3),VLOOKUP(N124,setup!$A$8:$H$58,4),VLOOKUP(N124,setup!$A$8:$H$58,5),VLOOKUP(N124,setup!$A$8:$H$58,6),VLOOKUP(N124,setup!$A$8:$H$58,7), VLOOKUP(0,setup!$A$8:$H$58,2),VLOOKUP(0,setup!$A$8:$H$58,5),VLOOKUP(N124,setup!$A$8:$H$58,8))</f>
        <v>#VALUE!</v>
      </c>
    </row>
    <row r="125" spans="1:15" x14ac:dyDescent="0.25">
      <c r="A125" s="29" t="s">
        <v>891</v>
      </c>
      <c r="N125">
        <f t="shared" si="2"/>
        <v>47</v>
      </c>
      <c r="O125" s="7" t="e">
        <f>getCodigoBackend(N125,A125,VLOOKUP(N125,setup!$A$8:$H$58,2),VLOOKUP(N125,setup!$A$8:$H$58,3),VLOOKUP(N125,setup!$A$8:$H$58,4),VLOOKUP(N125,setup!$A$8:$H$58,5),VLOOKUP(N125,setup!$A$8:$H$58,6),VLOOKUP(N125,setup!$A$8:$H$58,7), VLOOKUP(0,setup!$A$8:$H$58,2),VLOOKUP(0,setup!$A$8:$H$58,5),VLOOKUP(N125,setup!$A$8:$H$58,8))</f>
        <v>#VALUE!</v>
      </c>
    </row>
    <row r="126" spans="1:15" x14ac:dyDescent="0.25">
      <c r="A126" s="29" t="s">
        <v>891</v>
      </c>
      <c r="N126">
        <f t="shared" si="2"/>
        <v>48</v>
      </c>
      <c r="O126" s="7" t="str">
        <f ca="1">getCodigoBackend(N126,A126,VLOOKUP(N126,setup!$A$8:$H$58,2),VLOOKUP(N126,setup!$A$8:$H$58,3),VLOOKUP(N126,setup!$A$8:$H$58,4),VLOOKUP(N126,setup!$A$8:$H$58,5),VLOOKUP(N126,setup!$A$8:$H$58,6),VLOOKUP(N126,setup!$A$8:$H$58,7), VLOOKUP(0,setup!$A$8:$H$58,2),VLOOKUP(0,setup!$A$8:$H$58,5),VLOOKUP(N126,setup!$A$8:$H$58,8))</f>
        <v xml:space="preserve">   const DTO_STATUS = 'status';</v>
      </c>
    </row>
    <row r="127" spans="1:15" x14ac:dyDescent="0.25">
      <c r="A127" s="29" t="s">
        <v>891</v>
      </c>
      <c r="N127">
        <f t="shared" si="2"/>
        <v>49</v>
      </c>
      <c r="O127" s="7" t="str">
        <f ca="1">getCodigoBackend(N127,A127,VLOOKUP(N127,setup!$A$8:$H$58,2),VLOOKUP(N127,setup!$A$8:$H$58,3),VLOOKUP(N127,setup!$A$8:$H$58,4),VLOOKUP(N127,setup!$A$8:$H$58,5),VLOOKUP(N127,setup!$A$8:$H$58,6),VLOOKUP(N127,setup!$A$8:$H$58,7), VLOOKUP(0,setup!$A$8:$H$58,2),VLOOKUP(0,setup!$A$8:$H$58,5),VLOOKUP(N127,setup!$A$8:$H$58,8))</f>
        <v xml:space="preserve">   const DTO_DATACADASTRO = 'dataCadastro';</v>
      </c>
    </row>
    <row r="128" spans="1:15" x14ac:dyDescent="0.25">
      <c r="A128" s="29" t="s">
        <v>891</v>
      </c>
      <c r="N128">
        <f t="shared" si="2"/>
        <v>50</v>
      </c>
      <c r="O128" s="7" t="str">
        <f ca="1">getCodigoBackend(N128,A128,VLOOKUP(N128,setup!$A$8:$H$58,2),VLOOKUP(N128,setup!$A$8:$H$58,3),VLOOKUP(N128,setup!$A$8:$H$58,4),VLOOKUP(N128,setup!$A$8:$H$58,5),VLOOKUP(N128,setup!$A$8:$H$58,6),VLOOKUP(N128,setup!$A$8:$H$58,7), VLOOKUP(0,setup!$A$8:$H$58,2),VLOOKUP(0,setup!$A$8:$H$58,5),VLOOKUP(N128,setup!$A$8:$H$58,8))</f>
        <v xml:space="preserve">   const DTO_DATAATUALIZACAO = 'dataAtualizacao';</v>
      </c>
    </row>
    <row r="129" spans="1:15" x14ac:dyDescent="0.25">
      <c r="A129" s="29"/>
      <c r="O129" s="7" t="str">
        <f ca="1">getCodigoBackend(N129,A129,VLOOKUP(N129,setup!$A$8:$H$58,2),VLOOKUP(N129,setup!$A$8:$H$58,3),VLOOKUP(N129,setup!$A$8:$H$58,4),VLOOKUP(N129,setup!$A$8:$H$58,5),VLOOKUP(N129,setup!$A$8:$H$58,6),VLOOKUP(N129,setup!$A$8:$H$58,7), VLOOKUP(0,setup!$A$8:$H$58,2),VLOOKUP(0,setup!$A$8:$H$58,5),VLOOKUP(N129,setup!$A$8:$H$58,8))</f>
        <v/>
      </c>
    </row>
    <row r="130" spans="1:15" x14ac:dyDescent="0.25">
      <c r="A130" s="29" t="s">
        <v>917</v>
      </c>
      <c r="O130" s="7" t="str">
        <f ca="1">getCodigoBackend(N130,A130,VLOOKUP(N130,setup!$A$8:$H$58,2),VLOOKUP(N130,setup!$A$8:$H$58,3),VLOOKUP(N130,setup!$A$8:$H$58,4),VLOOKUP(N130,setup!$A$8:$H$58,5),VLOOKUP(N130,setup!$A$8:$H$58,6),VLOOKUP(N130,setup!$A$8:$H$58,7), VLOOKUP(0,setup!$A$8:$H$58,2),VLOOKUP(0,setup!$A$8:$H$58,5),VLOOKUP(N130,setup!$A$8:$H$58,8))</f>
        <v xml:space="preserve">   /* definição de tamanhos para os campos */</v>
      </c>
    </row>
    <row r="131" spans="1:15" x14ac:dyDescent="0.25">
      <c r="A131" s="29" t="s">
        <v>916</v>
      </c>
      <c r="N131">
        <v>0</v>
      </c>
      <c r="O131" s="7" t="str">
        <f ca="1">getCodigoBackend(N131,A131,VLOOKUP(N131,setup!$A$8:$H$58,2),VLOOKUP(N131,setup!$A$8:$H$58,3),VLOOKUP(N131,setup!$A$8:$H$58,4),VLOOKUP(N131,setup!$A$8:$H$58,5),VLOOKUP(N131,setup!$A$8:$H$58,6),VLOOKUP(N131,setup!$A$8:$H$58,7), VLOOKUP(0,setup!$A$8:$H$58,2),VLOOKUP(0,setup!$A$8:$H$58,5),VLOOKUP(N131,setup!$A$8:$H$58,8))</f>
        <v xml:space="preserve">   const LEN_ID = 11;</v>
      </c>
    </row>
    <row r="132" spans="1:15" x14ac:dyDescent="0.25">
      <c r="A132" s="29" t="s">
        <v>916</v>
      </c>
      <c r="N132">
        <f>N131+1</f>
        <v>1</v>
      </c>
      <c r="O132" s="7" t="str">
        <f ca="1">getCodigoBackend(N132,A132,VLOOKUP(N132,setup!$A$8:$H$58,2),VLOOKUP(N132,setup!$A$8:$H$58,3),VLOOKUP(N132,setup!$A$8:$H$58,4),VLOOKUP(N132,setup!$A$8:$H$58,5),VLOOKUP(N132,setup!$A$8:$H$58,6),VLOOKUP(N132,setup!$A$8:$H$58,7), VLOOKUP(0,setup!$A$8:$H$58,2),VLOOKUP(0,setup!$A$8:$H$58,5),VLOOKUP(N132,setup!$A$8:$H$58,8))</f>
        <v xml:space="preserve">   const LEN_IDCAMPANHACASHBACK = 11;</v>
      </c>
    </row>
    <row r="133" spans="1:15" x14ac:dyDescent="0.25">
      <c r="A133" s="29" t="s">
        <v>916</v>
      </c>
      <c r="N133">
        <f t="shared" ref="N133:N181" si="3">N132+1</f>
        <v>2</v>
      </c>
      <c r="O133" s="7" t="str">
        <f ca="1">getCodigoBackend(N133,A133,VLOOKUP(N133,setup!$A$8:$H$58,2),VLOOKUP(N133,setup!$A$8:$H$58,3),VLOOKUP(N133,setup!$A$8:$H$58,4),VLOOKUP(N133,setup!$A$8:$H$58,5),VLOOKUP(N133,setup!$A$8:$H$58,6),VLOOKUP(N133,setup!$A$8:$H$58,7), VLOOKUP(0,setup!$A$8:$H$58,2),VLOOKUP(0,setup!$A$8:$H$58,5),VLOOKUP(N133,setup!$A$8:$H$58,8))</f>
        <v xml:space="preserve">   const LEN_IDUSUARIOSOLICITANTE = 11;</v>
      </c>
    </row>
    <row r="134" spans="1:15" x14ac:dyDescent="0.25">
      <c r="A134" s="29" t="s">
        <v>916</v>
      </c>
      <c r="N134">
        <f t="shared" si="3"/>
        <v>3</v>
      </c>
      <c r="O134" s="7" t="str">
        <f ca="1">getCodigoBackend(N134,A134,VLOOKUP(N134,setup!$A$8:$H$58,2),VLOOKUP(N134,setup!$A$8:$H$58,3),VLOOKUP(N134,setup!$A$8:$H$58,4),VLOOKUP(N134,setup!$A$8:$H$58,5),VLOOKUP(N134,setup!$A$8:$H$58,6),VLOOKUP(N134,setup!$A$8:$H$58,7), VLOOKUP(0,setup!$A$8:$H$58,2),VLOOKUP(0,setup!$A$8:$H$58,5),VLOOKUP(N134,setup!$A$8:$H$58,8))</f>
        <v xml:space="preserve">   const LEN_TIPOCHAVEPIX = 1;</v>
      </c>
    </row>
    <row r="135" spans="1:15" x14ac:dyDescent="0.25">
      <c r="A135" s="29" t="s">
        <v>916</v>
      </c>
      <c r="N135">
        <f t="shared" si="3"/>
        <v>4</v>
      </c>
      <c r="O135" s="7" t="str">
        <f ca="1">getCodigoBackend(N135,A135,VLOOKUP(N135,setup!$A$8:$H$58,2),VLOOKUP(N135,setup!$A$8:$H$58,3),VLOOKUP(N135,setup!$A$8:$H$58,4),VLOOKUP(N135,setup!$A$8:$H$58,5),VLOOKUP(N135,setup!$A$8:$H$58,6),VLOOKUP(N135,setup!$A$8:$H$58,7), VLOOKUP(0,setup!$A$8:$H$58,2),VLOOKUP(0,setup!$A$8:$H$58,5),VLOOKUP(N135,setup!$A$8:$H$58,8))</f>
        <v xml:space="preserve">   const LEN_CHAVEPIX = 100;</v>
      </c>
    </row>
    <row r="136" spans="1:15" x14ac:dyDescent="0.25">
      <c r="A136" s="29" t="s">
        <v>916</v>
      </c>
      <c r="N136">
        <f t="shared" si="3"/>
        <v>5</v>
      </c>
      <c r="O136" s="7" t="str">
        <f ca="1">getCodigoBackend(N136,A136,VLOOKUP(N136,setup!$A$8:$H$58,2),VLOOKUP(N136,setup!$A$8:$H$58,3),VLOOKUP(N136,setup!$A$8:$H$58,4),VLOOKUP(N136,setup!$A$8:$H$58,5),VLOOKUP(N136,setup!$A$8:$H$58,6),VLOOKUP(N136,setup!$A$8:$H$58,7), VLOOKUP(0,setup!$A$8:$H$58,2),VLOOKUP(0,setup!$A$8:$H$58,5),VLOOKUP(N136,setup!$A$8:$H$58,8))</f>
        <v xml:space="preserve">   const LEN_VALORRESGATE = 11;</v>
      </c>
    </row>
    <row r="137" spans="1:15" x14ac:dyDescent="0.25">
      <c r="A137" s="29" t="s">
        <v>916</v>
      </c>
      <c r="N137">
        <f t="shared" si="3"/>
        <v>6</v>
      </c>
      <c r="O137" s="7" t="str">
        <f ca="1">getCodigoBackend(N137,A137,VLOOKUP(N137,setup!$A$8:$H$58,2),VLOOKUP(N137,setup!$A$8:$H$58,3),VLOOKUP(N137,setup!$A$8:$H$58,4),VLOOKUP(N137,setup!$A$8:$H$58,5),VLOOKUP(N137,setup!$A$8:$H$58,6),VLOOKUP(N137,setup!$A$8:$H$58,7), VLOOKUP(0,setup!$A$8:$H$58,2),VLOOKUP(0,setup!$A$8:$H$58,5),VLOOKUP(N137,setup!$A$8:$H$58,8))</f>
        <v xml:space="preserve">   const LEN_AUTENTICACAOBCO = 200;</v>
      </c>
    </row>
    <row r="138" spans="1:15" x14ac:dyDescent="0.25">
      <c r="A138" s="29" t="s">
        <v>916</v>
      </c>
      <c r="N138">
        <f t="shared" si="3"/>
        <v>7</v>
      </c>
      <c r="O138" s="7" t="str">
        <f ca="1">getCodigoBackend(N138,A138,VLOOKUP(N138,setup!$A$8:$H$58,2),VLOOKUP(N138,setup!$A$8:$H$58,3),VLOOKUP(N138,setup!$A$8:$H$58,4),VLOOKUP(N138,setup!$A$8:$H$58,5),VLOOKUP(N138,setup!$A$8:$H$58,6),VLOOKUP(N138,setup!$A$8:$H$58,7), VLOOKUP(0,setup!$A$8:$H$58,2),VLOOKUP(0,setup!$A$8:$H$58,5),VLOOKUP(N138,setup!$A$8:$H$58,8))</f>
        <v xml:space="preserve">   const LEN_ESTAGIOREALTIME = 1;</v>
      </c>
    </row>
    <row r="139" spans="1:15" x14ac:dyDescent="0.25">
      <c r="A139" s="29" t="s">
        <v>916</v>
      </c>
      <c r="N139">
        <f t="shared" si="3"/>
        <v>8</v>
      </c>
      <c r="O139" s="7" t="str">
        <f ca="1">getCodigoBackend(N139,A139,VLOOKUP(N139,setup!$A$8:$H$58,2),VLOOKUP(N139,setup!$A$8:$H$58,3),VLOOKUP(N139,setup!$A$8:$H$58,4),VLOOKUP(N139,setup!$A$8:$H$58,5),VLOOKUP(N139,setup!$A$8:$H$58,6),VLOOKUP(N139,setup!$A$8:$H$58,7), VLOOKUP(0,setup!$A$8:$H$58,2),VLOOKUP(0,setup!$A$8:$H$58,5),VLOOKUP(N139,setup!$A$8:$H$58,8))</f>
        <v xml:space="preserve">   const LEN_DTESTAGIOANALISE = 19;</v>
      </c>
    </row>
    <row r="140" spans="1:15" x14ac:dyDescent="0.25">
      <c r="A140" s="29" t="s">
        <v>916</v>
      </c>
      <c r="N140">
        <f t="shared" si="3"/>
        <v>9</v>
      </c>
      <c r="O140" s="7" t="str">
        <f ca="1">getCodigoBackend(N140,A140,VLOOKUP(N140,setup!$A$8:$H$58,2),VLOOKUP(N140,setup!$A$8:$H$58,3),VLOOKUP(N140,setup!$A$8:$H$58,4),VLOOKUP(N140,setup!$A$8:$H$58,5),VLOOKUP(N140,setup!$A$8:$H$58,6),VLOOKUP(N140,setup!$A$8:$H$58,7), VLOOKUP(0,setup!$A$8:$H$58,2),VLOOKUP(0,setup!$A$8:$H$58,5),VLOOKUP(N140,setup!$A$8:$H$58,8))</f>
        <v xml:space="preserve">   const LEN_DTESTAGIOFINANCEIRO = 19;</v>
      </c>
    </row>
    <row r="141" spans="1:15" x14ac:dyDescent="0.25">
      <c r="A141" s="29" t="s">
        <v>916</v>
      </c>
      <c r="N141">
        <f t="shared" si="3"/>
        <v>10</v>
      </c>
      <c r="O141" s="7" t="str">
        <f ca="1">getCodigoBackend(N141,A141,VLOOKUP(N141,setup!$A$8:$H$58,2),VLOOKUP(N141,setup!$A$8:$H$58,3),VLOOKUP(N141,setup!$A$8:$H$58,4),VLOOKUP(N141,setup!$A$8:$H$58,5),VLOOKUP(N141,setup!$A$8:$H$58,6),VLOOKUP(N141,setup!$A$8:$H$58,7), VLOOKUP(0,setup!$A$8:$H$58,2),VLOOKUP(0,setup!$A$8:$H$58,5),VLOOKUP(N141,setup!$A$8:$H$58,8))</f>
        <v xml:space="preserve">   const LEN_DTESTAGIOERRO = 19;</v>
      </c>
    </row>
    <row r="142" spans="1:15" x14ac:dyDescent="0.25">
      <c r="A142" s="29" t="s">
        <v>916</v>
      </c>
      <c r="N142">
        <f t="shared" si="3"/>
        <v>11</v>
      </c>
      <c r="O142" s="7" t="str">
        <f ca="1">getCodigoBackend(N142,A142,VLOOKUP(N142,setup!$A$8:$H$58,2),VLOOKUP(N142,setup!$A$8:$H$58,3),VLOOKUP(N142,setup!$A$8:$H$58,4),VLOOKUP(N142,setup!$A$8:$H$58,5),VLOOKUP(N142,setup!$A$8:$H$58,6),VLOOKUP(N142,setup!$A$8:$H$58,7), VLOOKUP(0,setup!$A$8:$H$58,2),VLOOKUP(0,setup!$A$8:$H$58,5),VLOOKUP(N142,setup!$A$8:$H$58,8))</f>
        <v xml:space="preserve">   const LEN_DTESTAGIOTRANFBCO = 19;</v>
      </c>
    </row>
    <row r="143" spans="1:15" x14ac:dyDescent="0.25">
      <c r="A143" s="29" t="s">
        <v>916</v>
      </c>
      <c r="N143">
        <f t="shared" si="3"/>
        <v>12</v>
      </c>
      <c r="O143" s="7" t="str">
        <f ca="1">getCodigoBackend(N143,A143,VLOOKUP(N143,setup!$A$8:$H$58,2),VLOOKUP(N143,setup!$A$8:$H$58,3),VLOOKUP(N143,setup!$A$8:$H$58,4),VLOOKUP(N143,setup!$A$8:$H$58,5),VLOOKUP(N143,setup!$A$8:$H$58,6),VLOOKUP(N143,setup!$A$8:$H$58,7), VLOOKUP(0,setup!$A$8:$H$58,2),VLOOKUP(0,setup!$A$8:$H$58,5),VLOOKUP(N143,setup!$A$8:$H$58,8))</f>
        <v xml:space="preserve">   const LEN_TXTLIVREESTAGIORT = 2000;</v>
      </c>
    </row>
    <row r="144" spans="1:15" x14ac:dyDescent="0.25">
      <c r="A144" s="29" t="s">
        <v>916</v>
      </c>
      <c r="N144">
        <f t="shared" si="3"/>
        <v>13</v>
      </c>
      <c r="O144" s="7" t="e">
        <f>getCodigoBackend(N144,A144,VLOOKUP(N144,setup!$A$8:$H$58,2),VLOOKUP(N144,setup!$A$8:$H$58,3),VLOOKUP(N144,setup!$A$8:$H$58,4),VLOOKUP(N144,setup!$A$8:$H$58,5),VLOOKUP(N144,setup!$A$8:$H$58,6),VLOOKUP(N144,setup!$A$8:$H$58,7), VLOOKUP(0,setup!$A$8:$H$58,2),VLOOKUP(0,setup!$A$8:$H$58,5),VLOOKUP(N144,setup!$A$8:$H$58,8))</f>
        <v>#VALUE!</v>
      </c>
    </row>
    <row r="145" spans="1:15" x14ac:dyDescent="0.25">
      <c r="A145" s="29" t="s">
        <v>916</v>
      </c>
      <c r="N145">
        <f t="shared" si="3"/>
        <v>14</v>
      </c>
      <c r="O145" s="7" t="e">
        <f>getCodigoBackend(N145,A145,VLOOKUP(N145,setup!$A$8:$H$58,2),VLOOKUP(N145,setup!$A$8:$H$58,3),VLOOKUP(N145,setup!$A$8:$H$58,4),VLOOKUP(N145,setup!$A$8:$H$58,5),VLOOKUP(N145,setup!$A$8:$H$58,6),VLOOKUP(N145,setup!$A$8:$H$58,7), VLOOKUP(0,setup!$A$8:$H$58,2),VLOOKUP(0,setup!$A$8:$H$58,5),VLOOKUP(N145,setup!$A$8:$H$58,8))</f>
        <v>#VALUE!</v>
      </c>
    </row>
    <row r="146" spans="1:15" x14ac:dyDescent="0.25">
      <c r="A146" s="29" t="s">
        <v>916</v>
      </c>
      <c r="N146">
        <f t="shared" si="3"/>
        <v>15</v>
      </c>
      <c r="O146" s="7" t="e">
        <f>getCodigoBackend(N146,A146,VLOOKUP(N146,setup!$A$8:$H$58,2),VLOOKUP(N146,setup!$A$8:$H$58,3),VLOOKUP(N146,setup!$A$8:$H$58,4),VLOOKUP(N146,setup!$A$8:$H$58,5),VLOOKUP(N146,setup!$A$8:$H$58,6),VLOOKUP(N146,setup!$A$8:$H$58,7), VLOOKUP(0,setup!$A$8:$H$58,2),VLOOKUP(0,setup!$A$8:$H$58,5),VLOOKUP(N146,setup!$A$8:$H$58,8))</f>
        <v>#VALUE!</v>
      </c>
    </row>
    <row r="147" spans="1:15" x14ac:dyDescent="0.25">
      <c r="A147" s="29" t="s">
        <v>916</v>
      </c>
      <c r="N147">
        <f t="shared" si="3"/>
        <v>16</v>
      </c>
      <c r="O147" s="7" t="e">
        <f>getCodigoBackend(N147,A147,VLOOKUP(N147,setup!$A$8:$H$58,2),VLOOKUP(N147,setup!$A$8:$H$58,3),VLOOKUP(N147,setup!$A$8:$H$58,4),VLOOKUP(N147,setup!$A$8:$H$58,5),VLOOKUP(N147,setup!$A$8:$H$58,6),VLOOKUP(N147,setup!$A$8:$H$58,7), VLOOKUP(0,setup!$A$8:$H$58,2),VLOOKUP(0,setup!$A$8:$H$58,5),VLOOKUP(N147,setup!$A$8:$H$58,8))</f>
        <v>#VALUE!</v>
      </c>
    </row>
    <row r="148" spans="1:15" x14ac:dyDescent="0.25">
      <c r="A148" s="29" t="s">
        <v>916</v>
      </c>
      <c r="N148">
        <f t="shared" si="3"/>
        <v>17</v>
      </c>
      <c r="O148" s="7" t="e">
        <f>getCodigoBackend(N148,A148,VLOOKUP(N148,setup!$A$8:$H$58,2),VLOOKUP(N148,setup!$A$8:$H$58,3),VLOOKUP(N148,setup!$A$8:$H$58,4),VLOOKUP(N148,setup!$A$8:$H$58,5),VLOOKUP(N148,setup!$A$8:$H$58,6),VLOOKUP(N148,setup!$A$8:$H$58,7), VLOOKUP(0,setup!$A$8:$H$58,2),VLOOKUP(0,setup!$A$8:$H$58,5),VLOOKUP(N148,setup!$A$8:$H$58,8))</f>
        <v>#VALUE!</v>
      </c>
    </row>
    <row r="149" spans="1:15" x14ac:dyDescent="0.25">
      <c r="A149" s="29" t="s">
        <v>916</v>
      </c>
      <c r="N149">
        <f t="shared" si="3"/>
        <v>18</v>
      </c>
      <c r="O149" s="7" t="e">
        <f>getCodigoBackend(N149,A149,VLOOKUP(N149,setup!$A$8:$H$58,2),VLOOKUP(N149,setup!$A$8:$H$58,3),VLOOKUP(N149,setup!$A$8:$H$58,4),VLOOKUP(N149,setup!$A$8:$H$58,5),VLOOKUP(N149,setup!$A$8:$H$58,6),VLOOKUP(N149,setup!$A$8:$H$58,7), VLOOKUP(0,setup!$A$8:$H$58,2),VLOOKUP(0,setup!$A$8:$H$58,5),VLOOKUP(N149,setup!$A$8:$H$58,8))</f>
        <v>#VALUE!</v>
      </c>
    </row>
    <row r="150" spans="1:15" x14ac:dyDescent="0.25">
      <c r="A150" s="29" t="s">
        <v>916</v>
      </c>
      <c r="N150">
        <f t="shared" si="3"/>
        <v>19</v>
      </c>
      <c r="O150" s="7" t="e">
        <f>getCodigoBackend(N150,A150,VLOOKUP(N150,setup!$A$8:$H$58,2),VLOOKUP(N150,setup!$A$8:$H$58,3),VLOOKUP(N150,setup!$A$8:$H$58,4),VLOOKUP(N150,setup!$A$8:$H$58,5),VLOOKUP(N150,setup!$A$8:$H$58,6),VLOOKUP(N150,setup!$A$8:$H$58,7), VLOOKUP(0,setup!$A$8:$H$58,2),VLOOKUP(0,setup!$A$8:$H$58,5),VLOOKUP(N150,setup!$A$8:$H$58,8))</f>
        <v>#VALUE!</v>
      </c>
    </row>
    <row r="151" spans="1:15" x14ac:dyDescent="0.25">
      <c r="A151" s="29" t="s">
        <v>916</v>
      </c>
      <c r="N151">
        <f t="shared" si="3"/>
        <v>20</v>
      </c>
      <c r="O151" s="7" t="e">
        <f>getCodigoBackend(N151,A151,VLOOKUP(N151,setup!$A$8:$H$58,2),VLOOKUP(N151,setup!$A$8:$H$58,3),VLOOKUP(N151,setup!$A$8:$H$58,4),VLOOKUP(N151,setup!$A$8:$H$58,5),VLOOKUP(N151,setup!$A$8:$H$58,6),VLOOKUP(N151,setup!$A$8:$H$58,7), VLOOKUP(0,setup!$A$8:$H$58,2),VLOOKUP(0,setup!$A$8:$H$58,5),VLOOKUP(N151,setup!$A$8:$H$58,8))</f>
        <v>#VALUE!</v>
      </c>
    </row>
    <row r="152" spans="1:15" x14ac:dyDescent="0.25">
      <c r="A152" s="29" t="s">
        <v>916</v>
      </c>
      <c r="N152">
        <f t="shared" si="3"/>
        <v>21</v>
      </c>
      <c r="O152" s="7" t="e">
        <f>getCodigoBackend(N152,A152,VLOOKUP(N152,setup!$A$8:$H$58,2),VLOOKUP(N152,setup!$A$8:$H$58,3),VLOOKUP(N152,setup!$A$8:$H$58,4),VLOOKUP(N152,setup!$A$8:$H$58,5),VLOOKUP(N152,setup!$A$8:$H$58,6),VLOOKUP(N152,setup!$A$8:$H$58,7), VLOOKUP(0,setup!$A$8:$H$58,2),VLOOKUP(0,setup!$A$8:$H$58,5),VLOOKUP(N152,setup!$A$8:$H$58,8))</f>
        <v>#VALUE!</v>
      </c>
    </row>
    <row r="153" spans="1:15" x14ac:dyDescent="0.25">
      <c r="A153" s="29" t="s">
        <v>916</v>
      </c>
      <c r="N153">
        <f t="shared" si="3"/>
        <v>22</v>
      </c>
      <c r="O153" s="7" t="e">
        <f>getCodigoBackend(N153,A153,VLOOKUP(N153,setup!$A$8:$H$58,2),VLOOKUP(N153,setup!$A$8:$H$58,3),VLOOKUP(N153,setup!$A$8:$H$58,4),VLOOKUP(N153,setup!$A$8:$H$58,5),VLOOKUP(N153,setup!$A$8:$H$58,6),VLOOKUP(N153,setup!$A$8:$H$58,7), VLOOKUP(0,setup!$A$8:$H$58,2),VLOOKUP(0,setup!$A$8:$H$58,5),VLOOKUP(N153,setup!$A$8:$H$58,8))</f>
        <v>#VALUE!</v>
      </c>
    </row>
    <row r="154" spans="1:15" x14ac:dyDescent="0.25">
      <c r="A154" s="29" t="s">
        <v>916</v>
      </c>
      <c r="N154">
        <f t="shared" si="3"/>
        <v>23</v>
      </c>
      <c r="O154" s="7" t="e">
        <f>getCodigoBackend(N154,A154,VLOOKUP(N154,setup!$A$8:$H$58,2),VLOOKUP(N154,setup!$A$8:$H$58,3),VLOOKUP(N154,setup!$A$8:$H$58,4),VLOOKUP(N154,setup!$A$8:$H$58,5),VLOOKUP(N154,setup!$A$8:$H$58,6),VLOOKUP(N154,setup!$A$8:$H$58,7), VLOOKUP(0,setup!$A$8:$H$58,2),VLOOKUP(0,setup!$A$8:$H$58,5),VLOOKUP(N154,setup!$A$8:$H$58,8))</f>
        <v>#VALUE!</v>
      </c>
    </row>
    <row r="155" spans="1:15" x14ac:dyDescent="0.25">
      <c r="A155" s="29" t="s">
        <v>916</v>
      </c>
      <c r="N155">
        <f t="shared" si="3"/>
        <v>24</v>
      </c>
      <c r="O155" s="7" t="e">
        <f>getCodigoBackend(N155,A155,VLOOKUP(N155,setup!$A$8:$H$58,2),VLOOKUP(N155,setup!$A$8:$H$58,3),VLOOKUP(N155,setup!$A$8:$H$58,4),VLOOKUP(N155,setup!$A$8:$H$58,5),VLOOKUP(N155,setup!$A$8:$H$58,6),VLOOKUP(N155,setup!$A$8:$H$58,7), VLOOKUP(0,setup!$A$8:$H$58,2),VLOOKUP(0,setup!$A$8:$H$58,5),VLOOKUP(N155,setup!$A$8:$H$58,8))</f>
        <v>#VALUE!</v>
      </c>
    </row>
    <row r="156" spans="1:15" x14ac:dyDescent="0.25">
      <c r="A156" s="29" t="s">
        <v>916</v>
      </c>
      <c r="N156">
        <f t="shared" si="3"/>
        <v>25</v>
      </c>
      <c r="O156" s="7" t="e">
        <f>getCodigoBackend(N156,A156,VLOOKUP(N156,setup!$A$8:$H$58,2),VLOOKUP(N156,setup!$A$8:$H$58,3),VLOOKUP(N156,setup!$A$8:$H$58,4),VLOOKUP(N156,setup!$A$8:$H$58,5),VLOOKUP(N156,setup!$A$8:$H$58,6),VLOOKUP(N156,setup!$A$8:$H$58,7), VLOOKUP(0,setup!$A$8:$H$58,2),VLOOKUP(0,setup!$A$8:$H$58,5),VLOOKUP(N156,setup!$A$8:$H$58,8))</f>
        <v>#VALUE!</v>
      </c>
    </row>
    <row r="157" spans="1:15" x14ac:dyDescent="0.25">
      <c r="A157" s="29" t="s">
        <v>916</v>
      </c>
      <c r="N157">
        <f t="shared" si="3"/>
        <v>26</v>
      </c>
      <c r="O157" s="7" t="e">
        <f>getCodigoBackend(N157,A157,VLOOKUP(N157,setup!$A$8:$H$58,2),VLOOKUP(N157,setup!$A$8:$H$58,3),VLOOKUP(N157,setup!$A$8:$H$58,4),VLOOKUP(N157,setup!$A$8:$H$58,5),VLOOKUP(N157,setup!$A$8:$H$58,6),VLOOKUP(N157,setup!$A$8:$H$58,7), VLOOKUP(0,setup!$A$8:$H$58,2),VLOOKUP(0,setup!$A$8:$H$58,5),VLOOKUP(N157,setup!$A$8:$H$58,8))</f>
        <v>#VALUE!</v>
      </c>
    </row>
    <row r="158" spans="1:15" x14ac:dyDescent="0.25">
      <c r="A158" s="29" t="s">
        <v>916</v>
      </c>
      <c r="N158">
        <f t="shared" si="3"/>
        <v>27</v>
      </c>
      <c r="O158" s="7" t="e">
        <f>getCodigoBackend(N158,A158,VLOOKUP(N158,setup!$A$8:$H$58,2),VLOOKUP(N158,setup!$A$8:$H$58,3),VLOOKUP(N158,setup!$A$8:$H$58,4),VLOOKUP(N158,setup!$A$8:$H$58,5),VLOOKUP(N158,setup!$A$8:$H$58,6),VLOOKUP(N158,setup!$A$8:$H$58,7), VLOOKUP(0,setup!$A$8:$H$58,2),VLOOKUP(0,setup!$A$8:$H$58,5),VLOOKUP(N158,setup!$A$8:$H$58,8))</f>
        <v>#VALUE!</v>
      </c>
    </row>
    <row r="159" spans="1:15" x14ac:dyDescent="0.25">
      <c r="A159" s="29" t="s">
        <v>916</v>
      </c>
      <c r="N159">
        <f t="shared" si="3"/>
        <v>28</v>
      </c>
      <c r="O159" s="7" t="e">
        <f>getCodigoBackend(N159,A159,VLOOKUP(N159,setup!$A$8:$H$58,2),VLOOKUP(N159,setup!$A$8:$H$58,3),VLOOKUP(N159,setup!$A$8:$H$58,4),VLOOKUP(N159,setup!$A$8:$H$58,5),VLOOKUP(N159,setup!$A$8:$H$58,6),VLOOKUP(N159,setup!$A$8:$H$58,7), VLOOKUP(0,setup!$A$8:$H$58,2),VLOOKUP(0,setup!$A$8:$H$58,5),VLOOKUP(N159,setup!$A$8:$H$58,8))</f>
        <v>#VALUE!</v>
      </c>
    </row>
    <row r="160" spans="1:15" x14ac:dyDescent="0.25">
      <c r="A160" s="29" t="s">
        <v>916</v>
      </c>
      <c r="N160">
        <f t="shared" si="3"/>
        <v>29</v>
      </c>
      <c r="O160" s="7" t="e">
        <f>getCodigoBackend(N160,A160,VLOOKUP(N160,setup!$A$8:$H$58,2),VLOOKUP(N160,setup!$A$8:$H$58,3),VLOOKUP(N160,setup!$A$8:$H$58,4),VLOOKUP(N160,setup!$A$8:$H$58,5),VLOOKUP(N160,setup!$A$8:$H$58,6),VLOOKUP(N160,setup!$A$8:$H$58,7), VLOOKUP(0,setup!$A$8:$H$58,2),VLOOKUP(0,setup!$A$8:$H$58,5),VLOOKUP(N160,setup!$A$8:$H$58,8))</f>
        <v>#VALUE!</v>
      </c>
    </row>
    <row r="161" spans="1:15" x14ac:dyDescent="0.25">
      <c r="A161" s="29" t="s">
        <v>916</v>
      </c>
      <c r="N161">
        <f t="shared" si="3"/>
        <v>30</v>
      </c>
      <c r="O161" s="7" t="e">
        <f>getCodigoBackend(N161,A161,VLOOKUP(N161,setup!$A$8:$H$58,2),VLOOKUP(N161,setup!$A$8:$H$58,3),VLOOKUP(N161,setup!$A$8:$H$58,4),VLOOKUP(N161,setup!$A$8:$H$58,5),VLOOKUP(N161,setup!$A$8:$H$58,6),VLOOKUP(N161,setup!$A$8:$H$58,7), VLOOKUP(0,setup!$A$8:$H$58,2),VLOOKUP(0,setup!$A$8:$H$58,5),VLOOKUP(N161,setup!$A$8:$H$58,8))</f>
        <v>#VALUE!</v>
      </c>
    </row>
    <row r="162" spans="1:15" x14ac:dyDescent="0.25">
      <c r="A162" s="29" t="s">
        <v>916</v>
      </c>
      <c r="N162">
        <f t="shared" si="3"/>
        <v>31</v>
      </c>
      <c r="O162" s="7" t="e">
        <f>getCodigoBackend(N162,A162,VLOOKUP(N162,setup!$A$8:$H$58,2),VLOOKUP(N162,setup!$A$8:$H$58,3),VLOOKUP(N162,setup!$A$8:$H$58,4),VLOOKUP(N162,setup!$A$8:$H$58,5),VLOOKUP(N162,setup!$A$8:$H$58,6),VLOOKUP(N162,setup!$A$8:$H$58,7), VLOOKUP(0,setup!$A$8:$H$58,2),VLOOKUP(0,setup!$A$8:$H$58,5),VLOOKUP(N162,setup!$A$8:$H$58,8))</f>
        <v>#VALUE!</v>
      </c>
    </row>
    <row r="163" spans="1:15" x14ac:dyDescent="0.25">
      <c r="A163" s="29" t="s">
        <v>916</v>
      </c>
      <c r="N163">
        <f t="shared" si="3"/>
        <v>32</v>
      </c>
      <c r="O163" s="7" t="e">
        <f>getCodigoBackend(N163,A163,VLOOKUP(N163,setup!$A$8:$H$58,2),VLOOKUP(N163,setup!$A$8:$H$58,3),VLOOKUP(N163,setup!$A$8:$H$58,4),VLOOKUP(N163,setup!$A$8:$H$58,5),VLOOKUP(N163,setup!$A$8:$H$58,6),VLOOKUP(N163,setup!$A$8:$H$58,7), VLOOKUP(0,setup!$A$8:$H$58,2),VLOOKUP(0,setup!$A$8:$H$58,5),VLOOKUP(N163,setup!$A$8:$H$58,8))</f>
        <v>#VALUE!</v>
      </c>
    </row>
    <row r="164" spans="1:15" x14ac:dyDescent="0.25">
      <c r="A164" s="29" t="s">
        <v>916</v>
      </c>
      <c r="N164">
        <f t="shared" si="3"/>
        <v>33</v>
      </c>
      <c r="O164" s="7" t="e">
        <f>getCodigoBackend(N164,A164,VLOOKUP(N164,setup!$A$8:$H$58,2),VLOOKUP(N164,setup!$A$8:$H$58,3),VLOOKUP(N164,setup!$A$8:$H$58,4),VLOOKUP(N164,setup!$A$8:$H$58,5),VLOOKUP(N164,setup!$A$8:$H$58,6),VLOOKUP(N164,setup!$A$8:$H$58,7), VLOOKUP(0,setup!$A$8:$H$58,2),VLOOKUP(0,setup!$A$8:$H$58,5),VLOOKUP(N164,setup!$A$8:$H$58,8))</f>
        <v>#VALUE!</v>
      </c>
    </row>
    <row r="165" spans="1:15" x14ac:dyDescent="0.25">
      <c r="A165" s="29" t="s">
        <v>916</v>
      </c>
      <c r="N165">
        <f t="shared" si="3"/>
        <v>34</v>
      </c>
      <c r="O165" s="7" t="e">
        <f>getCodigoBackend(N165,A165,VLOOKUP(N165,setup!$A$8:$H$58,2),VLOOKUP(N165,setup!$A$8:$H$58,3),VLOOKUP(N165,setup!$A$8:$H$58,4),VLOOKUP(N165,setup!$A$8:$H$58,5),VLOOKUP(N165,setup!$A$8:$H$58,6),VLOOKUP(N165,setup!$A$8:$H$58,7), VLOOKUP(0,setup!$A$8:$H$58,2),VLOOKUP(0,setup!$A$8:$H$58,5),VLOOKUP(N165,setup!$A$8:$H$58,8))</f>
        <v>#VALUE!</v>
      </c>
    </row>
    <row r="166" spans="1:15" x14ac:dyDescent="0.25">
      <c r="A166" s="29" t="s">
        <v>916</v>
      </c>
      <c r="N166">
        <f t="shared" si="3"/>
        <v>35</v>
      </c>
      <c r="O166" s="7" t="e">
        <f>getCodigoBackend(N166,A166,VLOOKUP(N166,setup!$A$8:$H$58,2),VLOOKUP(N166,setup!$A$8:$H$58,3),VLOOKUP(N166,setup!$A$8:$H$58,4),VLOOKUP(N166,setup!$A$8:$H$58,5),VLOOKUP(N166,setup!$A$8:$H$58,6),VLOOKUP(N166,setup!$A$8:$H$58,7), VLOOKUP(0,setup!$A$8:$H$58,2),VLOOKUP(0,setup!$A$8:$H$58,5),VLOOKUP(N166,setup!$A$8:$H$58,8))</f>
        <v>#VALUE!</v>
      </c>
    </row>
    <row r="167" spans="1:15" x14ac:dyDescent="0.25">
      <c r="A167" s="29" t="s">
        <v>916</v>
      </c>
      <c r="N167">
        <f t="shared" si="3"/>
        <v>36</v>
      </c>
      <c r="O167" s="7" t="e">
        <f>getCodigoBackend(N167,A167,VLOOKUP(N167,setup!$A$8:$H$58,2),VLOOKUP(N167,setup!$A$8:$H$58,3),VLOOKUP(N167,setup!$A$8:$H$58,4),VLOOKUP(N167,setup!$A$8:$H$58,5),VLOOKUP(N167,setup!$A$8:$H$58,6),VLOOKUP(N167,setup!$A$8:$H$58,7), VLOOKUP(0,setup!$A$8:$H$58,2),VLOOKUP(0,setup!$A$8:$H$58,5),VLOOKUP(N167,setup!$A$8:$H$58,8))</f>
        <v>#VALUE!</v>
      </c>
    </row>
    <row r="168" spans="1:15" x14ac:dyDescent="0.25">
      <c r="A168" s="29" t="s">
        <v>916</v>
      </c>
      <c r="N168">
        <f t="shared" si="3"/>
        <v>37</v>
      </c>
      <c r="O168" s="7" t="e">
        <f>getCodigoBackend(N168,A168,VLOOKUP(N168,setup!$A$8:$H$58,2),VLOOKUP(N168,setup!$A$8:$H$58,3),VLOOKUP(N168,setup!$A$8:$H$58,4),VLOOKUP(N168,setup!$A$8:$H$58,5),VLOOKUP(N168,setup!$A$8:$H$58,6),VLOOKUP(N168,setup!$A$8:$H$58,7), VLOOKUP(0,setup!$A$8:$H$58,2),VLOOKUP(0,setup!$A$8:$H$58,5),VLOOKUP(N168,setup!$A$8:$H$58,8))</f>
        <v>#VALUE!</v>
      </c>
    </row>
    <row r="169" spans="1:15" x14ac:dyDescent="0.25">
      <c r="A169" s="29" t="s">
        <v>916</v>
      </c>
      <c r="N169">
        <f t="shared" si="3"/>
        <v>38</v>
      </c>
      <c r="O169" s="7" t="e">
        <f>getCodigoBackend(N169,A169,VLOOKUP(N169,setup!$A$8:$H$58,2),VLOOKUP(N169,setup!$A$8:$H$58,3),VLOOKUP(N169,setup!$A$8:$H$58,4),VLOOKUP(N169,setup!$A$8:$H$58,5),VLOOKUP(N169,setup!$A$8:$H$58,6),VLOOKUP(N169,setup!$A$8:$H$58,7), VLOOKUP(0,setup!$A$8:$H$58,2),VLOOKUP(0,setup!$A$8:$H$58,5),VLOOKUP(N169,setup!$A$8:$H$58,8))</f>
        <v>#VALUE!</v>
      </c>
    </row>
    <row r="170" spans="1:15" x14ac:dyDescent="0.25">
      <c r="A170" s="29" t="s">
        <v>916</v>
      </c>
      <c r="N170">
        <f t="shared" si="3"/>
        <v>39</v>
      </c>
      <c r="O170" s="7" t="e">
        <f>getCodigoBackend(N170,A170,VLOOKUP(N170,setup!$A$8:$H$58,2),VLOOKUP(N170,setup!$A$8:$H$58,3),VLOOKUP(N170,setup!$A$8:$H$58,4),VLOOKUP(N170,setup!$A$8:$H$58,5),VLOOKUP(N170,setup!$A$8:$H$58,6),VLOOKUP(N170,setup!$A$8:$H$58,7), VLOOKUP(0,setup!$A$8:$H$58,2),VLOOKUP(0,setup!$A$8:$H$58,5),VLOOKUP(N170,setup!$A$8:$H$58,8))</f>
        <v>#VALUE!</v>
      </c>
    </row>
    <row r="171" spans="1:15" x14ac:dyDescent="0.25">
      <c r="A171" s="29" t="s">
        <v>916</v>
      </c>
      <c r="N171">
        <f t="shared" si="3"/>
        <v>40</v>
      </c>
      <c r="O171" s="7" t="e">
        <f>getCodigoBackend(N171,A171,VLOOKUP(N171,setup!$A$8:$H$58,2),VLOOKUP(N171,setup!$A$8:$H$58,3),VLOOKUP(N171,setup!$A$8:$H$58,4),VLOOKUP(N171,setup!$A$8:$H$58,5),VLOOKUP(N171,setup!$A$8:$H$58,6),VLOOKUP(N171,setup!$A$8:$H$58,7), VLOOKUP(0,setup!$A$8:$H$58,2),VLOOKUP(0,setup!$A$8:$H$58,5),VLOOKUP(N171,setup!$A$8:$H$58,8))</f>
        <v>#VALUE!</v>
      </c>
    </row>
    <row r="172" spans="1:15" x14ac:dyDescent="0.25">
      <c r="A172" s="29" t="s">
        <v>916</v>
      </c>
      <c r="N172">
        <f t="shared" si="3"/>
        <v>41</v>
      </c>
      <c r="O172" s="7" t="e">
        <f>getCodigoBackend(N172,A172,VLOOKUP(N172,setup!$A$8:$H$58,2),VLOOKUP(N172,setup!$A$8:$H$58,3),VLOOKUP(N172,setup!$A$8:$H$58,4),VLOOKUP(N172,setup!$A$8:$H$58,5),VLOOKUP(N172,setup!$A$8:$H$58,6),VLOOKUP(N172,setup!$A$8:$H$58,7), VLOOKUP(0,setup!$A$8:$H$58,2),VLOOKUP(0,setup!$A$8:$H$58,5),VLOOKUP(N172,setup!$A$8:$H$58,8))</f>
        <v>#VALUE!</v>
      </c>
    </row>
    <row r="173" spans="1:15" x14ac:dyDescent="0.25">
      <c r="A173" s="29" t="s">
        <v>916</v>
      </c>
      <c r="N173">
        <f t="shared" si="3"/>
        <v>42</v>
      </c>
      <c r="O173" s="7" t="e">
        <f>getCodigoBackend(N173,A173,VLOOKUP(N173,setup!$A$8:$H$58,2),VLOOKUP(N173,setup!$A$8:$H$58,3),VLOOKUP(N173,setup!$A$8:$H$58,4),VLOOKUP(N173,setup!$A$8:$H$58,5),VLOOKUP(N173,setup!$A$8:$H$58,6),VLOOKUP(N173,setup!$A$8:$H$58,7), VLOOKUP(0,setup!$A$8:$H$58,2),VLOOKUP(0,setup!$A$8:$H$58,5),VLOOKUP(N173,setup!$A$8:$H$58,8))</f>
        <v>#VALUE!</v>
      </c>
    </row>
    <row r="174" spans="1:15" x14ac:dyDescent="0.25">
      <c r="A174" s="29" t="s">
        <v>916</v>
      </c>
      <c r="N174">
        <f t="shared" si="3"/>
        <v>43</v>
      </c>
      <c r="O174" s="7" t="e">
        <f>getCodigoBackend(N174,A174,VLOOKUP(N174,setup!$A$8:$H$58,2),VLOOKUP(N174,setup!$A$8:$H$58,3),VLOOKUP(N174,setup!$A$8:$H$58,4),VLOOKUP(N174,setup!$A$8:$H$58,5),VLOOKUP(N174,setup!$A$8:$H$58,6),VLOOKUP(N174,setup!$A$8:$H$58,7), VLOOKUP(0,setup!$A$8:$H$58,2),VLOOKUP(0,setup!$A$8:$H$58,5),VLOOKUP(N174,setup!$A$8:$H$58,8))</f>
        <v>#VALUE!</v>
      </c>
    </row>
    <row r="175" spans="1:15" x14ac:dyDescent="0.25">
      <c r="A175" s="29" t="s">
        <v>916</v>
      </c>
      <c r="N175">
        <f t="shared" si="3"/>
        <v>44</v>
      </c>
      <c r="O175" s="7" t="e">
        <f>getCodigoBackend(N175,A175,VLOOKUP(N175,setup!$A$8:$H$58,2),VLOOKUP(N175,setup!$A$8:$H$58,3),VLOOKUP(N175,setup!$A$8:$H$58,4),VLOOKUP(N175,setup!$A$8:$H$58,5),VLOOKUP(N175,setup!$A$8:$H$58,6),VLOOKUP(N175,setup!$A$8:$H$58,7), VLOOKUP(0,setup!$A$8:$H$58,2),VLOOKUP(0,setup!$A$8:$H$58,5),VLOOKUP(N175,setup!$A$8:$H$58,8))</f>
        <v>#VALUE!</v>
      </c>
    </row>
    <row r="176" spans="1:15" x14ac:dyDescent="0.25">
      <c r="A176" s="29" t="s">
        <v>916</v>
      </c>
      <c r="N176">
        <f t="shared" si="3"/>
        <v>45</v>
      </c>
      <c r="O176" s="7" t="e">
        <f>getCodigoBackend(N176,A176,VLOOKUP(N176,setup!$A$8:$H$58,2),VLOOKUP(N176,setup!$A$8:$H$58,3),VLOOKUP(N176,setup!$A$8:$H$58,4),VLOOKUP(N176,setup!$A$8:$H$58,5),VLOOKUP(N176,setup!$A$8:$H$58,6),VLOOKUP(N176,setup!$A$8:$H$58,7), VLOOKUP(0,setup!$A$8:$H$58,2),VLOOKUP(0,setup!$A$8:$H$58,5),VLOOKUP(N176,setup!$A$8:$H$58,8))</f>
        <v>#VALUE!</v>
      </c>
    </row>
    <row r="177" spans="1:15" x14ac:dyDescent="0.25">
      <c r="A177" s="29" t="s">
        <v>916</v>
      </c>
      <c r="N177">
        <f t="shared" si="3"/>
        <v>46</v>
      </c>
      <c r="O177" s="7" t="e">
        <f>getCodigoBackend(N177,A177,VLOOKUP(N177,setup!$A$8:$H$58,2),VLOOKUP(N177,setup!$A$8:$H$58,3),VLOOKUP(N177,setup!$A$8:$H$58,4),VLOOKUP(N177,setup!$A$8:$H$58,5),VLOOKUP(N177,setup!$A$8:$H$58,6),VLOOKUP(N177,setup!$A$8:$H$58,7), VLOOKUP(0,setup!$A$8:$H$58,2),VLOOKUP(0,setup!$A$8:$H$58,5),VLOOKUP(N177,setup!$A$8:$H$58,8))</f>
        <v>#VALUE!</v>
      </c>
    </row>
    <row r="178" spans="1:15" x14ac:dyDescent="0.25">
      <c r="A178" s="29" t="s">
        <v>916</v>
      </c>
      <c r="N178">
        <f t="shared" si="3"/>
        <v>47</v>
      </c>
      <c r="O178" s="7" t="e">
        <f>getCodigoBackend(N178,A178,VLOOKUP(N178,setup!$A$8:$H$58,2),VLOOKUP(N178,setup!$A$8:$H$58,3),VLOOKUP(N178,setup!$A$8:$H$58,4),VLOOKUP(N178,setup!$A$8:$H$58,5),VLOOKUP(N178,setup!$A$8:$H$58,6),VLOOKUP(N178,setup!$A$8:$H$58,7), VLOOKUP(0,setup!$A$8:$H$58,2),VLOOKUP(0,setup!$A$8:$H$58,5),VLOOKUP(N178,setup!$A$8:$H$58,8))</f>
        <v>#VALUE!</v>
      </c>
    </row>
    <row r="179" spans="1:15" x14ac:dyDescent="0.25">
      <c r="A179" s="29" t="s">
        <v>916</v>
      </c>
      <c r="N179">
        <f t="shared" si="3"/>
        <v>48</v>
      </c>
      <c r="O179" s="7" t="str">
        <f ca="1">getCodigoBackend(N179,A179,VLOOKUP(N179,setup!$A$8:$H$58,2),VLOOKUP(N179,setup!$A$8:$H$58,3),VLOOKUP(N179,setup!$A$8:$H$58,4),VLOOKUP(N179,setup!$A$8:$H$58,5),VLOOKUP(N179,setup!$A$8:$H$58,6),VLOOKUP(N179,setup!$A$8:$H$58,7), VLOOKUP(0,setup!$A$8:$H$58,2),VLOOKUP(0,setup!$A$8:$H$58,5),VLOOKUP(N179,setup!$A$8:$H$58,8))</f>
        <v xml:space="preserve">   const LEN_STATUS = 1;</v>
      </c>
    </row>
    <row r="180" spans="1:15" x14ac:dyDescent="0.25">
      <c r="A180" s="29" t="s">
        <v>916</v>
      </c>
      <c r="N180">
        <f t="shared" si="3"/>
        <v>49</v>
      </c>
      <c r="O180" s="7" t="str">
        <f ca="1">getCodigoBackend(N180,A180,VLOOKUP(N180,setup!$A$8:$H$58,2),VLOOKUP(N180,setup!$A$8:$H$58,3),VLOOKUP(N180,setup!$A$8:$H$58,4),VLOOKUP(N180,setup!$A$8:$H$58,5),VLOOKUP(N180,setup!$A$8:$H$58,6),VLOOKUP(N180,setup!$A$8:$H$58,7), VLOOKUP(0,setup!$A$8:$H$58,2),VLOOKUP(0,setup!$A$8:$H$58,5),VLOOKUP(N180,setup!$A$8:$H$58,8))</f>
        <v xml:space="preserve">   const LEN_DATACADASTRO = 19;</v>
      </c>
    </row>
    <row r="181" spans="1:15" x14ac:dyDescent="0.25">
      <c r="A181" s="29" t="s">
        <v>916</v>
      </c>
      <c r="N181">
        <f t="shared" si="3"/>
        <v>50</v>
      </c>
      <c r="O181" s="7" t="str">
        <f ca="1">getCodigoBackend(N181,A181,VLOOKUP(N181,setup!$A$8:$H$58,2),VLOOKUP(N181,setup!$A$8:$H$58,3),VLOOKUP(N181,setup!$A$8:$H$58,4),VLOOKUP(N181,setup!$A$8:$H$58,5),VLOOKUP(N181,setup!$A$8:$H$58,6),VLOOKUP(N181,setup!$A$8:$H$58,7), VLOOKUP(0,setup!$A$8:$H$58,2),VLOOKUP(0,setup!$A$8:$H$58,5),VLOOKUP(N181,setup!$A$8:$H$58,8))</f>
        <v xml:space="preserve">   const LEN_DATAATUALIZACAO = 19;</v>
      </c>
    </row>
    <row r="182" spans="1:15" x14ac:dyDescent="0.25">
      <c r="A182" s="29"/>
      <c r="O182" s="7" t="str">
        <f ca="1">getCodigoBackend(N182,A182,VLOOKUP(N182,setup!$A$8:$H$58,2),VLOOKUP(N182,setup!$A$8:$H$58,3),VLOOKUP(N182,setup!$A$8:$H$58,4),VLOOKUP(N182,setup!$A$8:$H$58,5),VLOOKUP(N182,setup!$A$8:$H$58,6),VLOOKUP(N182,setup!$A$8:$H$58,7), VLOOKUP(0,setup!$A$8:$H$58,2),VLOOKUP(0,setup!$A$8:$H$58,5),VLOOKUP(N182,setup!$A$8:$H$58,8))</f>
        <v/>
      </c>
    </row>
    <row r="183" spans="1:15" x14ac:dyDescent="0.25">
      <c r="A183" s="29" t="s">
        <v>917</v>
      </c>
      <c r="O183" s="7" t="str">
        <f ca="1">getCodigoBackend(N183,A183,VLOOKUP(N183,setup!$A$8:$H$58,2),VLOOKUP(N183,setup!$A$8:$H$58,3),VLOOKUP(N183,setup!$A$8:$H$58,4),VLOOKUP(N183,setup!$A$8:$H$58,5),VLOOKUP(N183,setup!$A$8:$H$58,6),VLOOKUP(N183,setup!$A$8:$H$58,7), VLOOKUP(0,setup!$A$8:$H$58,2),VLOOKUP(0,setup!$A$8:$H$58,5),VLOOKUP(N183,setup!$A$8:$H$58,8))</f>
        <v xml:space="preserve">   /* definição de tamanhos para os campos */</v>
      </c>
    </row>
    <row r="184" spans="1:15" x14ac:dyDescent="0.25">
      <c r="A184" s="29" t="s">
        <v>918</v>
      </c>
      <c r="N184">
        <v>0</v>
      </c>
      <c r="O184" s="7" t="str">
        <f ca="1">getCodigoBackend(N184,A184,VLOOKUP(N184,setup!$A$8:$H$58,2),VLOOKUP(N184,setup!$A$8:$H$58,3),VLOOKUP(N184,setup!$A$8:$H$58,4),VLOOKUP(N184,setup!$A$8:$H$58,5),VLOOKUP(N184,setup!$A$8:$H$58,6),VLOOKUP(N184,setup!$A$8:$H$58,7), VLOOKUP(0,setup!$A$8:$H$58,2),VLOOKUP(0,setup!$A$8:$H$58,5),VLOOKUP(N184,setup!$A$8:$H$58,8))</f>
        <v xml:space="preserve">   const DESC_ID = 'ID Resgate Cashback';</v>
      </c>
    </row>
    <row r="185" spans="1:15" x14ac:dyDescent="0.25">
      <c r="A185" s="29" t="s">
        <v>918</v>
      </c>
      <c r="N185">
        <f>N184+1</f>
        <v>1</v>
      </c>
      <c r="O185" s="7" t="str">
        <f ca="1">getCodigoBackend(N185,A185,VLOOKUP(N185,setup!$A$8:$H$58,2),VLOOKUP(N185,setup!$A$8:$H$58,3),VLOOKUP(N185,setup!$A$8:$H$58,4),VLOOKUP(N185,setup!$A$8:$H$58,5),VLOOKUP(N185,setup!$A$8:$H$58,6),VLOOKUP(N185,setup!$A$8:$H$58,7), VLOOKUP(0,setup!$A$8:$H$58,2),VLOOKUP(0,setup!$A$8:$H$58,5),VLOOKUP(N185,setup!$A$8:$H$58,8))</f>
        <v xml:space="preserve">   const DESC_IDCAMPANHACASHBACK = 'ID Campanha x Cashback';</v>
      </c>
    </row>
    <row r="186" spans="1:15" x14ac:dyDescent="0.25">
      <c r="A186" s="29" t="s">
        <v>918</v>
      </c>
      <c r="N186">
        <f t="shared" ref="N186:N234" si="4">N185+1</f>
        <v>2</v>
      </c>
      <c r="O186" s="7" t="str">
        <f ca="1">getCodigoBackend(N186,A186,VLOOKUP(N186,setup!$A$8:$H$58,2),VLOOKUP(N186,setup!$A$8:$H$58,3),VLOOKUP(N186,setup!$A$8:$H$58,4),VLOOKUP(N186,setup!$A$8:$H$58,5),VLOOKUP(N186,setup!$A$8:$H$58,6),VLOOKUP(N186,setup!$A$8:$H$58,7), VLOOKUP(0,setup!$A$8:$H$58,2),VLOOKUP(0,setup!$A$8:$H$58,5),VLOOKUP(N186,setup!$A$8:$H$58,8))</f>
        <v xml:space="preserve">   const DESC_IDUSUARIOSOLICITANTE = 'ID do usuário solicitante';</v>
      </c>
    </row>
    <row r="187" spans="1:15" x14ac:dyDescent="0.25">
      <c r="A187" s="29" t="s">
        <v>918</v>
      </c>
      <c r="N187">
        <f t="shared" si="4"/>
        <v>3</v>
      </c>
      <c r="O187" s="7" t="str">
        <f ca="1">getCodigoBackend(N187,A187,VLOOKUP(N187,setup!$A$8:$H$58,2),VLOOKUP(N187,setup!$A$8:$H$58,3),VLOOKUP(N187,setup!$A$8:$H$58,4),VLOOKUP(N187,setup!$A$8:$H$58,5),VLOOKUP(N187,setup!$A$8:$H$58,6),VLOOKUP(N187,setup!$A$8:$H$58,7), VLOOKUP(0,setup!$A$8:$H$58,2),VLOOKUP(0,setup!$A$8:$H$58,5),VLOOKUP(N187,setup!$A$8:$H$58,8))</f>
        <v xml:space="preserve">   const DESC_TIPOCHAVEPIX = 'Tipo da Chave PIX';</v>
      </c>
    </row>
    <row r="188" spans="1:15" x14ac:dyDescent="0.25">
      <c r="A188" s="29" t="s">
        <v>918</v>
      </c>
      <c r="N188">
        <f t="shared" si="4"/>
        <v>4</v>
      </c>
      <c r="O188" s="7" t="str">
        <f ca="1">getCodigoBackend(N188,A188,VLOOKUP(N188,setup!$A$8:$H$58,2),VLOOKUP(N188,setup!$A$8:$H$58,3),VLOOKUP(N188,setup!$A$8:$H$58,4),VLOOKUP(N188,setup!$A$8:$H$58,5),VLOOKUP(N188,setup!$A$8:$H$58,6),VLOOKUP(N188,setup!$A$8:$H$58,7), VLOOKUP(0,setup!$A$8:$H$58,2),VLOOKUP(0,setup!$A$8:$H$58,5),VLOOKUP(N188,setup!$A$8:$H$58,8))</f>
        <v xml:space="preserve">   const DESC_CHAVEPIX = 'Chave PIX';</v>
      </c>
    </row>
    <row r="189" spans="1:15" x14ac:dyDescent="0.25">
      <c r="A189" s="29" t="s">
        <v>918</v>
      </c>
      <c r="N189">
        <f t="shared" si="4"/>
        <v>5</v>
      </c>
      <c r="O189" s="7" t="str">
        <f ca="1">getCodigoBackend(N189,A189,VLOOKUP(N189,setup!$A$8:$H$58,2),VLOOKUP(N189,setup!$A$8:$H$58,3),VLOOKUP(N189,setup!$A$8:$H$58,4),VLOOKUP(N189,setup!$A$8:$H$58,5),VLOOKUP(N189,setup!$A$8:$H$58,6),VLOOKUP(N189,setup!$A$8:$H$58,7), VLOOKUP(0,setup!$A$8:$H$58,2),VLOOKUP(0,setup!$A$8:$H$58,5),VLOOKUP(N189,setup!$A$8:$H$58,8))</f>
        <v xml:space="preserve">   const DESC_VALORRESGATE = 'Valor Pretendido a Resgatar';</v>
      </c>
    </row>
    <row r="190" spans="1:15" x14ac:dyDescent="0.25">
      <c r="A190" s="29" t="s">
        <v>918</v>
      </c>
      <c r="N190">
        <f t="shared" si="4"/>
        <v>6</v>
      </c>
      <c r="O190" s="7" t="str">
        <f ca="1">getCodigoBackend(N190,A190,VLOOKUP(N190,setup!$A$8:$H$58,2),VLOOKUP(N190,setup!$A$8:$H$58,3),VLOOKUP(N190,setup!$A$8:$H$58,4),VLOOKUP(N190,setup!$A$8:$H$58,5),VLOOKUP(N190,setup!$A$8:$H$58,6),VLOOKUP(N190,setup!$A$8:$H$58,7), VLOOKUP(0,setup!$A$8:$H$58,2),VLOOKUP(0,setup!$A$8:$H$58,5),VLOOKUP(N190,setup!$A$8:$H$58,8))</f>
        <v xml:space="preserve">   const DESC_AUTENTICACAOBCO = 'Autenticação do Banco';</v>
      </c>
    </row>
    <row r="191" spans="1:15" x14ac:dyDescent="0.25">
      <c r="A191" s="29" t="s">
        <v>918</v>
      </c>
      <c r="N191">
        <f t="shared" si="4"/>
        <v>7</v>
      </c>
      <c r="O191" s="7" t="str">
        <f ca="1">getCodigoBackend(N191,A191,VLOOKUP(N191,setup!$A$8:$H$58,2),VLOOKUP(N191,setup!$A$8:$H$58,3),VLOOKUP(N191,setup!$A$8:$H$58,4),VLOOKUP(N191,setup!$A$8:$H$58,5),VLOOKUP(N191,setup!$A$8:$H$58,6),VLOOKUP(N191,setup!$A$8:$H$58,7), VLOOKUP(0,setup!$A$8:$H$58,2),VLOOKUP(0,setup!$A$8:$H$58,5),VLOOKUP(N191,setup!$A$8:$H$58,8))</f>
        <v xml:space="preserve">   const DESC_ESTAGIOREALTIME = 'Estágio Real Time';</v>
      </c>
    </row>
    <row r="192" spans="1:15" x14ac:dyDescent="0.25">
      <c r="A192" s="29" t="s">
        <v>918</v>
      </c>
      <c r="N192">
        <f t="shared" si="4"/>
        <v>8</v>
      </c>
      <c r="O192" s="7" t="str">
        <f ca="1">getCodigoBackend(N192,A192,VLOOKUP(N192,setup!$A$8:$H$58,2),VLOOKUP(N192,setup!$A$8:$H$58,3),VLOOKUP(N192,setup!$A$8:$H$58,4),VLOOKUP(N192,setup!$A$8:$H$58,5),VLOOKUP(N192,setup!$A$8:$H$58,6),VLOOKUP(N192,setup!$A$8:$H$58,7), VLOOKUP(0,setup!$A$8:$H$58,2),VLOOKUP(0,setup!$A$8:$H$58,5),VLOOKUP(N192,setup!$A$8:$H$58,8))</f>
        <v xml:space="preserve">   const DESC_DTESTAGIOANALISE = 'Data Registro Estágio Análise';</v>
      </c>
    </row>
    <row r="193" spans="1:15" x14ac:dyDescent="0.25">
      <c r="A193" s="29" t="s">
        <v>918</v>
      </c>
      <c r="N193">
        <f t="shared" si="4"/>
        <v>9</v>
      </c>
      <c r="O193" s="7" t="str">
        <f ca="1">getCodigoBackend(N193,A193,VLOOKUP(N193,setup!$A$8:$H$58,2),VLOOKUP(N193,setup!$A$8:$H$58,3),VLOOKUP(N193,setup!$A$8:$H$58,4),VLOOKUP(N193,setup!$A$8:$H$58,5),VLOOKUP(N193,setup!$A$8:$H$58,6),VLOOKUP(N193,setup!$A$8:$H$58,7), VLOOKUP(0,setup!$A$8:$H$58,2),VLOOKUP(0,setup!$A$8:$H$58,5),VLOOKUP(N193,setup!$A$8:$H$58,8))</f>
        <v xml:space="preserve">   const DESC_DTESTAGIOFINANCEIRO = 'Data Registro Estágio Financeiro';</v>
      </c>
    </row>
    <row r="194" spans="1:15" x14ac:dyDescent="0.25">
      <c r="A194" s="29" t="s">
        <v>918</v>
      </c>
      <c r="N194">
        <f t="shared" si="4"/>
        <v>10</v>
      </c>
      <c r="O194" s="7" t="str">
        <f ca="1">getCodigoBackend(N194,A194,VLOOKUP(N194,setup!$A$8:$H$58,2),VLOOKUP(N194,setup!$A$8:$H$58,3),VLOOKUP(N194,setup!$A$8:$H$58,4),VLOOKUP(N194,setup!$A$8:$H$58,5),VLOOKUP(N194,setup!$A$8:$H$58,6),VLOOKUP(N194,setup!$A$8:$H$58,7), VLOOKUP(0,setup!$A$8:$H$58,2),VLOOKUP(0,setup!$A$8:$H$58,5),VLOOKUP(N194,setup!$A$8:$H$58,8))</f>
        <v xml:space="preserve">   const DESC_DTESTAGIOERRO = 'Data Registro Estágio Erro';</v>
      </c>
    </row>
    <row r="195" spans="1:15" x14ac:dyDescent="0.25">
      <c r="A195" s="29" t="s">
        <v>918</v>
      </c>
      <c r="N195">
        <f t="shared" si="4"/>
        <v>11</v>
      </c>
      <c r="O195" s="7" t="str">
        <f ca="1">getCodigoBackend(N195,A195,VLOOKUP(N195,setup!$A$8:$H$58,2),VLOOKUP(N195,setup!$A$8:$H$58,3),VLOOKUP(N195,setup!$A$8:$H$58,4),VLOOKUP(N195,setup!$A$8:$H$58,5),VLOOKUP(N195,setup!$A$8:$H$58,6),VLOOKUP(N195,setup!$A$8:$H$58,7), VLOOKUP(0,setup!$A$8:$H$58,2),VLOOKUP(0,setup!$A$8:$H$58,5),VLOOKUP(N195,setup!$A$8:$H$58,8))</f>
        <v xml:space="preserve">   const DESC_DTESTAGIOTRANFBCO = 'Data Registro Estágio Transferido Bco';</v>
      </c>
    </row>
    <row r="196" spans="1:15" x14ac:dyDescent="0.25">
      <c r="A196" s="29" t="s">
        <v>918</v>
      </c>
      <c r="N196">
        <f t="shared" si="4"/>
        <v>12</v>
      </c>
      <c r="O196" s="7" t="str">
        <f ca="1">getCodigoBackend(N196,A196,VLOOKUP(N196,setup!$A$8:$H$58,2),VLOOKUP(N196,setup!$A$8:$H$58,3),VLOOKUP(N196,setup!$A$8:$H$58,4),VLOOKUP(N196,setup!$A$8:$H$58,5),VLOOKUP(N196,setup!$A$8:$H$58,6),VLOOKUP(N196,setup!$A$8:$H$58,7), VLOOKUP(0,setup!$A$8:$H$58,2),VLOOKUP(0,setup!$A$8:$H$58,5),VLOOKUP(N196,setup!$A$8:$H$58,8))</f>
        <v xml:space="preserve">   const DESC_TXTLIVREESTAGIORT = 'Texto Livre do Estagio RT';</v>
      </c>
    </row>
    <row r="197" spans="1:15" x14ac:dyDescent="0.25">
      <c r="A197" s="29" t="s">
        <v>918</v>
      </c>
      <c r="N197">
        <f t="shared" si="4"/>
        <v>13</v>
      </c>
      <c r="O197" s="7" t="e">
        <f>getCodigoBackend(N197,A197,VLOOKUP(N197,setup!$A$8:$H$58,2),VLOOKUP(N197,setup!$A$8:$H$58,3),VLOOKUP(N197,setup!$A$8:$H$58,4),VLOOKUP(N197,setup!$A$8:$H$58,5),VLOOKUP(N197,setup!$A$8:$H$58,6),VLOOKUP(N197,setup!$A$8:$H$58,7), VLOOKUP(0,setup!$A$8:$H$58,2),VLOOKUP(0,setup!$A$8:$H$58,5),VLOOKUP(N197,setup!$A$8:$H$58,8))</f>
        <v>#VALUE!</v>
      </c>
    </row>
    <row r="198" spans="1:15" x14ac:dyDescent="0.25">
      <c r="A198" s="29" t="s">
        <v>918</v>
      </c>
      <c r="N198">
        <f t="shared" si="4"/>
        <v>14</v>
      </c>
      <c r="O198" s="7" t="e">
        <f>getCodigoBackend(N198,A198,VLOOKUP(N198,setup!$A$8:$H$58,2),VLOOKUP(N198,setup!$A$8:$H$58,3),VLOOKUP(N198,setup!$A$8:$H$58,4),VLOOKUP(N198,setup!$A$8:$H$58,5),VLOOKUP(N198,setup!$A$8:$H$58,6),VLOOKUP(N198,setup!$A$8:$H$58,7), VLOOKUP(0,setup!$A$8:$H$58,2),VLOOKUP(0,setup!$A$8:$H$58,5),VLOOKUP(N198,setup!$A$8:$H$58,8))</f>
        <v>#VALUE!</v>
      </c>
    </row>
    <row r="199" spans="1:15" x14ac:dyDescent="0.25">
      <c r="A199" s="29" t="s">
        <v>918</v>
      </c>
      <c r="N199">
        <f t="shared" si="4"/>
        <v>15</v>
      </c>
      <c r="O199" s="7" t="e">
        <f>getCodigoBackend(N199,A199,VLOOKUP(N199,setup!$A$8:$H$58,2),VLOOKUP(N199,setup!$A$8:$H$58,3),VLOOKUP(N199,setup!$A$8:$H$58,4),VLOOKUP(N199,setup!$A$8:$H$58,5),VLOOKUP(N199,setup!$A$8:$H$58,6),VLOOKUP(N199,setup!$A$8:$H$58,7), VLOOKUP(0,setup!$A$8:$H$58,2),VLOOKUP(0,setup!$A$8:$H$58,5),VLOOKUP(N199,setup!$A$8:$H$58,8))</f>
        <v>#VALUE!</v>
      </c>
    </row>
    <row r="200" spans="1:15" x14ac:dyDescent="0.25">
      <c r="A200" s="29" t="s">
        <v>918</v>
      </c>
      <c r="N200">
        <f t="shared" si="4"/>
        <v>16</v>
      </c>
      <c r="O200" s="7" t="e">
        <f>getCodigoBackend(N200,A200,VLOOKUP(N200,setup!$A$8:$H$58,2),VLOOKUP(N200,setup!$A$8:$H$58,3),VLOOKUP(N200,setup!$A$8:$H$58,4),VLOOKUP(N200,setup!$A$8:$H$58,5),VLOOKUP(N200,setup!$A$8:$H$58,6),VLOOKUP(N200,setup!$A$8:$H$58,7), VLOOKUP(0,setup!$A$8:$H$58,2),VLOOKUP(0,setup!$A$8:$H$58,5),VLOOKUP(N200,setup!$A$8:$H$58,8))</f>
        <v>#VALUE!</v>
      </c>
    </row>
    <row r="201" spans="1:15" x14ac:dyDescent="0.25">
      <c r="A201" s="29" t="s">
        <v>918</v>
      </c>
      <c r="N201">
        <f t="shared" si="4"/>
        <v>17</v>
      </c>
      <c r="O201" s="7" t="e">
        <f>getCodigoBackend(N201,A201,VLOOKUP(N201,setup!$A$8:$H$58,2),VLOOKUP(N201,setup!$A$8:$H$58,3),VLOOKUP(N201,setup!$A$8:$H$58,4),VLOOKUP(N201,setup!$A$8:$H$58,5),VLOOKUP(N201,setup!$A$8:$H$58,6),VLOOKUP(N201,setup!$A$8:$H$58,7), VLOOKUP(0,setup!$A$8:$H$58,2),VLOOKUP(0,setup!$A$8:$H$58,5),VLOOKUP(N201,setup!$A$8:$H$58,8))</f>
        <v>#VALUE!</v>
      </c>
    </row>
    <row r="202" spans="1:15" x14ac:dyDescent="0.25">
      <c r="A202" s="29" t="s">
        <v>918</v>
      </c>
      <c r="N202">
        <f t="shared" si="4"/>
        <v>18</v>
      </c>
      <c r="O202" s="7" t="e">
        <f>getCodigoBackend(N202,A202,VLOOKUP(N202,setup!$A$8:$H$58,2),VLOOKUP(N202,setup!$A$8:$H$58,3),VLOOKUP(N202,setup!$A$8:$H$58,4),VLOOKUP(N202,setup!$A$8:$H$58,5),VLOOKUP(N202,setup!$A$8:$H$58,6),VLOOKUP(N202,setup!$A$8:$H$58,7), VLOOKUP(0,setup!$A$8:$H$58,2),VLOOKUP(0,setup!$A$8:$H$58,5),VLOOKUP(N202,setup!$A$8:$H$58,8))</f>
        <v>#VALUE!</v>
      </c>
    </row>
    <row r="203" spans="1:15" x14ac:dyDescent="0.25">
      <c r="A203" s="29" t="s">
        <v>918</v>
      </c>
      <c r="N203">
        <f t="shared" si="4"/>
        <v>19</v>
      </c>
      <c r="O203" s="7" t="e">
        <f>getCodigoBackend(N203,A203,VLOOKUP(N203,setup!$A$8:$H$58,2),VLOOKUP(N203,setup!$A$8:$H$58,3),VLOOKUP(N203,setup!$A$8:$H$58,4),VLOOKUP(N203,setup!$A$8:$H$58,5),VLOOKUP(N203,setup!$A$8:$H$58,6),VLOOKUP(N203,setup!$A$8:$H$58,7), VLOOKUP(0,setup!$A$8:$H$58,2),VLOOKUP(0,setup!$A$8:$H$58,5),VLOOKUP(N203,setup!$A$8:$H$58,8))</f>
        <v>#VALUE!</v>
      </c>
    </row>
    <row r="204" spans="1:15" x14ac:dyDescent="0.25">
      <c r="A204" s="29" t="s">
        <v>918</v>
      </c>
      <c r="N204">
        <f t="shared" si="4"/>
        <v>20</v>
      </c>
      <c r="O204" s="7" t="e">
        <f>getCodigoBackend(N204,A204,VLOOKUP(N204,setup!$A$8:$H$58,2),VLOOKUP(N204,setup!$A$8:$H$58,3),VLOOKUP(N204,setup!$A$8:$H$58,4),VLOOKUP(N204,setup!$A$8:$H$58,5),VLOOKUP(N204,setup!$A$8:$H$58,6),VLOOKUP(N204,setup!$A$8:$H$58,7), VLOOKUP(0,setup!$A$8:$H$58,2),VLOOKUP(0,setup!$A$8:$H$58,5),VLOOKUP(N204,setup!$A$8:$H$58,8))</f>
        <v>#VALUE!</v>
      </c>
    </row>
    <row r="205" spans="1:15" x14ac:dyDescent="0.25">
      <c r="A205" s="29" t="s">
        <v>918</v>
      </c>
      <c r="N205">
        <f t="shared" si="4"/>
        <v>21</v>
      </c>
      <c r="O205" s="7" t="e">
        <f>getCodigoBackend(N205,A205,VLOOKUP(N205,setup!$A$8:$H$58,2),VLOOKUP(N205,setup!$A$8:$H$58,3),VLOOKUP(N205,setup!$A$8:$H$58,4),VLOOKUP(N205,setup!$A$8:$H$58,5),VLOOKUP(N205,setup!$A$8:$H$58,6),VLOOKUP(N205,setup!$A$8:$H$58,7), VLOOKUP(0,setup!$A$8:$H$58,2),VLOOKUP(0,setup!$A$8:$H$58,5),VLOOKUP(N205,setup!$A$8:$H$58,8))</f>
        <v>#VALUE!</v>
      </c>
    </row>
    <row r="206" spans="1:15" x14ac:dyDescent="0.25">
      <c r="A206" s="29" t="s">
        <v>918</v>
      </c>
      <c r="N206">
        <f t="shared" si="4"/>
        <v>22</v>
      </c>
      <c r="O206" s="7" t="e">
        <f>getCodigoBackend(N206,A206,VLOOKUP(N206,setup!$A$8:$H$58,2),VLOOKUP(N206,setup!$A$8:$H$58,3),VLOOKUP(N206,setup!$A$8:$H$58,4),VLOOKUP(N206,setup!$A$8:$H$58,5),VLOOKUP(N206,setup!$A$8:$H$58,6),VLOOKUP(N206,setup!$A$8:$H$58,7), VLOOKUP(0,setup!$A$8:$H$58,2),VLOOKUP(0,setup!$A$8:$H$58,5),VLOOKUP(N206,setup!$A$8:$H$58,8))</f>
        <v>#VALUE!</v>
      </c>
    </row>
    <row r="207" spans="1:15" x14ac:dyDescent="0.25">
      <c r="A207" s="29" t="s">
        <v>918</v>
      </c>
      <c r="N207">
        <f t="shared" si="4"/>
        <v>23</v>
      </c>
      <c r="O207" s="7" t="e">
        <f>getCodigoBackend(N207,A207,VLOOKUP(N207,setup!$A$8:$H$58,2),VLOOKUP(N207,setup!$A$8:$H$58,3),VLOOKUP(N207,setup!$A$8:$H$58,4),VLOOKUP(N207,setup!$A$8:$H$58,5),VLOOKUP(N207,setup!$A$8:$H$58,6),VLOOKUP(N207,setup!$A$8:$H$58,7), VLOOKUP(0,setup!$A$8:$H$58,2),VLOOKUP(0,setup!$A$8:$H$58,5),VLOOKUP(N207,setup!$A$8:$H$58,8))</f>
        <v>#VALUE!</v>
      </c>
    </row>
    <row r="208" spans="1:15" x14ac:dyDescent="0.25">
      <c r="A208" s="29" t="s">
        <v>918</v>
      </c>
      <c r="N208">
        <f t="shared" si="4"/>
        <v>24</v>
      </c>
      <c r="O208" s="7" t="e">
        <f>getCodigoBackend(N208,A208,VLOOKUP(N208,setup!$A$8:$H$58,2),VLOOKUP(N208,setup!$A$8:$H$58,3),VLOOKUP(N208,setup!$A$8:$H$58,4),VLOOKUP(N208,setup!$A$8:$H$58,5),VLOOKUP(N208,setup!$A$8:$H$58,6),VLOOKUP(N208,setup!$A$8:$H$58,7), VLOOKUP(0,setup!$A$8:$H$58,2),VLOOKUP(0,setup!$A$8:$H$58,5),VLOOKUP(N208,setup!$A$8:$H$58,8))</f>
        <v>#VALUE!</v>
      </c>
    </row>
    <row r="209" spans="1:15" x14ac:dyDescent="0.25">
      <c r="A209" s="29" t="s">
        <v>918</v>
      </c>
      <c r="N209">
        <f t="shared" si="4"/>
        <v>25</v>
      </c>
      <c r="O209" s="7" t="e">
        <f>getCodigoBackend(N209,A209,VLOOKUP(N209,setup!$A$8:$H$58,2),VLOOKUP(N209,setup!$A$8:$H$58,3),VLOOKUP(N209,setup!$A$8:$H$58,4),VLOOKUP(N209,setup!$A$8:$H$58,5),VLOOKUP(N209,setup!$A$8:$H$58,6),VLOOKUP(N209,setup!$A$8:$H$58,7), VLOOKUP(0,setup!$A$8:$H$58,2),VLOOKUP(0,setup!$A$8:$H$58,5),VLOOKUP(N209,setup!$A$8:$H$58,8))</f>
        <v>#VALUE!</v>
      </c>
    </row>
    <row r="210" spans="1:15" x14ac:dyDescent="0.25">
      <c r="A210" s="29" t="s">
        <v>918</v>
      </c>
      <c r="N210">
        <f t="shared" si="4"/>
        <v>26</v>
      </c>
      <c r="O210" s="7" t="e">
        <f>getCodigoBackend(N210,A210,VLOOKUP(N210,setup!$A$8:$H$58,2),VLOOKUP(N210,setup!$A$8:$H$58,3),VLOOKUP(N210,setup!$A$8:$H$58,4),VLOOKUP(N210,setup!$A$8:$H$58,5),VLOOKUP(N210,setup!$A$8:$H$58,6),VLOOKUP(N210,setup!$A$8:$H$58,7), VLOOKUP(0,setup!$A$8:$H$58,2),VLOOKUP(0,setup!$A$8:$H$58,5),VLOOKUP(N210,setup!$A$8:$H$58,8))</f>
        <v>#VALUE!</v>
      </c>
    </row>
    <row r="211" spans="1:15" x14ac:dyDescent="0.25">
      <c r="A211" s="29" t="s">
        <v>918</v>
      </c>
      <c r="N211">
        <f t="shared" si="4"/>
        <v>27</v>
      </c>
      <c r="O211" s="7" t="e">
        <f>getCodigoBackend(N211,A211,VLOOKUP(N211,setup!$A$8:$H$58,2),VLOOKUP(N211,setup!$A$8:$H$58,3),VLOOKUP(N211,setup!$A$8:$H$58,4),VLOOKUP(N211,setup!$A$8:$H$58,5),VLOOKUP(N211,setup!$A$8:$H$58,6),VLOOKUP(N211,setup!$A$8:$H$58,7), VLOOKUP(0,setup!$A$8:$H$58,2),VLOOKUP(0,setup!$A$8:$H$58,5),VLOOKUP(N211,setup!$A$8:$H$58,8))</f>
        <v>#VALUE!</v>
      </c>
    </row>
    <row r="212" spans="1:15" x14ac:dyDescent="0.25">
      <c r="A212" s="29" t="s">
        <v>918</v>
      </c>
      <c r="N212">
        <f t="shared" si="4"/>
        <v>28</v>
      </c>
      <c r="O212" s="7" t="e">
        <f>getCodigoBackend(N212,A212,VLOOKUP(N212,setup!$A$8:$H$58,2),VLOOKUP(N212,setup!$A$8:$H$58,3),VLOOKUP(N212,setup!$A$8:$H$58,4),VLOOKUP(N212,setup!$A$8:$H$58,5),VLOOKUP(N212,setup!$A$8:$H$58,6),VLOOKUP(N212,setup!$A$8:$H$58,7), VLOOKUP(0,setup!$A$8:$H$58,2),VLOOKUP(0,setup!$A$8:$H$58,5),VLOOKUP(N212,setup!$A$8:$H$58,8))</f>
        <v>#VALUE!</v>
      </c>
    </row>
    <row r="213" spans="1:15" x14ac:dyDescent="0.25">
      <c r="A213" s="29" t="s">
        <v>918</v>
      </c>
      <c r="N213">
        <f t="shared" si="4"/>
        <v>29</v>
      </c>
      <c r="O213" s="7" t="e">
        <f>getCodigoBackend(N213,A213,VLOOKUP(N213,setup!$A$8:$H$58,2),VLOOKUP(N213,setup!$A$8:$H$58,3),VLOOKUP(N213,setup!$A$8:$H$58,4),VLOOKUP(N213,setup!$A$8:$H$58,5),VLOOKUP(N213,setup!$A$8:$H$58,6),VLOOKUP(N213,setup!$A$8:$H$58,7), VLOOKUP(0,setup!$A$8:$H$58,2),VLOOKUP(0,setup!$A$8:$H$58,5),VLOOKUP(N213,setup!$A$8:$H$58,8))</f>
        <v>#VALUE!</v>
      </c>
    </row>
    <row r="214" spans="1:15" x14ac:dyDescent="0.25">
      <c r="A214" s="29" t="s">
        <v>918</v>
      </c>
      <c r="N214">
        <f t="shared" si="4"/>
        <v>30</v>
      </c>
      <c r="O214" s="7" t="e">
        <f>getCodigoBackend(N214,A214,VLOOKUP(N214,setup!$A$8:$H$58,2),VLOOKUP(N214,setup!$A$8:$H$58,3),VLOOKUP(N214,setup!$A$8:$H$58,4),VLOOKUP(N214,setup!$A$8:$H$58,5),VLOOKUP(N214,setup!$A$8:$H$58,6),VLOOKUP(N214,setup!$A$8:$H$58,7), VLOOKUP(0,setup!$A$8:$H$58,2),VLOOKUP(0,setup!$A$8:$H$58,5),VLOOKUP(N214,setup!$A$8:$H$58,8))</f>
        <v>#VALUE!</v>
      </c>
    </row>
    <row r="215" spans="1:15" x14ac:dyDescent="0.25">
      <c r="A215" s="29" t="s">
        <v>918</v>
      </c>
      <c r="N215">
        <f t="shared" si="4"/>
        <v>31</v>
      </c>
      <c r="O215" s="7" t="e">
        <f>getCodigoBackend(N215,A215,VLOOKUP(N215,setup!$A$8:$H$58,2),VLOOKUP(N215,setup!$A$8:$H$58,3),VLOOKUP(N215,setup!$A$8:$H$58,4),VLOOKUP(N215,setup!$A$8:$H$58,5),VLOOKUP(N215,setup!$A$8:$H$58,6),VLOOKUP(N215,setup!$A$8:$H$58,7), VLOOKUP(0,setup!$A$8:$H$58,2),VLOOKUP(0,setup!$A$8:$H$58,5),VLOOKUP(N215,setup!$A$8:$H$58,8))</f>
        <v>#VALUE!</v>
      </c>
    </row>
    <row r="216" spans="1:15" x14ac:dyDescent="0.25">
      <c r="A216" s="29" t="s">
        <v>918</v>
      </c>
      <c r="N216">
        <f t="shared" si="4"/>
        <v>32</v>
      </c>
      <c r="O216" s="7" t="e">
        <f>getCodigoBackend(N216,A216,VLOOKUP(N216,setup!$A$8:$H$58,2),VLOOKUP(N216,setup!$A$8:$H$58,3),VLOOKUP(N216,setup!$A$8:$H$58,4),VLOOKUP(N216,setup!$A$8:$H$58,5),VLOOKUP(N216,setup!$A$8:$H$58,6),VLOOKUP(N216,setup!$A$8:$H$58,7), VLOOKUP(0,setup!$A$8:$H$58,2),VLOOKUP(0,setup!$A$8:$H$58,5),VLOOKUP(N216,setup!$A$8:$H$58,8))</f>
        <v>#VALUE!</v>
      </c>
    </row>
    <row r="217" spans="1:15" x14ac:dyDescent="0.25">
      <c r="A217" s="29" t="s">
        <v>918</v>
      </c>
      <c r="N217">
        <f t="shared" si="4"/>
        <v>33</v>
      </c>
      <c r="O217" s="7" t="e">
        <f>getCodigoBackend(N217,A217,VLOOKUP(N217,setup!$A$8:$H$58,2),VLOOKUP(N217,setup!$A$8:$H$58,3),VLOOKUP(N217,setup!$A$8:$H$58,4),VLOOKUP(N217,setup!$A$8:$H$58,5),VLOOKUP(N217,setup!$A$8:$H$58,6),VLOOKUP(N217,setup!$A$8:$H$58,7), VLOOKUP(0,setup!$A$8:$H$58,2),VLOOKUP(0,setup!$A$8:$H$58,5),VLOOKUP(N217,setup!$A$8:$H$58,8))</f>
        <v>#VALUE!</v>
      </c>
    </row>
    <row r="218" spans="1:15" x14ac:dyDescent="0.25">
      <c r="A218" s="29" t="s">
        <v>918</v>
      </c>
      <c r="N218">
        <f t="shared" si="4"/>
        <v>34</v>
      </c>
      <c r="O218" s="7" t="e">
        <f>getCodigoBackend(N218,A218,VLOOKUP(N218,setup!$A$8:$H$58,2),VLOOKUP(N218,setup!$A$8:$H$58,3),VLOOKUP(N218,setup!$A$8:$H$58,4),VLOOKUP(N218,setup!$A$8:$H$58,5),VLOOKUP(N218,setup!$A$8:$H$58,6),VLOOKUP(N218,setup!$A$8:$H$58,7), VLOOKUP(0,setup!$A$8:$H$58,2),VLOOKUP(0,setup!$A$8:$H$58,5),VLOOKUP(N218,setup!$A$8:$H$58,8))</f>
        <v>#VALUE!</v>
      </c>
    </row>
    <row r="219" spans="1:15" x14ac:dyDescent="0.25">
      <c r="A219" s="29" t="s">
        <v>918</v>
      </c>
      <c r="N219">
        <f t="shared" si="4"/>
        <v>35</v>
      </c>
      <c r="O219" s="7" t="e">
        <f>getCodigoBackend(N219,A219,VLOOKUP(N219,setup!$A$8:$H$58,2),VLOOKUP(N219,setup!$A$8:$H$58,3),VLOOKUP(N219,setup!$A$8:$H$58,4),VLOOKUP(N219,setup!$A$8:$H$58,5),VLOOKUP(N219,setup!$A$8:$H$58,6),VLOOKUP(N219,setup!$A$8:$H$58,7), VLOOKUP(0,setup!$A$8:$H$58,2),VLOOKUP(0,setup!$A$8:$H$58,5),VLOOKUP(N219,setup!$A$8:$H$58,8))</f>
        <v>#VALUE!</v>
      </c>
    </row>
    <row r="220" spans="1:15" x14ac:dyDescent="0.25">
      <c r="A220" s="29" t="s">
        <v>918</v>
      </c>
      <c r="N220">
        <f t="shared" si="4"/>
        <v>36</v>
      </c>
      <c r="O220" s="7" t="e">
        <f>getCodigoBackend(N220,A220,VLOOKUP(N220,setup!$A$8:$H$58,2),VLOOKUP(N220,setup!$A$8:$H$58,3),VLOOKUP(N220,setup!$A$8:$H$58,4),VLOOKUP(N220,setup!$A$8:$H$58,5),VLOOKUP(N220,setup!$A$8:$H$58,6),VLOOKUP(N220,setup!$A$8:$H$58,7), VLOOKUP(0,setup!$A$8:$H$58,2),VLOOKUP(0,setup!$A$8:$H$58,5),VLOOKUP(N220,setup!$A$8:$H$58,8))</f>
        <v>#VALUE!</v>
      </c>
    </row>
    <row r="221" spans="1:15" x14ac:dyDescent="0.25">
      <c r="A221" s="29" t="s">
        <v>918</v>
      </c>
      <c r="N221">
        <f t="shared" si="4"/>
        <v>37</v>
      </c>
      <c r="O221" s="7" t="e">
        <f>getCodigoBackend(N221,A221,VLOOKUP(N221,setup!$A$8:$H$58,2),VLOOKUP(N221,setup!$A$8:$H$58,3),VLOOKUP(N221,setup!$A$8:$H$58,4),VLOOKUP(N221,setup!$A$8:$H$58,5),VLOOKUP(N221,setup!$A$8:$H$58,6),VLOOKUP(N221,setup!$A$8:$H$58,7), VLOOKUP(0,setup!$A$8:$H$58,2),VLOOKUP(0,setup!$A$8:$H$58,5),VLOOKUP(N221,setup!$A$8:$H$58,8))</f>
        <v>#VALUE!</v>
      </c>
    </row>
    <row r="222" spans="1:15" x14ac:dyDescent="0.25">
      <c r="A222" s="29" t="s">
        <v>918</v>
      </c>
      <c r="N222">
        <f t="shared" si="4"/>
        <v>38</v>
      </c>
      <c r="O222" s="7" t="e">
        <f>getCodigoBackend(N222,A222,VLOOKUP(N222,setup!$A$8:$H$58,2),VLOOKUP(N222,setup!$A$8:$H$58,3),VLOOKUP(N222,setup!$A$8:$H$58,4),VLOOKUP(N222,setup!$A$8:$H$58,5),VLOOKUP(N222,setup!$A$8:$H$58,6),VLOOKUP(N222,setup!$A$8:$H$58,7), VLOOKUP(0,setup!$A$8:$H$58,2),VLOOKUP(0,setup!$A$8:$H$58,5),VLOOKUP(N222,setup!$A$8:$H$58,8))</f>
        <v>#VALUE!</v>
      </c>
    </row>
    <row r="223" spans="1:15" x14ac:dyDescent="0.25">
      <c r="A223" s="29" t="s">
        <v>918</v>
      </c>
      <c r="N223">
        <f t="shared" si="4"/>
        <v>39</v>
      </c>
      <c r="O223" s="7" t="e">
        <f>getCodigoBackend(N223,A223,VLOOKUP(N223,setup!$A$8:$H$58,2),VLOOKUP(N223,setup!$A$8:$H$58,3),VLOOKUP(N223,setup!$A$8:$H$58,4),VLOOKUP(N223,setup!$A$8:$H$58,5),VLOOKUP(N223,setup!$A$8:$H$58,6),VLOOKUP(N223,setup!$A$8:$H$58,7), VLOOKUP(0,setup!$A$8:$H$58,2),VLOOKUP(0,setup!$A$8:$H$58,5),VLOOKUP(N223,setup!$A$8:$H$58,8))</f>
        <v>#VALUE!</v>
      </c>
    </row>
    <row r="224" spans="1:15" x14ac:dyDescent="0.25">
      <c r="A224" s="29" t="s">
        <v>918</v>
      </c>
      <c r="N224">
        <f t="shared" si="4"/>
        <v>40</v>
      </c>
      <c r="O224" s="7" t="e">
        <f>getCodigoBackend(N224,A224,VLOOKUP(N224,setup!$A$8:$H$58,2),VLOOKUP(N224,setup!$A$8:$H$58,3),VLOOKUP(N224,setup!$A$8:$H$58,4),VLOOKUP(N224,setup!$A$8:$H$58,5),VLOOKUP(N224,setup!$A$8:$H$58,6),VLOOKUP(N224,setup!$A$8:$H$58,7), VLOOKUP(0,setup!$A$8:$H$58,2),VLOOKUP(0,setup!$A$8:$H$58,5),VLOOKUP(N224,setup!$A$8:$H$58,8))</f>
        <v>#VALUE!</v>
      </c>
    </row>
    <row r="225" spans="1:15" x14ac:dyDescent="0.25">
      <c r="A225" s="29" t="s">
        <v>918</v>
      </c>
      <c r="N225">
        <f t="shared" si="4"/>
        <v>41</v>
      </c>
      <c r="O225" s="7" t="e">
        <f>getCodigoBackend(N225,A225,VLOOKUP(N225,setup!$A$8:$H$58,2),VLOOKUP(N225,setup!$A$8:$H$58,3),VLOOKUP(N225,setup!$A$8:$H$58,4),VLOOKUP(N225,setup!$A$8:$H$58,5),VLOOKUP(N225,setup!$A$8:$H$58,6),VLOOKUP(N225,setup!$A$8:$H$58,7), VLOOKUP(0,setup!$A$8:$H$58,2),VLOOKUP(0,setup!$A$8:$H$58,5),VLOOKUP(N225,setup!$A$8:$H$58,8))</f>
        <v>#VALUE!</v>
      </c>
    </row>
    <row r="226" spans="1:15" x14ac:dyDescent="0.25">
      <c r="A226" s="29" t="s">
        <v>918</v>
      </c>
      <c r="N226">
        <f t="shared" si="4"/>
        <v>42</v>
      </c>
      <c r="O226" s="7" t="e">
        <f>getCodigoBackend(N226,A226,VLOOKUP(N226,setup!$A$8:$H$58,2),VLOOKUP(N226,setup!$A$8:$H$58,3),VLOOKUP(N226,setup!$A$8:$H$58,4),VLOOKUP(N226,setup!$A$8:$H$58,5),VLOOKUP(N226,setup!$A$8:$H$58,6),VLOOKUP(N226,setup!$A$8:$H$58,7), VLOOKUP(0,setup!$A$8:$H$58,2),VLOOKUP(0,setup!$A$8:$H$58,5),VLOOKUP(N226,setup!$A$8:$H$58,8))</f>
        <v>#VALUE!</v>
      </c>
    </row>
    <row r="227" spans="1:15" x14ac:dyDescent="0.25">
      <c r="A227" s="29" t="s">
        <v>918</v>
      </c>
      <c r="N227">
        <f t="shared" si="4"/>
        <v>43</v>
      </c>
      <c r="O227" s="7" t="e">
        <f>getCodigoBackend(N227,A227,VLOOKUP(N227,setup!$A$8:$H$58,2),VLOOKUP(N227,setup!$A$8:$H$58,3),VLOOKUP(N227,setup!$A$8:$H$58,4),VLOOKUP(N227,setup!$A$8:$H$58,5),VLOOKUP(N227,setup!$A$8:$H$58,6),VLOOKUP(N227,setup!$A$8:$H$58,7), VLOOKUP(0,setup!$A$8:$H$58,2),VLOOKUP(0,setup!$A$8:$H$58,5),VLOOKUP(N227,setup!$A$8:$H$58,8))</f>
        <v>#VALUE!</v>
      </c>
    </row>
    <row r="228" spans="1:15" x14ac:dyDescent="0.25">
      <c r="A228" s="29" t="s">
        <v>918</v>
      </c>
      <c r="N228">
        <f t="shared" si="4"/>
        <v>44</v>
      </c>
      <c r="O228" s="7" t="e">
        <f>getCodigoBackend(N228,A228,VLOOKUP(N228,setup!$A$8:$H$58,2),VLOOKUP(N228,setup!$A$8:$H$58,3),VLOOKUP(N228,setup!$A$8:$H$58,4),VLOOKUP(N228,setup!$A$8:$H$58,5),VLOOKUP(N228,setup!$A$8:$H$58,6),VLOOKUP(N228,setup!$A$8:$H$58,7), VLOOKUP(0,setup!$A$8:$H$58,2),VLOOKUP(0,setup!$A$8:$H$58,5),VLOOKUP(N228,setup!$A$8:$H$58,8))</f>
        <v>#VALUE!</v>
      </c>
    </row>
    <row r="229" spans="1:15" x14ac:dyDescent="0.25">
      <c r="A229" s="29" t="s">
        <v>918</v>
      </c>
      <c r="N229">
        <f t="shared" si="4"/>
        <v>45</v>
      </c>
      <c r="O229" s="7" t="e">
        <f>getCodigoBackend(N229,A229,VLOOKUP(N229,setup!$A$8:$H$58,2),VLOOKUP(N229,setup!$A$8:$H$58,3),VLOOKUP(N229,setup!$A$8:$H$58,4),VLOOKUP(N229,setup!$A$8:$H$58,5),VLOOKUP(N229,setup!$A$8:$H$58,6),VLOOKUP(N229,setup!$A$8:$H$58,7), VLOOKUP(0,setup!$A$8:$H$58,2),VLOOKUP(0,setup!$A$8:$H$58,5),VLOOKUP(N229,setup!$A$8:$H$58,8))</f>
        <v>#VALUE!</v>
      </c>
    </row>
    <row r="230" spans="1:15" x14ac:dyDescent="0.25">
      <c r="A230" s="29" t="s">
        <v>918</v>
      </c>
      <c r="N230">
        <f t="shared" si="4"/>
        <v>46</v>
      </c>
      <c r="O230" s="7" t="e">
        <f>getCodigoBackend(N230,A230,VLOOKUP(N230,setup!$A$8:$H$58,2),VLOOKUP(N230,setup!$A$8:$H$58,3),VLOOKUP(N230,setup!$A$8:$H$58,4),VLOOKUP(N230,setup!$A$8:$H$58,5),VLOOKUP(N230,setup!$A$8:$H$58,6),VLOOKUP(N230,setup!$A$8:$H$58,7), VLOOKUP(0,setup!$A$8:$H$58,2),VLOOKUP(0,setup!$A$8:$H$58,5),VLOOKUP(N230,setup!$A$8:$H$58,8))</f>
        <v>#VALUE!</v>
      </c>
    </row>
    <row r="231" spans="1:15" x14ac:dyDescent="0.25">
      <c r="A231" s="29" t="s">
        <v>918</v>
      </c>
      <c r="N231">
        <f t="shared" si="4"/>
        <v>47</v>
      </c>
      <c r="O231" s="7" t="e">
        <f>getCodigoBackend(N231,A231,VLOOKUP(N231,setup!$A$8:$H$58,2),VLOOKUP(N231,setup!$A$8:$H$58,3),VLOOKUP(N231,setup!$A$8:$H$58,4),VLOOKUP(N231,setup!$A$8:$H$58,5),VLOOKUP(N231,setup!$A$8:$H$58,6),VLOOKUP(N231,setup!$A$8:$H$58,7), VLOOKUP(0,setup!$A$8:$H$58,2),VLOOKUP(0,setup!$A$8:$H$58,5),VLOOKUP(N231,setup!$A$8:$H$58,8))</f>
        <v>#VALUE!</v>
      </c>
    </row>
    <row r="232" spans="1:15" x14ac:dyDescent="0.25">
      <c r="A232" s="29" t="s">
        <v>918</v>
      </c>
      <c r="N232">
        <f t="shared" si="4"/>
        <v>48</v>
      </c>
      <c r="O232" s="7" t="str">
        <f ca="1">getCodigoBackend(N232,A232,VLOOKUP(N232,setup!$A$8:$H$58,2),VLOOKUP(N232,setup!$A$8:$H$58,3),VLOOKUP(N232,setup!$A$8:$H$58,4),VLOOKUP(N232,setup!$A$8:$H$58,5),VLOOKUP(N232,setup!$A$8:$H$58,6),VLOOKUP(N232,setup!$A$8:$H$58,7), VLOOKUP(0,setup!$A$8:$H$58,2),VLOOKUP(0,setup!$A$8:$H$58,5),VLOOKUP(N232,setup!$A$8:$H$58,8))</f>
        <v xml:space="preserve">   const DESC_STATUS = 'Status';</v>
      </c>
    </row>
    <row r="233" spans="1:15" x14ac:dyDescent="0.25">
      <c r="A233" s="29" t="s">
        <v>918</v>
      </c>
      <c r="N233">
        <f t="shared" si="4"/>
        <v>49</v>
      </c>
      <c r="O233" s="7" t="str">
        <f ca="1">getCodigoBackend(N233,A233,VLOOKUP(N233,setup!$A$8:$H$58,2),VLOOKUP(N233,setup!$A$8:$H$58,3),VLOOKUP(N233,setup!$A$8:$H$58,4),VLOOKUP(N233,setup!$A$8:$H$58,5),VLOOKUP(N233,setup!$A$8:$H$58,6),VLOOKUP(N233,setup!$A$8:$H$58,7), VLOOKUP(0,setup!$A$8:$H$58,2),VLOOKUP(0,setup!$A$8:$H$58,5),VLOOKUP(N233,setup!$A$8:$H$58,8))</f>
        <v xml:space="preserve">   const DESC_DATACADASTRO = 'Data de Cadastro';</v>
      </c>
    </row>
    <row r="234" spans="1:15" x14ac:dyDescent="0.25">
      <c r="A234" s="29" t="s">
        <v>918</v>
      </c>
      <c r="N234">
        <f t="shared" si="4"/>
        <v>50</v>
      </c>
      <c r="O234" s="7" t="str">
        <f ca="1">getCodigoBackend(N234,A234,VLOOKUP(N234,setup!$A$8:$H$58,2),VLOOKUP(N234,setup!$A$8:$H$58,3),VLOOKUP(N234,setup!$A$8:$H$58,4),VLOOKUP(N234,setup!$A$8:$H$58,5),VLOOKUP(N234,setup!$A$8:$H$58,6),VLOOKUP(N234,setup!$A$8:$H$58,7), VLOOKUP(0,setup!$A$8:$H$58,2),VLOOKUP(0,setup!$A$8:$H$58,5),VLOOKUP(N234,setup!$A$8:$H$58,8))</f>
        <v xml:space="preserve">   const DESC_DATAATUALIZACAO = 'Data de Atualização';</v>
      </c>
    </row>
    <row r="235" spans="1:15" x14ac:dyDescent="0.25">
      <c r="A235" s="29"/>
      <c r="O235" s="7" t="str">
        <f ca="1">getCodigoBackend(N235,A235,VLOOKUP(N235,setup!$A$8:$H$58,2),VLOOKUP(N235,setup!$A$8:$H$58,3),VLOOKUP(N235,setup!$A$8:$H$58,4),VLOOKUP(N235,setup!$A$8:$H$58,5),VLOOKUP(N235,setup!$A$8:$H$58,6),VLOOKUP(N235,setup!$A$8:$H$58,7), VLOOKUP(0,setup!$A$8:$H$58,2),VLOOKUP(0,setup!$A$8:$H$58,5),VLOOKUP(N235,setup!$A$8:$H$58,8))</f>
        <v/>
      </c>
    </row>
    <row r="236" spans="1:15" x14ac:dyDescent="0.25">
      <c r="A236" s="29" t="s">
        <v>28</v>
      </c>
      <c r="O236" s="7" t="str">
        <f ca="1">getCodigoBackend(N236,A236,VLOOKUP(N236,setup!$A$8:$H$58,2),VLOOKUP(N236,setup!$A$8:$H$58,3),VLOOKUP(N236,setup!$A$8:$H$58,4),VLOOKUP(N236,setup!$A$8:$H$58,5),VLOOKUP(N236,setup!$A$8:$H$58,6),VLOOKUP(N236,setup!$A$8:$H$58,7), VLOOKUP(0,setup!$A$8:$H$58,2),VLOOKUP(0,setup!$A$8:$H$58,5),VLOOKUP(N236,setup!$A$8:$H$58,8))</f>
        <v>}</v>
      </c>
    </row>
    <row r="237" spans="1:15" x14ac:dyDescent="0.25">
      <c r="A237" s="29"/>
      <c r="O237" s="7" t="str">
        <f ca="1">getCodigoBackend(N237,A237,VLOOKUP(N237,setup!$A$8:$H$58,2),VLOOKUP(N237,setup!$A$8:$H$58,3),VLOOKUP(N237,setup!$A$8:$H$58,4),VLOOKUP(N237,setup!$A$8:$H$58,5),VLOOKUP(N237,setup!$A$8:$H$58,6),VLOOKUP(N237,setup!$A$8:$H$58,7), VLOOKUP(0,setup!$A$8:$H$58,2),VLOOKUP(0,setup!$A$8:$H$58,5),VLOOKUP(N237,setup!$A$8:$H$58,8))</f>
        <v/>
      </c>
    </row>
    <row r="238" spans="1:15" x14ac:dyDescent="0.25">
      <c r="A238" s="29"/>
      <c r="O238" s="7" t="str">
        <f ca="1">getCodigoBackend(N238,A238,VLOOKUP(N238,setup!$A$8:$H$58,2),VLOOKUP(N238,setup!$A$8:$H$58,3),VLOOKUP(N238,setup!$A$8:$H$58,4),VLOOKUP(N238,setup!$A$8:$H$58,5),VLOOKUP(N238,setup!$A$8:$H$58,6),VLOOKUP(N238,setup!$A$8:$H$58,7), VLOOKUP(0,setup!$A$8:$H$58,2),VLOOKUP(0,setup!$A$8:$H$58,5),VLOOKUP(N238,setup!$A$8:$H$58,8))</f>
        <v/>
      </c>
    </row>
    <row r="239" spans="1:15" x14ac:dyDescent="0.25">
      <c r="A239" s="29" t="s">
        <v>29</v>
      </c>
      <c r="O239" s="7" t="str">
        <f ca="1">getCodigoBackend(N239,A239,VLOOKUP(N239,setup!$A$8:$H$58,2),VLOOKUP(N239,setup!$A$8:$H$58,3),VLOOKUP(N239,setup!$A$8:$H$58,4),VLOOKUP(N239,setup!$A$8:$H$58,5),VLOOKUP(N239,setup!$A$8:$H$58,6),VLOOKUP(N239,setup!$A$8:$H$58,7), VLOOKUP(0,setup!$A$8:$H$58,2),VLOOKUP(0,setup!$A$8:$H$58,5),VLOOKUP(N239,setup!$A$8:$H$58,8))</f>
        <v>?&gt;</v>
      </c>
    </row>
    <row r="240" spans="1:15" x14ac:dyDescent="0.25">
      <c r="A240" s="29"/>
      <c r="O240" s="7" t="str">
        <f ca="1">getCodigoBackend(N240,A240,VLOOKUP(N240,setup!$A$8:$H$58,2),VLOOKUP(N240,setup!$A$8:$H$58,3),VLOOKUP(N240,setup!$A$8:$H$58,4),VLOOKUP(N240,setup!$A$8:$H$58,5),VLOOKUP(N240,setup!$A$8:$H$58,6),VLOOKUP(N240,setup!$A$8:$H$58,7), VLOOKUP(0,setup!$A$8:$H$58,2),VLOOKUP(0,setup!$A$8:$H$58,5),VLOOKUP(N240,setup!$A$8:$H$58,8))</f>
        <v/>
      </c>
    </row>
    <row r="241" spans="1:15" x14ac:dyDescent="0.25">
      <c r="A241" s="29"/>
      <c r="O241" s="7" t="str">
        <f ca="1">getCodigoBackend(N241,A241,VLOOKUP(N241,setup!$A$8:$H$58,2),VLOOKUP(N241,setup!$A$8:$H$58,3),VLOOKUP(N241,setup!$A$8:$H$58,4),VLOOKUP(N241,setup!$A$8:$H$58,5),VLOOKUP(N241,setup!$A$8:$H$58,6),VLOOKUP(N241,setup!$A$8:$H$58,7), VLOOKUP(0,setup!$A$8:$H$58,2),VLOOKUP(0,setup!$A$8:$H$58,5),VLOOKUP(N241,setup!$A$8:$H$58,8))</f>
        <v/>
      </c>
    </row>
    <row r="242" spans="1:15" x14ac:dyDescent="0.25">
      <c r="A242" s="29"/>
      <c r="O242" s="7" t="str">
        <f ca="1">getCodigoBackend(N242,A242,VLOOKUP(N242,setup!$A$8:$H$58,2),VLOOKUP(N242,setup!$A$8:$H$58,3),VLOOKUP(N242,setup!$A$8:$H$58,4),VLOOKUP(N242,setup!$A$8:$H$58,5),VLOOKUP(N242,setup!$A$8:$H$58,6),VLOOKUP(N242,setup!$A$8:$H$58,7), VLOOKUP(0,setup!$A$8:$H$58,2),VLOOKUP(0,setup!$A$8:$H$58,5),VLOOKUP(N242,setup!$A$8:$H$58,8))</f>
        <v/>
      </c>
    </row>
    <row r="243" spans="1:15" x14ac:dyDescent="0.25">
      <c r="A243" s="29"/>
      <c r="O243" s="7" t="str">
        <f ca="1">getCodigoBackend(N243,A243,VLOOKUP(N243,setup!$A$8:$H$58,2),VLOOKUP(N243,setup!$A$8:$H$58,3),VLOOKUP(N243,setup!$A$8:$H$58,4),VLOOKUP(N243,setup!$A$8:$H$58,5),VLOOKUP(N243,setup!$A$8:$H$58,6),VLOOKUP(N243,setup!$A$8:$H$58,7), VLOOKUP(0,setup!$A$8:$H$58,2),VLOOKUP(0,setup!$A$8:$H$58,5),VLOOKUP(N243,setup!$A$8:$H$58,8))</f>
        <v/>
      </c>
    </row>
    <row r="244" spans="1:15" x14ac:dyDescent="0.25">
      <c r="A244" s="29"/>
      <c r="O244" s="7" t="str">
        <f ca="1">getCodigoBackend(N244,A244,VLOOKUP(N244,setup!$A$8:$H$58,2),VLOOKUP(N244,setup!$A$8:$H$58,3),VLOOKUP(N244,setup!$A$8:$H$58,4),VLOOKUP(N244,setup!$A$8:$H$58,5),VLOOKUP(N244,setup!$A$8:$H$58,6),VLOOKUP(N244,setup!$A$8:$H$58,7), VLOOKUP(0,setup!$A$8:$H$58,2),VLOOKUP(0,setup!$A$8:$H$58,5),VLOOKUP(N244,setup!$A$8:$H$58,8))</f>
        <v/>
      </c>
    </row>
    <row r="245" spans="1:15" x14ac:dyDescent="0.25">
      <c r="A245" s="29"/>
      <c r="O245" s="7" t="str">
        <f ca="1">getCodigoBackend(N245,A245,VLOOKUP(N245,setup!$A$8:$H$58,2),VLOOKUP(N245,setup!$A$8:$H$58,3),VLOOKUP(N245,setup!$A$8:$H$58,4),VLOOKUP(N245,setup!$A$8:$H$58,5),VLOOKUP(N245,setup!$A$8:$H$58,6),VLOOKUP(N245,setup!$A$8:$H$58,7), VLOOKUP(0,setup!$A$8:$H$58,2),VLOOKUP(0,setup!$A$8:$H$58,5),VLOOKUP(N245,setup!$A$8:$H$58,8))</f>
        <v/>
      </c>
    </row>
    <row r="246" spans="1:15" x14ac:dyDescent="0.25">
      <c r="A246" s="29"/>
      <c r="O246" s="7" t="str">
        <f ca="1">getCodigoBackend(N246,A246,VLOOKUP(N246,setup!$A$8:$H$58,2),VLOOKUP(N246,setup!$A$8:$H$58,3),VLOOKUP(N246,setup!$A$8:$H$58,4),VLOOKUP(N246,setup!$A$8:$H$58,5),VLOOKUP(N246,setup!$A$8:$H$58,6),VLOOKUP(N246,setup!$A$8:$H$58,7), VLOOKUP(0,setup!$A$8:$H$58,2),VLOOKUP(0,setup!$A$8:$H$58,5),VLOOKUP(N246,setup!$A$8:$H$58,8))</f>
        <v/>
      </c>
    </row>
    <row r="247" spans="1:15" x14ac:dyDescent="0.25">
      <c r="A247" s="29"/>
      <c r="O247" s="7" t="str">
        <f ca="1">getCodigoBackend(N247,A247,VLOOKUP(N247,setup!$A$8:$H$58,2),VLOOKUP(N247,setup!$A$8:$H$58,3),VLOOKUP(N247,setup!$A$8:$H$58,4),VLOOKUP(N247,setup!$A$8:$H$58,5),VLOOKUP(N247,setup!$A$8:$H$58,6),VLOOKUP(N247,setup!$A$8:$H$58,7), VLOOKUP(0,setup!$A$8:$H$58,2),VLOOKUP(0,setup!$A$8:$H$58,5),VLOOKUP(N247,setup!$A$8:$H$58,8))</f>
        <v/>
      </c>
    </row>
    <row r="248" spans="1:15" x14ac:dyDescent="0.25">
      <c r="A248" s="29"/>
      <c r="O248" s="7" t="str">
        <f ca="1">getCodigoBackend(N248,A248,VLOOKUP(N248,setup!$A$8:$H$58,2),VLOOKUP(N248,setup!$A$8:$H$58,3),VLOOKUP(N248,setup!$A$8:$H$58,4),VLOOKUP(N248,setup!$A$8:$H$58,5),VLOOKUP(N248,setup!$A$8:$H$58,6),VLOOKUP(N248,setup!$A$8:$H$58,7), VLOOKUP(0,setup!$A$8:$H$58,2),VLOOKUP(0,setup!$A$8:$H$58,5),VLOOKUP(N248,setup!$A$8:$H$58,8))</f>
        <v/>
      </c>
    </row>
    <row r="249" spans="1:15" x14ac:dyDescent="0.25">
      <c r="A249" s="29"/>
      <c r="O249" s="7" t="str">
        <f ca="1">getCodigoBackend(N249,A249,VLOOKUP(N249,setup!$A$8:$H$58,2),VLOOKUP(N249,setup!$A$8:$H$58,3),VLOOKUP(N249,setup!$A$8:$H$58,4),VLOOKUP(N249,setup!$A$8:$H$58,5),VLOOKUP(N249,setup!$A$8:$H$58,6),VLOOKUP(N249,setup!$A$8:$H$58,7), VLOOKUP(0,setup!$A$8:$H$58,2),VLOOKUP(0,setup!$A$8:$H$58,5),VLOOKUP(N249,setup!$A$8:$H$58,8))</f>
        <v/>
      </c>
    </row>
    <row r="250" spans="1:15" x14ac:dyDescent="0.25">
      <c r="A250" s="29"/>
      <c r="O250" s="7" t="str">
        <f ca="1">getCodigoBackend(N250,A250,VLOOKUP(N250,setup!$A$8:$H$58,2),VLOOKUP(N250,setup!$A$8:$H$58,3),VLOOKUP(N250,setup!$A$8:$H$58,4),VLOOKUP(N250,setup!$A$8:$H$58,5),VLOOKUP(N250,setup!$A$8:$H$58,6),VLOOKUP(N250,setup!$A$8:$H$58,7), VLOOKUP(0,setup!$A$8:$H$58,2),VLOOKUP(0,setup!$A$8:$H$58,5),VLOOKUP(N250,setup!$A$8:$H$58,8))</f>
        <v/>
      </c>
    </row>
    <row r="251" spans="1:15" x14ac:dyDescent="0.25">
      <c r="A251" s="29"/>
      <c r="O251" s="7" t="str">
        <f ca="1">getCodigoBackend(N251,A251,VLOOKUP(N251,setup!$A$8:$H$58,2),VLOOKUP(N251,setup!$A$8:$H$58,3),VLOOKUP(N251,setup!$A$8:$H$58,4),VLOOKUP(N251,setup!$A$8:$H$58,5),VLOOKUP(N251,setup!$A$8:$H$58,6),VLOOKUP(N251,setup!$A$8:$H$58,7), VLOOKUP(0,setup!$A$8:$H$58,2),VLOOKUP(0,setup!$A$8:$H$58,5),VLOOKUP(N251,setup!$A$8:$H$58,8))</f>
        <v/>
      </c>
    </row>
    <row r="252" spans="1:15" x14ac:dyDescent="0.25">
      <c r="A252" s="29"/>
      <c r="O252" s="7" t="str">
        <f ca="1">getCodigoBackend(N252,A252,VLOOKUP(N252,setup!$A$8:$H$58,2),VLOOKUP(N252,setup!$A$8:$H$58,3),VLOOKUP(N252,setup!$A$8:$H$58,4),VLOOKUP(N252,setup!$A$8:$H$58,5),VLOOKUP(N252,setup!$A$8:$H$58,6),VLOOKUP(N252,setup!$A$8:$H$58,7), VLOOKUP(0,setup!$A$8:$H$58,2),VLOOKUP(0,setup!$A$8:$H$58,5),VLOOKUP(N252,setup!$A$8:$H$58,8))</f>
        <v/>
      </c>
    </row>
    <row r="253" spans="1:15" x14ac:dyDescent="0.25">
      <c r="A253" s="29"/>
      <c r="O253" s="7" t="str">
        <f ca="1">getCodigoBackend(N253,A253,VLOOKUP(N253,setup!$A$8:$H$58,2),VLOOKUP(N253,setup!$A$8:$H$58,3),VLOOKUP(N253,setup!$A$8:$H$58,4),VLOOKUP(N253,setup!$A$8:$H$58,5),VLOOKUP(N253,setup!$A$8:$H$58,6),VLOOKUP(N253,setup!$A$8:$H$58,7), VLOOKUP(0,setup!$A$8:$H$58,2),VLOOKUP(0,setup!$A$8:$H$58,5),VLOOKUP(N253,setup!$A$8:$H$58,8))</f>
        <v/>
      </c>
    </row>
    <row r="254" spans="1:15" x14ac:dyDescent="0.25">
      <c r="A254" s="29"/>
      <c r="O254" s="7" t="str">
        <f ca="1">getCodigoBackend(N254,A254,VLOOKUP(N254,setup!$A$8:$H$58,2),VLOOKUP(N254,setup!$A$8:$H$58,3),VLOOKUP(N254,setup!$A$8:$H$58,4),VLOOKUP(N254,setup!$A$8:$H$58,5),VLOOKUP(N254,setup!$A$8:$H$58,6),VLOOKUP(N254,setup!$A$8:$H$58,7), VLOOKUP(0,setup!$A$8:$H$58,2),VLOOKUP(0,setup!$A$8:$H$58,5),VLOOKUP(N254,setup!$A$8:$H$58,8))</f>
        <v/>
      </c>
    </row>
    <row r="255" spans="1:15" x14ac:dyDescent="0.25">
      <c r="A255" s="29"/>
      <c r="O255" s="7" t="str">
        <f ca="1">getCodigoBackend(N255,A255,VLOOKUP(N255,setup!$A$8:$H$58,2),VLOOKUP(N255,setup!$A$8:$H$58,3),VLOOKUP(N255,setup!$A$8:$H$58,4),VLOOKUP(N255,setup!$A$8:$H$58,5),VLOOKUP(N255,setup!$A$8:$H$58,6),VLOOKUP(N255,setup!$A$8:$H$58,7), VLOOKUP(0,setup!$A$8:$H$58,2),VLOOKUP(0,setup!$A$8:$H$58,5),VLOOKUP(N255,setup!$A$8:$H$58,8))</f>
        <v/>
      </c>
    </row>
    <row r="256" spans="1:15" x14ac:dyDescent="0.25">
      <c r="A256" s="31"/>
      <c r="O256" s="7" t="str">
        <f ca="1">getCodigoBackend(N256,A256,VLOOKUP(N256,setup!$A$8:$H$58,2),VLOOKUP(N256,setup!$A$8:$H$58,3),VLOOKUP(N256,setup!$A$8:$H$58,4),VLOOKUP(N256,setup!$A$8:$H$58,5),VLOOKUP(N256,setup!$A$8:$H$58,6),VLOOKUP(N256,setup!$A$8:$H$58,7), VLOOKUP(0,setup!$A$8:$H$58,2),VLOOKUP(0,setup!$A$8:$H$58,5),VLOOKUP(N256,setup!$A$8:$H$58,8))</f>
        <v/>
      </c>
    </row>
    <row r="257" spans="1:15" x14ac:dyDescent="0.25">
      <c r="A257" s="29"/>
      <c r="O257" s="7" t="str">
        <f ca="1">getCodigoBackend(N257,A257,VLOOKUP(N257,setup!$A$8:$H$58,2),VLOOKUP(N257,setup!$A$8:$H$58,3),VLOOKUP(N257,setup!$A$8:$H$58,4),VLOOKUP(N257,setup!$A$8:$H$58,5),VLOOKUP(N257,setup!$A$8:$H$58,6),VLOOKUP(N257,setup!$A$8:$H$58,7), VLOOKUP(0,setup!$A$8:$H$58,2),VLOOKUP(0,setup!$A$8:$H$58,5),VLOOKUP(N257,setup!$A$8:$H$58,8))</f>
        <v/>
      </c>
    </row>
    <row r="258" spans="1:15" x14ac:dyDescent="0.25">
      <c r="A258" s="29"/>
      <c r="O258" s="7" t="str">
        <f ca="1">getCodigoBackend(N258,A258,VLOOKUP(N258,setup!$A$8:$H$58,2),VLOOKUP(N258,setup!$A$8:$H$58,3),VLOOKUP(N258,setup!$A$8:$H$58,4),VLOOKUP(N258,setup!$A$8:$H$58,5),VLOOKUP(N258,setup!$A$8:$H$58,6),VLOOKUP(N258,setup!$A$8:$H$58,7), VLOOKUP(0,setup!$A$8:$H$58,2),VLOOKUP(0,setup!$A$8:$H$58,5),VLOOKUP(N258,setup!$A$8:$H$58,8))</f>
        <v/>
      </c>
    </row>
    <row r="259" spans="1:15" x14ac:dyDescent="0.25">
      <c r="A259" s="29"/>
      <c r="O259" s="7" t="str">
        <f ca="1">getCodigoBackend(N259,A259,VLOOKUP(N259,setup!$A$8:$H$58,2),VLOOKUP(N259,setup!$A$8:$H$58,3),VLOOKUP(N259,setup!$A$8:$H$58,4),VLOOKUP(N259,setup!$A$8:$H$58,5),VLOOKUP(N259,setup!$A$8:$H$58,6),VLOOKUP(N259,setup!$A$8:$H$58,7), VLOOKUP(0,setup!$A$8:$H$58,2),VLOOKUP(0,setup!$A$8:$H$58,5),VLOOKUP(N259,setup!$A$8:$H$58,8))</f>
        <v/>
      </c>
    </row>
    <row r="260" spans="1:15" x14ac:dyDescent="0.25">
      <c r="A260" s="29"/>
      <c r="O260" s="7" t="str">
        <f ca="1">getCodigoBackend(N260,A260,VLOOKUP(N260,setup!$A$8:$H$58,2),VLOOKUP(N260,setup!$A$8:$H$58,3),VLOOKUP(N260,setup!$A$8:$H$58,4),VLOOKUP(N260,setup!$A$8:$H$58,5),VLOOKUP(N260,setup!$A$8:$H$58,6),VLOOKUP(N260,setup!$A$8:$H$58,7), VLOOKUP(0,setup!$A$8:$H$58,2),VLOOKUP(0,setup!$A$8:$H$58,5),VLOOKUP(N260,setup!$A$8:$H$58,8))</f>
        <v/>
      </c>
    </row>
    <row r="261" spans="1:15" x14ac:dyDescent="0.25">
      <c r="A261" s="32"/>
      <c r="O261" s="7" t="str">
        <f ca="1">getCodigoBackend(N261,A261,VLOOKUP(N261,setup!$A$8:$H$58,2),VLOOKUP(N261,setup!$A$8:$H$58,3),VLOOKUP(N261,setup!$A$8:$H$58,4),VLOOKUP(N261,setup!$A$8:$H$58,5),VLOOKUP(N261,setup!$A$8:$H$58,6),VLOOKUP(N261,setup!$A$8:$H$58,7), VLOOKUP(0,setup!$A$8:$H$58,2),VLOOKUP(0,setup!$A$8:$H$58,5),VLOOKUP(N261,setup!$A$8:$H$58,8))</f>
        <v/>
      </c>
    </row>
    <row r="262" spans="1:15" x14ac:dyDescent="0.25">
      <c r="A262" s="32"/>
      <c r="O262" s="7" t="str">
        <f ca="1">getCodigoBackend(N262,A262,VLOOKUP(N262,setup!$A$8:$H$58,2),VLOOKUP(N262,setup!$A$8:$H$58,3),VLOOKUP(N262,setup!$A$8:$H$58,4),VLOOKUP(N262,setup!$A$8:$H$58,5),VLOOKUP(N262,setup!$A$8:$H$58,6),VLOOKUP(N262,setup!$A$8:$H$58,7), VLOOKUP(0,setup!$A$8:$H$58,2),VLOOKUP(0,setup!$A$8:$H$58,5),VLOOKUP(N262,setup!$A$8:$H$58,8))</f>
        <v/>
      </c>
    </row>
    <row r="263" spans="1:15" x14ac:dyDescent="0.25">
      <c r="A263" s="32"/>
      <c r="O263" s="7" t="str">
        <f ca="1">getCodigoBackend(N263,A263,VLOOKUP(N263,setup!$A$8:$H$58,2),VLOOKUP(N263,setup!$A$8:$H$58,3),VLOOKUP(N263,setup!$A$8:$H$58,4),VLOOKUP(N263,setup!$A$8:$H$58,5),VLOOKUP(N263,setup!$A$8:$H$58,6),VLOOKUP(N263,setup!$A$8:$H$58,7), VLOOKUP(0,setup!$A$8:$H$58,2),VLOOKUP(0,setup!$A$8:$H$58,5),VLOOKUP(N263,setup!$A$8:$H$58,8))</f>
        <v/>
      </c>
    </row>
    <row r="264" spans="1:15" x14ac:dyDescent="0.25">
      <c r="A264" s="32"/>
      <c r="O264" s="7" t="str">
        <f ca="1">getCodigoBackend(N264,A264,VLOOKUP(N264,setup!$A$8:$H$58,2),VLOOKUP(N264,setup!$A$8:$H$58,3),VLOOKUP(N264,setup!$A$8:$H$58,4),VLOOKUP(N264,setup!$A$8:$H$58,5),VLOOKUP(N264,setup!$A$8:$H$58,6),VLOOKUP(N264,setup!$A$8:$H$58,7), VLOOKUP(0,setup!$A$8:$H$58,2),VLOOKUP(0,setup!$A$8:$H$58,5),VLOOKUP(N264,setup!$A$8:$H$58,8))</f>
        <v/>
      </c>
    </row>
    <row r="265" spans="1:15" x14ac:dyDescent="0.25">
      <c r="A265" s="32"/>
      <c r="O265" s="7" t="str">
        <f ca="1">getCodigoBackend(N265,A265,VLOOKUP(N265,setup!$A$8:$H$58,2),VLOOKUP(N265,setup!$A$8:$H$58,3),VLOOKUP(N265,setup!$A$8:$H$58,4),VLOOKUP(N265,setup!$A$8:$H$58,5),VLOOKUP(N265,setup!$A$8:$H$58,6),VLOOKUP(N265,setup!$A$8:$H$58,7), VLOOKUP(0,setup!$A$8:$H$58,2),VLOOKUP(0,setup!$A$8:$H$58,5),VLOOKUP(N265,setup!$A$8:$H$58,8))</f>
        <v/>
      </c>
    </row>
    <row r="266" spans="1:15" x14ac:dyDescent="0.25">
      <c r="A266" s="32"/>
      <c r="O266" s="7" t="str">
        <f ca="1">getCodigoBackend(N266,A266,VLOOKUP(N266,setup!$A$8:$H$58,2),VLOOKUP(N266,setup!$A$8:$H$58,3),VLOOKUP(N266,setup!$A$8:$H$58,4),VLOOKUP(N266,setup!$A$8:$H$58,5),VLOOKUP(N266,setup!$A$8:$H$58,6),VLOOKUP(N266,setup!$A$8:$H$58,7), VLOOKUP(0,setup!$A$8:$H$58,2),VLOOKUP(0,setup!$A$8:$H$58,5),VLOOKUP(N266,setup!$A$8:$H$58,8))</f>
        <v/>
      </c>
    </row>
    <row r="267" spans="1:15" x14ac:dyDescent="0.25">
      <c r="A267" s="32"/>
      <c r="O267" s="7" t="str">
        <f ca="1">getCodigoBackend(N267,A267,VLOOKUP(N267,setup!$A$8:$H$58,2),VLOOKUP(N267,setup!$A$8:$H$58,3),VLOOKUP(N267,setup!$A$8:$H$58,4),VLOOKUP(N267,setup!$A$8:$H$58,5),VLOOKUP(N267,setup!$A$8:$H$58,6),VLOOKUP(N267,setup!$A$8:$H$58,7), VLOOKUP(0,setup!$A$8:$H$58,2),VLOOKUP(0,setup!$A$8:$H$58,5),VLOOKUP(N267,setup!$A$8:$H$58,8))</f>
        <v/>
      </c>
    </row>
    <row r="268" spans="1:15" x14ac:dyDescent="0.25">
      <c r="A268" s="32"/>
      <c r="O268" s="7" t="str">
        <f ca="1">getCodigoBackend(N268,A268,VLOOKUP(N268,setup!$A$8:$H$58,2),VLOOKUP(N268,setup!$A$8:$H$58,3),VLOOKUP(N268,setup!$A$8:$H$58,4),VLOOKUP(N268,setup!$A$8:$H$58,5),VLOOKUP(N268,setup!$A$8:$H$58,6),VLOOKUP(N268,setup!$A$8:$H$58,7), VLOOKUP(0,setup!$A$8:$H$58,2),VLOOKUP(0,setup!$A$8:$H$58,5),VLOOKUP(N268,setup!$A$8:$H$58,8))</f>
        <v/>
      </c>
    </row>
    <row r="269" spans="1:15" x14ac:dyDescent="0.25">
      <c r="A269" s="32"/>
      <c r="O269" s="7" t="str">
        <f ca="1">getCodigoBackend(N269,A269,VLOOKUP(N269,setup!$A$8:$H$58,2),VLOOKUP(N269,setup!$A$8:$H$58,3),VLOOKUP(N269,setup!$A$8:$H$58,4),VLOOKUP(N269,setup!$A$8:$H$58,5),VLOOKUP(N269,setup!$A$8:$H$58,6),VLOOKUP(N269,setup!$A$8:$H$58,7), VLOOKUP(0,setup!$A$8:$H$58,2),VLOOKUP(0,setup!$A$8:$H$58,5),VLOOKUP(N269,setup!$A$8:$H$58,8))</f>
        <v/>
      </c>
    </row>
    <row r="270" spans="1:15" x14ac:dyDescent="0.25">
      <c r="A270" s="32"/>
      <c r="O270" s="7" t="str">
        <f ca="1">getCodigoBackend(N270,A270,VLOOKUP(N270,setup!$A$8:$H$58,2),VLOOKUP(N270,setup!$A$8:$H$58,3),VLOOKUP(N270,setup!$A$8:$H$58,4),VLOOKUP(N270,setup!$A$8:$H$58,5),VLOOKUP(N270,setup!$A$8:$H$58,6),VLOOKUP(N270,setup!$A$8:$H$58,7), VLOOKUP(0,setup!$A$8:$H$58,2),VLOOKUP(0,setup!$A$8:$H$58,5),VLOOKUP(N270,setup!$A$8:$H$58,8))</f>
        <v/>
      </c>
    </row>
    <row r="271" spans="1:15" x14ac:dyDescent="0.25">
      <c r="A271" s="32"/>
      <c r="O271" s="7" t="str">
        <f ca="1">getCodigoBackend(N271,A271,VLOOKUP(N271,setup!$A$8:$H$58,2),VLOOKUP(N271,setup!$A$8:$H$58,3),VLOOKUP(N271,setup!$A$8:$H$58,4),VLOOKUP(N271,setup!$A$8:$H$58,5),VLOOKUP(N271,setup!$A$8:$H$58,6),VLOOKUP(N271,setup!$A$8:$H$58,7), VLOOKUP(0,setup!$A$8:$H$58,2),VLOOKUP(0,setup!$A$8:$H$58,5),VLOOKUP(N271,setup!$A$8:$H$58,8))</f>
        <v/>
      </c>
    </row>
    <row r="272" spans="1:15" x14ac:dyDescent="0.25">
      <c r="A272" s="32"/>
      <c r="O272" s="7" t="str">
        <f ca="1">getCodigoBackend(N272,A272,VLOOKUP(N272,setup!$A$8:$H$58,2),VLOOKUP(N272,setup!$A$8:$H$58,3),VLOOKUP(N272,setup!$A$8:$H$58,4),VLOOKUP(N272,setup!$A$8:$H$58,5),VLOOKUP(N272,setup!$A$8:$H$58,6),VLOOKUP(N272,setup!$A$8:$H$58,7), VLOOKUP(0,setup!$A$8:$H$58,2),VLOOKUP(0,setup!$A$8:$H$58,5),VLOOKUP(N272,setup!$A$8:$H$58,8))</f>
        <v/>
      </c>
    </row>
    <row r="273" spans="1:15" x14ac:dyDescent="0.25">
      <c r="A273" s="32"/>
      <c r="O273" s="7" t="str">
        <f ca="1">getCodigoBackend(N273,A273,VLOOKUP(N273,setup!$A$8:$H$58,2),VLOOKUP(N273,setup!$A$8:$H$58,3),VLOOKUP(N273,setup!$A$8:$H$58,4),VLOOKUP(N273,setup!$A$8:$H$58,5),VLOOKUP(N273,setup!$A$8:$H$58,6),VLOOKUP(N273,setup!$A$8:$H$58,7), VLOOKUP(0,setup!$A$8:$H$58,2),VLOOKUP(0,setup!$A$8:$H$58,5),VLOOKUP(N273,setup!$A$8:$H$58,8))</f>
        <v/>
      </c>
    </row>
    <row r="274" spans="1:15" x14ac:dyDescent="0.25">
      <c r="A274" s="32"/>
      <c r="O274" s="7" t="str">
        <f ca="1">getCodigoBackend(N274,A274,VLOOKUP(N274,setup!$A$8:$H$58,2),VLOOKUP(N274,setup!$A$8:$H$58,3),VLOOKUP(N274,setup!$A$8:$H$58,4),VLOOKUP(N274,setup!$A$8:$H$58,5),VLOOKUP(N274,setup!$A$8:$H$58,6),VLOOKUP(N274,setup!$A$8:$H$58,7), VLOOKUP(0,setup!$A$8:$H$58,2),VLOOKUP(0,setup!$A$8:$H$58,5),VLOOKUP(N274,setup!$A$8:$H$58,8))</f>
        <v/>
      </c>
    </row>
    <row r="275" spans="1:15" x14ac:dyDescent="0.25">
      <c r="A275" s="32"/>
      <c r="O275" s="7" t="str">
        <f ca="1">getCodigoBackend(N275,A275,VLOOKUP(N275,setup!$A$8:$H$58,2),VLOOKUP(N275,setup!$A$8:$H$58,3),VLOOKUP(N275,setup!$A$8:$H$58,4),VLOOKUP(N275,setup!$A$8:$H$58,5),VLOOKUP(N275,setup!$A$8:$H$58,6),VLOOKUP(N275,setup!$A$8:$H$58,7), VLOOKUP(0,setup!$A$8:$H$58,2),VLOOKUP(0,setup!$A$8:$H$58,5),VLOOKUP(N275,setup!$A$8:$H$58,8))</f>
        <v/>
      </c>
    </row>
    <row r="276" spans="1:15" x14ac:dyDescent="0.25">
      <c r="A276" s="32"/>
      <c r="O276" s="7" t="str">
        <f ca="1">getCodigoBackend(N276,A276,VLOOKUP(N276,setup!$A$8:$H$58,2),VLOOKUP(N276,setup!$A$8:$H$58,3),VLOOKUP(N276,setup!$A$8:$H$58,4),VLOOKUP(N276,setup!$A$8:$H$58,5),VLOOKUP(N276,setup!$A$8:$H$58,6),VLOOKUP(N276,setup!$A$8:$H$58,7), VLOOKUP(0,setup!$A$8:$H$58,2),VLOOKUP(0,setup!$A$8:$H$58,5),VLOOKUP(N276,setup!$A$8:$H$58,8))</f>
        <v/>
      </c>
    </row>
    <row r="277" spans="1:15" x14ac:dyDescent="0.25">
      <c r="A277" s="32"/>
      <c r="O277" s="7" t="str">
        <f ca="1">getCodigoBackend(N277,A277,VLOOKUP(N277,setup!$A$8:$H$58,2),VLOOKUP(N277,setup!$A$8:$H$58,3),VLOOKUP(N277,setup!$A$8:$H$58,4),VLOOKUP(N277,setup!$A$8:$H$58,5),VLOOKUP(N277,setup!$A$8:$H$58,6),VLOOKUP(N277,setup!$A$8:$H$58,7), VLOOKUP(0,setup!$A$8:$H$58,2),VLOOKUP(0,setup!$A$8:$H$58,5),VLOOKUP(N277,setup!$A$8:$H$58,8))</f>
        <v/>
      </c>
    </row>
    <row r="278" spans="1:15" x14ac:dyDescent="0.25">
      <c r="A278" s="32"/>
      <c r="O278" s="7" t="str">
        <f ca="1">getCodigoBackend(N278,A278,VLOOKUP(N278,setup!$A$8:$H$58,2),VLOOKUP(N278,setup!$A$8:$H$58,3),VLOOKUP(N278,setup!$A$8:$H$58,4),VLOOKUP(N278,setup!$A$8:$H$58,5),VLOOKUP(N278,setup!$A$8:$H$58,6),VLOOKUP(N278,setup!$A$8:$H$58,7), VLOOKUP(0,setup!$A$8:$H$58,2),VLOOKUP(0,setup!$A$8:$H$58,5),VLOOKUP(N278,setup!$A$8:$H$58,8))</f>
        <v/>
      </c>
    </row>
    <row r="279" spans="1:15" x14ac:dyDescent="0.25">
      <c r="A279" s="32"/>
      <c r="O279" s="7" t="str">
        <f ca="1">getCodigoBackend(N279,A279,VLOOKUP(N279,setup!$A$8:$H$58,2),VLOOKUP(N279,setup!$A$8:$H$58,3),VLOOKUP(N279,setup!$A$8:$H$58,4),VLOOKUP(N279,setup!$A$8:$H$58,5),VLOOKUP(N279,setup!$A$8:$H$58,6),VLOOKUP(N279,setup!$A$8:$H$58,7), VLOOKUP(0,setup!$A$8:$H$58,2),VLOOKUP(0,setup!$A$8:$H$58,5),VLOOKUP(N279,setup!$A$8:$H$58,8))</f>
        <v/>
      </c>
    </row>
    <row r="280" spans="1:15" x14ac:dyDescent="0.25">
      <c r="A280" s="32"/>
      <c r="O280" s="7" t="str">
        <f ca="1">getCodigoBackend(N280,A280,VLOOKUP(N280,setup!$A$8:$H$58,2),VLOOKUP(N280,setup!$A$8:$H$58,3),VLOOKUP(N280,setup!$A$8:$H$58,4),VLOOKUP(N280,setup!$A$8:$H$58,5),VLOOKUP(N280,setup!$A$8:$H$58,6),VLOOKUP(N280,setup!$A$8:$H$58,7), VLOOKUP(0,setup!$A$8:$H$58,2),VLOOKUP(0,setup!$A$8:$H$58,5),VLOOKUP(N280,setup!$A$8:$H$58,8))</f>
        <v/>
      </c>
    </row>
    <row r="281" spans="1:15" x14ac:dyDescent="0.25">
      <c r="A281" s="32"/>
      <c r="O281" s="7" t="str">
        <f ca="1">getCodigoBackend(N281,A281,VLOOKUP(N281,setup!$A$8:$H$58,2),VLOOKUP(N281,setup!$A$8:$H$58,3),VLOOKUP(N281,setup!$A$8:$H$58,4),VLOOKUP(N281,setup!$A$8:$H$58,5),VLOOKUP(N281,setup!$A$8:$H$58,6),VLOOKUP(N281,setup!$A$8:$H$58,7), VLOOKUP(0,setup!$A$8:$H$58,2),VLOOKUP(0,setup!$A$8:$H$58,5),VLOOKUP(N281,setup!$A$8:$H$58,8))</f>
        <v/>
      </c>
    </row>
    <row r="282" spans="1:15" x14ac:dyDescent="0.25">
      <c r="A282" s="32"/>
      <c r="O282" s="7" t="str">
        <f ca="1">getCodigoBackend(N282,A282,VLOOKUP(N282,setup!$A$8:$H$58,2),VLOOKUP(N282,setup!$A$8:$H$58,3),VLOOKUP(N282,setup!$A$8:$H$58,4),VLOOKUP(N282,setup!$A$8:$H$58,5),VLOOKUP(N282,setup!$A$8:$H$58,6),VLOOKUP(N282,setup!$A$8:$H$58,7), VLOOKUP(0,setup!$A$8:$H$58,2),VLOOKUP(0,setup!$A$8:$H$58,5),VLOOKUP(N282,setup!$A$8:$H$58,8))</f>
        <v/>
      </c>
    </row>
    <row r="283" spans="1:15" x14ac:dyDescent="0.25">
      <c r="A283" s="32"/>
      <c r="O283" s="7" t="str">
        <f ca="1">getCodigoBackend(N283,A283,VLOOKUP(N283,setup!$A$8:$H$58,2),VLOOKUP(N283,setup!$A$8:$H$58,3),VLOOKUP(N283,setup!$A$8:$H$58,4),VLOOKUP(N283,setup!$A$8:$H$58,5),VLOOKUP(N283,setup!$A$8:$H$58,6),VLOOKUP(N283,setup!$A$8:$H$58,7), VLOOKUP(0,setup!$A$8:$H$58,2),VLOOKUP(0,setup!$A$8:$H$58,5),VLOOKUP(N283,setup!$A$8:$H$58,8))</f>
        <v/>
      </c>
    </row>
    <row r="284" spans="1:15" x14ac:dyDescent="0.25">
      <c r="A284" s="32"/>
      <c r="O284" s="7" t="str">
        <f ca="1">getCodigoBackend(N284,A284,VLOOKUP(N284,setup!$A$8:$H$58,2),VLOOKUP(N284,setup!$A$8:$H$58,3),VLOOKUP(N284,setup!$A$8:$H$58,4),VLOOKUP(N284,setup!$A$8:$H$58,5),VLOOKUP(N284,setup!$A$8:$H$58,6),VLOOKUP(N284,setup!$A$8:$H$58,7), VLOOKUP(0,setup!$A$8:$H$58,2),VLOOKUP(0,setup!$A$8:$H$58,5),VLOOKUP(N284,setup!$A$8:$H$58,8))</f>
        <v/>
      </c>
    </row>
    <row r="285" spans="1:15" x14ac:dyDescent="0.25">
      <c r="A285" s="32"/>
      <c r="O285" s="7" t="str">
        <f ca="1">getCodigoBackend(N285,A285,VLOOKUP(N285,setup!$A$8:$H$58,2),VLOOKUP(N285,setup!$A$8:$H$58,3),VLOOKUP(N285,setup!$A$8:$H$58,4),VLOOKUP(N285,setup!$A$8:$H$58,5),VLOOKUP(N285,setup!$A$8:$H$58,6),VLOOKUP(N285,setup!$A$8:$H$58,7), VLOOKUP(0,setup!$A$8:$H$58,2),VLOOKUP(0,setup!$A$8:$H$58,5),VLOOKUP(N285,setup!$A$8:$H$58,8))</f>
        <v/>
      </c>
    </row>
    <row r="286" spans="1:15" x14ac:dyDescent="0.25">
      <c r="A286" s="32"/>
      <c r="O286" s="7" t="str">
        <f ca="1">getCodigoBackend(N286,A286,VLOOKUP(N286,setup!$A$8:$H$58,2),VLOOKUP(N286,setup!$A$8:$H$58,3),VLOOKUP(N286,setup!$A$8:$H$58,4),VLOOKUP(N286,setup!$A$8:$H$58,5),VLOOKUP(N286,setup!$A$8:$H$58,6),VLOOKUP(N286,setup!$A$8:$H$58,7), VLOOKUP(0,setup!$A$8:$H$58,2),VLOOKUP(0,setup!$A$8:$H$58,5),VLOOKUP(N286,setup!$A$8:$H$58,8))</f>
        <v/>
      </c>
    </row>
    <row r="287" spans="1:15" x14ac:dyDescent="0.25">
      <c r="A287" s="32"/>
      <c r="O287" s="7" t="str">
        <f ca="1">getCodigoBackend(N287,A287,VLOOKUP(N287,setup!$A$8:$H$58,2),VLOOKUP(N287,setup!$A$8:$H$58,3),VLOOKUP(N287,setup!$A$8:$H$58,4),VLOOKUP(N287,setup!$A$8:$H$58,5),VLOOKUP(N287,setup!$A$8:$H$58,6),VLOOKUP(N287,setup!$A$8:$H$58,7), VLOOKUP(0,setup!$A$8:$H$58,2),VLOOKUP(0,setup!$A$8:$H$58,5),VLOOKUP(N287,setup!$A$8:$H$58,8))</f>
        <v/>
      </c>
    </row>
    <row r="288" spans="1:15" x14ac:dyDescent="0.25">
      <c r="A288" s="32"/>
      <c r="O288" s="7" t="str">
        <f ca="1">getCodigoBackend(N288,A288,VLOOKUP(N288,setup!$A$8:$H$58,2),VLOOKUP(N288,setup!$A$8:$H$58,3),VLOOKUP(N288,setup!$A$8:$H$58,4),VLOOKUP(N288,setup!$A$8:$H$58,5),VLOOKUP(N288,setup!$A$8:$H$58,6),VLOOKUP(N288,setup!$A$8:$H$58,7), VLOOKUP(0,setup!$A$8:$H$58,2),VLOOKUP(0,setup!$A$8:$H$58,5),VLOOKUP(N288,setup!$A$8:$H$58,8))</f>
        <v/>
      </c>
    </row>
    <row r="289" spans="1:15" x14ac:dyDescent="0.25">
      <c r="A289" s="32"/>
      <c r="O289" s="7" t="str">
        <f ca="1">getCodigoBackend(N289,A289,VLOOKUP(N289,setup!$A$8:$H$58,2),VLOOKUP(N289,setup!$A$8:$H$58,3),VLOOKUP(N289,setup!$A$8:$H$58,4),VLOOKUP(N289,setup!$A$8:$H$58,5),VLOOKUP(N289,setup!$A$8:$H$58,6),VLOOKUP(N289,setup!$A$8:$H$58,7), VLOOKUP(0,setup!$A$8:$H$58,2),VLOOKUP(0,setup!$A$8:$H$58,5),VLOOKUP(N289,setup!$A$8:$H$58,8))</f>
        <v/>
      </c>
    </row>
    <row r="290" spans="1:15" x14ac:dyDescent="0.25">
      <c r="A290" s="32"/>
      <c r="O290" s="7" t="str">
        <f ca="1">getCodigoBackend(N290,A290,VLOOKUP(N290,setup!$A$8:$H$58,2),VLOOKUP(N290,setup!$A$8:$H$58,3),VLOOKUP(N290,setup!$A$8:$H$58,4),VLOOKUP(N290,setup!$A$8:$H$58,5),VLOOKUP(N290,setup!$A$8:$H$58,6),VLOOKUP(N290,setup!$A$8:$H$58,7), VLOOKUP(0,setup!$A$8:$H$58,2),VLOOKUP(0,setup!$A$8:$H$58,5),VLOOKUP(N290,setup!$A$8:$H$58,8))</f>
        <v/>
      </c>
    </row>
    <row r="291" spans="1:15" x14ac:dyDescent="0.25">
      <c r="A291" s="32"/>
      <c r="O291" s="7" t="str">
        <f ca="1">getCodigoBackend(N291,A291,VLOOKUP(N291,setup!$A$8:$H$58,2),VLOOKUP(N291,setup!$A$8:$H$58,3),VLOOKUP(N291,setup!$A$8:$H$58,4),VLOOKUP(N291,setup!$A$8:$H$58,5),VLOOKUP(N291,setup!$A$8:$H$58,6),VLOOKUP(N291,setup!$A$8:$H$58,7), VLOOKUP(0,setup!$A$8:$H$58,2),VLOOKUP(0,setup!$A$8:$H$58,5),VLOOKUP(N291,setup!$A$8:$H$58,8))</f>
        <v/>
      </c>
    </row>
    <row r="292" spans="1:15" x14ac:dyDescent="0.25">
      <c r="A292" s="32"/>
      <c r="O292" s="7" t="str">
        <f ca="1">getCodigoBackend(N292,A292,VLOOKUP(N292,setup!$A$8:$H$58,2),VLOOKUP(N292,setup!$A$8:$H$58,3),VLOOKUP(N292,setup!$A$8:$H$58,4),VLOOKUP(N292,setup!$A$8:$H$58,5),VLOOKUP(N292,setup!$A$8:$H$58,6),VLOOKUP(N292,setup!$A$8:$H$58,7), VLOOKUP(0,setup!$A$8:$H$58,2),VLOOKUP(0,setup!$A$8:$H$58,5),VLOOKUP(N292,setup!$A$8:$H$58,8))</f>
        <v/>
      </c>
    </row>
    <row r="293" spans="1:15" x14ac:dyDescent="0.25">
      <c r="A293" s="32"/>
      <c r="O293" s="7" t="str">
        <f ca="1">getCodigoBackend(N293,A293,VLOOKUP(N293,setup!$A$8:$H$58,2),VLOOKUP(N293,setup!$A$8:$H$58,3),VLOOKUP(N293,setup!$A$8:$H$58,4),VLOOKUP(N293,setup!$A$8:$H$58,5),VLOOKUP(N293,setup!$A$8:$H$58,6),VLOOKUP(N293,setup!$A$8:$H$58,7), VLOOKUP(0,setup!$A$8:$H$58,2),VLOOKUP(0,setup!$A$8:$H$58,5),VLOOKUP(N293,setup!$A$8:$H$58,8))</f>
        <v/>
      </c>
    </row>
    <row r="294" spans="1:15" x14ac:dyDescent="0.25">
      <c r="A294" s="32"/>
      <c r="O294" s="7" t="str">
        <f ca="1">getCodigoBackend(N294,A294,VLOOKUP(N294,setup!$A$8:$H$58,2),VLOOKUP(N294,setup!$A$8:$H$58,3),VLOOKUP(N294,setup!$A$8:$H$58,4),VLOOKUP(N294,setup!$A$8:$H$58,5),VLOOKUP(N294,setup!$A$8:$H$58,6),VLOOKUP(N294,setup!$A$8:$H$58,7), VLOOKUP(0,setup!$A$8:$H$58,2),VLOOKUP(0,setup!$A$8:$H$58,5),VLOOKUP(N294,setup!$A$8:$H$58,8))</f>
        <v/>
      </c>
    </row>
    <row r="295" spans="1:15" x14ac:dyDescent="0.25">
      <c r="A295" s="32"/>
      <c r="O295" s="7" t="str">
        <f ca="1">getCodigoBackend(N295,A295,VLOOKUP(N295,setup!$A$8:$H$58,2),VLOOKUP(N295,setup!$A$8:$H$58,3),VLOOKUP(N295,setup!$A$8:$H$58,4),VLOOKUP(N295,setup!$A$8:$H$58,5),VLOOKUP(N295,setup!$A$8:$H$58,6),VLOOKUP(N295,setup!$A$8:$H$58,7), VLOOKUP(0,setup!$A$8:$H$58,2),VLOOKUP(0,setup!$A$8:$H$58,5),VLOOKUP(N295,setup!$A$8:$H$58,8))</f>
        <v/>
      </c>
    </row>
    <row r="296" spans="1:15" x14ac:dyDescent="0.25">
      <c r="A296" s="32"/>
      <c r="O296" s="7" t="str">
        <f ca="1">getCodigoBackend(N296,A296,VLOOKUP(N296,setup!$A$8:$H$58,2),VLOOKUP(N296,setup!$A$8:$H$58,3),VLOOKUP(N296,setup!$A$8:$H$58,4),VLOOKUP(N296,setup!$A$8:$H$58,5),VLOOKUP(N296,setup!$A$8:$H$58,6),VLOOKUP(N296,setup!$A$8:$H$58,7), VLOOKUP(0,setup!$A$8:$H$58,2),VLOOKUP(0,setup!$A$8:$H$58,5),VLOOKUP(N296,setup!$A$8:$H$58,8))</f>
        <v/>
      </c>
    </row>
    <row r="297" spans="1:15" x14ac:dyDescent="0.25">
      <c r="A297" s="32"/>
      <c r="O297" s="7" t="str">
        <f ca="1">getCodigoBackend(N297,A297,VLOOKUP(N297,setup!$A$8:$H$58,2),VLOOKUP(N297,setup!$A$8:$H$58,3),VLOOKUP(N297,setup!$A$8:$H$58,4),VLOOKUP(N297,setup!$A$8:$H$58,5),VLOOKUP(N297,setup!$A$8:$H$58,6),VLOOKUP(N297,setup!$A$8:$H$58,7), VLOOKUP(0,setup!$A$8:$H$58,2),VLOOKUP(0,setup!$A$8:$H$58,5),VLOOKUP(N297,setup!$A$8:$H$58,8))</f>
        <v/>
      </c>
    </row>
    <row r="298" spans="1:15" x14ac:dyDescent="0.25">
      <c r="A298" s="32"/>
      <c r="O298" s="7" t="str">
        <f ca="1">getCodigoBackend(N298,A298,VLOOKUP(N298,setup!$A$8:$H$58,2),VLOOKUP(N298,setup!$A$8:$H$58,3),VLOOKUP(N298,setup!$A$8:$H$58,4),VLOOKUP(N298,setup!$A$8:$H$58,5),VLOOKUP(N298,setup!$A$8:$H$58,6),VLOOKUP(N298,setup!$A$8:$H$58,7), VLOOKUP(0,setup!$A$8:$H$58,2),VLOOKUP(0,setup!$A$8:$H$58,5),VLOOKUP(N298,setup!$A$8:$H$58,8))</f>
        <v/>
      </c>
    </row>
    <row r="299" spans="1:15" x14ac:dyDescent="0.25">
      <c r="A299" s="32"/>
      <c r="O299" s="7" t="str">
        <f ca="1">getCodigoBackend(N299,A299,VLOOKUP(N299,setup!$A$8:$H$58,2),VLOOKUP(N299,setup!$A$8:$H$58,3),VLOOKUP(N299,setup!$A$8:$H$58,4),VLOOKUP(N299,setup!$A$8:$H$58,5),VLOOKUP(N299,setup!$A$8:$H$58,6),VLOOKUP(N299,setup!$A$8:$H$58,7), VLOOKUP(0,setup!$A$8:$H$58,2),VLOOKUP(0,setup!$A$8:$H$58,5),VLOOKUP(N299,setup!$A$8:$H$58,8))</f>
        <v/>
      </c>
    </row>
    <row r="300" spans="1:15" x14ac:dyDescent="0.25">
      <c r="A300" s="32"/>
      <c r="O300" s="7" t="str">
        <f ca="1">getCodigoBackend(N300,A300,VLOOKUP(N300,setup!$A$8:$H$58,2),VLOOKUP(N300,setup!$A$8:$H$58,3),VLOOKUP(N300,setup!$A$8:$H$58,4),VLOOKUP(N300,setup!$A$8:$H$58,5),VLOOKUP(N300,setup!$A$8:$H$58,6),VLOOKUP(N300,setup!$A$8:$H$58,7), VLOOKUP(0,setup!$A$8:$H$58,2),VLOOKUP(0,setup!$A$8:$H$58,5),VLOOKUP(N300,setup!$A$8:$H$58,8))</f>
        <v/>
      </c>
    </row>
    <row r="301" spans="1:15" x14ac:dyDescent="0.25">
      <c r="A301" s="32"/>
      <c r="O301" s="7" t="str">
        <f ca="1">getCodigoBackend(N301,A301,VLOOKUP(N301,setup!$A$8:$H$58,2),VLOOKUP(N301,setup!$A$8:$H$58,3),VLOOKUP(N301,setup!$A$8:$H$58,4),VLOOKUP(N301,setup!$A$8:$H$58,5),VLOOKUP(N301,setup!$A$8:$H$58,6),VLOOKUP(N301,setup!$A$8:$H$58,7), VLOOKUP(0,setup!$A$8:$H$58,2),VLOOKUP(0,setup!$A$8:$H$58,5),VLOOKUP(N301,setup!$A$8:$H$58,8))</f>
        <v/>
      </c>
    </row>
    <row r="302" spans="1:15" x14ac:dyDescent="0.25">
      <c r="A302" s="32"/>
      <c r="O302" s="7" t="str">
        <f ca="1">getCodigoBackend(N302,A302,VLOOKUP(N302,setup!$A$8:$H$58,2),VLOOKUP(N302,setup!$A$8:$H$58,3),VLOOKUP(N302,setup!$A$8:$H$58,4),VLOOKUP(N302,setup!$A$8:$H$58,5),VLOOKUP(N302,setup!$A$8:$H$58,6),VLOOKUP(N302,setup!$A$8:$H$58,7), VLOOKUP(0,setup!$A$8:$H$58,2),VLOOKUP(0,setup!$A$8:$H$58,5),VLOOKUP(N302,setup!$A$8:$H$58,8))</f>
        <v/>
      </c>
    </row>
    <row r="303" spans="1:15" x14ac:dyDescent="0.25">
      <c r="A303" s="32"/>
      <c r="O303" s="7" t="str">
        <f ca="1">getCodigoBackend(N303,A303,VLOOKUP(N303,setup!$A$8:$H$58,2),VLOOKUP(N303,setup!$A$8:$H$58,3),VLOOKUP(N303,setup!$A$8:$H$58,4),VLOOKUP(N303,setup!$A$8:$H$58,5),VLOOKUP(N303,setup!$A$8:$H$58,6),VLOOKUP(N303,setup!$A$8:$H$58,7), VLOOKUP(0,setup!$A$8:$H$58,2),VLOOKUP(0,setup!$A$8:$H$58,5),VLOOKUP(N303,setup!$A$8:$H$58,8))</f>
        <v/>
      </c>
    </row>
    <row r="304" spans="1:15" x14ac:dyDescent="0.25">
      <c r="A304" s="32"/>
      <c r="O304" s="7" t="str">
        <f ca="1">getCodigoBackend(N304,A304,VLOOKUP(N304,setup!$A$8:$H$58,2),VLOOKUP(N304,setup!$A$8:$H$58,3),VLOOKUP(N304,setup!$A$8:$H$58,4),VLOOKUP(N304,setup!$A$8:$H$58,5),VLOOKUP(N304,setup!$A$8:$H$58,6),VLOOKUP(N304,setup!$A$8:$H$58,7), VLOOKUP(0,setup!$A$8:$H$58,2),VLOOKUP(0,setup!$A$8:$H$58,5),VLOOKUP(N304,setup!$A$8:$H$58,8))</f>
        <v/>
      </c>
    </row>
    <row r="305" spans="1:15" x14ac:dyDescent="0.25">
      <c r="A305" s="32"/>
      <c r="O305" s="7" t="str">
        <f ca="1">getCodigoBackend(N305,A305,VLOOKUP(N305,setup!$A$8:$H$58,2),VLOOKUP(N305,setup!$A$8:$H$58,3),VLOOKUP(N305,setup!$A$8:$H$58,4),VLOOKUP(N305,setup!$A$8:$H$58,5),VLOOKUP(N305,setup!$A$8:$H$58,6),VLOOKUP(N305,setup!$A$8:$H$58,7), VLOOKUP(0,setup!$A$8:$H$58,2),VLOOKUP(0,setup!$A$8:$H$58,5),VLOOKUP(N305,setup!$A$8:$H$58,8))</f>
        <v/>
      </c>
    </row>
    <row r="306" spans="1:15" x14ac:dyDescent="0.25">
      <c r="A306" s="32"/>
      <c r="O306" s="7" t="str">
        <f ca="1">getCodigoBackend(N306,A306,VLOOKUP(N306,setup!$A$8:$H$58,2),VLOOKUP(N306,setup!$A$8:$H$58,3),VLOOKUP(N306,setup!$A$8:$H$58,4),VLOOKUP(N306,setup!$A$8:$H$58,5),VLOOKUP(N306,setup!$A$8:$H$58,6),VLOOKUP(N306,setup!$A$8:$H$58,7), VLOOKUP(0,setup!$A$8:$H$58,2),VLOOKUP(0,setup!$A$8:$H$58,5),VLOOKUP(N306,setup!$A$8:$H$58,8))</f>
        <v/>
      </c>
    </row>
    <row r="307" spans="1:15" x14ac:dyDescent="0.25">
      <c r="A307" s="32"/>
      <c r="O307" s="7" t="str">
        <f ca="1">getCodigoBackend(N307,A307,VLOOKUP(N307,setup!$A$8:$H$58,2),VLOOKUP(N307,setup!$A$8:$H$58,3),VLOOKUP(N307,setup!$A$8:$H$58,4),VLOOKUP(N307,setup!$A$8:$H$58,5),VLOOKUP(N307,setup!$A$8:$H$58,6),VLOOKUP(N307,setup!$A$8:$H$58,7), VLOOKUP(0,setup!$A$8:$H$58,2),VLOOKUP(0,setup!$A$8:$H$58,5),VLOOKUP(N307,setup!$A$8:$H$58,8))</f>
        <v/>
      </c>
    </row>
    <row r="308" spans="1:15" x14ac:dyDescent="0.25">
      <c r="A308" s="32"/>
      <c r="O308" s="7" t="str">
        <f ca="1">getCodigoBackend(N308,A308,VLOOKUP(N308,setup!$A$8:$H$58,2),VLOOKUP(N308,setup!$A$8:$H$58,3),VLOOKUP(N308,setup!$A$8:$H$58,4),VLOOKUP(N308,setup!$A$8:$H$58,5),VLOOKUP(N308,setup!$A$8:$H$58,6),VLOOKUP(N308,setup!$A$8:$H$58,7), VLOOKUP(0,setup!$A$8:$H$58,2),VLOOKUP(0,setup!$A$8:$H$58,5),VLOOKUP(N308,setup!$A$8:$H$58,8))</f>
        <v/>
      </c>
    </row>
    <row r="309" spans="1:15" x14ac:dyDescent="0.25">
      <c r="A309" s="32"/>
      <c r="O309" s="7" t="str">
        <f ca="1">getCodigoBackend(N309,A309,VLOOKUP(N309,setup!$A$8:$H$58,2),VLOOKUP(N309,setup!$A$8:$H$58,3),VLOOKUP(N309,setup!$A$8:$H$58,4),VLOOKUP(N309,setup!$A$8:$H$58,5),VLOOKUP(N309,setup!$A$8:$H$58,6),VLOOKUP(N309,setup!$A$8:$H$58,7), VLOOKUP(0,setup!$A$8:$H$58,2),VLOOKUP(0,setup!$A$8:$H$58,5),VLOOKUP(N309,setup!$A$8:$H$58,8))</f>
        <v/>
      </c>
    </row>
    <row r="310" spans="1:15" x14ac:dyDescent="0.25">
      <c r="A310" s="32"/>
      <c r="O310" s="7" t="str">
        <f ca="1">getCodigoBackend(N310,A310,VLOOKUP(N310,setup!$A$8:$H$58,2),VLOOKUP(N310,setup!$A$8:$H$58,3),VLOOKUP(N310,setup!$A$8:$H$58,4),VLOOKUP(N310,setup!$A$8:$H$58,5),VLOOKUP(N310,setup!$A$8:$H$58,6),VLOOKUP(N310,setup!$A$8:$H$58,7), VLOOKUP(0,setup!$A$8:$H$58,2),VLOOKUP(0,setup!$A$8:$H$58,5),VLOOKUP(N310,setup!$A$8:$H$58,8))</f>
        <v/>
      </c>
    </row>
    <row r="311" spans="1:15" x14ac:dyDescent="0.25">
      <c r="A311" s="32"/>
      <c r="O311" s="7" t="str">
        <f ca="1">getCodigoBackend(N311,A311,VLOOKUP(N311,setup!$A$8:$H$58,2),VLOOKUP(N311,setup!$A$8:$H$58,3),VLOOKUP(N311,setup!$A$8:$H$58,4),VLOOKUP(N311,setup!$A$8:$H$58,5),VLOOKUP(N311,setup!$A$8:$H$58,6),VLOOKUP(N311,setup!$A$8:$H$58,7), VLOOKUP(0,setup!$A$8:$H$58,2),VLOOKUP(0,setup!$A$8:$H$58,5),VLOOKUP(N311,setup!$A$8:$H$58,8))</f>
        <v/>
      </c>
    </row>
    <row r="312" spans="1:15" x14ac:dyDescent="0.25">
      <c r="A312" s="29"/>
      <c r="O312" s="7" t="str">
        <f ca="1">getCodigoBackend(N312,A312,VLOOKUP(N312,setup!$A$8:$H$58,2),VLOOKUP(N312,setup!$A$8:$H$58,3),VLOOKUP(N312,setup!$A$8:$H$58,4),VLOOKUP(N312,setup!$A$8:$H$58,5),VLOOKUP(N312,setup!$A$8:$H$58,6),VLOOKUP(N312,setup!$A$8:$H$58,7), VLOOKUP(0,setup!$A$8:$H$58,2),VLOOKUP(0,setup!$A$8:$H$58,5),VLOOKUP(N312,setup!$A$8:$H$58,8))</f>
        <v/>
      </c>
    </row>
    <row r="313" spans="1:15" x14ac:dyDescent="0.25">
      <c r="A313" s="29"/>
      <c r="O313" s="7" t="str">
        <f ca="1">getCodigoBackend(N313,A313,VLOOKUP(N313,setup!$A$8:$H$58,2),VLOOKUP(N313,setup!$A$8:$H$58,3),VLOOKUP(N313,setup!$A$8:$H$58,4),VLOOKUP(N313,setup!$A$8:$H$58,5),VLOOKUP(N313,setup!$A$8:$H$58,6),VLOOKUP(N313,setup!$A$8:$H$58,7), VLOOKUP(0,setup!$A$8:$H$58,2),VLOOKUP(0,setup!$A$8:$H$58,5),VLOOKUP(N313,setup!$A$8:$H$58,8))</f>
        <v/>
      </c>
    </row>
    <row r="314" spans="1:15" x14ac:dyDescent="0.25">
      <c r="A314" s="29"/>
      <c r="O314" s="7" t="str">
        <f ca="1">getCodigoBackend(N314,A314,VLOOKUP(N314,setup!$A$8:$H$58,2),VLOOKUP(N314,setup!$A$8:$H$58,3),VLOOKUP(N314,setup!$A$8:$H$58,4),VLOOKUP(N314,setup!$A$8:$H$58,5),VLOOKUP(N314,setup!$A$8:$H$58,6),VLOOKUP(N314,setup!$A$8:$H$58,7), VLOOKUP(0,setup!$A$8:$H$58,2),VLOOKUP(0,setup!$A$8:$H$58,5),VLOOKUP(N314,setup!$A$8:$H$58,8))</f>
        <v/>
      </c>
    </row>
    <row r="315" spans="1:15" x14ac:dyDescent="0.25">
      <c r="A315" s="29"/>
      <c r="O315" s="7" t="str">
        <f ca="1">getCodigoBackend(N315,A315,VLOOKUP(N315,setup!$A$8:$H$58,2),VLOOKUP(N315,setup!$A$8:$H$58,3),VLOOKUP(N315,setup!$A$8:$H$58,4),VLOOKUP(N315,setup!$A$8:$H$58,5),VLOOKUP(N315,setup!$A$8:$H$58,6),VLOOKUP(N315,setup!$A$8:$H$58,7), VLOOKUP(0,setup!$A$8:$H$58,2),VLOOKUP(0,setup!$A$8:$H$58,5),VLOOKUP(N315,setup!$A$8:$H$58,8))</f>
        <v/>
      </c>
    </row>
    <row r="316" spans="1:15" x14ac:dyDescent="0.25">
      <c r="A316" s="29"/>
      <c r="O316" s="7" t="str">
        <f ca="1">getCodigoBackend(N316,A316,VLOOKUP(N316,setup!$A$8:$H$58,2),VLOOKUP(N316,setup!$A$8:$H$58,3),VLOOKUP(N316,setup!$A$8:$H$58,4),VLOOKUP(N316,setup!$A$8:$H$58,5),VLOOKUP(N316,setup!$A$8:$H$58,6),VLOOKUP(N316,setup!$A$8:$H$58,7), VLOOKUP(0,setup!$A$8:$H$58,2),VLOOKUP(0,setup!$A$8:$H$58,5),VLOOKUP(N316,setup!$A$8:$H$58,8))</f>
        <v/>
      </c>
    </row>
    <row r="317" spans="1:15" x14ac:dyDescent="0.25">
      <c r="A317" s="29"/>
      <c r="O317" s="7" t="str">
        <f ca="1">getCodigoBackend(N317,A317,VLOOKUP(N317,setup!$A$8:$H$58,2),VLOOKUP(N317,setup!$A$8:$H$58,3),VLOOKUP(N317,setup!$A$8:$H$58,4),VLOOKUP(N317,setup!$A$8:$H$58,5),VLOOKUP(N317,setup!$A$8:$H$58,6),VLOOKUP(N317,setup!$A$8:$H$58,7), VLOOKUP(0,setup!$A$8:$H$58,2),VLOOKUP(0,setup!$A$8:$H$58,5),VLOOKUP(N317,setup!$A$8:$H$58,8))</f>
        <v/>
      </c>
    </row>
    <row r="318" spans="1:15" x14ac:dyDescent="0.25">
      <c r="A318" s="31"/>
      <c r="O318" s="7" t="str">
        <f ca="1">getCodigoBackend(N318,A318,VLOOKUP(N318,setup!$A$8:$H$58,2),VLOOKUP(N318,setup!$A$8:$H$58,3),VLOOKUP(N318,setup!$A$8:$H$58,4),VLOOKUP(N318,setup!$A$8:$H$58,5),VLOOKUP(N318,setup!$A$8:$H$58,6),VLOOKUP(N318,setup!$A$8:$H$58,7), VLOOKUP(0,setup!$A$8:$H$58,2),VLOOKUP(0,setup!$A$8:$H$58,5),VLOOKUP(N318,setup!$A$8:$H$58,8))</f>
        <v/>
      </c>
    </row>
    <row r="319" spans="1:15" x14ac:dyDescent="0.25">
      <c r="A319" s="31"/>
      <c r="O319" s="7" t="str">
        <f ca="1">getCodigoBackend(N319,A319,VLOOKUP(N319,setup!$A$8:$H$58,2),VLOOKUP(N319,setup!$A$8:$H$58,3),VLOOKUP(N319,setup!$A$8:$H$58,4),VLOOKUP(N319,setup!$A$8:$H$58,5),VLOOKUP(N319,setup!$A$8:$H$58,6),VLOOKUP(N319,setup!$A$8:$H$58,7), VLOOKUP(0,setup!$A$8:$H$58,2),VLOOKUP(0,setup!$A$8:$H$58,5),VLOOKUP(N319,setup!$A$8:$H$58,8))</f>
        <v/>
      </c>
    </row>
    <row r="320" spans="1:15" x14ac:dyDescent="0.25">
      <c r="A320" s="29"/>
      <c r="O320" s="7" t="str">
        <f ca="1">getCodigoBackend(N320,A320,VLOOKUP(N320,setup!$A$8:$H$58,2),VLOOKUP(N320,setup!$A$8:$H$58,3),VLOOKUP(N320,setup!$A$8:$H$58,4),VLOOKUP(N320,setup!$A$8:$H$58,5),VLOOKUP(N320,setup!$A$8:$H$58,6),VLOOKUP(N320,setup!$A$8:$H$58,7), VLOOKUP(0,setup!$A$8:$H$58,2),VLOOKUP(0,setup!$A$8:$H$58,5),VLOOKUP(N320,setup!$A$8:$H$58,8))</f>
        <v/>
      </c>
    </row>
    <row r="321" spans="1:15" x14ac:dyDescent="0.25">
      <c r="A321" s="29"/>
      <c r="O321" s="7" t="str">
        <f ca="1">getCodigoBackend(N321,A321,VLOOKUP(N321,setup!$A$8:$H$58,2),VLOOKUP(N321,setup!$A$8:$H$58,3),VLOOKUP(N321,setup!$A$8:$H$58,4),VLOOKUP(N321,setup!$A$8:$H$58,5),VLOOKUP(N321,setup!$A$8:$H$58,6),VLOOKUP(N321,setup!$A$8:$H$58,7), VLOOKUP(0,setup!$A$8:$H$58,2),VLOOKUP(0,setup!$A$8:$H$58,5),VLOOKUP(N321,setup!$A$8:$H$58,8))</f>
        <v/>
      </c>
    </row>
    <row r="322" spans="1:15" x14ac:dyDescent="0.25">
      <c r="O322" t="str">
        <f>SUBSTITUTE(SUBSTITUTE(SUBSTITUTE(SUBSTITUTE(A322,"${dto}",setup!$C$3),"${pk}",setup!$E$8),"${tabela}",setup!$C$2),CONCATENATE("${",N322,"}"),VLOOKUP(N322,setup!$A$8:$E$58,5))</f>
        <v/>
      </c>
    </row>
    <row r="323" spans="1:15" x14ac:dyDescent="0.25">
      <c r="O323" t="str">
        <f>SUBSTITUTE(SUBSTITUTE(SUBSTITUTE(SUBSTITUTE(A323,"${dto}",setup!$C$3),"${pk}",setup!$E$8),"${tabela}",setup!$C$2),CONCATENATE("${",N323,"}"),VLOOKUP(N323,setup!$A$8:$E$58,5))</f>
        <v/>
      </c>
    </row>
    <row r="324" spans="1:15" x14ac:dyDescent="0.25">
      <c r="O324" t="str">
        <f>SUBSTITUTE(SUBSTITUTE(SUBSTITUTE(SUBSTITUTE(A324,"${dto}",setup!$C$3),"${pk}",setup!$E$8),"${tabela}",setup!$C$2),CONCATENATE("${",N324,"}"),VLOOKUP(N324,setup!$A$8:$E$58,5))</f>
        <v/>
      </c>
    </row>
    <row r="325" spans="1:15" x14ac:dyDescent="0.25">
      <c r="O325" t="str">
        <f>SUBSTITUTE(SUBSTITUTE(SUBSTITUTE(SUBSTITUTE(A325,"${dto}",setup!$C$3),"${pk}",setup!$E$8),"${tabela}",setup!$C$2),CONCATENATE("${",N325,"}"),VLOOKUP(N325,setup!$A$8:$E$58,5))</f>
        <v/>
      </c>
    </row>
    <row r="326" spans="1:15" x14ac:dyDescent="0.25">
      <c r="O326" t="str">
        <f>SUBSTITUTE(SUBSTITUTE(SUBSTITUTE(SUBSTITUTE(A326,"${dto}",setup!$C$3),"${pk}",setup!$E$8),"${tabela}",setup!$C$2),CONCATENATE("${",N326,"}"),VLOOKUP(N326,setup!$A$8:$E$58,5))</f>
        <v/>
      </c>
    </row>
    <row r="327" spans="1:15" x14ac:dyDescent="0.25">
      <c r="O327" t="str">
        <f>SUBSTITUTE(SUBSTITUTE(SUBSTITUTE(SUBSTITUTE(A327,"${dto}",setup!$C$3),"${pk}",setup!$E$8),"${tabela}",setup!$C$2),CONCATENATE("${",N327,"}"),VLOOKUP(N327,setup!$A$8:$E$58,5))</f>
        <v/>
      </c>
    </row>
    <row r="328" spans="1:15" x14ac:dyDescent="0.25">
      <c r="O328" t="str">
        <f>SUBSTITUTE(SUBSTITUTE(SUBSTITUTE(SUBSTITUTE(A328,"${dto}",setup!$C$3),"${pk}",setup!$E$8),"${tabela}",setup!$C$2),CONCATENATE("${",N328,"}"),VLOOKUP(N328,setup!$A$8:$E$58,5))</f>
        <v/>
      </c>
    </row>
    <row r="329" spans="1:15" x14ac:dyDescent="0.25">
      <c r="O329" t="str">
        <f>SUBSTITUTE(SUBSTITUTE(SUBSTITUTE(SUBSTITUTE(A329,"${dto}",setup!$C$3),"${pk}",setup!$E$8),"${tabela}",setup!$C$2),CONCATENATE("${",N329,"}"),VLOOKUP(N329,setup!$A$8:$E$58,5))</f>
        <v/>
      </c>
    </row>
    <row r="330" spans="1:15" x14ac:dyDescent="0.25">
      <c r="O330" t="str">
        <f>SUBSTITUTE(SUBSTITUTE(SUBSTITUTE(SUBSTITUTE(A330,"${dto}",setup!$C$3),"${pk}",setup!$E$8),"${tabela}",setup!$C$2),CONCATENATE("${",N330,"}"),VLOOKUP(N330,setup!$A$8:$E$58,5))</f>
        <v/>
      </c>
    </row>
    <row r="331" spans="1:15" x14ac:dyDescent="0.25">
      <c r="O331" t="str">
        <f>SUBSTITUTE(SUBSTITUTE(SUBSTITUTE(SUBSTITUTE(A331,"${dto}",setup!$C$3),"${pk}",setup!$E$8),"${tabela}",setup!$C$2),CONCATENATE("${",N331,"}"),VLOOKUP(N331,setup!$A$8:$E$58,5))</f>
        <v/>
      </c>
    </row>
    <row r="332" spans="1:15" x14ac:dyDescent="0.25">
      <c r="O332" t="str">
        <f>SUBSTITUTE(SUBSTITUTE(SUBSTITUTE(SUBSTITUTE(A332,"${dto}",setup!$C$3),"${pk}",setup!$E$8),"${tabela}",setup!$C$2),CONCATENATE("${",N332,"}"),VLOOKUP(N332,setup!$A$8:$E$58,5))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FD3E9-93CA-4460-8B81-E4F9DE560FE4}">
  <sheetPr codeName="Sheet3"/>
  <dimension ref="A3:O154"/>
  <sheetViews>
    <sheetView topLeftCell="A31" workbookViewId="0">
      <selection activeCell="O31" sqref="O1:O1048576"/>
    </sheetView>
  </sheetViews>
  <sheetFormatPr defaultRowHeight="15" x14ac:dyDescent="0.25"/>
  <sheetData>
    <row r="3" spans="1:15" x14ac:dyDescent="0.25">
      <c r="A3" s="2" t="s">
        <v>16</v>
      </c>
      <c r="O3" s="7" t="str">
        <f ca="1">getCodigoBackend(N3,A3,VLOOKUP(N3,setup!$A$8:$H$58,2),VLOOKUP(N3,setup!$A$8:$H$58,3),VLOOKUP(N3,setup!$A$8:$H$58,4),VLOOKUP(N3,setup!$A$8:$H$58,5),VLOOKUP(N3,setup!$A$8:$H$58,6),VLOOKUP(N3,setup!$A$8:$H$58,7), VLOOKUP(0,setup!$A$8:$H$58,2),VLOOKUP(0,setup!$A$8:$H$58,5),VLOOKUP(N3,setup!$A$8:$H$58,8))</f>
        <v>&lt;?php</v>
      </c>
    </row>
    <row r="4" spans="1:15" x14ac:dyDescent="0.25">
      <c r="A4" s="4" t="s">
        <v>19</v>
      </c>
      <c r="O4" s="7" t="str">
        <f ca="1">getCodigoBackend(N4,A4,VLOOKUP(N4,setup!$A$8:$H$58,2),VLOOKUP(N4,setup!$A$8:$H$58,3),VLOOKUP(N4,setup!$A$8:$H$58,4),VLOOKUP(N4,setup!$A$8:$H$58,5),VLOOKUP(N4,setup!$A$8:$H$58,6),VLOOKUP(N4,setup!$A$8:$H$58,7), VLOOKUP(0,setup!$A$8:$H$58,2),VLOOKUP(0,setup!$A$8:$H$58,5),VLOOKUP(N4,setup!$A$8:$H$58,8))</f>
        <v>/**</v>
      </c>
    </row>
    <row r="5" spans="1:15" x14ac:dyDescent="0.25">
      <c r="A5" s="4" t="s">
        <v>20</v>
      </c>
      <c r="O5" s="7" t="str">
        <f ca="1">getCodigoBackend(N5,A5,VLOOKUP(N5,setup!$A$8:$H$58,2),VLOOKUP(N5,setup!$A$8:$H$58,3),VLOOKUP(N5,setup!$A$8:$H$58,4),VLOOKUP(N5,setup!$A$8:$H$58,5),VLOOKUP(N5,setup!$A$8:$H$58,6),VLOOKUP(N5,setup!$A$8:$H$58,7), VLOOKUP(0,setup!$A$8:$H$58,2),VLOOKUP(0,setup!$A$8:$H$58,5),VLOOKUP(N5,setup!$A$8:$H$58,8))</f>
        <v>*</v>
      </c>
    </row>
    <row r="6" spans="1:15" x14ac:dyDescent="0.25">
      <c r="A6" s="4" t="s">
        <v>289</v>
      </c>
      <c r="O6" s="7" t="str">
        <f ca="1">getCodigoBackend(N6,A6,VLOOKUP(N6,setup!$A$8:$H$58,2),VLOOKUP(N6,setup!$A$8:$H$58,3),VLOOKUP(N6,setup!$A$8:$H$58,4),VLOOKUP(N6,setup!$A$8:$H$58,5),VLOOKUP(N6,setup!$A$8:$H$58,6),VLOOKUP(N6,setup!$A$8:$H$58,7), VLOOKUP(0,setup!$A$8:$H$58,2),VLOOKUP(0,setup!$A$8:$H$58,5),VLOOKUP(N6,setup!$A$8:$H$58,8))</f>
        <v>* CampanhaCashbackResgatePixService - Interfaces dos servicos para Classe de negócio com métodos para apoiar a integridade de informações sobre a movimentação de resgate via PIX gerenciado pela plataforma</v>
      </c>
    </row>
    <row r="7" spans="1:15" x14ac:dyDescent="0.25">
      <c r="A7" s="4" t="s">
        <v>290</v>
      </c>
      <c r="O7" s="7" t="str">
        <f ca="1">getCodigoBackend(N7,A7,VLOOKUP(N7,setup!$A$8:$H$58,2),VLOOKUP(N7,setup!$A$8:$H$58,3),VLOOKUP(N7,setup!$A$8:$H$58,4),VLOOKUP(N7,setup!$A$8:$H$58,5),VLOOKUP(N7,setup!$A$8:$H$58,6),VLOOKUP(N7,setup!$A$8:$H$58,7), VLOOKUP(0,setup!$A$8:$H$58,2),VLOOKUP(0,setup!$A$8:$H$58,5),VLOOKUP(N7,setup!$A$8:$H$58,8))</f>
        <v xml:space="preserve">* Interface de Serviços CampanhaCashbackResgatePix - camada responsável pela lógica de negócios de CampanhaCashbackResgatePix do sistema. </v>
      </c>
    </row>
    <row r="8" spans="1:15" x14ac:dyDescent="0.25">
      <c r="A8" s="4" t="s">
        <v>255</v>
      </c>
      <c r="O8" s="7" t="str">
        <f ca="1">getCodigoBackend(N8,A8,VLOOKUP(N8,setup!$A$8:$H$58,2),VLOOKUP(N8,setup!$A$8:$H$58,3),VLOOKUP(N8,setup!$A$8:$H$58,4),VLOOKUP(N8,setup!$A$8:$H$58,5),VLOOKUP(N8,setup!$A$8:$H$58,6),VLOOKUP(N8,setup!$A$8:$H$58,7), VLOOKUP(0,setup!$A$8:$H$58,2),VLOOKUP(0,setup!$A$8:$H$58,5),VLOOKUP(N8,setup!$A$8:$H$58,8))</f>
        <v xml:space="preserve">* Não é uma camada visível para outros dispositivos, como as camadas de apresentação e aplicação. </v>
      </c>
    </row>
    <row r="9" spans="1:15" x14ac:dyDescent="0.25">
      <c r="A9" s="4" t="s">
        <v>20</v>
      </c>
      <c r="O9" s="7" t="str">
        <f ca="1">getCodigoBackend(N9,A9,VLOOKUP(N9,setup!$A$8:$H$58,2),VLOOKUP(N9,setup!$A$8:$H$58,3),VLOOKUP(N9,setup!$A$8:$H$58,4),VLOOKUP(N9,setup!$A$8:$H$58,5),VLOOKUP(N9,setup!$A$8:$H$58,6),VLOOKUP(N9,setup!$A$8:$H$58,7), VLOOKUP(0,setup!$A$8:$H$58,2),VLOOKUP(0,setup!$A$8:$H$58,5),VLOOKUP(N9,setup!$A$8:$H$58,8))</f>
        <v>*</v>
      </c>
    </row>
    <row r="10" spans="1:15" x14ac:dyDescent="0.25">
      <c r="A10" s="4" t="s">
        <v>249</v>
      </c>
      <c r="O10" s="7" t="str">
        <f ca="1">getCodigoBackend(N10,A10,VLOOKUP(N10,setup!$A$8:$H$58,2),VLOOKUP(N10,setup!$A$8:$H$58,3),VLOOKUP(N10,setup!$A$8:$H$58,4),VLOOKUP(N10,setup!$A$8:$H$58,5),VLOOKUP(N10,setup!$A$8:$H$58,6),VLOOKUP(N10,setup!$A$8:$H$58,7), VLOOKUP(0,setup!$A$8:$H$58,2),VLOOKUP(0,setup!$A$8:$H$58,5),VLOOKUP(N10,setup!$A$8:$H$58,8))</f>
        <v xml:space="preserve">* Por exemplo: quando estamos prestes a sacar dinheiro em um caixa eletrônico, </v>
      </c>
    </row>
    <row r="11" spans="1:15" x14ac:dyDescent="0.25">
      <c r="A11" s="4" t="s">
        <v>250</v>
      </c>
      <c r="O11" s="7" t="str">
        <f ca="1">getCodigoBackend(N11,A11,VLOOKUP(N11,setup!$A$8:$H$58,2),VLOOKUP(N11,setup!$A$8:$H$58,3),VLOOKUP(N11,setup!$A$8:$H$58,4),VLOOKUP(N11,setup!$A$8:$H$58,5),VLOOKUP(N11,setup!$A$8:$H$58,6),VLOOKUP(N11,setup!$A$8:$H$58,7), VLOOKUP(0,setup!$A$8:$H$58,2),VLOOKUP(0,setup!$A$8:$H$58,5),VLOOKUP(N11,setup!$A$8:$H$58,8))</f>
        <v xml:space="preserve">* a condição primordial para isto acontecer é que exista saldo na sua conta. </v>
      </c>
    </row>
    <row r="12" spans="1:15" x14ac:dyDescent="0.25">
      <c r="A12" s="4" t="s">
        <v>251</v>
      </c>
      <c r="O12" s="7" t="str">
        <f ca="1">getCodigoBackend(N12,A12,VLOOKUP(N12,setup!$A$8:$H$58,2),VLOOKUP(N12,setup!$A$8:$H$58,3),VLOOKUP(N12,setup!$A$8:$H$58,4),VLOOKUP(N12,setup!$A$8:$H$58,5),VLOOKUP(N12,setup!$A$8:$H$58,6),VLOOKUP(N12,setup!$A$8:$H$58,7), VLOOKUP(0,setup!$A$8:$H$58,2),VLOOKUP(0,setup!$A$8:$H$58,5),VLOOKUP(N12,setup!$A$8:$H$58,8))</f>
        <v xml:space="preserve">* Ou seja, é a camada que contém a lógica de como o sistema trabalha </v>
      </c>
    </row>
    <row r="13" spans="1:15" x14ac:dyDescent="0.25">
      <c r="A13" s="4" t="s">
        <v>252</v>
      </c>
      <c r="O13" s="7" t="str">
        <f ca="1">getCodigoBackend(N13,A13,VLOOKUP(N13,setup!$A$8:$H$58,2),VLOOKUP(N13,setup!$A$8:$H$58,3),VLOOKUP(N13,setup!$A$8:$H$58,4),VLOOKUP(N13,setup!$A$8:$H$58,5),VLOOKUP(N13,setup!$A$8:$H$58,6),VLOOKUP(N13,setup!$A$8:$H$58,7), VLOOKUP(0,setup!$A$8:$H$58,2),VLOOKUP(0,setup!$A$8:$H$58,5),VLOOKUP(N13,setup!$A$8:$H$58,8))</f>
        <v>* como o negócio transcorre.</v>
      </c>
    </row>
    <row r="14" spans="1:15" x14ac:dyDescent="0.25">
      <c r="A14" s="4" t="s">
        <v>20</v>
      </c>
      <c r="O14" s="7" t="str">
        <f ca="1">getCodigoBackend(N14,A14,VLOOKUP(N14,setup!$A$8:$H$58,2),VLOOKUP(N14,setup!$A$8:$H$58,3),VLOOKUP(N14,setup!$A$8:$H$58,4),VLOOKUP(N14,setup!$A$8:$H$58,5),VLOOKUP(N14,setup!$A$8:$H$58,6),VLOOKUP(N14,setup!$A$8:$H$58,7), VLOOKUP(0,setup!$A$8:$H$58,2),VLOOKUP(0,setup!$A$8:$H$58,5),VLOOKUP(N14,setup!$A$8:$H$58,8))</f>
        <v>*</v>
      </c>
    </row>
    <row r="15" spans="1:15" x14ac:dyDescent="0.25">
      <c r="A15" s="4" t="s">
        <v>256</v>
      </c>
      <c r="O15" s="7" t="str">
        <f ca="1">getCodigoBackend(N15,A15,VLOOKUP(N15,setup!$A$8:$H$58,2),VLOOKUP(N15,setup!$A$8:$H$58,3),VLOOKUP(N15,setup!$A$8:$H$58,4),VLOOKUP(N15,setup!$A$8:$H$58,5),VLOOKUP(N15,setup!$A$8:$H$58,6),VLOOKUP(N15,setup!$A$8:$H$58,7), VLOOKUP(0,setup!$A$8:$H$58,2),VLOOKUP(0,setup!$A$8:$H$58,5),VLOOKUP(N15,setup!$A$8:$H$58,8))</f>
        <v>* Responsabilidades dessa classe</v>
      </c>
    </row>
    <row r="16" spans="1:15" x14ac:dyDescent="0.25">
      <c r="A16" s="4" t="s">
        <v>20</v>
      </c>
      <c r="O16" s="7" t="str">
        <f ca="1">getCodigoBackend(N16,A16,VLOOKUP(N16,setup!$A$8:$H$58,2),VLOOKUP(N16,setup!$A$8:$H$58,3),VLOOKUP(N16,setup!$A$8:$H$58,4),VLOOKUP(N16,setup!$A$8:$H$58,5),VLOOKUP(N16,setup!$A$8:$H$58,6),VLOOKUP(N16,setup!$A$8:$H$58,7), VLOOKUP(0,setup!$A$8:$H$58,2),VLOOKUP(0,setup!$A$8:$H$58,5),VLOOKUP(N16,setup!$A$8:$H$58,8))</f>
        <v>*</v>
      </c>
    </row>
    <row r="17" spans="1:15" x14ac:dyDescent="0.25">
      <c r="A17" s="4" t="s">
        <v>257</v>
      </c>
      <c r="O17" s="7" t="str">
        <f ca="1">getCodigoBackend(N17,A17,VLOOKUP(N17,setup!$A$8:$H$58,2),VLOOKUP(N17,setup!$A$8:$H$58,3),VLOOKUP(N17,setup!$A$8:$H$58,4),VLOOKUP(N17,setup!$A$8:$H$58,5),VLOOKUP(N17,setup!$A$8:$H$58,6),VLOOKUP(N17,setup!$A$8:$H$58,7), VLOOKUP(0,setup!$A$8:$H$58,2),VLOOKUP(0,setup!$A$8:$H$58,5),VLOOKUP(N17,setup!$A$8:$H$58,8))</f>
        <v>* 1) Abrir um contexto transacional com a fábrica de banco de dados</v>
      </c>
    </row>
    <row r="18" spans="1:15" x14ac:dyDescent="0.25">
      <c r="A18" s="4" t="s">
        <v>258</v>
      </c>
      <c r="O18" s="7" t="str">
        <f ca="1">getCodigoBackend(N18,A18,VLOOKUP(N18,setup!$A$8:$H$58,2),VLOOKUP(N18,setup!$A$8:$H$58,3),VLOOKUP(N18,setup!$A$8:$H$58,4),VLOOKUP(N18,setup!$A$8:$H$58,5),VLOOKUP(N18,setup!$A$8:$H$58,6),VLOOKUP(N18,setup!$A$8:$H$58,7), VLOOKUP(0,setup!$A$8:$H$58,2),VLOOKUP(0,setup!$A$8:$H$58,5),VLOOKUP(N18,setup!$A$8:$H$58,8))</f>
        <v>* 2) Abrir uma comunicação com as classes de negócio (Business classes)</v>
      </c>
    </row>
    <row r="19" spans="1:15" x14ac:dyDescent="0.25">
      <c r="A19" s="4" t="s">
        <v>259</v>
      </c>
      <c r="O19" s="7" t="str">
        <f ca="1">getCodigoBackend(N19,A19,VLOOKUP(N19,setup!$A$8:$H$58,2),VLOOKUP(N19,setup!$A$8:$H$58,3),VLOOKUP(N19,setup!$A$8:$H$58,4),VLOOKUP(N19,setup!$A$8:$H$58,5),VLOOKUP(N19,setup!$A$8:$H$58,6),VLOOKUP(N19,setup!$A$8:$H$58,7), VLOOKUP(0,setup!$A$8:$H$58,2),VLOOKUP(0,setup!$A$8:$H$58,5),VLOOKUP(N19,setup!$A$8:$H$58,8))</f>
        <v>* 3) Receber o retorno e decidir sobre o commit() ou rollback()</v>
      </c>
    </row>
    <row r="20" spans="1:15" x14ac:dyDescent="0.25">
      <c r="A20" s="4" t="s">
        <v>20</v>
      </c>
      <c r="O20" s="7" t="str">
        <f ca="1">getCodigoBackend(N20,A20,VLOOKUP(N20,setup!$A$8:$H$58,2),VLOOKUP(N20,setup!$A$8:$H$58,3),VLOOKUP(N20,setup!$A$8:$H$58,4),VLOOKUP(N20,setup!$A$8:$H$58,5),VLOOKUP(N20,setup!$A$8:$H$58,6),VLOOKUP(N20,setup!$A$8:$H$58,7), VLOOKUP(0,setup!$A$8:$H$58,2),VLOOKUP(0,setup!$A$8:$H$58,5),VLOOKUP(N20,setup!$A$8:$H$58,8))</f>
        <v>*</v>
      </c>
    </row>
    <row r="21" spans="1:15" x14ac:dyDescent="0.25">
      <c r="A21" s="4" t="s">
        <v>260</v>
      </c>
      <c r="O21" s="7" t="str">
        <f ca="1">getCodigoBackend(N21,A21,VLOOKUP(N21,setup!$A$8:$H$58,2),VLOOKUP(N21,setup!$A$8:$H$58,3),VLOOKUP(N21,setup!$A$8:$H$58,4),VLOOKUP(N21,setup!$A$8:$H$58,5),VLOOKUP(N21,setup!$A$8:$H$58,6),VLOOKUP(N21,setup!$A$8:$H$58,7), VLOOKUP(0,setup!$A$8:$H$58,2),VLOOKUP(0,setup!$A$8:$H$58,5),VLOOKUP(N21,setup!$A$8:$H$58,8))</f>
        <v>* Changelog:</v>
      </c>
    </row>
    <row r="22" spans="1:15" x14ac:dyDescent="0.25">
      <c r="A22" s="4" t="s">
        <v>20</v>
      </c>
      <c r="O22" s="7" t="str">
        <f ca="1">getCodigoBackend(N22,A22,VLOOKUP(N22,setup!$A$8:$H$58,2),VLOOKUP(N22,setup!$A$8:$H$58,3),VLOOKUP(N22,setup!$A$8:$H$58,4),VLOOKUP(N22,setup!$A$8:$H$58,5),VLOOKUP(N22,setup!$A$8:$H$58,6),VLOOKUP(N22,setup!$A$8:$H$58,7), VLOOKUP(0,setup!$A$8:$H$58,2),VLOOKUP(0,setup!$A$8:$H$58,5),VLOOKUP(N22,setup!$A$8:$H$58,8))</f>
        <v>*</v>
      </c>
    </row>
    <row r="23" spans="1:15" x14ac:dyDescent="0.25">
      <c r="A23" s="4" t="s">
        <v>20</v>
      </c>
      <c r="O23" s="7" t="str">
        <f ca="1">getCodigoBackend(N23,A23,VLOOKUP(N23,setup!$A$8:$H$58,2),VLOOKUP(N23,setup!$A$8:$H$58,3),VLOOKUP(N23,setup!$A$8:$H$58,4),VLOOKUP(N23,setup!$A$8:$H$58,5),VLOOKUP(N23,setup!$A$8:$H$58,6),VLOOKUP(N23,setup!$A$8:$H$58,7), VLOOKUP(0,setup!$A$8:$H$58,2),VLOOKUP(0,setup!$A$8:$H$58,5),VLOOKUP(N23,setup!$A$8:$H$58,8))</f>
        <v>*</v>
      </c>
    </row>
    <row r="24" spans="1:15" x14ac:dyDescent="0.25">
      <c r="A24" s="4" t="s">
        <v>75</v>
      </c>
      <c r="O24" s="7" t="str">
        <f ca="1">getCodigoBackend(N24,A24,VLOOKUP(N24,setup!$A$8:$H$58,2),VLOOKUP(N24,setup!$A$8:$H$58,3),VLOOKUP(N24,setup!$A$8:$H$58,4),VLOOKUP(N24,setup!$A$8:$H$58,5),VLOOKUP(N24,setup!$A$8:$H$58,6),VLOOKUP(N24,setup!$A$8:$H$58,7), VLOOKUP(0,setup!$A$8:$H$58,2),VLOOKUP(0,setup!$A$8:$H$58,5),VLOOKUP(N24,setup!$A$8:$H$58,8))</f>
        <v xml:space="preserve">* </v>
      </c>
    </row>
    <row r="25" spans="1:15" x14ac:dyDescent="0.25">
      <c r="A25" s="4" t="s">
        <v>254</v>
      </c>
      <c r="O25" s="7" t="str">
        <f ca="1">getCodigoBackend(N25,A25,VLOOKUP(N25,setup!$A$8:$H$58,2),VLOOKUP(N25,setup!$A$8:$H$58,3),VLOOKUP(N25,setup!$A$8:$H$58,4),VLOOKUP(N25,setup!$A$8:$H$58,5),VLOOKUP(N25,setup!$A$8:$H$58,6),VLOOKUP(N25,setup!$A$8:$H$58,7), VLOOKUP(0,setup!$A$8:$H$58,2),VLOOKUP(0,setup!$A$8:$H$58,5),VLOOKUP(N25,setup!$A$8:$H$58,8))</f>
        <v>* @autor Julio Cesar Vitorino</v>
      </c>
    </row>
    <row r="26" spans="1:15" x14ac:dyDescent="0.25">
      <c r="A26" s="4" t="s">
        <v>240</v>
      </c>
      <c r="O26" s="7" t="str">
        <f ca="1">getCodigoBackend(N26,A26,VLOOKUP(N26,setup!$A$8:$H$58,2),VLOOKUP(N26,setup!$A$8:$H$58,3),VLOOKUP(N26,setup!$A$8:$H$58,4),VLOOKUP(N26,setup!$A$8:$H$58,5),VLOOKUP(N26,setup!$A$8:$H$58,6),VLOOKUP(N26,setup!$A$8:$H$58,7), VLOOKUP(0,setup!$A$8:$H$58,2),VLOOKUP(0,setup!$A$8:$H$58,5),VLOOKUP(N26,setup!$A$8:$H$58,8))</f>
        <v>* @since 26/07/2021 15:11:48</v>
      </c>
    </row>
    <row r="27" spans="1:15" x14ac:dyDescent="0.25">
      <c r="A27" s="4" t="s">
        <v>20</v>
      </c>
      <c r="O27" s="7" t="str">
        <f ca="1">getCodigoBackend(N27,A27,VLOOKUP(N27,setup!$A$8:$H$58,2),VLOOKUP(N27,setup!$A$8:$H$58,3),VLOOKUP(N27,setup!$A$8:$H$58,4),VLOOKUP(N27,setup!$A$8:$H$58,5),VLOOKUP(N27,setup!$A$8:$H$58,6),VLOOKUP(N27,setup!$A$8:$H$58,7), VLOOKUP(0,setup!$A$8:$H$58,2),VLOOKUP(0,setup!$A$8:$H$58,5),VLOOKUP(N27,setup!$A$8:$H$58,8))</f>
        <v>*</v>
      </c>
    </row>
    <row r="28" spans="1:15" x14ac:dyDescent="0.25">
      <c r="A28" s="4" t="s">
        <v>21</v>
      </c>
      <c r="O28" s="7" t="str">
        <f ca="1">getCodigoBackend(N28,A28,VLOOKUP(N28,setup!$A$8:$H$58,2),VLOOKUP(N28,setup!$A$8:$H$58,3),VLOOKUP(N28,setup!$A$8:$H$58,4),VLOOKUP(N28,setup!$A$8:$H$58,5),VLOOKUP(N28,setup!$A$8:$H$58,6),VLOOKUP(N28,setup!$A$8:$H$58,7), VLOOKUP(0,setup!$A$8:$H$58,2),VLOOKUP(0,setup!$A$8:$H$58,5),VLOOKUP(N28,setup!$A$8:$H$58,8))</f>
        <v>*/</v>
      </c>
    </row>
    <row r="29" spans="1:15" x14ac:dyDescent="0.25">
      <c r="O29" s="7" t="str">
        <f ca="1">getCodigoBackend(N29,A29,VLOOKUP(N29,setup!$A$8:$H$58,2),VLOOKUP(N29,setup!$A$8:$H$58,3),VLOOKUP(N29,setup!$A$8:$H$58,4),VLOOKUP(N29,setup!$A$8:$H$58,5),VLOOKUP(N29,setup!$A$8:$H$58,6),VLOOKUP(N29,setup!$A$8:$H$58,7), VLOOKUP(0,setup!$A$8:$H$58,2),VLOOKUP(0,setup!$A$8:$H$58,5),VLOOKUP(N29,setup!$A$8:$H$58,8))</f>
        <v/>
      </c>
    </row>
    <row r="30" spans="1:15" x14ac:dyDescent="0.25">
      <c r="A30" s="4" t="s">
        <v>76</v>
      </c>
      <c r="O30" s="7" t="str">
        <f ca="1">getCodigoBackend(N30,A30,VLOOKUP(N30,setup!$A$8:$H$58,2),VLOOKUP(N30,setup!$A$8:$H$58,3),VLOOKUP(N30,setup!$A$8:$H$58,4),VLOOKUP(N30,setup!$A$8:$H$58,5),VLOOKUP(N30,setup!$A$8:$H$58,6),VLOOKUP(N30,setup!$A$8:$H$58,7), VLOOKUP(0,setup!$A$8:$H$58,2),VLOOKUP(0,setup!$A$8:$H$58,5),VLOOKUP(N30,setup!$A$8:$H$58,8))</f>
        <v>// importar dependências</v>
      </c>
    </row>
    <row r="31" spans="1:15" x14ac:dyDescent="0.25">
      <c r="O31" s="7" t="str">
        <f ca="1">getCodigoBackend(N31,A31,VLOOKUP(N31,setup!$A$8:$H$58,2),VLOOKUP(N31,setup!$A$8:$H$58,3),VLOOKUP(N31,setup!$A$8:$H$58,4),VLOOKUP(N31,setup!$A$8:$H$58,5),VLOOKUP(N31,setup!$A$8:$H$58,6),VLOOKUP(N31,setup!$A$8:$H$58,7), VLOOKUP(0,setup!$A$8:$H$58,2),VLOOKUP(0,setup!$A$8:$H$58,5),VLOOKUP(N31,setup!$A$8:$H$58,8))</f>
        <v/>
      </c>
    </row>
    <row r="32" spans="1:15" x14ac:dyDescent="0.25">
      <c r="A32" s="5" t="s">
        <v>77</v>
      </c>
      <c r="O32" s="7" t="str">
        <f ca="1">getCodigoBackend(N32,A32,VLOOKUP(N32,setup!$A$8:$H$58,2),VLOOKUP(N32,setup!$A$8:$H$58,3),VLOOKUP(N32,setup!$A$8:$H$58,4),VLOOKUP(N32,setup!$A$8:$H$58,5),VLOOKUP(N32,setup!$A$8:$H$58,6),VLOOKUP(N32,setup!$A$8:$H$58,7), VLOOKUP(0,setup!$A$8:$H$58,2),VLOOKUP(0,setup!$A$8:$H$58,5),VLOOKUP(N32,setup!$A$8:$H$58,8))</f>
        <v>require_once '../interfaces/AppService.php';</v>
      </c>
    </row>
    <row r="33" spans="1:15" x14ac:dyDescent="0.25">
      <c r="O33" s="7" t="str">
        <f ca="1">getCodigoBackend(N33,A33,VLOOKUP(N33,setup!$A$8:$H$58,2),VLOOKUP(N33,setup!$A$8:$H$58,3),VLOOKUP(N33,setup!$A$8:$H$58,4),VLOOKUP(N33,setup!$A$8:$H$58,5),VLOOKUP(N33,setup!$A$8:$H$58,6),VLOOKUP(N33,setup!$A$8:$H$58,7), VLOOKUP(0,setup!$A$8:$H$58,2),VLOOKUP(0,setup!$A$8:$H$58,5),VLOOKUP(N33,setup!$A$8:$H$58,8))</f>
        <v/>
      </c>
    </row>
    <row r="34" spans="1:15" x14ac:dyDescent="0.25">
      <c r="A34" s="2" t="s">
        <v>243</v>
      </c>
      <c r="O34" s="7" t="str">
        <f ca="1">getCodigoBackend(N34,A34,VLOOKUP(N34,setup!$A$8:$H$58,2),VLOOKUP(N34,setup!$A$8:$H$58,3),VLOOKUP(N34,setup!$A$8:$H$58,4),VLOOKUP(N34,setup!$A$8:$H$58,5),VLOOKUP(N34,setup!$A$8:$H$58,6),VLOOKUP(N34,setup!$A$8:$H$58,7), VLOOKUP(0,setup!$A$8:$H$58,2),VLOOKUP(0,setup!$A$8:$H$58,5),VLOOKUP(N34,setup!$A$8:$H$58,8))</f>
        <v>interface CampanhaCashbackResgatePixService extends AppService</v>
      </c>
    </row>
    <row r="35" spans="1:15" x14ac:dyDescent="0.25">
      <c r="A35" s="6" t="s">
        <v>22</v>
      </c>
      <c r="O35" s="7" t="str">
        <f ca="1">getCodigoBackend(N35,A35,VLOOKUP(N35,setup!$A$8:$H$58,2),VLOOKUP(N35,setup!$A$8:$H$58,3),VLOOKUP(N35,setup!$A$8:$H$58,4),VLOOKUP(N35,setup!$A$8:$H$58,5),VLOOKUP(N35,setup!$A$8:$H$58,6),VLOOKUP(N35,setup!$A$8:$H$58,7), VLOOKUP(0,setup!$A$8:$H$58,2),VLOOKUP(0,setup!$A$8:$H$58,5),VLOOKUP(N35,setup!$A$8:$H$58,8))</f>
        <v>{</v>
      </c>
    </row>
    <row r="36" spans="1:15" x14ac:dyDescent="0.25">
      <c r="A36" s="6"/>
      <c r="O36" s="7" t="str">
        <f ca="1">getCodigoBackend(N36,A36,VLOOKUP(N36,setup!$A$8:$H$58,2),VLOOKUP(N36,setup!$A$8:$H$58,3),VLOOKUP(N36,setup!$A$8:$H$58,4),VLOOKUP(N36,setup!$A$8:$H$58,5),VLOOKUP(N36,setup!$A$8:$H$58,6),VLOOKUP(N36,setup!$A$8:$H$58,7), VLOOKUP(0,setup!$A$8:$H$58,2),VLOOKUP(0,setup!$A$8:$H$58,5),VLOOKUP(N36,setup!$A$8:$H$58,8))</f>
        <v/>
      </c>
    </row>
    <row r="37" spans="1:15" x14ac:dyDescent="0.25">
      <c r="A37" s="6" t="s">
        <v>244</v>
      </c>
      <c r="O37" s="7" t="str">
        <f ca="1">getCodigoBackend(N37,A37,VLOOKUP(N37,setup!$A$8:$H$58,2),VLOOKUP(N37,setup!$A$8:$H$58,3),VLOOKUP(N37,setup!$A$8:$H$58,4),VLOOKUP(N37,setup!$A$8:$H$58,5),VLOOKUP(N37,setup!$A$8:$H$58,6),VLOOKUP(N37,setup!$A$8:$H$58,7), VLOOKUP(0,setup!$A$8:$H$58,2),VLOOKUP(0,setup!$A$8:$H$58,5),VLOOKUP(N37,setup!$A$8:$H$58,8))</f>
        <v>    public function autalizarStatusCampanhaCashbackResgatePix($id, $status);</v>
      </c>
    </row>
    <row r="38" spans="1:15" x14ac:dyDescent="0.25">
      <c r="A38" s="2" t="s">
        <v>668</v>
      </c>
      <c r="O38" s="7" t="str">
        <f ca="1">getCodigoBackend(N38,A38,VLOOKUP(N38,setup!$A$8:$H$58,2),VLOOKUP(N38,setup!$A$8:$H$58,3),VLOOKUP(N38,setup!$A$8:$H$58,4),VLOOKUP(N38,setup!$A$8:$H$58,5),VLOOKUP(N38,setup!$A$8:$H$58,6),VLOOKUP(N38,setup!$A$8:$H$58,7), VLOOKUP(0,setup!$A$8:$H$58,2),VLOOKUP(0,setup!$A$8:$H$58,5),VLOOKUP(N38,setup!$A$8:$H$58,8))</f>
        <v xml:space="preserve">    public function listarCampanhaCashbackResgatePixPorStatus($status='A', $pag=1, $qtde=0, $coluna=1, $ordem=0);</v>
      </c>
    </row>
    <row r="39" spans="1:15" x14ac:dyDescent="0.25">
      <c r="A39" s="2" t="s">
        <v>669</v>
      </c>
      <c r="O39" s="7" t="str">
        <f ca="1">getCodigoBackend(N39,A39,VLOOKUP(N39,setup!$A$8:$H$58,2),VLOOKUP(N39,setup!$A$8:$H$58,3),VLOOKUP(N39,setup!$A$8:$H$58,4),VLOOKUP(N39,setup!$A$8:$H$58,5),VLOOKUP(N39,setup!$A$8:$H$58,6),VLOOKUP(N39,setup!$A$8:$H$58,7), VLOOKUP(0,setup!$A$8:$H$58,2),VLOOKUP(0,setup!$A$8:$H$58,5),VLOOKUP(N39,setup!$A$8:$H$58,8))</f>
        <v xml:space="preserve">    public function listarCampanhaCashbackResgatePixPorUsuaIdStatus($usuaid, $status='A', $pag=1, $qtde=0, $coluna=1, $ordem=0);</v>
      </c>
    </row>
    <row r="40" spans="1:15" x14ac:dyDescent="0.25">
      <c r="A40" s="6" t="s">
        <v>78</v>
      </c>
      <c r="O40" s="7" t="str">
        <f ca="1">getCodigoBackend(N40,A40,VLOOKUP(N40,setup!$A$8:$H$58,2),VLOOKUP(N40,setup!$A$8:$H$58,3),VLOOKUP(N40,setup!$A$8:$H$58,4),VLOOKUP(N40,setup!$A$8:$H$58,5),VLOOKUP(N40,setup!$A$8:$H$58,6),VLOOKUP(N40,setup!$A$8:$H$58,7), VLOOKUP(0,setup!$A$8:$H$58,2),VLOOKUP(0,setup!$A$8:$H$58,5),VLOOKUP(N40,setup!$A$8:$H$58,8))</f>
        <v>    public function cancelar($dto);</v>
      </c>
    </row>
    <row r="41" spans="1:15" x14ac:dyDescent="0.25">
      <c r="A41" s="29" t="s">
        <v>923</v>
      </c>
      <c r="N41">
        <v>1</v>
      </c>
      <c r="O41" s="7" t="str">
        <f ca="1">getCodigoBackend(N41,A41,VLOOKUP(N41,setup!$A$8:$H$58,2),VLOOKUP(N41,setup!$A$8:$H$58,3),VLOOKUP(N41,setup!$A$8:$H$58,4),VLOOKUP(N41,setup!$A$8:$H$58,5),VLOOKUP(N41,setup!$A$8:$H$58,6),VLOOKUP(N41,setup!$A$8:$H$58,7), VLOOKUP(0,setup!$A$8:$H$58,2),VLOOKUP(0,setup!$A$8:$H$58,5),VLOOKUP(N41,setup!$A$8:$H$58,8))</f>
        <v xml:space="preserve">    public function pesquisarMaxPKAtivoIdcampanhacashbackPorStatus($idCampanhaCashback,$status);</v>
      </c>
    </row>
    <row r="42" spans="1:15" x14ac:dyDescent="0.25">
      <c r="A42" s="2"/>
      <c r="O42" s="7" t="str">
        <f ca="1">getCodigoBackend(N42,A42,VLOOKUP(N42,setup!$A$8:$H$58,2),VLOOKUP(N42,setup!$A$8:$H$58,3),VLOOKUP(N42,setup!$A$8:$H$58,4),VLOOKUP(N42,setup!$A$8:$H$58,5),VLOOKUP(N42,setup!$A$8:$H$58,6),VLOOKUP(N42,setup!$A$8:$H$58,7), VLOOKUP(0,setup!$A$8:$H$58,2),VLOOKUP(0,setup!$A$8:$H$58,5),VLOOKUP(N42,setup!$A$8:$H$58,8))</f>
        <v/>
      </c>
    </row>
    <row r="43" spans="1:15" x14ac:dyDescent="0.25">
      <c r="A43" s="2" t="s">
        <v>719</v>
      </c>
      <c r="N43">
        <v>1</v>
      </c>
      <c r="O43" s="7" t="str">
        <f ca="1">getCodigoBackend(N43,A43,VLOOKUP(N43,setup!$A$8:$H$58,2),VLOOKUP(N43,setup!$A$8:$H$58,3),VLOOKUP(N43,setup!$A$8:$H$58,4),VLOOKUP(N43,setup!$A$8:$H$58,5),VLOOKUP(N43,setup!$A$8:$H$58,6),VLOOKUP(N43,setup!$A$8:$H$58,7), VLOOKUP(0,setup!$A$8:$H$58,2),VLOOKUP(0,setup!$A$8:$H$58,5),VLOOKUP(N43,setup!$A$8:$H$58,8))</f>
        <v xml:space="preserve">    public function pesquisarPorIdcampanhacashback($idCampanhaCashback);</v>
      </c>
    </row>
    <row r="44" spans="1:15" x14ac:dyDescent="0.25">
      <c r="A44" s="2" t="s">
        <v>719</v>
      </c>
      <c r="N44">
        <f t="shared" ref="N44:N92" si="0">N43+1</f>
        <v>2</v>
      </c>
      <c r="O44" s="7" t="str">
        <f ca="1">getCodigoBackend(N44,A44,VLOOKUP(N44,setup!$A$8:$H$58,2),VLOOKUP(N44,setup!$A$8:$H$58,3),VLOOKUP(N44,setup!$A$8:$H$58,4),VLOOKUP(N44,setup!$A$8:$H$58,5),VLOOKUP(N44,setup!$A$8:$H$58,6),VLOOKUP(N44,setup!$A$8:$H$58,7), VLOOKUP(0,setup!$A$8:$H$58,2),VLOOKUP(0,setup!$A$8:$H$58,5),VLOOKUP(N44,setup!$A$8:$H$58,8))</f>
        <v xml:space="preserve">    public function pesquisarPorIdusuariosolicitante($idUsuarioSolicitante);</v>
      </c>
    </row>
    <row r="45" spans="1:15" x14ac:dyDescent="0.25">
      <c r="A45" s="2" t="s">
        <v>719</v>
      </c>
      <c r="N45">
        <f t="shared" si="0"/>
        <v>3</v>
      </c>
      <c r="O45" s="7" t="str">
        <f ca="1">getCodigoBackend(N45,A45,VLOOKUP(N45,setup!$A$8:$H$58,2),VLOOKUP(N45,setup!$A$8:$H$58,3),VLOOKUP(N45,setup!$A$8:$H$58,4),VLOOKUP(N45,setup!$A$8:$H$58,5),VLOOKUP(N45,setup!$A$8:$H$58,6),VLOOKUP(N45,setup!$A$8:$H$58,7), VLOOKUP(0,setup!$A$8:$H$58,2),VLOOKUP(0,setup!$A$8:$H$58,5),VLOOKUP(N45,setup!$A$8:$H$58,8))</f>
        <v xml:space="preserve">    public function pesquisarPorTipochavepix($tipoChavePix);</v>
      </c>
    </row>
    <row r="46" spans="1:15" x14ac:dyDescent="0.25">
      <c r="A46" s="2" t="s">
        <v>719</v>
      </c>
      <c r="N46">
        <f t="shared" si="0"/>
        <v>4</v>
      </c>
      <c r="O46" s="7" t="str">
        <f ca="1">getCodigoBackend(N46,A46,VLOOKUP(N46,setup!$A$8:$H$58,2),VLOOKUP(N46,setup!$A$8:$H$58,3),VLOOKUP(N46,setup!$A$8:$H$58,4),VLOOKUP(N46,setup!$A$8:$H$58,5),VLOOKUP(N46,setup!$A$8:$H$58,6),VLOOKUP(N46,setup!$A$8:$H$58,7), VLOOKUP(0,setup!$A$8:$H$58,2),VLOOKUP(0,setup!$A$8:$H$58,5),VLOOKUP(N46,setup!$A$8:$H$58,8))</f>
        <v xml:space="preserve">    public function pesquisarPorChavepix($chavePix);</v>
      </c>
    </row>
    <row r="47" spans="1:15" x14ac:dyDescent="0.25">
      <c r="A47" s="2" t="s">
        <v>719</v>
      </c>
      <c r="N47">
        <f t="shared" si="0"/>
        <v>5</v>
      </c>
      <c r="O47" s="7" t="str">
        <f ca="1">getCodigoBackend(N47,A47,VLOOKUP(N47,setup!$A$8:$H$58,2),VLOOKUP(N47,setup!$A$8:$H$58,3),VLOOKUP(N47,setup!$A$8:$H$58,4),VLOOKUP(N47,setup!$A$8:$H$58,5),VLOOKUP(N47,setup!$A$8:$H$58,6),VLOOKUP(N47,setup!$A$8:$H$58,7), VLOOKUP(0,setup!$A$8:$H$58,2),VLOOKUP(0,setup!$A$8:$H$58,5),VLOOKUP(N47,setup!$A$8:$H$58,8))</f>
        <v xml:space="preserve">    public function pesquisarPorValorresgate($valorResgate);</v>
      </c>
    </row>
    <row r="48" spans="1:15" x14ac:dyDescent="0.25">
      <c r="A48" s="2" t="s">
        <v>719</v>
      </c>
      <c r="N48">
        <f t="shared" si="0"/>
        <v>6</v>
      </c>
      <c r="O48" s="7" t="str">
        <f ca="1">getCodigoBackend(N48,A48,VLOOKUP(N48,setup!$A$8:$H$58,2),VLOOKUP(N48,setup!$A$8:$H$58,3),VLOOKUP(N48,setup!$A$8:$H$58,4),VLOOKUP(N48,setup!$A$8:$H$58,5),VLOOKUP(N48,setup!$A$8:$H$58,6),VLOOKUP(N48,setup!$A$8:$H$58,7), VLOOKUP(0,setup!$A$8:$H$58,2),VLOOKUP(0,setup!$A$8:$H$58,5),VLOOKUP(N48,setup!$A$8:$H$58,8))</f>
        <v xml:space="preserve">    public function pesquisarPorAutenticacaobco($autenticacaoBco);</v>
      </c>
    </row>
    <row r="49" spans="1:15" x14ac:dyDescent="0.25">
      <c r="A49" s="2" t="s">
        <v>719</v>
      </c>
      <c r="N49">
        <f t="shared" si="0"/>
        <v>7</v>
      </c>
      <c r="O49" s="7" t="str">
        <f ca="1">getCodigoBackend(N49,A49,VLOOKUP(N49,setup!$A$8:$H$58,2),VLOOKUP(N49,setup!$A$8:$H$58,3),VLOOKUP(N49,setup!$A$8:$H$58,4),VLOOKUP(N49,setup!$A$8:$H$58,5),VLOOKUP(N49,setup!$A$8:$H$58,6),VLOOKUP(N49,setup!$A$8:$H$58,7), VLOOKUP(0,setup!$A$8:$H$58,2),VLOOKUP(0,setup!$A$8:$H$58,5),VLOOKUP(N49,setup!$A$8:$H$58,8))</f>
        <v xml:space="preserve">    public function pesquisarPorEstagiorealtime($estagioRealTime);</v>
      </c>
    </row>
    <row r="50" spans="1:15" x14ac:dyDescent="0.25">
      <c r="A50" s="2" t="s">
        <v>719</v>
      </c>
      <c r="N50">
        <f t="shared" si="0"/>
        <v>8</v>
      </c>
      <c r="O50" s="7" t="str">
        <f ca="1">getCodigoBackend(N50,A50,VLOOKUP(N50,setup!$A$8:$H$58,2),VLOOKUP(N50,setup!$A$8:$H$58,3),VLOOKUP(N50,setup!$A$8:$H$58,4),VLOOKUP(N50,setup!$A$8:$H$58,5),VLOOKUP(N50,setup!$A$8:$H$58,6),VLOOKUP(N50,setup!$A$8:$H$58,7), VLOOKUP(0,setup!$A$8:$H$58,2),VLOOKUP(0,setup!$A$8:$H$58,5),VLOOKUP(N50,setup!$A$8:$H$58,8))</f>
        <v xml:space="preserve">    public function pesquisarPorDtestagioanalise($dtEstagioAnalise);</v>
      </c>
    </row>
    <row r="51" spans="1:15" x14ac:dyDescent="0.25">
      <c r="A51" s="2" t="s">
        <v>719</v>
      </c>
      <c r="N51">
        <f t="shared" si="0"/>
        <v>9</v>
      </c>
      <c r="O51" s="7" t="str">
        <f ca="1">getCodigoBackend(N51,A51,VLOOKUP(N51,setup!$A$8:$H$58,2),VLOOKUP(N51,setup!$A$8:$H$58,3),VLOOKUP(N51,setup!$A$8:$H$58,4),VLOOKUP(N51,setup!$A$8:$H$58,5),VLOOKUP(N51,setup!$A$8:$H$58,6),VLOOKUP(N51,setup!$A$8:$H$58,7), VLOOKUP(0,setup!$A$8:$H$58,2),VLOOKUP(0,setup!$A$8:$H$58,5),VLOOKUP(N51,setup!$A$8:$H$58,8))</f>
        <v xml:space="preserve">    public function pesquisarPorDtestagiofinanceiro($dtEstagioFinanceiro);</v>
      </c>
    </row>
    <row r="52" spans="1:15" x14ac:dyDescent="0.25">
      <c r="A52" s="2" t="s">
        <v>719</v>
      </c>
      <c r="N52">
        <f t="shared" si="0"/>
        <v>10</v>
      </c>
      <c r="O52" s="7" t="str">
        <f ca="1">getCodigoBackend(N52,A52,VLOOKUP(N52,setup!$A$8:$H$58,2),VLOOKUP(N52,setup!$A$8:$H$58,3),VLOOKUP(N52,setup!$A$8:$H$58,4),VLOOKUP(N52,setup!$A$8:$H$58,5),VLOOKUP(N52,setup!$A$8:$H$58,6),VLOOKUP(N52,setup!$A$8:$H$58,7), VLOOKUP(0,setup!$A$8:$H$58,2),VLOOKUP(0,setup!$A$8:$H$58,5),VLOOKUP(N52,setup!$A$8:$H$58,8))</f>
        <v xml:space="preserve">    public function pesquisarPorDtestagioerro($dtEstagioErro);</v>
      </c>
    </row>
    <row r="53" spans="1:15" x14ac:dyDescent="0.25">
      <c r="A53" s="2" t="s">
        <v>719</v>
      </c>
      <c r="N53">
        <f t="shared" si="0"/>
        <v>11</v>
      </c>
      <c r="O53" s="7" t="str">
        <f ca="1">getCodigoBackend(N53,A53,VLOOKUP(N53,setup!$A$8:$H$58,2),VLOOKUP(N53,setup!$A$8:$H$58,3),VLOOKUP(N53,setup!$A$8:$H$58,4),VLOOKUP(N53,setup!$A$8:$H$58,5),VLOOKUP(N53,setup!$A$8:$H$58,6),VLOOKUP(N53,setup!$A$8:$H$58,7), VLOOKUP(0,setup!$A$8:$H$58,2),VLOOKUP(0,setup!$A$8:$H$58,5),VLOOKUP(N53,setup!$A$8:$H$58,8))</f>
        <v xml:space="preserve">    public function pesquisarPorDtestagiotranfbco($dtEstagioTranfBco);</v>
      </c>
    </row>
    <row r="54" spans="1:15" x14ac:dyDescent="0.25">
      <c r="A54" s="2" t="s">
        <v>719</v>
      </c>
      <c r="N54">
        <f t="shared" si="0"/>
        <v>12</v>
      </c>
      <c r="O54" s="7" t="str">
        <f ca="1">getCodigoBackend(N54,A54,VLOOKUP(N54,setup!$A$8:$H$58,2),VLOOKUP(N54,setup!$A$8:$H$58,3),VLOOKUP(N54,setup!$A$8:$H$58,4),VLOOKUP(N54,setup!$A$8:$H$58,5),VLOOKUP(N54,setup!$A$8:$H$58,6),VLOOKUP(N54,setup!$A$8:$H$58,7), VLOOKUP(0,setup!$A$8:$H$58,2),VLOOKUP(0,setup!$A$8:$H$58,5),VLOOKUP(N54,setup!$A$8:$H$58,8))</f>
        <v xml:space="preserve">    public function pesquisarPorTxtlivreestagiort($txtLivreEstagioRT);</v>
      </c>
    </row>
    <row r="55" spans="1:15" x14ac:dyDescent="0.25">
      <c r="A55" s="2" t="s">
        <v>719</v>
      </c>
      <c r="N55">
        <f t="shared" si="0"/>
        <v>13</v>
      </c>
      <c r="O55" s="7" t="e">
        <f>getCodigoBackend(N55,A55,VLOOKUP(N55,setup!$A$8:$H$58,2),VLOOKUP(N55,setup!$A$8:$H$58,3),VLOOKUP(N55,setup!$A$8:$H$58,4),VLOOKUP(N55,setup!$A$8:$H$58,5),VLOOKUP(N55,setup!$A$8:$H$58,6),VLOOKUP(N55,setup!$A$8:$H$58,7), VLOOKUP(0,setup!$A$8:$H$58,2),VLOOKUP(0,setup!$A$8:$H$58,5),VLOOKUP(N55,setup!$A$8:$H$58,8))</f>
        <v>#VALUE!</v>
      </c>
    </row>
    <row r="56" spans="1:15" x14ac:dyDescent="0.25">
      <c r="A56" s="2" t="s">
        <v>719</v>
      </c>
      <c r="N56">
        <f t="shared" si="0"/>
        <v>14</v>
      </c>
      <c r="O56" s="7" t="e">
        <f>getCodigoBackend(N56,A56,VLOOKUP(N56,setup!$A$8:$H$58,2),VLOOKUP(N56,setup!$A$8:$H$58,3),VLOOKUP(N56,setup!$A$8:$H$58,4),VLOOKUP(N56,setup!$A$8:$H$58,5),VLOOKUP(N56,setup!$A$8:$H$58,6),VLOOKUP(N56,setup!$A$8:$H$58,7), VLOOKUP(0,setup!$A$8:$H$58,2),VLOOKUP(0,setup!$A$8:$H$58,5),VLOOKUP(N56,setup!$A$8:$H$58,8))</f>
        <v>#VALUE!</v>
      </c>
    </row>
    <row r="57" spans="1:15" x14ac:dyDescent="0.25">
      <c r="A57" s="2" t="s">
        <v>719</v>
      </c>
      <c r="N57">
        <f t="shared" si="0"/>
        <v>15</v>
      </c>
      <c r="O57" s="7" t="e">
        <f>getCodigoBackend(N57,A57,VLOOKUP(N57,setup!$A$8:$H$58,2),VLOOKUP(N57,setup!$A$8:$H$58,3),VLOOKUP(N57,setup!$A$8:$H$58,4),VLOOKUP(N57,setup!$A$8:$H$58,5),VLOOKUP(N57,setup!$A$8:$H$58,6),VLOOKUP(N57,setup!$A$8:$H$58,7), VLOOKUP(0,setup!$A$8:$H$58,2),VLOOKUP(0,setup!$A$8:$H$58,5),VLOOKUP(N57,setup!$A$8:$H$58,8))</f>
        <v>#VALUE!</v>
      </c>
    </row>
    <row r="58" spans="1:15" x14ac:dyDescent="0.25">
      <c r="A58" s="2" t="s">
        <v>719</v>
      </c>
      <c r="N58">
        <f t="shared" si="0"/>
        <v>16</v>
      </c>
      <c r="O58" s="7" t="e">
        <f>getCodigoBackend(N58,A58,VLOOKUP(N58,setup!$A$8:$H$58,2),VLOOKUP(N58,setup!$A$8:$H$58,3),VLOOKUP(N58,setup!$A$8:$H$58,4),VLOOKUP(N58,setup!$A$8:$H$58,5),VLOOKUP(N58,setup!$A$8:$H$58,6),VLOOKUP(N58,setup!$A$8:$H$58,7), VLOOKUP(0,setup!$A$8:$H$58,2),VLOOKUP(0,setup!$A$8:$H$58,5),VLOOKUP(N58,setup!$A$8:$H$58,8))</f>
        <v>#VALUE!</v>
      </c>
    </row>
    <row r="59" spans="1:15" x14ac:dyDescent="0.25">
      <c r="A59" s="2" t="s">
        <v>719</v>
      </c>
      <c r="N59">
        <f t="shared" si="0"/>
        <v>17</v>
      </c>
      <c r="O59" s="7" t="e">
        <f>getCodigoBackend(N59,A59,VLOOKUP(N59,setup!$A$8:$H$58,2),VLOOKUP(N59,setup!$A$8:$H$58,3),VLOOKUP(N59,setup!$A$8:$H$58,4),VLOOKUP(N59,setup!$A$8:$H$58,5),VLOOKUP(N59,setup!$A$8:$H$58,6),VLOOKUP(N59,setup!$A$8:$H$58,7), VLOOKUP(0,setup!$A$8:$H$58,2),VLOOKUP(0,setup!$A$8:$H$58,5),VLOOKUP(N59,setup!$A$8:$H$58,8))</f>
        <v>#VALUE!</v>
      </c>
    </row>
    <row r="60" spans="1:15" x14ac:dyDescent="0.25">
      <c r="A60" s="2" t="s">
        <v>719</v>
      </c>
      <c r="N60">
        <f t="shared" si="0"/>
        <v>18</v>
      </c>
      <c r="O60" s="7" t="e">
        <f>getCodigoBackend(N60,A60,VLOOKUP(N60,setup!$A$8:$H$58,2),VLOOKUP(N60,setup!$A$8:$H$58,3),VLOOKUP(N60,setup!$A$8:$H$58,4),VLOOKUP(N60,setup!$A$8:$H$58,5),VLOOKUP(N60,setup!$A$8:$H$58,6),VLOOKUP(N60,setup!$A$8:$H$58,7), VLOOKUP(0,setup!$A$8:$H$58,2),VLOOKUP(0,setup!$A$8:$H$58,5),VLOOKUP(N60,setup!$A$8:$H$58,8))</f>
        <v>#VALUE!</v>
      </c>
    </row>
    <row r="61" spans="1:15" x14ac:dyDescent="0.25">
      <c r="A61" s="2" t="s">
        <v>719</v>
      </c>
      <c r="N61">
        <f t="shared" si="0"/>
        <v>19</v>
      </c>
      <c r="O61" s="7" t="e">
        <f>getCodigoBackend(N61,A61,VLOOKUP(N61,setup!$A$8:$H$58,2),VLOOKUP(N61,setup!$A$8:$H$58,3),VLOOKUP(N61,setup!$A$8:$H$58,4),VLOOKUP(N61,setup!$A$8:$H$58,5),VLOOKUP(N61,setup!$A$8:$H$58,6),VLOOKUP(N61,setup!$A$8:$H$58,7), VLOOKUP(0,setup!$A$8:$H$58,2),VLOOKUP(0,setup!$A$8:$H$58,5),VLOOKUP(N61,setup!$A$8:$H$58,8))</f>
        <v>#VALUE!</v>
      </c>
    </row>
    <row r="62" spans="1:15" x14ac:dyDescent="0.25">
      <c r="A62" s="2" t="s">
        <v>719</v>
      </c>
      <c r="N62">
        <f t="shared" si="0"/>
        <v>20</v>
      </c>
      <c r="O62" s="7" t="e">
        <f>getCodigoBackend(N62,A62,VLOOKUP(N62,setup!$A$8:$H$58,2),VLOOKUP(N62,setup!$A$8:$H$58,3),VLOOKUP(N62,setup!$A$8:$H$58,4),VLOOKUP(N62,setup!$A$8:$H$58,5),VLOOKUP(N62,setup!$A$8:$H$58,6),VLOOKUP(N62,setup!$A$8:$H$58,7), VLOOKUP(0,setup!$A$8:$H$58,2),VLOOKUP(0,setup!$A$8:$H$58,5),VLOOKUP(N62,setup!$A$8:$H$58,8))</f>
        <v>#VALUE!</v>
      </c>
    </row>
    <row r="63" spans="1:15" x14ac:dyDescent="0.25">
      <c r="A63" s="2" t="s">
        <v>719</v>
      </c>
      <c r="N63">
        <f t="shared" si="0"/>
        <v>21</v>
      </c>
      <c r="O63" s="7" t="e">
        <f>getCodigoBackend(N63,A63,VLOOKUP(N63,setup!$A$8:$H$58,2),VLOOKUP(N63,setup!$A$8:$H$58,3),VLOOKUP(N63,setup!$A$8:$H$58,4),VLOOKUP(N63,setup!$A$8:$H$58,5),VLOOKUP(N63,setup!$A$8:$H$58,6),VLOOKUP(N63,setup!$A$8:$H$58,7), VLOOKUP(0,setup!$A$8:$H$58,2),VLOOKUP(0,setup!$A$8:$H$58,5),VLOOKUP(N63,setup!$A$8:$H$58,8))</f>
        <v>#VALUE!</v>
      </c>
    </row>
    <row r="64" spans="1:15" x14ac:dyDescent="0.25">
      <c r="A64" s="2" t="s">
        <v>719</v>
      </c>
      <c r="N64">
        <f t="shared" si="0"/>
        <v>22</v>
      </c>
      <c r="O64" s="7" t="e">
        <f>getCodigoBackend(N64,A64,VLOOKUP(N64,setup!$A$8:$H$58,2),VLOOKUP(N64,setup!$A$8:$H$58,3),VLOOKUP(N64,setup!$A$8:$H$58,4),VLOOKUP(N64,setup!$A$8:$H$58,5),VLOOKUP(N64,setup!$A$8:$H$58,6),VLOOKUP(N64,setup!$A$8:$H$58,7), VLOOKUP(0,setup!$A$8:$H$58,2),VLOOKUP(0,setup!$A$8:$H$58,5),VLOOKUP(N64,setup!$A$8:$H$58,8))</f>
        <v>#VALUE!</v>
      </c>
    </row>
    <row r="65" spans="1:15" x14ac:dyDescent="0.25">
      <c r="A65" s="2" t="s">
        <v>719</v>
      </c>
      <c r="N65">
        <f t="shared" si="0"/>
        <v>23</v>
      </c>
      <c r="O65" s="7" t="e">
        <f>getCodigoBackend(N65,A65,VLOOKUP(N65,setup!$A$8:$H$58,2),VLOOKUP(N65,setup!$A$8:$H$58,3),VLOOKUP(N65,setup!$A$8:$H$58,4),VLOOKUP(N65,setup!$A$8:$H$58,5),VLOOKUP(N65,setup!$A$8:$H$58,6),VLOOKUP(N65,setup!$A$8:$H$58,7), VLOOKUP(0,setup!$A$8:$H$58,2),VLOOKUP(0,setup!$A$8:$H$58,5),VLOOKUP(N65,setup!$A$8:$H$58,8))</f>
        <v>#VALUE!</v>
      </c>
    </row>
    <row r="66" spans="1:15" x14ac:dyDescent="0.25">
      <c r="A66" s="2" t="s">
        <v>719</v>
      </c>
      <c r="N66">
        <f t="shared" si="0"/>
        <v>24</v>
      </c>
      <c r="O66" s="7" t="e">
        <f>getCodigoBackend(N66,A66,VLOOKUP(N66,setup!$A$8:$H$58,2),VLOOKUP(N66,setup!$A$8:$H$58,3),VLOOKUP(N66,setup!$A$8:$H$58,4),VLOOKUP(N66,setup!$A$8:$H$58,5),VLOOKUP(N66,setup!$A$8:$H$58,6),VLOOKUP(N66,setup!$A$8:$H$58,7), VLOOKUP(0,setup!$A$8:$H$58,2),VLOOKUP(0,setup!$A$8:$H$58,5),VLOOKUP(N66,setup!$A$8:$H$58,8))</f>
        <v>#VALUE!</v>
      </c>
    </row>
    <row r="67" spans="1:15" x14ac:dyDescent="0.25">
      <c r="A67" s="2" t="s">
        <v>719</v>
      </c>
      <c r="N67">
        <f t="shared" si="0"/>
        <v>25</v>
      </c>
      <c r="O67" s="7" t="e">
        <f>getCodigoBackend(N67,A67,VLOOKUP(N67,setup!$A$8:$H$58,2),VLOOKUP(N67,setup!$A$8:$H$58,3),VLOOKUP(N67,setup!$A$8:$H$58,4),VLOOKUP(N67,setup!$A$8:$H$58,5),VLOOKUP(N67,setup!$A$8:$H$58,6),VLOOKUP(N67,setup!$A$8:$H$58,7), VLOOKUP(0,setup!$A$8:$H$58,2),VLOOKUP(0,setup!$A$8:$H$58,5),VLOOKUP(N67,setup!$A$8:$H$58,8))</f>
        <v>#VALUE!</v>
      </c>
    </row>
    <row r="68" spans="1:15" x14ac:dyDescent="0.25">
      <c r="A68" s="2" t="s">
        <v>719</v>
      </c>
      <c r="N68">
        <f t="shared" si="0"/>
        <v>26</v>
      </c>
      <c r="O68" s="7" t="e">
        <f>getCodigoBackend(N68,A68,VLOOKUP(N68,setup!$A$8:$H$58,2),VLOOKUP(N68,setup!$A$8:$H$58,3),VLOOKUP(N68,setup!$A$8:$H$58,4),VLOOKUP(N68,setup!$A$8:$H$58,5),VLOOKUP(N68,setup!$A$8:$H$58,6),VLOOKUP(N68,setup!$A$8:$H$58,7), VLOOKUP(0,setup!$A$8:$H$58,2),VLOOKUP(0,setup!$A$8:$H$58,5),VLOOKUP(N68,setup!$A$8:$H$58,8))</f>
        <v>#VALUE!</v>
      </c>
    </row>
    <row r="69" spans="1:15" x14ac:dyDescent="0.25">
      <c r="A69" s="2" t="s">
        <v>719</v>
      </c>
      <c r="N69">
        <f t="shared" si="0"/>
        <v>27</v>
      </c>
      <c r="O69" s="7" t="e">
        <f>getCodigoBackend(N69,A69,VLOOKUP(N69,setup!$A$8:$H$58,2),VLOOKUP(N69,setup!$A$8:$H$58,3),VLOOKUP(N69,setup!$A$8:$H$58,4),VLOOKUP(N69,setup!$A$8:$H$58,5),VLOOKUP(N69,setup!$A$8:$H$58,6),VLOOKUP(N69,setup!$A$8:$H$58,7), VLOOKUP(0,setup!$A$8:$H$58,2),VLOOKUP(0,setup!$A$8:$H$58,5),VLOOKUP(N69,setup!$A$8:$H$58,8))</f>
        <v>#VALUE!</v>
      </c>
    </row>
    <row r="70" spans="1:15" x14ac:dyDescent="0.25">
      <c r="A70" s="2" t="s">
        <v>719</v>
      </c>
      <c r="N70">
        <f t="shared" si="0"/>
        <v>28</v>
      </c>
      <c r="O70" s="7" t="e">
        <f>getCodigoBackend(N70,A70,VLOOKUP(N70,setup!$A$8:$H$58,2),VLOOKUP(N70,setup!$A$8:$H$58,3),VLOOKUP(N70,setup!$A$8:$H$58,4),VLOOKUP(N70,setup!$A$8:$H$58,5),VLOOKUP(N70,setup!$A$8:$H$58,6),VLOOKUP(N70,setup!$A$8:$H$58,7), VLOOKUP(0,setup!$A$8:$H$58,2),VLOOKUP(0,setup!$A$8:$H$58,5),VLOOKUP(N70,setup!$A$8:$H$58,8))</f>
        <v>#VALUE!</v>
      </c>
    </row>
    <row r="71" spans="1:15" x14ac:dyDescent="0.25">
      <c r="A71" s="2" t="s">
        <v>719</v>
      </c>
      <c r="N71">
        <f t="shared" si="0"/>
        <v>29</v>
      </c>
      <c r="O71" s="7" t="e">
        <f>getCodigoBackend(N71,A71,VLOOKUP(N71,setup!$A$8:$H$58,2),VLOOKUP(N71,setup!$A$8:$H$58,3),VLOOKUP(N71,setup!$A$8:$H$58,4),VLOOKUP(N71,setup!$A$8:$H$58,5),VLOOKUP(N71,setup!$A$8:$H$58,6),VLOOKUP(N71,setup!$A$8:$H$58,7), VLOOKUP(0,setup!$A$8:$H$58,2),VLOOKUP(0,setup!$A$8:$H$58,5),VLOOKUP(N71,setup!$A$8:$H$58,8))</f>
        <v>#VALUE!</v>
      </c>
    </row>
    <row r="72" spans="1:15" x14ac:dyDescent="0.25">
      <c r="A72" s="2" t="s">
        <v>719</v>
      </c>
      <c r="N72">
        <f t="shared" si="0"/>
        <v>30</v>
      </c>
      <c r="O72" s="7" t="e">
        <f>getCodigoBackend(N72,A72,VLOOKUP(N72,setup!$A$8:$H$58,2),VLOOKUP(N72,setup!$A$8:$H$58,3),VLOOKUP(N72,setup!$A$8:$H$58,4),VLOOKUP(N72,setup!$A$8:$H$58,5),VLOOKUP(N72,setup!$A$8:$H$58,6),VLOOKUP(N72,setup!$A$8:$H$58,7), VLOOKUP(0,setup!$A$8:$H$58,2),VLOOKUP(0,setup!$A$8:$H$58,5),VLOOKUP(N72,setup!$A$8:$H$58,8))</f>
        <v>#VALUE!</v>
      </c>
    </row>
    <row r="73" spans="1:15" x14ac:dyDescent="0.25">
      <c r="A73" s="2" t="s">
        <v>719</v>
      </c>
      <c r="N73">
        <f t="shared" si="0"/>
        <v>31</v>
      </c>
      <c r="O73" s="7" t="e">
        <f>getCodigoBackend(N73,A73,VLOOKUP(N73,setup!$A$8:$H$58,2),VLOOKUP(N73,setup!$A$8:$H$58,3),VLOOKUP(N73,setup!$A$8:$H$58,4),VLOOKUP(N73,setup!$A$8:$H$58,5),VLOOKUP(N73,setup!$A$8:$H$58,6),VLOOKUP(N73,setup!$A$8:$H$58,7), VLOOKUP(0,setup!$A$8:$H$58,2),VLOOKUP(0,setup!$A$8:$H$58,5),VLOOKUP(N73,setup!$A$8:$H$58,8))</f>
        <v>#VALUE!</v>
      </c>
    </row>
    <row r="74" spans="1:15" x14ac:dyDescent="0.25">
      <c r="A74" s="2" t="s">
        <v>719</v>
      </c>
      <c r="N74">
        <f t="shared" si="0"/>
        <v>32</v>
      </c>
      <c r="O74" s="7" t="e">
        <f>getCodigoBackend(N74,A74,VLOOKUP(N74,setup!$A$8:$H$58,2),VLOOKUP(N74,setup!$A$8:$H$58,3),VLOOKUP(N74,setup!$A$8:$H$58,4),VLOOKUP(N74,setup!$A$8:$H$58,5),VLOOKUP(N74,setup!$A$8:$H$58,6),VLOOKUP(N74,setup!$A$8:$H$58,7), VLOOKUP(0,setup!$A$8:$H$58,2),VLOOKUP(0,setup!$A$8:$H$58,5),VLOOKUP(N74,setup!$A$8:$H$58,8))</f>
        <v>#VALUE!</v>
      </c>
    </row>
    <row r="75" spans="1:15" x14ac:dyDescent="0.25">
      <c r="A75" s="2" t="s">
        <v>719</v>
      </c>
      <c r="N75">
        <f t="shared" si="0"/>
        <v>33</v>
      </c>
      <c r="O75" s="7" t="e">
        <f>getCodigoBackend(N75,A75,VLOOKUP(N75,setup!$A$8:$H$58,2),VLOOKUP(N75,setup!$A$8:$H$58,3),VLOOKUP(N75,setup!$A$8:$H$58,4),VLOOKUP(N75,setup!$A$8:$H$58,5),VLOOKUP(N75,setup!$A$8:$H$58,6),VLOOKUP(N75,setup!$A$8:$H$58,7), VLOOKUP(0,setup!$A$8:$H$58,2),VLOOKUP(0,setup!$A$8:$H$58,5),VLOOKUP(N75,setup!$A$8:$H$58,8))</f>
        <v>#VALUE!</v>
      </c>
    </row>
    <row r="76" spans="1:15" x14ac:dyDescent="0.25">
      <c r="A76" s="2" t="s">
        <v>719</v>
      </c>
      <c r="N76">
        <f t="shared" si="0"/>
        <v>34</v>
      </c>
      <c r="O76" s="7" t="e">
        <f>getCodigoBackend(N76,A76,VLOOKUP(N76,setup!$A$8:$H$58,2),VLOOKUP(N76,setup!$A$8:$H$58,3),VLOOKUP(N76,setup!$A$8:$H$58,4),VLOOKUP(N76,setup!$A$8:$H$58,5),VLOOKUP(N76,setup!$A$8:$H$58,6),VLOOKUP(N76,setup!$A$8:$H$58,7), VLOOKUP(0,setup!$A$8:$H$58,2),VLOOKUP(0,setup!$A$8:$H$58,5),VLOOKUP(N76,setup!$A$8:$H$58,8))</f>
        <v>#VALUE!</v>
      </c>
    </row>
    <row r="77" spans="1:15" x14ac:dyDescent="0.25">
      <c r="A77" s="2" t="s">
        <v>719</v>
      </c>
      <c r="N77">
        <f t="shared" si="0"/>
        <v>35</v>
      </c>
      <c r="O77" s="7" t="e">
        <f>getCodigoBackend(N77,A77,VLOOKUP(N77,setup!$A$8:$H$58,2),VLOOKUP(N77,setup!$A$8:$H$58,3),VLOOKUP(N77,setup!$A$8:$H$58,4),VLOOKUP(N77,setup!$A$8:$H$58,5),VLOOKUP(N77,setup!$A$8:$H$58,6),VLOOKUP(N77,setup!$A$8:$H$58,7), VLOOKUP(0,setup!$A$8:$H$58,2),VLOOKUP(0,setup!$A$8:$H$58,5),VLOOKUP(N77,setup!$A$8:$H$58,8))</f>
        <v>#VALUE!</v>
      </c>
    </row>
    <row r="78" spans="1:15" x14ac:dyDescent="0.25">
      <c r="A78" s="2" t="s">
        <v>719</v>
      </c>
      <c r="N78">
        <f t="shared" si="0"/>
        <v>36</v>
      </c>
      <c r="O78" s="7" t="e">
        <f>getCodigoBackend(N78,A78,VLOOKUP(N78,setup!$A$8:$H$58,2),VLOOKUP(N78,setup!$A$8:$H$58,3),VLOOKUP(N78,setup!$A$8:$H$58,4),VLOOKUP(N78,setup!$A$8:$H$58,5),VLOOKUP(N78,setup!$A$8:$H$58,6),VLOOKUP(N78,setup!$A$8:$H$58,7), VLOOKUP(0,setup!$A$8:$H$58,2),VLOOKUP(0,setup!$A$8:$H$58,5),VLOOKUP(N78,setup!$A$8:$H$58,8))</f>
        <v>#VALUE!</v>
      </c>
    </row>
    <row r="79" spans="1:15" x14ac:dyDescent="0.25">
      <c r="A79" s="2" t="s">
        <v>719</v>
      </c>
      <c r="N79">
        <f t="shared" si="0"/>
        <v>37</v>
      </c>
      <c r="O79" s="7" t="e">
        <f>getCodigoBackend(N79,A79,VLOOKUP(N79,setup!$A$8:$H$58,2),VLOOKUP(N79,setup!$A$8:$H$58,3),VLOOKUP(N79,setup!$A$8:$H$58,4),VLOOKUP(N79,setup!$A$8:$H$58,5),VLOOKUP(N79,setup!$A$8:$H$58,6),VLOOKUP(N79,setup!$A$8:$H$58,7), VLOOKUP(0,setup!$A$8:$H$58,2),VLOOKUP(0,setup!$A$8:$H$58,5),VLOOKUP(N79,setup!$A$8:$H$58,8))</f>
        <v>#VALUE!</v>
      </c>
    </row>
    <row r="80" spans="1:15" x14ac:dyDescent="0.25">
      <c r="A80" s="2" t="s">
        <v>719</v>
      </c>
      <c r="N80">
        <f t="shared" si="0"/>
        <v>38</v>
      </c>
      <c r="O80" s="7" t="e">
        <f>getCodigoBackend(N80,A80,VLOOKUP(N80,setup!$A$8:$H$58,2),VLOOKUP(N80,setup!$A$8:$H$58,3),VLOOKUP(N80,setup!$A$8:$H$58,4),VLOOKUP(N80,setup!$A$8:$H$58,5),VLOOKUP(N80,setup!$A$8:$H$58,6),VLOOKUP(N80,setup!$A$8:$H$58,7), VLOOKUP(0,setup!$A$8:$H$58,2),VLOOKUP(0,setup!$A$8:$H$58,5),VLOOKUP(N80,setup!$A$8:$H$58,8))</f>
        <v>#VALUE!</v>
      </c>
    </row>
    <row r="81" spans="1:15" x14ac:dyDescent="0.25">
      <c r="A81" s="2" t="s">
        <v>719</v>
      </c>
      <c r="N81">
        <f t="shared" si="0"/>
        <v>39</v>
      </c>
      <c r="O81" s="7" t="e">
        <f>getCodigoBackend(N81,A81,VLOOKUP(N81,setup!$A$8:$H$58,2),VLOOKUP(N81,setup!$A$8:$H$58,3),VLOOKUP(N81,setup!$A$8:$H$58,4),VLOOKUP(N81,setup!$A$8:$H$58,5),VLOOKUP(N81,setup!$A$8:$H$58,6),VLOOKUP(N81,setup!$A$8:$H$58,7), VLOOKUP(0,setup!$A$8:$H$58,2),VLOOKUP(0,setup!$A$8:$H$58,5),VLOOKUP(N81,setup!$A$8:$H$58,8))</f>
        <v>#VALUE!</v>
      </c>
    </row>
    <row r="82" spans="1:15" x14ac:dyDescent="0.25">
      <c r="A82" s="2" t="s">
        <v>719</v>
      </c>
      <c r="N82">
        <f t="shared" si="0"/>
        <v>40</v>
      </c>
      <c r="O82" s="7" t="e">
        <f>getCodigoBackend(N82,A82,VLOOKUP(N82,setup!$A$8:$H$58,2),VLOOKUP(N82,setup!$A$8:$H$58,3),VLOOKUP(N82,setup!$A$8:$H$58,4),VLOOKUP(N82,setup!$A$8:$H$58,5),VLOOKUP(N82,setup!$A$8:$H$58,6),VLOOKUP(N82,setup!$A$8:$H$58,7), VLOOKUP(0,setup!$A$8:$H$58,2),VLOOKUP(0,setup!$A$8:$H$58,5),VLOOKUP(N82,setup!$A$8:$H$58,8))</f>
        <v>#VALUE!</v>
      </c>
    </row>
    <row r="83" spans="1:15" x14ac:dyDescent="0.25">
      <c r="A83" s="2" t="s">
        <v>719</v>
      </c>
      <c r="N83">
        <f t="shared" si="0"/>
        <v>41</v>
      </c>
      <c r="O83" s="7" t="e">
        <f>getCodigoBackend(N83,A83,VLOOKUP(N83,setup!$A$8:$H$58,2),VLOOKUP(N83,setup!$A$8:$H$58,3),VLOOKUP(N83,setup!$A$8:$H$58,4),VLOOKUP(N83,setup!$A$8:$H$58,5),VLOOKUP(N83,setup!$A$8:$H$58,6),VLOOKUP(N83,setup!$A$8:$H$58,7), VLOOKUP(0,setup!$A$8:$H$58,2),VLOOKUP(0,setup!$A$8:$H$58,5),VLOOKUP(N83,setup!$A$8:$H$58,8))</f>
        <v>#VALUE!</v>
      </c>
    </row>
    <row r="84" spans="1:15" x14ac:dyDescent="0.25">
      <c r="A84" s="2" t="s">
        <v>719</v>
      </c>
      <c r="N84">
        <f t="shared" si="0"/>
        <v>42</v>
      </c>
      <c r="O84" s="7" t="e">
        <f>getCodigoBackend(N84,A84,VLOOKUP(N84,setup!$A$8:$H$58,2),VLOOKUP(N84,setup!$A$8:$H$58,3),VLOOKUP(N84,setup!$A$8:$H$58,4),VLOOKUP(N84,setup!$A$8:$H$58,5),VLOOKUP(N84,setup!$A$8:$H$58,6),VLOOKUP(N84,setup!$A$8:$H$58,7), VLOOKUP(0,setup!$A$8:$H$58,2),VLOOKUP(0,setup!$A$8:$H$58,5),VLOOKUP(N84,setup!$A$8:$H$58,8))</f>
        <v>#VALUE!</v>
      </c>
    </row>
    <row r="85" spans="1:15" x14ac:dyDescent="0.25">
      <c r="A85" s="2" t="s">
        <v>719</v>
      </c>
      <c r="N85">
        <f t="shared" si="0"/>
        <v>43</v>
      </c>
      <c r="O85" s="7" t="e">
        <f>getCodigoBackend(N85,A85,VLOOKUP(N85,setup!$A$8:$H$58,2),VLOOKUP(N85,setup!$A$8:$H$58,3),VLOOKUP(N85,setup!$A$8:$H$58,4),VLOOKUP(N85,setup!$A$8:$H$58,5),VLOOKUP(N85,setup!$A$8:$H$58,6),VLOOKUP(N85,setup!$A$8:$H$58,7), VLOOKUP(0,setup!$A$8:$H$58,2),VLOOKUP(0,setup!$A$8:$H$58,5),VLOOKUP(N85,setup!$A$8:$H$58,8))</f>
        <v>#VALUE!</v>
      </c>
    </row>
    <row r="86" spans="1:15" x14ac:dyDescent="0.25">
      <c r="A86" s="2" t="s">
        <v>719</v>
      </c>
      <c r="N86">
        <f t="shared" si="0"/>
        <v>44</v>
      </c>
      <c r="O86" s="7" t="e">
        <f>getCodigoBackend(N86,A86,VLOOKUP(N86,setup!$A$8:$H$58,2),VLOOKUP(N86,setup!$A$8:$H$58,3),VLOOKUP(N86,setup!$A$8:$H$58,4),VLOOKUP(N86,setup!$A$8:$H$58,5),VLOOKUP(N86,setup!$A$8:$H$58,6),VLOOKUP(N86,setup!$A$8:$H$58,7), VLOOKUP(0,setup!$A$8:$H$58,2),VLOOKUP(0,setup!$A$8:$H$58,5),VLOOKUP(N86,setup!$A$8:$H$58,8))</f>
        <v>#VALUE!</v>
      </c>
    </row>
    <row r="87" spans="1:15" x14ac:dyDescent="0.25">
      <c r="A87" s="2" t="s">
        <v>719</v>
      </c>
      <c r="N87">
        <f t="shared" si="0"/>
        <v>45</v>
      </c>
      <c r="O87" s="7" t="e">
        <f>getCodigoBackend(N87,A87,VLOOKUP(N87,setup!$A$8:$H$58,2),VLOOKUP(N87,setup!$A$8:$H$58,3),VLOOKUP(N87,setup!$A$8:$H$58,4),VLOOKUP(N87,setup!$A$8:$H$58,5),VLOOKUP(N87,setup!$A$8:$H$58,6),VLOOKUP(N87,setup!$A$8:$H$58,7), VLOOKUP(0,setup!$A$8:$H$58,2),VLOOKUP(0,setup!$A$8:$H$58,5),VLOOKUP(N87,setup!$A$8:$H$58,8))</f>
        <v>#VALUE!</v>
      </c>
    </row>
    <row r="88" spans="1:15" x14ac:dyDescent="0.25">
      <c r="A88" s="2" t="s">
        <v>719</v>
      </c>
      <c r="N88">
        <f t="shared" si="0"/>
        <v>46</v>
      </c>
      <c r="O88" s="7" t="e">
        <f>getCodigoBackend(N88,A88,VLOOKUP(N88,setup!$A$8:$H$58,2),VLOOKUP(N88,setup!$A$8:$H$58,3),VLOOKUP(N88,setup!$A$8:$H$58,4),VLOOKUP(N88,setup!$A$8:$H$58,5),VLOOKUP(N88,setup!$A$8:$H$58,6),VLOOKUP(N88,setup!$A$8:$H$58,7), VLOOKUP(0,setup!$A$8:$H$58,2),VLOOKUP(0,setup!$A$8:$H$58,5),VLOOKUP(N88,setup!$A$8:$H$58,8))</f>
        <v>#VALUE!</v>
      </c>
    </row>
    <row r="89" spans="1:15" x14ac:dyDescent="0.25">
      <c r="A89" s="2" t="s">
        <v>719</v>
      </c>
      <c r="N89">
        <f t="shared" si="0"/>
        <v>47</v>
      </c>
      <c r="O89" s="7" t="e">
        <f>getCodigoBackend(N89,A89,VLOOKUP(N89,setup!$A$8:$H$58,2),VLOOKUP(N89,setup!$A$8:$H$58,3),VLOOKUP(N89,setup!$A$8:$H$58,4),VLOOKUP(N89,setup!$A$8:$H$58,5),VLOOKUP(N89,setup!$A$8:$H$58,6),VLOOKUP(N89,setup!$A$8:$H$58,7), VLOOKUP(0,setup!$A$8:$H$58,2),VLOOKUP(0,setup!$A$8:$H$58,5),VLOOKUP(N89,setup!$A$8:$H$58,8))</f>
        <v>#VALUE!</v>
      </c>
    </row>
    <row r="90" spans="1:15" x14ac:dyDescent="0.25">
      <c r="A90" s="2" t="s">
        <v>719</v>
      </c>
      <c r="N90">
        <f t="shared" si="0"/>
        <v>48</v>
      </c>
      <c r="O90" s="7" t="str">
        <f ca="1">getCodigoBackend(N90,A90,VLOOKUP(N90,setup!$A$8:$H$58,2),VLOOKUP(N90,setup!$A$8:$H$58,3),VLOOKUP(N90,setup!$A$8:$H$58,4),VLOOKUP(N90,setup!$A$8:$H$58,5),VLOOKUP(N90,setup!$A$8:$H$58,6),VLOOKUP(N90,setup!$A$8:$H$58,7), VLOOKUP(0,setup!$A$8:$H$58,2),VLOOKUP(0,setup!$A$8:$H$58,5),VLOOKUP(N90,setup!$A$8:$H$58,8))</f>
        <v xml:space="preserve">    public function pesquisarPorStatus($status);</v>
      </c>
    </row>
    <row r="91" spans="1:15" x14ac:dyDescent="0.25">
      <c r="A91" s="2"/>
      <c r="N91">
        <f t="shared" si="0"/>
        <v>49</v>
      </c>
      <c r="O91" s="7" t="str">
        <f ca="1">getCodigoBackend(N91,A91,VLOOKUP(N91,setup!$A$8:$H$58,2),VLOOKUP(N91,setup!$A$8:$H$58,3),VLOOKUP(N91,setup!$A$8:$H$58,4),VLOOKUP(N91,setup!$A$8:$H$58,5),VLOOKUP(N91,setup!$A$8:$H$58,6),VLOOKUP(N91,setup!$A$8:$H$58,7), VLOOKUP(0,setup!$A$8:$H$58,2),VLOOKUP(0,setup!$A$8:$H$58,5),VLOOKUP(N91,setup!$A$8:$H$58,8))</f>
        <v/>
      </c>
    </row>
    <row r="92" spans="1:15" x14ac:dyDescent="0.25">
      <c r="A92" s="2"/>
      <c r="N92">
        <f t="shared" si="0"/>
        <v>50</v>
      </c>
      <c r="O92" s="7" t="str">
        <f ca="1">getCodigoBackend(N92,A92,VLOOKUP(N92,setup!$A$8:$H$58,2),VLOOKUP(N92,setup!$A$8:$H$58,3),VLOOKUP(N92,setup!$A$8:$H$58,4),VLOOKUP(N92,setup!$A$8:$H$58,5),VLOOKUP(N92,setup!$A$8:$H$58,6),VLOOKUP(N92,setup!$A$8:$H$58,7), VLOOKUP(0,setup!$A$8:$H$58,2),VLOOKUP(0,setup!$A$8:$H$58,5),VLOOKUP(N92,setup!$A$8:$H$58,8))</f>
        <v/>
      </c>
    </row>
    <row r="93" spans="1:15" x14ac:dyDescent="0.25">
      <c r="A93" s="2"/>
      <c r="O93" s="7"/>
    </row>
    <row r="94" spans="1:15" x14ac:dyDescent="0.25">
      <c r="A94" s="2"/>
      <c r="O94" s="7" t="str">
        <f ca="1">getCodigoBackend(N94,A94,VLOOKUP(N94,setup!$A$8:$H$58,2),VLOOKUP(N94,setup!$A$8:$H$58,3),VLOOKUP(N94,setup!$A$8:$H$58,4),VLOOKUP(N94,setup!$A$8:$H$58,5),VLOOKUP(N94,setup!$A$8:$H$58,6),VLOOKUP(N94,setup!$A$8:$H$58,7), VLOOKUP(0,setup!$A$8:$H$58,2),VLOOKUP(0,setup!$A$8:$H$58,5),VLOOKUP(N94,setup!$A$8:$H$58,8))</f>
        <v/>
      </c>
    </row>
    <row r="95" spans="1:15" x14ac:dyDescent="0.25">
      <c r="A95" s="2" t="s">
        <v>718</v>
      </c>
      <c r="N95">
        <v>1</v>
      </c>
      <c r="O95" s="7" t="str">
        <f ca="1">getCodigoBackend(N95,A95,VLOOKUP(N95,setup!$A$8:$H$58,2),VLOOKUP(N95,setup!$A$8:$H$58,3),VLOOKUP(N95,setup!$A$8:$H$58,4),VLOOKUP(N95,setup!$A$8:$H$58,5),VLOOKUP(N95,setup!$A$8:$H$58,6),VLOOKUP(N95,setup!$A$8:$H$58,7), VLOOKUP(0,setup!$A$8:$H$58,2),VLOOKUP(0,setup!$A$8:$H$58,5),VLOOKUP(N95,setup!$A$8:$H$58,8))</f>
        <v xml:space="preserve">    public function atualizarIdcampanhacashbackPorPK($idCampanhaCashback,$id);</v>
      </c>
    </row>
    <row r="96" spans="1:15" x14ac:dyDescent="0.25">
      <c r="A96" s="2" t="s">
        <v>718</v>
      </c>
      <c r="N96">
        <f t="shared" ref="N96:N144" si="1">N95+1</f>
        <v>2</v>
      </c>
      <c r="O96" s="7" t="str">
        <f ca="1">getCodigoBackend(N96,A96,VLOOKUP(N96,setup!$A$8:$H$58,2),VLOOKUP(N96,setup!$A$8:$H$58,3),VLOOKUP(N96,setup!$A$8:$H$58,4),VLOOKUP(N96,setup!$A$8:$H$58,5),VLOOKUP(N96,setup!$A$8:$H$58,6),VLOOKUP(N96,setup!$A$8:$H$58,7), VLOOKUP(0,setup!$A$8:$H$58,2),VLOOKUP(0,setup!$A$8:$H$58,5),VLOOKUP(N96,setup!$A$8:$H$58,8))</f>
        <v xml:space="preserve">    public function atualizarIdusuariosolicitantePorPK($idUsuarioSolicitante,$id);</v>
      </c>
    </row>
    <row r="97" spans="1:15" x14ac:dyDescent="0.25">
      <c r="A97" s="2" t="s">
        <v>718</v>
      </c>
      <c r="N97">
        <f t="shared" si="1"/>
        <v>3</v>
      </c>
      <c r="O97" s="7" t="str">
        <f ca="1">getCodigoBackend(N97,A97,VLOOKUP(N97,setup!$A$8:$H$58,2),VLOOKUP(N97,setup!$A$8:$H$58,3),VLOOKUP(N97,setup!$A$8:$H$58,4),VLOOKUP(N97,setup!$A$8:$H$58,5),VLOOKUP(N97,setup!$A$8:$H$58,6),VLOOKUP(N97,setup!$A$8:$H$58,7), VLOOKUP(0,setup!$A$8:$H$58,2),VLOOKUP(0,setup!$A$8:$H$58,5),VLOOKUP(N97,setup!$A$8:$H$58,8))</f>
        <v xml:space="preserve">    public function atualizarTipochavepixPorPK($tipoChavePix,$id);</v>
      </c>
    </row>
    <row r="98" spans="1:15" x14ac:dyDescent="0.25">
      <c r="A98" s="2" t="s">
        <v>718</v>
      </c>
      <c r="N98">
        <f t="shared" si="1"/>
        <v>4</v>
      </c>
      <c r="O98" s="7" t="str">
        <f ca="1">getCodigoBackend(N98,A98,VLOOKUP(N98,setup!$A$8:$H$58,2),VLOOKUP(N98,setup!$A$8:$H$58,3),VLOOKUP(N98,setup!$A$8:$H$58,4),VLOOKUP(N98,setup!$A$8:$H$58,5),VLOOKUP(N98,setup!$A$8:$H$58,6),VLOOKUP(N98,setup!$A$8:$H$58,7), VLOOKUP(0,setup!$A$8:$H$58,2),VLOOKUP(0,setup!$A$8:$H$58,5),VLOOKUP(N98,setup!$A$8:$H$58,8))</f>
        <v xml:space="preserve">    public function atualizarChavepixPorPK($chavePix,$id);</v>
      </c>
    </row>
    <row r="99" spans="1:15" x14ac:dyDescent="0.25">
      <c r="A99" s="2" t="s">
        <v>718</v>
      </c>
      <c r="N99">
        <f t="shared" si="1"/>
        <v>5</v>
      </c>
      <c r="O99" s="7" t="str">
        <f ca="1">getCodigoBackend(N99,A99,VLOOKUP(N99,setup!$A$8:$H$58,2),VLOOKUP(N99,setup!$A$8:$H$58,3),VLOOKUP(N99,setup!$A$8:$H$58,4),VLOOKUP(N99,setup!$A$8:$H$58,5),VLOOKUP(N99,setup!$A$8:$H$58,6),VLOOKUP(N99,setup!$A$8:$H$58,7), VLOOKUP(0,setup!$A$8:$H$58,2),VLOOKUP(0,setup!$A$8:$H$58,5),VLOOKUP(N99,setup!$A$8:$H$58,8))</f>
        <v xml:space="preserve">    public function atualizarValorresgatePorPK($valorResgate,$id);</v>
      </c>
    </row>
    <row r="100" spans="1:15" x14ac:dyDescent="0.25">
      <c r="A100" s="2" t="s">
        <v>718</v>
      </c>
      <c r="N100">
        <f t="shared" si="1"/>
        <v>6</v>
      </c>
      <c r="O100" s="7" t="str">
        <f ca="1">getCodigoBackend(N100,A100,VLOOKUP(N100,setup!$A$8:$H$58,2),VLOOKUP(N100,setup!$A$8:$H$58,3),VLOOKUP(N100,setup!$A$8:$H$58,4),VLOOKUP(N100,setup!$A$8:$H$58,5),VLOOKUP(N100,setup!$A$8:$H$58,6),VLOOKUP(N100,setup!$A$8:$H$58,7), VLOOKUP(0,setup!$A$8:$H$58,2),VLOOKUP(0,setup!$A$8:$H$58,5),VLOOKUP(N100,setup!$A$8:$H$58,8))</f>
        <v xml:space="preserve">    public function atualizarAutenticacaobcoPorPK($autenticacaoBco,$id);</v>
      </c>
    </row>
    <row r="101" spans="1:15" x14ac:dyDescent="0.25">
      <c r="A101" s="2" t="s">
        <v>718</v>
      </c>
      <c r="N101">
        <f t="shared" si="1"/>
        <v>7</v>
      </c>
      <c r="O101" s="7" t="str">
        <f ca="1">getCodigoBackend(N101,A101,VLOOKUP(N101,setup!$A$8:$H$58,2),VLOOKUP(N101,setup!$A$8:$H$58,3),VLOOKUP(N101,setup!$A$8:$H$58,4),VLOOKUP(N101,setup!$A$8:$H$58,5),VLOOKUP(N101,setup!$A$8:$H$58,6),VLOOKUP(N101,setup!$A$8:$H$58,7), VLOOKUP(0,setup!$A$8:$H$58,2),VLOOKUP(0,setup!$A$8:$H$58,5),VLOOKUP(N101,setup!$A$8:$H$58,8))</f>
        <v xml:space="preserve">    public function atualizarEstagiorealtimePorPK($estagioRealTime,$id);</v>
      </c>
    </row>
    <row r="102" spans="1:15" x14ac:dyDescent="0.25">
      <c r="A102" s="2" t="s">
        <v>718</v>
      </c>
      <c r="N102">
        <f t="shared" si="1"/>
        <v>8</v>
      </c>
      <c r="O102" s="7" t="str">
        <f ca="1">getCodigoBackend(N102,A102,VLOOKUP(N102,setup!$A$8:$H$58,2),VLOOKUP(N102,setup!$A$8:$H$58,3),VLOOKUP(N102,setup!$A$8:$H$58,4),VLOOKUP(N102,setup!$A$8:$H$58,5),VLOOKUP(N102,setup!$A$8:$H$58,6),VLOOKUP(N102,setup!$A$8:$H$58,7), VLOOKUP(0,setup!$A$8:$H$58,2),VLOOKUP(0,setup!$A$8:$H$58,5),VLOOKUP(N102,setup!$A$8:$H$58,8))</f>
        <v xml:space="preserve">    public function atualizarDtestagioanalisePorPK($dtEstagioAnalise,$id);</v>
      </c>
    </row>
    <row r="103" spans="1:15" x14ac:dyDescent="0.25">
      <c r="A103" s="2" t="s">
        <v>718</v>
      </c>
      <c r="N103">
        <f t="shared" si="1"/>
        <v>9</v>
      </c>
      <c r="O103" s="7" t="str">
        <f ca="1">getCodigoBackend(N103,A103,VLOOKUP(N103,setup!$A$8:$H$58,2),VLOOKUP(N103,setup!$A$8:$H$58,3),VLOOKUP(N103,setup!$A$8:$H$58,4),VLOOKUP(N103,setup!$A$8:$H$58,5),VLOOKUP(N103,setup!$A$8:$H$58,6),VLOOKUP(N103,setup!$A$8:$H$58,7), VLOOKUP(0,setup!$A$8:$H$58,2),VLOOKUP(0,setup!$A$8:$H$58,5),VLOOKUP(N103,setup!$A$8:$H$58,8))</f>
        <v xml:space="preserve">    public function atualizarDtestagiofinanceiroPorPK($dtEstagioFinanceiro,$id);</v>
      </c>
    </row>
    <row r="104" spans="1:15" x14ac:dyDescent="0.25">
      <c r="A104" s="2" t="s">
        <v>718</v>
      </c>
      <c r="N104">
        <f t="shared" si="1"/>
        <v>10</v>
      </c>
      <c r="O104" s="7" t="str">
        <f ca="1">getCodigoBackend(N104,A104,VLOOKUP(N104,setup!$A$8:$H$58,2),VLOOKUP(N104,setup!$A$8:$H$58,3),VLOOKUP(N104,setup!$A$8:$H$58,4),VLOOKUP(N104,setup!$A$8:$H$58,5),VLOOKUP(N104,setup!$A$8:$H$58,6),VLOOKUP(N104,setup!$A$8:$H$58,7), VLOOKUP(0,setup!$A$8:$H$58,2),VLOOKUP(0,setup!$A$8:$H$58,5),VLOOKUP(N104,setup!$A$8:$H$58,8))</f>
        <v xml:space="preserve">    public function atualizarDtestagioerroPorPK($dtEstagioErro,$id);</v>
      </c>
    </row>
    <row r="105" spans="1:15" x14ac:dyDescent="0.25">
      <c r="A105" s="2" t="s">
        <v>718</v>
      </c>
      <c r="N105">
        <f t="shared" si="1"/>
        <v>11</v>
      </c>
      <c r="O105" s="7" t="str">
        <f ca="1">getCodigoBackend(N105,A105,VLOOKUP(N105,setup!$A$8:$H$58,2),VLOOKUP(N105,setup!$A$8:$H$58,3),VLOOKUP(N105,setup!$A$8:$H$58,4),VLOOKUP(N105,setup!$A$8:$H$58,5),VLOOKUP(N105,setup!$A$8:$H$58,6),VLOOKUP(N105,setup!$A$8:$H$58,7), VLOOKUP(0,setup!$A$8:$H$58,2),VLOOKUP(0,setup!$A$8:$H$58,5),VLOOKUP(N105,setup!$A$8:$H$58,8))</f>
        <v xml:space="preserve">    public function atualizarDtestagiotranfbcoPorPK($dtEstagioTranfBco,$id);</v>
      </c>
    </row>
    <row r="106" spans="1:15" x14ac:dyDescent="0.25">
      <c r="A106" s="2" t="s">
        <v>718</v>
      </c>
      <c r="N106">
        <f t="shared" si="1"/>
        <v>12</v>
      </c>
      <c r="O106" s="7" t="str">
        <f ca="1">getCodigoBackend(N106,A106,VLOOKUP(N106,setup!$A$8:$H$58,2),VLOOKUP(N106,setup!$A$8:$H$58,3),VLOOKUP(N106,setup!$A$8:$H$58,4),VLOOKUP(N106,setup!$A$8:$H$58,5),VLOOKUP(N106,setup!$A$8:$H$58,6),VLOOKUP(N106,setup!$A$8:$H$58,7), VLOOKUP(0,setup!$A$8:$H$58,2),VLOOKUP(0,setup!$A$8:$H$58,5),VLOOKUP(N106,setup!$A$8:$H$58,8))</f>
        <v xml:space="preserve">    public function atualizarTxtlivreestagiortPorPK($txtLivreEstagioRT,$id);</v>
      </c>
    </row>
    <row r="107" spans="1:15" x14ac:dyDescent="0.25">
      <c r="A107" s="2" t="s">
        <v>718</v>
      </c>
      <c r="N107">
        <f t="shared" si="1"/>
        <v>13</v>
      </c>
      <c r="O107" s="7" t="e">
        <f>getCodigoBackend(N107,A107,VLOOKUP(N107,setup!$A$8:$H$58,2),VLOOKUP(N107,setup!$A$8:$H$58,3),VLOOKUP(N107,setup!$A$8:$H$58,4),VLOOKUP(N107,setup!$A$8:$H$58,5),VLOOKUP(N107,setup!$A$8:$H$58,6),VLOOKUP(N107,setup!$A$8:$H$58,7), VLOOKUP(0,setup!$A$8:$H$58,2),VLOOKUP(0,setup!$A$8:$H$58,5),VLOOKUP(N107,setup!$A$8:$H$58,8))</f>
        <v>#VALUE!</v>
      </c>
    </row>
    <row r="108" spans="1:15" x14ac:dyDescent="0.25">
      <c r="A108" s="2" t="s">
        <v>718</v>
      </c>
      <c r="N108">
        <f t="shared" si="1"/>
        <v>14</v>
      </c>
      <c r="O108" s="7" t="e">
        <f>getCodigoBackend(N108,A108,VLOOKUP(N108,setup!$A$8:$H$58,2),VLOOKUP(N108,setup!$A$8:$H$58,3),VLOOKUP(N108,setup!$A$8:$H$58,4),VLOOKUP(N108,setup!$A$8:$H$58,5),VLOOKUP(N108,setup!$A$8:$H$58,6),VLOOKUP(N108,setup!$A$8:$H$58,7), VLOOKUP(0,setup!$A$8:$H$58,2),VLOOKUP(0,setup!$A$8:$H$58,5),VLOOKUP(N108,setup!$A$8:$H$58,8))</f>
        <v>#VALUE!</v>
      </c>
    </row>
    <row r="109" spans="1:15" x14ac:dyDescent="0.25">
      <c r="A109" s="2" t="s">
        <v>718</v>
      </c>
      <c r="N109">
        <f t="shared" si="1"/>
        <v>15</v>
      </c>
      <c r="O109" s="7" t="e">
        <f>getCodigoBackend(N109,A109,VLOOKUP(N109,setup!$A$8:$H$58,2),VLOOKUP(N109,setup!$A$8:$H$58,3),VLOOKUP(N109,setup!$A$8:$H$58,4),VLOOKUP(N109,setup!$A$8:$H$58,5),VLOOKUP(N109,setup!$A$8:$H$58,6),VLOOKUP(N109,setup!$A$8:$H$58,7), VLOOKUP(0,setup!$A$8:$H$58,2),VLOOKUP(0,setup!$A$8:$H$58,5),VLOOKUP(N109,setup!$A$8:$H$58,8))</f>
        <v>#VALUE!</v>
      </c>
    </row>
    <row r="110" spans="1:15" x14ac:dyDescent="0.25">
      <c r="A110" s="2" t="s">
        <v>718</v>
      </c>
      <c r="N110">
        <f t="shared" si="1"/>
        <v>16</v>
      </c>
      <c r="O110" s="7" t="e">
        <f>getCodigoBackend(N110,A110,VLOOKUP(N110,setup!$A$8:$H$58,2),VLOOKUP(N110,setup!$A$8:$H$58,3),VLOOKUP(N110,setup!$A$8:$H$58,4),VLOOKUP(N110,setup!$A$8:$H$58,5),VLOOKUP(N110,setup!$A$8:$H$58,6),VLOOKUP(N110,setup!$A$8:$H$58,7), VLOOKUP(0,setup!$A$8:$H$58,2),VLOOKUP(0,setup!$A$8:$H$58,5),VLOOKUP(N110,setup!$A$8:$H$58,8))</f>
        <v>#VALUE!</v>
      </c>
    </row>
    <row r="111" spans="1:15" x14ac:dyDescent="0.25">
      <c r="A111" s="2" t="s">
        <v>718</v>
      </c>
      <c r="N111">
        <f t="shared" si="1"/>
        <v>17</v>
      </c>
      <c r="O111" s="7" t="e">
        <f>getCodigoBackend(N111,A111,VLOOKUP(N111,setup!$A$8:$H$58,2),VLOOKUP(N111,setup!$A$8:$H$58,3),VLOOKUP(N111,setup!$A$8:$H$58,4),VLOOKUP(N111,setup!$A$8:$H$58,5),VLOOKUP(N111,setup!$A$8:$H$58,6),VLOOKUP(N111,setup!$A$8:$H$58,7), VLOOKUP(0,setup!$A$8:$H$58,2),VLOOKUP(0,setup!$A$8:$H$58,5),VLOOKUP(N111,setup!$A$8:$H$58,8))</f>
        <v>#VALUE!</v>
      </c>
    </row>
    <row r="112" spans="1:15" x14ac:dyDescent="0.25">
      <c r="A112" s="2" t="s">
        <v>718</v>
      </c>
      <c r="N112">
        <f t="shared" si="1"/>
        <v>18</v>
      </c>
      <c r="O112" s="7" t="e">
        <f>getCodigoBackend(N112,A112,VLOOKUP(N112,setup!$A$8:$H$58,2),VLOOKUP(N112,setup!$A$8:$H$58,3),VLOOKUP(N112,setup!$A$8:$H$58,4),VLOOKUP(N112,setup!$A$8:$H$58,5),VLOOKUP(N112,setup!$A$8:$H$58,6),VLOOKUP(N112,setup!$A$8:$H$58,7), VLOOKUP(0,setup!$A$8:$H$58,2),VLOOKUP(0,setup!$A$8:$H$58,5),VLOOKUP(N112,setup!$A$8:$H$58,8))</f>
        <v>#VALUE!</v>
      </c>
    </row>
    <row r="113" spans="1:15" x14ac:dyDescent="0.25">
      <c r="A113" s="2" t="s">
        <v>718</v>
      </c>
      <c r="N113">
        <f t="shared" si="1"/>
        <v>19</v>
      </c>
      <c r="O113" s="7" t="e">
        <f>getCodigoBackend(N113,A113,VLOOKUP(N113,setup!$A$8:$H$58,2),VLOOKUP(N113,setup!$A$8:$H$58,3),VLOOKUP(N113,setup!$A$8:$H$58,4),VLOOKUP(N113,setup!$A$8:$H$58,5),VLOOKUP(N113,setup!$A$8:$H$58,6),VLOOKUP(N113,setup!$A$8:$H$58,7), VLOOKUP(0,setup!$A$8:$H$58,2),VLOOKUP(0,setup!$A$8:$H$58,5),VLOOKUP(N113,setup!$A$8:$H$58,8))</f>
        <v>#VALUE!</v>
      </c>
    </row>
    <row r="114" spans="1:15" x14ac:dyDescent="0.25">
      <c r="A114" s="2" t="s">
        <v>718</v>
      </c>
      <c r="N114">
        <f t="shared" si="1"/>
        <v>20</v>
      </c>
      <c r="O114" s="7" t="e">
        <f>getCodigoBackend(N114,A114,VLOOKUP(N114,setup!$A$8:$H$58,2),VLOOKUP(N114,setup!$A$8:$H$58,3),VLOOKUP(N114,setup!$A$8:$H$58,4),VLOOKUP(N114,setup!$A$8:$H$58,5),VLOOKUP(N114,setup!$A$8:$H$58,6),VLOOKUP(N114,setup!$A$8:$H$58,7), VLOOKUP(0,setup!$A$8:$H$58,2),VLOOKUP(0,setup!$A$8:$H$58,5),VLOOKUP(N114,setup!$A$8:$H$58,8))</f>
        <v>#VALUE!</v>
      </c>
    </row>
    <row r="115" spans="1:15" x14ac:dyDescent="0.25">
      <c r="A115" s="2" t="s">
        <v>718</v>
      </c>
      <c r="N115">
        <f t="shared" si="1"/>
        <v>21</v>
      </c>
      <c r="O115" s="7" t="e">
        <f>getCodigoBackend(N115,A115,VLOOKUP(N115,setup!$A$8:$H$58,2),VLOOKUP(N115,setup!$A$8:$H$58,3),VLOOKUP(N115,setup!$A$8:$H$58,4),VLOOKUP(N115,setup!$A$8:$H$58,5),VLOOKUP(N115,setup!$A$8:$H$58,6),VLOOKUP(N115,setup!$A$8:$H$58,7), VLOOKUP(0,setup!$A$8:$H$58,2),VLOOKUP(0,setup!$A$8:$H$58,5),VLOOKUP(N115,setup!$A$8:$H$58,8))</f>
        <v>#VALUE!</v>
      </c>
    </row>
    <row r="116" spans="1:15" x14ac:dyDescent="0.25">
      <c r="A116" s="2" t="s">
        <v>718</v>
      </c>
      <c r="N116">
        <f t="shared" si="1"/>
        <v>22</v>
      </c>
      <c r="O116" s="7" t="e">
        <f>getCodigoBackend(N116,A116,VLOOKUP(N116,setup!$A$8:$H$58,2),VLOOKUP(N116,setup!$A$8:$H$58,3),VLOOKUP(N116,setup!$A$8:$H$58,4),VLOOKUP(N116,setup!$A$8:$H$58,5),VLOOKUP(N116,setup!$A$8:$H$58,6),VLOOKUP(N116,setup!$A$8:$H$58,7), VLOOKUP(0,setup!$A$8:$H$58,2),VLOOKUP(0,setup!$A$8:$H$58,5),VLOOKUP(N116,setup!$A$8:$H$58,8))</f>
        <v>#VALUE!</v>
      </c>
    </row>
    <row r="117" spans="1:15" x14ac:dyDescent="0.25">
      <c r="A117" s="2" t="s">
        <v>718</v>
      </c>
      <c r="N117">
        <f t="shared" si="1"/>
        <v>23</v>
      </c>
      <c r="O117" s="7" t="e">
        <f>getCodigoBackend(N117,A117,VLOOKUP(N117,setup!$A$8:$H$58,2),VLOOKUP(N117,setup!$A$8:$H$58,3),VLOOKUP(N117,setup!$A$8:$H$58,4),VLOOKUP(N117,setup!$A$8:$H$58,5),VLOOKUP(N117,setup!$A$8:$H$58,6),VLOOKUP(N117,setup!$A$8:$H$58,7), VLOOKUP(0,setup!$A$8:$H$58,2),VLOOKUP(0,setup!$A$8:$H$58,5),VLOOKUP(N117,setup!$A$8:$H$58,8))</f>
        <v>#VALUE!</v>
      </c>
    </row>
    <row r="118" spans="1:15" x14ac:dyDescent="0.25">
      <c r="A118" s="2" t="s">
        <v>718</v>
      </c>
      <c r="N118">
        <f t="shared" si="1"/>
        <v>24</v>
      </c>
      <c r="O118" s="7" t="e">
        <f>getCodigoBackend(N118,A118,VLOOKUP(N118,setup!$A$8:$H$58,2),VLOOKUP(N118,setup!$A$8:$H$58,3),VLOOKUP(N118,setup!$A$8:$H$58,4),VLOOKUP(N118,setup!$A$8:$H$58,5),VLOOKUP(N118,setup!$A$8:$H$58,6),VLOOKUP(N118,setup!$A$8:$H$58,7), VLOOKUP(0,setup!$A$8:$H$58,2),VLOOKUP(0,setup!$A$8:$H$58,5),VLOOKUP(N118,setup!$A$8:$H$58,8))</f>
        <v>#VALUE!</v>
      </c>
    </row>
    <row r="119" spans="1:15" x14ac:dyDescent="0.25">
      <c r="A119" s="2" t="s">
        <v>718</v>
      </c>
      <c r="N119">
        <f t="shared" si="1"/>
        <v>25</v>
      </c>
      <c r="O119" s="7" t="e">
        <f>getCodigoBackend(N119,A119,VLOOKUP(N119,setup!$A$8:$H$58,2),VLOOKUP(N119,setup!$A$8:$H$58,3),VLOOKUP(N119,setup!$A$8:$H$58,4),VLOOKUP(N119,setup!$A$8:$H$58,5),VLOOKUP(N119,setup!$A$8:$H$58,6),VLOOKUP(N119,setup!$A$8:$H$58,7), VLOOKUP(0,setup!$A$8:$H$58,2),VLOOKUP(0,setup!$A$8:$H$58,5),VLOOKUP(N119,setup!$A$8:$H$58,8))</f>
        <v>#VALUE!</v>
      </c>
    </row>
    <row r="120" spans="1:15" x14ac:dyDescent="0.25">
      <c r="A120" s="2" t="s">
        <v>718</v>
      </c>
      <c r="N120">
        <f t="shared" si="1"/>
        <v>26</v>
      </c>
      <c r="O120" s="7" t="e">
        <f>getCodigoBackend(N120,A120,VLOOKUP(N120,setup!$A$8:$H$58,2),VLOOKUP(N120,setup!$A$8:$H$58,3),VLOOKUP(N120,setup!$A$8:$H$58,4),VLOOKUP(N120,setup!$A$8:$H$58,5),VLOOKUP(N120,setup!$A$8:$H$58,6),VLOOKUP(N120,setup!$A$8:$H$58,7), VLOOKUP(0,setup!$A$8:$H$58,2),VLOOKUP(0,setup!$A$8:$H$58,5),VLOOKUP(N120,setup!$A$8:$H$58,8))</f>
        <v>#VALUE!</v>
      </c>
    </row>
    <row r="121" spans="1:15" x14ac:dyDescent="0.25">
      <c r="A121" s="2" t="s">
        <v>718</v>
      </c>
      <c r="N121">
        <f t="shared" si="1"/>
        <v>27</v>
      </c>
      <c r="O121" s="7" t="e">
        <f>getCodigoBackend(N121,A121,VLOOKUP(N121,setup!$A$8:$H$58,2),VLOOKUP(N121,setup!$A$8:$H$58,3),VLOOKUP(N121,setup!$A$8:$H$58,4),VLOOKUP(N121,setup!$A$8:$H$58,5),VLOOKUP(N121,setup!$A$8:$H$58,6),VLOOKUP(N121,setup!$A$8:$H$58,7), VLOOKUP(0,setup!$A$8:$H$58,2),VLOOKUP(0,setup!$A$8:$H$58,5),VLOOKUP(N121,setup!$A$8:$H$58,8))</f>
        <v>#VALUE!</v>
      </c>
    </row>
    <row r="122" spans="1:15" x14ac:dyDescent="0.25">
      <c r="A122" s="2" t="s">
        <v>718</v>
      </c>
      <c r="N122">
        <f t="shared" si="1"/>
        <v>28</v>
      </c>
      <c r="O122" s="7" t="e">
        <f>getCodigoBackend(N122,A122,VLOOKUP(N122,setup!$A$8:$H$58,2),VLOOKUP(N122,setup!$A$8:$H$58,3),VLOOKUP(N122,setup!$A$8:$H$58,4),VLOOKUP(N122,setup!$A$8:$H$58,5),VLOOKUP(N122,setup!$A$8:$H$58,6),VLOOKUP(N122,setup!$A$8:$H$58,7), VLOOKUP(0,setup!$A$8:$H$58,2),VLOOKUP(0,setup!$A$8:$H$58,5),VLOOKUP(N122,setup!$A$8:$H$58,8))</f>
        <v>#VALUE!</v>
      </c>
    </row>
    <row r="123" spans="1:15" x14ac:dyDescent="0.25">
      <c r="A123" s="2" t="s">
        <v>718</v>
      </c>
      <c r="N123">
        <f t="shared" si="1"/>
        <v>29</v>
      </c>
      <c r="O123" s="7" t="e">
        <f>getCodigoBackend(N123,A123,VLOOKUP(N123,setup!$A$8:$H$58,2),VLOOKUP(N123,setup!$A$8:$H$58,3),VLOOKUP(N123,setup!$A$8:$H$58,4),VLOOKUP(N123,setup!$A$8:$H$58,5),VLOOKUP(N123,setup!$A$8:$H$58,6),VLOOKUP(N123,setup!$A$8:$H$58,7), VLOOKUP(0,setup!$A$8:$H$58,2),VLOOKUP(0,setup!$A$8:$H$58,5),VLOOKUP(N123,setup!$A$8:$H$58,8))</f>
        <v>#VALUE!</v>
      </c>
    </row>
    <row r="124" spans="1:15" x14ac:dyDescent="0.25">
      <c r="A124" s="2" t="s">
        <v>718</v>
      </c>
      <c r="N124">
        <f t="shared" si="1"/>
        <v>30</v>
      </c>
      <c r="O124" s="7" t="e">
        <f>getCodigoBackend(N124,A124,VLOOKUP(N124,setup!$A$8:$H$58,2),VLOOKUP(N124,setup!$A$8:$H$58,3),VLOOKUP(N124,setup!$A$8:$H$58,4),VLOOKUP(N124,setup!$A$8:$H$58,5),VLOOKUP(N124,setup!$A$8:$H$58,6),VLOOKUP(N124,setup!$A$8:$H$58,7), VLOOKUP(0,setup!$A$8:$H$58,2),VLOOKUP(0,setup!$A$8:$H$58,5),VLOOKUP(N124,setup!$A$8:$H$58,8))</f>
        <v>#VALUE!</v>
      </c>
    </row>
    <row r="125" spans="1:15" x14ac:dyDescent="0.25">
      <c r="A125" s="2" t="s">
        <v>718</v>
      </c>
      <c r="N125">
        <f t="shared" si="1"/>
        <v>31</v>
      </c>
      <c r="O125" s="7" t="e">
        <f>getCodigoBackend(N125,A125,VLOOKUP(N125,setup!$A$8:$H$58,2),VLOOKUP(N125,setup!$A$8:$H$58,3),VLOOKUP(N125,setup!$A$8:$H$58,4),VLOOKUP(N125,setup!$A$8:$H$58,5),VLOOKUP(N125,setup!$A$8:$H$58,6),VLOOKUP(N125,setup!$A$8:$H$58,7), VLOOKUP(0,setup!$A$8:$H$58,2),VLOOKUP(0,setup!$A$8:$H$58,5),VLOOKUP(N125,setup!$A$8:$H$58,8))</f>
        <v>#VALUE!</v>
      </c>
    </row>
    <row r="126" spans="1:15" x14ac:dyDescent="0.25">
      <c r="A126" s="2" t="s">
        <v>718</v>
      </c>
      <c r="N126">
        <f t="shared" si="1"/>
        <v>32</v>
      </c>
      <c r="O126" s="7" t="e">
        <f>getCodigoBackend(N126,A126,VLOOKUP(N126,setup!$A$8:$H$58,2),VLOOKUP(N126,setup!$A$8:$H$58,3),VLOOKUP(N126,setup!$A$8:$H$58,4),VLOOKUP(N126,setup!$A$8:$H$58,5),VLOOKUP(N126,setup!$A$8:$H$58,6),VLOOKUP(N126,setup!$A$8:$H$58,7), VLOOKUP(0,setup!$A$8:$H$58,2),VLOOKUP(0,setup!$A$8:$H$58,5),VLOOKUP(N126,setup!$A$8:$H$58,8))</f>
        <v>#VALUE!</v>
      </c>
    </row>
    <row r="127" spans="1:15" x14ac:dyDescent="0.25">
      <c r="A127" s="2" t="s">
        <v>718</v>
      </c>
      <c r="N127">
        <f t="shared" si="1"/>
        <v>33</v>
      </c>
      <c r="O127" s="7" t="e">
        <f>getCodigoBackend(N127,A127,VLOOKUP(N127,setup!$A$8:$H$58,2),VLOOKUP(N127,setup!$A$8:$H$58,3),VLOOKUP(N127,setup!$A$8:$H$58,4),VLOOKUP(N127,setup!$A$8:$H$58,5),VLOOKUP(N127,setup!$A$8:$H$58,6),VLOOKUP(N127,setup!$A$8:$H$58,7), VLOOKUP(0,setup!$A$8:$H$58,2),VLOOKUP(0,setup!$A$8:$H$58,5),VLOOKUP(N127,setup!$A$8:$H$58,8))</f>
        <v>#VALUE!</v>
      </c>
    </row>
    <row r="128" spans="1:15" x14ac:dyDescent="0.25">
      <c r="A128" s="2" t="s">
        <v>718</v>
      </c>
      <c r="N128">
        <f t="shared" si="1"/>
        <v>34</v>
      </c>
      <c r="O128" s="7" t="e">
        <f>getCodigoBackend(N128,A128,VLOOKUP(N128,setup!$A$8:$H$58,2),VLOOKUP(N128,setup!$A$8:$H$58,3),VLOOKUP(N128,setup!$A$8:$H$58,4),VLOOKUP(N128,setup!$A$8:$H$58,5),VLOOKUP(N128,setup!$A$8:$H$58,6),VLOOKUP(N128,setup!$A$8:$H$58,7), VLOOKUP(0,setup!$A$8:$H$58,2),VLOOKUP(0,setup!$A$8:$H$58,5),VLOOKUP(N128,setup!$A$8:$H$58,8))</f>
        <v>#VALUE!</v>
      </c>
    </row>
    <row r="129" spans="1:15" x14ac:dyDescent="0.25">
      <c r="A129" s="2" t="s">
        <v>718</v>
      </c>
      <c r="N129">
        <f t="shared" si="1"/>
        <v>35</v>
      </c>
      <c r="O129" s="7" t="e">
        <f>getCodigoBackend(N129,A129,VLOOKUP(N129,setup!$A$8:$H$58,2),VLOOKUP(N129,setup!$A$8:$H$58,3),VLOOKUP(N129,setup!$A$8:$H$58,4),VLOOKUP(N129,setup!$A$8:$H$58,5),VLOOKUP(N129,setup!$A$8:$H$58,6),VLOOKUP(N129,setup!$A$8:$H$58,7), VLOOKUP(0,setup!$A$8:$H$58,2),VLOOKUP(0,setup!$A$8:$H$58,5),VLOOKUP(N129,setup!$A$8:$H$58,8))</f>
        <v>#VALUE!</v>
      </c>
    </row>
    <row r="130" spans="1:15" x14ac:dyDescent="0.25">
      <c r="A130" s="2" t="s">
        <v>718</v>
      </c>
      <c r="N130">
        <f t="shared" si="1"/>
        <v>36</v>
      </c>
      <c r="O130" s="7" t="e">
        <f>getCodigoBackend(N130,A130,VLOOKUP(N130,setup!$A$8:$H$58,2),VLOOKUP(N130,setup!$A$8:$H$58,3),VLOOKUP(N130,setup!$A$8:$H$58,4),VLOOKUP(N130,setup!$A$8:$H$58,5),VLOOKUP(N130,setup!$A$8:$H$58,6),VLOOKUP(N130,setup!$A$8:$H$58,7), VLOOKUP(0,setup!$A$8:$H$58,2),VLOOKUP(0,setup!$A$8:$H$58,5),VLOOKUP(N130,setup!$A$8:$H$58,8))</f>
        <v>#VALUE!</v>
      </c>
    </row>
    <row r="131" spans="1:15" x14ac:dyDescent="0.25">
      <c r="A131" s="2" t="s">
        <v>718</v>
      </c>
      <c r="N131">
        <f t="shared" si="1"/>
        <v>37</v>
      </c>
      <c r="O131" s="7" t="e">
        <f>getCodigoBackend(N131,A131,VLOOKUP(N131,setup!$A$8:$H$58,2),VLOOKUP(N131,setup!$A$8:$H$58,3),VLOOKUP(N131,setup!$A$8:$H$58,4),VLOOKUP(N131,setup!$A$8:$H$58,5),VLOOKUP(N131,setup!$A$8:$H$58,6),VLOOKUP(N131,setup!$A$8:$H$58,7), VLOOKUP(0,setup!$A$8:$H$58,2),VLOOKUP(0,setup!$A$8:$H$58,5),VLOOKUP(N131,setup!$A$8:$H$58,8))</f>
        <v>#VALUE!</v>
      </c>
    </row>
    <row r="132" spans="1:15" x14ac:dyDescent="0.25">
      <c r="A132" s="2" t="s">
        <v>718</v>
      </c>
      <c r="N132">
        <f t="shared" si="1"/>
        <v>38</v>
      </c>
      <c r="O132" s="7" t="e">
        <f>getCodigoBackend(N132,A132,VLOOKUP(N132,setup!$A$8:$H$58,2),VLOOKUP(N132,setup!$A$8:$H$58,3),VLOOKUP(N132,setup!$A$8:$H$58,4),VLOOKUP(N132,setup!$A$8:$H$58,5),VLOOKUP(N132,setup!$A$8:$H$58,6),VLOOKUP(N132,setup!$A$8:$H$58,7), VLOOKUP(0,setup!$A$8:$H$58,2),VLOOKUP(0,setup!$A$8:$H$58,5),VLOOKUP(N132,setup!$A$8:$H$58,8))</f>
        <v>#VALUE!</v>
      </c>
    </row>
    <row r="133" spans="1:15" x14ac:dyDescent="0.25">
      <c r="A133" s="2" t="s">
        <v>718</v>
      </c>
      <c r="N133">
        <f t="shared" si="1"/>
        <v>39</v>
      </c>
      <c r="O133" s="7" t="e">
        <f>getCodigoBackend(N133,A133,VLOOKUP(N133,setup!$A$8:$H$58,2),VLOOKUP(N133,setup!$A$8:$H$58,3),VLOOKUP(N133,setup!$A$8:$H$58,4),VLOOKUP(N133,setup!$A$8:$H$58,5),VLOOKUP(N133,setup!$A$8:$H$58,6),VLOOKUP(N133,setup!$A$8:$H$58,7), VLOOKUP(0,setup!$A$8:$H$58,2),VLOOKUP(0,setup!$A$8:$H$58,5),VLOOKUP(N133,setup!$A$8:$H$58,8))</f>
        <v>#VALUE!</v>
      </c>
    </row>
    <row r="134" spans="1:15" x14ac:dyDescent="0.25">
      <c r="A134" s="2" t="s">
        <v>718</v>
      </c>
      <c r="N134">
        <f t="shared" si="1"/>
        <v>40</v>
      </c>
      <c r="O134" s="7" t="e">
        <f>getCodigoBackend(N134,A134,VLOOKUP(N134,setup!$A$8:$H$58,2),VLOOKUP(N134,setup!$A$8:$H$58,3),VLOOKUP(N134,setup!$A$8:$H$58,4),VLOOKUP(N134,setup!$A$8:$H$58,5),VLOOKUP(N134,setup!$A$8:$H$58,6),VLOOKUP(N134,setup!$A$8:$H$58,7), VLOOKUP(0,setup!$A$8:$H$58,2),VLOOKUP(0,setup!$A$8:$H$58,5),VLOOKUP(N134,setup!$A$8:$H$58,8))</f>
        <v>#VALUE!</v>
      </c>
    </row>
    <row r="135" spans="1:15" x14ac:dyDescent="0.25">
      <c r="A135" s="2" t="s">
        <v>718</v>
      </c>
      <c r="N135">
        <f t="shared" si="1"/>
        <v>41</v>
      </c>
      <c r="O135" s="7" t="e">
        <f>getCodigoBackend(N135,A135,VLOOKUP(N135,setup!$A$8:$H$58,2),VLOOKUP(N135,setup!$A$8:$H$58,3),VLOOKUP(N135,setup!$A$8:$H$58,4),VLOOKUP(N135,setup!$A$8:$H$58,5),VLOOKUP(N135,setup!$A$8:$H$58,6),VLOOKUP(N135,setup!$A$8:$H$58,7), VLOOKUP(0,setup!$A$8:$H$58,2),VLOOKUP(0,setup!$A$8:$H$58,5),VLOOKUP(N135,setup!$A$8:$H$58,8))</f>
        <v>#VALUE!</v>
      </c>
    </row>
    <row r="136" spans="1:15" x14ac:dyDescent="0.25">
      <c r="A136" s="2" t="s">
        <v>718</v>
      </c>
      <c r="N136">
        <f t="shared" si="1"/>
        <v>42</v>
      </c>
      <c r="O136" s="7" t="e">
        <f>getCodigoBackend(N136,A136,VLOOKUP(N136,setup!$A$8:$H$58,2),VLOOKUP(N136,setup!$A$8:$H$58,3),VLOOKUP(N136,setup!$A$8:$H$58,4),VLOOKUP(N136,setup!$A$8:$H$58,5),VLOOKUP(N136,setup!$A$8:$H$58,6),VLOOKUP(N136,setup!$A$8:$H$58,7), VLOOKUP(0,setup!$A$8:$H$58,2),VLOOKUP(0,setup!$A$8:$H$58,5),VLOOKUP(N136,setup!$A$8:$H$58,8))</f>
        <v>#VALUE!</v>
      </c>
    </row>
    <row r="137" spans="1:15" x14ac:dyDescent="0.25">
      <c r="A137" s="2" t="s">
        <v>718</v>
      </c>
      <c r="N137">
        <f t="shared" si="1"/>
        <v>43</v>
      </c>
      <c r="O137" s="7" t="e">
        <f>getCodigoBackend(N137,A137,VLOOKUP(N137,setup!$A$8:$H$58,2),VLOOKUP(N137,setup!$A$8:$H$58,3),VLOOKUP(N137,setup!$A$8:$H$58,4),VLOOKUP(N137,setup!$A$8:$H$58,5),VLOOKUP(N137,setup!$A$8:$H$58,6),VLOOKUP(N137,setup!$A$8:$H$58,7), VLOOKUP(0,setup!$A$8:$H$58,2),VLOOKUP(0,setup!$A$8:$H$58,5),VLOOKUP(N137,setup!$A$8:$H$58,8))</f>
        <v>#VALUE!</v>
      </c>
    </row>
    <row r="138" spans="1:15" x14ac:dyDescent="0.25">
      <c r="A138" s="2" t="s">
        <v>718</v>
      </c>
      <c r="N138">
        <f t="shared" si="1"/>
        <v>44</v>
      </c>
      <c r="O138" s="7" t="e">
        <f>getCodigoBackend(N138,A138,VLOOKUP(N138,setup!$A$8:$H$58,2),VLOOKUP(N138,setup!$A$8:$H$58,3),VLOOKUP(N138,setup!$A$8:$H$58,4),VLOOKUP(N138,setup!$A$8:$H$58,5),VLOOKUP(N138,setup!$A$8:$H$58,6),VLOOKUP(N138,setup!$A$8:$H$58,7), VLOOKUP(0,setup!$A$8:$H$58,2),VLOOKUP(0,setup!$A$8:$H$58,5),VLOOKUP(N138,setup!$A$8:$H$58,8))</f>
        <v>#VALUE!</v>
      </c>
    </row>
    <row r="139" spans="1:15" x14ac:dyDescent="0.25">
      <c r="A139" s="2" t="s">
        <v>718</v>
      </c>
      <c r="N139">
        <f t="shared" si="1"/>
        <v>45</v>
      </c>
      <c r="O139" s="7" t="e">
        <f>getCodigoBackend(N139,A139,VLOOKUP(N139,setup!$A$8:$H$58,2),VLOOKUP(N139,setup!$A$8:$H$58,3),VLOOKUP(N139,setup!$A$8:$H$58,4),VLOOKUP(N139,setup!$A$8:$H$58,5),VLOOKUP(N139,setup!$A$8:$H$58,6),VLOOKUP(N139,setup!$A$8:$H$58,7), VLOOKUP(0,setup!$A$8:$H$58,2),VLOOKUP(0,setup!$A$8:$H$58,5),VLOOKUP(N139,setup!$A$8:$H$58,8))</f>
        <v>#VALUE!</v>
      </c>
    </row>
    <row r="140" spans="1:15" x14ac:dyDescent="0.25">
      <c r="A140" s="2" t="s">
        <v>718</v>
      </c>
      <c r="N140">
        <f t="shared" si="1"/>
        <v>46</v>
      </c>
      <c r="O140" s="7" t="e">
        <f>getCodigoBackend(N140,A140,VLOOKUP(N140,setup!$A$8:$H$58,2),VLOOKUP(N140,setup!$A$8:$H$58,3),VLOOKUP(N140,setup!$A$8:$H$58,4),VLOOKUP(N140,setup!$A$8:$H$58,5),VLOOKUP(N140,setup!$A$8:$H$58,6),VLOOKUP(N140,setup!$A$8:$H$58,7), VLOOKUP(0,setup!$A$8:$H$58,2),VLOOKUP(0,setup!$A$8:$H$58,5),VLOOKUP(N140,setup!$A$8:$H$58,8))</f>
        <v>#VALUE!</v>
      </c>
    </row>
    <row r="141" spans="1:15" x14ac:dyDescent="0.25">
      <c r="A141" s="2" t="s">
        <v>718</v>
      </c>
      <c r="N141">
        <f t="shared" si="1"/>
        <v>47</v>
      </c>
      <c r="O141" s="7" t="e">
        <f>getCodigoBackend(N141,A141,VLOOKUP(N141,setup!$A$8:$H$58,2),VLOOKUP(N141,setup!$A$8:$H$58,3),VLOOKUP(N141,setup!$A$8:$H$58,4),VLOOKUP(N141,setup!$A$8:$H$58,5),VLOOKUP(N141,setup!$A$8:$H$58,6),VLOOKUP(N141,setup!$A$8:$H$58,7), VLOOKUP(0,setup!$A$8:$H$58,2),VLOOKUP(0,setup!$A$8:$H$58,5),VLOOKUP(N141,setup!$A$8:$H$58,8))</f>
        <v>#VALUE!</v>
      </c>
    </row>
    <row r="142" spans="1:15" x14ac:dyDescent="0.25">
      <c r="A142" s="2" t="s">
        <v>718</v>
      </c>
      <c r="N142">
        <f t="shared" si="1"/>
        <v>48</v>
      </c>
      <c r="O142" s="7" t="str">
        <f ca="1">getCodigoBackend(N142,A142,VLOOKUP(N142,setup!$A$8:$H$58,2),VLOOKUP(N142,setup!$A$8:$H$58,3),VLOOKUP(N142,setup!$A$8:$H$58,4),VLOOKUP(N142,setup!$A$8:$H$58,5),VLOOKUP(N142,setup!$A$8:$H$58,6),VLOOKUP(N142,setup!$A$8:$H$58,7), VLOOKUP(0,setup!$A$8:$H$58,2),VLOOKUP(0,setup!$A$8:$H$58,5),VLOOKUP(N142,setup!$A$8:$H$58,8))</f>
        <v xml:space="preserve">    public function atualizarStatusPorPK($status,$id);</v>
      </c>
    </row>
    <row r="143" spans="1:15" x14ac:dyDescent="0.25">
      <c r="A143" s="2"/>
      <c r="N143">
        <f t="shared" si="1"/>
        <v>49</v>
      </c>
      <c r="O143" s="7" t="str">
        <f ca="1">getCodigoBackend(N143,A143,VLOOKUP(N143,setup!$A$8:$H$58,2),VLOOKUP(N143,setup!$A$8:$H$58,3),VLOOKUP(N143,setup!$A$8:$H$58,4),VLOOKUP(N143,setup!$A$8:$H$58,5),VLOOKUP(N143,setup!$A$8:$H$58,6),VLOOKUP(N143,setup!$A$8:$H$58,7), VLOOKUP(0,setup!$A$8:$H$58,2),VLOOKUP(0,setup!$A$8:$H$58,5),VLOOKUP(N143,setup!$A$8:$H$58,8))</f>
        <v/>
      </c>
    </row>
    <row r="144" spans="1:15" x14ac:dyDescent="0.25">
      <c r="A144" s="2"/>
      <c r="N144">
        <f t="shared" si="1"/>
        <v>50</v>
      </c>
      <c r="O144" s="7" t="str">
        <f ca="1">getCodigoBackend(N144,A144,VLOOKUP(N144,setup!$A$8:$H$58,2),VLOOKUP(N144,setup!$A$8:$H$58,3),VLOOKUP(N144,setup!$A$8:$H$58,4),VLOOKUP(N144,setup!$A$8:$H$58,5),VLOOKUP(N144,setup!$A$8:$H$58,6),VLOOKUP(N144,setup!$A$8:$H$58,7), VLOOKUP(0,setup!$A$8:$H$58,2),VLOOKUP(0,setup!$A$8:$H$58,5),VLOOKUP(N144,setup!$A$8:$H$58,8))</f>
        <v/>
      </c>
    </row>
    <row r="145" spans="1:15" x14ac:dyDescent="0.25">
      <c r="A145" s="2"/>
      <c r="O145" s="7"/>
    </row>
    <row r="146" spans="1:15" x14ac:dyDescent="0.25">
      <c r="A146" s="6"/>
      <c r="O146" s="7" t="str">
        <f ca="1">getCodigoBackend(N146,A146,VLOOKUP(N146,setup!$A$8:$H$58,2),VLOOKUP(N146,setup!$A$8:$H$58,3),VLOOKUP(N146,setup!$A$8:$H$58,4),VLOOKUP(N146,setup!$A$8:$H$58,5),VLOOKUP(N146,setup!$A$8:$H$58,6),VLOOKUP(N146,setup!$A$8:$H$58,7), VLOOKUP(0,setup!$A$8:$H$58,2),VLOOKUP(0,setup!$A$8:$H$58,5),VLOOKUP(N146,setup!$A$8:$H$58,8))</f>
        <v/>
      </c>
    </row>
    <row r="147" spans="1:15" x14ac:dyDescent="0.25">
      <c r="A147" s="6" t="s">
        <v>28</v>
      </c>
      <c r="O147" s="7" t="str">
        <f ca="1">getCodigoBackend(N147,A147,VLOOKUP(N147,setup!$A$8:$H$58,2),VLOOKUP(N147,setup!$A$8:$H$58,3),VLOOKUP(N147,setup!$A$8:$H$58,4),VLOOKUP(N147,setup!$A$8:$H$58,5),VLOOKUP(N147,setup!$A$8:$H$58,6),VLOOKUP(N147,setup!$A$8:$H$58,7), VLOOKUP(0,setup!$A$8:$H$58,2),VLOOKUP(0,setup!$A$8:$H$58,5),VLOOKUP(N147,setup!$A$8:$H$58,8))</f>
        <v>}</v>
      </c>
    </row>
    <row r="148" spans="1:15" x14ac:dyDescent="0.25">
      <c r="A148" s="6"/>
      <c r="O148" s="7" t="str">
        <f ca="1">getCodigoBackend(N148,A148,VLOOKUP(N148,setup!$A$8:$H$58,2),VLOOKUP(N148,setup!$A$8:$H$58,3),VLOOKUP(N148,setup!$A$8:$H$58,4),VLOOKUP(N148,setup!$A$8:$H$58,5),VLOOKUP(N148,setup!$A$8:$H$58,6),VLOOKUP(N148,setup!$A$8:$H$58,7), VLOOKUP(0,setup!$A$8:$H$58,2),VLOOKUP(0,setup!$A$8:$H$58,5),VLOOKUP(N148,setup!$A$8:$H$58,8))</f>
        <v/>
      </c>
    </row>
    <row r="149" spans="1:15" x14ac:dyDescent="0.25">
      <c r="A149" s="6"/>
      <c r="O149" s="7" t="str">
        <f ca="1">getCodigoBackend(N149,A149,VLOOKUP(N149,setup!$A$8:$H$58,2),VLOOKUP(N149,setup!$A$8:$H$58,3),VLOOKUP(N149,setup!$A$8:$H$58,4),VLOOKUP(N149,setup!$A$8:$H$58,5),VLOOKUP(N149,setup!$A$8:$H$58,6),VLOOKUP(N149,setup!$A$8:$H$58,7), VLOOKUP(0,setup!$A$8:$H$58,2),VLOOKUP(0,setup!$A$8:$H$58,5),VLOOKUP(N149,setup!$A$8:$H$58,8))</f>
        <v/>
      </c>
    </row>
    <row r="150" spans="1:15" x14ac:dyDescent="0.25">
      <c r="A150" s="2" t="s">
        <v>29</v>
      </c>
      <c r="O150" s="7" t="str">
        <f ca="1">getCodigoBackend(N150,A150,VLOOKUP(N150,setup!$A$8:$H$58,2),VLOOKUP(N150,setup!$A$8:$H$58,3),VLOOKUP(N150,setup!$A$8:$H$58,4),VLOOKUP(N150,setup!$A$8:$H$58,5),VLOOKUP(N150,setup!$A$8:$H$58,6),VLOOKUP(N150,setup!$A$8:$H$58,7), VLOOKUP(0,setup!$A$8:$H$58,2),VLOOKUP(0,setup!$A$8:$H$58,5),VLOOKUP(N150,setup!$A$8:$H$58,8))</f>
        <v>?&gt;</v>
      </c>
    </row>
    <row r="151" spans="1:15" x14ac:dyDescent="0.25">
      <c r="A151" s="6"/>
      <c r="O151" s="7" t="str">
        <f ca="1">getCodigoBackend(N151,A151,VLOOKUP(N151,setup!$A$8:$H$58,2),VLOOKUP(N151,setup!$A$8:$H$58,3),VLOOKUP(N151,setup!$A$8:$H$58,4),VLOOKUP(N151,setup!$A$8:$H$58,5),VLOOKUP(N151,setup!$A$8:$H$58,6),VLOOKUP(N151,setup!$A$8:$H$58,7), VLOOKUP(0,setup!$A$8:$H$58,2),VLOOKUP(0,setup!$A$8:$H$58,5),VLOOKUP(N151,setup!$A$8:$H$58,8))</f>
        <v/>
      </c>
    </row>
    <row r="152" spans="1:15" x14ac:dyDescent="0.25">
      <c r="A152" s="6"/>
      <c r="O152" t="str">
        <f>SUBSTITUTE(SUBSTITUTE(A152,"${dto}",setup!$C$3),"${pk}",setup!$E$8)</f>
        <v/>
      </c>
    </row>
    <row r="153" spans="1:15" x14ac:dyDescent="0.25">
      <c r="A153" s="6"/>
      <c r="O153" t="str">
        <f>SUBSTITUTE(SUBSTITUTE(A153,"${dto}",setup!$C$3),"${pk}",setup!$E$8)</f>
        <v/>
      </c>
    </row>
    <row r="154" spans="1:15" x14ac:dyDescent="0.25">
      <c r="A154" s="6"/>
      <c r="O154" t="str">
        <f>SUBSTITUTE(SUBSTITUTE(A154,"${dto}",setup!$C$3),"${pk}",setup!$E$8)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484E3D-F43E-4C74-B5CF-D35B3289EC30}">
  <sheetPr codeName="Sheet4"/>
  <dimension ref="A1:O1443"/>
  <sheetViews>
    <sheetView workbookViewId="0">
      <selection activeCell="O1" sqref="O1:O1048576"/>
    </sheetView>
  </sheetViews>
  <sheetFormatPr defaultRowHeight="15" x14ac:dyDescent="0.25"/>
  <sheetData>
    <row r="1" spans="1:15" x14ac:dyDescent="0.25">
      <c r="A1" t="s">
        <v>30</v>
      </c>
    </row>
    <row r="3" spans="1:15" x14ac:dyDescent="0.25">
      <c r="A3" s="2" t="s">
        <v>16</v>
      </c>
      <c r="O3" s="7" t="str">
        <f ca="1">getCodigoBackend(N3,A3,VLOOKUP(N3,setup!$A$8:$H$58,2),VLOOKUP(N3,setup!$A$8:$H$58,3),VLOOKUP(N3,setup!$A$8:$H$58,4),VLOOKUP(N3,setup!$A$8:$H$58,5),VLOOKUP(N3,setup!$A$8:$H$58,6),VLOOKUP(N3,setup!$A$8:$H$58,7), VLOOKUP(0,setup!$A$8:$H$58,2),VLOOKUP(0,setup!$A$8:$H$58,5),VLOOKUP(N3,setup!$A$8:$H$58,8))</f>
        <v>&lt;?php</v>
      </c>
    </row>
    <row r="4" spans="1:15" x14ac:dyDescent="0.25">
      <c r="O4" s="7" t="str">
        <f ca="1">getCodigoBackend(N4,A4,VLOOKUP(N4,setup!$A$8:$H$58,2),VLOOKUP(N4,setup!$A$8:$H$58,3),VLOOKUP(N4,setup!$A$8:$H$58,4),VLOOKUP(N4,setup!$A$8:$H$58,5),VLOOKUP(N4,setup!$A$8:$H$58,6),VLOOKUP(N4,setup!$A$8:$H$58,7), VLOOKUP(0,setup!$A$8:$H$58,2),VLOOKUP(0,setup!$A$8:$H$58,5),VLOOKUP(N4,setup!$A$8:$H$58,8))</f>
        <v/>
      </c>
    </row>
    <row r="5" spans="1:15" x14ac:dyDescent="0.25">
      <c r="A5" s="4" t="s">
        <v>31</v>
      </c>
      <c r="O5" s="7" t="str">
        <f ca="1">getCodigoBackend(N5,A5,VLOOKUP(N5,setup!$A$8:$H$58,2),VLOOKUP(N5,setup!$A$8:$H$58,3),VLOOKUP(N5,setup!$A$8:$H$58,4),VLOOKUP(N5,setup!$A$8:$H$58,5),VLOOKUP(N5,setup!$A$8:$H$58,6),VLOOKUP(N5,setup!$A$8:$H$58,7), VLOOKUP(0,setup!$A$8:$H$58,2),VLOOKUP(0,setup!$A$8:$H$58,5),VLOOKUP(N5,setup!$A$8:$H$58,8))</f>
        <v>//importar dependencias</v>
      </c>
    </row>
    <row r="6" spans="1:15" x14ac:dyDescent="0.25">
      <c r="A6" s="5" t="s">
        <v>245</v>
      </c>
      <c r="O6" s="7" t="str">
        <f ca="1">getCodigoBackend(N6,A6,VLOOKUP(N6,setup!$A$8:$H$58,2),VLOOKUP(N6,setup!$A$8:$H$58,3),VLOOKUP(N6,setup!$A$8:$H$58,4),VLOOKUP(N6,setup!$A$8:$H$58,5),VLOOKUP(N6,setup!$A$8:$H$58,6),VLOOKUP(N6,setup!$A$8:$H$58,7), VLOOKUP(0,setup!$A$8:$H$58,2),VLOOKUP(0,setup!$A$8:$H$58,5),VLOOKUP(N6,setup!$A$8:$H$58,8))</f>
        <v>require_once 'CampanhaCashbackResgatePixService.php';</v>
      </c>
    </row>
    <row r="7" spans="1:15" x14ac:dyDescent="0.25">
      <c r="A7" s="5" t="s">
        <v>246</v>
      </c>
      <c r="O7" s="7" t="str">
        <f ca="1">getCodigoBackend(N7,A7,VLOOKUP(N7,setup!$A$8:$H$58,2),VLOOKUP(N7,setup!$A$8:$H$58,3),VLOOKUP(N7,setup!$A$8:$H$58,4),VLOOKUP(N7,setup!$A$8:$H$58,5),VLOOKUP(N7,setup!$A$8:$H$58,6),VLOOKUP(N7,setup!$A$8:$H$58,7), VLOOKUP(0,setup!$A$8:$H$58,2),VLOOKUP(0,setup!$A$8:$H$58,5),VLOOKUP(N7,setup!$A$8:$H$58,8))</f>
        <v>require_once 'CampanhaCashbackResgatePixBusinessImpl.php';</v>
      </c>
    </row>
    <row r="8" spans="1:15" x14ac:dyDescent="0.25">
      <c r="A8" s="5" t="s">
        <v>83</v>
      </c>
      <c r="O8" s="7" t="str">
        <f ca="1">getCodigoBackend(N8,A8,VLOOKUP(N8,setup!$A$8:$H$58,2),VLOOKUP(N8,setup!$A$8:$H$58,3),VLOOKUP(N8,setup!$A$8:$H$58,4),VLOOKUP(N8,setup!$A$8:$H$58,5),VLOOKUP(N8,setup!$A$8:$H$58,6),VLOOKUP(N8,setup!$A$8:$H$58,7), VLOOKUP(0,setup!$A$8:$H$58,2),VLOOKUP(0,setup!$A$8:$H$58,5),VLOOKUP(N8,setup!$A$8:$H$58,8))</f>
        <v>require_once '../variavel/ConstantesVariavel.php';</v>
      </c>
    </row>
    <row r="9" spans="1:15" x14ac:dyDescent="0.25">
      <c r="A9" s="5" t="s">
        <v>84</v>
      </c>
      <c r="O9" s="7" t="str">
        <f ca="1">getCodigoBackend(N9,A9,VLOOKUP(N9,setup!$A$8:$H$58,2),VLOOKUP(N9,setup!$A$8:$H$58,3),VLOOKUP(N9,setup!$A$8:$H$58,4),VLOOKUP(N9,setup!$A$8:$H$58,5),VLOOKUP(N9,setup!$A$8:$H$58,6),VLOOKUP(N9,setup!$A$8:$H$58,7), VLOOKUP(0,setup!$A$8:$H$58,2),VLOOKUP(0,setup!$A$8:$H$58,5),VLOOKUP(N9,setup!$A$8:$H$58,8))</f>
        <v>require_once '../variavel/VariavelCache.php';</v>
      </c>
    </row>
    <row r="10" spans="1:15" x14ac:dyDescent="0.25">
      <c r="A10" s="5" t="s">
        <v>32</v>
      </c>
      <c r="O10" s="7" t="str">
        <f ca="1">getCodigoBackend(N10,A10,VLOOKUP(N10,setup!$A$8:$H$58,2),VLOOKUP(N10,setup!$A$8:$H$58,3),VLOOKUP(N10,setup!$A$8:$H$58,4),VLOOKUP(N10,setup!$A$8:$H$58,5),VLOOKUP(N10,setup!$A$8:$H$58,6),VLOOKUP(N10,setup!$A$8:$H$58,7), VLOOKUP(0,setup!$A$8:$H$58,2),VLOOKUP(0,setup!$A$8:$H$58,5),VLOOKUP(N10,setup!$A$8:$H$58,8))</f>
        <v>require_once '../mensagem/ConstantesMensagem.php';</v>
      </c>
    </row>
    <row r="11" spans="1:15" x14ac:dyDescent="0.25">
      <c r="A11" s="5" t="s">
        <v>33</v>
      </c>
      <c r="O11" s="7" t="str">
        <f ca="1">getCodigoBackend(N11,A11,VLOOKUP(N11,setup!$A$8:$H$58,2),VLOOKUP(N11,setup!$A$8:$H$58,3),VLOOKUP(N11,setup!$A$8:$H$58,4),VLOOKUP(N11,setup!$A$8:$H$58,5),VLOOKUP(N11,setup!$A$8:$H$58,6),VLOOKUP(N11,setup!$A$8:$H$58,7), VLOOKUP(0,setup!$A$8:$H$58,2),VLOOKUP(0,setup!$A$8:$H$58,5),VLOOKUP(N11,setup!$A$8:$H$58,8))</f>
        <v>require_once '../mensagem/MensagemCache.php';</v>
      </c>
    </row>
    <row r="12" spans="1:15" x14ac:dyDescent="0.25">
      <c r="O12" s="7" t="str">
        <f ca="1">getCodigoBackend(N12,A12,VLOOKUP(N12,setup!$A$8:$H$58,2),VLOOKUP(N12,setup!$A$8:$H$58,3),VLOOKUP(N12,setup!$A$8:$H$58,4),VLOOKUP(N12,setup!$A$8:$H$58,5),VLOOKUP(N12,setup!$A$8:$H$58,6),VLOOKUP(N12,setup!$A$8:$H$58,7), VLOOKUP(0,setup!$A$8:$H$58,2),VLOOKUP(0,setup!$A$8:$H$58,5),VLOOKUP(N12,setup!$A$8:$H$58,8))</f>
        <v/>
      </c>
    </row>
    <row r="13" spans="1:15" x14ac:dyDescent="0.25">
      <c r="A13" s="5" t="s">
        <v>34</v>
      </c>
      <c r="O13" s="7" t="str">
        <f ca="1">getCodigoBackend(N13,A13,VLOOKUP(N13,setup!$A$8:$H$58,2),VLOOKUP(N13,setup!$A$8:$H$58,3),VLOOKUP(N13,setup!$A$8:$H$58,4),VLOOKUP(N13,setup!$A$8:$H$58,5),VLOOKUP(N13,setup!$A$8:$H$58,6),VLOOKUP(N13,setup!$A$8:$H$58,7), VLOOKUP(0,setup!$A$8:$H$58,2),VLOOKUP(0,setup!$A$8:$H$58,5),VLOOKUP(N13,setup!$A$8:$H$58,8))</f>
        <v>require_once '../daofactory/DAOFactory.php';</v>
      </c>
    </row>
    <row r="14" spans="1:15" x14ac:dyDescent="0.25">
      <c r="O14" s="7" t="str">
        <f ca="1">getCodigoBackend(N14,A14,VLOOKUP(N14,setup!$A$8:$H$58,2),VLOOKUP(N14,setup!$A$8:$H$58,3),VLOOKUP(N14,setup!$A$8:$H$58,4),VLOOKUP(N14,setup!$A$8:$H$58,5),VLOOKUP(N14,setup!$A$8:$H$58,6),VLOOKUP(N14,setup!$A$8:$H$58,7), VLOOKUP(0,setup!$A$8:$H$58,2),VLOOKUP(0,setup!$A$8:$H$58,5),VLOOKUP(N14,setup!$A$8:$H$58,8))</f>
        <v/>
      </c>
    </row>
    <row r="15" spans="1:15" x14ac:dyDescent="0.25">
      <c r="O15" s="7" t="str">
        <f ca="1">getCodigoBackend(N15,A15,VLOOKUP(N15,setup!$A$8:$H$58,2),VLOOKUP(N15,setup!$A$8:$H$58,3),VLOOKUP(N15,setup!$A$8:$H$58,4),VLOOKUP(N15,setup!$A$8:$H$58,5),VLOOKUP(N15,setup!$A$8:$H$58,6),VLOOKUP(N15,setup!$A$8:$H$58,7), VLOOKUP(0,setup!$A$8:$H$58,2),VLOOKUP(0,setup!$A$8:$H$58,5),VLOOKUP(N15,setup!$A$8:$H$58,8))</f>
        <v/>
      </c>
    </row>
    <row r="16" spans="1:15" x14ac:dyDescent="0.25">
      <c r="A16" s="4" t="s">
        <v>19</v>
      </c>
      <c r="O16" s="7" t="str">
        <f ca="1">getCodigoBackend(N16,A16,VLOOKUP(N16,setup!$A$8:$H$58,2),VLOOKUP(N16,setup!$A$8:$H$58,3),VLOOKUP(N16,setup!$A$8:$H$58,4),VLOOKUP(N16,setup!$A$8:$H$58,5),VLOOKUP(N16,setup!$A$8:$H$58,6),VLOOKUP(N16,setup!$A$8:$H$58,7), VLOOKUP(0,setup!$A$8:$H$58,2),VLOOKUP(0,setup!$A$8:$H$58,5),VLOOKUP(N16,setup!$A$8:$H$58,8))</f>
        <v>/**</v>
      </c>
    </row>
    <row r="17" spans="1:15" x14ac:dyDescent="0.25">
      <c r="A17" s="4" t="s">
        <v>20</v>
      </c>
      <c r="O17" s="7" t="str">
        <f ca="1">getCodigoBackend(N17,A17,VLOOKUP(N17,setup!$A$8:$H$58,2),VLOOKUP(N17,setup!$A$8:$H$58,3),VLOOKUP(N17,setup!$A$8:$H$58,4),VLOOKUP(N17,setup!$A$8:$H$58,5),VLOOKUP(N17,setup!$A$8:$H$58,6),VLOOKUP(N17,setup!$A$8:$H$58,7), VLOOKUP(0,setup!$A$8:$H$58,2),VLOOKUP(0,setup!$A$8:$H$58,5),VLOOKUP(N17,setup!$A$8:$H$58,8))</f>
        <v>*</v>
      </c>
    </row>
    <row r="18" spans="1:15" x14ac:dyDescent="0.25">
      <c r="A18" s="4" t="s">
        <v>248</v>
      </c>
      <c r="O18" s="7" t="str">
        <f ca="1">getCodigoBackend(N18,A18,VLOOKUP(N18,setup!$A$8:$H$58,2),VLOOKUP(N18,setup!$A$8:$H$58,3),VLOOKUP(N18,setup!$A$8:$H$58,4),VLOOKUP(N18,setup!$A$8:$H$58,5),VLOOKUP(N18,setup!$A$8:$H$58,6),VLOOKUP(N18,setup!$A$8:$H$58,7), VLOOKUP(0,setup!$A$8:$H$58,2),VLOOKUP(0,setup!$A$8:$H$58,5),VLOOKUP(N18,setup!$A$8:$H$58,8))</f>
        <v>* CampanhaCashbackResgatePixServiceImpl - Implementação dos servicos para Classe de negócio com métodos para apoiar a integridade de informações sobre a movimentação de resgate via PIX gerenciado pela plataforma</v>
      </c>
    </row>
    <row r="19" spans="1:15" x14ac:dyDescent="0.25">
      <c r="A19" s="4" t="s">
        <v>253</v>
      </c>
      <c r="O19" s="7" t="str">
        <f ca="1">getCodigoBackend(N19,A19,VLOOKUP(N19,setup!$A$8:$H$58,2),VLOOKUP(N19,setup!$A$8:$H$58,3),VLOOKUP(N19,setup!$A$8:$H$58,4),VLOOKUP(N19,setup!$A$8:$H$58,5),VLOOKUP(N19,setup!$A$8:$H$58,6),VLOOKUP(N19,setup!$A$8:$H$58,7), VLOOKUP(0,setup!$A$8:$H$58,2),VLOOKUP(0,setup!$A$8:$H$58,5),VLOOKUP(N19,setup!$A$8:$H$58,8))</f>
        <v xml:space="preserve">* Camada de Serviços CampanhaCashbackResgatePix - camada responsável pela lógica de negócios de CampanhaCashbackResgatePix do sistema. </v>
      </c>
    </row>
    <row r="20" spans="1:15" x14ac:dyDescent="0.25">
      <c r="A20" s="4" t="s">
        <v>255</v>
      </c>
      <c r="O20" s="7" t="str">
        <f ca="1">getCodigoBackend(N20,A20,VLOOKUP(N20,setup!$A$8:$H$58,2),VLOOKUP(N20,setup!$A$8:$H$58,3),VLOOKUP(N20,setup!$A$8:$H$58,4),VLOOKUP(N20,setup!$A$8:$H$58,5),VLOOKUP(N20,setup!$A$8:$H$58,6),VLOOKUP(N20,setup!$A$8:$H$58,7), VLOOKUP(0,setup!$A$8:$H$58,2),VLOOKUP(0,setup!$A$8:$H$58,5),VLOOKUP(N20,setup!$A$8:$H$58,8))</f>
        <v xml:space="preserve">* Não é uma camada visível para outros dispositivos, como as camadas de apresentação e aplicação. </v>
      </c>
    </row>
    <row r="21" spans="1:15" x14ac:dyDescent="0.25">
      <c r="A21" s="4" t="s">
        <v>20</v>
      </c>
      <c r="O21" s="7" t="str">
        <f ca="1">getCodigoBackend(N21,A21,VLOOKUP(N21,setup!$A$8:$H$58,2),VLOOKUP(N21,setup!$A$8:$H$58,3),VLOOKUP(N21,setup!$A$8:$H$58,4),VLOOKUP(N21,setup!$A$8:$H$58,5),VLOOKUP(N21,setup!$A$8:$H$58,6),VLOOKUP(N21,setup!$A$8:$H$58,7), VLOOKUP(0,setup!$A$8:$H$58,2),VLOOKUP(0,setup!$A$8:$H$58,5),VLOOKUP(N21,setup!$A$8:$H$58,8))</f>
        <v>*</v>
      </c>
    </row>
    <row r="22" spans="1:15" x14ac:dyDescent="0.25">
      <c r="A22" s="4" t="s">
        <v>249</v>
      </c>
      <c r="O22" s="7" t="str">
        <f ca="1">getCodigoBackend(N22,A22,VLOOKUP(N22,setup!$A$8:$H$58,2),VLOOKUP(N22,setup!$A$8:$H$58,3),VLOOKUP(N22,setup!$A$8:$H$58,4),VLOOKUP(N22,setup!$A$8:$H$58,5),VLOOKUP(N22,setup!$A$8:$H$58,6),VLOOKUP(N22,setup!$A$8:$H$58,7), VLOOKUP(0,setup!$A$8:$H$58,2),VLOOKUP(0,setup!$A$8:$H$58,5),VLOOKUP(N22,setup!$A$8:$H$58,8))</f>
        <v xml:space="preserve">* Por exemplo: quando estamos prestes a sacar dinheiro em um caixa eletrônico, </v>
      </c>
    </row>
    <row r="23" spans="1:15" x14ac:dyDescent="0.25">
      <c r="A23" s="4" t="s">
        <v>250</v>
      </c>
      <c r="O23" s="7" t="str">
        <f ca="1">getCodigoBackend(N23,A23,VLOOKUP(N23,setup!$A$8:$H$58,2),VLOOKUP(N23,setup!$A$8:$H$58,3),VLOOKUP(N23,setup!$A$8:$H$58,4),VLOOKUP(N23,setup!$A$8:$H$58,5),VLOOKUP(N23,setup!$A$8:$H$58,6),VLOOKUP(N23,setup!$A$8:$H$58,7), VLOOKUP(0,setup!$A$8:$H$58,2),VLOOKUP(0,setup!$A$8:$H$58,5),VLOOKUP(N23,setup!$A$8:$H$58,8))</f>
        <v xml:space="preserve">* a condição primordial para isto acontecer é que exista saldo na sua conta. </v>
      </c>
    </row>
    <row r="24" spans="1:15" x14ac:dyDescent="0.25">
      <c r="A24" s="4" t="s">
        <v>251</v>
      </c>
      <c r="O24" s="7" t="str">
        <f ca="1">getCodigoBackend(N24,A24,VLOOKUP(N24,setup!$A$8:$H$58,2),VLOOKUP(N24,setup!$A$8:$H$58,3),VLOOKUP(N24,setup!$A$8:$H$58,4),VLOOKUP(N24,setup!$A$8:$H$58,5),VLOOKUP(N24,setup!$A$8:$H$58,6),VLOOKUP(N24,setup!$A$8:$H$58,7), VLOOKUP(0,setup!$A$8:$H$58,2),VLOOKUP(0,setup!$A$8:$H$58,5),VLOOKUP(N24,setup!$A$8:$H$58,8))</f>
        <v xml:space="preserve">* Ou seja, é a camada que contém a lógica de como o sistema trabalha </v>
      </c>
    </row>
    <row r="25" spans="1:15" x14ac:dyDescent="0.25">
      <c r="A25" s="4" t="s">
        <v>252</v>
      </c>
      <c r="O25" s="7" t="str">
        <f ca="1">getCodigoBackend(N25,A25,VLOOKUP(N25,setup!$A$8:$H$58,2),VLOOKUP(N25,setup!$A$8:$H$58,3),VLOOKUP(N25,setup!$A$8:$H$58,4),VLOOKUP(N25,setup!$A$8:$H$58,5),VLOOKUP(N25,setup!$A$8:$H$58,6),VLOOKUP(N25,setup!$A$8:$H$58,7), VLOOKUP(0,setup!$A$8:$H$58,2),VLOOKUP(0,setup!$A$8:$H$58,5),VLOOKUP(N25,setup!$A$8:$H$58,8))</f>
        <v>* como o negócio transcorre.</v>
      </c>
    </row>
    <row r="26" spans="1:15" x14ac:dyDescent="0.25">
      <c r="A26" s="4" t="s">
        <v>20</v>
      </c>
      <c r="O26" s="7" t="str">
        <f ca="1">getCodigoBackend(N26,A26,VLOOKUP(N26,setup!$A$8:$H$58,2),VLOOKUP(N26,setup!$A$8:$H$58,3),VLOOKUP(N26,setup!$A$8:$H$58,4),VLOOKUP(N26,setup!$A$8:$H$58,5),VLOOKUP(N26,setup!$A$8:$H$58,6),VLOOKUP(N26,setup!$A$8:$H$58,7), VLOOKUP(0,setup!$A$8:$H$58,2),VLOOKUP(0,setup!$A$8:$H$58,5),VLOOKUP(N26,setup!$A$8:$H$58,8))</f>
        <v>*</v>
      </c>
    </row>
    <row r="27" spans="1:15" x14ac:dyDescent="0.25">
      <c r="A27" s="4" t="s">
        <v>256</v>
      </c>
      <c r="O27" s="7" t="str">
        <f ca="1">getCodigoBackend(N27,A27,VLOOKUP(N27,setup!$A$8:$H$58,2),VLOOKUP(N27,setup!$A$8:$H$58,3),VLOOKUP(N27,setup!$A$8:$H$58,4),VLOOKUP(N27,setup!$A$8:$H$58,5),VLOOKUP(N27,setup!$A$8:$H$58,6),VLOOKUP(N27,setup!$A$8:$H$58,7), VLOOKUP(0,setup!$A$8:$H$58,2),VLOOKUP(0,setup!$A$8:$H$58,5),VLOOKUP(N27,setup!$A$8:$H$58,8))</f>
        <v>* Responsabilidades dessa classe</v>
      </c>
    </row>
    <row r="28" spans="1:15" x14ac:dyDescent="0.25">
      <c r="A28" s="4" t="s">
        <v>20</v>
      </c>
      <c r="O28" s="7" t="str">
        <f ca="1">getCodigoBackend(N28,A28,VLOOKUP(N28,setup!$A$8:$H$58,2),VLOOKUP(N28,setup!$A$8:$H$58,3),VLOOKUP(N28,setup!$A$8:$H$58,4),VLOOKUP(N28,setup!$A$8:$H$58,5),VLOOKUP(N28,setup!$A$8:$H$58,6),VLOOKUP(N28,setup!$A$8:$H$58,7), VLOOKUP(0,setup!$A$8:$H$58,2),VLOOKUP(0,setup!$A$8:$H$58,5),VLOOKUP(N28,setup!$A$8:$H$58,8))</f>
        <v>*</v>
      </c>
    </row>
    <row r="29" spans="1:15" x14ac:dyDescent="0.25">
      <c r="A29" s="4" t="s">
        <v>257</v>
      </c>
      <c r="O29" s="7" t="str">
        <f ca="1">getCodigoBackend(N29,A29,VLOOKUP(N29,setup!$A$8:$H$58,2),VLOOKUP(N29,setup!$A$8:$H$58,3),VLOOKUP(N29,setup!$A$8:$H$58,4),VLOOKUP(N29,setup!$A$8:$H$58,5),VLOOKUP(N29,setup!$A$8:$H$58,6),VLOOKUP(N29,setup!$A$8:$H$58,7), VLOOKUP(0,setup!$A$8:$H$58,2),VLOOKUP(0,setup!$A$8:$H$58,5),VLOOKUP(N29,setup!$A$8:$H$58,8))</f>
        <v>* 1) Abrir um contexto transacional com a fábrica de banco de dados</v>
      </c>
    </row>
    <row r="30" spans="1:15" x14ac:dyDescent="0.25">
      <c r="A30" s="4" t="s">
        <v>258</v>
      </c>
      <c r="O30" s="7" t="str">
        <f ca="1">getCodigoBackend(N30,A30,VLOOKUP(N30,setup!$A$8:$H$58,2),VLOOKUP(N30,setup!$A$8:$H$58,3),VLOOKUP(N30,setup!$A$8:$H$58,4),VLOOKUP(N30,setup!$A$8:$H$58,5),VLOOKUP(N30,setup!$A$8:$H$58,6),VLOOKUP(N30,setup!$A$8:$H$58,7), VLOOKUP(0,setup!$A$8:$H$58,2),VLOOKUP(0,setup!$A$8:$H$58,5),VLOOKUP(N30,setup!$A$8:$H$58,8))</f>
        <v>* 2) Abrir uma comunicação com as classes de negócio (Business classes)</v>
      </c>
    </row>
    <row r="31" spans="1:15" x14ac:dyDescent="0.25">
      <c r="A31" s="4" t="s">
        <v>259</v>
      </c>
      <c r="O31" s="7" t="str">
        <f ca="1">getCodigoBackend(N31,A31,VLOOKUP(N31,setup!$A$8:$H$58,2),VLOOKUP(N31,setup!$A$8:$H$58,3),VLOOKUP(N31,setup!$A$8:$H$58,4),VLOOKUP(N31,setup!$A$8:$H$58,5),VLOOKUP(N31,setup!$A$8:$H$58,6),VLOOKUP(N31,setup!$A$8:$H$58,7), VLOOKUP(0,setup!$A$8:$H$58,2),VLOOKUP(0,setup!$A$8:$H$58,5),VLOOKUP(N31,setup!$A$8:$H$58,8))</f>
        <v>* 3) Receber o retorno e decidir sobre o commit() ou rollback()</v>
      </c>
    </row>
    <row r="32" spans="1:15" x14ac:dyDescent="0.25">
      <c r="A32" s="4" t="s">
        <v>20</v>
      </c>
      <c r="O32" s="7" t="str">
        <f ca="1">getCodigoBackend(N32,A32,VLOOKUP(N32,setup!$A$8:$H$58,2),VLOOKUP(N32,setup!$A$8:$H$58,3),VLOOKUP(N32,setup!$A$8:$H$58,4),VLOOKUP(N32,setup!$A$8:$H$58,5),VLOOKUP(N32,setup!$A$8:$H$58,6),VLOOKUP(N32,setup!$A$8:$H$58,7), VLOOKUP(0,setup!$A$8:$H$58,2),VLOOKUP(0,setup!$A$8:$H$58,5),VLOOKUP(N32,setup!$A$8:$H$58,8))</f>
        <v>*</v>
      </c>
    </row>
    <row r="33" spans="1:15" x14ac:dyDescent="0.25">
      <c r="A33" s="4" t="s">
        <v>260</v>
      </c>
      <c r="O33" s="7" t="str">
        <f ca="1">getCodigoBackend(N33,A33,VLOOKUP(N33,setup!$A$8:$H$58,2),VLOOKUP(N33,setup!$A$8:$H$58,3),VLOOKUP(N33,setup!$A$8:$H$58,4),VLOOKUP(N33,setup!$A$8:$H$58,5),VLOOKUP(N33,setup!$A$8:$H$58,6),VLOOKUP(N33,setup!$A$8:$H$58,7), VLOOKUP(0,setup!$A$8:$H$58,2),VLOOKUP(0,setup!$A$8:$H$58,5),VLOOKUP(N33,setup!$A$8:$H$58,8))</f>
        <v>* Changelog:</v>
      </c>
    </row>
    <row r="34" spans="1:15" x14ac:dyDescent="0.25">
      <c r="A34" s="4" t="s">
        <v>20</v>
      </c>
      <c r="O34" s="7" t="str">
        <f ca="1">getCodigoBackend(N34,A34,VLOOKUP(N34,setup!$A$8:$H$58,2),VLOOKUP(N34,setup!$A$8:$H$58,3),VLOOKUP(N34,setup!$A$8:$H$58,4),VLOOKUP(N34,setup!$A$8:$H$58,5),VLOOKUP(N34,setup!$A$8:$H$58,6),VLOOKUP(N34,setup!$A$8:$H$58,7), VLOOKUP(0,setup!$A$8:$H$58,2),VLOOKUP(0,setup!$A$8:$H$58,5),VLOOKUP(N34,setup!$A$8:$H$58,8))</f>
        <v>*</v>
      </c>
    </row>
    <row r="35" spans="1:15" x14ac:dyDescent="0.25">
      <c r="A35" s="4" t="s">
        <v>20</v>
      </c>
      <c r="O35" s="7" t="str">
        <f ca="1">getCodigoBackend(N35,A35,VLOOKUP(N35,setup!$A$8:$H$58,2),VLOOKUP(N35,setup!$A$8:$H$58,3),VLOOKUP(N35,setup!$A$8:$H$58,4),VLOOKUP(N35,setup!$A$8:$H$58,5),VLOOKUP(N35,setup!$A$8:$H$58,6),VLOOKUP(N35,setup!$A$8:$H$58,7), VLOOKUP(0,setup!$A$8:$H$58,2),VLOOKUP(0,setup!$A$8:$H$58,5),VLOOKUP(N35,setup!$A$8:$H$58,8))</f>
        <v>*</v>
      </c>
    </row>
    <row r="36" spans="1:15" x14ac:dyDescent="0.25">
      <c r="A36" s="4" t="s">
        <v>75</v>
      </c>
      <c r="O36" s="7" t="str">
        <f ca="1">getCodigoBackend(N36,A36,VLOOKUP(N36,setup!$A$8:$H$58,2),VLOOKUP(N36,setup!$A$8:$H$58,3),VLOOKUP(N36,setup!$A$8:$H$58,4),VLOOKUP(N36,setup!$A$8:$H$58,5),VLOOKUP(N36,setup!$A$8:$H$58,6),VLOOKUP(N36,setup!$A$8:$H$58,7), VLOOKUP(0,setup!$A$8:$H$58,2),VLOOKUP(0,setup!$A$8:$H$58,5),VLOOKUP(N36,setup!$A$8:$H$58,8))</f>
        <v xml:space="preserve">* </v>
      </c>
    </row>
    <row r="37" spans="1:15" x14ac:dyDescent="0.25">
      <c r="A37" s="4" t="s">
        <v>355</v>
      </c>
      <c r="O37" s="7" t="str">
        <f ca="1">getCodigoBackend(N37,A37,VLOOKUP(N37,setup!$A$8:$H$58,2),VLOOKUP(N37,setup!$A$8:$H$58,3),VLOOKUP(N37,setup!$A$8:$H$58,4),VLOOKUP(N37,setup!$A$8:$H$58,5),VLOOKUP(N37,setup!$A$8:$H$58,6),VLOOKUP(N37,setup!$A$8:$H$58,7), VLOOKUP(0,setup!$A$8:$H$58,2),VLOOKUP(0,setup!$A$8:$H$58,5),VLOOKUP(N37,setup!$A$8:$H$58,8))</f>
        <v>* @author Julio Cesar Vitorino</v>
      </c>
    </row>
    <row r="38" spans="1:15" x14ac:dyDescent="0.25">
      <c r="A38" s="4" t="s">
        <v>240</v>
      </c>
      <c r="O38" s="7" t="str">
        <f ca="1">getCodigoBackend(N38,A38,VLOOKUP(N38,setup!$A$8:$H$58,2),VLOOKUP(N38,setup!$A$8:$H$58,3),VLOOKUP(N38,setup!$A$8:$H$58,4),VLOOKUP(N38,setup!$A$8:$H$58,5),VLOOKUP(N38,setup!$A$8:$H$58,6),VLOOKUP(N38,setup!$A$8:$H$58,7), VLOOKUP(0,setup!$A$8:$H$58,2),VLOOKUP(0,setup!$A$8:$H$58,5),VLOOKUP(N38,setup!$A$8:$H$58,8))</f>
        <v>* @since 26/07/2021 15:11:48</v>
      </c>
    </row>
    <row r="39" spans="1:15" x14ac:dyDescent="0.25">
      <c r="A39" s="4" t="s">
        <v>20</v>
      </c>
      <c r="O39" s="7" t="str">
        <f ca="1">getCodigoBackend(N39,A39,VLOOKUP(N39,setup!$A$8:$H$58,2),VLOOKUP(N39,setup!$A$8:$H$58,3),VLOOKUP(N39,setup!$A$8:$H$58,4),VLOOKUP(N39,setup!$A$8:$H$58,5),VLOOKUP(N39,setup!$A$8:$H$58,6),VLOOKUP(N39,setup!$A$8:$H$58,7), VLOOKUP(0,setup!$A$8:$H$58,2),VLOOKUP(0,setup!$A$8:$H$58,5),VLOOKUP(N39,setup!$A$8:$H$58,8))</f>
        <v>*</v>
      </c>
    </row>
    <row r="40" spans="1:15" x14ac:dyDescent="0.25">
      <c r="A40" s="4" t="s">
        <v>21</v>
      </c>
      <c r="O40" s="7" t="str">
        <f ca="1">getCodigoBackend(N40,A40,VLOOKUP(N40,setup!$A$8:$H$58,2),VLOOKUP(N40,setup!$A$8:$H$58,3),VLOOKUP(N40,setup!$A$8:$H$58,4),VLOOKUP(N40,setup!$A$8:$H$58,5),VLOOKUP(N40,setup!$A$8:$H$58,6),VLOOKUP(N40,setup!$A$8:$H$58,7), VLOOKUP(0,setup!$A$8:$H$58,2),VLOOKUP(0,setup!$A$8:$H$58,5),VLOOKUP(N40,setup!$A$8:$H$58,8))</f>
        <v>*/</v>
      </c>
    </row>
    <row r="41" spans="1:15" x14ac:dyDescent="0.25">
      <c r="A41" s="2" t="s">
        <v>247</v>
      </c>
      <c r="O41" s="7" t="str">
        <f ca="1">getCodigoBackend(N41,A41,VLOOKUP(N41,setup!$A$8:$H$58,2),VLOOKUP(N41,setup!$A$8:$H$58,3),VLOOKUP(N41,setup!$A$8:$H$58,4),VLOOKUP(N41,setup!$A$8:$H$58,5),VLOOKUP(N41,setup!$A$8:$H$58,6),VLOOKUP(N41,setup!$A$8:$H$58,7), VLOOKUP(0,setup!$A$8:$H$58,2),VLOOKUP(0,setup!$A$8:$H$58,5),VLOOKUP(N41,setup!$A$8:$H$58,8))</f>
        <v>class CampanhaCashbackResgatePixServiceImpl implements CampanhaCashbackResgatePixService</v>
      </c>
    </row>
    <row r="42" spans="1:15" x14ac:dyDescent="0.25">
      <c r="A42" s="6" t="s">
        <v>22</v>
      </c>
      <c r="O42" s="7" t="str">
        <f ca="1">getCodigoBackend(N42,A42,VLOOKUP(N42,setup!$A$8:$H$58,2),VLOOKUP(N42,setup!$A$8:$H$58,3),VLOOKUP(N42,setup!$A$8:$H$58,4),VLOOKUP(N42,setup!$A$8:$H$58,5),VLOOKUP(N42,setup!$A$8:$H$58,6),VLOOKUP(N42,setup!$A$8:$H$58,7), VLOOKUP(0,setup!$A$8:$H$58,2),VLOOKUP(0,setup!$A$8:$H$58,5),VLOOKUP(N42,setup!$A$8:$H$58,8))</f>
        <v>{</v>
      </c>
    </row>
    <row r="43" spans="1:15" x14ac:dyDescent="0.25">
      <c r="A43" s="6" t="s">
        <v>35</v>
      </c>
      <c r="O43" s="7" t="str">
        <f ca="1">getCodigoBackend(N43,A43,VLOOKUP(N43,setup!$A$8:$H$58,2),VLOOKUP(N43,setup!$A$8:$H$58,3),VLOOKUP(N43,setup!$A$8:$H$58,4),VLOOKUP(N43,setup!$A$8:$H$58,5),VLOOKUP(N43,setup!$A$8:$H$58,6),VLOOKUP(N43,setup!$A$8:$H$58,7), VLOOKUP(0,setup!$A$8:$H$58,2),VLOOKUP(0,setup!$A$8:$H$58,5),VLOOKUP(N43,setup!$A$8:$H$58,8))</f>
        <v>    </v>
      </c>
    </row>
    <row r="44" spans="1:15" x14ac:dyDescent="0.25">
      <c r="A44" s="6" t="s">
        <v>36</v>
      </c>
      <c r="O44" s="7" t="str">
        <f ca="1">getCodigoBackend(N44,A44,VLOOKUP(N44,setup!$A$8:$H$58,2),VLOOKUP(N44,setup!$A$8:$H$58,3),VLOOKUP(N44,setup!$A$8:$H$58,4),VLOOKUP(N44,setup!$A$8:$H$58,5),VLOOKUP(N44,setup!$A$8:$H$58,6),VLOOKUP(N44,setup!$A$8:$H$58,7), VLOOKUP(0,setup!$A$8:$H$58,2),VLOOKUP(0,setup!$A$8:$H$58,5),VLOOKUP(N44,setup!$A$8:$H$58,8))</f>
        <v>    function __construct() {    }</v>
      </c>
    </row>
    <row r="45" spans="1:15" x14ac:dyDescent="0.25">
      <c r="A45" s="6"/>
      <c r="O45" s="7" t="str">
        <f ca="1">getCodigoBackend(N45,A45,VLOOKUP(N45,setup!$A$8:$H$58,2),VLOOKUP(N45,setup!$A$8:$H$58,3),VLOOKUP(N45,setup!$A$8:$H$58,4),VLOOKUP(N45,setup!$A$8:$H$58,5),VLOOKUP(N45,setup!$A$8:$H$58,6),VLOOKUP(N45,setup!$A$8:$H$58,7), VLOOKUP(0,setup!$A$8:$H$58,2),VLOOKUP(0,setup!$A$8:$H$58,5),VLOOKUP(N45,setup!$A$8:$H$58,8))</f>
        <v/>
      </c>
    </row>
    <row r="46" spans="1:15" x14ac:dyDescent="0.25">
      <c r="A46" s="29" t="s">
        <v>19</v>
      </c>
      <c r="O46" s="7" t="str">
        <f ca="1">getCodigoBackend(N46,A46,VLOOKUP(N46,setup!$A$8:$H$58,2),VLOOKUP(N46,setup!$A$8:$H$58,3),VLOOKUP(N46,setup!$A$8:$H$58,4),VLOOKUP(N46,setup!$A$8:$H$58,5),VLOOKUP(N46,setup!$A$8:$H$58,6),VLOOKUP(N46,setup!$A$8:$H$58,7), VLOOKUP(0,setup!$A$8:$H$58,2),VLOOKUP(0,setup!$A$8:$H$58,5),VLOOKUP(N46,setup!$A$8:$H$58,8))</f>
        <v>/**</v>
      </c>
    </row>
    <row r="47" spans="1:15" x14ac:dyDescent="0.25">
      <c r="A47" s="29" t="s">
        <v>20</v>
      </c>
      <c r="O47" s="7" t="str">
        <f ca="1">getCodigoBackend(N47,A47,VLOOKUP(N47,setup!$A$8:$H$58,2),VLOOKUP(N47,setup!$A$8:$H$58,3),VLOOKUP(N47,setup!$A$8:$H$58,4),VLOOKUP(N47,setup!$A$8:$H$58,5),VLOOKUP(N47,setup!$A$8:$H$58,6),VLOOKUP(N47,setup!$A$8:$H$58,7), VLOOKUP(0,setup!$A$8:$H$58,2),VLOOKUP(0,setup!$A$8:$H$58,5),VLOOKUP(N47,setup!$A$8:$H$58,8))</f>
        <v>*</v>
      </c>
    </row>
    <row r="48" spans="1:15" x14ac:dyDescent="0.25">
      <c r="A48" s="29" t="s">
        <v>814</v>
      </c>
      <c r="O48" s="7" t="str">
        <f ca="1">getCodigoBackend(N48,A48,VLOOKUP(N48,setup!$A$8:$H$58,2),VLOOKUP(N48,setup!$A$8:$H$58,3),VLOOKUP(N48,setup!$A$8:$H$58,4),VLOOKUP(N48,setup!$A$8:$H$58,5),VLOOKUP(N48,setup!$A$8:$H$58,6),VLOOKUP(N48,setup!$A$8:$H$58,7), VLOOKUP(0,setup!$A$8:$H$58,2),VLOOKUP(0,setup!$A$8:$H$58,5),VLOOKUP(N48,setup!$A$8:$H$58,8))</f>
        <v>* listarTudo() - Usado para invocar a classe de negócio CampanhaCashbackResgatePixBusinessImpl de forma geral</v>
      </c>
    </row>
    <row r="49" spans="1:15" x14ac:dyDescent="0.25">
      <c r="A49" s="29" t="s">
        <v>815</v>
      </c>
      <c r="O49" s="7" t="str">
        <f ca="1">getCodigoBackend(N49,A49,VLOOKUP(N49,setup!$A$8:$H$58,2),VLOOKUP(N49,setup!$A$8:$H$58,3),VLOOKUP(N49,setup!$A$8:$H$58,4),VLOOKUP(N49,setup!$A$8:$H$58,5),VLOOKUP(N49,setup!$A$8:$H$58,6),VLOOKUP(N49,setup!$A$8:$H$58,7), VLOOKUP(0,setup!$A$8:$H$58,2),VLOOKUP(0,setup!$A$8:$H$58,5),VLOOKUP(N49,setup!$A$8:$H$58,8))</f>
        <v>* para listar todos os registros sem critérios de paginação dos dados.</v>
      </c>
    </row>
    <row r="50" spans="1:15" x14ac:dyDescent="0.25">
      <c r="A50" s="29" t="s">
        <v>20</v>
      </c>
      <c r="O50" s="7" t="str">
        <f ca="1">getCodigoBackend(N50,A50,VLOOKUP(N50,setup!$A$8:$H$58,2),VLOOKUP(N50,setup!$A$8:$H$58,3),VLOOKUP(N50,setup!$A$8:$H$58,4),VLOOKUP(N50,setup!$A$8:$H$58,5),VLOOKUP(N50,setup!$A$8:$H$58,6),VLOOKUP(N50,setup!$A$8:$H$58,7), VLOOKUP(0,setup!$A$8:$H$58,2),VLOOKUP(0,setup!$A$8:$H$58,5),VLOOKUP(N50,setup!$A$8:$H$58,8))</f>
        <v>*</v>
      </c>
    </row>
    <row r="51" spans="1:15" x14ac:dyDescent="0.25">
      <c r="A51" s="29" t="s">
        <v>816</v>
      </c>
      <c r="O51" s="7" t="str">
        <f ca="1">getCodigoBackend(N51,A51,VLOOKUP(N51,setup!$A$8:$H$58,2),VLOOKUP(N51,setup!$A$8:$H$58,3),VLOOKUP(N51,setup!$A$8:$H$58,4),VLOOKUP(N51,setup!$A$8:$H$58,5),VLOOKUP(N51,setup!$A$8:$H$58,6),VLOOKUP(N51,setup!$A$8:$H$58,7), VLOOKUP(0,setup!$A$8:$H$58,2),VLOOKUP(0,setup!$A$8:$H$58,5),VLOOKUP(N51,setup!$A$8:$H$58,8))</f>
        <v>* Use este método com MUITA moderação.</v>
      </c>
    </row>
    <row r="52" spans="1:15" x14ac:dyDescent="0.25">
      <c r="A52" s="29" t="s">
        <v>21</v>
      </c>
      <c r="O52" s="7" t="str">
        <f ca="1">getCodigoBackend(N52,A52,VLOOKUP(N52,setup!$A$8:$H$58,2),VLOOKUP(N52,setup!$A$8:$H$58,3),VLOOKUP(N52,setup!$A$8:$H$58,4),VLOOKUP(N52,setup!$A$8:$H$58,5),VLOOKUP(N52,setup!$A$8:$H$58,6),VLOOKUP(N52,setup!$A$8:$H$58,7), VLOOKUP(0,setup!$A$8:$H$58,2),VLOOKUP(0,setup!$A$8:$H$58,5),VLOOKUP(N52,setup!$A$8:$H$58,8))</f>
        <v>*/</v>
      </c>
    </row>
    <row r="53" spans="1:15" x14ac:dyDescent="0.25">
      <c r="A53" s="29"/>
      <c r="O53" s="7" t="str">
        <f ca="1">getCodigoBackend(N53,A53,VLOOKUP(N53,setup!$A$8:$H$58,2),VLOOKUP(N53,setup!$A$8:$H$58,3),VLOOKUP(N53,setup!$A$8:$H$58,4),VLOOKUP(N53,setup!$A$8:$H$58,5),VLOOKUP(N53,setup!$A$8:$H$58,6),VLOOKUP(N53,setup!$A$8:$H$58,7), VLOOKUP(0,setup!$A$8:$H$58,2),VLOOKUP(0,setup!$A$8:$H$58,5),VLOOKUP(N53,setup!$A$8:$H$58,8))</f>
        <v/>
      </c>
    </row>
    <row r="54" spans="1:15" x14ac:dyDescent="0.25">
      <c r="A54" s="29" t="s">
        <v>817</v>
      </c>
      <c r="O54" s="7" t="str">
        <f ca="1">getCodigoBackend(N54,A54,VLOOKUP(N54,setup!$A$8:$H$58,2),VLOOKUP(N54,setup!$A$8:$H$58,3),VLOOKUP(N54,setup!$A$8:$H$58,4),VLOOKUP(N54,setup!$A$8:$H$58,5),VLOOKUP(N54,setup!$A$8:$H$58,6),VLOOKUP(N54,setup!$A$8:$H$58,7), VLOOKUP(0,setup!$A$8:$H$58,2),VLOOKUP(0,setup!$A$8:$H$58,5),VLOOKUP(N54,setup!$A$8:$H$58,8))</f>
        <v>    public function listarTudo() {  }</v>
      </c>
    </row>
    <row r="55" spans="1:15" x14ac:dyDescent="0.25">
      <c r="A55" s="29" t="s">
        <v>818</v>
      </c>
      <c r="O55" s="7" t="str">
        <f ca="1">getCodigoBackend(N55,A55,VLOOKUP(N55,setup!$A$8:$H$58,2),VLOOKUP(N55,setup!$A$8:$H$58,3),VLOOKUP(N55,setup!$A$8:$H$58,4),VLOOKUP(N55,setup!$A$8:$H$58,5),VLOOKUP(N55,setup!$A$8:$H$58,6),VLOOKUP(N55,setup!$A$8:$H$58,7), VLOOKUP(0,setup!$A$8:$H$58,2),VLOOKUP(0,setup!$A$8:$H$58,5),VLOOKUP(N55,setup!$A$8:$H$58,8))</f>
        <v>    public function pesquisar($dto){ }</v>
      </c>
    </row>
    <row r="56" spans="1:15" x14ac:dyDescent="0.25">
      <c r="A56" s="29" t="s">
        <v>819</v>
      </c>
      <c r="O56" s="7" t="str">
        <f ca="1">getCodigoBackend(N56,A56,VLOOKUP(N56,setup!$A$8:$H$58,2),VLOOKUP(N56,setup!$A$8:$H$58,3),VLOOKUP(N56,setup!$A$8:$H$58,4),VLOOKUP(N56,setup!$A$8:$H$58,5),VLOOKUP(N56,setup!$A$8:$H$58,6),VLOOKUP(N56,setup!$A$8:$H$58,7), VLOOKUP(0,setup!$A$8:$H$58,2),VLOOKUP(0,setup!$A$8:$H$58,5),VLOOKUP(N56,setup!$A$8:$H$58,8))</f>
        <v>    public function apagar($dto) { }</v>
      </c>
    </row>
    <row r="57" spans="1:15" x14ac:dyDescent="0.25">
      <c r="A57" s="29" t="s">
        <v>820</v>
      </c>
      <c r="O57" s="7" t="str">
        <f ca="1">getCodigoBackend(N57,A57,VLOOKUP(N57,setup!$A$8:$H$58,2),VLOOKUP(N57,setup!$A$8:$H$58,3),VLOOKUP(N57,setup!$A$8:$H$58,4),VLOOKUP(N57,setup!$A$8:$H$58,5),VLOOKUP(N57,setup!$A$8:$H$58,6),VLOOKUP(N57,setup!$A$8:$H$58,7), VLOOKUP(0,setup!$A$8:$H$58,2),VLOOKUP(0,setup!$A$8:$H$58,5),VLOOKUP(N57,setup!$A$8:$H$58,8))</f>
        <v>    public function cancelar($dto) { }</v>
      </c>
    </row>
    <row r="58" spans="1:15" x14ac:dyDescent="0.25">
      <c r="A58" s="6"/>
      <c r="O58" s="7" t="str">
        <f ca="1">getCodigoBackend(N58,A58,VLOOKUP(N58,setup!$A$8:$H$58,2),VLOOKUP(N58,setup!$A$8:$H$58,3),VLOOKUP(N58,setup!$A$8:$H$58,4),VLOOKUP(N58,setup!$A$8:$H$58,5),VLOOKUP(N58,setup!$A$8:$H$58,6),VLOOKUP(N58,setup!$A$8:$H$58,7), VLOOKUP(0,setup!$A$8:$H$58,2),VLOOKUP(0,setup!$A$8:$H$58,5),VLOOKUP(N58,setup!$A$8:$H$58,8))</f>
        <v/>
      </c>
    </row>
    <row r="59" spans="1:15" x14ac:dyDescent="0.25">
      <c r="A59" s="4" t="s">
        <v>19</v>
      </c>
      <c r="O59" s="7" t="str">
        <f ca="1">getCodigoBackend(N59,A59,VLOOKUP(N59,setup!$A$8:$H$58,2),VLOOKUP(N59,setup!$A$8:$H$58,3),VLOOKUP(N59,setup!$A$8:$H$58,4),VLOOKUP(N59,setup!$A$8:$H$58,5),VLOOKUP(N59,setup!$A$8:$H$58,6),VLOOKUP(N59,setup!$A$8:$H$58,7), VLOOKUP(0,setup!$A$8:$H$58,2),VLOOKUP(0,setup!$A$8:$H$58,5),VLOOKUP(N59,setup!$A$8:$H$58,8))</f>
        <v>/**</v>
      </c>
    </row>
    <row r="60" spans="1:15" x14ac:dyDescent="0.25">
      <c r="A60" s="4" t="s">
        <v>20</v>
      </c>
      <c r="O60" s="7" t="str">
        <f ca="1">getCodigoBackend(N60,A60,VLOOKUP(N60,setup!$A$8:$H$58,2),VLOOKUP(N60,setup!$A$8:$H$58,3),VLOOKUP(N60,setup!$A$8:$H$58,4),VLOOKUP(N60,setup!$A$8:$H$58,5),VLOOKUP(N60,setup!$A$8:$H$58,6),VLOOKUP(N60,setup!$A$8:$H$58,7), VLOOKUP(0,setup!$A$8:$H$58,2),VLOOKUP(0,setup!$A$8:$H$58,5),VLOOKUP(N60,setup!$A$8:$H$58,8))</f>
        <v>*</v>
      </c>
    </row>
    <row r="61" spans="1:15" x14ac:dyDescent="0.25">
      <c r="A61" s="4" t="s">
        <v>804</v>
      </c>
      <c r="O61" s="7" t="str">
        <f ca="1">getCodigoBackend(N61,A61,VLOOKUP(N61,setup!$A$8:$H$58,2),VLOOKUP(N61,setup!$A$8:$H$58,3),VLOOKUP(N61,setup!$A$8:$H$58,4),VLOOKUP(N61,setup!$A$8:$H$58,5),VLOOKUP(N61,setup!$A$8:$H$58,6),VLOOKUP(N61,setup!$A$8:$H$58,7), VLOOKUP(0,setup!$A$8:$H$58,2),VLOOKUP(0,setup!$A$8:$H$58,5),VLOOKUP(N61,setup!$A$8:$H$58,8))</f>
        <v>* PesquisarMaxPKAtivoIdPorStatus() - Usado para invocar a classe de negócio CampanhaCashbackResgatePixBusinessImpl de forma geral</v>
      </c>
    </row>
    <row r="62" spans="1:15" x14ac:dyDescent="0.25">
      <c r="A62" s="4" t="s">
        <v>786</v>
      </c>
      <c r="O62" s="7" t="str">
        <f ca="1">getCodigoBackend(N62,A62,VLOOKUP(N62,setup!$A$8:$H$58,2),VLOOKUP(N62,setup!$A$8:$H$58,3),VLOOKUP(N62,setup!$A$8:$H$58,4),VLOOKUP(N62,setup!$A$8:$H$58,5),VLOOKUP(N62,setup!$A$8:$H$58,6),VLOOKUP(N62,setup!$A$8:$H$58,7), VLOOKUP(0,setup!$A$8:$H$58,2),VLOOKUP(0,setup!$A$8:$H$58,5),VLOOKUP(N62,setup!$A$8:$H$58,8))</f>
        <v>* a buscar a MAIOR PK pra um dado status.</v>
      </c>
    </row>
    <row r="63" spans="1:15" x14ac:dyDescent="0.25">
      <c r="A63" s="4" t="s">
        <v>20</v>
      </c>
      <c r="O63" s="7" t="str">
        <f ca="1">getCodigoBackend(N63,A63,VLOOKUP(N63,setup!$A$8:$H$58,2),VLOOKUP(N63,setup!$A$8:$H$58,3),VLOOKUP(N63,setup!$A$8:$H$58,4),VLOOKUP(N63,setup!$A$8:$H$58,5),VLOOKUP(N63,setup!$A$8:$H$58,6),VLOOKUP(N63,setup!$A$8:$H$58,7), VLOOKUP(0,setup!$A$8:$H$58,2),VLOOKUP(0,setup!$A$8:$H$58,5),VLOOKUP(N63,setup!$A$8:$H$58,8))</f>
        <v>*</v>
      </c>
    </row>
    <row r="64" spans="1:15" x14ac:dyDescent="0.25">
      <c r="A64" s="4" t="s">
        <v>787</v>
      </c>
      <c r="O64" s="7" t="str">
        <f ca="1">getCodigoBackend(N64,A64,VLOOKUP(N64,setup!$A$8:$H$58,2),VLOOKUP(N64,setup!$A$8:$H$58,3),VLOOKUP(N64,setup!$A$8:$H$58,4),VLOOKUP(N64,setup!$A$8:$H$58,5),VLOOKUP(N64,setup!$A$8:$H$58,6),VLOOKUP(N64,setup!$A$8:$H$58,7), VLOOKUP(0,setup!$A$8:$H$58,2),VLOOKUP(0,setup!$A$8:$H$58,5),VLOOKUP(N64,setup!$A$8:$H$58,8))</f>
        <v>* @param status</v>
      </c>
    </row>
    <row r="65" spans="1:15" x14ac:dyDescent="0.25">
      <c r="A65" s="4" t="s">
        <v>757</v>
      </c>
      <c r="O65" s="7" t="str">
        <f ca="1">getCodigoBackend(N65,A65,VLOOKUP(N65,setup!$A$8:$H$58,2),VLOOKUP(N65,setup!$A$8:$H$58,3),VLOOKUP(N65,setup!$A$8:$H$58,4),VLOOKUP(N65,setup!$A$8:$H$58,5),VLOOKUP(N65,setup!$A$8:$H$58,6),VLOOKUP(N65,setup!$A$8:$H$58,7), VLOOKUP(0,setup!$A$8:$H$58,2),VLOOKUP(0,setup!$A$8:$H$58,5),VLOOKUP(N65,setup!$A$8:$H$58,8))</f>
        <v>* @return CampanhaCashbackResgatePixDTO</v>
      </c>
    </row>
    <row r="66" spans="1:15" x14ac:dyDescent="0.25">
      <c r="A66" s="6" t="s">
        <v>20</v>
      </c>
      <c r="O66" s="7" t="str">
        <f ca="1">getCodigoBackend(N66,A66,VLOOKUP(N66,setup!$A$8:$H$58,2),VLOOKUP(N66,setup!$A$8:$H$58,3),VLOOKUP(N66,setup!$A$8:$H$58,4),VLOOKUP(N66,setup!$A$8:$H$58,5),VLOOKUP(N66,setup!$A$8:$H$58,6),VLOOKUP(N66,setup!$A$8:$H$58,7), VLOOKUP(0,setup!$A$8:$H$58,2),VLOOKUP(0,setup!$A$8:$H$58,5),VLOOKUP(N66,setup!$A$8:$H$58,8))</f>
        <v>*</v>
      </c>
    </row>
    <row r="67" spans="1:15" x14ac:dyDescent="0.25">
      <c r="A67" s="6" t="s">
        <v>21</v>
      </c>
      <c r="O67" s="7" t="str">
        <f ca="1">getCodigoBackend(N67,A67,VLOOKUP(N67,setup!$A$8:$H$58,2),VLOOKUP(N67,setup!$A$8:$H$58,3),VLOOKUP(N67,setup!$A$8:$H$58,4),VLOOKUP(N67,setup!$A$8:$H$58,5),VLOOKUP(N67,setup!$A$8:$H$58,6),VLOOKUP(N67,setup!$A$8:$H$58,7), VLOOKUP(0,setup!$A$8:$H$58,2),VLOOKUP(0,setup!$A$8:$H$58,5),VLOOKUP(N67,setup!$A$8:$H$58,8))</f>
        <v>*/</v>
      </c>
    </row>
    <row r="68" spans="1:15" x14ac:dyDescent="0.25">
      <c r="A68" s="6"/>
      <c r="O68" s="7" t="str">
        <f ca="1">getCodigoBackend(N68,A68,VLOOKUP(N68,setup!$A$8:$H$58,2),VLOOKUP(N68,setup!$A$8:$H$58,3),VLOOKUP(N68,setup!$A$8:$H$58,4),VLOOKUP(N68,setup!$A$8:$H$58,5),VLOOKUP(N68,setup!$A$8:$H$58,6),VLOOKUP(N68,setup!$A$8:$H$58,7), VLOOKUP(0,setup!$A$8:$H$58,2),VLOOKUP(0,setup!$A$8:$H$58,5),VLOOKUP(N68,setup!$A$8:$H$58,8))</f>
        <v/>
      </c>
    </row>
    <row r="69" spans="1:15" x14ac:dyDescent="0.25">
      <c r="A69" s="29" t="s">
        <v>924</v>
      </c>
      <c r="N69">
        <v>1</v>
      </c>
      <c r="O69" s="7" t="str">
        <f ca="1">getCodigoBackend(N69,A69,VLOOKUP(N69,setup!$A$8:$H$58,2),VLOOKUP(N69,setup!$A$8:$H$58,3),VLOOKUP(N69,setup!$A$8:$H$58,4),VLOOKUP(N69,setup!$A$8:$H$58,5),VLOOKUP(N69,setup!$A$8:$H$58,6),VLOOKUP(N69,setup!$A$8:$H$58,7), VLOOKUP(0,setup!$A$8:$H$58,2),VLOOKUP(0,setup!$A$8:$H$58,5),VLOOKUP(N69,setup!$A$8:$H$58,8))</f>
        <v>public function pesquisarMaxPKAtivoIdcampanhacashbackPorStatus($idCampanhaCashback,$status)</v>
      </c>
    </row>
    <row r="70" spans="1:15" x14ac:dyDescent="0.25">
      <c r="A70" s="29" t="s">
        <v>22</v>
      </c>
      <c r="N70">
        <v>1</v>
      </c>
      <c r="O70" s="7" t="str">
        <f ca="1">getCodigoBackend(N70,A70,VLOOKUP(N70,setup!$A$8:$H$58,2),VLOOKUP(N70,setup!$A$8:$H$58,3),VLOOKUP(N70,setup!$A$8:$H$58,4),VLOOKUP(N70,setup!$A$8:$H$58,5),VLOOKUP(N70,setup!$A$8:$H$58,6),VLOOKUP(N70,setup!$A$8:$H$58,7), VLOOKUP(0,setup!$A$8:$H$58,2),VLOOKUP(0,setup!$A$8:$H$58,5),VLOOKUP(N70,setup!$A$8:$H$58,8))</f>
        <v>{</v>
      </c>
    </row>
    <row r="71" spans="1:15" x14ac:dyDescent="0.25">
      <c r="A71" s="29" t="s">
        <v>788</v>
      </c>
      <c r="N71">
        <v>1</v>
      </c>
      <c r="O71" s="7" t="str">
        <f ca="1">getCodigoBackend(N71,A71,VLOOKUP(N71,setup!$A$8:$H$58,2),VLOOKUP(N71,setup!$A$8:$H$58,3),VLOOKUP(N71,setup!$A$8:$H$58,4),VLOOKUP(N71,setup!$A$8:$H$58,5),VLOOKUP(N71,setup!$A$8:$H$58,6),VLOOKUP(N71,setup!$A$8:$H$58,7), VLOOKUP(0,setup!$A$8:$H$58,2),VLOOKUP(0,setup!$A$8:$H$58,5),VLOOKUP(N71,setup!$A$8:$H$58,8))</f>
        <v xml:space="preserve">    $daofactory = NULL;</v>
      </c>
    </row>
    <row r="72" spans="1:15" x14ac:dyDescent="0.25">
      <c r="A72" s="29" t="s">
        <v>789</v>
      </c>
      <c r="N72">
        <v>1</v>
      </c>
      <c r="O72" s="7" t="str">
        <f ca="1">getCodigoBackend(N72,A72,VLOOKUP(N72,setup!$A$8:$H$58,2),VLOOKUP(N72,setup!$A$8:$H$58,3),VLOOKUP(N72,setup!$A$8:$H$58,4),VLOOKUP(N72,setup!$A$8:$H$58,5),VLOOKUP(N72,setup!$A$8:$H$58,6),VLOOKUP(N72,setup!$A$8:$H$58,7), VLOOKUP(0,setup!$A$8:$H$58,2),VLOOKUP(0,setup!$A$8:$H$58,5),VLOOKUP(N72,setup!$A$8:$H$58,8))</f>
        <v xml:space="preserve">    $retorno = NULL;</v>
      </c>
    </row>
    <row r="73" spans="1:15" x14ac:dyDescent="0.25">
      <c r="A73" s="4" t="s">
        <v>790</v>
      </c>
      <c r="N73">
        <v>1</v>
      </c>
      <c r="O73" s="7" t="str">
        <f ca="1">getCodigoBackend(N73,A73,VLOOKUP(N73,setup!$A$8:$H$58,2),VLOOKUP(N73,setup!$A$8:$H$58,3),VLOOKUP(N73,setup!$A$8:$H$58,4),VLOOKUP(N73,setup!$A$8:$H$58,5),VLOOKUP(N73,setup!$A$8:$H$58,6),VLOOKUP(N73,setup!$A$8:$H$58,7), VLOOKUP(0,setup!$A$8:$H$58,2),VLOOKUP(0,setup!$A$8:$H$58,5),VLOOKUP(N73,setup!$A$8:$H$58,8))</f>
        <v xml:space="preserve">    try {</v>
      </c>
    </row>
    <row r="74" spans="1:15" x14ac:dyDescent="0.25">
      <c r="A74" s="4" t="s">
        <v>791</v>
      </c>
      <c r="N74">
        <v>1</v>
      </c>
      <c r="O74" s="7" t="str">
        <f ca="1">getCodigoBackend(N74,A74,VLOOKUP(N74,setup!$A$8:$H$58,2),VLOOKUP(N74,setup!$A$8:$H$58,3),VLOOKUP(N74,setup!$A$8:$H$58,4),VLOOKUP(N74,setup!$A$8:$H$58,5),VLOOKUP(N74,setup!$A$8:$H$58,6),VLOOKUP(N74,setup!$A$8:$H$58,7), VLOOKUP(0,setup!$A$8:$H$58,2),VLOOKUP(0,setup!$A$8:$H$58,5),VLOOKUP(N74,setup!$A$8:$H$58,8))</f>
        <v xml:space="preserve">        $daofactory = DAOFactory::getDAOFactory();</v>
      </c>
    </row>
    <row r="75" spans="1:15" x14ac:dyDescent="0.25">
      <c r="A75" s="4" t="s">
        <v>792</v>
      </c>
      <c r="N75">
        <v>1</v>
      </c>
      <c r="O75" s="7" t="str">
        <f ca="1">getCodigoBackend(N75,A75,VLOOKUP(N75,setup!$A$8:$H$58,2),VLOOKUP(N75,setup!$A$8:$H$58,3),VLOOKUP(N75,setup!$A$8:$H$58,4),VLOOKUP(N75,setup!$A$8:$H$58,5),VLOOKUP(N75,setup!$A$8:$H$58,6),VLOOKUP(N75,setup!$A$8:$H$58,7), VLOOKUP(0,setup!$A$8:$H$58,2),VLOOKUP(0,setup!$A$8:$H$58,5),VLOOKUP(N75,setup!$A$8:$H$58,8))</f>
        <v xml:space="preserve">        $daofactory-&gt;open();</v>
      </c>
    </row>
    <row r="76" spans="1:15" x14ac:dyDescent="0.25">
      <c r="A76" s="4" t="s">
        <v>793</v>
      </c>
      <c r="N76">
        <v>1</v>
      </c>
      <c r="O76" s="7" t="str">
        <f ca="1">getCodigoBackend(N76,A76,VLOOKUP(N76,setup!$A$8:$H$58,2),VLOOKUP(N76,setup!$A$8:$H$58,3),VLOOKUP(N76,setup!$A$8:$H$58,4),VLOOKUP(N76,setup!$A$8:$H$58,5),VLOOKUP(N76,setup!$A$8:$H$58,6),VLOOKUP(N76,setup!$A$8:$H$58,7), VLOOKUP(0,setup!$A$8:$H$58,2),VLOOKUP(0,setup!$A$8:$H$58,5),VLOOKUP(N76,setup!$A$8:$H$58,8))</f>
        <v xml:space="preserve">        $daofactory-&gt;beginTransaction();</v>
      </c>
    </row>
    <row r="77" spans="1:15" x14ac:dyDescent="0.25">
      <c r="A77" s="4" t="s">
        <v>158</v>
      </c>
      <c r="N77">
        <v>1</v>
      </c>
      <c r="O77" s="7" t="str">
        <f ca="1">getCodigoBackend(N77,A77,VLOOKUP(N77,setup!$A$8:$H$58,2),VLOOKUP(N77,setup!$A$8:$H$58,3),VLOOKUP(N77,setup!$A$8:$H$58,4),VLOOKUP(N77,setup!$A$8:$H$58,5),VLOOKUP(N77,setup!$A$8:$H$58,6),VLOOKUP(N77,setup!$A$8:$H$58,7), VLOOKUP(0,setup!$A$8:$H$58,2),VLOOKUP(0,setup!$A$8:$H$58,5),VLOOKUP(N77,setup!$A$8:$H$58,8))</f>
        <v xml:space="preserve">        </v>
      </c>
    </row>
    <row r="78" spans="1:15" x14ac:dyDescent="0.25">
      <c r="A78" s="4" t="s">
        <v>872</v>
      </c>
      <c r="N78">
        <v>1</v>
      </c>
      <c r="O78" s="7" t="str">
        <f ca="1">getCodigoBackend(N78,A78,VLOOKUP(N78,setup!$A$8:$H$58,2),VLOOKUP(N78,setup!$A$8:$H$58,3),VLOOKUP(N78,setup!$A$8:$H$58,4),VLOOKUP(N78,setup!$A$8:$H$58,5),VLOOKUP(N78,setup!$A$8:$H$58,6),VLOOKUP(N78,setup!$A$8:$H$58,7), VLOOKUP(0,setup!$A$8:$H$58,2),VLOOKUP(0,setup!$A$8:$H$58,5),VLOOKUP(N78,setup!$A$8:$H$58,8))</f>
        <v xml:space="preserve">       $bo = new CampanhaCashbackResgatePixBusinessImpl();</v>
      </c>
    </row>
    <row r="79" spans="1:15" x14ac:dyDescent="0.25">
      <c r="A79" s="4" t="s">
        <v>925</v>
      </c>
      <c r="N79">
        <v>1</v>
      </c>
      <c r="O79" s="7" t="str">
        <f ca="1">getCodigoBackend(N79,A79,VLOOKUP(N79,setup!$A$8:$H$58,2),VLOOKUP(N79,setup!$A$8:$H$58,3),VLOOKUP(N79,setup!$A$8:$H$58,4),VLOOKUP(N79,setup!$A$8:$H$58,5),VLOOKUP(N79,setup!$A$8:$H$58,6),VLOOKUP(N79,setup!$A$8:$H$58,7), VLOOKUP(0,setup!$A$8:$H$58,2),VLOOKUP(0,setup!$A$8:$H$58,5),VLOOKUP(N79,setup!$A$8:$H$58,8))</f>
        <v xml:space="preserve">       $retorno = $bo-&gt;pesquisarMaxPKAtivoIdcampanhacashbackPorStatus($daofactory, $idCampanhaCashback,$status);</v>
      </c>
    </row>
    <row r="80" spans="1:15" x14ac:dyDescent="0.25">
      <c r="A80" s="4" t="s">
        <v>794</v>
      </c>
      <c r="N80">
        <v>1</v>
      </c>
      <c r="O80" s="7" t="str">
        <f ca="1">getCodigoBackend(N80,A80,VLOOKUP(N80,setup!$A$8:$H$58,2),VLOOKUP(N80,setup!$A$8:$H$58,3),VLOOKUP(N80,setup!$A$8:$H$58,4),VLOOKUP(N80,setup!$A$8:$H$58,5),VLOOKUP(N80,setup!$A$8:$H$58,6),VLOOKUP(N80,setup!$A$8:$H$58,7), VLOOKUP(0,setup!$A$8:$H$58,2),VLOOKUP(0,setup!$A$8:$H$58,5),VLOOKUP(N80,setup!$A$8:$H$58,8))</f>
        <v xml:space="preserve">       if ($retorno-&gt;msgcode == ConstantesMensagem::COMANDO_REALIZADO_COM_SUCESSO) {</v>
      </c>
    </row>
    <row r="81" spans="1:15" x14ac:dyDescent="0.25">
      <c r="A81" s="4" t="s">
        <v>795</v>
      </c>
      <c r="N81">
        <v>1</v>
      </c>
      <c r="O81" s="7" t="str">
        <f ca="1">getCodigoBackend(N81,A81,VLOOKUP(N81,setup!$A$8:$H$58,2),VLOOKUP(N81,setup!$A$8:$H$58,3),VLOOKUP(N81,setup!$A$8:$H$58,4),VLOOKUP(N81,setup!$A$8:$H$58,5),VLOOKUP(N81,setup!$A$8:$H$58,6),VLOOKUP(N81,setup!$A$8:$H$58,7), VLOOKUP(0,setup!$A$8:$H$58,2),VLOOKUP(0,setup!$A$8:$H$58,5),VLOOKUP(N81,setup!$A$8:$H$58,8))</f>
        <v xml:space="preserve">            $daofactory-&gt;commit();</v>
      </c>
    </row>
    <row r="82" spans="1:15" x14ac:dyDescent="0.25">
      <c r="A82" s="3" t="s">
        <v>796</v>
      </c>
      <c r="N82">
        <v>1</v>
      </c>
      <c r="O82" s="7" t="str">
        <f ca="1">getCodigoBackend(N82,A82,VLOOKUP(N82,setup!$A$8:$H$58,2),VLOOKUP(N82,setup!$A$8:$H$58,3),VLOOKUP(N82,setup!$A$8:$H$58,4),VLOOKUP(N82,setup!$A$8:$H$58,5),VLOOKUP(N82,setup!$A$8:$H$58,6),VLOOKUP(N82,setup!$A$8:$H$58,7), VLOOKUP(0,setup!$A$8:$H$58,2),VLOOKUP(0,setup!$A$8:$H$58,5),VLOOKUP(N82,setup!$A$8:$H$58,8))</f>
        <v xml:space="preserve">        } else {</v>
      </c>
    </row>
    <row r="83" spans="1:15" x14ac:dyDescent="0.25">
      <c r="A83" s="2" t="s">
        <v>737</v>
      </c>
      <c r="N83">
        <v>1</v>
      </c>
      <c r="O83" s="7" t="str">
        <f ca="1">getCodigoBackend(N83,A83,VLOOKUP(N83,setup!$A$8:$H$58,2),VLOOKUP(N83,setup!$A$8:$H$58,3),VLOOKUP(N83,setup!$A$8:$H$58,4),VLOOKUP(N83,setup!$A$8:$H$58,5),VLOOKUP(N83,setup!$A$8:$H$58,6),VLOOKUP(N83,setup!$A$8:$H$58,7), VLOOKUP(0,setup!$A$8:$H$58,2),VLOOKUP(0,setup!$A$8:$H$58,5),VLOOKUP(N83,setup!$A$8:$H$58,8))</f>
        <v xml:space="preserve">            $daofactory-&gt;rollback();</v>
      </c>
    </row>
    <row r="84" spans="1:15" x14ac:dyDescent="0.25">
      <c r="A84" s="8" t="s">
        <v>157</v>
      </c>
      <c r="N84">
        <v>1</v>
      </c>
      <c r="O84" s="7" t="str">
        <f ca="1">getCodigoBackend(N84,A84,VLOOKUP(N84,setup!$A$8:$H$58,2),VLOOKUP(N84,setup!$A$8:$H$58,3),VLOOKUP(N84,setup!$A$8:$H$58,4),VLOOKUP(N84,setup!$A$8:$H$58,5),VLOOKUP(N84,setup!$A$8:$H$58,6),VLOOKUP(N84,setup!$A$8:$H$58,7), VLOOKUP(0,setup!$A$8:$H$58,2),VLOOKUP(0,setup!$A$8:$H$58,5),VLOOKUP(N84,setup!$A$8:$H$58,8))</f>
        <v xml:space="preserve">        }</v>
      </c>
    </row>
    <row r="85" spans="1:15" x14ac:dyDescent="0.25">
      <c r="A85" s="8" t="s">
        <v>158</v>
      </c>
      <c r="N85">
        <v>1</v>
      </c>
      <c r="O85" s="7" t="str">
        <f ca="1">getCodigoBackend(N85,A85,VLOOKUP(N85,setup!$A$8:$H$58,2),VLOOKUP(N85,setup!$A$8:$H$58,3),VLOOKUP(N85,setup!$A$8:$H$58,4),VLOOKUP(N85,setup!$A$8:$H$58,5),VLOOKUP(N85,setup!$A$8:$H$58,6),VLOOKUP(N85,setup!$A$8:$H$58,7), VLOOKUP(0,setup!$A$8:$H$58,2),VLOOKUP(0,setup!$A$8:$H$58,5),VLOOKUP(N85,setup!$A$8:$H$58,8))</f>
        <v xml:space="preserve">        </v>
      </c>
    </row>
    <row r="86" spans="1:15" x14ac:dyDescent="0.25">
      <c r="A86" s="5" t="s">
        <v>797</v>
      </c>
      <c r="N86">
        <v>1</v>
      </c>
      <c r="O86" s="7" t="str">
        <f ca="1">getCodigoBackend(N86,A86,VLOOKUP(N86,setup!$A$8:$H$58,2),VLOOKUP(N86,setup!$A$8:$H$58,3),VLOOKUP(N86,setup!$A$8:$H$58,4),VLOOKUP(N86,setup!$A$8:$H$58,5),VLOOKUP(N86,setup!$A$8:$H$58,6),VLOOKUP(N86,setup!$A$8:$H$58,7), VLOOKUP(0,setup!$A$8:$H$58,2),VLOOKUP(0,setup!$A$8:$H$58,5),VLOOKUP(N86,setup!$A$8:$H$58,8))</f>
        <v xml:space="preserve">    } catch (Exception $e) {</v>
      </c>
    </row>
    <row r="87" spans="1:15" x14ac:dyDescent="0.25">
      <c r="A87" s="8" t="s">
        <v>798</v>
      </c>
      <c r="N87">
        <v>1</v>
      </c>
      <c r="O87" s="7" t="str">
        <f ca="1">getCodigoBackend(N87,A87,VLOOKUP(N87,setup!$A$8:$H$58,2),VLOOKUP(N87,setup!$A$8:$H$58,3),VLOOKUP(N87,setup!$A$8:$H$58,4),VLOOKUP(N87,setup!$A$8:$H$58,5),VLOOKUP(N87,setup!$A$8:$H$58,6),VLOOKUP(N87,setup!$A$8:$H$58,7), VLOOKUP(0,setup!$A$8:$H$58,2),VLOOKUP(0,setup!$A$8:$H$58,5),VLOOKUP(N87,setup!$A$8:$H$58,8))</f>
        <v xml:space="preserve">        // rollback na transação</v>
      </c>
    </row>
    <row r="88" spans="1:15" x14ac:dyDescent="0.25">
      <c r="A88" s="8" t="s">
        <v>799</v>
      </c>
      <c r="N88">
        <v>1</v>
      </c>
      <c r="O88" s="7" t="str">
        <f ca="1">getCodigoBackend(N88,A88,VLOOKUP(N88,setup!$A$8:$H$58,2),VLOOKUP(N88,setup!$A$8:$H$58,3),VLOOKUP(N88,setup!$A$8:$H$58,4),VLOOKUP(N88,setup!$A$8:$H$58,5),VLOOKUP(N88,setup!$A$8:$H$58,6),VLOOKUP(N88,setup!$A$8:$H$58,7), VLOOKUP(0,setup!$A$8:$H$58,2),VLOOKUP(0,setup!$A$8:$H$58,5),VLOOKUP(N88,setup!$A$8:$H$58,8))</f>
        <v xml:space="preserve">        $daofactory-&gt;rollback();</v>
      </c>
    </row>
    <row r="89" spans="1:15" x14ac:dyDescent="0.25">
      <c r="A89" s="8" t="s">
        <v>800</v>
      </c>
      <c r="N89">
        <v>1</v>
      </c>
      <c r="O89" s="7" t="str">
        <f ca="1">getCodigoBackend(N89,A89,VLOOKUP(N89,setup!$A$8:$H$58,2),VLOOKUP(N89,setup!$A$8:$H$58,3),VLOOKUP(N89,setup!$A$8:$H$58,4),VLOOKUP(N89,setup!$A$8:$H$58,5),VLOOKUP(N89,setup!$A$8:$H$58,6),VLOOKUP(N89,setup!$A$8:$H$58,7), VLOOKUP(0,setup!$A$8:$H$58,2),VLOOKUP(0,setup!$A$8:$H$58,5),VLOOKUP(N89,setup!$A$8:$H$58,8))</f>
        <v xml:space="preserve">    } finally {</v>
      </c>
    </row>
    <row r="90" spans="1:15" x14ac:dyDescent="0.25">
      <c r="A90" s="8" t="s">
        <v>726</v>
      </c>
      <c r="N90">
        <v>1</v>
      </c>
      <c r="O90" s="7" t="str">
        <f ca="1">getCodigoBackend(N90,A90,VLOOKUP(N90,setup!$A$8:$H$58,2),VLOOKUP(N90,setup!$A$8:$H$58,3),VLOOKUP(N90,setup!$A$8:$H$58,4),VLOOKUP(N90,setup!$A$8:$H$58,5),VLOOKUP(N90,setup!$A$8:$H$58,6),VLOOKUP(N90,setup!$A$8:$H$58,7), VLOOKUP(0,setup!$A$8:$H$58,2),VLOOKUP(0,setup!$A$8:$H$58,5),VLOOKUP(N90,setup!$A$8:$H$58,8))</f>
        <v xml:space="preserve">        try {</v>
      </c>
    </row>
    <row r="91" spans="1:15" x14ac:dyDescent="0.25">
      <c r="A91" s="8" t="s">
        <v>801</v>
      </c>
      <c r="N91">
        <v>1</v>
      </c>
      <c r="O91" s="7" t="str">
        <f ca="1">getCodigoBackend(N91,A91,VLOOKUP(N91,setup!$A$8:$H$58,2),VLOOKUP(N91,setup!$A$8:$H$58,3),VLOOKUP(N91,setup!$A$8:$H$58,4),VLOOKUP(N91,setup!$A$8:$H$58,5),VLOOKUP(N91,setup!$A$8:$H$58,6),VLOOKUP(N91,setup!$A$8:$H$58,7), VLOOKUP(0,setup!$A$8:$H$58,2),VLOOKUP(0,setup!$A$8:$H$58,5),VLOOKUP(N91,setup!$A$8:$H$58,8))</f>
        <v xml:space="preserve">            $daofactory-&gt;close();</v>
      </c>
    </row>
    <row r="92" spans="1:15" x14ac:dyDescent="0.25">
      <c r="A92" s="5" t="s">
        <v>735</v>
      </c>
      <c r="N92">
        <v>1</v>
      </c>
      <c r="O92" s="7" t="str">
        <f ca="1">getCodigoBackend(N92,A92,VLOOKUP(N92,setup!$A$8:$H$58,2),VLOOKUP(N92,setup!$A$8:$H$58,3),VLOOKUP(N92,setup!$A$8:$H$58,4),VLOOKUP(N92,setup!$A$8:$H$58,5),VLOOKUP(N92,setup!$A$8:$H$58,6),VLOOKUP(N92,setup!$A$8:$H$58,7), VLOOKUP(0,setup!$A$8:$H$58,2),VLOOKUP(0,setup!$A$8:$H$58,5),VLOOKUP(N92,setup!$A$8:$H$58,8))</f>
        <v xml:space="preserve">        } catch (Exception $e) {</v>
      </c>
    </row>
    <row r="93" spans="1:15" x14ac:dyDescent="0.25">
      <c r="A93" s="8" t="s">
        <v>802</v>
      </c>
      <c r="N93">
        <v>1</v>
      </c>
      <c r="O93" s="7" t="str">
        <f ca="1">getCodigoBackend(N93,A93,VLOOKUP(N93,setup!$A$8:$H$58,2),VLOOKUP(N93,setup!$A$8:$H$58,3),VLOOKUP(N93,setup!$A$8:$H$58,4),VLOOKUP(N93,setup!$A$8:$H$58,5),VLOOKUP(N93,setup!$A$8:$H$58,6),VLOOKUP(N93,setup!$A$8:$H$58,7), VLOOKUP(0,setup!$A$8:$H$58,2),VLOOKUP(0,setup!$A$8:$H$58,5),VLOOKUP(N93,setup!$A$8:$H$58,8))</f>
        <v xml:space="preserve">            // faz algo</v>
      </c>
    </row>
    <row r="94" spans="1:15" x14ac:dyDescent="0.25">
      <c r="A94" s="6" t="s">
        <v>157</v>
      </c>
      <c r="N94">
        <v>1</v>
      </c>
      <c r="O94" s="7" t="str">
        <f ca="1">getCodigoBackend(N94,A94,VLOOKUP(N94,setup!$A$8:$H$58,2),VLOOKUP(N94,setup!$A$8:$H$58,3),VLOOKUP(N94,setup!$A$8:$H$58,4),VLOOKUP(N94,setup!$A$8:$H$58,5),VLOOKUP(N94,setup!$A$8:$H$58,6),VLOOKUP(N94,setup!$A$8:$H$58,7), VLOOKUP(0,setup!$A$8:$H$58,2),VLOOKUP(0,setup!$A$8:$H$58,5),VLOOKUP(N94,setup!$A$8:$H$58,8))</f>
        <v xml:space="preserve">        }</v>
      </c>
    </row>
    <row r="95" spans="1:15" x14ac:dyDescent="0.25">
      <c r="A95" s="8" t="s">
        <v>406</v>
      </c>
      <c r="N95">
        <v>1</v>
      </c>
      <c r="O95" s="7" t="str">
        <f ca="1">getCodigoBackend(N95,A95,VLOOKUP(N95,setup!$A$8:$H$58,2),VLOOKUP(N95,setup!$A$8:$H$58,3),VLOOKUP(N95,setup!$A$8:$H$58,4),VLOOKUP(N95,setup!$A$8:$H$58,5),VLOOKUP(N95,setup!$A$8:$H$58,6),VLOOKUP(N95,setup!$A$8:$H$58,7), VLOOKUP(0,setup!$A$8:$H$58,2),VLOOKUP(0,setup!$A$8:$H$58,5),VLOOKUP(N95,setup!$A$8:$H$58,8))</f>
        <v xml:space="preserve">    }</v>
      </c>
    </row>
    <row r="96" spans="1:15" x14ac:dyDescent="0.25">
      <c r="A96" s="6"/>
      <c r="N96">
        <v>1</v>
      </c>
      <c r="O96" s="7" t="str">
        <f ca="1">getCodigoBackend(N96,A96,VLOOKUP(N96,setup!$A$8:$H$58,2),VLOOKUP(N96,setup!$A$8:$H$58,3),VLOOKUP(N96,setup!$A$8:$H$58,4),VLOOKUP(N96,setup!$A$8:$H$58,5),VLOOKUP(N96,setup!$A$8:$H$58,6),VLOOKUP(N96,setup!$A$8:$H$58,7), VLOOKUP(0,setup!$A$8:$H$58,2),VLOOKUP(0,setup!$A$8:$H$58,5),VLOOKUP(N96,setup!$A$8:$H$58,8))</f>
        <v/>
      </c>
    </row>
    <row r="97" spans="1:15" x14ac:dyDescent="0.25">
      <c r="A97" s="6" t="s">
        <v>415</v>
      </c>
      <c r="N97">
        <v>1</v>
      </c>
      <c r="O97" s="7" t="str">
        <f ca="1">getCodigoBackend(N97,A97,VLOOKUP(N97,setup!$A$8:$H$58,2),VLOOKUP(N97,setup!$A$8:$H$58,3),VLOOKUP(N97,setup!$A$8:$H$58,4),VLOOKUP(N97,setup!$A$8:$H$58,5),VLOOKUP(N97,setup!$A$8:$H$58,6),VLOOKUP(N97,setup!$A$8:$H$58,7), VLOOKUP(0,setup!$A$8:$H$58,2),VLOOKUP(0,setup!$A$8:$H$58,5),VLOOKUP(N97,setup!$A$8:$H$58,8))</f>
        <v xml:space="preserve">    return $retorno;</v>
      </c>
    </row>
    <row r="98" spans="1:15" x14ac:dyDescent="0.25">
      <c r="A98" s="4" t="s">
        <v>28</v>
      </c>
      <c r="N98">
        <v>1</v>
      </c>
      <c r="O98" s="7" t="str">
        <f ca="1">getCodigoBackend(N98,A98,VLOOKUP(N98,setup!$A$8:$H$58,2),VLOOKUP(N98,setup!$A$8:$H$58,3),VLOOKUP(N98,setup!$A$8:$H$58,4),VLOOKUP(N98,setup!$A$8:$H$58,5),VLOOKUP(N98,setup!$A$8:$H$58,6),VLOOKUP(N98,setup!$A$8:$H$58,7), VLOOKUP(0,setup!$A$8:$H$58,2),VLOOKUP(0,setup!$A$8:$H$58,5),VLOOKUP(N98,setup!$A$8:$H$58,8))</f>
        <v>}</v>
      </c>
    </row>
    <row r="99" spans="1:15" x14ac:dyDescent="0.25">
      <c r="A99" s="6"/>
      <c r="O99" s="7" t="str">
        <f ca="1">getCodigoBackend(N99,A99,VLOOKUP(N99,setup!$A$8:$H$58,2),VLOOKUP(N99,setup!$A$8:$H$58,3),VLOOKUP(N99,setup!$A$8:$H$58,4),VLOOKUP(N99,setup!$A$8:$H$58,5),VLOOKUP(N99,setup!$A$8:$H$58,6),VLOOKUP(N99,setup!$A$8:$H$58,7), VLOOKUP(0,setup!$A$8:$H$58,2),VLOOKUP(0,setup!$A$8:$H$58,5),VLOOKUP(N99,setup!$A$8:$H$58,8))</f>
        <v/>
      </c>
    </row>
    <row r="100" spans="1:15" x14ac:dyDescent="0.25">
      <c r="A100" s="4" t="s">
        <v>19</v>
      </c>
      <c r="O100" s="7" t="str">
        <f ca="1">getCodigoBackend(N100,A100,VLOOKUP(N100,setup!$A$8:$H$58,2),VLOOKUP(N100,setup!$A$8:$H$58,3),VLOOKUP(N100,setup!$A$8:$H$58,4),VLOOKUP(N100,setup!$A$8:$H$58,5),VLOOKUP(N100,setup!$A$8:$H$58,6),VLOOKUP(N100,setup!$A$8:$H$58,7), VLOOKUP(0,setup!$A$8:$H$58,2),VLOOKUP(0,setup!$A$8:$H$58,5),VLOOKUP(N100,setup!$A$8:$H$58,8))</f>
        <v>/**</v>
      </c>
    </row>
    <row r="101" spans="1:15" x14ac:dyDescent="0.25">
      <c r="A101" s="4" t="s">
        <v>20</v>
      </c>
      <c r="O101" s="7" t="str">
        <f ca="1">getCodigoBackend(N101,A101,VLOOKUP(N101,setup!$A$8:$H$58,2),VLOOKUP(N101,setup!$A$8:$H$58,3),VLOOKUP(N101,setup!$A$8:$H$58,4),VLOOKUP(N101,setup!$A$8:$H$58,5),VLOOKUP(N101,setup!$A$8:$H$58,6),VLOOKUP(N101,setup!$A$8:$H$58,7), VLOOKUP(0,setup!$A$8:$H$58,2),VLOOKUP(0,setup!$A$8:$H$58,5),VLOOKUP(N101,setup!$A$8:$H$58,8))</f>
        <v>*</v>
      </c>
    </row>
    <row r="102" spans="1:15" x14ac:dyDescent="0.25">
      <c r="A102" s="4" t="s">
        <v>261</v>
      </c>
      <c r="O102" s="7" t="str">
        <f ca="1">getCodigoBackend(N102,A102,VLOOKUP(N102,setup!$A$8:$H$58,2),VLOOKUP(N102,setup!$A$8:$H$58,3),VLOOKUP(N102,setup!$A$8:$H$58,4),VLOOKUP(N102,setup!$A$8:$H$58,5),VLOOKUP(N102,setup!$A$8:$H$58,6),VLOOKUP(N102,setup!$A$8:$H$58,7), VLOOKUP(0,setup!$A$8:$H$58,2),VLOOKUP(0,setup!$A$8:$H$58,5),VLOOKUP(N102,setup!$A$8:$H$58,8))</f>
        <v>* atualizar() - Usado para invocar a classe de negócio CampanhaCashbackResgatePixBusinessImpl de forma geral</v>
      </c>
    </row>
    <row r="103" spans="1:15" x14ac:dyDescent="0.25">
      <c r="A103" s="4" t="s">
        <v>262</v>
      </c>
      <c r="O103" s="7" t="str">
        <f ca="1">getCodigoBackend(N103,A103,VLOOKUP(N103,setup!$A$8:$H$58,2),VLOOKUP(N103,setup!$A$8:$H$58,3),VLOOKUP(N103,setup!$A$8:$H$58,4),VLOOKUP(N103,setup!$A$8:$H$58,5),VLOOKUP(N103,setup!$A$8:$H$58,6),VLOOKUP(N103,setup!$A$8:$H$58,7), VLOOKUP(0,setup!$A$8:$H$58,2),VLOOKUP(0,setup!$A$8:$H$58,5),VLOOKUP(N103,setup!$A$8:$H$58,8))</f>
        <v>* para gerenciar as regras de negócio do sistema.</v>
      </c>
    </row>
    <row r="104" spans="1:15" x14ac:dyDescent="0.25">
      <c r="A104" s="4" t="s">
        <v>20</v>
      </c>
      <c r="O104" s="7" t="str">
        <f ca="1">getCodigoBackend(N104,A104,VLOOKUP(N104,setup!$A$8:$H$58,2),VLOOKUP(N104,setup!$A$8:$H$58,3),VLOOKUP(N104,setup!$A$8:$H$58,4),VLOOKUP(N104,setup!$A$8:$H$58,5),VLOOKUP(N104,setup!$A$8:$H$58,6),VLOOKUP(N104,setup!$A$8:$H$58,7), VLOOKUP(0,setup!$A$8:$H$58,2),VLOOKUP(0,setup!$A$8:$H$58,5),VLOOKUP(N104,setup!$A$8:$H$58,8))</f>
        <v>*</v>
      </c>
    </row>
    <row r="105" spans="1:15" x14ac:dyDescent="0.25">
      <c r="A105" s="4" t="s">
        <v>263</v>
      </c>
      <c r="O105" s="7" t="str">
        <f ca="1">getCodigoBackend(N105,A105,VLOOKUP(N105,setup!$A$8:$H$58,2),VLOOKUP(N105,setup!$A$8:$H$58,3),VLOOKUP(N105,setup!$A$8:$H$58,4),VLOOKUP(N105,setup!$A$8:$H$58,5),VLOOKUP(N105,setup!$A$8:$H$58,6),VLOOKUP(N105,setup!$A$8:$H$58,7), VLOOKUP(0,setup!$A$8:$H$58,2),VLOOKUP(0,setup!$A$8:$H$58,5),VLOOKUP(N105,setup!$A$8:$H$58,8))</f>
        <v>* @param CampanhaCashbackResgatePixDTO contendo dados para enviar para atualização</v>
      </c>
    </row>
    <row r="106" spans="1:15" x14ac:dyDescent="0.25">
      <c r="A106" s="4" t="s">
        <v>277</v>
      </c>
      <c r="O106" s="7" t="str">
        <f ca="1">getCodigoBackend(N106,A106,VLOOKUP(N106,setup!$A$8:$H$58,2),VLOOKUP(N106,setup!$A$8:$H$58,3),VLOOKUP(N106,setup!$A$8:$H$58,4),VLOOKUP(N106,setup!$A$8:$H$58,5),VLOOKUP(N106,setup!$A$8:$H$58,6),VLOOKUP(N106,setup!$A$8:$H$58,7), VLOOKUP(0,setup!$A$8:$H$58,2),VLOOKUP(0,setup!$A$8:$H$58,5),VLOOKUP(N106,setup!$A$8:$H$58,8))</f>
        <v>* @return uma instância de CampanhaCashbackResgatePixDTO com resultdo da operação</v>
      </c>
    </row>
    <row r="107" spans="1:15" x14ac:dyDescent="0.25">
      <c r="A107" s="4" t="s">
        <v>20</v>
      </c>
      <c r="O107" s="7" t="str">
        <f ca="1">getCodigoBackend(N107,A107,VLOOKUP(N107,setup!$A$8:$H$58,2),VLOOKUP(N107,setup!$A$8:$H$58,3),VLOOKUP(N107,setup!$A$8:$H$58,4),VLOOKUP(N107,setup!$A$8:$H$58,5),VLOOKUP(N107,setup!$A$8:$H$58,6),VLOOKUP(N107,setup!$A$8:$H$58,7), VLOOKUP(0,setup!$A$8:$H$58,2),VLOOKUP(0,setup!$A$8:$H$58,5),VLOOKUP(N107,setup!$A$8:$H$58,8))</f>
        <v>*</v>
      </c>
    </row>
    <row r="108" spans="1:15" ht="15.75" customHeight="1" x14ac:dyDescent="0.25">
      <c r="A108" s="4" t="s">
        <v>21</v>
      </c>
      <c r="O108" s="7" t="str">
        <f ca="1">getCodigoBackend(N108,A108,VLOOKUP(N108,setup!$A$8:$H$58,2),VLOOKUP(N108,setup!$A$8:$H$58,3),VLOOKUP(N108,setup!$A$8:$H$58,4),VLOOKUP(N108,setup!$A$8:$H$58,5),VLOOKUP(N108,setup!$A$8:$H$58,6),VLOOKUP(N108,setup!$A$8:$H$58,7), VLOOKUP(0,setup!$A$8:$H$58,2),VLOOKUP(0,setup!$A$8:$H$58,5),VLOOKUP(N108,setup!$A$8:$H$58,8))</f>
        <v>*/</v>
      </c>
    </row>
    <row r="109" spans="1:15" x14ac:dyDescent="0.25">
      <c r="A109" s="6"/>
      <c r="O109" s="7" t="str">
        <f ca="1">getCodigoBackend(N109,A109,VLOOKUP(N109,setup!$A$8:$H$58,2),VLOOKUP(N109,setup!$A$8:$H$58,3),VLOOKUP(N109,setup!$A$8:$H$58,4),VLOOKUP(N109,setup!$A$8:$H$58,5),VLOOKUP(N109,setup!$A$8:$H$58,6),VLOOKUP(N109,setup!$A$8:$H$58,7), VLOOKUP(0,setup!$A$8:$H$58,2),VLOOKUP(0,setup!$A$8:$H$58,5),VLOOKUP(N109,setup!$A$8:$H$58,8))</f>
        <v/>
      </c>
    </row>
    <row r="110" spans="1:15" x14ac:dyDescent="0.25">
      <c r="A110" s="6" t="s">
        <v>69</v>
      </c>
      <c r="O110" s="7" t="str">
        <f ca="1">getCodigoBackend(N110,A110,VLOOKUP(N110,setup!$A$8:$H$58,2),VLOOKUP(N110,setup!$A$8:$H$58,3),VLOOKUP(N110,setup!$A$8:$H$58,4),VLOOKUP(N110,setup!$A$8:$H$58,5),VLOOKUP(N110,setup!$A$8:$H$58,6),VLOOKUP(N110,setup!$A$8:$H$58,7), VLOOKUP(0,setup!$A$8:$H$58,2),VLOOKUP(0,setup!$A$8:$H$58,5),VLOOKUP(N110,setup!$A$8:$H$58,8))</f>
        <v>    public function atualizar($dto)</v>
      </c>
    </row>
    <row r="111" spans="1:15" x14ac:dyDescent="0.25">
      <c r="A111" s="6" t="s">
        <v>38</v>
      </c>
      <c r="O111" s="7" t="str">
        <f ca="1">getCodigoBackend(N111,A111,VLOOKUP(N111,setup!$A$8:$H$58,2),VLOOKUP(N111,setup!$A$8:$H$58,3),VLOOKUP(N111,setup!$A$8:$H$58,4),VLOOKUP(N111,setup!$A$8:$H$58,5),VLOOKUP(N111,setup!$A$8:$H$58,6),VLOOKUP(N111,setup!$A$8:$H$58,7), VLOOKUP(0,setup!$A$8:$H$58,2),VLOOKUP(0,setup!$A$8:$H$58,5),VLOOKUP(N111,setup!$A$8:$H$58,8))</f>
        <v>    {</v>
      </c>
    </row>
    <row r="112" spans="1:15" x14ac:dyDescent="0.25">
      <c r="A112" s="6" t="s">
        <v>39</v>
      </c>
      <c r="O112" s="7" t="str">
        <f ca="1">getCodigoBackend(N112,A112,VLOOKUP(N112,setup!$A$8:$H$58,2),VLOOKUP(N112,setup!$A$8:$H$58,3),VLOOKUP(N112,setup!$A$8:$H$58,4),VLOOKUP(N112,setup!$A$8:$H$58,5),VLOOKUP(N112,setup!$A$8:$H$58,6),VLOOKUP(N112,setup!$A$8:$H$58,7), VLOOKUP(0,setup!$A$8:$H$58,2),VLOOKUP(0,setup!$A$8:$H$58,5),VLOOKUP(N112,setup!$A$8:$H$58,8))</f>
        <v>        $daofactory = NULL;</v>
      </c>
    </row>
    <row r="113" spans="1:15" x14ac:dyDescent="0.25">
      <c r="A113" s="6" t="s">
        <v>40</v>
      </c>
      <c r="O113" s="7" t="str">
        <f ca="1">getCodigoBackend(N113,A113,VLOOKUP(N113,setup!$A$8:$H$58,2),VLOOKUP(N113,setup!$A$8:$H$58,3),VLOOKUP(N113,setup!$A$8:$H$58,4),VLOOKUP(N113,setup!$A$8:$H$58,5),VLOOKUP(N113,setup!$A$8:$H$58,6),VLOOKUP(N113,setup!$A$8:$H$58,7), VLOOKUP(0,setup!$A$8:$H$58,2),VLOOKUP(0,setup!$A$8:$H$58,5),VLOOKUP(N113,setup!$A$8:$H$58,8))</f>
        <v>        $retorno = NULL;</v>
      </c>
    </row>
    <row r="114" spans="1:15" x14ac:dyDescent="0.25">
      <c r="A114" s="6" t="s">
        <v>41</v>
      </c>
      <c r="O114" s="7" t="str">
        <f ca="1">getCodigoBackend(N114,A114,VLOOKUP(N114,setup!$A$8:$H$58,2),VLOOKUP(N114,setup!$A$8:$H$58,3),VLOOKUP(N114,setup!$A$8:$H$58,4),VLOOKUP(N114,setup!$A$8:$H$58,5),VLOOKUP(N114,setup!$A$8:$H$58,6),VLOOKUP(N114,setup!$A$8:$H$58,7), VLOOKUP(0,setup!$A$8:$H$58,2),VLOOKUP(0,setup!$A$8:$H$58,5),VLOOKUP(N114,setup!$A$8:$H$58,8))</f>
        <v>        try {</v>
      </c>
    </row>
    <row r="115" spans="1:15" x14ac:dyDescent="0.25">
      <c r="A115" s="6" t="s">
        <v>42</v>
      </c>
      <c r="O115" s="7" t="str">
        <f ca="1">getCodigoBackend(N115,A115,VLOOKUP(N115,setup!$A$8:$H$58,2),VLOOKUP(N115,setup!$A$8:$H$58,3),VLOOKUP(N115,setup!$A$8:$H$58,4),VLOOKUP(N115,setup!$A$8:$H$58,5),VLOOKUP(N115,setup!$A$8:$H$58,6),VLOOKUP(N115,setup!$A$8:$H$58,7), VLOOKUP(0,setup!$A$8:$H$58,2),VLOOKUP(0,setup!$A$8:$H$58,5),VLOOKUP(N115,setup!$A$8:$H$58,8))</f>
        <v>            $daofactory = DAOFactory::getDAOFactory();</v>
      </c>
    </row>
    <row r="116" spans="1:15" x14ac:dyDescent="0.25">
      <c r="A116" s="6" t="s">
        <v>43</v>
      </c>
      <c r="O116" s="7" t="str">
        <f ca="1">getCodigoBackend(N116,A116,VLOOKUP(N116,setup!$A$8:$H$58,2),VLOOKUP(N116,setup!$A$8:$H$58,3),VLOOKUP(N116,setup!$A$8:$H$58,4),VLOOKUP(N116,setup!$A$8:$H$58,5),VLOOKUP(N116,setup!$A$8:$H$58,6),VLOOKUP(N116,setup!$A$8:$H$58,7), VLOOKUP(0,setup!$A$8:$H$58,2),VLOOKUP(0,setup!$A$8:$H$58,5),VLOOKUP(N116,setup!$A$8:$H$58,8))</f>
        <v>            $daofactory-&gt;open();</v>
      </c>
    </row>
    <row r="117" spans="1:15" x14ac:dyDescent="0.25">
      <c r="A117" s="6" t="s">
        <v>44</v>
      </c>
      <c r="O117" s="7" t="str">
        <f ca="1">getCodigoBackend(N117,A117,VLOOKUP(N117,setup!$A$8:$H$58,2),VLOOKUP(N117,setup!$A$8:$H$58,3),VLOOKUP(N117,setup!$A$8:$H$58,4),VLOOKUP(N117,setup!$A$8:$H$58,5),VLOOKUP(N117,setup!$A$8:$H$58,6),VLOOKUP(N117,setup!$A$8:$H$58,7), VLOOKUP(0,setup!$A$8:$H$58,2),VLOOKUP(0,setup!$A$8:$H$58,5),VLOOKUP(N117,setup!$A$8:$H$58,8))</f>
        <v>            $daofactory-&gt;beginTransaction();</v>
      </c>
    </row>
    <row r="118" spans="1:15" x14ac:dyDescent="0.25">
      <c r="A118" s="6" t="s">
        <v>45</v>
      </c>
      <c r="O118" s="7" t="str">
        <f ca="1">getCodigoBackend(N118,A118,VLOOKUP(N118,setup!$A$8:$H$58,2),VLOOKUP(N118,setup!$A$8:$H$58,3),VLOOKUP(N118,setup!$A$8:$H$58,4),VLOOKUP(N118,setup!$A$8:$H$58,5),VLOOKUP(N118,setup!$A$8:$H$58,6),VLOOKUP(N118,setup!$A$8:$H$58,7), VLOOKUP(0,setup!$A$8:$H$58,2),VLOOKUP(0,setup!$A$8:$H$58,5),VLOOKUP(N118,setup!$A$8:$H$58,8))</f>
        <v>            </v>
      </c>
    </row>
    <row r="119" spans="1:15" x14ac:dyDescent="0.25">
      <c r="A119" s="6" t="s">
        <v>265</v>
      </c>
      <c r="O119" s="7" t="str">
        <f ca="1">getCodigoBackend(N119,A119,VLOOKUP(N119,setup!$A$8:$H$58,2),VLOOKUP(N119,setup!$A$8:$H$58,3),VLOOKUP(N119,setup!$A$8:$H$58,4),VLOOKUP(N119,setup!$A$8:$H$58,5),VLOOKUP(N119,setup!$A$8:$H$58,6),VLOOKUP(N119,setup!$A$8:$H$58,7), VLOOKUP(0,setup!$A$8:$H$58,2),VLOOKUP(0,setup!$A$8:$H$58,5),VLOOKUP(N119,setup!$A$8:$H$58,8))</f>
        <v>           $bo = new CampanhaCashbackResgatePixBusinessImpl();</v>
      </c>
    </row>
    <row r="120" spans="1:15" x14ac:dyDescent="0.25">
      <c r="A120" s="6" t="s">
        <v>70</v>
      </c>
      <c r="O120" s="7" t="str">
        <f ca="1">getCodigoBackend(N120,A120,VLOOKUP(N120,setup!$A$8:$H$58,2),VLOOKUP(N120,setup!$A$8:$H$58,3),VLOOKUP(N120,setup!$A$8:$H$58,4),VLOOKUP(N120,setup!$A$8:$H$58,5),VLOOKUP(N120,setup!$A$8:$H$58,6),VLOOKUP(N120,setup!$A$8:$H$58,7), VLOOKUP(0,setup!$A$8:$H$58,2),VLOOKUP(0,setup!$A$8:$H$58,5),VLOOKUP(N120,setup!$A$8:$H$58,8))</f>
        <v>           $retorno = $bo-&gt;atualizar($daofactory, $dto);</v>
      </c>
    </row>
    <row r="121" spans="1:15" x14ac:dyDescent="0.25">
      <c r="A121" s="6" t="s">
        <v>47</v>
      </c>
      <c r="O121" s="7" t="str">
        <f ca="1">getCodigoBackend(N121,A121,VLOOKUP(N121,setup!$A$8:$H$58,2),VLOOKUP(N121,setup!$A$8:$H$58,3),VLOOKUP(N121,setup!$A$8:$H$58,4),VLOOKUP(N121,setup!$A$8:$H$58,5),VLOOKUP(N121,setup!$A$8:$H$58,6),VLOOKUP(N121,setup!$A$8:$H$58,7), VLOOKUP(0,setup!$A$8:$H$58,2),VLOOKUP(0,setup!$A$8:$H$58,5),VLOOKUP(N121,setup!$A$8:$H$58,8))</f>
        <v>           if ($retorno-&gt;msgcode == ConstantesMensagem::COMANDO_REALIZADO_COM_SUCESSO) {</v>
      </c>
    </row>
    <row r="122" spans="1:15" x14ac:dyDescent="0.25">
      <c r="A122" s="6" t="s">
        <v>48</v>
      </c>
      <c r="O122" s="7" t="str">
        <f ca="1">getCodigoBackend(N122,A122,VLOOKUP(N122,setup!$A$8:$H$58,2),VLOOKUP(N122,setup!$A$8:$H$58,3),VLOOKUP(N122,setup!$A$8:$H$58,4),VLOOKUP(N122,setup!$A$8:$H$58,5),VLOOKUP(N122,setup!$A$8:$H$58,6),VLOOKUP(N122,setup!$A$8:$H$58,7), VLOOKUP(0,setup!$A$8:$H$58,2),VLOOKUP(0,setup!$A$8:$H$58,5),VLOOKUP(N122,setup!$A$8:$H$58,8))</f>
        <v>                $daofactory-&gt;commit();</v>
      </c>
    </row>
    <row r="123" spans="1:15" x14ac:dyDescent="0.25">
      <c r="A123" s="6" t="s">
        <v>49</v>
      </c>
      <c r="O123" s="7" t="str">
        <f ca="1">getCodigoBackend(N123,A123,VLOOKUP(N123,setup!$A$8:$H$58,2),VLOOKUP(N123,setup!$A$8:$H$58,3),VLOOKUP(N123,setup!$A$8:$H$58,4),VLOOKUP(N123,setup!$A$8:$H$58,5),VLOOKUP(N123,setup!$A$8:$H$58,6),VLOOKUP(N123,setup!$A$8:$H$58,7), VLOOKUP(0,setup!$A$8:$H$58,2),VLOOKUP(0,setup!$A$8:$H$58,5),VLOOKUP(N123,setup!$A$8:$H$58,8))</f>
        <v>            } else {</v>
      </c>
    </row>
    <row r="124" spans="1:15" x14ac:dyDescent="0.25">
      <c r="A124" s="6" t="s">
        <v>50</v>
      </c>
      <c r="O124" s="7" t="str">
        <f ca="1">getCodigoBackend(N124,A124,VLOOKUP(N124,setup!$A$8:$H$58,2),VLOOKUP(N124,setup!$A$8:$H$58,3),VLOOKUP(N124,setup!$A$8:$H$58,4),VLOOKUP(N124,setup!$A$8:$H$58,5),VLOOKUP(N124,setup!$A$8:$H$58,6),VLOOKUP(N124,setup!$A$8:$H$58,7), VLOOKUP(0,setup!$A$8:$H$58,2),VLOOKUP(0,setup!$A$8:$H$58,5),VLOOKUP(N124,setup!$A$8:$H$58,8))</f>
        <v>                $daofactory-&gt;rollback();</v>
      </c>
    </row>
    <row r="125" spans="1:15" x14ac:dyDescent="0.25">
      <c r="A125" s="6" t="s">
        <v>51</v>
      </c>
      <c r="O125" s="7" t="str">
        <f ca="1">getCodigoBackend(N125,A125,VLOOKUP(N125,setup!$A$8:$H$58,2),VLOOKUP(N125,setup!$A$8:$H$58,3),VLOOKUP(N125,setup!$A$8:$H$58,4),VLOOKUP(N125,setup!$A$8:$H$58,5),VLOOKUP(N125,setup!$A$8:$H$58,6),VLOOKUP(N125,setup!$A$8:$H$58,7), VLOOKUP(0,setup!$A$8:$H$58,2),VLOOKUP(0,setup!$A$8:$H$58,5),VLOOKUP(N125,setup!$A$8:$H$58,8))</f>
        <v>            }</v>
      </c>
    </row>
    <row r="126" spans="1:15" x14ac:dyDescent="0.25">
      <c r="A126" s="6" t="s">
        <v>45</v>
      </c>
      <c r="O126" s="7" t="str">
        <f ca="1">getCodigoBackend(N126,A126,VLOOKUP(N126,setup!$A$8:$H$58,2),VLOOKUP(N126,setup!$A$8:$H$58,3),VLOOKUP(N126,setup!$A$8:$H$58,4),VLOOKUP(N126,setup!$A$8:$H$58,5),VLOOKUP(N126,setup!$A$8:$H$58,6),VLOOKUP(N126,setup!$A$8:$H$58,7), VLOOKUP(0,setup!$A$8:$H$58,2),VLOOKUP(0,setup!$A$8:$H$58,5),VLOOKUP(N126,setup!$A$8:$H$58,8))</f>
        <v>            </v>
      </c>
    </row>
    <row r="127" spans="1:15" x14ac:dyDescent="0.25">
      <c r="A127" s="6" t="s">
        <v>52</v>
      </c>
      <c r="O127" s="7" t="str">
        <f ca="1">getCodigoBackend(N127,A127,VLOOKUP(N127,setup!$A$8:$H$58,2),VLOOKUP(N127,setup!$A$8:$H$58,3),VLOOKUP(N127,setup!$A$8:$H$58,4),VLOOKUP(N127,setup!$A$8:$H$58,5),VLOOKUP(N127,setup!$A$8:$H$58,6),VLOOKUP(N127,setup!$A$8:$H$58,7), VLOOKUP(0,setup!$A$8:$H$58,2),VLOOKUP(0,setup!$A$8:$H$58,5),VLOOKUP(N127,setup!$A$8:$H$58,8))</f>
        <v>        } catch (Exception $e) {</v>
      </c>
    </row>
    <row r="128" spans="1:15" x14ac:dyDescent="0.25">
      <c r="A128" s="6" t="s">
        <v>53</v>
      </c>
      <c r="O128" s="7" t="str">
        <f ca="1">getCodigoBackend(N128,A128,VLOOKUP(N128,setup!$A$8:$H$58,2),VLOOKUP(N128,setup!$A$8:$H$58,3),VLOOKUP(N128,setup!$A$8:$H$58,4),VLOOKUP(N128,setup!$A$8:$H$58,5),VLOOKUP(N128,setup!$A$8:$H$58,6),VLOOKUP(N128,setup!$A$8:$H$58,7), VLOOKUP(0,setup!$A$8:$H$58,2),VLOOKUP(0,setup!$A$8:$H$58,5),VLOOKUP(N128,setup!$A$8:$H$58,8))</f>
        <v>            // rollback na transação</v>
      </c>
    </row>
    <row r="129" spans="1:15" x14ac:dyDescent="0.25">
      <c r="A129" s="6" t="s">
        <v>54</v>
      </c>
      <c r="O129" s="7" t="str">
        <f ca="1">getCodigoBackend(N129,A129,VLOOKUP(N129,setup!$A$8:$H$58,2),VLOOKUP(N129,setup!$A$8:$H$58,3),VLOOKUP(N129,setup!$A$8:$H$58,4),VLOOKUP(N129,setup!$A$8:$H$58,5),VLOOKUP(N129,setup!$A$8:$H$58,6),VLOOKUP(N129,setup!$A$8:$H$58,7), VLOOKUP(0,setup!$A$8:$H$58,2),VLOOKUP(0,setup!$A$8:$H$58,5),VLOOKUP(N129,setup!$A$8:$H$58,8))</f>
        <v>            $daofactory-&gt;rollback();</v>
      </c>
    </row>
    <row r="130" spans="1:15" x14ac:dyDescent="0.25">
      <c r="A130" s="6" t="s">
        <v>55</v>
      </c>
      <c r="O130" s="7" t="str">
        <f ca="1">getCodigoBackend(N130,A130,VLOOKUP(N130,setup!$A$8:$H$58,2),VLOOKUP(N130,setup!$A$8:$H$58,3),VLOOKUP(N130,setup!$A$8:$H$58,4),VLOOKUP(N130,setup!$A$8:$H$58,5),VLOOKUP(N130,setup!$A$8:$H$58,6),VLOOKUP(N130,setup!$A$8:$H$58,7), VLOOKUP(0,setup!$A$8:$H$58,2),VLOOKUP(0,setup!$A$8:$H$58,5),VLOOKUP(N130,setup!$A$8:$H$58,8))</f>
        <v>        } finally {</v>
      </c>
    </row>
    <row r="131" spans="1:15" x14ac:dyDescent="0.25">
      <c r="A131" s="6" t="s">
        <v>56</v>
      </c>
      <c r="O131" s="7" t="str">
        <f ca="1">getCodigoBackend(N131,A131,VLOOKUP(N131,setup!$A$8:$H$58,2),VLOOKUP(N131,setup!$A$8:$H$58,3),VLOOKUP(N131,setup!$A$8:$H$58,4),VLOOKUP(N131,setup!$A$8:$H$58,5),VLOOKUP(N131,setup!$A$8:$H$58,6),VLOOKUP(N131,setup!$A$8:$H$58,7), VLOOKUP(0,setup!$A$8:$H$58,2),VLOOKUP(0,setup!$A$8:$H$58,5),VLOOKUP(N131,setup!$A$8:$H$58,8))</f>
        <v>            try {</v>
      </c>
    </row>
    <row r="132" spans="1:15" x14ac:dyDescent="0.25">
      <c r="A132" s="6" t="s">
        <v>57</v>
      </c>
      <c r="O132" s="7" t="str">
        <f ca="1">getCodigoBackend(N132,A132,VLOOKUP(N132,setup!$A$8:$H$58,2),VLOOKUP(N132,setup!$A$8:$H$58,3),VLOOKUP(N132,setup!$A$8:$H$58,4),VLOOKUP(N132,setup!$A$8:$H$58,5),VLOOKUP(N132,setup!$A$8:$H$58,6),VLOOKUP(N132,setup!$A$8:$H$58,7), VLOOKUP(0,setup!$A$8:$H$58,2),VLOOKUP(0,setup!$A$8:$H$58,5),VLOOKUP(N132,setup!$A$8:$H$58,8))</f>
        <v>                $daofactory-&gt;close();</v>
      </c>
    </row>
    <row r="133" spans="1:15" x14ac:dyDescent="0.25">
      <c r="A133" s="6" t="s">
        <v>58</v>
      </c>
      <c r="O133" s="7" t="str">
        <f ca="1">getCodigoBackend(N133,A133,VLOOKUP(N133,setup!$A$8:$H$58,2),VLOOKUP(N133,setup!$A$8:$H$58,3),VLOOKUP(N133,setup!$A$8:$H$58,4),VLOOKUP(N133,setup!$A$8:$H$58,5),VLOOKUP(N133,setup!$A$8:$H$58,6),VLOOKUP(N133,setup!$A$8:$H$58,7), VLOOKUP(0,setup!$A$8:$H$58,2),VLOOKUP(0,setup!$A$8:$H$58,5),VLOOKUP(N133,setup!$A$8:$H$58,8))</f>
        <v>            } catch (Exception $e) {</v>
      </c>
    </row>
    <row r="134" spans="1:15" x14ac:dyDescent="0.25">
      <c r="A134" s="6" t="s">
        <v>59</v>
      </c>
      <c r="O134" s="7" t="str">
        <f ca="1">getCodigoBackend(N134,A134,VLOOKUP(N134,setup!$A$8:$H$58,2),VLOOKUP(N134,setup!$A$8:$H$58,3),VLOOKUP(N134,setup!$A$8:$H$58,4),VLOOKUP(N134,setup!$A$8:$H$58,5),VLOOKUP(N134,setup!$A$8:$H$58,6),VLOOKUP(N134,setup!$A$8:$H$58,7), VLOOKUP(0,setup!$A$8:$H$58,2),VLOOKUP(0,setup!$A$8:$H$58,5),VLOOKUP(N134,setup!$A$8:$H$58,8))</f>
        <v>                // faz algo</v>
      </c>
    </row>
    <row r="135" spans="1:15" x14ac:dyDescent="0.25">
      <c r="A135" s="6" t="s">
        <v>51</v>
      </c>
      <c r="O135" s="7" t="str">
        <f ca="1">getCodigoBackend(N135,A135,VLOOKUP(N135,setup!$A$8:$H$58,2),VLOOKUP(N135,setup!$A$8:$H$58,3),VLOOKUP(N135,setup!$A$8:$H$58,4),VLOOKUP(N135,setup!$A$8:$H$58,5),VLOOKUP(N135,setup!$A$8:$H$58,6),VLOOKUP(N135,setup!$A$8:$H$58,7), VLOOKUP(0,setup!$A$8:$H$58,2),VLOOKUP(0,setup!$A$8:$H$58,5),VLOOKUP(N135,setup!$A$8:$H$58,8))</f>
        <v>            }</v>
      </c>
    </row>
    <row r="136" spans="1:15" x14ac:dyDescent="0.25">
      <c r="A136" s="6" t="s">
        <v>60</v>
      </c>
      <c r="O136" s="7" t="str">
        <f ca="1">getCodigoBackend(N136,A136,VLOOKUP(N136,setup!$A$8:$H$58,2),VLOOKUP(N136,setup!$A$8:$H$58,3),VLOOKUP(N136,setup!$A$8:$H$58,4),VLOOKUP(N136,setup!$A$8:$H$58,5),VLOOKUP(N136,setup!$A$8:$H$58,6),VLOOKUP(N136,setup!$A$8:$H$58,7), VLOOKUP(0,setup!$A$8:$H$58,2),VLOOKUP(0,setup!$A$8:$H$58,5),VLOOKUP(N136,setup!$A$8:$H$58,8))</f>
        <v>        }</v>
      </c>
    </row>
    <row r="137" spans="1:15" x14ac:dyDescent="0.25">
      <c r="A137" s="3"/>
      <c r="O137" s="7" t="str">
        <f ca="1">getCodigoBackend(N137,A137,VLOOKUP(N137,setup!$A$8:$H$58,2),VLOOKUP(N137,setup!$A$8:$H$58,3),VLOOKUP(N137,setup!$A$8:$H$58,4),VLOOKUP(N137,setup!$A$8:$H$58,5),VLOOKUP(N137,setup!$A$8:$H$58,6),VLOOKUP(N137,setup!$A$8:$H$58,7), VLOOKUP(0,setup!$A$8:$H$58,2),VLOOKUP(0,setup!$A$8:$H$58,5),VLOOKUP(N137,setup!$A$8:$H$58,8))</f>
        <v/>
      </c>
    </row>
    <row r="138" spans="1:15" x14ac:dyDescent="0.25">
      <c r="A138" s="6" t="s">
        <v>61</v>
      </c>
      <c r="O138" s="7" t="str">
        <f ca="1">getCodigoBackend(N138,A138,VLOOKUP(N138,setup!$A$8:$H$58,2),VLOOKUP(N138,setup!$A$8:$H$58,3),VLOOKUP(N138,setup!$A$8:$H$58,4),VLOOKUP(N138,setup!$A$8:$H$58,5),VLOOKUP(N138,setup!$A$8:$H$58,6),VLOOKUP(N138,setup!$A$8:$H$58,7), VLOOKUP(0,setup!$A$8:$H$58,2),VLOOKUP(0,setup!$A$8:$H$58,5),VLOOKUP(N138,setup!$A$8:$H$58,8))</f>
        <v>        return $retorno;</v>
      </c>
    </row>
    <row r="139" spans="1:15" x14ac:dyDescent="0.25">
      <c r="A139" s="6" t="s">
        <v>62</v>
      </c>
      <c r="O139" s="7" t="str">
        <f ca="1">getCodigoBackend(N139,A139,VLOOKUP(N139,setup!$A$8:$H$58,2),VLOOKUP(N139,setup!$A$8:$H$58,3),VLOOKUP(N139,setup!$A$8:$H$58,4),VLOOKUP(N139,setup!$A$8:$H$58,5),VLOOKUP(N139,setup!$A$8:$H$58,6),VLOOKUP(N139,setup!$A$8:$H$58,7), VLOOKUP(0,setup!$A$8:$H$58,2),VLOOKUP(0,setup!$A$8:$H$58,5),VLOOKUP(N139,setup!$A$8:$H$58,8))</f>
        <v>    }</v>
      </c>
    </row>
    <row r="140" spans="1:15" x14ac:dyDescent="0.25">
      <c r="A140" s="6"/>
      <c r="O140" s="7" t="str">
        <f ca="1">getCodigoBackend(N140,A140,VLOOKUP(N140,setup!$A$8:$H$58,2),VLOOKUP(N140,setup!$A$8:$H$58,3),VLOOKUP(N140,setup!$A$8:$H$58,4),VLOOKUP(N140,setup!$A$8:$H$58,5),VLOOKUP(N140,setup!$A$8:$H$58,6),VLOOKUP(N140,setup!$A$8:$H$58,7), VLOOKUP(0,setup!$A$8:$H$58,2),VLOOKUP(0,setup!$A$8:$H$58,5),VLOOKUP(N140,setup!$A$8:$H$58,8))</f>
        <v/>
      </c>
    </row>
    <row r="141" spans="1:15" x14ac:dyDescent="0.25">
      <c r="A141" s="6"/>
      <c r="O141" s="7" t="str">
        <f ca="1">getCodigoBackend(N141,A141,VLOOKUP(N141,setup!$A$8:$H$58,2),VLOOKUP(N141,setup!$A$8:$H$58,3),VLOOKUP(N141,setup!$A$8:$H$58,4),VLOOKUP(N141,setup!$A$8:$H$58,5),VLOOKUP(N141,setup!$A$8:$H$58,6),VLOOKUP(N141,setup!$A$8:$H$58,7), VLOOKUP(0,setup!$A$8:$H$58,2),VLOOKUP(0,setup!$A$8:$H$58,5),VLOOKUP(N141,setup!$A$8:$H$58,8))</f>
        <v/>
      </c>
    </row>
    <row r="142" spans="1:15" x14ac:dyDescent="0.25">
      <c r="A142" s="4" t="s">
        <v>19</v>
      </c>
      <c r="O142" s="7" t="str">
        <f ca="1">getCodigoBackend(N142,A142,VLOOKUP(N142,setup!$A$8:$H$58,2),VLOOKUP(N142,setup!$A$8:$H$58,3),VLOOKUP(N142,setup!$A$8:$H$58,4),VLOOKUP(N142,setup!$A$8:$H$58,5),VLOOKUP(N142,setup!$A$8:$H$58,6),VLOOKUP(N142,setup!$A$8:$H$58,7), VLOOKUP(0,setup!$A$8:$H$58,2),VLOOKUP(0,setup!$A$8:$H$58,5),VLOOKUP(N142,setup!$A$8:$H$58,8))</f>
        <v>/**</v>
      </c>
    </row>
    <row r="143" spans="1:15" x14ac:dyDescent="0.25">
      <c r="A143" s="4" t="s">
        <v>20</v>
      </c>
      <c r="O143" s="7" t="str">
        <f ca="1">getCodigoBackend(N143,A143,VLOOKUP(N143,setup!$A$8:$H$58,2),VLOOKUP(N143,setup!$A$8:$H$58,3),VLOOKUP(N143,setup!$A$8:$H$58,4),VLOOKUP(N143,setup!$A$8:$H$58,5),VLOOKUP(N143,setup!$A$8:$H$58,6),VLOOKUP(N143,setup!$A$8:$H$58,7), VLOOKUP(0,setup!$A$8:$H$58,2),VLOOKUP(0,setup!$A$8:$H$58,5),VLOOKUP(N143,setup!$A$8:$H$58,8))</f>
        <v>*</v>
      </c>
    </row>
    <row r="144" spans="1:15" x14ac:dyDescent="0.25">
      <c r="A144" s="4" t="s">
        <v>273</v>
      </c>
      <c r="O144" s="7" t="str">
        <f ca="1">getCodigoBackend(N144,A144,VLOOKUP(N144,setup!$A$8:$H$58,2),VLOOKUP(N144,setup!$A$8:$H$58,3),VLOOKUP(N144,setup!$A$8:$H$58,4),VLOOKUP(N144,setup!$A$8:$H$58,5),VLOOKUP(N144,setup!$A$8:$H$58,6),VLOOKUP(N144,setup!$A$8:$H$58,7), VLOOKUP(0,setup!$A$8:$H$58,2),VLOOKUP(0,setup!$A$8:$H$58,5),VLOOKUP(N144,setup!$A$8:$H$58,8))</f>
        <v>* atualizarStatusCampanhaCashbackResgatePix() - Usado para invocar a classe de negócio CampanhaCashbackResgatePixBusinessImpl de forma geral</v>
      </c>
    </row>
    <row r="145" spans="1:15" x14ac:dyDescent="0.25">
      <c r="A145" s="4" t="s">
        <v>274</v>
      </c>
      <c r="O145" s="7" t="str">
        <f ca="1">getCodigoBackend(N145,A145,VLOOKUP(N145,setup!$A$8:$H$58,2),VLOOKUP(N145,setup!$A$8:$H$58,3),VLOOKUP(N145,setup!$A$8:$H$58,4),VLOOKUP(N145,setup!$A$8:$H$58,5),VLOOKUP(N145,setup!$A$8:$H$58,6),VLOOKUP(N145,setup!$A$8:$H$58,7), VLOOKUP(0,setup!$A$8:$H$58,2),VLOOKUP(0,setup!$A$8:$H$58,5),VLOOKUP(N145,setup!$A$8:$H$58,8))</f>
        <v>* para gerenciar as atualizações do campo STATUS de acordo as regras de negócio do sistema.</v>
      </c>
    </row>
    <row r="146" spans="1:15" x14ac:dyDescent="0.25">
      <c r="A146" s="4" t="s">
        <v>20</v>
      </c>
      <c r="O146" s="7" t="str">
        <f ca="1">getCodigoBackend(N146,A146,VLOOKUP(N146,setup!$A$8:$H$58,2),VLOOKUP(N146,setup!$A$8:$H$58,3),VLOOKUP(N146,setup!$A$8:$H$58,4),VLOOKUP(N146,setup!$A$8:$H$58,5),VLOOKUP(N146,setup!$A$8:$H$58,6),VLOOKUP(N146,setup!$A$8:$H$58,7), VLOOKUP(0,setup!$A$8:$H$58,2),VLOOKUP(0,setup!$A$8:$H$58,5),VLOOKUP(N146,setup!$A$8:$H$58,8))</f>
        <v>*</v>
      </c>
    </row>
    <row r="147" spans="1:15" x14ac:dyDescent="0.25">
      <c r="A147" s="4" t="s">
        <v>276</v>
      </c>
      <c r="O147" s="7" t="str">
        <f ca="1">getCodigoBackend(N147,A147,VLOOKUP(N147,setup!$A$8:$H$58,2),VLOOKUP(N147,setup!$A$8:$H$58,3),VLOOKUP(N147,setup!$A$8:$H$58,4),VLOOKUP(N147,setup!$A$8:$H$58,5),VLOOKUP(N147,setup!$A$8:$H$58,6),VLOOKUP(N147,setup!$A$8:$H$58,7), VLOOKUP(0,setup!$A$8:$H$58,2),VLOOKUP(0,setup!$A$8:$H$58,5),VLOOKUP(N147,setup!$A$8:$H$58,8))</f>
        <v>* @param $id</v>
      </c>
    </row>
    <row r="148" spans="1:15" x14ac:dyDescent="0.25">
      <c r="A148" s="4" t="s">
        <v>275</v>
      </c>
      <c r="O148" s="7" t="str">
        <f ca="1">getCodigoBackend(N148,A148,VLOOKUP(N148,setup!$A$8:$H$58,2),VLOOKUP(N148,setup!$A$8:$H$58,3),VLOOKUP(N148,setup!$A$8:$H$58,4),VLOOKUP(N148,setup!$A$8:$H$58,5),VLOOKUP(N148,setup!$A$8:$H$58,6),VLOOKUP(N148,setup!$A$8:$H$58,7), VLOOKUP(0,setup!$A$8:$H$58,2),VLOOKUP(0,setup!$A$8:$H$58,5),VLOOKUP(N148,setup!$A$8:$H$58,8))</f>
        <v>* @param $status</v>
      </c>
    </row>
    <row r="149" spans="1:15" x14ac:dyDescent="0.25">
      <c r="A149" s="4" t="s">
        <v>277</v>
      </c>
      <c r="O149" s="7" t="str">
        <f ca="1">getCodigoBackend(N149,A149,VLOOKUP(N149,setup!$A$8:$H$58,2),VLOOKUP(N149,setup!$A$8:$H$58,3),VLOOKUP(N149,setup!$A$8:$H$58,4),VLOOKUP(N149,setup!$A$8:$H$58,5),VLOOKUP(N149,setup!$A$8:$H$58,6),VLOOKUP(N149,setup!$A$8:$H$58,7), VLOOKUP(0,setup!$A$8:$H$58,2),VLOOKUP(0,setup!$A$8:$H$58,5),VLOOKUP(N149,setup!$A$8:$H$58,8))</f>
        <v>* @return uma instância de CampanhaCashbackResgatePixDTO com resultdo da operação</v>
      </c>
    </row>
    <row r="150" spans="1:15" x14ac:dyDescent="0.25">
      <c r="A150" s="4" t="s">
        <v>20</v>
      </c>
      <c r="O150" s="7" t="str">
        <f ca="1">getCodigoBackend(N150,A150,VLOOKUP(N150,setup!$A$8:$H$58,2),VLOOKUP(N150,setup!$A$8:$H$58,3),VLOOKUP(N150,setup!$A$8:$H$58,4),VLOOKUP(N150,setup!$A$8:$H$58,5),VLOOKUP(N150,setup!$A$8:$H$58,6),VLOOKUP(N150,setup!$A$8:$H$58,7), VLOOKUP(0,setup!$A$8:$H$58,2),VLOOKUP(0,setup!$A$8:$H$58,5),VLOOKUP(N150,setup!$A$8:$H$58,8))</f>
        <v>*</v>
      </c>
    </row>
    <row r="151" spans="1:15" x14ac:dyDescent="0.25">
      <c r="A151" s="4" t="s">
        <v>21</v>
      </c>
      <c r="O151" s="7" t="str">
        <f ca="1">getCodigoBackend(N151,A151,VLOOKUP(N151,setup!$A$8:$H$58,2),VLOOKUP(N151,setup!$A$8:$H$58,3),VLOOKUP(N151,setup!$A$8:$H$58,4),VLOOKUP(N151,setup!$A$8:$H$58,5),VLOOKUP(N151,setup!$A$8:$H$58,6),VLOOKUP(N151,setup!$A$8:$H$58,7), VLOOKUP(0,setup!$A$8:$H$58,2),VLOOKUP(0,setup!$A$8:$H$58,5),VLOOKUP(N151,setup!$A$8:$H$58,8))</f>
        <v>*/</v>
      </c>
    </row>
    <row r="152" spans="1:15" x14ac:dyDescent="0.25">
      <c r="A152" s="6"/>
      <c r="O152" s="7" t="str">
        <f ca="1">getCodigoBackend(N152,A152,VLOOKUP(N152,setup!$A$8:$H$58,2),VLOOKUP(N152,setup!$A$8:$H$58,3),VLOOKUP(N152,setup!$A$8:$H$58,4),VLOOKUP(N152,setup!$A$8:$H$58,5),VLOOKUP(N152,setup!$A$8:$H$58,6),VLOOKUP(N152,setup!$A$8:$H$58,7), VLOOKUP(0,setup!$A$8:$H$58,2),VLOOKUP(0,setup!$A$8:$H$58,5),VLOOKUP(N152,setup!$A$8:$H$58,8))</f>
        <v/>
      </c>
    </row>
    <row r="153" spans="1:15" x14ac:dyDescent="0.25">
      <c r="A153" s="6"/>
      <c r="O153" s="7" t="str">
        <f ca="1">getCodigoBackend(N153,A153,VLOOKUP(N153,setup!$A$8:$H$58,2),VLOOKUP(N153,setup!$A$8:$H$58,3),VLOOKUP(N153,setup!$A$8:$H$58,4),VLOOKUP(N153,setup!$A$8:$H$58,5),VLOOKUP(N153,setup!$A$8:$H$58,6),VLOOKUP(N153,setup!$A$8:$H$58,7), VLOOKUP(0,setup!$A$8:$H$58,2),VLOOKUP(0,setup!$A$8:$H$58,5),VLOOKUP(N153,setup!$A$8:$H$58,8))</f>
        <v/>
      </c>
    </row>
    <row r="154" spans="1:15" x14ac:dyDescent="0.25">
      <c r="A154" s="6" t="s">
        <v>264</v>
      </c>
      <c r="O154" s="7" t="str">
        <f ca="1">getCodigoBackend(N154,A154,VLOOKUP(N154,setup!$A$8:$H$58,2),VLOOKUP(N154,setup!$A$8:$H$58,3),VLOOKUP(N154,setup!$A$8:$H$58,4),VLOOKUP(N154,setup!$A$8:$H$58,5),VLOOKUP(N154,setup!$A$8:$H$58,6),VLOOKUP(N154,setup!$A$8:$H$58,7), VLOOKUP(0,setup!$A$8:$H$58,2),VLOOKUP(0,setup!$A$8:$H$58,5),VLOOKUP(N154,setup!$A$8:$H$58,8))</f>
        <v>    public function autalizarStatusCampanhaCashbackResgatePix($id, $status)</v>
      </c>
    </row>
    <row r="155" spans="1:15" x14ac:dyDescent="0.25">
      <c r="A155" s="6" t="s">
        <v>38</v>
      </c>
      <c r="O155" s="7" t="str">
        <f ca="1">getCodigoBackend(N155,A155,VLOOKUP(N155,setup!$A$8:$H$58,2),VLOOKUP(N155,setup!$A$8:$H$58,3),VLOOKUP(N155,setup!$A$8:$H$58,4),VLOOKUP(N155,setup!$A$8:$H$58,5),VLOOKUP(N155,setup!$A$8:$H$58,6),VLOOKUP(N155,setup!$A$8:$H$58,7), VLOOKUP(0,setup!$A$8:$H$58,2),VLOOKUP(0,setup!$A$8:$H$58,5),VLOOKUP(N155,setup!$A$8:$H$58,8))</f>
        <v>    {</v>
      </c>
    </row>
    <row r="156" spans="1:15" x14ac:dyDescent="0.25">
      <c r="A156" s="6" t="s">
        <v>39</v>
      </c>
      <c r="O156" s="7" t="str">
        <f ca="1">getCodigoBackend(N156,A156,VLOOKUP(N156,setup!$A$8:$H$58,2),VLOOKUP(N156,setup!$A$8:$H$58,3),VLOOKUP(N156,setup!$A$8:$H$58,4),VLOOKUP(N156,setup!$A$8:$H$58,5),VLOOKUP(N156,setup!$A$8:$H$58,6),VLOOKUP(N156,setup!$A$8:$H$58,7), VLOOKUP(0,setup!$A$8:$H$58,2),VLOOKUP(0,setup!$A$8:$H$58,5),VLOOKUP(N156,setup!$A$8:$H$58,8))</f>
        <v>        $daofactory = NULL;</v>
      </c>
    </row>
    <row r="157" spans="1:15" x14ac:dyDescent="0.25">
      <c r="A157" s="6" t="s">
        <v>40</v>
      </c>
      <c r="O157" s="7" t="str">
        <f ca="1">getCodigoBackend(N157,A157,VLOOKUP(N157,setup!$A$8:$H$58,2),VLOOKUP(N157,setup!$A$8:$H$58,3),VLOOKUP(N157,setup!$A$8:$H$58,4),VLOOKUP(N157,setup!$A$8:$H$58,5),VLOOKUP(N157,setup!$A$8:$H$58,6),VLOOKUP(N157,setup!$A$8:$H$58,7), VLOOKUP(0,setup!$A$8:$H$58,2),VLOOKUP(0,setup!$A$8:$H$58,5),VLOOKUP(N157,setup!$A$8:$H$58,8))</f>
        <v>        $retorno = NULL;</v>
      </c>
    </row>
    <row r="158" spans="1:15" x14ac:dyDescent="0.25">
      <c r="A158" s="6" t="s">
        <v>41</v>
      </c>
      <c r="O158" s="7" t="str">
        <f ca="1">getCodigoBackend(N158,A158,VLOOKUP(N158,setup!$A$8:$H$58,2),VLOOKUP(N158,setup!$A$8:$H$58,3),VLOOKUP(N158,setup!$A$8:$H$58,4),VLOOKUP(N158,setup!$A$8:$H$58,5),VLOOKUP(N158,setup!$A$8:$H$58,6),VLOOKUP(N158,setup!$A$8:$H$58,7), VLOOKUP(0,setup!$A$8:$H$58,2),VLOOKUP(0,setup!$A$8:$H$58,5),VLOOKUP(N158,setup!$A$8:$H$58,8))</f>
        <v>        try {</v>
      </c>
    </row>
    <row r="159" spans="1:15" x14ac:dyDescent="0.25">
      <c r="A159" s="6" t="s">
        <v>42</v>
      </c>
      <c r="O159" s="7" t="str">
        <f ca="1">getCodigoBackend(N159,A159,VLOOKUP(N159,setup!$A$8:$H$58,2),VLOOKUP(N159,setup!$A$8:$H$58,3),VLOOKUP(N159,setup!$A$8:$H$58,4),VLOOKUP(N159,setup!$A$8:$H$58,5),VLOOKUP(N159,setup!$A$8:$H$58,6),VLOOKUP(N159,setup!$A$8:$H$58,7), VLOOKUP(0,setup!$A$8:$H$58,2),VLOOKUP(0,setup!$A$8:$H$58,5),VLOOKUP(N159,setup!$A$8:$H$58,8))</f>
        <v>            $daofactory = DAOFactory::getDAOFactory();</v>
      </c>
    </row>
    <row r="160" spans="1:15" x14ac:dyDescent="0.25">
      <c r="A160" s="6" t="s">
        <v>43</v>
      </c>
      <c r="O160" s="7" t="str">
        <f ca="1">getCodigoBackend(N160,A160,VLOOKUP(N160,setup!$A$8:$H$58,2),VLOOKUP(N160,setup!$A$8:$H$58,3),VLOOKUP(N160,setup!$A$8:$H$58,4),VLOOKUP(N160,setup!$A$8:$H$58,5),VLOOKUP(N160,setup!$A$8:$H$58,6),VLOOKUP(N160,setup!$A$8:$H$58,7), VLOOKUP(0,setup!$A$8:$H$58,2),VLOOKUP(0,setup!$A$8:$H$58,5),VLOOKUP(N160,setup!$A$8:$H$58,8))</f>
        <v>            $daofactory-&gt;open();</v>
      </c>
    </row>
    <row r="161" spans="1:15" x14ac:dyDescent="0.25">
      <c r="A161" s="6" t="s">
        <v>44</v>
      </c>
      <c r="O161" s="7" t="str">
        <f ca="1">getCodigoBackend(N161,A161,VLOOKUP(N161,setup!$A$8:$H$58,2),VLOOKUP(N161,setup!$A$8:$H$58,3),VLOOKUP(N161,setup!$A$8:$H$58,4),VLOOKUP(N161,setup!$A$8:$H$58,5),VLOOKUP(N161,setup!$A$8:$H$58,6),VLOOKUP(N161,setup!$A$8:$H$58,7), VLOOKUP(0,setup!$A$8:$H$58,2),VLOOKUP(0,setup!$A$8:$H$58,5),VLOOKUP(N161,setup!$A$8:$H$58,8))</f>
        <v>            $daofactory-&gt;beginTransaction();</v>
      </c>
    </row>
    <row r="162" spans="1:15" x14ac:dyDescent="0.25">
      <c r="A162" s="6" t="s">
        <v>45</v>
      </c>
      <c r="O162" s="7" t="str">
        <f ca="1">getCodigoBackend(N162,A162,VLOOKUP(N162,setup!$A$8:$H$58,2),VLOOKUP(N162,setup!$A$8:$H$58,3),VLOOKUP(N162,setup!$A$8:$H$58,4),VLOOKUP(N162,setup!$A$8:$H$58,5),VLOOKUP(N162,setup!$A$8:$H$58,6),VLOOKUP(N162,setup!$A$8:$H$58,7), VLOOKUP(0,setup!$A$8:$H$58,2),VLOOKUP(0,setup!$A$8:$H$58,5),VLOOKUP(N162,setup!$A$8:$H$58,8))</f>
        <v>            </v>
      </c>
    </row>
    <row r="163" spans="1:15" x14ac:dyDescent="0.25">
      <c r="A163" s="6"/>
      <c r="O163" s="7" t="str">
        <f ca="1">getCodigoBackend(N163,A163,VLOOKUP(N163,setup!$A$8:$H$58,2),VLOOKUP(N163,setup!$A$8:$H$58,3),VLOOKUP(N163,setup!$A$8:$H$58,4),VLOOKUP(N163,setup!$A$8:$H$58,5),VLOOKUP(N163,setup!$A$8:$H$58,6),VLOOKUP(N163,setup!$A$8:$H$58,7), VLOOKUP(0,setup!$A$8:$H$58,2),VLOOKUP(0,setup!$A$8:$H$58,5),VLOOKUP(N163,setup!$A$8:$H$58,8))</f>
        <v/>
      </c>
    </row>
    <row r="164" spans="1:15" x14ac:dyDescent="0.25">
      <c r="A164" s="6" t="s">
        <v>265</v>
      </c>
      <c r="O164" s="7" t="str">
        <f ca="1">getCodigoBackend(N164,A164,VLOOKUP(N164,setup!$A$8:$H$58,2),VLOOKUP(N164,setup!$A$8:$H$58,3),VLOOKUP(N164,setup!$A$8:$H$58,4),VLOOKUP(N164,setup!$A$8:$H$58,5),VLOOKUP(N164,setup!$A$8:$H$58,6),VLOOKUP(N164,setup!$A$8:$H$58,7), VLOOKUP(0,setup!$A$8:$H$58,2),VLOOKUP(0,setup!$A$8:$H$58,5),VLOOKUP(N164,setup!$A$8:$H$58,8))</f>
        <v>           $bo = new CampanhaCashbackResgatePixBusinessImpl();</v>
      </c>
    </row>
    <row r="165" spans="1:15" x14ac:dyDescent="0.25">
      <c r="A165" s="6" t="s">
        <v>266</v>
      </c>
      <c r="O165" s="7" t="str">
        <f ca="1">getCodigoBackend(N165,A165,VLOOKUP(N165,setup!$A$8:$H$58,2),VLOOKUP(N165,setup!$A$8:$H$58,3),VLOOKUP(N165,setup!$A$8:$H$58,4),VLOOKUP(N165,setup!$A$8:$H$58,5),VLOOKUP(N165,setup!$A$8:$H$58,6),VLOOKUP(N165,setup!$A$8:$H$58,7), VLOOKUP(0,setup!$A$8:$H$58,2),VLOOKUP(0,setup!$A$8:$H$58,5),VLOOKUP(N165,setup!$A$8:$H$58,8))</f>
        <v>           $retorno = $bo-&gt;atualizarStatus($daofactory, $id, $status);</v>
      </c>
    </row>
    <row r="166" spans="1:15" x14ac:dyDescent="0.25">
      <c r="A166" s="3"/>
      <c r="O166" s="7" t="str">
        <f ca="1">getCodigoBackend(N166,A166,VLOOKUP(N166,setup!$A$8:$H$58,2),VLOOKUP(N166,setup!$A$8:$H$58,3),VLOOKUP(N166,setup!$A$8:$H$58,4),VLOOKUP(N166,setup!$A$8:$H$58,5),VLOOKUP(N166,setup!$A$8:$H$58,6),VLOOKUP(N166,setup!$A$8:$H$58,7), VLOOKUP(0,setup!$A$8:$H$58,2),VLOOKUP(0,setup!$A$8:$H$58,5),VLOOKUP(N166,setup!$A$8:$H$58,8))</f>
        <v/>
      </c>
    </row>
    <row r="167" spans="1:15" x14ac:dyDescent="0.25">
      <c r="A167" s="6" t="s">
        <v>68</v>
      </c>
      <c r="O167" s="7" t="str">
        <f ca="1">getCodigoBackend(N167,A167,VLOOKUP(N167,setup!$A$8:$H$58,2),VLOOKUP(N167,setup!$A$8:$H$58,3),VLOOKUP(N167,setup!$A$8:$H$58,4),VLOOKUP(N167,setup!$A$8:$H$58,5),VLOOKUP(N167,setup!$A$8:$H$58,6),VLOOKUP(N167,setup!$A$8:$H$58,7), VLOOKUP(0,setup!$A$8:$H$58,2),VLOOKUP(0,setup!$A$8:$H$58,5),VLOOKUP(N167,setup!$A$8:$H$58,8))</f>
        <v>           if ($retorno-&gt;msgcode == ConstantesMensagem::COMANDO_REALIZADO_COM_SUCESSO){</v>
      </c>
    </row>
    <row r="168" spans="1:15" x14ac:dyDescent="0.25">
      <c r="A168" s="6" t="s">
        <v>48</v>
      </c>
      <c r="O168" s="7" t="str">
        <f ca="1">getCodigoBackend(N168,A168,VLOOKUP(N168,setup!$A$8:$H$58,2),VLOOKUP(N168,setup!$A$8:$H$58,3),VLOOKUP(N168,setup!$A$8:$H$58,4),VLOOKUP(N168,setup!$A$8:$H$58,5),VLOOKUP(N168,setup!$A$8:$H$58,6),VLOOKUP(N168,setup!$A$8:$H$58,7), VLOOKUP(0,setup!$A$8:$H$58,2),VLOOKUP(0,setup!$A$8:$H$58,5),VLOOKUP(N168,setup!$A$8:$H$58,8))</f>
        <v>                $daofactory-&gt;commit();</v>
      </c>
    </row>
    <row r="169" spans="1:15" x14ac:dyDescent="0.25">
      <c r="A169" s="6" t="s">
        <v>49</v>
      </c>
      <c r="O169" s="7" t="str">
        <f ca="1">getCodigoBackend(N169,A169,VLOOKUP(N169,setup!$A$8:$H$58,2),VLOOKUP(N169,setup!$A$8:$H$58,3),VLOOKUP(N169,setup!$A$8:$H$58,4),VLOOKUP(N169,setup!$A$8:$H$58,5),VLOOKUP(N169,setup!$A$8:$H$58,6),VLOOKUP(N169,setup!$A$8:$H$58,7), VLOOKUP(0,setup!$A$8:$H$58,2),VLOOKUP(0,setup!$A$8:$H$58,5),VLOOKUP(N169,setup!$A$8:$H$58,8))</f>
        <v>            } else {</v>
      </c>
    </row>
    <row r="170" spans="1:15" x14ac:dyDescent="0.25">
      <c r="A170" s="6" t="s">
        <v>50</v>
      </c>
      <c r="O170" s="7" t="str">
        <f ca="1">getCodigoBackend(N170,A170,VLOOKUP(N170,setup!$A$8:$H$58,2),VLOOKUP(N170,setup!$A$8:$H$58,3),VLOOKUP(N170,setup!$A$8:$H$58,4),VLOOKUP(N170,setup!$A$8:$H$58,5),VLOOKUP(N170,setup!$A$8:$H$58,6),VLOOKUP(N170,setup!$A$8:$H$58,7), VLOOKUP(0,setup!$A$8:$H$58,2),VLOOKUP(0,setup!$A$8:$H$58,5),VLOOKUP(N170,setup!$A$8:$H$58,8))</f>
        <v>                $daofactory-&gt;rollback();</v>
      </c>
    </row>
    <row r="171" spans="1:15" x14ac:dyDescent="0.25">
      <c r="A171" s="6" t="s">
        <v>51</v>
      </c>
      <c r="O171" s="7" t="str">
        <f ca="1">getCodigoBackend(N171,A171,VLOOKUP(N171,setup!$A$8:$H$58,2),VLOOKUP(N171,setup!$A$8:$H$58,3),VLOOKUP(N171,setup!$A$8:$H$58,4),VLOOKUP(N171,setup!$A$8:$H$58,5),VLOOKUP(N171,setup!$A$8:$H$58,6),VLOOKUP(N171,setup!$A$8:$H$58,7), VLOOKUP(0,setup!$A$8:$H$58,2),VLOOKUP(0,setup!$A$8:$H$58,5),VLOOKUP(N171,setup!$A$8:$H$58,8))</f>
        <v>            }</v>
      </c>
    </row>
    <row r="172" spans="1:15" x14ac:dyDescent="0.25">
      <c r="A172" s="6" t="s">
        <v>45</v>
      </c>
      <c r="O172" s="7" t="str">
        <f ca="1">getCodigoBackend(N172,A172,VLOOKUP(N172,setup!$A$8:$H$58,2),VLOOKUP(N172,setup!$A$8:$H$58,3),VLOOKUP(N172,setup!$A$8:$H$58,4),VLOOKUP(N172,setup!$A$8:$H$58,5),VLOOKUP(N172,setup!$A$8:$H$58,6),VLOOKUP(N172,setup!$A$8:$H$58,7), VLOOKUP(0,setup!$A$8:$H$58,2),VLOOKUP(0,setup!$A$8:$H$58,5),VLOOKUP(N172,setup!$A$8:$H$58,8))</f>
        <v>            </v>
      </c>
    </row>
    <row r="173" spans="1:15" x14ac:dyDescent="0.25">
      <c r="A173" s="6" t="s">
        <v>52</v>
      </c>
      <c r="O173" s="7" t="str">
        <f ca="1">getCodigoBackend(N173,A173,VLOOKUP(N173,setup!$A$8:$H$58,2),VLOOKUP(N173,setup!$A$8:$H$58,3),VLOOKUP(N173,setup!$A$8:$H$58,4),VLOOKUP(N173,setup!$A$8:$H$58,5),VLOOKUP(N173,setup!$A$8:$H$58,6),VLOOKUP(N173,setup!$A$8:$H$58,7), VLOOKUP(0,setup!$A$8:$H$58,2),VLOOKUP(0,setup!$A$8:$H$58,5),VLOOKUP(N173,setup!$A$8:$H$58,8))</f>
        <v>        } catch (Exception $e) {</v>
      </c>
    </row>
    <row r="174" spans="1:15" x14ac:dyDescent="0.25">
      <c r="A174" s="6" t="s">
        <v>53</v>
      </c>
      <c r="O174" s="7" t="str">
        <f ca="1">getCodigoBackend(N174,A174,VLOOKUP(N174,setup!$A$8:$H$58,2),VLOOKUP(N174,setup!$A$8:$H$58,3),VLOOKUP(N174,setup!$A$8:$H$58,4),VLOOKUP(N174,setup!$A$8:$H$58,5),VLOOKUP(N174,setup!$A$8:$H$58,6),VLOOKUP(N174,setup!$A$8:$H$58,7), VLOOKUP(0,setup!$A$8:$H$58,2),VLOOKUP(0,setup!$A$8:$H$58,5),VLOOKUP(N174,setup!$A$8:$H$58,8))</f>
        <v>            // rollback na transação</v>
      </c>
    </row>
    <row r="175" spans="1:15" x14ac:dyDescent="0.25">
      <c r="A175" s="6" t="s">
        <v>54</v>
      </c>
      <c r="O175" s="7" t="str">
        <f ca="1">getCodigoBackend(N175,A175,VLOOKUP(N175,setup!$A$8:$H$58,2),VLOOKUP(N175,setup!$A$8:$H$58,3),VLOOKUP(N175,setup!$A$8:$H$58,4),VLOOKUP(N175,setup!$A$8:$H$58,5),VLOOKUP(N175,setup!$A$8:$H$58,6),VLOOKUP(N175,setup!$A$8:$H$58,7), VLOOKUP(0,setup!$A$8:$H$58,2),VLOOKUP(0,setup!$A$8:$H$58,5),VLOOKUP(N175,setup!$A$8:$H$58,8))</f>
        <v>            $daofactory-&gt;rollback();</v>
      </c>
    </row>
    <row r="176" spans="1:15" x14ac:dyDescent="0.25">
      <c r="O176" s="7" t="str">
        <f ca="1">getCodigoBackend(N176,A176,VLOOKUP(N176,setup!$A$8:$H$58,2),VLOOKUP(N176,setup!$A$8:$H$58,3),VLOOKUP(N176,setup!$A$8:$H$58,4),VLOOKUP(N176,setup!$A$8:$H$58,5),VLOOKUP(N176,setup!$A$8:$H$58,6),VLOOKUP(N176,setup!$A$8:$H$58,7), VLOOKUP(0,setup!$A$8:$H$58,2),VLOOKUP(0,setup!$A$8:$H$58,5),VLOOKUP(N176,setup!$A$8:$H$58,8))</f>
        <v/>
      </c>
    </row>
    <row r="177" spans="1:15" x14ac:dyDescent="0.25">
      <c r="A177" s="6" t="s">
        <v>55</v>
      </c>
      <c r="O177" s="7" t="str">
        <f ca="1">getCodigoBackend(N177,A177,VLOOKUP(N177,setup!$A$8:$H$58,2),VLOOKUP(N177,setup!$A$8:$H$58,3),VLOOKUP(N177,setup!$A$8:$H$58,4),VLOOKUP(N177,setup!$A$8:$H$58,5),VLOOKUP(N177,setup!$A$8:$H$58,6),VLOOKUP(N177,setup!$A$8:$H$58,7), VLOOKUP(0,setup!$A$8:$H$58,2),VLOOKUP(0,setup!$A$8:$H$58,5),VLOOKUP(N177,setup!$A$8:$H$58,8))</f>
        <v>        } finally {</v>
      </c>
    </row>
    <row r="178" spans="1:15" x14ac:dyDescent="0.25">
      <c r="A178" s="6" t="s">
        <v>56</v>
      </c>
      <c r="O178" s="7" t="str">
        <f ca="1">getCodigoBackend(N178,A178,VLOOKUP(N178,setup!$A$8:$H$58,2),VLOOKUP(N178,setup!$A$8:$H$58,3),VLOOKUP(N178,setup!$A$8:$H$58,4),VLOOKUP(N178,setup!$A$8:$H$58,5),VLOOKUP(N178,setup!$A$8:$H$58,6),VLOOKUP(N178,setup!$A$8:$H$58,7), VLOOKUP(0,setup!$A$8:$H$58,2),VLOOKUP(0,setup!$A$8:$H$58,5),VLOOKUP(N178,setup!$A$8:$H$58,8))</f>
        <v>            try {</v>
      </c>
    </row>
    <row r="179" spans="1:15" x14ac:dyDescent="0.25">
      <c r="A179" s="6" t="s">
        <v>57</v>
      </c>
      <c r="O179" s="7" t="str">
        <f ca="1">getCodigoBackend(N179,A179,VLOOKUP(N179,setup!$A$8:$H$58,2),VLOOKUP(N179,setup!$A$8:$H$58,3),VLOOKUP(N179,setup!$A$8:$H$58,4),VLOOKUP(N179,setup!$A$8:$H$58,5),VLOOKUP(N179,setup!$A$8:$H$58,6),VLOOKUP(N179,setup!$A$8:$H$58,7), VLOOKUP(0,setup!$A$8:$H$58,2),VLOOKUP(0,setup!$A$8:$H$58,5),VLOOKUP(N179,setup!$A$8:$H$58,8))</f>
        <v>                $daofactory-&gt;close();</v>
      </c>
    </row>
    <row r="180" spans="1:15" x14ac:dyDescent="0.25">
      <c r="A180" s="6" t="s">
        <v>58</v>
      </c>
      <c r="O180" s="7" t="str">
        <f ca="1">getCodigoBackend(N180,A180,VLOOKUP(N180,setup!$A$8:$H$58,2),VLOOKUP(N180,setup!$A$8:$H$58,3),VLOOKUP(N180,setup!$A$8:$H$58,4),VLOOKUP(N180,setup!$A$8:$H$58,5),VLOOKUP(N180,setup!$A$8:$H$58,6),VLOOKUP(N180,setup!$A$8:$H$58,7), VLOOKUP(0,setup!$A$8:$H$58,2),VLOOKUP(0,setup!$A$8:$H$58,5),VLOOKUP(N180,setup!$A$8:$H$58,8))</f>
        <v>            } catch (Exception $e) {</v>
      </c>
    </row>
    <row r="181" spans="1:15" x14ac:dyDescent="0.25">
      <c r="A181" s="6" t="s">
        <v>59</v>
      </c>
      <c r="O181" s="7" t="str">
        <f ca="1">getCodigoBackend(N181,A181,VLOOKUP(N181,setup!$A$8:$H$58,2),VLOOKUP(N181,setup!$A$8:$H$58,3),VLOOKUP(N181,setup!$A$8:$H$58,4),VLOOKUP(N181,setup!$A$8:$H$58,5),VLOOKUP(N181,setup!$A$8:$H$58,6),VLOOKUP(N181,setup!$A$8:$H$58,7), VLOOKUP(0,setup!$A$8:$H$58,2),VLOOKUP(0,setup!$A$8:$H$58,5),VLOOKUP(N181,setup!$A$8:$H$58,8))</f>
        <v>                // faz algo</v>
      </c>
    </row>
    <row r="182" spans="1:15" x14ac:dyDescent="0.25">
      <c r="A182" s="6" t="s">
        <v>51</v>
      </c>
      <c r="O182" s="7" t="str">
        <f ca="1">getCodigoBackend(N182,A182,VLOOKUP(N182,setup!$A$8:$H$58,2),VLOOKUP(N182,setup!$A$8:$H$58,3),VLOOKUP(N182,setup!$A$8:$H$58,4),VLOOKUP(N182,setup!$A$8:$H$58,5),VLOOKUP(N182,setup!$A$8:$H$58,6),VLOOKUP(N182,setup!$A$8:$H$58,7), VLOOKUP(0,setup!$A$8:$H$58,2),VLOOKUP(0,setup!$A$8:$H$58,5),VLOOKUP(N182,setup!$A$8:$H$58,8))</f>
        <v>            }</v>
      </c>
    </row>
    <row r="183" spans="1:15" x14ac:dyDescent="0.25">
      <c r="A183" s="6" t="s">
        <v>60</v>
      </c>
      <c r="O183" s="7" t="str">
        <f ca="1">getCodigoBackend(N183,A183,VLOOKUP(N183,setup!$A$8:$H$58,2),VLOOKUP(N183,setup!$A$8:$H$58,3),VLOOKUP(N183,setup!$A$8:$H$58,4),VLOOKUP(N183,setup!$A$8:$H$58,5),VLOOKUP(N183,setup!$A$8:$H$58,6),VLOOKUP(N183,setup!$A$8:$H$58,7), VLOOKUP(0,setup!$A$8:$H$58,2),VLOOKUP(0,setup!$A$8:$H$58,5),VLOOKUP(N183,setup!$A$8:$H$58,8))</f>
        <v>        }</v>
      </c>
    </row>
    <row r="184" spans="1:15" x14ac:dyDescent="0.25">
      <c r="O184" s="7" t="str">
        <f ca="1">getCodigoBackend(N184,A184,VLOOKUP(N184,setup!$A$8:$H$58,2),VLOOKUP(N184,setup!$A$8:$H$58,3),VLOOKUP(N184,setup!$A$8:$H$58,4),VLOOKUP(N184,setup!$A$8:$H$58,5),VLOOKUP(N184,setup!$A$8:$H$58,6),VLOOKUP(N184,setup!$A$8:$H$58,7), VLOOKUP(0,setup!$A$8:$H$58,2),VLOOKUP(0,setup!$A$8:$H$58,5),VLOOKUP(N184,setup!$A$8:$H$58,8))</f>
        <v/>
      </c>
    </row>
    <row r="185" spans="1:15" x14ac:dyDescent="0.25">
      <c r="A185" s="6" t="s">
        <v>61</v>
      </c>
      <c r="O185" s="7" t="str">
        <f ca="1">getCodigoBackend(N185,A185,VLOOKUP(N185,setup!$A$8:$H$58,2),VLOOKUP(N185,setup!$A$8:$H$58,3),VLOOKUP(N185,setup!$A$8:$H$58,4),VLOOKUP(N185,setup!$A$8:$H$58,5),VLOOKUP(N185,setup!$A$8:$H$58,6),VLOOKUP(N185,setup!$A$8:$H$58,7), VLOOKUP(0,setup!$A$8:$H$58,2),VLOOKUP(0,setup!$A$8:$H$58,5),VLOOKUP(N185,setup!$A$8:$H$58,8))</f>
        <v>        return $retorno;</v>
      </c>
    </row>
    <row r="186" spans="1:15" x14ac:dyDescent="0.25">
      <c r="A186" s="6" t="s">
        <v>62</v>
      </c>
      <c r="O186" s="7" t="str">
        <f ca="1">getCodigoBackend(N186,A186,VLOOKUP(N186,setup!$A$8:$H$58,2),VLOOKUP(N186,setup!$A$8:$H$58,3),VLOOKUP(N186,setup!$A$8:$H$58,4),VLOOKUP(N186,setup!$A$8:$H$58,5),VLOOKUP(N186,setup!$A$8:$H$58,6),VLOOKUP(N186,setup!$A$8:$H$58,7), VLOOKUP(0,setup!$A$8:$H$58,2),VLOOKUP(0,setup!$A$8:$H$58,5),VLOOKUP(N186,setup!$A$8:$H$58,8))</f>
        <v>    }</v>
      </c>
    </row>
    <row r="187" spans="1:15" x14ac:dyDescent="0.25">
      <c r="A187" s="6"/>
      <c r="O187" s="7" t="str">
        <f ca="1">getCodigoBackend(N187,A187,VLOOKUP(N187,setup!$A$8:$H$58,2),VLOOKUP(N187,setup!$A$8:$H$58,3),VLOOKUP(N187,setup!$A$8:$H$58,4),VLOOKUP(N187,setup!$A$8:$H$58,5),VLOOKUP(N187,setup!$A$8:$H$58,6),VLOOKUP(N187,setup!$A$8:$H$58,7), VLOOKUP(0,setup!$A$8:$H$58,2),VLOOKUP(0,setup!$A$8:$H$58,5),VLOOKUP(N187,setup!$A$8:$H$58,8))</f>
        <v/>
      </c>
    </row>
    <row r="188" spans="1:15" x14ac:dyDescent="0.25">
      <c r="A188" s="6"/>
      <c r="O188" s="7" t="str">
        <f ca="1">getCodigoBackend(N188,A188,VLOOKUP(N188,setup!$A$8:$H$58,2),VLOOKUP(N188,setup!$A$8:$H$58,3),VLOOKUP(N188,setup!$A$8:$H$58,4),VLOOKUP(N188,setup!$A$8:$H$58,5),VLOOKUP(N188,setup!$A$8:$H$58,6),VLOOKUP(N188,setup!$A$8:$H$58,7), VLOOKUP(0,setup!$A$8:$H$58,2),VLOOKUP(0,setup!$A$8:$H$58,5),VLOOKUP(N188,setup!$A$8:$H$58,8))</f>
        <v/>
      </c>
    </row>
    <row r="189" spans="1:15" x14ac:dyDescent="0.25">
      <c r="A189" s="4" t="s">
        <v>19</v>
      </c>
      <c r="O189" s="7" t="str">
        <f ca="1">getCodigoBackend(N189,A189,VLOOKUP(N189,setup!$A$8:$H$58,2),VLOOKUP(N189,setup!$A$8:$H$58,3),VLOOKUP(N189,setup!$A$8:$H$58,4),VLOOKUP(N189,setup!$A$8:$H$58,5),VLOOKUP(N189,setup!$A$8:$H$58,6),VLOOKUP(N189,setup!$A$8:$H$58,7), VLOOKUP(0,setup!$A$8:$H$58,2),VLOOKUP(0,setup!$A$8:$H$58,5),VLOOKUP(N189,setup!$A$8:$H$58,8))</f>
        <v>/**</v>
      </c>
    </row>
    <row r="190" spans="1:15" x14ac:dyDescent="0.25">
      <c r="A190" s="4" t="s">
        <v>20</v>
      </c>
      <c r="O190" s="7" t="str">
        <f ca="1">getCodigoBackend(N190,A190,VLOOKUP(N190,setup!$A$8:$H$58,2),VLOOKUP(N190,setup!$A$8:$H$58,3),VLOOKUP(N190,setup!$A$8:$H$58,4),VLOOKUP(N190,setup!$A$8:$H$58,5),VLOOKUP(N190,setup!$A$8:$H$58,6),VLOOKUP(N190,setup!$A$8:$H$58,7), VLOOKUP(0,setup!$A$8:$H$58,2),VLOOKUP(0,setup!$A$8:$H$58,5),VLOOKUP(N190,setup!$A$8:$H$58,8))</f>
        <v>*</v>
      </c>
    </row>
    <row r="191" spans="1:15" x14ac:dyDescent="0.25">
      <c r="A191" s="4" t="s">
        <v>278</v>
      </c>
      <c r="O191" s="7" t="str">
        <f ca="1">getCodigoBackend(N191,A191,VLOOKUP(N191,setup!$A$8:$H$58,2),VLOOKUP(N191,setup!$A$8:$H$58,3),VLOOKUP(N191,setup!$A$8:$H$58,4),VLOOKUP(N191,setup!$A$8:$H$58,5),VLOOKUP(N191,setup!$A$8:$H$58,6),VLOOKUP(N191,setup!$A$8:$H$58,7), VLOOKUP(0,setup!$A$8:$H$58,2),VLOOKUP(0,setup!$A$8:$H$58,5),VLOOKUP(N191,setup!$A$8:$H$58,8))</f>
        <v>* cadastrar() - Usado para invocar a classe de negócio CampanhaCashbackResgatePixBusinessImpl de forma geral</v>
      </c>
    </row>
    <row r="192" spans="1:15" x14ac:dyDescent="0.25">
      <c r="A192" s="4" t="s">
        <v>279</v>
      </c>
      <c r="O192" s="7" t="str">
        <f ca="1">getCodigoBackend(N192,A192,VLOOKUP(N192,setup!$A$8:$H$58,2),VLOOKUP(N192,setup!$A$8:$H$58,3),VLOOKUP(N192,setup!$A$8:$H$58,4),VLOOKUP(N192,setup!$A$8:$H$58,5),VLOOKUP(N192,setup!$A$8:$H$58,6),VLOOKUP(N192,setup!$A$8:$H$58,7), VLOOKUP(0,setup!$A$8:$H$58,2),VLOOKUP(0,setup!$A$8:$H$58,5),VLOOKUP(N192,setup!$A$8:$H$58,8))</f>
        <v>* para gerenciar a criação de registro de acordo as regras de negócio do sistema.</v>
      </c>
    </row>
    <row r="193" spans="1:15" x14ac:dyDescent="0.25">
      <c r="A193" s="4" t="s">
        <v>20</v>
      </c>
      <c r="O193" s="7" t="str">
        <f ca="1">getCodigoBackend(N193,A193,VLOOKUP(N193,setup!$A$8:$H$58,2),VLOOKUP(N193,setup!$A$8:$H$58,3),VLOOKUP(N193,setup!$A$8:$H$58,4),VLOOKUP(N193,setup!$A$8:$H$58,5),VLOOKUP(N193,setup!$A$8:$H$58,6),VLOOKUP(N193,setup!$A$8:$H$58,7), VLOOKUP(0,setup!$A$8:$H$58,2),VLOOKUP(0,setup!$A$8:$H$58,5),VLOOKUP(N193,setup!$A$8:$H$58,8))</f>
        <v>*</v>
      </c>
    </row>
    <row r="194" spans="1:15" x14ac:dyDescent="0.25">
      <c r="A194" s="4" t="s">
        <v>280</v>
      </c>
      <c r="O194" s="7" t="str">
        <f ca="1">getCodigoBackend(N194,A194,VLOOKUP(N194,setup!$A$8:$H$58,2),VLOOKUP(N194,setup!$A$8:$H$58,3),VLOOKUP(N194,setup!$A$8:$H$58,4),VLOOKUP(N194,setup!$A$8:$H$58,5),VLOOKUP(N194,setup!$A$8:$H$58,6),VLOOKUP(N194,setup!$A$8:$H$58,7), VLOOKUP(0,setup!$A$8:$H$58,2),VLOOKUP(0,setup!$A$8:$H$58,5),VLOOKUP(N194,setup!$A$8:$H$58,8))</f>
        <v>* @param $dto - Instância de CampanhaCashbackResgatePixDTO</v>
      </c>
    </row>
    <row r="195" spans="1:15" x14ac:dyDescent="0.25">
      <c r="A195" s="4" t="s">
        <v>20</v>
      </c>
      <c r="O195" s="7" t="str">
        <f ca="1">getCodigoBackend(N195,A195,VLOOKUP(N195,setup!$A$8:$H$58,2),VLOOKUP(N195,setup!$A$8:$H$58,3),VLOOKUP(N195,setup!$A$8:$H$58,4),VLOOKUP(N195,setup!$A$8:$H$58,5),VLOOKUP(N195,setup!$A$8:$H$58,6),VLOOKUP(N195,setup!$A$8:$H$58,7), VLOOKUP(0,setup!$A$8:$H$58,2),VLOOKUP(0,setup!$A$8:$H$58,5),VLOOKUP(N195,setup!$A$8:$H$58,8))</f>
        <v>*</v>
      </c>
    </row>
    <row r="196" spans="1:15" x14ac:dyDescent="0.25">
      <c r="A196" s="4" t="s">
        <v>277</v>
      </c>
      <c r="O196" s="7" t="str">
        <f ca="1">getCodigoBackend(N196,A196,VLOOKUP(N196,setup!$A$8:$H$58,2),VLOOKUP(N196,setup!$A$8:$H$58,3),VLOOKUP(N196,setup!$A$8:$H$58,4),VLOOKUP(N196,setup!$A$8:$H$58,5),VLOOKUP(N196,setup!$A$8:$H$58,6),VLOOKUP(N196,setup!$A$8:$H$58,7), VLOOKUP(0,setup!$A$8:$H$58,2),VLOOKUP(0,setup!$A$8:$H$58,5),VLOOKUP(N196,setup!$A$8:$H$58,8))</f>
        <v>* @return uma instância de CampanhaCashbackResgatePixDTO com resultdo da operação</v>
      </c>
    </row>
    <row r="197" spans="1:15" x14ac:dyDescent="0.25">
      <c r="A197" s="4" t="s">
        <v>20</v>
      </c>
      <c r="O197" s="7" t="str">
        <f ca="1">getCodigoBackend(N197,A197,VLOOKUP(N197,setup!$A$8:$H$58,2),VLOOKUP(N197,setup!$A$8:$H$58,3),VLOOKUP(N197,setup!$A$8:$H$58,4),VLOOKUP(N197,setup!$A$8:$H$58,5),VLOOKUP(N197,setup!$A$8:$H$58,6),VLOOKUP(N197,setup!$A$8:$H$58,7), VLOOKUP(0,setup!$A$8:$H$58,2),VLOOKUP(0,setup!$A$8:$H$58,5),VLOOKUP(N197,setup!$A$8:$H$58,8))</f>
        <v>*</v>
      </c>
    </row>
    <row r="198" spans="1:15" x14ac:dyDescent="0.25">
      <c r="A198" s="4" t="s">
        <v>21</v>
      </c>
      <c r="O198" s="7" t="str">
        <f ca="1">getCodigoBackend(N198,A198,VLOOKUP(N198,setup!$A$8:$H$58,2),VLOOKUP(N198,setup!$A$8:$H$58,3),VLOOKUP(N198,setup!$A$8:$H$58,4),VLOOKUP(N198,setup!$A$8:$H$58,5),VLOOKUP(N198,setup!$A$8:$H$58,6),VLOOKUP(N198,setup!$A$8:$H$58,7), VLOOKUP(0,setup!$A$8:$H$58,2),VLOOKUP(0,setup!$A$8:$H$58,5),VLOOKUP(N198,setup!$A$8:$H$58,8))</f>
        <v>*/</v>
      </c>
    </row>
    <row r="199" spans="1:15" x14ac:dyDescent="0.25">
      <c r="A199" s="6"/>
      <c r="O199" s="7" t="str">
        <f ca="1">getCodigoBackend(N199,A199,VLOOKUP(N199,setup!$A$8:$H$58,2),VLOOKUP(N199,setup!$A$8:$H$58,3),VLOOKUP(N199,setup!$A$8:$H$58,4),VLOOKUP(N199,setup!$A$8:$H$58,5),VLOOKUP(N199,setup!$A$8:$H$58,6),VLOOKUP(N199,setup!$A$8:$H$58,7), VLOOKUP(0,setup!$A$8:$H$58,2),VLOOKUP(0,setup!$A$8:$H$58,5),VLOOKUP(N199,setup!$A$8:$H$58,8))</f>
        <v/>
      </c>
    </row>
    <row r="200" spans="1:15" x14ac:dyDescent="0.25">
      <c r="O200" s="7" t="str">
        <f ca="1">getCodigoBackend(N200,A200,VLOOKUP(N200,setup!$A$8:$H$58,2),VLOOKUP(N200,setup!$A$8:$H$58,3),VLOOKUP(N200,setup!$A$8:$H$58,4),VLOOKUP(N200,setup!$A$8:$H$58,5),VLOOKUP(N200,setup!$A$8:$H$58,6),VLOOKUP(N200,setup!$A$8:$H$58,7), VLOOKUP(0,setup!$A$8:$H$58,2),VLOOKUP(0,setup!$A$8:$H$58,5),VLOOKUP(N200,setup!$A$8:$H$58,8))</f>
        <v/>
      </c>
    </row>
    <row r="201" spans="1:15" x14ac:dyDescent="0.25">
      <c r="A201" s="6" t="s">
        <v>37</v>
      </c>
      <c r="O201" s="7" t="str">
        <f ca="1">getCodigoBackend(N201,A201,VLOOKUP(N201,setup!$A$8:$H$58,2),VLOOKUP(N201,setup!$A$8:$H$58,3),VLOOKUP(N201,setup!$A$8:$H$58,4),VLOOKUP(N201,setup!$A$8:$H$58,5),VLOOKUP(N201,setup!$A$8:$H$58,6),VLOOKUP(N201,setup!$A$8:$H$58,7), VLOOKUP(0,setup!$A$8:$H$58,2),VLOOKUP(0,setup!$A$8:$H$58,5),VLOOKUP(N201,setup!$A$8:$H$58,8))</f>
        <v>    public function cadastrar($dto)</v>
      </c>
    </row>
    <row r="202" spans="1:15" x14ac:dyDescent="0.25">
      <c r="A202" s="6" t="s">
        <v>38</v>
      </c>
      <c r="O202" s="7" t="str">
        <f ca="1">getCodigoBackend(N202,A202,VLOOKUP(N202,setup!$A$8:$H$58,2),VLOOKUP(N202,setup!$A$8:$H$58,3),VLOOKUP(N202,setup!$A$8:$H$58,4),VLOOKUP(N202,setup!$A$8:$H$58,5),VLOOKUP(N202,setup!$A$8:$H$58,6),VLOOKUP(N202,setup!$A$8:$H$58,7), VLOOKUP(0,setup!$A$8:$H$58,2),VLOOKUP(0,setup!$A$8:$H$58,5),VLOOKUP(N202,setup!$A$8:$H$58,8))</f>
        <v>    {</v>
      </c>
    </row>
    <row r="203" spans="1:15" x14ac:dyDescent="0.25">
      <c r="A203" s="6" t="s">
        <v>39</v>
      </c>
      <c r="O203" s="7" t="str">
        <f ca="1">getCodigoBackend(N203,A203,VLOOKUP(N203,setup!$A$8:$H$58,2),VLOOKUP(N203,setup!$A$8:$H$58,3),VLOOKUP(N203,setup!$A$8:$H$58,4),VLOOKUP(N203,setup!$A$8:$H$58,5),VLOOKUP(N203,setup!$A$8:$H$58,6),VLOOKUP(N203,setup!$A$8:$H$58,7), VLOOKUP(0,setup!$A$8:$H$58,2),VLOOKUP(0,setup!$A$8:$H$58,5),VLOOKUP(N203,setup!$A$8:$H$58,8))</f>
        <v>        $daofactory = NULL;</v>
      </c>
    </row>
    <row r="204" spans="1:15" x14ac:dyDescent="0.25">
      <c r="A204" s="6" t="s">
        <v>40</v>
      </c>
      <c r="O204" s="7" t="str">
        <f ca="1">getCodigoBackend(N204,A204,VLOOKUP(N204,setup!$A$8:$H$58,2),VLOOKUP(N204,setup!$A$8:$H$58,3),VLOOKUP(N204,setup!$A$8:$H$58,4),VLOOKUP(N204,setup!$A$8:$H$58,5),VLOOKUP(N204,setup!$A$8:$H$58,6),VLOOKUP(N204,setup!$A$8:$H$58,7), VLOOKUP(0,setup!$A$8:$H$58,2),VLOOKUP(0,setup!$A$8:$H$58,5),VLOOKUP(N204,setup!$A$8:$H$58,8))</f>
        <v>        $retorno = NULL;</v>
      </c>
    </row>
    <row r="205" spans="1:15" x14ac:dyDescent="0.25">
      <c r="A205" s="6" t="s">
        <v>41</v>
      </c>
      <c r="O205" s="7" t="str">
        <f ca="1">getCodigoBackend(N205,A205,VLOOKUP(N205,setup!$A$8:$H$58,2),VLOOKUP(N205,setup!$A$8:$H$58,3),VLOOKUP(N205,setup!$A$8:$H$58,4),VLOOKUP(N205,setup!$A$8:$H$58,5),VLOOKUP(N205,setup!$A$8:$H$58,6),VLOOKUP(N205,setup!$A$8:$H$58,7), VLOOKUP(0,setup!$A$8:$H$58,2),VLOOKUP(0,setup!$A$8:$H$58,5),VLOOKUP(N205,setup!$A$8:$H$58,8))</f>
        <v>        try {</v>
      </c>
    </row>
    <row r="206" spans="1:15" x14ac:dyDescent="0.25">
      <c r="A206" s="6" t="s">
        <v>42</v>
      </c>
      <c r="O206" s="7" t="str">
        <f ca="1">getCodigoBackend(N206,A206,VLOOKUP(N206,setup!$A$8:$H$58,2),VLOOKUP(N206,setup!$A$8:$H$58,3),VLOOKUP(N206,setup!$A$8:$H$58,4),VLOOKUP(N206,setup!$A$8:$H$58,5),VLOOKUP(N206,setup!$A$8:$H$58,6),VLOOKUP(N206,setup!$A$8:$H$58,7), VLOOKUP(0,setup!$A$8:$H$58,2),VLOOKUP(0,setup!$A$8:$H$58,5),VLOOKUP(N206,setup!$A$8:$H$58,8))</f>
        <v>            $daofactory = DAOFactory::getDAOFactory();</v>
      </c>
    </row>
    <row r="207" spans="1:15" x14ac:dyDescent="0.25">
      <c r="A207" s="6" t="s">
        <v>43</v>
      </c>
      <c r="O207" s="7" t="str">
        <f ca="1">getCodigoBackend(N207,A207,VLOOKUP(N207,setup!$A$8:$H$58,2),VLOOKUP(N207,setup!$A$8:$H$58,3),VLOOKUP(N207,setup!$A$8:$H$58,4),VLOOKUP(N207,setup!$A$8:$H$58,5),VLOOKUP(N207,setup!$A$8:$H$58,6),VLOOKUP(N207,setup!$A$8:$H$58,7), VLOOKUP(0,setup!$A$8:$H$58,2),VLOOKUP(0,setup!$A$8:$H$58,5),VLOOKUP(N207,setup!$A$8:$H$58,8))</f>
        <v>            $daofactory-&gt;open();</v>
      </c>
    </row>
    <row r="208" spans="1:15" x14ac:dyDescent="0.25">
      <c r="A208" s="6" t="s">
        <v>44</v>
      </c>
      <c r="O208" s="7" t="str">
        <f ca="1">getCodigoBackend(N208,A208,VLOOKUP(N208,setup!$A$8:$H$58,2),VLOOKUP(N208,setup!$A$8:$H$58,3),VLOOKUP(N208,setup!$A$8:$H$58,4),VLOOKUP(N208,setup!$A$8:$H$58,5),VLOOKUP(N208,setup!$A$8:$H$58,6),VLOOKUP(N208,setup!$A$8:$H$58,7), VLOOKUP(0,setup!$A$8:$H$58,2),VLOOKUP(0,setup!$A$8:$H$58,5),VLOOKUP(N208,setup!$A$8:$H$58,8))</f>
        <v>            $daofactory-&gt;beginTransaction();</v>
      </c>
    </row>
    <row r="209" spans="1:15" x14ac:dyDescent="0.25">
      <c r="A209" s="6" t="s">
        <v>45</v>
      </c>
      <c r="O209" s="7" t="str">
        <f ca="1">getCodigoBackend(N209,A209,VLOOKUP(N209,setup!$A$8:$H$58,2),VLOOKUP(N209,setup!$A$8:$H$58,3),VLOOKUP(N209,setup!$A$8:$H$58,4),VLOOKUP(N209,setup!$A$8:$H$58,5),VLOOKUP(N209,setup!$A$8:$H$58,6),VLOOKUP(N209,setup!$A$8:$H$58,7), VLOOKUP(0,setup!$A$8:$H$58,2),VLOOKUP(0,setup!$A$8:$H$58,5),VLOOKUP(N209,setup!$A$8:$H$58,8))</f>
        <v>            </v>
      </c>
    </row>
    <row r="210" spans="1:15" x14ac:dyDescent="0.25">
      <c r="A210" s="6"/>
      <c r="O210" s="7" t="str">
        <f ca="1">getCodigoBackend(N210,A210,VLOOKUP(N210,setup!$A$8:$H$58,2),VLOOKUP(N210,setup!$A$8:$H$58,3),VLOOKUP(N210,setup!$A$8:$H$58,4),VLOOKUP(N210,setup!$A$8:$H$58,5),VLOOKUP(N210,setup!$A$8:$H$58,6),VLOOKUP(N210,setup!$A$8:$H$58,7), VLOOKUP(0,setup!$A$8:$H$58,2),VLOOKUP(0,setup!$A$8:$H$58,5),VLOOKUP(N210,setup!$A$8:$H$58,8))</f>
        <v/>
      </c>
    </row>
    <row r="211" spans="1:15" x14ac:dyDescent="0.25">
      <c r="A211" s="6" t="s">
        <v>265</v>
      </c>
      <c r="O211" s="7" t="str">
        <f ca="1">getCodigoBackend(N211,A211,VLOOKUP(N211,setup!$A$8:$H$58,2),VLOOKUP(N211,setup!$A$8:$H$58,3),VLOOKUP(N211,setup!$A$8:$H$58,4),VLOOKUP(N211,setup!$A$8:$H$58,5),VLOOKUP(N211,setup!$A$8:$H$58,6),VLOOKUP(N211,setup!$A$8:$H$58,7), VLOOKUP(0,setup!$A$8:$H$58,2),VLOOKUP(0,setup!$A$8:$H$58,5),VLOOKUP(N211,setup!$A$8:$H$58,8))</f>
        <v>           $bo = new CampanhaCashbackResgatePixBusinessImpl();</v>
      </c>
    </row>
    <row r="212" spans="1:15" x14ac:dyDescent="0.25">
      <c r="A212" s="6" t="s">
        <v>46</v>
      </c>
      <c r="O212" s="7" t="str">
        <f ca="1">getCodigoBackend(N212,A212,VLOOKUP(N212,setup!$A$8:$H$58,2),VLOOKUP(N212,setup!$A$8:$H$58,3),VLOOKUP(N212,setup!$A$8:$H$58,4),VLOOKUP(N212,setup!$A$8:$H$58,5),VLOOKUP(N212,setup!$A$8:$H$58,6),VLOOKUP(N212,setup!$A$8:$H$58,7), VLOOKUP(0,setup!$A$8:$H$58,2),VLOOKUP(0,setup!$A$8:$H$58,5),VLOOKUP(N212,setup!$A$8:$H$58,8))</f>
        <v>           $retorno = $bo-&gt;inserir($daofactory, $dto);</v>
      </c>
    </row>
    <row r="213" spans="1:15" x14ac:dyDescent="0.25">
      <c r="O213" s="7" t="str">
        <f ca="1">getCodigoBackend(N213,A213,VLOOKUP(N213,setup!$A$8:$H$58,2),VLOOKUP(N213,setup!$A$8:$H$58,3),VLOOKUP(N213,setup!$A$8:$H$58,4),VLOOKUP(N213,setup!$A$8:$H$58,5),VLOOKUP(N213,setup!$A$8:$H$58,6),VLOOKUP(N213,setup!$A$8:$H$58,7), VLOOKUP(0,setup!$A$8:$H$58,2),VLOOKUP(0,setup!$A$8:$H$58,5),VLOOKUP(N213,setup!$A$8:$H$58,8))</f>
        <v/>
      </c>
    </row>
    <row r="214" spans="1:15" x14ac:dyDescent="0.25">
      <c r="A214" s="6" t="s">
        <v>47</v>
      </c>
      <c r="O214" s="7" t="str">
        <f ca="1">getCodigoBackend(N214,A214,VLOOKUP(N214,setup!$A$8:$H$58,2),VLOOKUP(N214,setup!$A$8:$H$58,3),VLOOKUP(N214,setup!$A$8:$H$58,4),VLOOKUP(N214,setup!$A$8:$H$58,5),VLOOKUP(N214,setup!$A$8:$H$58,6),VLOOKUP(N214,setup!$A$8:$H$58,7), VLOOKUP(0,setup!$A$8:$H$58,2),VLOOKUP(0,setup!$A$8:$H$58,5),VLOOKUP(N214,setup!$A$8:$H$58,8))</f>
        <v>           if ($retorno-&gt;msgcode == ConstantesMensagem::COMANDO_REALIZADO_COM_SUCESSO) {</v>
      </c>
    </row>
    <row r="215" spans="1:15" x14ac:dyDescent="0.25">
      <c r="A215" s="6" t="s">
        <v>48</v>
      </c>
      <c r="O215" s="7" t="str">
        <f ca="1">getCodigoBackend(N215,A215,VLOOKUP(N215,setup!$A$8:$H$58,2),VLOOKUP(N215,setup!$A$8:$H$58,3),VLOOKUP(N215,setup!$A$8:$H$58,4),VLOOKUP(N215,setup!$A$8:$H$58,5),VLOOKUP(N215,setup!$A$8:$H$58,6),VLOOKUP(N215,setup!$A$8:$H$58,7), VLOOKUP(0,setup!$A$8:$H$58,2),VLOOKUP(0,setup!$A$8:$H$58,5),VLOOKUP(N215,setup!$A$8:$H$58,8))</f>
        <v>                $daofactory-&gt;commit();</v>
      </c>
    </row>
    <row r="216" spans="1:15" x14ac:dyDescent="0.25">
      <c r="A216" s="6" t="s">
        <v>49</v>
      </c>
      <c r="O216" s="7" t="str">
        <f ca="1">getCodigoBackend(N216,A216,VLOOKUP(N216,setup!$A$8:$H$58,2),VLOOKUP(N216,setup!$A$8:$H$58,3),VLOOKUP(N216,setup!$A$8:$H$58,4),VLOOKUP(N216,setup!$A$8:$H$58,5),VLOOKUP(N216,setup!$A$8:$H$58,6),VLOOKUP(N216,setup!$A$8:$H$58,7), VLOOKUP(0,setup!$A$8:$H$58,2),VLOOKUP(0,setup!$A$8:$H$58,5),VLOOKUP(N216,setup!$A$8:$H$58,8))</f>
        <v>            } else {</v>
      </c>
    </row>
    <row r="217" spans="1:15" x14ac:dyDescent="0.25">
      <c r="A217" s="6" t="s">
        <v>50</v>
      </c>
      <c r="O217" s="7" t="str">
        <f ca="1">getCodigoBackend(N217,A217,VLOOKUP(N217,setup!$A$8:$H$58,2),VLOOKUP(N217,setup!$A$8:$H$58,3),VLOOKUP(N217,setup!$A$8:$H$58,4),VLOOKUP(N217,setup!$A$8:$H$58,5),VLOOKUP(N217,setup!$A$8:$H$58,6),VLOOKUP(N217,setup!$A$8:$H$58,7), VLOOKUP(0,setup!$A$8:$H$58,2),VLOOKUP(0,setup!$A$8:$H$58,5),VLOOKUP(N217,setup!$A$8:$H$58,8))</f>
        <v>                $daofactory-&gt;rollback();</v>
      </c>
    </row>
    <row r="218" spans="1:15" x14ac:dyDescent="0.25">
      <c r="A218" s="6" t="s">
        <v>51</v>
      </c>
      <c r="O218" s="7" t="str">
        <f ca="1">getCodigoBackend(N218,A218,VLOOKUP(N218,setup!$A$8:$H$58,2),VLOOKUP(N218,setup!$A$8:$H$58,3),VLOOKUP(N218,setup!$A$8:$H$58,4),VLOOKUP(N218,setup!$A$8:$H$58,5),VLOOKUP(N218,setup!$A$8:$H$58,6),VLOOKUP(N218,setup!$A$8:$H$58,7), VLOOKUP(0,setup!$A$8:$H$58,2),VLOOKUP(0,setup!$A$8:$H$58,5),VLOOKUP(N218,setup!$A$8:$H$58,8))</f>
        <v>            }</v>
      </c>
    </row>
    <row r="219" spans="1:15" x14ac:dyDescent="0.25">
      <c r="A219" s="6" t="s">
        <v>45</v>
      </c>
      <c r="O219" s="7" t="str">
        <f ca="1">getCodigoBackend(N219,A219,VLOOKUP(N219,setup!$A$8:$H$58,2),VLOOKUP(N219,setup!$A$8:$H$58,3),VLOOKUP(N219,setup!$A$8:$H$58,4),VLOOKUP(N219,setup!$A$8:$H$58,5),VLOOKUP(N219,setup!$A$8:$H$58,6),VLOOKUP(N219,setup!$A$8:$H$58,7), VLOOKUP(0,setup!$A$8:$H$58,2),VLOOKUP(0,setup!$A$8:$H$58,5),VLOOKUP(N219,setup!$A$8:$H$58,8))</f>
        <v>            </v>
      </c>
    </row>
    <row r="220" spans="1:15" x14ac:dyDescent="0.25">
      <c r="A220" s="6" t="s">
        <v>52</v>
      </c>
      <c r="O220" s="7" t="str">
        <f ca="1">getCodigoBackend(N220,A220,VLOOKUP(N220,setup!$A$8:$H$58,2),VLOOKUP(N220,setup!$A$8:$H$58,3),VLOOKUP(N220,setup!$A$8:$H$58,4),VLOOKUP(N220,setup!$A$8:$H$58,5),VLOOKUP(N220,setup!$A$8:$H$58,6),VLOOKUP(N220,setup!$A$8:$H$58,7), VLOOKUP(0,setup!$A$8:$H$58,2),VLOOKUP(0,setup!$A$8:$H$58,5),VLOOKUP(N220,setup!$A$8:$H$58,8))</f>
        <v>        } catch (Exception $e) {</v>
      </c>
    </row>
    <row r="221" spans="1:15" x14ac:dyDescent="0.25">
      <c r="A221" s="6" t="s">
        <v>53</v>
      </c>
      <c r="O221" s="7" t="str">
        <f ca="1">getCodigoBackend(N221,A221,VLOOKUP(N221,setup!$A$8:$H$58,2),VLOOKUP(N221,setup!$A$8:$H$58,3),VLOOKUP(N221,setup!$A$8:$H$58,4),VLOOKUP(N221,setup!$A$8:$H$58,5),VLOOKUP(N221,setup!$A$8:$H$58,6),VLOOKUP(N221,setup!$A$8:$H$58,7), VLOOKUP(0,setup!$A$8:$H$58,2),VLOOKUP(0,setup!$A$8:$H$58,5),VLOOKUP(N221,setup!$A$8:$H$58,8))</f>
        <v>            // rollback na transação</v>
      </c>
    </row>
    <row r="222" spans="1:15" x14ac:dyDescent="0.25">
      <c r="A222" s="6" t="s">
        <v>54</v>
      </c>
      <c r="O222" s="7" t="str">
        <f ca="1">getCodigoBackend(N222,A222,VLOOKUP(N222,setup!$A$8:$H$58,2),VLOOKUP(N222,setup!$A$8:$H$58,3),VLOOKUP(N222,setup!$A$8:$H$58,4),VLOOKUP(N222,setup!$A$8:$H$58,5),VLOOKUP(N222,setup!$A$8:$H$58,6),VLOOKUP(N222,setup!$A$8:$H$58,7), VLOOKUP(0,setup!$A$8:$H$58,2),VLOOKUP(0,setup!$A$8:$H$58,5),VLOOKUP(N222,setup!$A$8:$H$58,8))</f>
        <v>            $daofactory-&gt;rollback();</v>
      </c>
    </row>
    <row r="223" spans="1:15" x14ac:dyDescent="0.25">
      <c r="A223" s="3"/>
      <c r="O223" s="7" t="str">
        <f ca="1">getCodigoBackend(N223,A223,VLOOKUP(N223,setup!$A$8:$H$58,2),VLOOKUP(N223,setup!$A$8:$H$58,3),VLOOKUP(N223,setup!$A$8:$H$58,4),VLOOKUP(N223,setup!$A$8:$H$58,5),VLOOKUP(N223,setup!$A$8:$H$58,6),VLOOKUP(N223,setup!$A$8:$H$58,7), VLOOKUP(0,setup!$A$8:$H$58,2),VLOOKUP(0,setup!$A$8:$H$58,5),VLOOKUP(N223,setup!$A$8:$H$58,8))</f>
        <v/>
      </c>
    </row>
    <row r="224" spans="1:15" x14ac:dyDescent="0.25">
      <c r="A224" s="6" t="s">
        <v>55</v>
      </c>
      <c r="O224" s="7" t="str">
        <f ca="1">getCodigoBackend(N224,A224,VLOOKUP(N224,setup!$A$8:$H$58,2),VLOOKUP(N224,setup!$A$8:$H$58,3),VLOOKUP(N224,setup!$A$8:$H$58,4),VLOOKUP(N224,setup!$A$8:$H$58,5),VLOOKUP(N224,setup!$A$8:$H$58,6),VLOOKUP(N224,setup!$A$8:$H$58,7), VLOOKUP(0,setup!$A$8:$H$58,2),VLOOKUP(0,setup!$A$8:$H$58,5),VLOOKUP(N224,setup!$A$8:$H$58,8))</f>
        <v>        } finally {</v>
      </c>
    </row>
    <row r="225" spans="1:15" x14ac:dyDescent="0.25">
      <c r="A225" s="6" t="s">
        <v>56</v>
      </c>
      <c r="O225" s="7" t="str">
        <f ca="1">getCodigoBackend(N225,A225,VLOOKUP(N225,setup!$A$8:$H$58,2),VLOOKUP(N225,setup!$A$8:$H$58,3),VLOOKUP(N225,setup!$A$8:$H$58,4),VLOOKUP(N225,setup!$A$8:$H$58,5),VLOOKUP(N225,setup!$A$8:$H$58,6),VLOOKUP(N225,setup!$A$8:$H$58,7), VLOOKUP(0,setup!$A$8:$H$58,2),VLOOKUP(0,setup!$A$8:$H$58,5),VLOOKUP(N225,setup!$A$8:$H$58,8))</f>
        <v>            try {</v>
      </c>
    </row>
    <row r="226" spans="1:15" x14ac:dyDescent="0.25">
      <c r="A226" s="6" t="s">
        <v>57</v>
      </c>
      <c r="O226" s="7" t="str">
        <f ca="1">getCodigoBackend(N226,A226,VLOOKUP(N226,setup!$A$8:$H$58,2),VLOOKUP(N226,setup!$A$8:$H$58,3),VLOOKUP(N226,setup!$A$8:$H$58,4),VLOOKUP(N226,setup!$A$8:$H$58,5),VLOOKUP(N226,setup!$A$8:$H$58,6),VLOOKUP(N226,setup!$A$8:$H$58,7), VLOOKUP(0,setup!$A$8:$H$58,2),VLOOKUP(0,setup!$A$8:$H$58,5),VLOOKUP(N226,setup!$A$8:$H$58,8))</f>
        <v>                $daofactory-&gt;close();</v>
      </c>
    </row>
    <row r="227" spans="1:15" x14ac:dyDescent="0.25">
      <c r="A227" s="6" t="s">
        <v>58</v>
      </c>
      <c r="O227" s="7" t="str">
        <f ca="1">getCodigoBackend(N227,A227,VLOOKUP(N227,setup!$A$8:$H$58,2),VLOOKUP(N227,setup!$A$8:$H$58,3),VLOOKUP(N227,setup!$A$8:$H$58,4),VLOOKUP(N227,setup!$A$8:$H$58,5),VLOOKUP(N227,setup!$A$8:$H$58,6),VLOOKUP(N227,setup!$A$8:$H$58,7), VLOOKUP(0,setup!$A$8:$H$58,2),VLOOKUP(0,setup!$A$8:$H$58,5),VLOOKUP(N227,setup!$A$8:$H$58,8))</f>
        <v>            } catch (Exception $e) {</v>
      </c>
    </row>
    <row r="228" spans="1:15" x14ac:dyDescent="0.25">
      <c r="A228" s="6" t="s">
        <v>59</v>
      </c>
      <c r="O228" s="7" t="str">
        <f ca="1">getCodigoBackend(N228,A228,VLOOKUP(N228,setup!$A$8:$H$58,2),VLOOKUP(N228,setup!$A$8:$H$58,3),VLOOKUP(N228,setup!$A$8:$H$58,4),VLOOKUP(N228,setup!$A$8:$H$58,5),VLOOKUP(N228,setup!$A$8:$H$58,6),VLOOKUP(N228,setup!$A$8:$H$58,7), VLOOKUP(0,setup!$A$8:$H$58,2),VLOOKUP(0,setup!$A$8:$H$58,5),VLOOKUP(N228,setup!$A$8:$H$58,8))</f>
        <v>                // faz algo</v>
      </c>
    </row>
    <row r="229" spans="1:15" x14ac:dyDescent="0.25">
      <c r="A229" s="6" t="s">
        <v>51</v>
      </c>
      <c r="O229" s="7" t="str">
        <f ca="1">getCodigoBackend(N229,A229,VLOOKUP(N229,setup!$A$8:$H$58,2),VLOOKUP(N229,setup!$A$8:$H$58,3),VLOOKUP(N229,setup!$A$8:$H$58,4),VLOOKUP(N229,setup!$A$8:$H$58,5),VLOOKUP(N229,setup!$A$8:$H$58,6),VLOOKUP(N229,setup!$A$8:$H$58,7), VLOOKUP(0,setup!$A$8:$H$58,2),VLOOKUP(0,setup!$A$8:$H$58,5),VLOOKUP(N229,setup!$A$8:$H$58,8))</f>
        <v>            }</v>
      </c>
    </row>
    <row r="230" spans="1:15" x14ac:dyDescent="0.25">
      <c r="A230" s="6" t="s">
        <v>60</v>
      </c>
      <c r="O230" s="7" t="str">
        <f ca="1">getCodigoBackend(N230,A230,VLOOKUP(N230,setup!$A$8:$H$58,2),VLOOKUP(N230,setup!$A$8:$H$58,3),VLOOKUP(N230,setup!$A$8:$H$58,4),VLOOKUP(N230,setup!$A$8:$H$58,5),VLOOKUP(N230,setup!$A$8:$H$58,6),VLOOKUP(N230,setup!$A$8:$H$58,7), VLOOKUP(0,setup!$A$8:$H$58,2),VLOOKUP(0,setup!$A$8:$H$58,5),VLOOKUP(N230,setup!$A$8:$H$58,8))</f>
        <v>        }</v>
      </c>
    </row>
    <row r="231" spans="1:15" x14ac:dyDescent="0.25">
      <c r="A231" s="3"/>
      <c r="O231" s="7" t="str">
        <f ca="1">getCodigoBackend(N231,A231,VLOOKUP(N231,setup!$A$8:$H$58,2),VLOOKUP(N231,setup!$A$8:$H$58,3),VLOOKUP(N231,setup!$A$8:$H$58,4),VLOOKUP(N231,setup!$A$8:$H$58,5),VLOOKUP(N231,setup!$A$8:$H$58,6),VLOOKUP(N231,setup!$A$8:$H$58,7), VLOOKUP(0,setup!$A$8:$H$58,2),VLOOKUP(0,setup!$A$8:$H$58,5),VLOOKUP(N231,setup!$A$8:$H$58,8))</f>
        <v/>
      </c>
    </row>
    <row r="232" spans="1:15" x14ac:dyDescent="0.25">
      <c r="A232" s="6" t="s">
        <v>61</v>
      </c>
      <c r="O232" s="7" t="str">
        <f ca="1">getCodigoBackend(N232,A232,VLOOKUP(N232,setup!$A$8:$H$58,2),VLOOKUP(N232,setup!$A$8:$H$58,3),VLOOKUP(N232,setup!$A$8:$H$58,4),VLOOKUP(N232,setup!$A$8:$H$58,5),VLOOKUP(N232,setup!$A$8:$H$58,6),VLOOKUP(N232,setup!$A$8:$H$58,7), VLOOKUP(0,setup!$A$8:$H$58,2),VLOOKUP(0,setup!$A$8:$H$58,5),VLOOKUP(N232,setup!$A$8:$H$58,8))</f>
        <v>        return $retorno;</v>
      </c>
    </row>
    <row r="233" spans="1:15" x14ac:dyDescent="0.25">
      <c r="A233" s="6" t="s">
        <v>62</v>
      </c>
      <c r="O233" s="7" t="str">
        <f ca="1">getCodigoBackend(N233,A233,VLOOKUP(N233,setup!$A$8:$H$58,2),VLOOKUP(N233,setup!$A$8:$H$58,3),VLOOKUP(N233,setup!$A$8:$H$58,4),VLOOKUP(N233,setup!$A$8:$H$58,5),VLOOKUP(N233,setup!$A$8:$H$58,6),VLOOKUP(N233,setup!$A$8:$H$58,7), VLOOKUP(0,setup!$A$8:$H$58,2),VLOOKUP(0,setup!$A$8:$H$58,5),VLOOKUP(N233,setup!$A$8:$H$58,8))</f>
        <v>    }</v>
      </c>
    </row>
    <row r="234" spans="1:15" x14ac:dyDescent="0.25">
      <c r="A234" s="6"/>
      <c r="O234" s="7" t="str">
        <f ca="1">getCodigoBackend(N234,A234,VLOOKUP(N234,setup!$A$8:$H$58,2),VLOOKUP(N234,setup!$A$8:$H$58,3),VLOOKUP(N234,setup!$A$8:$H$58,4),VLOOKUP(N234,setup!$A$8:$H$58,5),VLOOKUP(N234,setup!$A$8:$H$58,6),VLOOKUP(N234,setup!$A$8:$H$58,7), VLOOKUP(0,setup!$A$8:$H$58,2),VLOOKUP(0,setup!$A$8:$H$58,5),VLOOKUP(N234,setup!$A$8:$H$58,8))</f>
        <v/>
      </c>
    </row>
    <row r="235" spans="1:15" x14ac:dyDescent="0.25">
      <c r="A235" s="4" t="s">
        <v>19</v>
      </c>
      <c r="O235" s="7" t="str">
        <f ca="1">getCodigoBackend(N235,A235,VLOOKUP(N235,setup!$A$8:$H$58,2),VLOOKUP(N235,setup!$A$8:$H$58,3),VLOOKUP(N235,setup!$A$8:$H$58,4),VLOOKUP(N235,setup!$A$8:$H$58,5),VLOOKUP(N235,setup!$A$8:$H$58,6),VLOOKUP(N235,setup!$A$8:$H$58,7), VLOOKUP(0,setup!$A$8:$H$58,2),VLOOKUP(0,setup!$A$8:$H$58,5),VLOOKUP(N235,setup!$A$8:$H$58,8))</f>
        <v>/**</v>
      </c>
    </row>
    <row r="236" spans="1:15" x14ac:dyDescent="0.25">
      <c r="A236" s="4" t="s">
        <v>20</v>
      </c>
      <c r="O236" s="7" t="str">
        <f ca="1">getCodigoBackend(N236,A236,VLOOKUP(N236,setup!$A$8:$H$58,2),VLOOKUP(N236,setup!$A$8:$H$58,3),VLOOKUP(N236,setup!$A$8:$H$58,4),VLOOKUP(N236,setup!$A$8:$H$58,5),VLOOKUP(N236,setup!$A$8:$H$58,6),VLOOKUP(N236,setup!$A$8:$H$58,7), VLOOKUP(0,setup!$A$8:$H$58,2),VLOOKUP(0,setup!$A$8:$H$58,5),VLOOKUP(N236,setup!$A$8:$H$58,8))</f>
        <v>*</v>
      </c>
    </row>
    <row r="237" spans="1:15" x14ac:dyDescent="0.25">
      <c r="A237" s="4" t="s">
        <v>336</v>
      </c>
      <c r="O237" s="7" t="str">
        <f ca="1">getCodigoBackend(N237,A237,VLOOKUP(N237,setup!$A$8:$H$58,2),VLOOKUP(N237,setup!$A$8:$H$58,3),VLOOKUP(N237,setup!$A$8:$H$58,4),VLOOKUP(N237,setup!$A$8:$H$58,5),VLOOKUP(N237,setup!$A$8:$H$58,6),VLOOKUP(N237,setup!$A$8:$H$58,7), VLOOKUP(0,setup!$A$8:$H$58,2),VLOOKUP(0,setup!$A$8:$H$58,5),VLOOKUP(N237,setup!$A$8:$H$58,8))</f>
        <v>* listarPagina() - Usado para invocar a classe de negócio TipoEmpreendimentoBusinessImpl de forma geral</v>
      </c>
    </row>
    <row r="238" spans="1:15" x14ac:dyDescent="0.25">
      <c r="A238" s="4" t="s">
        <v>340</v>
      </c>
      <c r="O238" s="7" t="str">
        <f ca="1">getCodigoBackend(N238,A238,VLOOKUP(N238,setup!$A$8:$H$58,2),VLOOKUP(N238,setup!$A$8:$H$58,3),VLOOKUP(N238,setup!$A$8:$H$58,4),VLOOKUP(N238,setup!$A$8:$H$58,5),VLOOKUP(N238,setup!$A$8:$H$58,6),VLOOKUP(N238,setup!$A$8:$H$58,7), VLOOKUP(0,setup!$A$8:$H$58,2),VLOOKUP(0,setup!$A$8:$H$58,5),VLOOKUP(N238,setup!$A$8:$H$58,8))</f>
        <v>* para listar todos os registros COM critérios de paginação dos dados.</v>
      </c>
    </row>
    <row r="239" spans="1:15" x14ac:dyDescent="0.25">
      <c r="A239" s="4" t="s">
        <v>20</v>
      </c>
      <c r="O239" s="7" t="str">
        <f ca="1">getCodigoBackend(N239,A239,VLOOKUP(N239,setup!$A$8:$H$58,2),VLOOKUP(N239,setup!$A$8:$H$58,3),VLOOKUP(N239,setup!$A$8:$H$58,4),VLOOKUP(N239,setup!$A$8:$H$58,5),VLOOKUP(N239,setup!$A$8:$H$58,6),VLOOKUP(N239,setup!$A$8:$H$58,7), VLOOKUP(0,setup!$A$8:$H$58,2),VLOOKUP(0,setup!$A$8:$H$58,5),VLOOKUP(N239,setup!$A$8:$H$58,8))</f>
        <v>*</v>
      </c>
    </row>
    <row r="240" spans="1:15" x14ac:dyDescent="0.25">
      <c r="A240" s="4" t="s">
        <v>337</v>
      </c>
      <c r="O240" s="7" t="str">
        <f ca="1">getCodigoBackend(N240,A240,VLOOKUP(N240,setup!$A$8:$H$58,2),VLOOKUP(N240,setup!$A$8:$H$58,3),VLOOKUP(N240,setup!$A$8:$H$58,4),VLOOKUP(N240,setup!$A$8:$H$58,5),VLOOKUP(N240,setup!$A$8:$H$58,6),VLOOKUP(N240,setup!$A$8:$H$58,7), VLOOKUP(0,setup!$A$8:$H$58,2),VLOOKUP(0,setup!$A$8:$H$58,5),VLOOKUP(N240,setup!$A$8:$H$58,8))</f>
        <v>* @param $pag</v>
      </c>
    </row>
    <row r="241" spans="1:15" x14ac:dyDescent="0.25">
      <c r="A241" s="4" t="s">
        <v>338</v>
      </c>
      <c r="O241" s="7" t="str">
        <f ca="1">getCodigoBackend(N241,A241,VLOOKUP(N241,setup!$A$8:$H$58,2),VLOOKUP(N241,setup!$A$8:$H$58,3),VLOOKUP(N241,setup!$A$8:$H$58,4),VLOOKUP(N241,setup!$A$8:$H$58,5),VLOOKUP(N241,setup!$A$8:$H$58,6),VLOOKUP(N241,setup!$A$8:$H$58,7), VLOOKUP(0,setup!$A$8:$H$58,2),VLOOKUP(0,setup!$A$8:$H$58,5),VLOOKUP(N241,setup!$A$8:$H$58,8))</f>
        <v>* @param $qtde</v>
      </c>
    </row>
    <row r="242" spans="1:15" x14ac:dyDescent="0.25">
      <c r="A242" s="4" t="s">
        <v>339</v>
      </c>
      <c r="O242" s="7" t="str">
        <f ca="1">getCodigoBackend(N242,A242,VLOOKUP(N242,setup!$A$8:$H$58,2),VLOOKUP(N242,setup!$A$8:$H$58,3),VLOOKUP(N242,setup!$A$8:$H$58,4),VLOOKUP(N242,setup!$A$8:$H$58,5),VLOOKUP(N242,setup!$A$8:$H$58,6),VLOOKUP(N242,setup!$A$8:$H$58,7), VLOOKUP(0,setup!$A$8:$H$58,2),VLOOKUP(0,setup!$A$8:$H$58,5),VLOOKUP(N242,setup!$A$8:$H$58,8))</f>
        <v>* @return List&lt;CampanhaCashbackResgatePixDTO&gt;[]</v>
      </c>
    </row>
    <row r="243" spans="1:15" x14ac:dyDescent="0.25">
      <c r="A243" s="4" t="s">
        <v>20</v>
      </c>
      <c r="O243" s="7" t="str">
        <f ca="1">getCodigoBackend(N243,A243,VLOOKUP(N243,setup!$A$8:$H$58,2),VLOOKUP(N243,setup!$A$8:$H$58,3),VLOOKUP(N243,setup!$A$8:$H$58,4),VLOOKUP(N243,setup!$A$8:$H$58,5),VLOOKUP(N243,setup!$A$8:$H$58,6),VLOOKUP(N243,setup!$A$8:$H$58,7), VLOOKUP(0,setup!$A$8:$H$58,2),VLOOKUP(0,setup!$A$8:$H$58,5),VLOOKUP(N243,setup!$A$8:$H$58,8))</f>
        <v>*</v>
      </c>
    </row>
    <row r="244" spans="1:15" x14ac:dyDescent="0.25">
      <c r="A244" s="4" t="s">
        <v>20</v>
      </c>
      <c r="O244" s="7" t="str">
        <f ca="1">getCodigoBackend(N244,A244,VLOOKUP(N244,setup!$A$8:$H$58,2),VLOOKUP(N244,setup!$A$8:$H$58,3),VLOOKUP(N244,setup!$A$8:$H$58,4),VLOOKUP(N244,setup!$A$8:$H$58,5),VLOOKUP(N244,setup!$A$8:$H$58,6),VLOOKUP(N244,setup!$A$8:$H$58,7), VLOOKUP(0,setup!$A$8:$H$58,2),VLOOKUP(0,setup!$A$8:$H$58,5),VLOOKUP(N244,setup!$A$8:$H$58,8))</f>
        <v>*</v>
      </c>
    </row>
    <row r="245" spans="1:15" x14ac:dyDescent="0.25">
      <c r="A245" s="4" t="s">
        <v>341</v>
      </c>
      <c r="O245" s="7" t="str">
        <f ca="1">getCodigoBackend(N245,A245,VLOOKUP(N245,setup!$A$8:$H$58,2),VLOOKUP(N245,setup!$A$8:$H$58,3),VLOOKUP(N245,setup!$A$8:$H$58,4),VLOOKUP(N245,setup!$A$8:$H$58,5),VLOOKUP(N245,setup!$A$8:$H$58,6),VLOOKUP(N245,setup!$A$8:$H$58,7), VLOOKUP(0,setup!$A$8:$H$58,2),VLOOKUP(0,setup!$A$8:$H$58,5),VLOOKUP(N245,setup!$A$8:$H$58,8))</f>
        <v>* Procure dar preferência no uso deste método para listagem de dados</v>
      </c>
    </row>
    <row r="246" spans="1:15" x14ac:dyDescent="0.25">
      <c r="A246" s="4" t="s">
        <v>21</v>
      </c>
      <c r="O246" s="7" t="str">
        <f ca="1">getCodigoBackend(N246,A246,VLOOKUP(N246,setup!$A$8:$H$58,2),VLOOKUP(N246,setup!$A$8:$H$58,3),VLOOKUP(N246,setup!$A$8:$H$58,4),VLOOKUP(N246,setup!$A$8:$H$58,5),VLOOKUP(N246,setup!$A$8:$H$58,6),VLOOKUP(N246,setup!$A$8:$H$58,7), VLOOKUP(0,setup!$A$8:$H$58,2),VLOOKUP(0,setup!$A$8:$H$58,5),VLOOKUP(N246,setup!$A$8:$H$58,8))</f>
        <v>*/</v>
      </c>
    </row>
    <row r="247" spans="1:15" x14ac:dyDescent="0.25">
      <c r="A247" s="6"/>
      <c r="O247" s="7" t="str">
        <f ca="1">getCodigoBackend(N247,A247,VLOOKUP(N247,setup!$A$8:$H$58,2),VLOOKUP(N247,setup!$A$8:$H$58,3),VLOOKUP(N247,setup!$A$8:$H$58,4),VLOOKUP(N247,setup!$A$8:$H$58,5),VLOOKUP(N247,setup!$A$8:$H$58,6),VLOOKUP(N247,setup!$A$8:$H$58,7), VLOOKUP(0,setup!$A$8:$H$58,2),VLOOKUP(0,setup!$A$8:$H$58,5),VLOOKUP(N247,setup!$A$8:$H$58,8))</f>
        <v/>
      </c>
    </row>
    <row r="248" spans="1:15" x14ac:dyDescent="0.25">
      <c r="A248" s="3"/>
      <c r="O248" s="7" t="str">
        <f ca="1">getCodigoBackend(N248,A248,VLOOKUP(N248,setup!$A$8:$H$58,2),VLOOKUP(N248,setup!$A$8:$H$58,3),VLOOKUP(N248,setup!$A$8:$H$58,4),VLOOKUP(N248,setup!$A$8:$H$58,5),VLOOKUP(N248,setup!$A$8:$H$58,6),VLOOKUP(N248,setup!$A$8:$H$58,7), VLOOKUP(0,setup!$A$8:$H$58,2),VLOOKUP(0,setup!$A$8:$H$58,5),VLOOKUP(N248,setup!$A$8:$H$58,8))</f>
        <v/>
      </c>
    </row>
    <row r="249" spans="1:15" x14ac:dyDescent="0.25">
      <c r="A249" s="6" t="s">
        <v>66</v>
      </c>
      <c r="O249" s="7" t="str">
        <f ca="1">getCodigoBackend(N249,A249,VLOOKUP(N249,setup!$A$8:$H$58,2),VLOOKUP(N249,setup!$A$8:$H$58,3),VLOOKUP(N249,setup!$A$8:$H$58,4),VLOOKUP(N249,setup!$A$8:$H$58,5),VLOOKUP(N249,setup!$A$8:$H$58,6),VLOOKUP(N249,setup!$A$8:$H$58,7), VLOOKUP(0,setup!$A$8:$H$58,2),VLOOKUP(0,setup!$A$8:$H$58,5),VLOOKUP(N249,setup!$A$8:$H$58,8))</f>
        <v>    public function listarPagina($pag, $qtde)</v>
      </c>
    </row>
    <row r="250" spans="1:15" x14ac:dyDescent="0.25">
      <c r="A250" s="6" t="s">
        <v>38</v>
      </c>
      <c r="O250" s="7" t="str">
        <f ca="1">getCodigoBackend(N250,A250,VLOOKUP(N250,setup!$A$8:$H$58,2),VLOOKUP(N250,setup!$A$8:$H$58,3),VLOOKUP(N250,setup!$A$8:$H$58,4),VLOOKUP(N250,setup!$A$8:$H$58,5),VLOOKUP(N250,setup!$A$8:$H$58,6),VLOOKUP(N250,setup!$A$8:$H$58,7), VLOOKUP(0,setup!$A$8:$H$58,2),VLOOKUP(0,setup!$A$8:$H$58,5),VLOOKUP(N250,setup!$A$8:$H$58,8))</f>
        <v>    {</v>
      </c>
    </row>
    <row r="251" spans="1:15" x14ac:dyDescent="0.25">
      <c r="A251" s="6" t="s">
        <v>39</v>
      </c>
      <c r="O251" s="7" t="str">
        <f ca="1">getCodigoBackend(N251,A251,VLOOKUP(N251,setup!$A$8:$H$58,2),VLOOKUP(N251,setup!$A$8:$H$58,3),VLOOKUP(N251,setup!$A$8:$H$58,4),VLOOKUP(N251,setup!$A$8:$H$58,5),VLOOKUP(N251,setup!$A$8:$H$58,6),VLOOKUP(N251,setup!$A$8:$H$58,7), VLOOKUP(0,setup!$A$8:$H$58,2),VLOOKUP(0,setup!$A$8:$H$58,5),VLOOKUP(N251,setup!$A$8:$H$58,8))</f>
        <v>        $daofactory = NULL;</v>
      </c>
    </row>
    <row r="252" spans="1:15" x14ac:dyDescent="0.25">
      <c r="A252" s="6" t="s">
        <v>40</v>
      </c>
      <c r="O252" s="7" t="str">
        <f ca="1">getCodigoBackend(N252,A252,VLOOKUP(N252,setup!$A$8:$H$58,2),VLOOKUP(N252,setup!$A$8:$H$58,3),VLOOKUP(N252,setup!$A$8:$H$58,4),VLOOKUP(N252,setup!$A$8:$H$58,5),VLOOKUP(N252,setup!$A$8:$H$58,6),VLOOKUP(N252,setup!$A$8:$H$58,7), VLOOKUP(0,setup!$A$8:$H$58,2),VLOOKUP(0,setup!$A$8:$H$58,5),VLOOKUP(N252,setup!$A$8:$H$58,8))</f>
        <v>        $retorno = NULL;</v>
      </c>
    </row>
    <row r="253" spans="1:15" x14ac:dyDescent="0.25">
      <c r="A253" s="6" t="s">
        <v>41</v>
      </c>
      <c r="O253" s="7" t="str">
        <f ca="1">getCodigoBackend(N253,A253,VLOOKUP(N253,setup!$A$8:$H$58,2),VLOOKUP(N253,setup!$A$8:$H$58,3),VLOOKUP(N253,setup!$A$8:$H$58,4),VLOOKUP(N253,setup!$A$8:$H$58,5),VLOOKUP(N253,setup!$A$8:$H$58,6),VLOOKUP(N253,setup!$A$8:$H$58,7), VLOOKUP(0,setup!$A$8:$H$58,2),VLOOKUP(0,setup!$A$8:$H$58,5),VLOOKUP(N253,setup!$A$8:$H$58,8))</f>
        <v>        try {</v>
      </c>
    </row>
    <row r="254" spans="1:15" x14ac:dyDescent="0.25">
      <c r="A254" s="6" t="s">
        <v>42</v>
      </c>
      <c r="O254" s="7" t="str">
        <f ca="1">getCodigoBackend(N254,A254,VLOOKUP(N254,setup!$A$8:$H$58,2),VLOOKUP(N254,setup!$A$8:$H$58,3),VLOOKUP(N254,setup!$A$8:$H$58,4),VLOOKUP(N254,setup!$A$8:$H$58,5),VLOOKUP(N254,setup!$A$8:$H$58,6),VLOOKUP(N254,setup!$A$8:$H$58,7), VLOOKUP(0,setup!$A$8:$H$58,2),VLOOKUP(0,setup!$A$8:$H$58,5),VLOOKUP(N254,setup!$A$8:$H$58,8))</f>
        <v>            $daofactory = DAOFactory::getDAOFactory();</v>
      </c>
    </row>
    <row r="255" spans="1:15" x14ac:dyDescent="0.25">
      <c r="A255" s="6" t="s">
        <v>43</v>
      </c>
      <c r="O255" s="7" t="str">
        <f ca="1">getCodigoBackend(N255,A255,VLOOKUP(N255,setup!$A$8:$H$58,2),VLOOKUP(N255,setup!$A$8:$H$58,3),VLOOKUP(N255,setup!$A$8:$H$58,4),VLOOKUP(N255,setup!$A$8:$H$58,5),VLOOKUP(N255,setup!$A$8:$H$58,6),VLOOKUP(N255,setup!$A$8:$H$58,7), VLOOKUP(0,setup!$A$8:$H$58,2),VLOOKUP(0,setup!$A$8:$H$58,5),VLOOKUP(N255,setup!$A$8:$H$58,8))</f>
        <v>            $daofactory-&gt;open();</v>
      </c>
    </row>
    <row r="256" spans="1:15" x14ac:dyDescent="0.25">
      <c r="A256" s="6" t="s">
        <v>44</v>
      </c>
      <c r="O256" s="7" t="str">
        <f ca="1">getCodigoBackend(N256,A256,VLOOKUP(N256,setup!$A$8:$H$58,2),VLOOKUP(N256,setup!$A$8:$H$58,3),VLOOKUP(N256,setup!$A$8:$H$58,4),VLOOKUP(N256,setup!$A$8:$H$58,5),VLOOKUP(N256,setup!$A$8:$H$58,6),VLOOKUP(N256,setup!$A$8:$H$58,7), VLOOKUP(0,setup!$A$8:$H$58,2),VLOOKUP(0,setup!$A$8:$H$58,5),VLOOKUP(N256,setup!$A$8:$H$58,8))</f>
        <v>            $daofactory-&gt;beginTransaction();</v>
      </c>
    </row>
    <row r="257" spans="1:15" x14ac:dyDescent="0.25">
      <c r="A257" s="6" t="s">
        <v>45</v>
      </c>
      <c r="O257" s="7" t="str">
        <f ca="1">getCodigoBackend(N257,A257,VLOOKUP(N257,setup!$A$8:$H$58,2),VLOOKUP(N257,setup!$A$8:$H$58,3),VLOOKUP(N257,setup!$A$8:$H$58,4),VLOOKUP(N257,setup!$A$8:$H$58,5),VLOOKUP(N257,setup!$A$8:$H$58,6),VLOOKUP(N257,setup!$A$8:$H$58,7), VLOOKUP(0,setup!$A$8:$H$58,2),VLOOKUP(0,setup!$A$8:$H$58,5),VLOOKUP(N257,setup!$A$8:$H$58,8))</f>
        <v>            </v>
      </c>
    </row>
    <row r="258" spans="1:15" x14ac:dyDescent="0.25">
      <c r="A258" s="6" t="s">
        <v>267</v>
      </c>
      <c r="O258" s="7" t="str">
        <f ca="1">getCodigoBackend(N258,A258,VLOOKUP(N258,setup!$A$8:$H$58,2),VLOOKUP(N258,setup!$A$8:$H$58,3),VLOOKUP(N258,setup!$A$8:$H$58,4),VLOOKUP(N258,setup!$A$8:$H$58,5),VLOOKUP(N258,setup!$A$8:$H$58,6),VLOOKUP(N258,setup!$A$8:$H$58,7), VLOOKUP(0,setup!$A$8:$H$58,2),VLOOKUP(0,setup!$A$8:$H$58,5),VLOOKUP(N258,setup!$A$8:$H$58,8))</f>
        <v>            // listar paginado CampanhaCashbackResgatePix</v>
      </c>
    </row>
    <row r="259" spans="1:15" x14ac:dyDescent="0.25">
      <c r="A259" s="6" t="s">
        <v>265</v>
      </c>
      <c r="O259" s="7" t="str">
        <f ca="1">getCodigoBackend(N259,A259,VLOOKUP(N259,setup!$A$8:$H$58,2),VLOOKUP(N259,setup!$A$8:$H$58,3),VLOOKUP(N259,setup!$A$8:$H$58,4),VLOOKUP(N259,setup!$A$8:$H$58,5),VLOOKUP(N259,setup!$A$8:$H$58,6),VLOOKUP(N259,setup!$A$8:$H$58,7), VLOOKUP(0,setup!$A$8:$H$58,2),VLOOKUP(0,setup!$A$8:$H$58,5),VLOOKUP(N259,setup!$A$8:$H$58,8))</f>
        <v>           $bo = new CampanhaCashbackResgatePixBusinessImpl();</v>
      </c>
    </row>
    <row r="260" spans="1:15" x14ac:dyDescent="0.25">
      <c r="A260" s="6" t="s">
        <v>67</v>
      </c>
      <c r="O260" s="7" t="str">
        <f ca="1">getCodigoBackend(N260,A260,VLOOKUP(N260,setup!$A$8:$H$58,2),VLOOKUP(N260,setup!$A$8:$H$58,3),VLOOKUP(N260,setup!$A$8:$H$58,4),VLOOKUP(N260,setup!$A$8:$H$58,5),VLOOKUP(N260,setup!$A$8:$H$58,6),VLOOKUP(N260,setup!$A$8:$H$58,7), VLOOKUP(0,setup!$A$8:$H$58,2),VLOOKUP(0,setup!$A$8:$H$58,5),VLOOKUP(N260,setup!$A$8:$H$58,8))</f>
        <v>           $retorno = $bo-&gt;listarPagina($daofactory, $pag, $qtde);</v>
      </c>
    </row>
    <row r="261" spans="1:15" x14ac:dyDescent="0.25">
      <c r="A261" s="6" t="s">
        <v>65</v>
      </c>
      <c r="O261" s="7" t="str">
        <f ca="1">getCodigoBackend(N261,A261,VLOOKUP(N261,setup!$A$8:$H$58,2),VLOOKUP(N261,setup!$A$8:$H$58,3),VLOOKUP(N261,setup!$A$8:$H$58,4),VLOOKUP(N261,setup!$A$8:$H$58,5),VLOOKUP(N261,setup!$A$8:$H$58,6),VLOOKUP(N261,setup!$A$8:$H$58,7), VLOOKUP(0,setup!$A$8:$H$58,2),VLOOKUP(0,setup!$A$8:$H$58,5),VLOOKUP(N261,setup!$A$8:$H$58,8))</f>
        <v>            $daofactory-&gt;commit();</v>
      </c>
    </row>
    <row r="262" spans="1:15" x14ac:dyDescent="0.25">
      <c r="A262" s="6" t="s">
        <v>45</v>
      </c>
      <c r="O262" s="7" t="str">
        <f ca="1">getCodigoBackend(N262,A262,VLOOKUP(N262,setup!$A$8:$H$58,2),VLOOKUP(N262,setup!$A$8:$H$58,3),VLOOKUP(N262,setup!$A$8:$H$58,4),VLOOKUP(N262,setup!$A$8:$H$58,5),VLOOKUP(N262,setup!$A$8:$H$58,6),VLOOKUP(N262,setup!$A$8:$H$58,7), VLOOKUP(0,setup!$A$8:$H$58,2),VLOOKUP(0,setup!$A$8:$H$58,5),VLOOKUP(N262,setup!$A$8:$H$58,8))</f>
        <v>            </v>
      </c>
    </row>
    <row r="263" spans="1:15" x14ac:dyDescent="0.25">
      <c r="A263" s="6" t="s">
        <v>52</v>
      </c>
      <c r="O263" s="7" t="str">
        <f ca="1">getCodigoBackend(N263,A263,VLOOKUP(N263,setup!$A$8:$H$58,2),VLOOKUP(N263,setup!$A$8:$H$58,3),VLOOKUP(N263,setup!$A$8:$H$58,4),VLOOKUP(N263,setup!$A$8:$H$58,5),VLOOKUP(N263,setup!$A$8:$H$58,6),VLOOKUP(N263,setup!$A$8:$H$58,7), VLOOKUP(0,setup!$A$8:$H$58,2),VLOOKUP(0,setup!$A$8:$H$58,5),VLOOKUP(N263,setup!$A$8:$H$58,8))</f>
        <v>        } catch (Exception $e) {</v>
      </c>
    </row>
    <row r="264" spans="1:15" x14ac:dyDescent="0.25">
      <c r="A264" s="6" t="s">
        <v>53</v>
      </c>
      <c r="O264" s="7" t="str">
        <f ca="1">getCodigoBackend(N264,A264,VLOOKUP(N264,setup!$A$8:$H$58,2),VLOOKUP(N264,setup!$A$8:$H$58,3),VLOOKUP(N264,setup!$A$8:$H$58,4),VLOOKUP(N264,setup!$A$8:$H$58,5),VLOOKUP(N264,setup!$A$8:$H$58,6),VLOOKUP(N264,setup!$A$8:$H$58,7), VLOOKUP(0,setup!$A$8:$H$58,2),VLOOKUP(0,setup!$A$8:$H$58,5),VLOOKUP(N264,setup!$A$8:$H$58,8))</f>
        <v>            // rollback na transação</v>
      </c>
    </row>
    <row r="265" spans="1:15" x14ac:dyDescent="0.25">
      <c r="A265" s="3"/>
      <c r="O265" s="7" t="str">
        <f ca="1">getCodigoBackend(N265,A265,VLOOKUP(N265,setup!$A$8:$H$58,2),VLOOKUP(N265,setup!$A$8:$H$58,3),VLOOKUP(N265,setup!$A$8:$H$58,4),VLOOKUP(N265,setup!$A$8:$H$58,5),VLOOKUP(N265,setup!$A$8:$H$58,6),VLOOKUP(N265,setup!$A$8:$H$58,7), VLOOKUP(0,setup!$A$8:$H$58,2),VLOOKUP(0,setup!$A$8:$H$58,5),VLOOKUP(N265,setup!$A$8:$H$58,8))</f>
        <v/>
      </c>
    </row>
    <row r="266" spans="1:15" x14ac:dyDescent="0.25">
      <c r="A266" s="6" t="s">
        <v>55</v>
      </c>
      <c r="O266" s="7" t="str">
        <f ca="1">getCodigoBackend(N266,A266,VLOOKUP(N266,setup!$A$8:$H$58,2),VLOOKUP(N266,setup!$A$8:$H$58,3),VLOOKUP(N266,setup!$A$8:$H$58,4),VLOOKUP(N266,setup!$A$8:$H$58,5),VLOOKUP(N266,setup!$A$8:$H$58,6),VLOOKUP(N266,setup!$A$8:$H$58,7), VLOOKUP(0,setup!$A$8:$H$58,2),VLOOKUP(0,setup!$A$8:$H$58,5),VLOOKUP(N266,setup!$A$8:$H$58,8))</f>
        <v>        } finally {</v>
      </c>
    </row>
    <row r="267" spans="1:15" x14ac:dyDescent="0.25">
      <c r="A267" s="6" t="s">
        <v>56</v>
      </c>
      <c r="O267" s="7" t="str">
        <f ca="1">getCodigoBackend(N267,A267,VLOOKUP(N267,setup!$A$8:$H$58,2),VLOOKUP(N267,setup!$A$8:$H$58,3),VLOOKUP(N267,setup!$A$8:$H$58,4),VLOOKUP(N267,setup!$A$8:$H$58,5),VLOOKUP(N267,setup!$A$8:$H$58,6),VLOOKUP(N267,setup!$A$8:$H$58,7), VLOOKUP(0,setup!$A$8:$H$58,2),VLOOKUP(0,setup!$A$8:$H$58,5),VLOOKUP(N267,setup!$A$8:$H$58,8))</f>
        <v>            try {</v>
      </c>
    </row>
    <row r="268" spans="1:15" x14ac:dyDescent="0.25">
      <c r="A268" s="6" t="s">
        <v>57</v>
      </c>
      <c r="O268" s="7" t="str">
        <f ca="1">getCodigoBackend(N268,A268,VLOOKUP(N268,setup!$A$8:$H$58,2),VLOOKUP(N268,setup!$A$8:$H$58,3),VLOOKUP(N268,setup!$A$8:$H$58,4),VLOOKUP(N268,setup!$A$8:$H$58,5),VLOOKUP(N268,setup!$A$8:$H$58,6),VLOOKUP(N268,setup!$A$8:$H$58,7), VLOOKUP(0,setup!$A$8:$H$58,2),VLOOKUP(0,setup!$A$8:$H$58,5),VLOOKUP(N268,setup!$A$8:$H$58,8))</f>
        <v>                $daofactory-&gt;close();</v>
      </c>
    </row>
    <row r="269" spans="1:15" x14ac:dyDescent="0.25">
      <c r="A269" s="6" t="s">
        <v>58</v>
      </c>
      <c r="O269" s="7" t="str">
        <f ca="1">getCodigoBackend(N269,A269,VLOOKUP(N269,setup!$A$8:$H$58,2),VLOOKUP(N269,setup!$A$8:$H$58,3),VLOOKUP(N269,setup!$A$8:$H$58,4),VLOOKUP(N269,setup!$A$8:$H$58,5),VLOOKUP(N269,setup!$A$8:$H$58,6),VLOOKUP(N269,setup!$A$8:$H$58,7), VLOOKUP(0,setup!$A$8:$H$58,2),VLOOKUP(0,setup!$A$8:$H$58,5),VLOOKUP(N269,setup!$A$8:$H$58,8))</f>
        <v>            } catch (Exception $e) {</v>
      </c>
    </row>
    <row r="270" spans="1:15" x14ac:dyDescent="0.25">
      <c r="A270" s="6" t="s">
        <v>59</v>
      </c>
      <c r="O270" s="7" t="str">
        <f ca="1">getCodigoBackend(N270,A270,VLOOKUP(N270,setup!$A$8:$H$58,2),VLOOKUP(N270,setup!$A$8:$H$58,3),VLOOKUP(N270,setup!$A$8:$H$58,4),VLOOKUP(N270,setup!$A$8:$H$58,5),VLOOKUP(N270,setup!$A$8:$H$58,6),VLOOKUP(N270,setup!$A$8:$H$58,7), VLOOKUP(0,setup!$A$8:$H$58,2),VLOOKUP(0,setup!$A$8:$H$58,5),VLOOKUP(N270,setup!$A$8:$H$58,8))</f>
        <v>                // faz algo</v>
      </c>
    </row>
    <row r="271" spans="1:15" x14ac:dyDescent="0.25">
      <c r="A271" s="6" t="s">
        <v>51</v>
      </c>
      <c r="O271" s="7" t="str">
        <f ca="1">getCodigoBackend(N271,A271,VLOOKUP(N271,setup!$A$8:$H$58,2),VLOOKUP(N271,setup!$A$8:$H$58,3),VLOOKUP(N271,setup!$A$8:$H$58,4),VLOOKUP(N271,setup!$A$8:$H$58,5),VLOOKUP(N271,setup!$A$8:$H$58,6),VLOOKUP(N271,setup!$A$8:$H$58,7), VLOOKUP(0,setup!$A$8:$H$58,2),VLOOKUP(0,setup!$A$8:$H$58,5),VLOOKUP(N271,setup!$A$8:$H$58,8))</f>
        <v>            }</v>
      </c>
    </row>
    <row r="272" spans="1:15" x14ac:dyDescent="0.25">
      <c r="A272" s="6" t="s">
        <v>60</v>
      </c>
      <c r="O272" s="7" t="str">
        <f ca="1">getCodigoBackend(N272,A272,VLOOKUP(N272,setup!$A$8:$H$58,2),VLOOKUP(N272,setup!$A$8:$H$58,3),VLOOKUP(N272,setup!$A$8:$H$58,4),VLOOKUP(N272,setup!$A$8:$H$58,5),VLOOKUP(N272,setup!$A$8:$H$58,6),VLOOKUP(N272,setup!$A$8:$H$58,7), VLOOKUP(0,setup!$A$8:$H$58,2),VLOOKUP(0,setup!$A$8:$H$58,5),VLOOKUP(N272,setup!$A$8:$H$58,8))</f>
        <v>        }</v>
      </c>
    </row>
    <row r="273" spans="1:15" x14ac:dyDescent="0.25">
      <c r="O273" s="7" t="str">
        <f ca="1">getCodigoBackend(N273,A273,VLOOKUP(N273,setup!$A$8:$H$58,2),VLOOKUP(N273,setup!$A$8:$H$58,3),VLOOKUP(N273,setup!$A$8:$H$58,4),VLOOKUP(N273,setup!$A$8:$H$58,5),VLOOKUP(N273,setup!$A$8:$H$58,6),VLOOKUP(N273,setup!$A$8:$H$58,7), VLOOKUP(0,setup!$A$8:$H$58,2),VLOOKUP(0,setup!$A$8:$H$58,5),VLOOKUP(N273,setup!$A$8:$H$58,8))</f>
        <v/>
      </c>
    </row>
    <row r="274" spans="1:15" x14ac:dyDescent="0.25">
      <c r="A274" s="6" t="s">
        <v>61</v>
      </c>
      <c r="O274" s="7" t="str">
        <f ca="1">getCodigoBackend(N274,A274,VLOOKUP(N274,setup!$A$8:$H$58,2),VLOOKUP(N274,setup!$A$8:$H$58,3),VLOOKUP(N274,setup!$A$8:$H$58,4),VLOOKUP(N274,setup!$A$8:$H$58,5),VLOOKUP(N274,setup!$A$8:$H$58,6),VLOOKUP(N274,setup!$A$8:$H$58,7), VLOOKUP(0,setup!$A$8:$H$58,2),VLOOKUP(0,setup!$A$8:$H$58,5),VLOOKUP(N274,setup!$A$8:$H$58,8))</f>
        <v>        return $retorno;</v>
      </c>
    </row>
    <row r="275" spans="1:15" x14ac:dyDescent="0.25">
      <c r="A275" s="6" t="s">
        <v>62</v>
      </c>
      <c r="O275" s="7" t="str">
        <f ca="1">getCodigoBackend(N275,A275,VLOOKUP(N275,setup!$A$8:$H$58,2),VLOOKUP(N275,setup!$A$8:$H$58,3),VLOOKUP(N275,setup!$A$8:$H$58,4),VLOOKUP(N275,setup!$A$8:$H$58,5),VLOOKUP(N275,setup!$A$8:$H$58,6),VLOOKUP(N275,setup!$A$8:$H$58,7), VLOOKUP(0,setup!$A$8:$H$58,2),VLOOKUP(0,setup!$A$8:$H$58,5),VLOOKUP(N275,setup!$A$8:$H$58,8))</f>
        <v>    }</v>
      </c>
    </row>
    <row r="276" spans="1:15" x14ac:dyDescent="0.25">
      <c r="A276" s="6"/>
      <c r="O276" s="7" t="str">
        <f ca="1">getCodigoBackend(N276,A276,VLOOKUP(N276,setup!$A$8:$H$58,2),VLOOKUP(N276,setup!$A$8:$H$58,3),VLOOKUP(N276,setup!$A$8:$H$58,4),VLOOKUP(N276,setup!$A$8:$H$58,5),VLOOKUP(N276,setup!$A$8:$H$58,6),VLOOKUP(N276,setup!$A$8:$H$58,7), VLOOKUP(0,setup!$A$8:$H$58,2),VLOOKUP(0,setup!$A$8:$H$58,5),VLOOKUP(N276,setup!$A$8:$H$58,8))</f>
        <v/>
      </c>
    </row>
    <row r="277" spans="1:15" x14ac:dyDescent="0.25">
      <c r="A277" s="4" t="s">
        <v>19</v>
      </c>
      <c r="O277" s="7" t="str">
        <f ca="1">getCodigoBackend(N277,A277,VLOOKUP(N277,setup!$A$8:$H$58,2),VLOOKUP(N277,setup!$A$8:$H$58,3),VLOOKUP(N277,setup!$A$8:$H$58,4),VLOOKUP(N277,setup!$A$8:$H$58,5),VLOOKUP(N277,setup!$A$8:$H$58,6),VLOOKUP(N277,setup!$A$8:$H$58,7), VLOOKUP(0,setup!$A$8:$H$58,2),VLOOKUP(0,setup!$A$8:$H$58,5),VLOOKUP(N277,setup!$A$8:$H$58,8))</f>
        <v>/**</v>
      </c>
    </row>
    <row r="278" spans="1:15" x14ac:dyDescent="0.25">
      <c r="A278" s="4" t="s">
        <v>20</v>
      </c>
      <c r="O278" s="7" t="str">
        <f ca="1">getCodigoBackend(N278,A278,VLOOKUP(N278,setup!$A$8:$H$58,2),VLOOKUP(N278,setup!$A$8:$H$58,3),VLOOKUP(N278,setup!$A$8:$H$58,4),VLOOKUP(N278,setup!$A$8:$H$58,5),VLOOKUP(N278,setup!$A$8:$H$58,6),VLOOKUP(N278,setup!$A$8:$H$58,7), VLOOKUP(0,setup!$A$8:$H$58,2),VLOOKUP(0,setup!$A$8:$H$58,5),VLOOKUP(N278,setup!$A$8:$H$58,8))</f>
        <v>*</v>
      </c>
    </row>
    <row r="279" spans="1:15" x14ac:dyDescent="0.25">
      <c r="A279" s="4" t="s">
        <v>344</v>
      </c>
      <c r="O279" s="7" t="str">
        <f ca="1">getCodigoBackend(N279,A279,VLOOKUP(N279,setup!$A$8:$H$58,2),VLOOKUP(N279,setup!$A$8:$H$58,3),VLOOKUP(N279,setup!$A$8:$H$58,4),VLOOKUP(N279,setup!$A$8:$H$58,5),VLOOKUP(N279,setup!$A$8:$H$58,6),VLOOKUP(N279,setup!$A$8:$H$58,7), VLOOKUP(0,setup!$A$8:$H$58,2),VLOOKUP(0,setup!$A$8:$H$58,5),VLOOKUP(N279,setup!$A$8:$H$58,8))</f>
        <v>* pesquisarPorID() - Usado para invocar a classe de negócio TipoEmpreendimentoBusinessImpl de forma geral</v>
      </c>
    </row>
    <row r="280" spans="1:15" x14ac:dyDescent="0.25">
      <c r="A280" s="4" t="s">
        <v>345</v>
      </c>
      <c r="O280" s="7" t="str">
        <f ca="1">getCodigoBackend(N280,A280,VLOOKUP(N280,setup!$A$8:$H$58,2),VLOOKUP(N280,setup!$A$8:$H$58,3),VLOOKUP(N280,setup!$A$8:$H$58,4),VLOOKUP(N280,setup!$A$8:$H$58,5),VLOOKUP(N280,setup!$A$8:$H$58,6),VLOOKUP(N280,setup!$A$8:$H$58,7), VLOOKUP(0,setup!$A$8:$H$58,2),VLOOKUP(0,setup!$A$8:$H$58,5),VLOOKUP(N280,setup!$A$8:$H$58,8))</f>
        <v>* realizar uma busca diretamente pela PK (Primary Key) da tabela CAMPANHA_CASHBACK_RESGATE_PIX campo CCRP_ID</v>
      </c>
    </row>
    <row r="281" spans="1:15" x14ac:dyDescent="0.25">
      <c r="A281" s="4" t="s">
        <v>20</v>
      </c>
      <c r="O281" s="7" t="str">
        <f ca="1">getCodigoBackend(N281,A281,VLOOKUP(N281,setup!$A$8:$H$58,2),VLOOKUP(N281,setup!$A$8:$H$58,3),VLOOKUP(N281,setup!$A$8:$H$58,4),VLOOKUP(N281,setup!$A$8:$H$58,5),VLOOKUP(N281,setup!$A$8:$H$58,6),VLOOKUP(N281,setup!$A$8:$H$58,7), VLOOKUP(0,setup!$A$8:$H$58,2),VLOOKUP(0,setup!$A$8:$H$58,5),VLOOKUP(N281,setup!$A$8:$H$58,8))</f>
        <v>*</v>
      </c>
    </row>
    <row r="282" spans="1:15" x14ac:dyDescent="0.25">
      <c r="A282" s="4" t="s">
        <v>346</v>
      </c>
      <c r="O282" s="7" t="str">
        <f ca="1">getCodigoBackend(N282,A282,VLOOKUP(N282,setup!$A$8:$H$58,2),VLOOKUP(N282,setup!$A$8:$H$58,3),VLOOKUP(N282,setup!$A$8:$H$58,4),VLOOKUP(N282,setup!$A$8:$H$58,5),VLOOKUP(N282,setup!$A$8:$H$58,6),VLOOKUP(N282,setup!$A$8:$H$58,7), VLOOKUP(0,setup!$A$8:$H$58,2),VLOOKUP(0,setup!$A$8:$H$58,5),VLOOKUP(N282,setup!$A$8:$H$58,8))</f>
        <v>* @param $id</v>
      </c>
    </row>
    <row r="283" spans="1:15" x14ac:dyDescent="0.25">
      <c r="A283" s="4" t="s">
        <v>347</v>
      </c>
      <c r="O283" s="7" t="str">
        <f ca="1">getCodigoBackend(N283,A283,VLOOKUP(N283,setup!$A$8:$H$58,2),VLOOKUP(N283,setup!$A$8:$H$58,3),VLOOKUP(N283,setup!$A$8:$H$58,4),VLOOKUP(N283,setup!$A$8:$H$58,5),VLOOKUP(N283,setup!$A$8:$H$58,6),VLOOKUP(N283,setup!$A$8:$H$58,7), VLOOKUP(0,setup!$A$8:$H$58,2),VLOOKUP(0,setup!$A$8:$H$58,5),VLOOKUP(N283,setup!$A$8:$H$58,8))</f>
        <v>* @return CampanhaCashbackResgatePixDTO</v>
      </c>
    </row>
    <row r="284" spans="1:15" x14ac:dyDescent="0.25">
      <c r="A284" s="4" t="s">
        <v>20</v>
      </c>
      <c r="O284" s="7" t="str">
        <f ca="1">getCodigoBackend(N284,A284,VLOOKUP(N284,setup!$A$8:$H$58,2),VLOOKUP(N284,setup!$A$8:$H$58,3),VLOOKUP(N284,setup!$A$8:$H$58,4),VLOOKUP(N284,setup!$A$8:$H$58,5),VLOOKUP(N284,setup!$A$8:$H$58,6),VLOOKUP(N284,setup!$A$8:$H$58,7), VLOOKUP(0,setup!$A$8:$H$58,2),VLOOKUP(0,setup!$A$8:$H$58,5),VLOOKUP(N284,setup!$A$8:$H$58,8))</f>
        <v>*</v>
      </c>
    </row>
    <row r="285" spans="1:15" x14ac:dyDescent="0.25">
      <c r="A285" s="4" t="s">
        <v>75</v>
      </c>
      <c r="O285" s="7" t="str">
        <f ca="1">getCodigoBackend(N285,A285,VLOOKUP(N285,setup!$A$8:$H$58,2),VLOOKUP(N285,setup!$A$8:$H$58,3),VLOOKUP(N285,setup!$A$8:$H$58,4),VLOOKUP(N285,setup!$A$8:$H$58,5),VLOOKUP(N285,setup!$A$8:$H$58,6),VLOOKUP(N285,setup!$A$8:$H$58,7), VLOOKUP(0,setup!$A$8:$H$58,2),VLOOKUP(0,setup!$A$8:$H$58,5),VLOOKUP(N285,setup!$A$8:$H$58,8))</f>
        <v xml:space="preserve">* </v>
      </c>
    </row>
    <row r="286" spans="1:15" x14ac:dyDescent="0.25">
      <c r="A286" s="4" t="s">
        <v>21</v>
      </c>
      <c r="O286" s="7" t="str">
        <f ca="1">getCodigoBackend(N286,A286,VLOOKUP(N286,setup!$A$8:$H$58,2),VLOOKUP(N286,setup!$A$8:$H$58,3),VLOOKUP(N286,setup!$A$8:$H$58,4),VLOOKUP(N286,setup!$A$8:$H$58,5),VLOOKUP(N286,setup!$A$8:$H$58,6),VLOOKUP(N286,setup!$A$8:$H$58,7), VLOOKUP(0,setup!$A$8:$H$58,2),VLOOKUP(0,setup!$A$8:$H$58,5),VLOOKUP(N286,setup!$A$8:$H$58,8))</f>
        <v>*/</v>
      </c>
    </row>
    <row r="287" spans="1:15" x14ac:dyDescent="0.25">
      <c r="O287" s="7" t="str">
        <f ca="1">getCodigoBackend(N287,A287,VLOOKUP(N287,setup!$A$8:$H$58,2),VLOOKUP(N287,setup!$A$8:$H$58,3),VLOOKUP(N287,setup!$A$8:$H$58,4),VLOOKUP(N287,setup!$A$8:$H$58,5),VLOOKUP(N287,setup!$A$8:$H$58,6),VLOOKUP(N287,setup!$A$8:$H$58,7), VLOOKUP(0,setup!$A$8:$H$58,2),VLOOKUP(0,setup!$A$8:$H$58,5),VLOOKUP(N287,setup!$A$8:$H$58,8))</f>
        <v/>
      </c>
    </row>
    <row r="288" spans="1:15" x14ac:dyDescent="0.25">
      <c r="A288" s="6" t="s">
        <v>348</v>
      </c>
      <c r="O288" s="7" t="str">
        <f ca="1">getCodigoBackend(N288,A288,VLOOKUP(N288,setup!$A$8:$H$58,2),VLOOKUP(N288,setup!$A$8:$H$58,3),VLOOKUP(N288,setup!$A$8:$H$58,4),VLOOKUP(N288,setup!$A$8:$H$58,5),VLOOKUP(N288,setup!$A$8:$H$58,6),VLOOKUP(N288,setup!$A$8:$H$58,7), VLOOKUP(0,setup!$A$8:$H$58,2),VLOOKUP(0,setup!$A$8:$H$58,5),VLOOKUP(N288,setup!$A$8:$H$58,8))</f>
        <v>    public function pesquisarPorID($id)</v>
      </c>
    </row>
    <row r="289" spans="1:15" x14ac:dyDescent="0.25">
      <c r="A289" s="6" t="s">
        <v>38</v>
      </c>
      <c r="O289" s="7" t="str">
        <f ca="1">getCodigoBackend(N289,A289,VLOOKUP(N289,setup!$A$8:$H$58,2),VLOOKUP(N289,setup!$A$8:$H$58,3),VLOOKUP(N289,setup!$A$8:$H$58,4),VLOOKUP(N289,setup!$A$8:$H$58,5),VLOOKUP(N289,setup!$A$8:$H$58,6),VLOOKUP(N289,setup!$A$8:$H$58,7), VLOOKUP(0,setup!$A$8:$H$58,2),VLOOKUP(0,setup!$A$8:$H$58,5),VLOOKUP(N289,setup!$A$8:$H$58,8))</f>
        <v>    {</v>
      </c>
    </row>
    <row r="290" spans="1:15" x14ac:dyDescent="0.25">
      <c r="A290" s="6" t="s">
        <v>39</v>
      </c>
      <c r="O290" s="7" t="str">
        <f ca="1">getCodigoBackend(N290,A290,VLOOKUP(N290,setup!$A$8:$H$58,2),VLOOKUP(N290,setup!$A$8:$H$58,3),VLOOKUP(N290,setup!$A$8:$H$58,4),VLOOKUP(N290,setup!$A$8:$H$58,5),VLOOKUP(N290,setup!$A$8:$H$58,6),VLOOKUP(N290,setup!$A$8:$H$58,7), VLOOKUP(0,setup!$A$8:$H$58,2),VLOOKUP(0,setup!$A$8:$H$58,5),VLOOKUP(N290,setup!$A$8:$H$58,8))</f>
        <v>        $daofactory = NULL;</v>
      </c>
    </row>
    <row r="291" spans="1:15" x14ac:dyDescent="0.25">
      <c r="A291" s="6" t="s">
        <v>40</v>
      </c>
      <c r="O291" s="7" t="str">
        <f ca="1">getCodigoBackend(N291,A291,VLOOKUP(N291,setup!$A$8:$H$58,2),VLOOKUP(N291,setup!$A$8:$H$58,3),VLOOKUP(N291,setup!$A$8:$H$58,4),VLOOKUP(N291,setup!$A$8:$H$58,5),VLOOKUP(N291,setup!$A$8:$H$58,6),VLOOKUP(N291,setup!$A$8:$H$58,7), VLOOKUP(0,setup!$A$8:$H$58,2),VLOOKUP(0,setup!$A$8:$H$58,5),VLOOKUP(N291,setup!$A$8:$H$58,8))</f>
        <v>        $retorno = NULL;</v>
      </c>
    </row>
    <row r="292" spans="1:15" x14ac:dyDescent="0.25">
      <c r="A292" s="6" t="s">
        <v>41</v>
      </c>
      <c r="O292" s="7" t="str">
        <f ca="1">getCodigoBackend(N292,A292,VLOOKUP(N292,setup!$A$8:$H$58,2),VLOOKUP(N292,setup!$A$8:$H$58,3),VLOOKUP(N292,setup!$A$8:$H$58,4),VLOOKUP(N292,setup!$A$8:$H$58,5),VLOOKUP(N292,setup!$A$8:$H$58,6),VLOOKUP(N292,setup!$A$8:$H$58,7), VLOOKUP(0,setup!$A$8:$H$58,2),VLOOKUP(0,setup!$A$8:$H$58,5),VLOOKUP(N292,setup!$A$8:$H$58,8))</f>
        <v>        try {</v>
      </c>
    </row>
    <row r="293" spans="1:15" x14ac:dyDescent="0.25">
      <c r="A293" s="6" t="s">
        <v>42</v>
      </c>
      <c r="O293" s="7" t="str">
        <f ca="1">getCodigoBackend(N293,A293,VLOOKUP(N293,setup!$A$8:$H$58,2),VLOOKUP(N293,setup!$A$8:$H$58,3),VLOOKUP(N293,setup!$A$8:$H$58,4),VLOOKUP(N293,setup!$A$8:$H$58,5),VLOOKUP(N293,setup!$A$8:$H$58,6),VLOOKUP(N293,setup!$A$8:$H$58,7), VLOOKUP(0,setup!$A$8:$H$58,2),VLOOKUP(0,setup!$A$8:$H$58,5),VLOOKUP(N293,setup!$A$8:$H$58,8))</f>
        <v>            $daofactory = DAOFactory::getDAOFactory();</v>
      </c>
    </row>
    <row r="294" spans="1:15" x14ac:dyDescent="0.25">
      <c r="A294" s="6" t="s">
        <v>43</v>
      </c>
      <c r="O294" s="7" t="str">
        <f ca="1">getCodigoBackend(N294,A294,VLOOKUP(N294,setup!$A$8:$H$58,2),VLOOKUP(N294,setup!$A$8:$H$58,3),VLOOKUP(N294,setup!$A$8:$H$58,4),VLOOKUP(N294,setup!$A$8:$H$58,5),VLOOKUP(N294,setup!$A$8:$H$58,6),VLOOKUP(N294,setup!$A$8:$H$58,7), VLOOKUP(0,setup!$A$8:$H$58,2),VLOOKUP(0,setup!$A$8:$H$58,5),VLOOKUP(N294,setup!$A$8:$H$58,8))</f>
        <v>            $daofactory-&gt;open();</v>
      </c>
    </row>
    <row r="295" spans="1:15" x14ac:dyDescent="0.25">
      <c r="A295" s="6" t="s">
        <v>44</v>
      </c>
      <c r="O295" s="7" t="str">
        <f ca="1">getCodigoBackend(N295,A295,VLOOKUP(N295,setup!$A$8:$H$58,2),VLOOKUP(N295,setup!$A$8:$H$58,3),VLOOKUP(N295,setup!$A$8:$H$58,4),VLOOKUP(N295,setup!$A$8:$H$58,5),VLOOKUP(N295,setup!$A$8:$H$58,6),VLOOKUP(N295,setup!$A$8:$H$58,7), VLOOKUP(0,setup!$A$8:$H$58,2),VLOOKUP(0,setup!$A$8:$H$58,5),VLOOKUP(N295,setup!$A$8:$H$58,8))</f>
        <v>            $daofactory-&gt;beginTransaction();</v>
      </c>
    </row>
    <row r="296" spans="1:15" x14ac:dyDescent="0.25">
      <c r="A296" s="6" t="s">
        <v>45</v>
      </c>
      <c r="O296" s="7" t="str">
        <f ca="1">getCodigoBackend(N296,A296,VLOOKUP(N296,setup!$A$8:$H$58,2),VLOOKUP(N296,setup!$A$8:$H$58,3),VLOOKUP(N296,setup!$A$8:$H$58,4),VLOOKUP(N296,setup!$A$8:$H$58,5),VLOOKUP(N296,setup!$A$8:$H$58,6),VLOOKUP(N296,setup!$A$8:$H$58,7), VLOOKUP(0,setup!$A$8:$H$58,2),VLOOKUP(0,setup!$A$8:$H$58,5),VLOOKUP(N296,setup!$A$8:$H$58,8))</f>
        <v>            </v>
      </c>
    </row>
    <row r="297" spans="1:15" x14ac:dyDescent="0.25">
      <c r="A297" s="6" t="s">
        <v>268</v>
      </c>
      <c r="O297" s="7" t="str">
        <f ca="1">getCodigoBackend(N297,A297,VLOOKUP(N297,setup!$A$8:$H$58,2),VLOOKUP(N297,setup!$A$8:$H$58,3),VLOOKUP(N297,setup!$A$8:$H$58,4),VLOOKUP(N297,setup!$A$8:$H$58,5),VLOOKUP(N297,setup!$A$8:$H$58,6),VLOOKUP(N297,setup!$A$8:$H$58,7), VLOOKUP(0,setup!$A$8:$H$58,2),VLOOKUP(0,setup!$A$8:$H$58,5),VLOOKUP(N297,setup!$A$8:$H$58,8))</f>
        <v>            // pesquisar pela PK da tabela CampanhaCashbackResgatePix</v>
      </c>
    </row>
    <row r="298" spans="1:15" x14ac:dyDescent="0.25">
      <c r="A298" s="6" t="s">
        <v>265</v>
      </c>
      <c r="O298" s="7" t="str">
        <f ca="1">getCodigoBackend(N298,A298,VLOOKUP(N298,setup!$A$8:$H$58,2),VLOOKUP(N298,setup!$A$8:$H$58,3),VLOOKUP(N298,setup!$A$8:$H$58,4),VLOOKUP(N298,setup!$A$8:$H$58,5),VLOOKUP(N298,setup!$A$8:$H$58,6),VLOOKUP(N298,setup!$A$8:$H$58,7), VLOOKUP(0,setup!$A$8:$H$58,2),VLOOKUP(0,setup!$A$8:$H$58,5),VLOOKUP(N298,setup!$A$8:$H$58,8))</f>
        <v>           $bo = new CampanhaCashbackResgatePixBusinessImpl();</v>
      </c>
    </row>
    <row r="299" spans="1:15" x14ac:dyDescent="0.25">
      <c r="A299" s="6" t="s">
        <v>269</v>
      </c>
      <c r="O299" s="7" t="str">
        <f ca="1">getCodigoBackend(N299,A299,VLOOKUP(N299,setup!$A$8:$H$58,2),VLOOKUP(N299,setup!$A$8:$H$58,3),VLOOKUP(N299,setup!$A$8:$H$58,4),VLOOKUP(N299,setup!$A$8:$H$58,5),VLOOKUP(N299,setup!$A$8:$H$58,6),VLOOKUP(N299,setup!$A$8:$H$58,7), VLOOKUP(0,setup!$A$8:$H$58,2),VLOOKUP(0,setup!$A$8:$H$58,5),VLOOKUP(N299,setup!$A$8:$H$58,8))</f>
        <v>           $retorno = $bo-&gt;carregarPorID($daofactory, $id);</v>
      </c>
    </row>
    <row r="300" spans="1:15" x14ac:dyDescent="0.25">
      <c r="A300" s="6" t="s">
        <v>68</v>
      </c>
      <c r="O300" s="7" t="str">
        <f ca="1">getCodigoBackend(N300,A300,VLOOKUP(N300,setup!$A$8:$H$58,2),VLOOKUP(N300,setup!$A$8:$H$58,3),VLOOKUP(N300,setup!$A$8:$H$58,4),VLOOKUP(N300,setup!$A$8:$H$58,5),VLOOKUP(N300,setup!$A$8:$H$58,6),VLOOKUP(N300,setup!$A$8:$H$58,7), VLOOKUP(0,setup!$A$8:$H$58,2),VLOOKUP(0,setup!$A$8:$H$58,5),VLOOKUP(N300,setup!$A$8:$H$58,8))</f>
        <v>           if ($retorno-&gt;msgcode == ConstantesMensagem::COMANDO_REALIZADO_COM_SUCESSO){</v>
      </c>
    </row>
    <row r="301" spans="1:15" x14ac:dyDescent="0.25">
      <c r="A301" s="6" t="s">
        <v>48</v>
      </c>
      <c r="O301" s="7" t="str">
        <f ca="1">getCodigoBackend(N301,A301,VLOOKUP(N301,setup!$A$8:$H$58,2),VLOOKUP(N301,setup!$A$8:$H$58,3),VLOOKUP(N301,setup!$A$8:$H$58,4),VLOOKUP(N301,setup!$A$8:$H$58,5),VLOOKUP(N301,setup!$A$8:$H$58,6),VLOOKUP(N301,setup!$A$8:$H$58,7), VLOOKUP(0,setup!$A$8:$H$58,2),VLOOKUP(0,setup!$A$8:$H$58,5),VLOOKUP(N301,setup!$A$8:$H$58,8))</f>
        <v>                $daofactory-&gt;commit();</v>
      </c>
    </row>
    <row r="302" spans="1:15" x14ac:dyDescent="0.25">
      <c r="A302" s="6" t="s">
        <v>63</v>
      </c>
      <c r="O302" s="7" t="str">
        <f ca="1">getCodigoBackend(N302,A302,VLOOKUP(N302,setup!$A$8:$H$58,2),VLOOKUP(N302,setup!$A$8:$H$58,3),VLOOKUP(N302,setup!$A$8:$H$58,4),VLOOKUP(N302,setup!$A$8:$H$58,5),VLOOKUP(N302,setup!$A$8:$H$58,6),VLOOKUP(N302,setup!$A$8:$H$58,7), VLOOKUP(0,setup!$A$8:$H$58,2),VLOOKUP(0,setup!$A$8:$H$58,5),VLOOKUP(N302,setup!$A$8:$H$58,8))</f>
        <v>           } else {</v>
      </c>
    </row>
    <row r="303" spans="1:15" x14ac:dyDescent="0.25">
      <c r="A303" s="6" t="s">
        <v>50</v>
      </c>
      <c r="O303" s="7" t="str">
        <f ca="1">getCodigoBackend(N303,A303,VLOOKUP(N303,setup!$A$8:$H$58,2),VLOOKUP(N303,setup!$A$8:$H$58,3),VLOOKUP(N303,setup!$A$8:$H$58,4),VLOOKUP(N303,setup!$A$8:$H$58,5),VLOOKUP(N303,setup!$A$8:$H$58,6),VLOOKUP(N303,setup!$A$8:$H$58,7), VLOOKUP(0,setup!$A$8:$H$58,2),VLOOKUP(0,setup!$A$8:$H$58,5),VLOOKUP(N303,setup!$A$8:$H$58,8))</f>
        <v>                $daofactory-&gt;rollback();</v>
      </c>
    </row>
    <row r="304" spans="1:15" x14ac:dyDescent="0.25">
      <c r="A304" s="6" t="s">
        <v>64</v>
      </c>
      <c r="O304" s="7" t="str">
        <f ca="1">getCodigoBackend(N304,A304,VLOOKUP(N304,setup!$A$8:$H$58,2),VLOOKUP(N304,setup!$A$8:$H$58,3),VLOOKUP(N304,setup!$A$8:$H$58,4),VLOOKUP(N304,setup!$A$8:$H$58,5),VLOOKUP(N304,setup!$A$8:$H$58,6),VLOOKUP(N304,setup!$A$8:$H$58,7), VLOOKUP(0,setup!$A$8:$H$58,2),VLOOKUP(0,setup!$A$8:$H$58,5),VLOOKUP(N304,setup!$A$8:$H$58,8))</f>
        <v>           }</v>
      </c>
    </row>
    <row r="305" spans="1:15" x14ac:dyDescent="0.25">
      <c r="A305" s="6" t="s">
        <v>45</v>
      </c>
      <c r="O305" s="7" t="str">
        <f ca="1">getCodigoBackend(N305,A305,VLOOKUP(N305,setup!$A$8:$H$58,2),VLOOKUP(N305,setup!$A$8:$H$58,3),VLOOKUP(N305,setup!$A$8:$H$58,4),VLOOKUP(N305,setup!$A$8:$H$58,5),VLOOKUP(N305,setup!$A$8:$H$58,6),VLOOKUP(N305,setup!$A$8:$H$58,7), VLOOKUP(0,setup!$A$8:$H$58,2),VLOOKUP(0,setup!$A$8:$H$58,5),VLOOKUP(N305,setup!$A$8:$H$58,8))</f>
        <v>            </v>
      </c>
    </row>
    <row r="306" spans="1:15" x14ac:dyDescent="0.25">
      <c r="A306" s="6" t="s">
        <v>52</v>
      </c>
      <c r="O306" s="7" t="str">
        <f ca="1">getCodigoBackend(N306,A306,VLOOKUP(N306,setup!$A$8:$H$58,2),VLOOKUP(N306,setup!$A$8:$H$58,3),VLOOKUP(N306,setup!$A$8:$H$58,4),VLOOKUP(N306,setup!$A$8:$H$58,5),VLOOKUP(N306,setup!$A$8:$H$58,6),VLOOKUP(N306,setup!$A$8:$H$58,7), VLOOKUP(0,setup!$A$8:$H$58,2),VLOOKUP(0,setup!$A$8:$H$58,5),VLOOKUP(N306,setup!$A$8:$H$58,8))</f>
        <v>        } catch (Exception $e) {</v>
      </c>
    </row>
    <row r="307" spans="1:15" x14ac:dyDescent="0.25">
      <c r="A307" s="6" t="s">
        <v>53</v>
      </c>
      <c r="O307" s="7" t="str">
        <f ca="1">getCodigoBackend(N307,A307,VLOOKUP(N307,setup!$A$8:$H$58,2),VLOOKUP(N307,setup!$A$8:$H$58,3),VLOOKUP(N307,setup!$A$8:$H$58,4),VLOOKUP(N307,setup!$A$8:$H$58,5),VLOOKUP(N307,setup!$A$8:$H$58,6),VLOOKUP(N307,setup!$A$8:$H$58,7), VLOOKUP(0,setup!$A$8:$H$58,2),VLOOKUP(0,setup!$A$8:$H$58,5),VLOOKUP(N307,setup!$A$8:$H$58,8))</f>
        <v>            // rollback na transação</v>
      </c>
    </row>
    <row r="308" spans="1:15" x14ac:dyDescent="0.25">
      <c r="O308" s="7" t="str">
        <f ca="1">getCodigoBackend(N308,A308,VLOOKUP(N308,setup!$A$8:$H$58,2),VLOOKUP(N308,setup!$A$8:$H$58,3),VLOOKUP(N308,setup!$A$8:$H$58,4),VLOOKUP(N308,setup!$A$8:$H$58,5),VLOOKUP(N308,setup!$A$8:$H$58,6),VLOOKUP(N308,setup!$A$8:$H$58,7), VLOOKUP(0,setup!$A$8:$H$58,2),VLOOKUP(0,setup!$A$8:$H$58,5),VLOOKUP(N308,setup!$A$8:$H$58,8))</f>
        <v/>
      </c>
    </row>
    <row r="309" spans="1:15" x14ac:dyDescent="0.25">
      <c r="A309" s="6" t="s">
        <v>55</v>
      </c>
      <c r="O309" s="7" t="str">
        <f ca="1">getCodigoBackend(N309,A309,VLOOKUP(N309,setup!$A$8:$H$58,2),VLOOKUP(N309,setup!$A$8:$H$58,3),VLOOKUP(N309,setup!$A$8:$H$58,4),VLOOKUP(N309,setup!$A$8:$H$58,5),VLOOKUP(N309,setup!$A$8:$H$58,6),VLOOKUP(N309,setup!$A$8:$H$58,7), VLOOKUP(0,setup!$A$8:$H$58,2),VLOOKUP(0,setup!$A$8:$H$58,5),VLOOKUP(N309,setup!$A$8:$H$58,8))</f>
        <v>        } finally {</v>
      </c>
    </row>
    <row r="310" spans="1:15" x14ac:dyDescent="0.25">
      <c r="A310" s="6" t="s">
        <v>56</v>
      </c>
      <c r="O310" s="7" t="str">
        <f ca="1">getCodigoBackend(N310,A310,VLOOKUP(N310,setup!$A$8:$H$58,2),VLOOKUP(N310,setup!$A$8:$H$58,3),VLOOKUP(N310,setup!$A$8:$H$58,4),VLOOKUP(N310,setup!$A$8:$H$58,5),VLOOKUP(N310,setup!$A$8:$H$58,6),VLOOKUP(N310,setup!$A$8:$H$58,7), VLOOKUP(0,setup!$A$8:$H$58,2),VLOOKUP(0,setup!$A$8:$H$58,5),VLOOKUP(N310,setup!$A$8:$H$58,8))</f>
        <v>            try {</v>
      </c>
    </row>
    <row r="311" spans="1:15" x14ac:dyDescent="0.25">
      <c r="A311" s="6" t="s">
        <v>57</v>
      </c>
      <c r="O311" s="7" t="str">
        <f ca="1">getCodigoBackend(N311,A311,VLOOKUP(N311,setup!$A$8:$H$58,2),VLOOKUP(N311,setup!$A$8:$H$58,3),VLOOKUP(N311,setup!$A$8:$H$58,4),VLOOKUP(N311,setup!$A$8:$H$58,5),VLOOKUP(N311,setup!$A$8:$H$58,6),VLOOKUP(N311,setup!$A$8:$H$58,7), VLOOKUP(0,setup!$A$8:$H$58,2),VLOOKUP(0,setup!$A$8:$H$58,5),VLOOKUP(N311,setup!$A$8:$H$58,8))</f>
        <v>                $daofactory-&gt;close();</v>
      </c>
    </row>
    <row r="312" spans="1:15" x14ac:dyDescent="0.25">
      <c r="A312" s="6" t="s">
        <v>58</v>
      </c>
      <c r="O312" s="7" t="str">
        <f ca="1">getCodigoBackend(N312,A312,VLOOKUP(N312,setup!$A$8:$H$58,2),VLOOKUP(N312,setup!$A$8:$H$58,3),VLOOKUP(N312,setup!$A$8:$H$58,4),VLOOKUP(N312,setup!$A$8:$H$58,5),VLOOKUP(N312,setup!$A$8:$H$58,6),VLOOKUP(N312,setup!$A$8:$H$58,7), VLOOKUP(0,setup!$A$8:$H$58,2),VLOOKUP(0,setup!$A$8:$H$58,5),VLOOKUP(N312,setup!$A$8:$H$58,8))</f>
        <v>            } catch (Exception $e) {</v>
      </c>
    </row>
    <row r="313" spans="1:15" x14ac:dyDescent="0.25">
      <c r="A313" s="6" t="s">
        <v>59</v>
      </c>
      <c r="O313" s="7" t="str">
        <f ca="1">getCodigoBackend(N313,A313,VLOOKUP(N313,setup!$A$8:$H$58,2),VLOOKUP(N313,setup!$A$8:$H$58,3),VLOOKUP(N313,setup!$A$8:$H$58,4),VLOOKUP(N313,setup!$A$8:$H$58,5),VLOOKUP(N313,setup!$A$8:$H$58,6),VLOOKUP(N313,setup!$A$8:$H$58,7), VLOOKUP(0,setup!$A$8:$H$58,2),VLOOKUP(0,setup!$A$8:$H$58,5),VLOOKUP(N313,setup!$A$8:$H$58,8))</f>
        <v>                // faz algo</v>
      </c>
    </row>
    <row r="314" spans="1:15" x14ac:dyDescent="0.25">
      <c r="A314" s="6" t="s">
        <v>51</v>
      </c>
      <c r="O314" s="7" t="str">
        <f ca="1">getCodigoBackend(N314,A314,VLOOKUP(N314,setup!$A$8:$H$58,2),VLOOKUP(N314,setup!$A$8:$H$58,3),VLOOKUP(N314,setup!$A$8:$H$58,4),VLOOKUP(N314,setup!$A$8:$H$58,5),VLOOKUP(N314,setup!$A$8:$H$58,6),VLOOKUP(N314,setup!$A$8:$H$58,7), VLOOKUP(0,setup!$A$8:$H$58,2),VLOOKUP(0,setup!$A$8:$H$58,5),VLOOKUP(N314,setup!$A$8:$H$58,8))</f>
        <v>            }</v>
      </c>
    </row>
    <row r="315" spans="1:15" x14ac:dyDescent="0.25">
      <c r="A315" s="6" t="s">
        <v>60</v>
      </c>
      <c r="O315" s="7" t="str">
        <f ca="1">getCodigoBackend(N315,A315,VLOOKUP(N315,setup!$A$8:$H$58,2),VLOOKUP(N315,setup!$A$8:$H$58,3),VLOOKUP(N315,setup!$A$8:$H$58,4),VLOOKUP(N315,setup!$A$8:$H$58,5),VLOOKUP(N315,setup!$A$8:$H$58,6),VLOOKUP(N315,setup!$A$8:$H$58,7), VLOOKUP(0,setup!$A$8:$H$58,2),VLOOKUP(0,setup!$A$8:$H$58,5),VLOOKUP(N315,setup!$A$8:$H$58,8))</f>
        <v>        }</v>
      </c>
    </row>
    <row r="316" spans="1:15" x14ac:dyDescent="0.25">
      <c r="O316" s="7" t="str">
        <f ca="1">getCodigoBackend(N316,A316,VLOOKUP(N316,setup!$A$8:$H$58,2),VLOOKUP(N316,setup!$A$8:$H$58,3),VLOOKUP(N316,setup!$A$8:$H$58,4),VLOOKUP(N316,setup!$A$8:$H$58,5),VLOOKUP(N316,setup!$A$8:$H$58,6),VLOOKUP(N316,setup!$A$8:$H$58,7), VLOOKUP(0,setup!$A$8:$H$58,2),VLOOKUP(0,setup!$A$8:$H$58,5),VLOOKUP(N316,setup!$A$8:$H$58,8))</f>
        <v/>
      </c>
    </row>
    <row r="317" spans="1:15" x14ac:dyDescent="0.25">
      <c r="A317" s="6" t="s">
        <v>61</v>
      </c>
      <c r="O317" s="7" t="str">
        <f ca="1">getCodigoBackend(N317,A317,VLOOKUP(N317,setup!$A$8:$H$58,2),VLOOKUP(N317,setup!$A$8:$H$58,3),VLOOKUP(N317,setup!$A$8:$H$58,4),VLOOKUP(N317,setup!$A$8:$H$58,5),VLOOKUP(N317,setup!$A$8:$H$58,6),VLOOKUP(N317,setup!$A$8:$H$58,7), VLOOKUP(0,setup!$A$8:$H$58,2),VLOOKUP(0,setup!$A$8:$H$58,5),VLOOKUP(N317,setup!$A$8:$H$58,8))</f>
        <v>        return $retorno;</v>
      </c>
    </row>
    <row r="318" spans="1:15" x14ac:dyDescent="0.25">
      <c r="A318" s="6" t="s">
        <v>62</v>
      </c>
      <c r="O318" s="7" t="str">
        <f ca="1">getCodigoBackend(N318,A318,VLOOKUP(N318,setup!$A$8:$H$58,2),VLOOKUP(N318,setup!$A$8:$H$58,3),VLOOKUP(N318,setup!$A$8:$H$58,4),VLOOKUP(N318,setup!$A$8:$H$58,5),VLOOKUP(N318,setup!$A$8:$H$58,6),VLOOKUP(N318,setup!$A$8:$H$58,7), VLOOKUP(0,setup!$A$8:$H$58,2),VLOOKUP(0,setup!$A$8:$H$58,5),VLOOKUP(N318,setup!$A$8:$H$58,8))</f>
        <v>    }</v>
      </c>
    </row>
    <row r="319" spans="1:15" x14ac:dyDescent="0.25">
      <c r="A319" s="6"/>
      <c r="O319" s="7" t="str">
        <f ca="1">getCodigoBackend(N319,A319,VLOOKUP(N319,setup!$A$8:$H$58,2),VLOOKUP(N319,setup!$A$8:$H$58,3),VLOOKUP(N319,setup!$A$8:$H$58,4),VLOOKUP(N319,setup!$A$8:$H$58,5),VLOOKUP(N319,setup!$A$8:$H$58,6),VLOOKUP(N319,setup!$A$8:$H$58,7), VLOOKUP(0,setup!$A$8:$H$58,2),VLOOKUP(0,setup!$A$8:$H$58,5),VLOOKUP(N319,setup!$A$8:$H$58,8))</f>
        <v/>
      </c>
    </row>
    <row r="320" spans="1:15" x14ac:dyDescent="0.25">
      <c r="A320" s="4" t="s">
        <v>19</v>
      </c>
      <c r="O320" s="7" t="str">
        <f ca="1">getCodigoBackend(N320,A320,VLOOKUP(N320,setup!$A$8:$H$58,2),VLOOKUP(N320,setup!$A$8:$H$58,3),VLOOKUP(N320,setup!$A$8:$H$58,4),VLOOKUP(N320,setup!$A$8:$H$58,5),VLOOKUP(N320,setup!$A$8:$H$58,6),VLOOKUP(N320,setup!$A$8:$H$58,7), VLOOKUP(0,setup!$A$8:$H$58,2),VLOOKUP(0,setup!$A$8:$H$58,5),VLOOKUP(N320,setup!$A$8:$H$58,8))</f>
        <v>/**</v>
      </c>
    </row>
    <row r="321" spans="1:15" x14ac:dyDescent="0.25">
      <c r="A321" s="4" t="s">
        <v>20</v>
      </c>
      <c r="O321" s="7" t="str">
        <f ca="1">getCodigoBackend(N321,A321,VLOOKUP(N321,setup!$A$8:$H$58,2),VLOOKUP(N321,setup!$A$8:$H$58,3),VLOOKUP(N321,setup!$A$8:$H$58,4),VLOOKUP(N321,setup!$A$8:$H$58,5),VLOOKUP(N321,setup!$A$8:$H$58,6),VLOOKUP(N321,setup!$A$8:$H$58,7), VLOOKUP(0,setup!$A$8:$H$58,2),VLOOKUP(0,setup!$A$8:$H$58,5),VLOOKUP(N321,setup!$A$8:$H$58,8))</f>
        <v>*</v>
      </c>
    </row>
    <row r="322" spans="1:15" x14ac:dyDescent="0.25">
      <c r="A322" s="4" t="s">
        <v>349</v>
      </c>
      <c r="O322" s="7" t="str">
        <f ca="1">getCodigoBackend(N322,A322,VLOOKUP(N322,setup!$A$8:$H$58,2),VLOOKUP(N322,setup!$A$8:$H$58,3),VLOOKUP(N322,setup!$A$8:$H$58,4),VLOOKUP(N322,setup!$A$8:$H$58,5),VLOOKUP(N322,setup!$A$8:$H$58,6),VLOOKUP(N322,setup!$A$8:$H$58,7), VLOOKUP(0,setup!$A$8:$H$58,2),VLOOKUP(0,setup!$A$8:$H$58,5),VLOOKUP(N322,setup!$A$8:$H$58,8))</f>
        <v>* listarCampanhaCashbackResgatePixPorStatus() - Usado para invocar a classe de negócio TipoEmpreendimentoBusinessImpl de forma geral</v>
      </c>
    </row>
    <row r="323" spans="1:15" x14ac:dyDescent="0.25">
      <c r="A323" s="4" t="s">
        <v>354</v>
      </c>
      <c r="O323" s="7" t="str">
        <f ca="1">getCodigoBackend(N323,A323,VLOOKUP(N323,setup!$A$8:$H$58,2),VLOOKUP(N323,setup!$A$8:$H$58,3),VLOOKUP(N323,setup!$A$8:$H$58,4),VLOOKUP(N323,setup!$A$8:$H$58,5),VLOOKUP(N323,setup!$A$8:$H$58,6),VLOOKUP(N323,setup!$A$8:$H$58,7), VLOOKUP(0,setup!$A$8:$H$58,2),VLOOKUP(0,setup!$A$8:$H$58,5),VLOOKUP(N323,setup!$A$8:$H$58,8))</f>
        <v>* realizar lista paginada de registros com uma instância de PaginacaoDTO</v>
      </c>
    </row>
    <row r="324" spans="1:15" x14ac:dyDescent="0.25">
      <c r="A324" s="4" t="s">
        <v>20</v>
      </c>
      <c r="O324" s="7" t="str">
        <f ca="1">getCodigoBackend(N324,A324,VLOOKUP(N324,setup!$A$8:$H$58,2),VLOOKUP(N324,setup!$A$8:$H$58,3),VLOOKUP(N324,setup!$A$8:$H$58,4),VLOOKUP(N324,setup!$A$8:$H$58,5),VLOOKUP(N324,setup!$A$8:$H$58,6),VLOOKUP(N324,setup!$A$8:$H$58,7), VLOOKUP(0,setup!$A$8:$H$58,2),VLOOKUP(0,setup!$A$8:$H$58,5),VLOOKUP(N324,setup!$A$8:$H$58,8))</f>
        <v>*</v>
      </c>
    </row>
    <row r="325" spans="1:15" x14ac:dyDescent="0.25">
      <c r="A325" s="4" t="s">
        <v>350</v>
      </c>
      <c r="O325" s="7" t="str">
        <f ca="1">getCodigoBackend(N325,A325,VLOOKUP(N325,setup!$A$8:$H$58,2),VLOOKUP(N325,setup!$A$8:$H$58,3),VLOOKUP(N325,setup!$A$8:$H$58,4),VLOOKUP(N325,setup!$A$8:$H$58,5),VLOOKUP(N325,setup!$A$8:$H$58,6),VLOOKUP(N325,setup!$A$8:$H$58,7), VLOOKUP(0,setup!$A$8:$H$58,2),VLOOKUP(0,setup!$A$8:$H$58,5),VLOOKUP(N325,setup!$A$8:$H$58,8))</f>
        <v>* @param $status</v>
      </c>
    </row>
    <row r="326" spans="1:15" x14ac:dyDescent="0.25">
      <c r="A326" s="4" t="s">
        <v>342</v>
      </c>
      <c r="O326" s="7" t="str">
        <f ca="1">getCodigoBackend(N326,A326,VLOOKUP(N326,setup!$A$8:$H$58,2),VLOOKUP(N326,setup!$A$8:$H$58,3),VLOOKUP(N326,setup!$A$8:$H$58,4),VLOOKUP(N326,setup!$A$8:$H$58,5),VLOOKUP(N326,setup!$A$8:$H$58,6),VLOOKUP(N326,setup!$A$8:$H$58,7), VLOOKUP(0,setup!$A$8:$H$58,2),VLOOKUP(0,setup!$A$8:$H$58,5),VLOOKUP(N326,setup!$A$8:$H$58,8))</f>
        <v>* @param $pag</v>
      </c>
    </row>
    <row r="327" spans="1:15" x14ac:dyDescent="0.25">
      <c r="A327" s="4" t="s">
        <v>343</v>
      </c>
      <c r="O327" s="7" t="str">
        <f ca="1">getCodigoBackend(N327,A327,VLOOKUP(N327,setup!$A$8:$H$58,2),VLOOKUP(N327,setup!$A$8:$H$58,3),VLOOKUP(N327,setup!$A$8:$H$58,4),VLOOKUP(N327,setup!$A$8:$H$58,5),VLOOKUP(N327,setup!$A$8:$H$58,6),VLOOKUP(N327,setup!$A$8:$H$58,7), VLOOKUP(0,setup!$A$8:$H$58,2),VLOOKUP(0,setup!$A$8:$H$58,5),VLOOKUP(N327,setup!$A$8:$H$58,8))</f>
        <v>* @param $qtde</v>
      </c>
    </row>
    <row r="328" spans="1:15" x14ac:dyDescent="0.25">
      <c r="A328" s="4" t="s">
        <v>351</v>
      </c>
      <c r="O328" s="7" t="str">
        <f ca="1">getCodigoBackend(N328,A328,VLOOKUP(N328,setup!$A$8:$H$58,2),VLOOKUP(N328,setup!$A$8:$H$58,3),VLOOKUP(N328,setup!$A$8:$H$58,4),VLOOKUP(N328,setup!$A$8:$H$58,5),VLOOKUP(N328,setup!$A$8:$H$58,6),VLOOKUP(N328,setup!$A$8:$H$58,7), VLOOKUP(0,setup!$A$8:$H$58,2),VLOOKUP(0,setup!$A$8:$H$58,5),VLOOKUP(N328,setup!$A$8:$H$58,8))</f>
        <v>* @param $coluna</v>
      </c>
    </row>
    <row r="329" spans="1:15" x14ac:dyDescent="0.25">
      <c r="A329" s="4" t="s">
        <v>352</v>
      </c>
      <c r="O329" s="7" t="str">
        <f ca="1">getCodigoBackend(N329,A329,VLOOKUP(N329,setup!$A$8:$H$58,2),VLOOKUP(N329,setup!$A$8:$H$58,3),VLOOKUP(N329,setup!$A$8:$H$58,4),VLOOKUP(N329,setup!$A$8:$H$58,5),VLOOKUP(N329,setup!$A$8:$H$58,6),VLOOKUP(N329,setup!$A$8:$H$58,7), VLOOKUP(0,setup!$A$8:$H$58,2),VLOOKUP(0,setup!$A$8:$H$58,5),VLOOKUP(N329,setup!$A$8:$H$58,8))</f>
        <v>* @param $ordem</v>
      </c>
    </row>
    <row r="330" spans="1:15" x14ac:dyDescent="0.25">
      <c r="A330" s="4" t="s">
        <v>353</v>
      </c>
      <c r="O330" s="7" t="str">
        <f ca="1">getCodigoBackend(N330,A330,VLOOKUP(N330,setup!$A$8:$H$58,2),VLOOKUP(N330,setup!$A$8:$H$58,3),VLOOKUP(N330,setup!$A$8:$H$58,4),VLOOKUP(N330,setup!$A$8:$H$58,5),VLOOKUP(N330,setup!$A$8:$H$58,6),VLOOKUP(N330,setup!$A$8:$H$58,7), VLOOKUP(0,setup!$A$8:$H$58,2),VLOOKUP(0,setup!$A$8:$H$58,5),VLOOKUP(N330,setup!$A$8:$H$58,8))</f>
        <v>* @return $PaginacaoDTO</v>
      </c>
    </row>
    <row r="331" spans="1:15" x14ac:dyDescent="0.25">
      <c r="A331" s="4" t="s">
        <v>21</v>
      </c>
      <c r="O331" s="7" t="str">
        <f ca="1">getCodigoBackend(N331,A331,VLOOKUP(N331,setup!$A$8:$H$58,2),VLOOKUP(N331,setup!$A$8:$H$58,3),VLOOKUP(N331,setup!$A$8:$H$58,4),VLOOKUP(N331,setup!$A$8:$H$58,5),VLOOKUP(N331,setup!$A$8:$H$58,6),VLOOKUP(N331,setup!$A$8:$H$58,7), VLOOKUP(0,setup!$A$8:$H$58,2),VLOOKUP(0,setup!$A$8:$H$58,5),VLOOKUP(N331,setup!$A$8:$H$58,8))</f>
        <v>*/</v>
      </c>
    </row>
    <row r="332" spans="1:15" x14ac:dyDescent="0.25">
      <c r="A332" s="6"/>
      <c r="O332" s="7" t="str">
        <f ca="1">getCodigoBackend(N332,A332,VLOOKUP(N332,setup!$A$8:$H$58,2),VLOOKUP(N332,setup!$A$8:$H$58,3),VLOOKUP(N332,setup!$A$8:$H$58,4),VLOOKUP(N332,setup!$A$8:$H$58,5),VLOOKUP(N332,setup!$A$8:$H$58,6),VLOOKUP(N332,setup!$A$8:$H$58,7), VLOOKUP(0,setup!$A$8:$H$58,2),VLOOKUP(0,setup!$A$8:$H$58,5),VLOOKUP(N332,setup!$A$8:$H$58,8))</f>
        <v/>
      </c>
    </row>
    <row r="333" spans="1:15" x14ac:dyDescent="0.25">
      <c r="A333" s="2" t="s">
        <v>714</v>
      </c>
      <c r="O333" s="7" t="str">
        <f ca="1">getCodigoBackend(N333,A333,VLOOKUP(N333,setup!$A$8:$H$58,2),VLOOKUP(N333,setup!$A$8:$H$58,3),VLOOKUP(N333,setup!$A$8:$H$58,4),VLOOKUP(N333,setup!$A$8:$H$58,5),VLOOKUP(N333,setup!$A$8:$H$58,6),VLOOKUP(N333,setup!$A$8:$H$58,7), VLOOKUP(0,setup!$A$8:$H$58,2),VLOOKUP(0,setup!$A$8:$H$58,5),VLOOKUP(N333,setup!$A$8:$H$58,8))</f>
        <v xml:space="preserve">   public function listarCampanhaCashbackResgatePixPorStatus($status='A', $pag=1, $qtde=0, $coluna=1, $ordem=0) </v>
      </c>
    </row>
    <row r="334" spans="1:15" x14ac:dyDescent="0.25">
      <c r="A334" s="6" t="s">
        <v>159</v>
      </c>
      <c r="O334" s="7" t="str">
        <f ca="1">getCodigoBackend(N334,A334,VLOOKUP(N334,setup!$A$8:$H$58,2),VLOOKUP(N334,setup!$A$8:$H$58,3),VLOOKUP(N334,setup!$A$8:$H$58,4),VLOOKUP(N334,setup!$A$8:$H$58,5),VLOOKUP(N334,setup!$A$8:$H$58,6),VLOOKUP(N334,setup!$A$8:$H$58,7), VLOOKUP(0,setup!$A$8:$H$58,2),VLOOKUP(0,setup!$A$8:$H$58,5),VLOOKUP(N334,setup!$A$8:$H$58,8))</f>
        <v xml:space="preserve">   {</v>
      </c>
    </row>
    <row r="335" spans="1:15" x14ac:dyDescent="0.25">
      <c r="A335" s="8" t="s">
        <v>160</v>
      </c>
      <c r="O335" s="7" t="str">
        <f ca="1">getCodigoBackend(N335,A335,VLOOKUP(N335,setup!$A$8:$H$58,2),VLOOKUP(N335,setup!$A$8:$H$58,3),VLOOKUP(N335,setup!$A$8:$H$58,4),VLOOKUP(N335,setup!$A$8:$H$58,5),VLOOKUP(N335,setup!$A$8:$H$58,6),VLOOKUP(N335,setup!$A$8:$H$58,7), VLOOKUP(0,setup!$A$8:$H$58,2),VLOOKUP(0,setup!$A$8:$H$58,5),VLOOKUP(N335,setup!$A$8:$H$58,8))</f>
        <v xml:space="preserve">       $daofactory = NULL;</v>
      </c>
    </row>
    <row r="336" spans="1:15" x14ac:dyDescent="0.25">
      <c r="A336" s="8" t="s">
        <v>161</v>
      </c>
      <c r="O336" s="7" t="str">
        <f ca="1">getCodigoBackend(N336,A336,VLOOKUP(N336,setup!$A$8:$H$58,2),VLOOKUP(N336,setup!$A$8:$H$58,3),VLOOKUP(N336,setup!$A$8:$H$58,4),VLOOKUP(N336,setup!$A$8:$H$58,5),VLOOKUP(N336,setup!$A$8:$H$58,6),VLOOKUP(N336,setup!$A$8:$H$58,7), VLOOKUP(0,setup!$A$8:$H$58,2),VLOOKUP(0,setup!$A$8:$H$58,5),VLOOKUP(N336,setup!$A$8:$H$58,8))</f>
        <v xml:space="preserve">       $retorno = NULL;</v>
      </c>
    </row>
    <row r="337" spans="1:15" x14ac:dyDescent="0.25">
      <c r="A337" s="5" t="s">
        <v>164</v>
      </c>
      <c r="O337" s="7" t="str">
        <f ca="1">getCodigoBackend(N337,A337,VLOOKUP(N337,setup!$A$8:$H$58,2),VLOOKUP(N337,setup!$A$8:$H$58,3),VLOOKUP(N337,setup!$A$8:$H$58,4),VLOOKUP(N337,setup!$A$8:$H$58,5),VLOOKUP(N337,setup!$A$8:$H$58,6),VLOOKUP(N337,setup!$A$8:$H$58,7), VLOOKUP(0,setup!$A$8:$H$58,2),VLOOKUP(0,setup!$A$8:$H$58,5),VLOOKUP(N337,setup!$A$8:$H$58,8))</f>
        <v xml:space="preserve">       try {</v>
      </c>
    </row>
    <row r="338" spans="1:15" x14ac:dyDescent="0.25">
      <c r="A338" s="8" t="s">
        <v>165</v>
      </c>
      <c r="O338" s="7" t="str">
        <f ca="1">getCodigoBackend(N338,A338,VLOOKUP(N338,setup!$A$8:$H$58,2),VLOOKUP(N338,setup!$A$8:$H$58,3),VLOOKUP(N338,setup!$A$8:$H$58,4),VLOOKUP(N338,setup!$A$8:$H$58,5),VLOOKUP(N338,setup!$A$8:$H$58,6),VLOOKUP(N338,setup!$A$8:$H$58,7), VLOOKUP(0,setup!$A$8:$H$58,2),VLOOKUP(0,setup!$A$8:$H$58,5),VLOOKUP(N338,setup!$A$8:$H$58,8))</f>
        <v xml:space="preserve">           $daofactory = DAOFactory::getDAOFactory();</v>
      </c>
    </row>
    <row r="339" spans="1:15" x14ac:dyDescent="0.25">
      <c r="A339" s="8" t="s">
        <v>166</v>
      </c>
      <c r="O339" s="7" t="str">
        <f ca="1">getCodigoBackend(N339,A339,VLOOKUP(N339,setup!$A$8:$H$58,2),VLOOKUP(N339,setup!$A$8:$H$58,3),VLOOKUP(N339,setup!$A$8:$H$58,4),VLOOKUP(N339,setup!$A$8:$H$58,5),VLOOKUP(N339,setup!$A$8:$H$58,6),VLOOKUP(N339,setup!$A$8:$H$58,7), VLOOKUP(0,setup!$A$8:$H$58,2),VLOOKUP(0,setup!$A$8:$H$58,5),VLOOKUP(N339,setup!$A$8:$H$58,8))</f>
        <v xml:space="preserve">           $daofactory-&gt;open();</v>
      </c>
    </row>
    <row r="340" spans="1:15" x14ac:dyDescent="0.25">
      <c r="A340" s="8" t="s">
        <v>167</v>
      </c>
      <c r="O340" s="7" t="str">
        <f ca="1">getCodigoBackend(N340,A340,VLOOKUP(N340,setup!$A$8:$H$58,2),VLOOKUP(N340,setup!$A$8:$H$58,3),VLOOKUP(N340,setup!$A$8:$H$58,4),VLOOKUP(N340,setup!$A$8:$H$58,5),VLOOKUP(N340,setup!$A$8:$H$58,6),VLOOKUP(N340,setup!$A$8:$H$58,7), VLOOKUP(0,setup!$A$8:$H$58,2),VLOOKUP(0,setup!$A$8:$H$58,5),VLOOKUP(N340,setup!$A$8:$H$58,8))</f>
        <v xml:space="preserve">           $daofactory-&gt;beginTransaction();</v>
      </c>
    </row>
    <row r="341" spans="1:15" x14ac:dyDescent="0.25">
      <c r="O341" s="7" t="str">
        <f ca="1">getCodigoBackend(N341,A341,VLOOKUP(N341,setup!$A$8:$H$58,2),VLOOKUP(N341,setup!$A$8:$H$58,3),VLOOKUP(N341,setup!$A$8:$H$58,4),VLOOKUP(N341,setup!$A$8:$H$58,5),VLOOKUP(N341,setup!$A$8:$H$58,6),VLOOKUP(N341,setup!$A$8:$H$58,7), VLOOKUP(0,setup!$A$8:$H$58,2),VLOOKUP(0,setup!$A$8:$H$58,5),VLOOKUP(N341,setup!$A$8:$H$58,8))</f>
        <v/>
      </c>
    </row>
    <row r="342" spans="1:15" x14ac:dyDescent="0.25">
      <c r="A342" s="4" t="s">
        <v>168</v>
      </c>
      <c r="O342" s="7" t="str">
        <f ca="1">getCodigoBackend(N342,A342,VLOOKUP(N342,setup!$A$8:$H$58,2),VLOOKUP(N342,setup!$A$8:$H$58,3),VLOOKUP(N342,setup!$A$8:$H$58,4),VLOOKUP(N342,setup!$A$8:$H$58,5),VLOOKUP(N342,setup!$A$8:$H$58,6),VLOOKUP(N342,setup!$A$8:$H$58,7), VLOOKUP(0,setup!$A$8:$H$58,2),VLOOKUP(0,setup!$A$8:$H$58,5),VLOOKUP(N342,setup!$A$8:$H$58,8))</f>
        <v xml:space="preserve">           //Se qtde por página é indefinido (=0) busca valor default do variavel</v>
      </c>
    </row>
    <row r="343" spans="1:15" x14ac:dyDescent="0.25">
      <c r="A343" s="5" t="s">
        <v>169</v>
      </c>
      <c r="O343" s="7" t="str">
        <f ca="1">getCodigoBackend(N343,A343,VLOOKUP(N343,setup!$A$8:$H$58,2),VLOOKUP(N343,setup!$A$8:$H$58,3),VLOOKUP(N343,setup!$A$8:$H$58,4),VLOOKUP(N343,setup!$A$8:$H$58,5),VLOOKUP(N343,setup!$A$8:$H$58,6),VLOOKUP(N343,setup!$A$8:$H$58,7), VLOOKUP(0,setup!$A$8:$H$58,2),VLOOKUP(0,setup!$A$8:$H$58,5),VLOOKUP(N343,setup!$A$8:$H$58,8))</f>
        <v xml:space="preserve">           if($qtde == 0){</v>
      </c>
    </row>
    <row r="344" spans="1:15" x14ac:dyDescent="0.25">
      <c r="A344" s="8" t="s">
        <v>170</v>
      </c>
      <c r="O344" s="7" t="str">
        <f ca="1">getCodigoBackend(N344,A344,VLOOKUP(N344,setup!$A$8:$H$58,2),VLOOKUP(N344,setup!$A$8:$H$58,3),VLOOKUP(N344,setup!$A$8:$H$58,4),VLOOKUP(N344,setup!$A$8:$H$58,5),VLOOKUP(N344,setup!$A$8:$H$58,6),VLOOKUP(N344,setup!$A$8:$H$58,7), VLOOKUP(0,setup!$A$8:$H$58,2),VLOOKUP(0,setup!$A$8:$H$58,5),VLOOKUP(N344,setup!$A$8:$H$58,8))</f>
        <v xml:space="preserve">               $qtde = (int) VariavelCache::getInstance()-&gt;getVariavel(ConstantesVariavel::MAXIMO_LINHAS_POR_PAGINA_DEFAULT);</v>
      </c>
    </row>
    <row r="345" spans="1:15" x14ac:dyDescent="0.25">
      <c r="A345" s="6" t="s">
        <v>171</v>
      </c>
      <c r="O345" s="7" t="str">
        <f ca="1">getCodigoBackend(N345,A345,VLOOKUP(N345,setup!$A$8:$H$58,2),VLOOKUP(N345,setup!$A$8:$H$58,3),VLOOKUP(N345,setup!$A$8:$H$58,4),VLOOKUP(N345,setup!$A$8:$H$58,5),VLOOKUP(N345,setup!$A$8:$H$58,6),VLOOKUP(N345,setup!$A$8:$H$58,7), VLOOKUP(0,setup!$A$8:$H$58,2),VLOOKUP(0,setup!$A$8:$H$58,5),VLOOKUP(N345,setup!$A$8:$H$58,8))</f>
        <v xml:space="preserve">           }</v>
      </c>
    </row>
    <row r="346" spans="1:15" x14ac:dyDescent="0.25">
      <c r="A346" s="4" t="s">
        <v>270</v>
      </c>
      <c r="O346" s="7" t="str">
        <f ca="1">getCodigoBackend(N346,A346,VLOOKUP(N346,setup!$A$8:$H$58,2),VLOOKUP(N346,setup!$A$8:$H$58,3),VLOOKUP(N346,setup!$A$8:$H$58,4),VLOOKUP(N346,setup!$A$8:$H$58,5),VLOOKUP(N346,setup!$A$8:$H$58,6),VLOOKUP(N346,setup!$A$8:$H$58,7), VLOOKUP(0,setup!$A$8:$H$58,2),VLOOKUP(0,setup!$A$8:$H$58,5),VLOOKUP(N346,setup!$A$8:$H$58,8))</f>
        <v xml:space="preserve">           // listar paginado CampanhaCashbackResgatePix</v>
      </c>
    </row>
    <row r="347" spans="1:15" x14ac:dyDescent="0.25">
      <c r="A347" s="8" t="s">
        <v>271</v>
      </c>
      <c r="O347" s="7" t="str">
        <f ca="1">getCodigoBackend(N347,A347,VLOOKUP(N347,setup!$A$8:$H$58,2),VLOOKUP(N347,setup!$A$8:$H$58,3),VLOOKUP(N347,setup!$A$8:$H$58,4),VLOOKUP(N347,setup!$A$8:$H$58,5),VLOOKUP(N347,setup!$A$8:$H$58,6),VLOOKUP(N347,setup!$A$8:$H$58,7), VLOOKUP(0,setup!$A$8:$H$58,2),VLOOKUP(0,setup!$A$8:$H$58,5),VLOOKUP(N347,setup!$A$8:$H$58,8))</f>
        <v xml:space="preserve">           $bo = new CampanhaCashbackResgatePixBusinessImpl();</v>
      </c>
    </row>
    <row r="348" spans="1:15" x14ac:dyDescent="0.25">
      <c r="A348" s="8" t="s">
        <v>272</v>
      </c>
      <c r="O348" s="7" t="str">
        <f ca="1">getCodigoBackend(N348,A348,VLOOKUP(N348,setup!$A$8:$H$58,2),VLOOKUP(N348,setup!$A$8:$H$58,3),VLOOKUP(N348,setup!$A$8:$H$58,4),VLOOKUP(N348,setup!$A$8:$H$58,5),VLOOKUP(N348,setup!$A$8:$H$58,6),VLOOKUP(N348,setup!$A$8:$H$58,7), VLOOKUP(0,setup!$A$8:$H$58,2),VLOOKUP(0,setup!$A$8:$H$58,5),VLOOKUP(N348,setup!$A$8:$H$58,8))</f>
        <v xml:space="preserve">           $retorno = $bo-&gt;listarCampanhaCashbackResgatePixPorStatus($daofactory, $status, $pag, $qtde, $coluna, $ordem);</v>
      </c>
    </row>
    <row r="349" spans="1:15" x14ac:dyDescent="0.25">
      <c r="A349" s="8" t="s">
        <v>172</v>
      </c>
      <c r="O349" s="7" t="str">
        <f ca="1">getCodigoBackend(N349,A349,VLOOKUP(N349,setup!$A$8:$H$58,2),VLOOKUP(N349,setup!$A$8:$H$58,3),VLOOKUP(N349,setup!$A$8:$H$58,4),VLOOKUP(N349,setup!$A$8:$H$58,5),VLOOKUP(N349,setup!$A$8:$H$58,6),VLOOKUP(N349,setup!$A$8:$H$58,7), VLOOKUP(0,setup!$A$8:$H$58,2),VLOOKUP(0,setup!$A$8:$H$58,5),VLOOKUP(N349,setup!$A$8:$H$58,8))</f>
        <v xml:space="preserve">           $daofactory-&gt;commit();</v>
      </c>
    </row>
    <row r="350" spans="1:15" x14ac:dyDescent="0.25">
      <c r="A350" s="6" t="s">
        <v>173</v>
      </c>
      <c r="O350" s="7" t="str">
        <f ca="1">getCodigoBackend(N350,A350,VLOOKUP(N350,setup!$A$8:$H$58,2),VLOOKUP(N350,setup!$A$8:$H$58,3),VLOOKUP(N350,setup!$A$8:$H$58,4),VLOOKUP(N350,setup!$A$8:$H$58,5),VLOOKUP(N350,setup!$A$8:$H$58,6),VLOOKUP(N350,setup!$A$8:$H$58,7), VLOOKUP(0,setup!$A$8:$H$58,2),VLOOKUP(0,setup!$A$8:$H$58,5),VLOOKUP(N350,setup!$A$8:$H$58,8))</f>
        <v xml:space="preserve">       } catch (Exception $e) {</v>
      </c>
    </row>
    <row r="351" spans="1:15" x14ac:dyDescent="0.25">
      <c r="A351" s="4" t="s">
        <v>174</v>
      </c>
      <c r="O351" s="7" t="str">
        <f ca="1">getCodigoBackend(N351,A351,VLOOKUP(N351,setup!$A$8:$H$58,2),VLOOKUP(N351,setup!$A$8:$H$58,3),VLOOKUP(N351,setup!$A$8:$H$58,4),VLOOKUP(N351,setup!$A$8:$H$58,5),VLOOKUP(N351,setup!$A$8:$H$58,6),VLOOKUP(N351,setup!$A$8:$H$58,7), VLOOKUP(0,setup!$A$8:$H$58,2),VLOOKUP(0,setup!$A$8:$H$58,5),VLOOKUP(N351,setup!$A$8:$H$58,8))</f>
        <v xml:space="preserve">           // rollback na transação</v>
      </c>
    </row>
    <row r="352" spans="1:15" x14ac:dyDescent="0.25">
      <c r="A352" t="s">
        <v>158</v>
      </c>
      <c r="O352" s="7" t="str">
        <f ca="1">getCodigoBackend(N352,A352,VLOOKUP(N352,setup!$A$8:$H$58,2),VLOOKUP(N352,setup!$A$8:$H$58,3),VLOOKUP(N352,setup!$A$8:$H$58,4),VLOOKUP(N352,setup!$A$8:$H$58,5),VLOOKUP(N352,setup!$A$8:$H$58,6),VLOOKUP(N352,setup!$A$8:$H$58,7), VLOOKUP(0,setup!$A$8:$H$58,2),VLOOKUP(0,setup!$A$8:$H$58,5),VLOOKUP(N352,setup!$A$8:$H$58,8))</f>
        <v xml:space="preserve">        </v>
      </c>
    </row>
    <row r="353" spans="1:15" x14ac:dyDescent="0.25">
      <c r="A353" s="6" t="s">
        <v>175</v>
      </c>
      <c r="O353" s="7" t="str">
        <f ca="1">getCodigoBackend(N353,A353,VLOOKUP(N353,setup!$A$8:$H$58,2),VLOOKUP(N353,setup!$A$8:$H$58,3),VLOOKUP(N353,setup!$A$8:$H$58,4),VLOOKUP(N353,setup!$A$8:$H$58,5),VLOOKUP(N353,setup!$A$8:$H$58,6),VLOOKUP(N353,setup!$A$8:$H$58,7), VLOOKUP(0,setup!$A$8:$H$58,2),VLOOKUP(0,setup!$A$8:$H$58,5),VLOOKUP(N353,setup!$A$8:$H$58,8))</f>
        <v xml:space="preserve">       } finally {</v>
      </c>
    </row>
    <row r="354" spans="1:15" x14ac:dyDescent="0.25">
      <c r="A354" s="5" t="s">
        <v>176</v>
      </c>
      <c r="O354" s="7" t="str">
        <f ca="1">getCodigoBackend(N354,A354,VLOOKUP(N354,setup!$A$8:$H$58,2),VLOOKUP(N354,setup!$A$8:$H$58,3),VLOOKUP(N354,setup!$A$8:$H$58,4),VLOOKUP(N354,setup!$A$8:$H$58,5),VLOOKUP(N354,setup!$A$8:$H$58,6),VLOOKUP(N354,setup!$A$8:$H$58,7), VLOOKUP(0,setup!$A$8:$H$58,2),VLOOKUP(0,setup!$A$8:$H$58,5),VLOOKUP(N354,setup!$A$8:$H$58,8))</f>
        <v xml:space="preserve">           try {</v>
      </c>
    </row>
    <row r="355" spans="1:15" x14ac:dyDescent="0.25">
      <c r="A355" s="8" t="s">
        <v>177</v>
      </c>
      <c r="O355" s="7" t="str">
        <f ca="1">getCodigoBackend(N355,A355,VLOOKUP(N355,setup!$A$8:$H$58,2),VLOOKUP(N355,setup!$A$8:$H$58,3),VLOOKUP(N355,setup!$A$8:$H$58,4),VLOOKUP(N355,setup!$A$8:$H$58,5),VLOOKUP(N355,setup!$A$8:$H$58,6),VLOOKUP(N355,setup!$A$8:$H$58,7), VLOOKUP(0,setup!$A$8:$H$58,2),VLOOKUP(0,setup!$A$8:$H$58,5),VLOOKUP(N355,setup!$A$8:$H$58,8))</f>
        <v xml:space="preserve">               $daofactory-&gt;close();</v>
      </c>
    </row>
    <row r="356" spans="1:15" x14ac:dyDescent="0.25">
      <c r="A356" s="6" t="s">
        <v>178</v>
      </c>
      <c r="O356" s="7" t="str">
        <f ca="1">getCodigoBackend(N356,A356,VLOOKUP(N356,setup!$A$8:$H$58,2),VLOOKUP(N356,setup!$A$8:$H$58,3),VLOOKUP(N356,setup!$A$8:$H$58,4),VLOOKUP(N356,setup!$A$8:$H$58,5),VLOOKUP(N356,setup!$A$8:$H$58,6),VLOOKUP(N356,setup!$A$8:$H$58,7), VLOOKUP(0,setup!$A$8:$H$58,2),VLOOKUP(0,setup!$A$8:$H$58,5),VLOOKUP(N356,setup!$A$8:$H$58,8))</f>
        <v xml:space="preserve">           } catch (Exception $e) {</v>
      </c>
    </row>
    <row r="357" spans="1:15" x14ac:dyDescent="0.25">
      <c r="A357" s="4" t="s">
        <v>179</v>
      </c>
      <c r="O357" s="7" t="str">
        <f ca="1">getCodigoBackend(N357,A357,VLOOKUP(N357,setup!$A$8:$H$58,2),VLOOKUP(N357,setup!$A$8:$H$58,3),VLOOKUP(N357,setup!$A$8:$H$58,4),VLOOKUP(N357,setup!$A$8:$H$58,5),VLOOKUP(N357,setup!$A$8:$H$58,6),VLOOKUP(N357,setup!$A$8:$H$58,7), VLOOKUP(0,setup!$A$8:$H$58,2),VLOOKUP(0,setup!$A$8:$H$58,5),VLOOKUP(N357,setup!$A$8:$H$58,8))</f>
        <v xml:space="preserve">               // faz algo</v>
      </c>
    </row>
    <row r="358" spans="1:15" x14ac:dyDescent="0.25">
      <c r="A358" s="6" t="s">
        <v>171</v>
      </c>
      <c r="O358" s="7" t="str">
        <f ca="1">getCodigoBackend(N358,A358,VLOOKUP(N358,setup!$A$8:$H$58,2),VLOOKUP(N358,setup!$A$8:$H$58,3),VLOOKUP(N358,setup!$A$8:$H$58,4),VLOOKUP(N358,setup!$A$8:$H$58,5),VLOOKUP(N358,setup!$A$8:$H$58,6),VLOOKUP(N358,setup!$A$8:$H$58,7), VLOOKUP(0,setup!$A$8:$H$58,2),VLOOKUP(0,setup!$A$8:$H$58,5),VLOOKUP(N358,setup!$A$8:$H$58,8))</f>
        <v xml:space="preserve">           }</v>
      </c>
    </row>
    <row r="359" spans="1:15" x14ac:dyDescent="0.25">
      <c r="A359" s="6" t="s">
        <v>180</v>
      </c>
      <c r="O359" s="7" t="str">
        <f ca="1">getCodigoBackend(N359,A359,VLOOKUP(N359,setup!$A$8:$H$58,2),VLOOKUP(N359,setup!$A$8:$H$58,3),VLOOKUP(N359,setup!$A$8:$H$58,4),VLOOKUP(N359,setup!$A$8:$H$58,5),VLOOKUP(N359,setup!$A$8:$H$58,6),VLOOKUP(N359,setup!$A$8:$H$58,7), VLOOKUP(0,setup!$A$8:$H$58,2),VLOOKUP(0,setup!$A$8:$H$58,5),VLOOKUP(N359,setup!$A$8:$H$58,8))</f>
        <v xml:space="preserve">       }</v>
      </c>
    </row>
    <row r="360" spans="1:15" x14ac:dyDescent="0.25">
      <c r="O360" s="7" t="str">
        <f ca="1">getCodigoBackend(N360,A360,VLOOKUP(N360,setup!$A$8:$H$58,2),VLOOKUP(N360,setup!$A$8:$H$58,3),VLOOKUP(N360,setup!$A$8:$H$58,4),VLOOKUP(N360,setup!$A$8:$H$58,5),VLOOKUP(N360,setup!$A$8:$H$58,6),VLOOKUP(N360,setup!$A$8:$H$58,7), VLOOKUP(0,setup!$A$8:$H$58,2),VLOOKUP(0,setup!$A$8:$H$58,5),VLOOKUP(N360,setup!$A$8:$H$58,8))</f>
        <v/>
      </c>
    </row>
    <row r="361" spans="1:15" x14ac:dyDescent="0.25">
      <c r="A361" s="5" t="s">
        <v>163</v>
      </c>
      <c r="O361" s="7" t="str">
        <f ca="1">getCodigoBackend(N361,A361,VLOOKUP(N361,setup!$A$8:$H$58,2),VLOOKUP(N361,setup!$A$8:$H$58,3),VLOOKUP(N361,setup!$A$8:$H$58,4),VLOOKUP(N361,setup!$A$8:$H$58,5),VLOOKUP(N361,setup!$A$8:$H$58,6),VLOOKUP(N361,setup!$A$8:$H$58,7), VLOOKUP(0,setup!$A$8:$H$58,2),VLOOKUP(0,setup!$A$8:$H$58,5),VLOOKUP(N361,setup!$A$8:$H$58,8))</f>
        <v xml:space="preserve">       return $retorno;</v>
      </c>
    </row>
    <row r="362" spans="1:15" x14ac:dyDescent="0.25">
      <c r="A362" s="6" t="s">
        <v>162</v>
      </c>
      <c r="O362" s="7" t="str">
        <f ca="1">getCodigoBackend(N362,A362,VLOOKUP(N362,setup!$A$8:$H$58,2),VLOOKUP(N362,setup!$A$8:$H$58,3),VLOOKUP(N362,setup!$A$8:$H$58,4),VLOOKUP(N362,setup!$A$8:$H$58,5),VLOOKUP(N362,setup!$A$8:$H$58,6),VLOOKUP(N362,setup!$A$8:$H$58,7), VLOOKUP(0,setup!$A$8:$H$58,2),VLOOKUP(0,setup!$A$8:$H$58,5),VLOOKUP(N362,setup!$A$8:$H$58,8))</f>
        <v xml:space="preserve">   }</v>
      </c>
    </row>
    <row r="363" spans="1:15" x14ac:dyDescent="0.25">
      <c r="A363" s="6"/>
      <c r="O363" s="7" t="str">
        <f ca="1">getCodigoBackend(N363,A363,VLOOKUP(N363,setup!$A$8:$H$58,2),VLOOKUP(N363,setup!$A$8:$H$58,3),VLOOKUP(N363,setup!$A$8:$H$58,4),VLOOKUP(N363,setup!$A$8:$H$58,5),VLOOKUP(N363,setup!$A$8:$H$58,6),VLOOKUP(N363,setup!$A$8:$H$58,7), VLOOKUP(0,setup!$A$8:$H$58,2),VLOOKUP(0,setup!$A$8:$H$58,5),VLOOKUP(N363,setup!$A$8:$H$58,8))</f>
        <v/>
      </c>
    </row>
    <row r="364" spans="1:15" x14ac:dyDescent="0.25">
      <c r="A364" s="4" t="s">
        <v>19</v>
      </c>
      <c r="N364">
        <v>1</v>
      </c>
      <c r="O364" s="7" t="str">
        <f ca="1">getCodigoBackend(N364,A364,VLOOKUP(N364,setup!$A$8:$H$58,2),VLOOKUP(N364,setup!$A$8:$H$58,3),VLOOKUP(N364,setup!$A$8:$H$58,4),VLOOKUP(N364,setup!$A$8:$H$58,5),VLOOKUP(N364,setup!$A$8:$H$58,6),VLOOKUP(N364,setup!$A$8:$H$58,7), VLOOKUP(0,setup!$A$8:$H$58,2),VLOOKUP(0,setup!$A$8:$H$58,5),VLOOKUP(N364,setup!$A$8:$H$58,8))</f>
        <v>/**</v>
      </c>
    </row>
    <row r="365" spans="1:15" x14ac:dyDescent="0.25">
      <c r="A365" s="4" t="s">
        <v>20</v>
      </c>
      <c r="N365">
        <v>1</v>
      </c>
      <c r="O365" s="7" t="str">
        <f ca="1">getCodigoBackend(N365,A365,VLOOKUP(N365,setup!$A$8:$H$58,2),VLOOKUP(N365,setup!$A$8:$H$58,3),VLOOKUP(N365,setup!$A$8:$H$58,4),VLOOKUP(N365,setup!$A$8:$H$58,5),VLOOKUP(N365,setup!$A$8:$H$58,6),VLOOKUP(N365,setup!$A$8:$H$58,7), VLOOKUP(0,setup!$A$8:$H$58,2),VLOOKUP(0,setup!$A$8:$H$58,5),VLOOKUP(N365,setup!$A$8:$H$58,8))</f>
        <v>*</v>
      </c>
    </row>
    <row r="366" spans="1:15" x14ac:dyDescent="0.25">
      <c r="A366" s="4" t="s">
        <v>716</v>
      </c>
      <c r="N366">
        <v>1</v>
      </c>
      <c r="O366" s="7" t="str">
        <f ca="1">getCodigoBackend(N366,A366,VLOOKUP(N366,setup!$A$8:$H$58,2),VLOOKUP(N366,setup!$A$8:$H$58,3),VLOOKUP(N366,setup!$A$8:$H$58,4),VLOOKUP(N366,setup!$A$8:$H$58,5),VLOOKUP(N366,setup!$A$8:$H$58,6),VLOOKUP(N366,setup!$A$8:$H$58,7), VLOOKUP(0,setup!$A$8:$H$58,2),VLOOKUP(0,setup!$A$8:$H$58,5),VLOOKUP(N366,setup!$A$8:$H$58,8))</f>
        <v>* pesquisarPorIdcampanhacashback() - Usado para invocar a classe de negócio CampanhaCashbackResgatePixBusinessImpl de forma geral</v>
      </c>
    </row>
    <row r="367" spans="1:15" x14ac:dyDescent="0.25">
      <c r="A367" s="4" t="s">
        <v>717</v>
      </c>
      <c r="N367">
        <v>1</v>
      </c>
      <c r="O367" s="7" t="str">
        <f ca="1">getCodigoBackend(N367,A367,VLOOKUP(N367,setup!$A$8:$H$58,2),VLOOKUP(N367,setup!$A$8:$H$58,3),VLOOKUP(N367,setup!$A$8:$H$58,4),VLOOKUP(N367,setup!$A$8:$H$58,5),VLOOKUP(N367,setup!$A$8:$H$58,6),VLOOKUP(N367,setup!$A$8:$H$58,7), VLOOKUP(0,setup!$A$8:$H$58,2),VLOOKUP(0,setup!$A$8:$H$58,5),VLOOKUP(N367,setup!$A$8:$H$58,8))</f>
        <v>* realizar uma busca de ID Campanha x Cashback diretamente na tabela CAMPANHA_CASHBACK_RESGATE_PIX campo CACA_ID</v>
      </c>
    </row>
    <row r="368" spans="1:15" x14ac:dyDescent="0.25">
      <c r="A368" s="4" t="s">
        <v>20</v>
      </c>
      <c r="N368">
        <v>1</v>
      </c>
      <c r="O368" s="7" t="str">
        <f ca="1">getCodigoBackend(N368,A368,VLOOKUP(N368,setup!$A$8:$H$58,2),VLOOKUP(N368,setup!$A$8:$H$58,3),VLOOKUP(N368,setup!$A$8:$H$58,4),VLOOKUP(N368,setup!$A$8:$H$58,5),VLOOKUP(N368,setup!$A$8:$H$58,6),VLOOKUP(N368,setup!$A$8:$H$58,7), VLOOKUP(0,setup!$A$8:$H$58,2),VLOOKUP(0,setup!$A$8:$H$58,5),VLOOKUP(N368,setup!$A$8:$H$58,8))</f>
        <v>*</v>
      </c>
    </row>
    <row r="369" spans="1:15" x14ac:dyDescent="0.25">
      <c r="A369" s="4" t="s">
        <v>723</v>
      </c>
      <c r="N369">
        <v>1</v>
      </c>
      <c r="O369" s="7" t="str">
        <f ca="1">getCodigoBackend(N369,A369,VLOOKUP(N369,setup!$A$8:$H$58,2),VLOOKUP(N369,setup!$A$8:$H$58,3),VLOOKUP(N369,setup!$A$8:$H$58,4),VLOOKUP(N369,setup!$A$8:$H$58,5),VLOOKUP(N369,setup!$A$8:$H$58,6),VLOOKUP(N369,setup!$A$8:$H$58,7), VLOOKUP(0,setup!$A$8:$H$58,2),VLOOKUP(0,setup!$A$8:$H$58,5),VLOOKUP(N369,setup!$A$8:$H$58,8))</f>
        <v>* @param $idCampanhaCashback</v>
      </c>
    </row>
    <row r="370" spans="1:15" x14ac:dyDescent="0.25">
      <c r="A370" s="4" t="s">
        <v>347</v>
      </c>
      <c r="N370">
        <v>1</v>
      </c>
      <c r="O370" s="7" t="str">
        <f ca="1">getCodigoBackend(N370,A370,VLOOKUP(N370,setup!$A$8:$H$58,2),VLOOKUP(N370,setup!$A$8:$H$58,3),VLOOKUP(N370,setup!$A$8:$H$58,4),VLOOKUP(N370,setup!$A$8:$H$58,5),VLOOKUP(N370,setup!$A$8:$H$58,6),VLOOKUP(N370,setup!$A$8:$H$58,7), VLOOKUP(0,setup!$A$8:$H$58,2),VLOOKUP(0,setup!$A$8:$H$58,5),VLOOKUP(N370,setup!$A$8:$H$58,8))</f>
        <v>* @return CampanhaCashbackResgatePixDTO</v>
      </c>
    </row>
    <row r="371" spans="1:15" x14ac:dyDescent="0.25">
      <c r="A371" s="4" t="s">
        <v>20</v>
      </c>
      <c r="N371">
        <v>1</v>
      </c>
      <c r="O371" s="7" t="str">
        <f ca="1">getCodigoBackend(N371,A371,VLOOKUP(N371,setup!$A$8:$H$58,2),VLOOKUP(N371,setup!$A$8:$H$58,3),VLOOKUP(N371,setup!$A$8:$H$58,4),VLOOKUP(N371,setup!$A$8:$H$58,5),VLOOKUP(N371,setup!$A$8:$H$58,6),VLOOKUP(N371,setup!$A$8:$H$58,7), VLOOKUP(0,setup!$A$8:$H$58,2),VLOOKUP(0,setup!$A$8:$H$58,5),VLOOKUP(N371,setup!$A$8:$H$58,8))</f>
        <v>*</v>
      </c>
    </row>
    <row r="372" spans="1:15" x14ac:dyDescent="0.25">
      <c r="A372" s="4" t="s">
        <v>75</v>
      </c>
      <c r="N372">
        <v>1</v>
      </c>
      <c r="O372" s="7" t="str">
        <f ca="1">getCodigoBackend(N372,A372,VLOOKUP(N372,setup!$A$8:$H$58,2),VLOOKUP(N372,setup!$A$8:$H$58,3),VLOOKUP(N372,setup!$A$8:$H$58,4),VLOOKUP(N372,setup!$A$8:$H$58,5),VLOOKUP(N372,setup!$A$8:$H$58,6),VLOOKUP(N372,setup!$A$8:$H$58,7), VLOOKUP(0,setup!$A$8:$H$58,2),VLOOKUP(0,setup!$A$8:$H$58,5),VLOOKUP(N372,setup!$A$8:$H$58,8))</f>
        <v xml:space="preserve">* </v>
      </c>
    </row>
    <row r="373" spans="1:15" x14ac:dyDescent="0.25">
      <c r="A373" s="4" t="s">
        <v>21</v>
      </c>
      <c r="N373">
        <v>1</v>
      </c>
      <c r="O373" s="7" t="str">
        <f ca="1">getCodigoBackend(N373,A373,VLOOKUP(N373,setup!$A$8:$H$58,2),VLOOKUP(N373,setup!$A$8:$H$58,3),VLOOKUP(N373,setup!$A$8:$H$58,4),VLOOKUP(N373,setup!$A$8:$H$58,5),VLOOKUP(N373,setup!$A$8:$H$58,6),VLOOKUP(N373,setup!$A$8:$H$58,7), VLOOKUP(0,setup!$A$8:$H$58,2),VLOOKUP(0,setup!$A$8:$H$58,5),VLOOKUP(N373,setup!$A$8:$H$58,8))</f>
        <v>*/</v>
      </c>
    </row>
    <row r="374" spans="1:15" x14ac:dyDescent="0.25">
      <c r="N374">
        <v>1</v>
      </c>
      <c r="O374" s="7" t="str">
        <f ca="1">getCodigoBackend(N374,A374,VLOOKUP(N374,setup!$A$8:$H$58,2),VLOOKUP(N374,setup!$A$8:$H$58,3),VLOOKUP(N374,setup!$A$8:$H$58,4),VLOOKUP(N374,setup!$A$8:$H$58,5),VLOOKUP(N374,setup!$A$8:$H$58,6),VLOOKUP(N374,setup!$A$8:$H$58,7), VLOOKUP(0,setup!$A$8:$H$58,2),VLOOKUP(0,setup!$A$8:$H$58,5),VLOOKUP(N374,setup!$A$8:$H$58,8))</f>
        <v/>
      </c>
    </row>
    <row r="375" spans="1:15" x14ac:dyDescent="0.25">
      <c r="A375" s="6" t="s">
        <v>720</v>
      </c>
      <c r="N375">
        <v>1</v>
      </c>
      <c r="O375" s="7" t="str">
        <f ca="1">getCodigoBackend(N375,A375,VLOOKUP(N375,setup!$A$8:$H$58,2),VLOOKUP(N375,setup!$A$8:$H$58,3),VLOOKUP(N375,setup!$A$8:$H$58,4),VLOOKUP(N375,setup!$A$8:$H$58,5),VLOOKUP(N375,setup!$A$8:$H$58,6),VLOOKUP(N375,setup!$A$8:$H$58,7), VLOOKUP(0,setup!$A$8:$H$58,2),VLOOKUP(0,setup!$A$8:$H$58,5),VLOOKUP(N375,setup!$A$8:$H$58,8))</f>
        <v>    public function pesquisarPorIdcampanhacashback($idCampanhaCashback)</v>
      </c>
    </row>
    <row r="376" spans="1:15" x14ac:dyDescent="0.25">
      <c r="A376" s="6" t="s">
        <v>38</v>
      </c>
      <c r="N376">
        <v>1</v>
      </c>
      <c r="O376" s="7" t="str">
        <f ca="1">getCodigoBackend(N376,A376,VLOOKUP(N376,setup!$A$8:$H$58,2),VLOOKUP(N376,setup!$A$8:$H$58,3),VLOOKUP(N376,setup!$A$8:$H$58,4),VLOOKUP(N376,setup!$A$8:$H$58,5),VLOOKUP(N376,setup!$A$8:$H$58,6),VLOOKUP(N376,setup!$A$8:$H$58,7), VLOOKUP(0,setup!$A$8:$H$58,2),VLOOKUP(0,setup!$A$8:$H$58,5),VLOOKUP(N376,setup!$A$8:$H$58,8))</f>
        <v>    {</v>
      </c>
    </row>
    <row r="377" spans="1:15" x14ac:dyDescent="0.25">
      <c r="A377" s="6" t="s">
        <v>39</v>
      </c>
      <c r="N377">
        <v>1</v>
      </c>
      <c r="O377" s="7" t="str">
        <f ca="1">getCodigoBackend(N377,A377,VLOOKUP(N377,setup!$A$8:$H$58,2),VLOOKUP(N377,setup!$A$8:$H$58,3),VLOOKUP(N377,setup!$A$8:$H$58,4),VLOOKUP(N377,setup!$A$8:$H$58,5),VLOOKUP(N377,setup!$A$8:$H$58,6),VLOOKUP(N377,setup!$A$8:$H$58,7), VLOOKUP(0,setup!$A$8:$H$58,2),VLOOKUP(0,setup!$A$8:$H$58,5),VLOOKUP(N377,setup!$A$8:$H$58,8))</f>
        <v>        $daofactory = NULL;</v>
      </c>
    </row>
    <row r="378" spans="1:15" x14ac:dyDescent="0.25">
      <c r="A378" s="6" t="s">
        <v>40</v>
      </c>
      <c r="N378">
        <v>1</v>
      </c>
      <c r="O378" s="7" t="str">
        <f ca="1">getCodigoBackend(N378,A378,VLOOKUP(N378,setup!$A$8:$H$58,2),VLOOKUP(N378,setup!$A$8:$H$58,3),VLOOKUP(N378,setup!$A$8:$H$58,4),VLOOKUP(N378,setup!$A$8:$H$58,5),VLOOKUP(N378,setup!$A$8:$H$58,6),VLOOKUP(N378,setup!$A$8:$H$58,7), VLOOKUP(0,setup!$A$8:$H$58,2),VLOOKUP(0,setup!$A$8:$H$58,5),VLOOKUP(N378,setup!$A$8:$H$58,8))</f>
        <v>        $retorno = NULL;</v>
      </c>
    </row>
    <row r="379" spans="1:15" x14ac:dyDescent="0.25">
      <c r="A379" s="6" t="s">
        <v>41</v>
      </c>
      <c r="N379">
        <v>1</v>
      </c>
      <c r="O379" s="7" t="str">
        <f ca="1">getCodigoBackend(N379,A379,VLOOKUP(N379,setup!$A$8:$H$58,2),VLOOKUP(N379,setup!$A$8:$H$58,3),VLOOKUP(N379,setup!$A$8:$H$58,4),VLOOKUP(N379,setup!$A$8:$H$58,5),VLOOKUP(N379,setup!$A$8:$H$58,6),VLOOKUP(N379,setup!$A$8:$H$58,7), VLOOKUP(0,setup!$A$8:$H$58,2),VLOOKUP(0,setup!$A$8:$H$58,5),VLOOKUP(N379,setup!$A$8:$H$58,8))</f>
        <v>        try {</v>
      </c>
    </row>
    <row r="380" spans="1:15" x14ac:dyDescent="0.25">
      <c r="A380" s="6" t="s">
        <v>42</v>
      </c>
      <c r="N380">
        <v>1</v>
      </c>
      <c r="O380" s="7" t="str">
        <f ca="1">getCodigoBackend(N380,A380,VLOOKUP(N380,setup!$A$8:$H$58,2),VLOOKUP(N380,setup!$A$8:$H$58,3),VLOOKUP(N380,setup!$A$8:$H$58,4),VLOOKUP(N380,setup!$A$8:$H$58,5),VLOOKUP(N380,setup!$A$8:$H$58,6),VLOOKUP(N380,setup!$A$8:$H$58,7), VLOOKUP(0,setup!$A$8:$H$58,2),VLOOKUP(0,setup!$A$8:$H$58,5),VLOOKUP(N380,setup!$A$8:$H$58,8))</f>
        <v>            $daofactory = DAOFactory::getDAOFactory();</v>
      </c>
    </row>
    <row r="381" spans="1:15" x14ac:dyDescent="0.25">
      <c r="A381" s="6" t="s">
        <v>43</v>
      </c>
      <c r="N381">
        <v>1</v>
      </c>
      <c r="O381" s="7" t="str">
        <f ca="1">getCodigoBackend(N381,A381,VLOOKUP(N381,setup!$A$8:$H$58,2),VLOOKUP(N381,setup!$A$8:$H$58,3),VLOOKUP(N381,setup!$A$8:$H$58,4),VLOOKUP(N381,setup!$A$8:$H$58,5),VLOOKUP(N381,setup!$A$8:$H$58,6),VLOOKUP(N381,setup!$A$8:$H$58,7), VLOOKUP(0,setup!$A$8:$H$58,2),VLOOKUP(0,setup!$A$8:$H$58,5),VLOOKUP(N381,setup!$A$8:$H$58,8))</f>
        <v>            $daofactory-&gt;open();</v>
      </c>
    </row>
    <row r="382" spans="1:15" x14ac:dyDescent="0.25">
      <c r="A382" s="6" t="s">
        <v>44</v>
      </c>
      <c r="N382">
        <v>1</v>
      </c>
      <c r="O382" s="7" t="str">
        <f ca="1">getCodigoBackend(N382,A382,VLOOKUP(N382,setup!$A$8:$H$58,2),VLOOKUP(N382,setup!$A$8:$H$58,3),VLOOKUP(N382,setup!$A$8:$H$58,4),VLOOKUP(N382,setup!$A$8:$H$58,5),VLOOKUP(N382,setup!$A$8:$H$58,6),VLOOKUP(N382,setup!$A$8:$H$58,7), VLOOKUP(0,setup!$A$8:$H$58,2),VLOOKUP(0,setup!$A$8:$H$58,5),VLOOKUP(N382,setup!$A$8:$H$58,8))</f>
        <v>            $daofactory-&gt;beginTransaction();</v>
      </c>
    </row>
    <row r="383" spans="1:15" x14ac:dyDescent="0.25">
      <c r="A383" s="6" t="s">
        <v>45</v>
      </c>
      <c r="N383">
        <v>1</v>
      </c>
      <c r="O383" s="7" t="str">
        <f ca="1">getCodigoBackend(N383,A383,VLOOKUP(N383,setup!$A$8:$H$58,2),VLOOKUP(N383,setup!$A$8:$H$58,3),VLOOKUP(N383,setup!$A$8:$H$58,4),VLOOKUP(N383,setup!$A$8:$H$58,5),VLOOKUP(N383,setup!$A$8:$H$58,6),VLOOKUP(N383,setup!$A$8:$H$58,7), VLOOKUP(0,setup!$A$8:$H$58,2),VLOOKUP(0,setup!$A$8:$H$58,5),VLOOKUP(N383,setup!$A$8:$H$58,8))</f>
        <v>            </v>
      </c>
    </row>
    <row r="384" spans="1:15" x14ac:dyDescent="0.25">
      <c r="A384" s="6" t="s">
        <v>722</v>
      </c>
      <c r="N384">
        <v>1</v>
      </c>
      <c r="O384" s="7" t="str">
        <f ca="1">getCodigoBackend(N384,A384,VLOOKUP(N384,setup!$A$8:$H$58,2),VLOOKUP(N384,setup!$A$8:$H$58,3),VLOOKUP(N384,setup!$A$8:$H$58,4),VLOOKUP(N384,setup!$A$8:$H$58,5),VLOOKUP(N384,setup!$A$8:$H$58,6),VLOOKUP(N384,setup!$A$8:$H$58,7), VLOOKUP(0,setup!$A$8:$H$58,2),VLOOKUP(0,setup!$A$8:$H$58,5),VLOOKUP(N384,setup!$A$8:$H$58,8))</f>
        <v>            // pesquisar pelo atributo CampanhaCashbackResgatePix.idCampanhaCashback no campo CACA_ID da tabela CAMPANHA_CASHBACK_RESGATE_PIX</v>
      </c>
    </row>
    <row r="385" spans="1:15" x14ac:dyDescent="0.25">
      <c r="A385" s="6" t="s">
        <v>265</v>
      </c>
      <c r="N385">
        <v>1</v>
      </c>
      <c r="O385" s="7" t="str">
        <f ca="1">getCodigoBackend(N385,A385,VLOOKUP(N385,setup!$A$8:$H$58,2),VLOOKUP(N385,setup!$A$8:$H$58,3),VLOOKUP(N385,setup!$A$8:$H$58,4),VLOOKUP(N385,setup!$A$8:$H$58,5),VLOOKUP(N385,setup!$A$8:$H$58,6),VLOOKUP(N385,setup!$A$8:$H$58,7), VLOOKUP(0,setup!$A$8:$H$58,2),VLOOKUP(0,setup!$A$8:$H$58,5),VLOOKUP(N385,setup!$A$8:$H$58,8))</f>
        <v>           $bo = new CampanhaCashbackResgatePixBusinessImpl();</v>
      </c>
    </row>
    <row r="386" spans="1:15" x14ac:dyDescent="0.25">
      <c r="A386" s="6" t="s">
        <v>721</v>
      </c>
      <c r="N386">
        <v>1</v>
      </c>
      <c r="O386" s="7" t="str">
        <f ca="1">getCodigoBackend(N386,A386,VLOOKUP(N386,setup!$A$8:$H$58,2),VLOOKUP(N386,setup!$A$8:$H$58,3),VLOOKUP(N386,setup!$A$8:$H$58,4),VLOOKUP(N386,setup!$A$8:$H$58,5),VLOOKUP(N386,setup!$A$8:$H$58,6),VLOOKUP(N386,setup!$A$8:$H$58,7), VLOOKUP(0,setup!$A$8:$H$58,2),VLOOKUP(0,setup!$A$8:$H$58,5),VLOOKUP(N386,setup!$A$8:$H$58,8))</f>
        <v>           $retorno = $bo-&gt;carregarPorIdcampanhacashback($daofactory, $idCampanhaCashback);</v>
      </c>
    </row>
    <row r="387" spans="1:15" x14ac:dyDescent="0.25">
      <c r="A387" s="6" t="s">
        <v>68</v>
      </c>
      <c r="N387">
        <v>1</v>
      </c>
      <c r="O387" s="7" t="str">
        <f ca="1">getCodigoBackend(N387,A387,VLOOKUP(N387,setup!$A$8:$H$58,2),VLOOKUP(N387,setup!$A$8:$H$58,3),VLOOKUP(N387,setup!$A$8:$H$58,4),VLOOKUP(N387,setup!$A$8:$H$58,5),VLOOKUP(N387,setup!$A$8:$H$58,6),VLOOKUP(N387,setup!$A$8:$H$58,7), VLOOKUP(0,setup!$A$8:$H$58,2),VLOOKUP(0,setup!$A$8:$H$58,5),VLOOKUP(N387,setup!$A$8:$H$58,8))</f>
        <v>           if ($retorno-&gt;msgcode == ConstantesMensagem::COMANDO_REALIZADO_COM_SUCESSO){</v>
      </c>
    </row>
    <row r="388" spans="1:15" x14ac:dyDescent="0.25">
      <c r="A388" s="6" t="s">
        <v>48</v>
      </c>
      <c r="N388">
        <v>1</v>
      </c>
      <c r="O388" s="7" t="str">
        <f ca="1">getCodigoBackend(N388,A388,VLOOKUP(N388,setup!$A$8:$H$58,2),VLOOKUP(N388,setup!$A$8:$H$58,3),VLOOKUP(N388,setup!$A$8:$H$58,4),VLOOKUP(N388,setup!$A$8:$H$58,5),VLOOKUP(N388,setup!$A$8:$H$58,6),VLOOKUP(N388,setup!$A$8:$H$58,7), VLOOKUP(0,setup!$A$8:$H$58,2),VLOOKUP(0,setup!$A$8:$H$58,5),VLOOKUP(N388,setup!$A$8:$H$58,8))</f>
        <v>                $daofactory-&gt;commit();</v>
      </c>
    </row>
    <row r="389" spans="1:15" x14ac:dyDescent="0.25">
      <c r="A389" s="6" t="s">
        <v>63</v>
      </c>
      <c r="N389">
        <v>1</v>
      </c>
      <c r="O389" s="7" t="str">
        <f ca="1">getCodigoBackend(N389,A389,VLOOKUP(N389,setup!$A$8:$H$58,2),VLOOKUP(N389,setup!$A$8:$H$58,3),VLOOKUP(N389,setup!$A$8:$H$58,4),VLOOKUP(N389,setup!$A$8:$H$58,5),VLOOKUP(N389,setup!$A$8:$H$58,6),VLOOKUP(N389,setup!$A$8:$H$58,7), VLOOKUP(0,setup!$A$8:$H$58,2),VLOOKUP(0,setup!$A$8:$H$58,5),VLOOKUP(N389,setup!$A$8:$H$58,8))</f>
        <v>           } else {</v>
      </c>
    </row>
    <row r="390" spans="1:15" x14ac:dyDescent="0.25">
      <c r="A390" s="6" t="s">
        <v>50</v>
      </c>
      <c r="N390">
        <v>1</v>
      </c>
      <c r="O390" s="7" t="str">
        <f ca="1">getCodigoBackend(N390,A390,VLOOKUP(N390,setup!$A$8:$H$58,2),VLOOKUP(N390,setup!$A$8:$H$58,3),VLOOKUP(N390,setup!$A$8:$H$58,4),VLOOKUP(N390,setup!$A$8:$H$58,5),VLOOKUP(N390,setup!$A$8:$H$58,6),VLOOKUP(N390,setup!$A$8:$H$58,7), VLOOKUP(0,setup!$A$8:$H$58,2),VLOOKUP(0,setup!$A$8:$H$58,5),VLOOKUP(N390,setup!$A$8:$H$58,8))</f>
        <v>                $daofactory-&gt;rollback();</v>
      </c>
    </row>
    <row r="391" spans="1:15" x14ac:dyDescent="0.25">
      <c r="A391" s="6" t="s">
        <v>64</v>
      </c>
      <c r="N391">
        <v>1</v>
      </c>
      <c r="O391" s="7" t="str">
        <f ca="1">getCodigoBackend(N391,A391,VLOOKUP(N391,setup!$A$8:$H$58,2),VLOOKUP(N391,setup!$A$8:$H$58,3),VLOOKUP(N391,setup!$A$8:$H$58,4),VLOOKUP(N391,setup!$A$8:$H$58,5),VLOOKUP(N391,setup!$A$8:$H$58,6),VLOOKUP(N391,setup!$A$8:$H$58,7), VLOOKUP(0,setup!$A$8:$H$58,2),VLOOKUP(0,setup!$A$8:$H$58,5),VLOOKUP(N391,setup!$A$8:$H$58,8))</f>
        <v>           }</v>
      </c>
    </row>
    <row r="392" spans="1:15" x14ac:dyDescent="0.25">
      <c r="A392" s="6" t="s">
        <v>45</v>
      </c>
      <c r="N392">
        <v>1</v>
      </c>
      <c r="O392" s="7" t="str">
        <f ca="1">getCodigoBackend(N392,A392,VLOOKUP(N392,setup!$A$8:$H$58,2),VLOOKUP(N392,setup!$A$8:$H$58,3),VLOOKUP(N392,setup!$A$8:$H$58,4),VLOOKUP(N392,setup!$A$8:$H$58,5),VLOOKUP(N392,setup!$A$8:$H$58,6),VLOOKUP(N392,setup!$A$8:$H$58,7), VLOOKUP(0,setup!$A$8:$H$58,2),VLOOKUP(0,setup!$A$8:$H$58,5),VLOOKUP(N392,setup!$A$8:$H$58,8))</f>
        <v>            </v>
      </c>
    </row>
    <row r="393" spans="1:15" x14ac:dyDescent="0.25">
      <c r="A393" s="6" t="s">
        <v>52</v>
      </c>
      <c r="N393">
        <v>1</v>
      </c>
      <c r="O393" s="7" t="str">
        <f ca="1">getCodigoBackend(N393,A393,VLOOKUP(N393,setup!$A$8:$H$58,2),VLOOKUP(N393,setup!$A$8:$H$58,3),VLOOKUP(N393,setup!$A$8:$H$58,4),VLOOKUP(N393,setup!$A$8:$H$58,5),VLOOKUP(N393,setup!$A$8:$H$58,6),VLOOKUP(N393,setup!$A$8:$H$58,7), VLOOKUP(0,setup!$A$8:$H$58,2),VLOOKUP(0,setup!$A$8:$H$58,5),VLOOKUP(N393,setup!$A$8:$H$58,8))</f>
        <v>        } catch (Exception $e) {</v>
      </c>
    </row>
    <row r="394" spans="1:15" x14ac:dyDescent="0.25">
      <c r="A394" s="6" t="s">
        <v>53</v>
      </c>
      <c r="N394">
        <v>1</v>
      </c>
      <c r="O394" s="7" t="str">
        <f ca="1">getCodigoBackend(N394,A394,VLOOKUP(N394,setup!$A$8:$H$58,2),VLOOKUP(N394,setup!$A$8:$H$58,3),VLOOKUP(N394,setup!$A$8:$H$58,4),VLOOKUP(N394,setup!$A$8:$H$58,5),VLOOKUP(N394,setup!$A$8:$H$58,6),VLOOKUP(N394,setup!$A$8:$H$58,7), VLOOKUP(0,setup!$A$8:$H$58,2),VLOOKUP(0,setup!$A$8:$H$58,5),VLOOKUP(N394,setup!$A$8:$H$58,8))</f>
        <v>            // rollback na transação</v>
      </c>
    </row>
    <row r="395" spans="1:15" x14ac:dyDescent="0.25">
      <c r="N395">
        <v>1</v>
      </c>
      <c r="O395" s="7" t="str">
        <f ca="1">getCodigoBackend(N395,A395,VLOOKUP(N395,setup!$A$8:$H$58,2),VLOOKUP(N395,setup!$A$8:$H$58,3),VLOOKUP(N395,setup!$A$8:$H$58,4),VLOOKUP(N395,setup!$A$8:$H$58,5),VLOOKUP(N395,setup!$A$8:$H$58,6),VLOOKUP(N395,setup!$A$8:$H$58,7), VLOOKUP(0,setup!$A$8:$H$58,2),VLOOKUP(0,setup!$A$8:$H$58,5),VLOOKUP(N395,setup!$A$8:$H$58,8))</f>
        <v/>
      </c>
    </row>
    <row r="396" spans="1:15" x14ac:dyDescent="0.25">
      <c r="A396" s="6" t="s">
        <v>55</v>
      </c>
      <c r="N396">
        <v>1</v>
      </c>
      <c r="O396" s="7" t="str">
        <f ca="1">getCodigoBackend(N396,A396,VLOOKUP(N396,setup!$A$8:$H$58,2),VLOOKUP(N396,setup!$A$8:$H$58,3),VLOOKUP(N396,setup!$A$8:$H$58,4),VLOOKUP(N396,setup!$A$8:$H$58,5),VLOOKUP(N396,setup!$A$8:$H$58,6),VLOOKUP(N396,setup!$A$8:$H$58,7), VLOOKUP(0,setup!$A$8:$H$58,2),VLOOKUP(0,setup!$A$8:$H$58,5),VLOOKUP(N396,setup!$A$8:$H$58,8))</f>
        <v>        } finally {</v>
      </c>
    </row>
    <row r="397" spans="1:15" x14ac:dyDescent="0.25">
      <c r="A397" s="6" t="s">
        <v>56</v>
      </c>
      <c r="N397">
        <v>1</v>
      </c>
      <c r="O397" s="7" t="str">
        <f ca="1">getCodigoBackend(N397,A397,VLOOKUP(N397,setup!$A$8:$H$58,2),VLOOKUP(N397,setup!$A$8:$H$58,3),VLOOKUP(N397,setup!$A$8:$H$58,4),VLOOKUP(N397,setup!$A$8:$H$58,5),VLOOKUP(N397,setup!$A$8:$H$58,6),VLOOKUP(N397,setup!$A$8:$H$58,7), VLOOKUP(0,setup!$A$8:$H$58,2),VLOOKUP(0,setup!$A$8:$H$58,5),VLOOKUP(N397,setup!$A$8:$H$58,8))</f>
        <v>            try {</v>
      </c>
    </row>
    <row r="398" spans="1:15" x14ac:dyDescent="0.25">
      <c r="A398" s="6" t="s">
        <v>57</v>
      </c>
      <c r="N398">
        <v>1</v>
      </c>
      <c r="O398" s="7" t="str">
        <f ca="1">getCodigoBackend(N398,A398,VLOOKUP(N398,setup!$A$8:$H$58,2),VLOOKUP(N398,setup!$A$8:$H$58,3),VLOOKUP(N398,setup!$A$8:$H$58,4),VLOOKUP(N398,setup!$A$8:$H$58,5),VLOOKUP(N398,setup!$A$8:$H$58,6),VLOOKUP(N398,setup!$A$8:$H$58,7), VLOOKUP(0,setup!$A$8:$H$58,2),VLOOKUP(0,setup!$A$8:$H$58,5),VLOOKUP(N398,setup!$A$8:$H$58,8))</f>
        <v>                $daofactory-&gt;close();</v>
      </c>
    </row>
    <row r="399" spans="1:15" x14ac:dyDescent="0.25">
      <c r="A399" s="6" t="s">
        <v>58</v>
      </c>
      <c r="N399">
        <v>1</v>
      </c>
      <c r="O399" s="7" t="str">
        <f ca="1">getCodigoBackend(N399,A399,VLOOKUP(N399,setup!$A$8:$H$58,2),VLOOKUP(N399,setup!$A$8:$H$58,3),VLOOKUP(N399,setup!$A$8:$H$58,4),VLOOKUP(N399,setup!$A$8:$H$58,5),VLOOKUP(N399,setup!$A$8:$H$58,6),VLOOKUP(N399,setup!$A$8:$H$58,7), VLOOKUP(0,setup!$A$8:$H$58,2),VLOOKUP(0,setup!$A$8:$H$58,5),VLOOKUP(N399,setup!$A$8:$H$58,8))</f>
        <v>            } catch (Exception $e) {</v>
      </c>
    </row>
    <row r="400" spans="1:15" x14ac:dyDescent="0.25">
      <c r="A400" s="6" t="s">
        <v>59</v>
      </c>
      <c r="N400">
        <v>1</v>
      </c>
      <c r="O400" s="7" t="str">
        <f ca="1">getCodigoBackend(N400,A400,VLOOKUP(N400,setup!$A$8:$H$58,2),VLOOKUP(N400,setup!$A$8:$H$58,3),VLOOKUP(N400,setup!$A$8:$H$58,4),VLOOKUP(N400,setup!$A$8:$H$58,5),VLOOKUP(N400,setup!$A$8:$H$58,6),VLOOKUP(N400,setup!$A$8:$H$58,7), VLOOKUP(0,setup!$A$8:$H$58,2),VLOOKUP(0,setup!$A$8:$H$58,5),VLOOKUP(N400,setup!$A$8:$H$58,8))</f>
        <v>                // faz algo</v>
      </c>
    </row>
    <row r="401" spans="1:15" x14ac:dyDescent="0.25">
      <c r="A401" s="6" t="s">
        <v>51</v>
      </c>
      <c r="N401">
        <v>1</v>
      </c>
      <c r="O401" s="7" t="str">
        <f ca="1">getCodigoBackend(N401,A401,VLOOKUP(N401,setup!$A$8:$H$58,2),VLOOKUP(N401,setup!$A$8:$H$58,3),VLOOKUP(N401,setup!$A$8:$H$58,4),VLOOKUP(N401,setup!$A$8:$H$58,5),VLOOKUP(N401,setup!$A$8:$H$58,6),VLOOKUP(N401,setup!$A$8:$H$58,7), VLOOKUP(0,setup!$A$8:$H$58,2),VLOOKUP(0,setup!$A$8:$H$58,5),VLOOKUP(N401,setup!$A$8:$H$58,8))</f>
        <v>            }</v>
      </c>
    </row>
    <row r="402" spans="1:15" x14ac:dyDescent="0.25">
      <c r="A402" s="6" t="s">
        <v>60</v>
      </c>
      <c r="N402">
        <v>1</v>
      </c>
      <c r="O402" s="7" t="str">
        <f ca="1">getCodigoBackend(N402,A402,VLOOKUP(N402,setup!$A$8:$H$58,2),VLOOKUP(N402,setup!$A$8:$H$58,3),VLOOKUP(N402,setup!$A$8:$H$58,4),VLOOKUP(N402,setup!$A$8:$H$58,5),VLOOKUP(N402,setup!$A$8:$H$58,6),VLOOKUP(N402,setup!$A$8:$H$58,7), VLOOKUP(0,setup!$A$8:$H$58,2),VLOOKUP(0,setup!$A$8:$H$58,5),VLOOKUP(N402,setup!$A$8:$H$58,8))</f>
        <v>        }</v>
      </c>
    </row>
    <row r="403" spans="1:15" x14ac:dyDescent="0.25">
      <c r="N403">
        <v>1</v>
      </c>
      <c r="O403" s="7" t="str">
        <f ca="1">getCodigoBackend(N403,A403,VLOOKUP(N403,setup!$A$8:$H$58,2),VLOOKUP(N403,setup!$A$8:$H$58,3),VLOOKUP(N403,setup!$A$8:$H$58,4),VLOOKUP(N403,setup!$A$8:$H$58,5),VLOOKUP(N403,setup!$A$8:$H$58,6),VLOOKUP(N403,setup!$A$8:$H$58,7), VLOOKUP(0,setup!$A$8:$H$58,2),VLOOKUP(0,setup!$A$8:$H$58,5),VLOOKUP(N403,setup!$A$8:$H$58,8))</f>
        <v/>
      </c>
    </row>
    <row r="404" spans="1:15" x14ac:dyDescent="0.25">
      <c r="A404" s="6" t="s">
        <v>61</v>
      </c>
      <c r="N404">
        <v>1</v>
      </c>
      <c r="O404" s="7" t="str">
        <f ca="1">getCodigoBackend(N404,A404,VLOOKUP(N404,setup!$A$8:$H$58,2),VLOOKUP(N404,setup!$A$8:$H$58,3),VLOOKUP(N404,setup!$A$8:$H$58,4),VLOOKUP(N404,setup!$A$8:$H$58,5),VLOOKUP(N404,setup!$A$8:$H$58,6),VLOOKUP(N404,setup!$A$8:$H$58,7), VLOOKUP(0,setup!$A$8:$H$58,2),VLOOKUP(0,setup!$A$8:$H$58,5),VLOOKUP(N404,setup!$A$8:$H$58,8))</f>
        <v>        return $retorno;</v>
      </c>
    </row>
    <row r="405" spans="1:15" x14ac:dyDescent="0.25">
      <c r="A405" s="6" t="s">
        <v>62</v>
      </c>
      <c r="N405">
        <v>1</v>
      </c>
      <c r="O405" s="7" t="str">
        <f ca="1">getCodigoBackend(N405,A405,VLOOKUP(N405,setup!$A$8:$H$58,2),VLOOKUP(N405,setup!$A$8:$H$58,3),VLOOKUP(N405,setup!$A$8:$H$58,4),VLOOKUP(N405,setup!$A$8:$H$58,5),VLOOKUP(N405,setup!$A$8:$H$58,6),VLOOKUP(N405,setup!$A$8:$H$58,7), VLOOKUP(0,setup!$A$8:$H$58,2),VLOOKUP(0,setup!$A$8:$H$58,5),VLOOKUP(N405,setup!$A$8:$H$58,8))</f>
        <v>    }</v>
      </c>
    </row>
    <row r="406" spans="1:15" x14ac:dyDescent="0.25">
      <c r="A406" s="6"/>
      <c r="O406" s="7" t="str">
        <f ca="1">getCodigoBackend(N406,A406,VLOOKUP(N406,setup!$A$8:$H$58,2),VLOOKUP(N406,setup!$A$8:$H$58,3),VLOOKUP(N406,setup!$A$8:$H$58,4),VLOOKUP(N406,setup!$A$8:$H$58,5),VLOOKUP(N406,setup!$A$8:$H$58,6),VLOOKUP(N406,setup!$A$8:$H$58,7), VLOOKUP(0,setup!$A$8:$H$58,2),VLOOKUP(0,setup!$A$8:$H$58,5),VLOOKUP(N406,setup!$A$8:$H$58,8))</f>
        <v/>
      </c>
    </row>
    <row r="407" spans="1:15" x14ac:dyDescent="0.25">
      <c r="A407" s="4" t="s">
        <v>19</v>
      </c>
      <c r="N407">
        <v>2</v>
      </c>
      <c r="O407" s="7" t="str">
        <f ca="1">getCodigoBackend(N407,A407,VLOOKUP(N407,setup!$A$8:$H$58,2),VLOOKUP(N407,setup!$A$8:$H$58,3),VLOOKUP(N407,setup!$A$8:$H$58,4),VLOOKUP(N407,setup!$A$8:$H$58,5),VLOOKUP(N407,setup!$A$8:$H$58,6),VLOOKUP(N407,setup!$A$8:$H$58,7), VLOOKUP(0,setup!$A$8:$H$58,2),VLOOKUP(0,setup!$A$8:$H$58,5),VLOOKUP(N407,setup!$A$8:$H$58,8))</f>
        <v>/**</v>
      </c>
    </row>
    <row r="408" spans="1:15" x14ac:dyDescent="0.25">
      <c r="A408" s="4" t="s">
        <v>20</v>
      </c>
      <c r="N408">
        <v>2</v>
      </c>
      <c r="O408" s="7" t="str">
        <f ca="1">getCodigoBackend(N408,A408,VLOOKUP(N408,setup!$A$8:$H$58,2),VLOOKUP(N408,setup!$A$8:$H$58,3),VLOOKUP(N408,setup!$A$8:$H$58,4),VLOOKUP(N408,setup!$A$8:$H$58,5),VLOOKUP(N408,setup!$A$8:$H$58,6),VLOOKUP(N408,setup!$A$8:$H$58,7), VLOOKUP(0,setup!$A$8:$H$58,2),VLOOKUP(0,setup!$A$8:$H$58,5),VLOOKUP(N408,setup!$A$8:$H$58,8))</f>
        <v>*</v>
      </c>
    </row>
    <row r="409" spans="1:15" x14ac:dyDescent="0.25">
      <c r="A409" s="4" t="s">
        <v>716</v>
      </c>
      <c r="N409">
        <v>2</v>
      </c>
      <c r="O409" s="7" t="str">
        <f ca="1">getCodigoBackend(N409,A409,VLOOKUP(N409,setup!$A$8:$H$58,2),VLOOKUP(N409,setup!$A$8:$H$58,3),VLOOKUP(N409,setup!$A$8:$H$58,4),VLOOKUP(N409,setup!$A$8:$H$58,5),VLOOKUP(N409,setup!$A$8:$H$58,6),VLOOKUP(N409,setup!$A$8:$H$58,7), VLOOKUP(0,setup!$A$8:$H$58,2),VLOOKUP(0,setup!$A$8:$H$58,5),VLOOKUP(N409,setup!$A$8:$H$58,8))</f>
        <v>* pesquisarPorIdusuariosolicitante() - Usado para invocar a classe de negócio CampanhaCashbackResgatePixBusinessImpl de forma geral</v>
      </c>
    </row>
    <row r="410" spans="1:15" x14ac:dyDescent="0.25">
      <c r="A410" s="4" t="s">
        <v>717</v>
      </c>
      <c r="N410">
        <v>2</v>
      </c>
      <c r="O410" s="7" t="str">
        <f ca="1">getCodigoBackend(N410,A410,VLOOKUP(N410,setup!$A$8:$H$58,2),VLOOKUP(N410,setup!$A$8:$H$58,3),VLOOKUP(N410,setup!$A$8:$H$58,4),VLOOKUP(N410,setup!$A$8:$H$58,5),VLOOKUP(N410,setup!$A$8:$H$58,6),VLOOKUP(N410,setup!$A$8:$H$58,7), VLOOKUP(0,setup!$A$8:$H$58,2),VLOOKUP(0,setup!$A$8:$H$58,5),VLOOKUP(N410,setup!$A$8:$H$58,8))</f>
        <v>* realizar uma busca de ID do usuário solicitante diretamente na tabela CAMPANHA_CASHBACK_RESGATE_PIX campo USUA_ID</v>
      </c>
    </row>
    <row r="411" spans="1:15" x14ac:dyDescent="0.25">
      <c r="A411" s="4" t="s">
        <v>20</v>
      </c>
      <c r="N411">
        <v>2</v>
      </c>
      <c r="O411" s="7" t="str">
        <f ca="1">getCodigoBackend(N411,A411,VLOOKUP(N411,setup!$A$8:$H$58,2),VLOOKUP(N411,setup!$A$8:$H$58,3),VLOOKUP(N411,setup!$A$8:$H$58,4),VLOOKUP(N411,setup!$A$8:$H$58,5),VLOOKUP(N411,setup!$A$8:$H$58,6),VLOOKUP(N411,setup!$A$8:$H$58,7), VLOOKUP(0,setup!$A$8:$H$58,2),VLOOKUP(0,setup!$A$8:$H$58,5),VLOOKUP(N411,setup!$A$8:$H$58,8))</f>
        <v>*</v>
      </c>
    </row>
    <row r="412" spans="1:15" x14ac:dyDescent="0.25">
      <c r="A412" s="4" t="s">
        <v>723</v>
      </c>
      <c r="N412">
        <v>2</v>
      </c>
      <c r="O412" s="7" t="str">
        <f ca="1">getCodigoBackend(N412,A412,VLOOKUP(N412,setup!$A$8:$H$58,2),VLOOKUP(N412,setup!$A$8:$H$58,3),VLOOKUP(N412,setup!$A$8:$H$58,4),VLOOKUP(N412,setup!$A$8:$H$58,5),VLOOKUP(N412,setup!$A$8:$H$58,6),VLOOKUP(N412,setup!$A$8:$H$58,7), VLOOKUP(0,setup!$A$8:$H$58,2),VLOOKUP(0,setup!$A$8:$H$58,5),VLOOKUP(N412,setup!$A$8:$H$58,8))</f>
        <v>* @param $idUsuarioSolicitante</v>
      </c>
    </row>
    <row r="413" spans="1:15" x14ac:dyDescent="0.25">
      <c r="A413" s="4" t="s">
        <v>347</v>
      </c>
      <c r="N413">
        <v>2</v>
      </c>
      <c r="O413" s="7" t="str">
        <f ca="1">getCodigoBackend(N413,A413,VLOOKUP(N413,setup!$A$8:$H$58,2),VLOOKUP(N413,setup!$A$8:$H$58,3),VLOOKUP(N413,setup!$A$8:$H$58,4),VLOOKUP(N413,setup!$A$8:$H$58,5),VLOOKUP(N413,setup!$A$8:$H$58,6),VLOOKUP(N413,setup!$A$8:$H$58,7), VLOOKUP(0,setup!$A$8:$H$58,2),VLOOKUP(0,setup!$A$8:$H$58,5),VLOOKUP(N413,setup!$A$8:$H$58,8))</f>
        <v>* @return CampanhaCashbackResgatePixDTO</v>
      </c>
    </row>
    <row r="414" spans="1:15" x14ac:dyDescent="0.25">
      <c r="A414" s="4" t="s">
        <v>20</v>
      </c>
      <c r="N414">
        <v>2</v>
      </c>
      <c r="O414" s="7" t="str">
        <f ca="1">getCodigoBackend(N414,A414,VLOOKUP(N414,setup!$A$8:$H$58,2),VLOOKUP(N414,setup!$A$8:$H$58,3),VLOOKUP(N414,setup!$A$8:$H$58,4),VLOOKUP(N414,setup!$A$8:$H$58,5),VLOOKUP(N414,setup!$A$8:$H$58,6),VLOOKUP(N414,setup!$A$8:$H$58,7), VLOOKUP(0,setup!$A$8:$H$58,2),VLOOKUP(0,setup!$A$8:$H$58,5),VLOOKUP(N414,setup!$A$8:$H$58,8))</f>
        <v>*</v>
      </c>
    </row>
    <row r="415" spans="1:15" x14ac:dyDescent="0.25">
      <c r="A415" s="4" t="s">
        <v>75</v>
      </c>
      <c r="N415">
        <v>2</v>
      </c>
      <c r="O415" s="7" t="str">
        <f ca="1">getCodigoBackend(N415,A415,VLOOKUP(N415,setup!$A$8:$H$58,2),VLOOKUP(N415,setup!$A$8:$H$58,3),VLOOKUP(N415,setup!$A$8:$H$58,4),VLOOKUP(N415,setup!$A$8:$H$58,5),VLOOKUP(N415,setup!$A$8:$H$58,6),VLOOKUP(N415,setup!$A$8:$H$58,7), VLOOKUP(0,setup!$A$8:$H$58,2),VLOOKUP(0,setup!$A$8:$H$58,5),VLOOKUP(N415,setup!$A$8:$H$58,8))</f>
        <v xml:space="preserve">* </v>
      </c>
    </row>
    <row r="416" spans="1:15" x14ac:dyDescent="0.25">
      <c r="A416" s="4" t="s">
        <v>21</v>
      </c>
      <c r="N416">
        <v>2</v>
      </c>
      <c r="O416" s="7" t="str">
        <f ca="1">getCodigoBackend(N416,A416,VLOOKUP(N416,setup!$A$8:$H$58,2),VLOOKUP(N416,setup!$A$8:$H$58,3),VLOOKUP(N416,setup!$A$8:$H$58,4),VLOOKUP(N416,setup!$A$8:$H$58,5),VLOOKUP(N416,setup!$A$8:$H$58,6),VLOOKUP(N416,setup!$A$8:$H$58,7), VLOOKUP(0,setup!$A$8:$H$58,2),VLOOKUP(0,setup!$A$8:$H$58,5),VLOOKUP(N416,setup!$A$8:$H$58,8))</f>
        <v>*/</v>
      </c>
    </row>
    <row r="417" spans="1:15" x14ac:dyDescent="0.25">
      <c r="N417">
        <v>2</v>
      </c>
      <c r="O417" s="7" t="str">
        <f ca="1">getCodigoBackend(N417,A417,VLOOKUP(N417,setup!$A$8:$H$58,2),VLOOKUP(N417,setup!$A$8:$H$58,3),VLOOKUP(N417,setup!$A$8:$H$58,4),VLOOKUP(N417,setup!$A$8:$H$58,5),VLOOKUP(N417,setup!$A$8:$H$58,6),VLOOKUP(N417,setup!$A$8:$H$58,7), VLOOKUP(0,setup!$A$8:$H$58,2),VLOOKUP(0,setup!$A$8:$H$58,5),VLOOKUP(N417,setup!$A$8:$H$58,8))</f>
        <v/>
      </c>
    </row>
    <row r="418" spans="1:15" x14ac:dyDescent="0.25">
      <c r="A418" s="6" t="s">
        <v>720</v>
      </c>
      <c r="N418">
        <v>2</v>
      </c>
      <c r="O418" s="7" t="str">
        <f ca="1">getCodigoBackend(N418,A418,VLOOKUP(N418,setup!$A$8:$H$58,2),VLOOKUP(N418,setup!$A$8:$H$58,3),VLOOKUP(N418,setup!$A$8:$H$58,4),VLOOKUP(N418,setup!$A$8:$H$58,5),VLOOKUP(N418,setup!$A$8:$H$58,6),VLOOKUP(N418,setup!$A$8:$H$58,7), VLOOKUP(0,setup!$A$8:$H$58,2),VLOOKUP(0,setup!$A$8:$H$58,5),VLOOKUP(N418,setup!$A$8:$H$58,8))</f>
        <v>    public function pesquisarPorIdusuariosolicitante($idUsuarioSolicitante)</v>
      </c>
    </row>
    <row r="419" spans="1:15" x14ac:dyDescent="0.25">
      <c r="A419" s="6" t="s">
        <v>38</v>
      </c>
      <c r="N419">
        <v>2</v>
      </c>
      <c r="O419" s="7" t="str">
        <f ca="1">getCodigoBackend(N419,A419,VLOOKUP(N419,setup!$A$8:$H$58,2),VLOOKUP(N419,setup!$A$8:$H$58,3),VLOOKUP(N419,setup!$A$8:$H$58,4),VLOOKUP(N419,setup!$A$8:$H$58,5),VLOOKUP(N419,setup!$A$8:$H$58,6),VLOOKUP(N419,setup!$A$8:$H$58,7), VLOOKUP(0,setup!$A$8:$H$58,2),VLOOKUP(0,setup!$A$8:$H$58,5),VLOOKUP(N419,setup!$A$8:$H$58,8))</f>
        <v>    {</v>
      </c>
    </row>
    <row r="420" spans="1:15" x14ac:dyDescent="0.25">
      <c r="A420" s="6" t="s">
        <v>39</v>
      </c>
      <c r="N420">
        <v>2</v>
      </c>
      <c r="O420" s="7" t="str">
        <f ca="1">getCodigoBackend(N420,A420,VLOOKUP(N420,setup!$A$8:$H$58,2),VLOOKUP(N420,setup!$A$8:$H$58,3),VLOOKUP(N420,setup!$A$8:$H$58,4),VLOOKUP(N420,setup!$A$8:$H$58,5),VLOOKUP(N420,setup!$A$8:$H$58,6),VLOOKUP(N420,setup!$A$8:$H$58,7), VLOOKUP(0,setup!$A$8:$H$58,2),VLOOKUP(0,setup!$A$8:$H$58,5),VLOOKUP(N420,setup!$A$8:$H$58,8))</f>
        <v>        $daofactory = NULL;</v>
      </c>
    </row>
    <row r="421" spans="1:15" x14ac:dyDescent="0.25">
      <c r="A421" s="6" t="s">
        <v>40</v>
      </c>
      <c r="N421">
        <v>2</v>
      </c>
      <c r="O421" s="7" t="str">
        <f ca="1">getCodigoBackend(N421,A421,VLOOKUP(N421,setup!$A$8:$H$58,2),VLOOKUP(N421,setup!$A$8:$H$58,3),VLOOKUP(N421,setup!$A$8:$H$58,4),VLOOKUP(N421,setup!$A$8:$H$58,5),VLOOKUP(N421,setup!$A$8:$H$58,6),VLOOKUP(N421,setup!$A$8:$H$58,7), VLOOKUP(0,setup!$A$8:$H$58,2),VLOOKUP(0,setup!$A$8:$H$58,5),VLOOKUP(N421,setup!$A$8:$H$58,8))</f>
        <v>        $retorno = NULL;</v>
      </c>
    </row>
    <row r="422" spans="1:15" x14ac:dyDescent="0.25">
      <c r="A422" s="6" t="s">
        <v>41</v>
      </c>
      <c r="N422">
        <v>2</v>
      </c>
      <c r="O422" s="7" t="str">
        <f ca="1">getCodigoBackend(N422,A422,VLOOKUP(N422,setup!$A$8:$H$58,2),VLOOKUP(N422,setup!$A$8:$H$58,3),VLOOKUP(N422,setup!$A$8:$H$58,4),VLOOKUP(N422,setup!$A$8:$H$58,5),VLOOKUP(N422,setup!$A$8:$H$58,6),VLOOKUP(N422,setup!$A$8:$H$58,7), VLOOKUP(0,setup!$A$8:$H$58,2),VLOOKUP(0,setup!$A$8:$H$58,5),VLOOKUP(N422,setup!$A$8:$H$58,8))</f>
        <v>        try {</v>
      </c>
    </row>
    <row r="423" spans="1:15" x14ac:dyDescent="0.25">
      <c r="A423" s="6" t="s">
        <v>42</v>
      </c>
      <c r="N423">
        <v>2</v>
      </c>
      <c r="O423" s="7" t="str">
        <f ca="1">getCodigoBackend(N423,A423,VLOOKUP(N423,setup!$A$8:$H$58,2),VLOOKUP(N423,setup!$A$8:$H$58,3),VLOOKUP(N423,setup!$A$8:$H$58,4),VLOOKUP(N423,setup!$A$8:$H$58,5),VLOOKUP(N423,setup!$A$8:$H$58,6),VLOOKUP(N423,setup!$A$8:$H$58,7), VLOOKUP(0,setup!$A$8:$H$58,2),VLOOKUP(0,setup!$A$8:$H$58,5),VLOOKUP(N423,setup!$A$8:$H$58,8))</f>
        <v>            $daofactory = DAOFactory::getDAOFactory();</v>
      </c>
    </row>
    <row r="424" spans="1:15" x14ac:dyDescent="0.25">
      <c r="A424" s="6" t="s">
        <v>43</v>
      </c>
      <c r="N424">
        <v>2</v>
      </c>
      <c r="O424" s="7" t="str">
        <f ca="1">getCodigoBackend(N424,A424,VLOOKUP(N424,setup!$A$8:$H$58,2),VLOOKUP(N424,setup!$A$8:$H$58,3),VLOOKUP(N424,setup!$A$8:$H$58,4),VLOOKUP(N424,setup!$A$8:$H$58,5),VLOOKUP(N424,setup!$A$8:$H$58,6),VLOOKUP(N424,setup!$A$8:$H$58,7), VLOOKUP(0,setup!$A$8:$H$58,2),VLOOKUP(0,setup!$A$8:$H$58,5),VLOOKUP(N424,setup!$A$8:$H$58,8))</f>
        <v>            $daofactory-&gt;open();</v>
      </c>
    </row>
    <row r="425" spans="1:15" x14ac:dyDescent="0.25">
      <c r="A425" s="6" t="s">
        <v>44</v>
      </c>
      <c r="N425">
        <v>2</v>
      </c>
      <c r="O425" s="7" t="str">
        <f ca="1">getCodigoBackend(N425,A425,VLOOKUP(N425,setup!$A$8:$H$58,2),VLOOKUP(N425,setup!$A$8:$H$58,3),VLOOKUP(N425,setup!$A$8:$H$58,4),VLOOKUP(N425,setup!$A$8:$H$58,5),VLOOKUP(N425,setup!$A$8:$H$58,6),VLOOKUP(N425,setup!$A$8:$H$58,7), VLOOKUP(0,setup!$A$8:$H$58,2),VLOOKUP(0,setup!$A$8:$H$58,5),VLOOKUP(N425,setup!$A$8:$H$58,8))</f>
        <v>            $daofactory-&gt;beginTransaction();</v>
      </c>
    </row>
    <row r="426" spans="1:15" x14ac:dyDescent="0.25">
      <c r="A426" s="6" t="s">
        <v>45</v>
      </c>
      <c r="N426">
        <v>2</v>
      </c>
      <c r="O426" s="7" t="str">
        <f ca="1">getCodigoBackend(N426,A426,VLOOKUP(N426,setup!$A$8:$H$58,2),VLOOKUP(N426,setup!$A$8:$H$58,3),VLOOKUP(N426,setup!$A$8:$H$58,4),VLOOKUP(N426,setup!$A$8:$H$58,5),VLOOKUP(N426,setup!$A$8:$H$58,6),VLOOKUP(N426,setup!$A$8:$H$58,7), VLOOKUP(0,setup!$A$8:$H$58,2),VLOOKUP(0,setup!$A$8:$H$58,5),VLOOKUP(N426,setup!$A$8:$H$58,8))</f>
        <v>            </v>
      </c>
    </row>
    <row r="427" spans="1:15" x14ac:dyDescent="0.25">
      <c r="A427" s="6" t="s">
        <v>722</v>
      </c>
      <c r="N427">
        <v>2</v>
      </c>
      <c r="O427" s="7" t="str">
        <f ca="1">getCodigoBackend(N427,A427,VLOOKUP(N427,setup!$A$8:$H$58,2),VLOOKUP(N427,setup!$A$8:$H$58,3),VLOOKUP(N427,setup!$A$8:$H$58,4),VLOOKUP(N427,setup!$A$8:$H$58,5),VLOOKUP(N427,setup!$A$8:$H$58,6),VLOOKUP(N427,setup!$A$8:$H$58,7), VLOOKUP(0,setup!$A$8:$H$58,2),VLOOKUP(0,setup!$A$8:$H$58,5),VLOOKUP(N427,setup!$A$8:$H$58,8))</f>
        <v>            // pesquisar pelo atributo CampanhaCashbackResgatePix.idUsuarioSolicitante no campo USUA_ID da tabela CAMPANHA_CASHBACK_RESGATE_PIX</v>
      </c>
    </row>
    <row r="428" spans="1:15" x14ac:dyDescent="0.25">
      <c r="A428" s="6" t="s">
        <v>265</v>
      </c>
      <c r="N428">
        <v>2</v>
      </c>
      <c r="O428" s="7" t="str">
        <f ca="1">getCodigoBackend(N428,A428,VLOOKUP(N428,setup!$A$8:$H$58,2),VLOOKUP(N428,setup!$A$8:$H$58,3),VLOOKUP(N428,setup!$A$8:$H$58,4),VLOOKUP(N428,setup!$A$8:$H$58,5),VLOOKUP(N428,setup!$A$8:$H$58,6),VLOOKUP(N428,setup!$A$8:$H$58,7), VLOOKUP(0,setup!$A$8:$H$58,2),VLOOKUP(0,setup!$A$8:$H$58,5),VLOOKUP(N428,setup!$A$8:$H$58,8))</f>
        <v>           $bo = new CampanhaCashbackResgatePixBusinessImpl();</v>
      </c>
    </row>
    <row r="429" spans="1:15" x14ac:dyDescent="0.25">
      <c r="A429" s="6" t="s">
        <v>721</v>
      </c>
      <c r="N429">
        <v>2</v>
      </c>
      <c r="O429" s="7" t="str">
        <f ca="1">getCodigoBackend(N429,A429,VLOOKUP(N429,setup!$A$8:$H$58,2),VLOOKUP(N429,setup!$A$8:$H$58,3),VLOOKUP(N429,setup!$A$8:$H$58,4),VLOOKUP(N429,setup!$A$8:$H$58,5),VLOOKUP(N429,setup!$A$8:$H$58,6),VLOOKUP(N429,setup!$A$8:$H$58,7), VLOOKUP(0,setup!$A$8:$H$58,2),VLOOKUP(0,setup!$A$8:$H$58,5),VLOOKUP(N429,setup!$A$8:$H$58,8))</f>
        <v>           $retorno = $bo-&gt;carregarPorIdusuariosolicitante($daofactory, $idUsuarioSolicitante);</v>
      </c>
    </row>
    <row r="430" spans="1:15" x14ac:dyDescent="0.25">
      <c r="A430" s="6" t="s">
        <v>68</v>
      </c>
      <c r="N430">
        <v>2</v>
      </c>
      <c r="O430" s="7" t="str">
        <f ca="1">getCodigoBackend(N430,A430,VLOOKUP(N430,setup!$A$8:$H$58,2),VLOOKUP(N430,setup!$A$8:$H$58,3),VLOOKUP(N430,setup!$A$8:$H$58,4),VLOOKUP(N430,setup!$A$8:$H$58,5),VLOOKUP(N430,setup!$A$8:$H$58,6),VLOOKUP(N430,setup!$A$8:$H$58,7), VLOOKUP(0,setup!$A$8:$H$58,2),VLOOKUP(0,setup!$A$8:$H$58,5),VLOOKUP(N430,setup!$A$8:$H$58,8))</f>
        <v>           if ($retorno-&gt;msgcode == ConstantesMensagem::COMANDO_REALIZADO_COM_SUCESSO){</v>
      </c>
    </row>
    <row r="431" spans="1:15" x14ac:dyDescent="0.25">
      <c r="A431" s="6" t="s">
        <v>48</v>
      </c>
      <c r="N431">
        <v>2</v>
      </c>
      <c r="O431" s="7" t="str">
        <f ca="1">getCodigoBackend(N431,A431,VLOOKUP(N431,setup!$A$8:$H$58,2),VLOOKUP(N431,setup!$A$8:$H$58,3),VLOOKUP(N431,setup!$A$8:$H$58,4),VLOOKUP(N431,setup!$A$8:$H$58,5),VLOOKUP(N431,setup!$A$8:$H$58,6),VLOOKUP(N431,setup!$A$8:$H$58,7), VLOOKUP(0,setup!$A$8:$H$58,2),VLOOKUP(0,setup!$A$8:$H$58,5),VLOOKUP(N431,setup!$A$8:$H$58,8))</f>
        <v>                $daofactory-&gt;commit();</v>
      </c>
    </row>
    <row r="432" spans="1:15" x14ac:dyDescent="0.25">
      <c r="A432" s="6" t="s">
        <v>63</v>
      </c>
      <c r="N432">
        <v>2</v>
      </c>
      <c r="O432" s="7" t="str">
        <f ca="1">getCodigoBackend(N432,A432,VLOOKUP(N432,setup!$A$8:$H$58,2),VLOOKUP(N432,setup!$A$8:$H$58,3),VLOOKUP(N432,setup!$A$8:$H$58,4),VLOOKUP(N432,setup!$A$8:$H$58,5),VLOOKUP(N432,setup!$A$8:$H$58,6),VLOOKUP(N432,setup!$A$8:$H$58,7), VLOOKUP(0,setup!$A$8:$H$58,2),VLOOKUP(0,setup!$A$8:$H$58,5),VLOOKUP(N432,setup!$A$8:$H$58,8))</f>
        <v>           } else {</v>
      </c>
    </row>
    <row r="433" spans="1:15" x14ac:dyDescent="0.25">
      <c r="A433" s="6" t="s">
        <v>50</v>
      </c>
      <c r="N433">
        <v>2</v>
      </c>
      <c r="O433" s="7" t="str">
        <f ca="1">getCodigoBackend(N433,A433,VLOOKUP(N433,setup!$A$8:$H$58,2),VLOOKUP(N433,setup!$A$8:$H$58,3),VLOOKUP(N433,setup!$A$8:$H$58,4),VLOOKUP(N433,setup!$A$8:$H$58,5),VLOOKUP(N433,setup!$A$8:$H$58,6),VLOOKUP(N433,setup!$A$8:$H$58,7), VLOOKUP(0,setup!$A$8:$H$58,2),VLOOKUP(0,setup!$A$8:$H$58,5),VLOOKUP(N433,setup!$A$8:$H$58,8))</f>
        <v>                $daofactory-&gt;rollback();</v>
      </c>
    </row>
    <row r="434" spans="1:15" x14ac:dyDescent="0.25">
      <c r="A434" s="6" t="s">
        <v>64</v>
      </c>
      <c r="N434">
        <v>2</v>
      </c>
      <c r="O434" s="7" t="str">
        <f ca="1">getCodigoBackend(N434,A434,VLOOKUP(N434,setup!$A$8:$H$58,2),VLOOKUP(N434,setup!$A$8:$H$58,3),VLOOKUP(N434,setup!$A$8:$H$58,4),VLOOKUP(N434,setup!$A$8:$H$58,5),VLOOKUP(N434,setup!$A$8:$H$58,6),VLOOKUP(N434,setup!$A$8:$H$58,7), VLOOKUP(0,setup!$A$8:$H$58,2),VLOOKUP(0,setup!$A$8:$H$58,5),VLOOKUP(N434,setup!$A$8:$H$58,8))</f>
        <v>           }</v>
      </c>
    </row>
    <row r="435" spans="1:15" x14ac:dyDescent="0.25">
      <c r="A435" s="6" t="s">
        <v>45</v>
      </c>
      <c r="N435">
        <v>2</v>
      </c>
      <c r="O435" s="7" t="str">
        <f ca="1">getCodigoBackend(N435,A435,VLOOKUP(N435,setup!$A$8:$H$58,2),VLOOKUP(N435,setup!$A$8:$H$58,3),VLOOKUP(N435,setup!$A$8:$H$58,4),VLOOKUP(N435,setup!$A$8:$H$58,5),VLOOKUP(N435,setup!$A$8:$H$58,6),VLOOKUP(N435,setup!$A$8:$H$58,7), VLOOKUP(0,setup!$A$8:$H$58,2),VLOOKUP(0,setup!$A$8:$H$58,5),VLOOKUP(N435,setup!$A$8:$H$58,8))</f>
        <v>            </v>
      </c>
    </row>
    <row r="436" spans="1:15" x14ac:dyDescent="0.25">
      <c r="A436" s="6" t="s">
        <v>52</v>
      </c>
      <c r="N436">
        <v>2</v>
      </c>
      <c r="O436" s="7" t="str">
        <f ca="1">getCodigoBackend(N436,A436,VLOOKUP(N436,setup!$A$8:$H$58,2),VLOOKUP(N436,setup!$A$8:$H$58,3),VLOOKUP(N436,setup!$A$8:$H$58,4),VLOOKUP(N436,setup!$A$8:$H$58,5),VLOOKUP(N436,setup!$A$8:$H$58,6),VLOOKUP(N436,setup!$A$8:$H$58,7), VLOOKUP(0,setup!$A$8:$H$58,2),VLOOKUP(0,setup!$A$8:$H$58,5),VLOOKUP(N436,setup!$A$8:$H$58,8))</f>
        <v>        } catch (Exception $e) {</v>
      </c>
    </row>
    <row r="437" spans="1:15" x14ac:dyDescent="0.25">
      <c r="A437" s="6" t="s">
        <v>53</v>
      </c>
      <c r="N437">
        <v>2</v>
      </c>
      <c r="O437" s="7" t="str">
        <f ca="1">getCodigoBackend(N437,A437,VLOOKUP(N437,setup!$A$8:$H$58,2),VLOOKUP(N437,setup!$A$8:$H$58,3),VLOOKUP(N437,setup!$A$8:$H$58,4),VLOOKUP(N437,setup!$A$8:$H$58,5),VLOOKUP(N437,setup!$A$8:$H$58,6),VLOOKUP(N437,setup!$A$8:$H$58,7), VLOOKUP(0,setup!$A$8:$H$58,2),VLOOKUP(0,setup!$A$8:$H$58,5),VLOOKUP(N437,setup!$A$8:$H$58,8))</f>
        <v>            // rollback na transação</v>
      </c>
    </row>
    <row r="438" spans="1:15" x14ac:dyDescent="0.25">
      <c r="N438">
        <v>2</v>
      </c>
      <c r="O438" s="7" t="str">
        <f ca="1">getCodigoBackend(N438,A438,VLOOKUP(N438,setup!$A$8:$H$58,2),VLOOKUP(N438,setup!$A$8:$H$58,3),VLOOKUP(N438,setup!$A$8:$H$58,4),VLOOKUP(N438,setup!$A$8:$H$58,5),VLOOKUP(N438,setup!$A$8:$H$58,6),VLOOKUP(N438,setup!$A$8:$H$58,7), VLOOKUP(0,setup!$A$8:$H$58,2),VLOOKUP(0,setup!$A$8:$H$58,5),VLOOKUP(N438,setup!$A$8:$H$58,8))</f>
        <v/>
      </c>
    </row>
    <row r="439" spans="1:15" x14ac:dyDescent="0.25">
      <c r="A439" s="6" t="s">
        <v>55</v>
      </c>
      <c r="N439">
        <v>2</v>
      </c>
      <c r="O439" s="7" t="str">
        <f ca="1">getCodigoBackend(N439,A439,VLOOKUP(N439,setup!$A$8:$H$58,2),VLOOKUP(N439,setup!$A$8:$H$58,3),VLOOKUP(N439,setup!$A$8:$H$58,4),VLOOKUP(N439,setup!$A$8:$H$58,5),VLOOKUP(N439,setup!$A$8:$H$58,6),VLOOKUP(N439,setup!$A$8:$H$58,7), VLOOKUP(0,setup!$A$8:$H$58,2),VLOOKUP(0,setup!$A$8:$H$58,5),VLOOKUP(N439,setup!$A$8:$H$58,8))</f>
        <v>        } finally {</v>
      </c>
    </row>
    <row r="440" spans="1:15" x14ac:dyDescent="0.25">
      <c r="A440" s="6" t="s">
        <v>56</v>
      </c>
      <c r="N440">
        <v>2</v>
      </c>
      <c r="O440" s="7" t="str">
        <f ca="1">getCodigoBackend(N440,A440,VLOOKUP(N440,setup!$A$8:$H$58,2),VLOOKUP(N440,setup!$A$8:$H$58,3),VLOOKUP(N440,setup!$A$8:$H$58,4),VLOOKUP(N440,setup!$A$8:$H$58,5),VLOOKUP(N440,setup!$A$8:$H$58,6),VLOOKUP(N440,setup!$A$8:$H$58,7), VLOOKUP(0,setup!$A$8:$H$58,2),VLOOKUP(0,setup!$A$8:$H$58,5),VLOOKUP(N440,setup!$A$8:$H$58,8))</f>
        <v>            try {</v>
      </c>
    </row>
    <row r="441" spans="1:15" x14ac:dyDescent="0.25">
      <c r="A441" s="6" t="s">
        <v>57</v>
      </c>
      <c r="N441">
        <v>2</v>
      </c>
      <c r="O441" s="7" t="str">
        <f ca="1">getCodigoBackend(N441,A441,VLOOKUP(N441,setup!$A$8:$H$58,2),VLOOKUP(N441,setup!$A$8:$H$58,3),VLOOKUP(N441,setup!$A$8:$H$58,4),VLOOKUP(N441,setup!$A$8:$H$58,5),VLOOKUP(N441,setup!$A$8:$H$58,6),VLOOKUP(N441,setup!$A$8:$H$58,7), VLOOKUP(0,setup!$A$8:$H$58,2),VLOOKUP(0,setup!$A$8:$H$58,5),VLOOKUP(N441,setup!$A$8:$H$58,8))</f>
        <v>                $daofactory-&gt;close();</v>
      </c>
    </row>
    <row r="442" spans="1:15" x14ac:dyDescent="0.25">
      <c r="A442" s="6" t="s">
        <v>58</v>
      </c>
      <c r="N442">
        <v>2</v>
      </c>
      <c r="O442" s="7" t="str">
        <f ca="1">getCodigoBackend(N442,A442,VLOOKUP(N442,setup!$A$8:$H$58,2),VLOOKUP(N442,setup!$A$8:$H$58,3),VLOOKUP(N442,setup!$A$8:$H$58,4),VLOOKUP(N442,setup!$A$8:$H$58,5),VLOOKUP(N442,setup!$A$8:$H$58,6),VLOOKUP(N442,setup!$A$8:$H$58,7), VLOOKUP(0,setup!$A$8:$H$58,2),VLOOKUP(0,setup!$A$8:$H$58,5),VLOOKUP(N442,setup!$A$8:$H$58,8))</f>
        <v>            } catch (Exception $e) {</v>
      </c>
    </row>
    <row r="443" spans="1:15" x14ac:dyDescent="0.25">
      <c r="A443" s="6" t="s">
        <v>59</v>
      </c>
      <c r="N443">
        <v>2</v>
      </c>
      <c r="O443" s="7" t="str">
        <f ca="1">getCodigoBackend(N443,A443,VLOOKUP(N443,setup!$A$8:$H$58,2),VLOOKUP(N443,setup!$A$8:$H$58,3),VLOOKUP(N443,setup!$A$8:$H$58,4),VLOOKUP(N443,setup!$A$8:$H$58,5),VLOOKUP(N443,setup!$A$8:$H$58,6),VLOOKUP(N443,setup!$A$8:$H$58,7), VLOOKUP(0,setup!$A$8:$H$58,2),VLOOKUP(0,setup!$A$8:$H$58,5),VLOOKUP(N443,setup!$A$8:$H$58,8))</f>
        <v>                // faz algo</v>
      </c>
    </row>
    <row r="444" spans="1:15" x14ac:dyDescent="0.25">
      <c r="A444" s="6" t="s">
        <v>51</v>
      </c>
      <c r="N444">
        <v>2</v>
      </c>
      <c r="O444" s="7" t="str">
        <f ca="1">getCodigoBackend(N444,A444,VLOOKUP(N444,setup!$A$8:$H$58,2),VLOOKUP(N444,setup!$A$8:$H$58,3),VLOOKUP(N444,setup!$A$8:$H$58,4),VLOOKUP(N444,setup!$A$8:$H$58,5),VLOOKUP(N444,setup!$A$8:$H$58,6),VLOOKUP(N444,setup!$A$8:$H$58,7), VLOOKUP(0,setup!$A$8:$H$58,2),VLOOKUP(0,setup!$A$8:$H$58,5),VLOOKUP(N444,setup!$A$8:$H$58,8))</f>
        <v>            }</v>
      </c>
    </row>
    <row r="445" spans="1:15" x14ac:dyDescent="0.25">
      <c r="A445" s="6" t="s">
        <v>60</v>
      </c>
      <c r="N445">
        <v>2</v>
      </c>
      <c r="O445" s="7" t="str">
        <f ca="1">getCodigoBackend(N445,A445,VLOOKUP(N445,setup!$A$8:$H$58,2),VLOOKUP(N445,setup!$A$8:$H$58,3),VLOOKUP(N445,setup!$A$8:$H$58,4),VLOOKUP(N445,setup!$A$8:$H$58,5),VLOOKUP(N445,setup!$A$8:$H$58,6),VLOOKUP(N445,setup!$A$8:$H$58,7), VLOOKUP(0,setup!$A$8:$H$58,2),VLOOKUP(0,setup!$A$8:$H$58,5),VLOOKUP(N445,setup!$A$8:$H$58,8))</f>
        <v>        }</v>
      </c>
    </row>
    <row r="446" spans="1:15" x14ac:dyDescent="0.25">
      <c r="N446">
        <v>2</v>
      </c>
      <c r="O446" s="7" t="str">
        <f ca="1">getCodigoBackend(N446,A446,VLOOKUP(N446,setup!$A$8:$H$58,2),VLOOKUP(N446,setup!$A$8:$H$58,3),VLOOKUP(N446,setup!$A$8:$H$58,4),VLOOKUP(N446,setup!$A$8:$H$58,5),VLOOKUP(N446,setup!$A$8:$H$58,6),VLOOKUP(N446,setup!$A$8:$H$58,7), VLOOKUP(0,setup!$A$8:$H$58,2),VLOOKUP(0,setup!$A$8:$H$58,5),VLOOKUP(N446,setup!$A$8:$H$58,8))</f>
        <v/>
      </c>
    </row>
    <row r="447" spans="1:15" x14ac:dyDescent="0.25">
      <c r="A447" s="6" t="s">
        <v>61</v>
      </c>
      <c r="N447">
        <v>2</v>
      </c>
      <c r="O447" s="7" t="str">
        <f ca="1">getCodigoBackend(N447,A447,VLOOKUP(N447,setup!$A$8:$H$58,2),VLOOKUP(N447,setup!$A$8:$H$58,3),VLOOKUP(N447,setup!$A$8:$H$58,4),VLOOKUP(N447,setup!$A$8:$H$58,5),VLOOKUP(N447,setup!$A$8:$H$58,6),VLOOKUP(N447,setup!$A$8:$H$58,7), VLOOKUP(0,setup!$A$8:$H$58,2),VLOOKUP(0,setup!$A$8:$H$58,5),VLOOKUP(N447,setup!$A$8:$H$58,8))</f>
        <v>        return $retorno;</v>
      </c>
    </row>
    <row r="448" spans="1:15" x14ac:dyDescent="0.25">
      <c r="A448" s="6" t="s">
        <v>62</v>
      </c>
      <c r="N448">
        <v>2</v>
      </c>
      <c r="O448" s="7" t="str">
        <f ca="1">getCodigoBackend(N448,A448,VLOOKUP(N448,setup!$A$8:$H$58,2),VLOOKUP(N448,setup!$A$8:$H$58,3),VLOOKUP(N448,setup!$A$8:$H$58,4),VLOOKUP(N448,setup!$A$8:$H$58,5),VLOOKUP(N448,setup!$A$8:$H$58,6),VLOOKUP(N448,setup!$A$8:$H$58,7), VLOOKUP(0,setup!$A$8:$H$58,2),VLOOKUP(0,setup!$A$8:$H$58,5),VLOOKUP(N448,setup!$A$8:$H$58,8))</f>
        <v>    }</v>
      </c>
    </row>
    <row r="449" spans="1:15" x14ac:dyDescent="0.25">
      <c r="A449" s="6"/>
      <c r="O449" s="7" t="str">
        <f ca="1">getCodigoBackend(N449,A449,VLOOKUP(N449,setup!$A$8:$H$58,2),VLOOKUP(N449,setup!$A$8:$H$58,3),VLOOKUP(N449,setup!$A$8:$H$58,4),VLOOKUP(N449,setup!$A$8:$H$58,5),VLOOKUP(N449,setup!$A$8:$H$58,6),VLOOKUP(N449,setup!$A$8:$H$58,7), VLOOKUP(0,setup!$A$8:$H$58,2),VLOOKUP(0,setup!$A$8:$H$58,5),VLOOKUP(N449,setup!$A$8:$H$58,8))</f>
        <v/>
      </c>
    </row>
    <row r="450" spans="1:15" x14ac:dyDescent="0.25">
      <c r="A450" s="4" t="s">
        <v>19</v>
      </c>
      <c r="N450">
        <v>3</v>
      </c>
      <c r="O450" s="7" t="str">
        <f ca="1">getCodigoBackend(N450,A450,VLOOKUP(N450,setup!$A$8:$H$58,2),VLOOKUP(N450,setup!$A$8:$H$58,3),VLOOKUP(N450,setup!$A$8:$H$58,4),VLOOKUP(N450,setup!$A$8:$H$58,5),VLOOKUP(N450,setup!$A$8:$H$58,6),VLOOKUP(N450,setup!$A$8:$H$58,7), VLOOKUP(0,setup!$A$8:$H$58,2),VLOOKUP(0,setup!$A$8:$H$58,5),VLOOKUP(N450,setup!$A$8:$H$58,8))</f>
        <v>/**</v>
      </c>
    </row>
    <row r="451" spans="1:15" x14ac:dyDescent="0.25">
      <c r="A451" s="4" t="s">
        <v>20</v>
      </c>
      <c r="N451">
        <v>3</v>
      </c>
      <c r="O451" s="7" t="str">
        <f ca="1">getCodigoBackend(N451,A451,VLOOKUP(N451,setup!$A$8:$H$58,2),VLOOKUP(N451,setup!$A$8:$H$58,3),VLOOKUP(N451,setup!$A$8:$H$58,4),VLOOKUP(N451,setup!$A$8:$H$58,5),VLOOKUP(N451,setup!$A$8:$H$58,6),VLOOKUP(N451,setup!$A$8:$H$58,7), VLOOKUP(0,setup!$A$8:$H$58,2),VLOOKUP(0,setup!$A$8:$H$58,5),VLOOKUP(N451,setup!$A$8:$H$58,8))</f>
        <v>*</v>
      </c>
    </row>
    <row r="452" spans="1:15" x14ac:dyDescent="0.25">
      <c r="A452" s="4" t="s">
        <v>716</v>
      </c>
      <c r="N452">
        <v>3</v>
      </c>
      <c r="O452" s="7" t="str">
        <f ca="1">getCodigoBackend(N452,A452,VLOOKUP(N452,setup!$A$8:$H$58,2),VLOOKUP(N452,setup!$A$8:$H$58,3),VLOOKUP(N452,setup!$A$8:$H$58,4),VLOOKUP(N452,setup!$A$8:$H$58,5),VLOOKUP(N452,setup!$A$8:$H$58,6),VLOOKUP(N452,setup!$A$8:$H$58,7), VLOOKUP(0,setup!$A$8:$H$58,2),VLOOKUP(0,setup!$A$8:$H$58,5),VLOOKUP(N452,setup!$A$8:$H$58,8))</f>
        <v>* pesquisarPorTipochavepix() - Usado para invocar a classe de negócio CampanhaCashbackResgatePixBusinessImpl de forma geral</v>
      </c>
    </row>
    <row r="453" spans="1:15" x14ac:dyDescent="0.25">
      <c r="A453" s="4" t="s">
        <v>717</v>
      </c>
      <c r="N453">
        <v>3</v>
      </c>
      <c r="O453" s="7" t="str">
        <f ca="1">getCodigoBackend(N453,A453,VLOOKUP(N453,setup!$A$8:$H$58,2),VLOOKUP(N453,setup!$A$8:$H$58,3),VLOOKUP(N453,setup!$A$8:$H$58,4),VLOOKUP(N453,setup!$A$8:$H$58,5),VLOOKUP(N453,setup!$A$8:$H$58,6),VLOOKUP(N453,setup!$A$8:$H$58,7), VLOOKUP(0,setup!$A$8:$H$58,2),VLOOKUP(0,setup!$A$8:$H$58,5),VLOOKUP(N453,setup!$A$8:$H$58,8))</f>
        <v>* realizar uma busca de Tipo da Chave PIX diretamente na tabela CAMPANHA_CASHBACK_RESGATE_PIX campo CCRP_IN_TIPO_CHAVE_PIX</v>
      </c>
    </row>
    <row r="454" spans="1:15" x14ac:dyDescent="0.25">
      <c r="A454" s="4" t="s">
        <v>20</v>
      </c>
      <c r="N454">
        <v>3</v>
      </c>
      <c r="O454" s="7" t="str">
        <f ca="1">getCodigoBackend(N454,A454,VLOOKUP(N454,setup!$A$8:$H$58,2),VLOOKUP(N454,setup!$A$8:$H$58,3),VLOOKUP(N454,setup!$A$8:$H$58,4),VLOOKUP(N454,setup!$A$8:$H$58,5),VLOOKUP(N454,setup!$A$8:$H$58,6),VLOOKUP(N454,setup!$A$8:$H$58,7), VLOOKUP(0,setup!$A$8:$H$58,2),VLOOKUP(0,setup!$A$8:$H$58,5),VLOOKUP(N454,setup!$A$8:$H$58,8))</f>
        <v>*</v>
      </c>
    </row>
    <row r="455" spans="1:15" x14ac:dyDescent="0.25">
      <c r="A455" s="4" t="s">
        <v>723</v>
      </c>
      <c r="N455">
        <v>3</v>
      </c>
      <c r="O455" s="7" t="str">
        <f ca="1">getCodigoBackend(N455,A455,VLOOKUP(N455,setup!$A$8:$H$58,2),VLOOKUP(N455,setup!$A$8:$H$58,3),VLOOKUP(N455,setup!$A$8:$H$58,4),VLOOKUP(N455,setup!$A$8:$H$58,5),VLOOKUP(N455,setup!$A$8:$H$58,6),VLOOKUP(N455,setup!$A$8:$H$58,7), VLOOKUP(0,setup!$A$8:$H$58,2),VLOOKUP(0,setup!$A$8:$H$58,5),VLOOKUP(N455,setup!$A$8:$H$58,8))</f>
        <v>* @param $tipoChavePix</v>
      </c>
    </row>
    <row r="456" spans="1:15" x14ac:dyDescent="0.25">
      <c r="A456" s="4" t="s">
        <v>347</v>
      </c>
      <c r="N456">
        <v>3</v>
      </c>
      <c r="O456" s="7" t="str">
        <f ca="1">getCodigoBackend(N456,A456,VLOOKUP(N456,setup!$A$8:$H$58,2),VLOOKUP(N456,setup!$A$8:$H$58,3),VLOOKUP(N456,setup!$A$8:$H$58,4),VLOOKUP(N456,setup!$A$8:$H$58,5),VLOOKUP(N456,setup!$A$8:$H$58,6),VLOOKUP(N456,setup!$A$8:$H$58,7), VLOOKUP(0,setup!$A$8:$H$58,2),VLOOKUP(0,setup!$A$8:$H$58,5),VLOOKUP(N456,setup!$A$8:$H$58,8))</f>
        <v>* @return CampanhaCashbackResgatePixDTO</v>
      </c>
    </row>
    <row r="457" spans="1:15" x14ac:dyDescent="0.25">
      <c r="A457" s="4" t="s">
        <v>20</v>
      </c>
      <c r="N457">
        <v>3</v>
      </c>
      <c r="O457" s="7" t="str">
        <f ca="1">getCodigoBackend(N457,A457,VLOOKUP(N457,setup!$A$8:$H$58,2),VLOOKUP(N457,setup!$A$8:$H$58,3),VLOOKUP(N457,setup!$A$8:$H$58,4),VLOOKUP(N457,setup!$A$8:$H$58,5),VLOOKUP(N457,setup!$A$8:$H$58,6),VLOOKUP(N457,setup!$A$8:$H$58,7), VLOOKUP(0,setup!$A$8:$H$58,2),VLOOKUP(0,setup!$A$8:$H$58,5),VLOOKUP(N457,setup!$A$8:$H$58,8))</f>
        <v>*</v>
      </c>
    </row>
    <row r="458" spans="1:15" x14ac:dyDescent="0.25">
      <c r="A458" s="4" t="s">
        <v>75</v>
      </c>
      <c r="N458">
        <v>3</v>
      </c>
      <c r="O458" s="7" t="str">
        <f ca="1">getCodigoBackend(N458,A458,VLOOKUP(N458,setup!$A$8:$H$58,2),VLOOKUP(N458,setup!$A$8:$H$58,3),VLOOKUP(N458,setup!$A$8:$H$58,4),VLOOKUP(N458,setup!$A$8:$H$58,5),VLOOKUP(N458,setup!$A$8:$H$58,6),VLOOKUP(N458,setup!$A$8:$H$58,7), VLOOKUP(0,setup!$A$8:$H$58,2),VLOOKUP(0,setup!$A$8:$H$58,5),VLOOKUP(N458,setup!$A$8:$H$58,8))</f>
        <v xml:space="preserve">* </v>
      </c>
    </row>
    <row r="459" spans="1:15" x14ac:dyDescent="0.25">
      <c r="A459" s="4" t="s">
        <v>21</v>
      </c>
      <c r="N459">
        <v>3</v>
      </c>
      <c r="O459" s="7" t="str">
        <f ca="1">getCodigoBackend(N459,A459,VLOOKUP(N459,setup!$A$8:$H$58,2),VLOOKUP(N459,setup!$A$8:$H$58,3),VLOOKUP(N459,setup!$A$8:$H$58,4),VLOOKUP(N459,setup!$A$8:$H$58,5),VLOOKUP(N459,setup!$A$8:$H$58,6),VLOOKUP(N459,setup!$A$8:$H$58,7), VLOOKUP(0,setup!$A$8:$H$58,2),VLOOKUP(0,setup!$A$8:$H$58,5),VLOOKUP(N459,setup!$A$8:$H$58,8))</f>
        <v>*/</v>
      </c>
    </row>
    <row r="460" spans="1:15" x14ac:dyDescent="0.25">
      <c r="N460">
        <v>3</v>
      </c>
      <c r="O460" s="7" t="str">
        <f ca="1">getCodigoBackend(N460,A460,VLOOKUP(N460,setup!$A$8:$H$58,2),VLOOKUP(N460,setup!$A$8:$H$58,3),VLOOKUP(N460,setup!$A$8:$H$58,4),VLOOKUP(N460,setup!$A$8:$H$58,5),VLOOKUP(N460,setup!$A$8:$H$58,6),VLOOKUP(N460,setup!$A$8:$H$58,7), VLOOKUP(0,setup!$A$8:$H$58,2),VLOOKUP(0,setup!$A$8:$H$58,5),VLOOKUP(N460,setup!$A$8:$H$58,8))</f>
        <v/>
      </c>
    </row>
    <row r="461" spans="1:15" x14ac:dyDescent="0.25">
      <c r="A461" s="6" t="s">
        <v>720</v>
      </c>
      <c r="N461">
        <v>3</v>
      </c>
      <c r="O461" s="7" t="str">
        <f ca="1">getCodigoBackend(N461,A461,VLOOKUP(N461,setup!$A$8:$H$58,2),VLOOKUP(N461,setup!$A$8:$H$58,3),VLOOKUP(N461,setup!$A$8:$H$58,4),VLOOKUP(N461,setup!$A$8:$H$58,5),VLOOKUP(N461,setup!$A$8:$H$58,6),VLOOKUP(N461,setup!$A$8:$H$58,7), VLOOKUP(0,setup!$A$8:$H$58,2),VLOOKUP(0,setup!$A$8:$H$58,5),VLOOKUP(N461,setup!$A$8:$H$58,8))</f>
        <v>    public function pesquisarPorTipochavepix($tipoChavePix)</v>
      </c>
    </row>
    <row r="462" spans="1:15" x14ac:dyDescent="0.25">
      <c r="A462" s="6" t="s">
        <v>38</v>
      </c>
      <c r="N462">
        <v>3</v>
      </c>
      <c r="O462" s="7" t="str">
        <f ca="1">getCodigoBackend(N462,A462,VLOOKUP(N462,setup!$A$8:$H$58,2),VLOOKUP(N462,setup!$A$8:$H$58,3),VLOOKUP(N462,setup!$A$8:$H$58,4),VLOOKUP(N462,setup!$A$8:$H$58,5),VLOOKUP(N462,setup!$A$8:$H$58,6),VLOOKUP(N462,setup!$A$8:$H$58,7), VLOOKUP(0,setup!$A$8:$H$58,2),VLOOKUP(0,setup!$A$8:$H$58,5),VLOOKUP(N462,setup!$A$8:$H$58,8))</f>
        <v>    {</v>
      </c>
    </row>
    <row r="463" spans="1:15" x14ac:dyDescent="0.25">
      <c r="A463" s="6" t="s">
        <v>39</v>
      </c>
      <c r="N463">
        <v>3</v>
      </c>
      <c r="O463" s="7" t="str">
        <f ca="1">getCodigoBackend(N463,A463,VLOOKUP(N463,setup!$A$8:$H$58,2),VLOOKUP(N463,setup!$A$8:$H$58,3),VLOOKUP(N463,setup!$A$8:$H$58,4),VLOOKUP(N463,setup!$A$8:$H$58,5),VLOOKUP(N463,setup!$A$8:$H$58,6),VLOOKUP(N463,setup!$A$8:$H$58,7), VLOOKUP(0,setup!$A$8:$H$58,2),VLOOKUP(0,setup!$A$8:$H$58,5),VLOOKUP(N463,setup!$A$8:$H$58,8))</f>
        <v>        $daofactory = NULL;</v>
      </c>
    </row>
    <row r="464" spans="1:15" x14ac:dyDescent="0.25">
      <c r="A464" s="6" t="s">
        <v>40</v>
      </c>
      <c r="N464">
        <v>3</v>
      </c>
      <c r="O464" s="7" t="str">
        <f ca="1">getCodigoBackend(N464,A464,VLOOKUP(N464,setup!$A$8:$H$58,2),VLOOKUP(N464,setup!$A$8:$H$58,3),VLOOKUP(N464,setup!$A$8:$H$58,4),VLOOKUP(N464,setup!$A$8:$H$58,5),VLOOKUP(N464,setup!$A$8:$H$58,6),VLOOKUP(N464,setup!$A$8:$H$58,7), VLOOKUP(0,setup!$A$8:$H$58,2),VLOOKUP(0,setup!$A$8:$H$58,5),VLOOKUP(N464,setup!$A$8:$H$58,8))</f>
        <v>        $retorno = NULL;</v>
      </c>
    </row>
    <row r="465" spans="1:15" x14ac:dyDescent="0.25">
      <c r="A465" s="6" t="s">
        <v>41</v>
      </c>
      <c r="N465">
        <v>3</v>
      </c>
      <c r="O465" s="7" t="str">
        <f ca="1">getCodigoBackend(N465,A465,VLOOKUP(N465,setup!$A$8:$H$58,2),VLOOKUP(N465,setup!$A$8:$H$58,3),VLOOKUP(N465,setup!$A$8:$H$58,4),VLOOKUP(N465,setup!$A$8:$H$58,5),VLOOKUP(N465,setup!$A$8:$H$58,6),VLOOKUP(N465,setup!$A$8:$H$58,7), VLOOKUP(0,setup!$A$8:$H$58,2),VLOOKUP(0,setup!$A$8:$H$58,5),VLOOKUP(N465,setup!$A$8:$H$58,8))</f>
        <v>        try {</v>
      </c>
    </row>
    <row r="466" spans="1:15" x14ac:dyDescent="0.25">
      <c r="A466" s="6" t="s">
        <v>42</v>
      </c>
      <c r="N466">
        <v>3</v>
      </c>
      <c r="O466" s="7" t="str">
        <f ca="1">getCodigoBackend(N466,A466,VLOOKUP(N466,setup!$A$8:$H$58,2),VLOOKUP(N466,setup!$A$8:$H$58,3),VLOOKUP(N466,setup!$A$8:$H$58,4),VLOOKUP(N466,setup!$A$8:$H$58,5),VLOOKUP(N466,setup!$A$8:$H$58,6),VLOOKUP(N466,setup!$A$8:$H$58,7), VLOOKUP(0,setup!$A$8:$H$58,2),VLOOKUP(0,setup!$A$8:$H$58,5),VLOOKUP(N466,setup!$A$8:$H$58,8))</f>
        <v>            $daofactory = DAOFactory::getDAOFactory();</v>
      </c>
    </row>
    <row r="467" spans="1:15" x14ac:dyDescent="0.25">
      <c r="A467" s="6" t="s">
        <v>43</v>
      </c>
      <c r="N467">
        <v>3</v>
      </c>
      <c r="O467" s="7" t="str">
        <f ca="1">getCodigoBackend(N467,A467,VLOOKUP(N467,setup!$A$8:$H$58,2),VLOOKUP(N467,setup!$A$8:$H$58,3),VLOOKUP(N467,setup!$A$8:$H$58,4),VLOOKUP(N467,setup!$A$8:$H$58,5),VLOOKUP(N467,setup!$A$8:$H$58,6),VLOOKUP(N467,setup!$A$8:$H$58,7), VLOOKUP(0,setup!$A$8:$H$58,2),VLOOKUP(0,setup!$A$8:$H$58,5),VLOOKUP(N467,setup!$A$8:$H$58,8))</f>
        <v>            $daofactory-&gt;open();</v>
      </c>
    </row>
    <row r="468" spans="1:15" x14ac:dyDescent="0.25">
      <c r="A468" s="6" t="s">
        <v>44</v>
      </c>
      <c r="N468">
        <v>3</v>
      </c>
      <c r="O468" s="7" t="str">
        <f ca="1">getCodigoBackend(N468,A468,VLOOKUP(N468,setup!$A$8:$H$58,2),VLOOKUP(N468,setup!$A$8:$H$58,3),VLOOKUP(N468,setup!$A$8:$H$58,4),VLOOKUP(N468,setup!$A$8:$H$58,5),VLOOKUP(N468,setup!$A$8:$H$58,6),VLOOKUP(N468,setup!$A$8:$H$58,7), VLOOKUP(0,setup!$A$8:$H$58,2),VLOOKUP(0,setup!$A$8:$H$58,5),VLOOKUP(N468,setup!$A$8:$H$58,8))</f>
        <v>            $daofactory-&gt;beginTransaction();</v>
      </c>
    </row>
    <row r="469" spans="1:15" x14ac:dyDescent="0.25">
      <c r="A469" s="6" t="s">
        <v>45</v>
      </c>
      <c r="N469">
        <v>3</v>
      </c>
      <c r="O469" s="7" t="str">
        <f ca="1">getCodigoBackend(N469,A469,VLOOKUP(N469,setup!$A$8:$H$58,2),VLOOKUP(N469,setup!$A$8:$H$58,3),VLOOKUP(N469,setup!$A$8:$H$58,4),VLOOKUP(N469,setup!$A$8:$H$58,5),VLOOKUP(N469,setup!$A$8:$H$58,6),VLOOKUP(N469,setup!$A$8:$H$58,7), VLOOKUP(0,setup!$A$8:$H$58,2),VLOOKUP(0,setup!$A$8:$H$58,5),VLOOKUP(N469,setup!$A$8:$H$58,8))</f>
        <v>            </v>
      </c>
    </row>
    <row r="470" spans="1:15" x14ac:dyDescent="0.25">
      <c r="A470" s="6" t="s">
        <v>722</v>
      </c>
      <c r="N470">
        <v>3</v>
      </c>
      <c r="O470" s="7" t="str">
        <f ca="1">getCodigoBackend(N470,A470,VLOOKUP(N470,setup!$A$8:$H$58,2),VLOOKUP(N470,setup!$A$8:$H$58,3),VLOOKUP(N470,setup!$A$8:$H$58,4),VLOOKUP(N470,setup!$A$8:$H$58,5),VLOOKUP(N470,setup!$A$8:$H$58,6),VLOOKUP(N470,setup!$A$8:$H$58,7), VLOOKUP(0,setup!$A$8:$H$58,2),VLOOKUP(0,setup!$A$8:$H$58,5),VLOOKUP(N470,setup!$A$8:$H$58,8))</f>
        <v>            // pesquisar pelo atributo CampanhaCashbackResgatePix.tipoChavePix no campo CCRP_IN_TIPO_CHAVE_PIX da tabela CAMPANHA_CASHBACK_RESGATE_PIX</v>
      </c>
    </row>
    <row r="471" spans="1:15" x14ac:dyDescent="0.25">
      <c r="A471" s="6" t="s">
        <v>265</v>
      </c>
      <c r="N471">
        <v>3</v>
      </c>
      <c r="O471" s="7" t="str">
        <f ca="1">getCodigoBackend(N471,A471,VLOOKUP(N471,setup!$A$8:$H$58,2),VLOOKUP(N471,setup!$A$8:$H$58,3),VLOOKUP(N471,setup!$A$8:$H$58,4),VLOOKUP(N471,setup!$A$8:$H$58,5),VLOOKUP(N471,setup!$A$8:$H$58,6),VLOOKUP(N471,setup!$A$8:$H$58,7), VLOOKUP(0,setup!$A$8:$H$58,2),VLOOKUP(0,setup!$A$8:$H$58,5),VLOOKUP(N471,setup!$A$8:$H$58,8))</f>
        <v>           $bo = new CampanhaCashbackResgatePixBusinessImpl();</v>
      </c>
    </row>
    <row r="472" spans="1:15" x14ac:dyDescent="0.25">
      <c r="A472" s="6" t="s">
        <v>721</v>
      </c>
      <c r="N472">
        <v>3</v>
      </c>
      <c r="O472" s="7" t="str">
        <f ca="1">getCodigoBackend(N472,A472,VLOOKUP(N472,setup!$A$8:$H$58,2),VLOOKUP(N472,setup!$A$8:$H$58,3),VLOOKUP(N472,setup!$A$8:$H$58,4),VLOOKUP(N472,setup!$A$8:$H$58,5),VLOOKUP(N472,setup!$A$8:$H$58,6),VLOOKUP(N472,setup!$A$8:$H$58,7), VLOOKUP(0,setup!$A$8:$H$58,2),VLOOKUP(0,setup!$A$8:$H$58,5),VLOOKUP(N472,setup!$A$8:$H$58,8))</f>
        <v>           $retorno = $bo-&gt;carregarPorTipochavepix($daofactory, $tipoChavePix);</v>
      </c>
    </row>
    <row r="473" spans="1:15" x14ac:dyDescent="0.25">
      <c r="A473" s="6" t="s">
        <v>68</v>
      </c>
      <c r="N473">
        <v>3</v>
      </c>
      <c r="O473" s="7" t="str">
        <f ca="1">getCodigoBackend(N473,A473,VLOOKUP(N473,setup!$A$8:$H$58,2),VLOOKUP(N473,setup!$A$8:$H$58,3),VLOOKUP(N473,setup!$A$8:$H$58,4),VLOOKUP(N473,setup!$A$8:$H$58,5),VLOOKUP(N473,setup!$A$8:$H$58,6),VLOOKUP(N473,setup!$A$8:$H$58,7), VLOOKUP(0,setup!$A$8:$H$58,2),VLOOKUP(0,setup!$A$8:$H$58,5),VLOOKUP(N473,setup!$A$8:$H$58,8))</f>
        <v>           if ($retorno-&gt;msgcode == ConstantesMensagem::COMANDO_REALIZADO_COM_SUCESSO){</v>
      </c>
    </row>
    <row r="474" spans="1:15" x14ac:dyDescent="0.25">
      <c r="A474" s="6" t="s">
        <v>48</v>
      </c>
      <c r="N474">
        <v>3</v>
      </c>
      <c r="O474" s="7" t="str">
        <f ca="1">getCodigoBackend(N474,A474,VLOOKUP(N474,setup!$A$8:$H$58,2),VLOOKUP(N474,setup!$A$8:$H$58,3),VLOOKUP(N474,setup!$A$8:$H$58,4),VLOOKUP(N474,setup!$A$8:$H$58,5),VLOOKUP(N474,setup!$A$8:$H$58,6),VLOOKUP(N474,setup!$A$8:$H$58,7), VLOOKUP(0,setup!$A$8:$H$58,2),VLOOKUP(0,setup!$A$8:$H$58,5),VLOOKUP(N474,setup!$A$8:$H$58,8))</f>
        <v>                $daofactory-&gt;commit();</v>
      </c>
    </row>
    <row r="475" spans="1:15" x14ac:dyDescent="0.25">
      <c r="A475" s="6" t="s">
        <v>63</v>
      </c>
      <c r="N475">
        <v>3</v>
      </c>
      <c r="O475" s="7" t="str">
        <f ca="1">getCodigoBackend(N475,A475,VLOOKUP(N475,setup!$A$8:$H$58,2),VLOOKUP(N475,setup!$A$8:$H$58,3),VLOOKUP(N475,setup!$A$8:$H$58,4),VLOOKUP(N475,setup!$A$8:$H$58,5),VLOOKUP(N475,setup!$A$8:$H$58,6),VLOOKUP(N475,setup!$A$8:$H$58,7), VLOOKUP(0,setup!$A$8:$H$58,2),VLOOKUP(0,setup!$A$8:$H$58,5),VLOOKUP(N475,setup!$A$8:$H$58,8))</f>
        <v>           } else {</v>
      </c>
    </row>
    <row r="476" spans="1:15" x14ac:dyDescent="0.25">
      <c r="A476" s="6" t="s">
        <v>50</v>
      </c>
      <c r="N476">
        <v>3</v>
      </c>
      <c r="O476" s="7" t="str">
        <f ca="1">getCodigoBackend(N476,A476,VLOOKUP(N476,setup!$A$8:$H$58,2),VLOOKUP(N476,setup!$A$8:$H$58,3),VLOOKUP(N476,setup!$A$8:$H$58,4),VLOOKUP(N476,setup!$A$8:$H$58,5),VLOOKUP(N476,setup!$A$8:$H$58,6),VLOOKUP(N476,setup!$A$8:$H$58,7), VLOOKUP(0,setup!$A$8:$H$58,2),VLOOKUP(0,setup!$A$8:$H$58,5),VLOOKUP(N476,setup!$A$8:$H$58,8))</f>
        <v>                $daofactory-&gt;rollback();</v>
      </c>
    </row>
    <row r="477" spans="1:15" x14ac:dyDescent="0.25">
      <c r="A477" s="6" t="s">
        <v>64</v>
      </c>
      <c r="N477">
        <v>3</v>
      </c>
      <c r="O477" s="7" t="str">
        <f ca="1">getCodigoBackend(N477,A477,VLOOKUP(N477,setup!$A$8:$H$58,2),VLOOKUP(N477,setup!$A$8:$H$58,3),VLOOKUP(N477,setup!$A$8:$H$58,4),VLOOKUP(N477,setup!$A$8:$H$58,5),VLOOKUP(N477,setup!$A$8:$H$58,6),VLOOKUP(N477,setup!$A$8:$H$58,7), VLOOKUP(0,setup!$A$8:$H$58,2),VLOOKUP(0,setup!$A$8:$H$58,5),VLOOKUP(N477,setup!$A$8:$H$58,8))</f>
        <v>           }</v>
      </c>
    </row>
    <row r="478" spans="1:15" x14ac:dyDescent="0.25">
      <c r="A478" s="6" t="s">
        <v>45</v>
      </c>
      <c r="N478">
        <v>3</v>
      </c>
      <c r="O478" s="7" t="str">
        <f ca="1">getCodigoBackend(N478,A478,VLOOKUP(N478,setup!$A$8:$H$58,2),VLOOKUP(N478,setup!$A$8:$H$58,3),VLOOKUP(N478,setup!$A$8:$H$58,4),VLOOKUP(N478,setup!$A$8:$H$58,5),VLOOKUP(N478,setup!$A$8:$H$58,6),VLOOKUP(N478,setup!$A$8:$H$58,7), VLOOKUP(0,setup!$A$8:$H$58,2),VLOOKUP(0,setup!$A$8:$H$58,5),VLOOKUP(N478,setup!$A$8:$H$58,8))</f>
        <v>            </v>
      </c>
    </row>
    <row r="479" spans="1:15" x14ac:dyDescent="0.25">
      <c r="A479" s="6" t="s">
        <v>52</v>
      </c>
      <c r="N479">
        <v>3</v>
      </c>
      <c r="O479" s="7" t="str">
        <f ca="1">getCodigoBackend(N479,A479,VLOOKUP(N479,setup!$A$8:$H$58,2),VLOOKUP(N479,setup!$A$8:$H$58,3),VLOOKUP(N479,setup!$A$8:$H$58,4),VLOOKUP(N479,setup!$A$8:$H$58,5),VLOOKUP(N479,setup!$A$8:$H$58,6),VLOOKUP(N479,setup!$A$8:$H$58,7), VLOOKUP(0,setup!$A$8:$H$58,2),VLOOKUP(0,setup!$A$8:$H$58,5),VLOOKUP(N479,setup!$A$8:$H$58,8))</f>
        <v>        } catch (Exception $e) {</v>
      </c>
    </row>
    <row r="480" spans="1:15" x14ac:dyDescent="0.25">
      <c r="A480" s="6" t="s">
        <v>53</v>
      </c>
      <c r="N480">
        <v>3</v>
      </c>
      <c r="O480" s="7" t="str">
        <f ca="1">getCodigoBackend(N480,A480,VLOOKUP(N480,setup!$A$8:$H$58,2),VLOOKUP(N480,setup!$A$8:$H$58,3),VLOOKUP(N480,setup!$A$8:$H$58,4),VLOOKUP(N480,setup!$A$8:$H$58,5),VLOOKUP(N480,setup!$A$8:$H$58,6),VLOOKUP(N480,setup!$A$8:$H$58,7), VLOOKUP(0,setup!$A$8:$H$58,2),VLOOKUP(0,setup!$A$8:$H$58,5),VLOOKUP(N480,setup!$A$8:$H$58,8))</f>
        <v>            // rollback na transação</v>
      </c>
    </row>
    <row r="481" spans="1:15" x14ac:dyDescent="0.25">
      <c r="N481">
        <v>3</v>
      </c>
      <c r="O481" s="7" t="str">
        <f ca="1">getCodigoBackend(N481,A481,VLOOKUP(N481,setup!$A$8:$H$58,2),VLOOKUP(N481,setup!$A$8:$H$58,3),VLOOKUP(N481,setup!$A$8:$H$58,4),VLOOKUP(N481,setup!$A$8:$H$58,5),VLOOKUP(N481,setup!$A$8:$H$58,6),VLOOKUP(N481,setup!$A$8:$H$58,7), VLOOKUP(0,setup!$A$8:$H$58,2),VLOOKUP(0,setup!$A$8:$H$58,5),VLOOKUP(N481,setup!$A$8:$H$58,8))</f>
        <v/>
      </c>
    </row>
    <row r="482" spans="1:15" x14ac:dyDescent="0.25">
      <c r="A482" s="6" t="s">
        <v>55</v>
      </c>
      <c r="N482">
        <v>3</v>
      </c>
      <c r="O482" s="7" t="str">
        <f ca="1">getCodigoBackend(N482,A482,VLOOKUP(N482,setup!$A$8:$H$58,2),VLOOKUP(N482,setup!$A$8:$H$58,3),VLOOKUP(N482,setup!$A$8:$H$58,4),VLOOKUP(N482,setup!$A$8:$H$58,5),VLOOKUP(N482,setup!$A$8:$H$58,6),VLOOKUP(N482,setup!$A$8:$H$58,7), VLOOKUP(0,setup!$A$8:$H$58,2),VLOOKUP(0,setup!$A$8:$H$58,5),VLOOKUP(N482,setup!$A$8:$H$58,8))</f>
        <v>        } finally {</v>
      </c>
    </row>
    <row r="483" spans="1:15" x14ac:dyDescent="0.25">
      <c r="A483" s="6" t="s">
        <v>56</v>
      </c>
      <c r="N483">
        <v>3</v>
      </c>
      <c r="O483" s="7" t="str">
        <f ca="1">getCodigoBackend(N483,A483,VLOOKUP(N483,setup!$A$8:$H$58,2),VLOOKUP(N483,setup!$A$8:$H$58,3),VLOOKUP(N483,setup!$A$8:$H$58,4),VLOOKUP(N483,setup!$A$8:$H$58,5),VLOOKUP(N483,setup!$A$8:$H$58,6),VLOOKUP(N483,setup!$A$8:$H$58,7), VLOOKUP(0,setup!$A$8:$H$58,2),VLOOKUP(0,setup!$A$8:$H$58,5),VLOOKUP(N483,setup!$A$8:$H$58,8))</f>
        <v>            try {</v>
      </c>
    </row>
    <row r="484" spans="1:15" x14ac:dyDescent="0.25">
      <c r="A484" s="6" t="s">
        <v>57</v>
      </c>
      <c r="N484">
        <v>3</v>
      </c>
      <c r="O484" s="7" t="str">
        <f ca="1">getCodigoBackend(N484,A484,VLOOKUP(N484,setup!$A$8:$H$58,2),VLOOKUP(N484,setup!$A$8:$H$58,3),VLOOKUP(N484,setup!$A$8:$H$58,4),VLOOKUP(N484,setup!$A$8:$H$58,5),VLOOKUP(N484,setup!$A$8:$H$58,6),VLOOKUP(N484,setup!$A$8:$H$58,7), VLOOKUP(0,setup!$A$8:$H$58,2),VLOOKUP(0,setup!$A$8:$H$58,5),VLOOKUP(N484,setup!$A$8:$H$58,8))</f>
        <v>                $daofactory-&gt;close();</v>
      </c>
    </row>
    <row r="485" spans="1:15" x14ac:dyDescent="0.25">
      <c r="A485" s="6" t="s">
        <v>58</v>
      </c>
      <c r="N485">
        <v>3</v>
      </c>
      <c r="O485" s="7" t="str">
        <f ca="1">getCodigoBackend(N485,A485,VLOOKUP(N485,setup!$A$8:$H$58,2),VLOOKUP(N485,setup!$A$8:$H$58,3),VLOOKUP(N485,setup!$A$8:$H$58,4),VLOOKUP(N485,setup!$A$8:$H$58,5),VLOOKUP(N485,setup!$A$8:$H$58,6),VLOOKUP(N485,setup!$A$8:$H$58,7), VLOOKUP(0,setup!$A$8:$H$58,2),VLOOKUP(0,setup!$A$8:$H$58,5),VLOOKUP(N485,setup!$A$8:$H$58,8))</f>
        <v>            } catch (Exception $e) {</v>
      </c>
    </row>
    <row r="486" spans="1:15" x14ac:dyDescent="0.25">
      <c r="A486" s="6" t="s">
        <v>59</v>
      </c>
      <c r="N486">
        <v>3</v>
      </c>
      <c r="O486" s="7" t="str">
        <f ca="1">getCodigoBackend(N486,A486,VLOOKUP(N486,setup!$A$8:$H$58,2),VLOOKUP(N486,setup!$A$8:$H$58,3),VLOOKUP(N486,setup!$A$8:$H$58,4),VLOOKUP(N486,setup!$A$8:$H$58,5),VLOOKUP(N486,setup!$A$8:$H$58,6),VLOOKUP(N486,setup!$A$8:$H$58,7), VLOOKUP(0,setup!$A$8:$H$58,2),VLOOKUP(0,setup!$A$8:$H$58,5),VLOOKUP(N486,setup!$A$8:$H$58,8))</f>
        <v>                // faz algo</v>
      </c>
    </row>
    <row r="487" spans="1:15" x14ac:dyDescent="0.25">
      <c r="A487" s="6" t="s">
        <v>51</v>
      </c>
      <c r="N487">
        <v>3</v>
      </c>
      <c r="O487" s="7" t="str">
        <f ca="1">getCodigoBackend(N487,A487,VLOOKUP(N487,setup!$A$8:$H$58,2),VLOOKUP(N487,setup!$A$8:$H$58,3),VLOOKUP(N487,setup!$A$8:$H$58,4),VLOOKUP(N487,setup!$A$8:$H$58,5),VLOOKUP(N487,setup!$A$8:$H$58,6),VLOOKUP(N487,setup!$A$8:$H$58,7), VLOOKUP(0,setup!$A$8:$H$58,2),VLOOKUP(0,setup!$A$8:$H$58,5),VLOOKUP(N487,setup!$A$8:$H$58,8))</f>
        <v>            }</v>
      </c>
    </row>
    <row r="488" spans="1:15" x14ac:dyDescent="0.25">
      <c r="A488" s="6" t="s">
        <v>60</v>
      </c>
      <c r="N488">
        <v>3</v>
      </c>
      <c r="O488" s="7" t="str">
        <f ca="1">getCodigoBackend(N488,A488,VLOOKUP(N488,setup!$A$8:$H$58,2),VLOOKUP(N488,setup!$A$8:$H$58,3),VLOOKUP(N488,setup!$A$8:$H$58,4),VLOOKUP(N488,setup!$A$8:$H$58,5),VLOOKUP(N488,setup!$A$8:$H$58,6),VLOOKUP(N488,setup!$A$8:$H$58,7), VLOOKUP(0,setup!$A$8:$H$58,2),VLOOKUP(0,setup!$A$8:$H$58,5),VLOOKUP(N488,setup!$A$8:$H$58,8))</f>
        <v>        }</v>
      </c>
    </row>
    <row r="489" spans="1:15" x14ac:dyDescent="0.25">
      <c r="N489">
        <v>3</v>
      </c>
      <c r="O489" s="7" t="str">
        <f ca="1">getCodigoBackend(N489,A489,VLOOKUP(N489,setup!$A$8:$H$58,2),VLOOKUP(N489,setup!$A$8:$H$58,3),VLOOKUP(N489,setup!$A$8:$H$58,4),VLOOKUP(N489,setup!$A$8:$H$58,5),VLOOKUP(N489,setup!$A$8:$H$58,6),VLOOKUP(N489,setup!$A$8:$H$58,7), VLOOKUP(0,setup!$A$8:$H$58,2),VLOOKUP(0,setup!$A$8:$H$58,5),VLOOKUP(N489,setup!$A$8:$H$58,8))</f>
        <v/>
      </c>
    </row>
    <row r="490" spans="1:15" x14ac:dyDescent="0.25">
      <c r="A490" s="6" t="s">
        <v>61</v>
      </c>
      <c r="N490">
        <v>3</v>
      </c>
      <c r="O490" s="7" t="str">
        <f ca="1">getCodigoBackend(N490,A490,VLOOKUP(N490,setup!$A$8:$H$58,2),VLOOKUP(N490,setup!$A$8:$H$58,3),VLOOKUP(N490,setup!$A$8:$H$58,4),VLOOKUP(N490,setup!$A$8:$H$58,5),VLOOKUP(N490,setup!$A$8:$H$58,6),VLOOKUP(N490,setup!$A$8:$H$58,7), VLOOKUP(0,setup!$A$8:$H$58,2),VLOOKUP(0,setup!$A$8:$H$58,5),VLOOKUP(N490,setup!$A$8:$H$58,8))</f>
        <v>        return $retorno;</v>
      </c>
    </row>
    <row r="491" spans="1:15" x14ac:dyDescent="0.25">
      <c r="A491" s="6" t="s">
        <v>62</v>
      </c>
      <c r="N491">
        <v>3</v>
      </c>
      <c r="O491" s="7" t="str">
        <f ca="1">getCodigoBackend(N491,A491,VLOOKUP(N491,setup!$A$8:$H$58,2),VLOOKUP(N491,setup!$A$8:$H$58,3),VLOOKUP(N491,setup!$A$8:$H$58,4),VLOOKUP(N491,setup!$A$8:$H$58,5),VLOOKUP(N491,setup!$A$8:$H$58,6),VLOOKUP(N491,setup!$A$8:$H$58,7), VLOOKUP(0,setup!$A$8:$H$58,2),VLOOKUP(0,setup!$A$8:$H$58,5),VLOOKUP(N491,setup!$A$8:$H$58,8))</f>
        <v>    }</v>
      </c>
    </row>
    <row r="492" spans="1:15" x14ac:dyDescent="0.25">
      <c r="A492" s="6"/>
      <c r="O492" s="7" t="str">
        <f ca="1">getCodigoBackend(N492,A492,VLOOKUP(N492,setup!$A$8:$H$58,2),VLOOKUP(N492,setup!$A$8:$H$58,3),VLOOKUP(N492,setup!$A$8:$H$58,4),VLOOKUP(N492,setup!$A$8:$H$58,5),VLOOKUP(N492,setup!$A$8:$H$58,6),VLOOKUP(N492,setup!$A$8:$H$58,7), VLOOKUP(0,setup!$A$8:$H$58,2),VLOOKUP(0,setup!$A$8:$H$58,5),VLOOKUP(N492,setup!$A$8:$H$58,8))</f>
        <v/>
      </c>
    </row>
    <row r="493" spans="1:15" x14ac:dyDescent="0.25">
      <c r="A493" s="4" t="s">
        <v>19</v>
      </c>
      <c r="N493">
        <v>4</v>
      </c>
      <c r="O493" s="7" t="str">
        <f ca="1">getCodigoBackend(N493,A493,VLOOKUP(N493,setup!$A$8:$H$58,2),VLOOKUP(N493,setup!$A$8:$H$58,3),VLOOKUP(N493,setup!$A$8:$H$58,4),VLOOKUP(N493,setup!$A$8:$H$58,5),VLOOKUP(N493,setup!$A$8:$H$58,6),VLOOKUP(N493,setup!$A$8:$H$58,7), VLOOKUP(0,setup!$A$8:$H$58,2),VLOOKUP(0,setup!$A$8:$H$58,5),VLOOKUP(N493,setup!$A$8:$H$58,8))</f>
        <v>/**</v>
      </c>
    </row>
    <row r="494" spans="1:15" x14ac:dyDescent="0.25">
      <c r="A494" s="4" t="s">
        <v>20</v>
      </c>
      <c r="N494">
        <v>4</v>
      </c>
      <c r="O494" s="7" t="str">
        <f ca="1">getCodigoBackend(N494,A494,VLOOKUP(N494,setup!$A$8:$H$58,2),VLOOKUP(N494,setup!$A$8:$H$58,3),VLOOKUP(N494,setup!$A$8:$H$58,4),VLOOKUP(N494,setup!$A$8:$H$58,5),VLOOKUP(N494,setup!$A$8:$H$58,6),VLOOKUP(N494,setup!$A$8:$H$58,7), VLOOKUP(0,setup!$A$8:$H$58,2),VLOOKUP(0,setup!$A$8:$H$58,5),VLOOKUP(N494,setup!$A$8:$H$58,8))</f>
        <v>*</v>
      </c>
    </row>
    <row r="495" spans="1:15" x14ac:dyDescent="0.25">
      <c r="A495" s="4" t="s">
        <v>716</v>
      </c>
      <c r="N495">
        <v>4</v>
      </c>
      <c r="O495" s="7" t="str">
        <f ca="1">getCodigoBackend(N495,A495,VLOOKUP(N495,setup!$A$8:$H$58,2),VLOOKUP(N495,setup!$A$8:$H$58,3),VLOOKUP(N495,setup!$A$8:$H$58,4),VLOOKUP(N495,setup!$A$8:$H$58,5),VLOOKUP(N495,setup!$A$8:$H$58,6),VLOOKUP(N495,setup!$A$8:$H$58,7), VLOOKUP(0,setup!$A$8:$H$58,2),VLOOKUP(0,setup!$A$8:$H$58,5),VLOOKUP(N495,setup!$A$8:$H$58,8))</f>
        <v>* pesquisarPorChavepix() - Usado para invocar a classe de negócio CampanhaCashbackResgatePixBusinessImpl de forma geral</v>
      </c>
    </row>
    <row r="496" spans="1:15" x14ac:dyDescent="0.25">
      <c r="A496" s="4" t="s">
        <v>717</v>
      </c>
      <c r="N496">
        <v>4</v>
      </c>
      <c r="O496" s="7" t="str">
        <f ca="1">getCodigoBackend(N496,A496,VLOOKUP(N496,setup!$A$8:$H$58,2),VLOOKUP(N496,setup!$A$8:$H$58,3),VLOOKUP(N496,setup!$A$8:$H$58,4),VLOOKUP(N496,setup!$A$8:$H$58,5),VLOOKUP(N496,setup!$A$8:$H$58,6),VLOOKUP(N496,setup!$A$8:$H$58,7), VLOOKUP(0,setup!$A$8:$H$58,2),VLOOKUP(0,setup!$A$8:$H$58,5),VLOOKUP(N496,setup!$A$8:$H$58,8))</f>
        <v>* realizar uma busca de Chave PIX diretamente na tabela CAMPANHA_CASHBACK_RESGATE_PIX campo CCRP_TX_CHAVE_PIX</v>
      </c>
    </row>
    <row r="497" spans="1:15" x14ac:dyDescent="0.25">
      <c r="A497" s="4" t="s">
        <v>20</v>
      </c>
      <c r="N497">
        <v>4</v>
      </c>
      <c r="O497" s="7" t="str">
        <f ca="1">getCodigoBackend(N497,A497,VLOOKUP(N497,setup!$A$8:$H$58,2),VLOOKUP(N497,setup!$A$8:$H$58,3),VLOOKUP(N497,setup!$A$8:$H$58,4),VLOOKUP(N497,setup!$A$8:$H$58,5),VLOOKUP(N497,setup!$A$8:$H$58,6),VLOOKUP(N497,setup!$A$8:$H$58,7), VLOOKUP(0,setup!$A$8:$H$58,2),VLOOKUP(0,setup!$A$8:$H$58,5),VLOOKUP(N497,setup!$A$8:$H$58,8))</f>
        <v>*</v>
      </c>
    </row>
    <row r="498" spans="1:15" x14ac:dyDescent="0.25">
      <c r="A498" s="4" t="s">
        <v>723</v>
      </c>
      <c r="N498">
        <v>4</v>
      </c>
      <c r="O498" s="7" t="str">
        <f ca="1">getCodigoBackend(N498,A498,VLOOKUP(N498,setup!$A$8:$H$58,2),VLOOKUP(N498,setup!$A$8:$H$58,3),VLOOKUP(N498,setup!$A$8:$H$58,4),VLOOKUP(N498,setup!$A$8:$H$58,5),VLOOKUP(N498,setup!$A$8:$H$58,6),VLOOKUP(N498,setup!$A$8:$H$58,7), VLOOKUP(0,setup!$A$8:$H$58,2),VLOOKUP(0,setup!$A$8:$H$58,5),VLOOKUP(N498,setup!$A$8:$H$58,8))</f>
        <v>* @param $chavePix</v>
      </c>
    </row>
    <row r="499" spans="1:15" x14ac:dyDescent="0.25">
      <c r="A499" s="4" t="s">
        <v>347</v>
      </c>
      <c r="N499">
        <v>4</v>
      </c>
      <c r="O499" s="7" t="str">
        <f ca="1">getCodigoBackend(N499,A499,VLOOKUP(N499,setup!$A$8:$H$58,2),VLOOKUP(N499,setup!$A$8:$H$58,3),VLOOKUP(N499,setup!$A$8:$H$58,4),VLOOKUP(N499,setup!$A$8:$H$58,5),VLOOKUP(N499,setup!$A$8:$H$58,6),VLOOKUP(N499,setup!$A$8:$H$58,7), VLOOKUP(0,setup!$A$8:$H$58,2),VLOOKUP(0,setup!$A$8:$H$58,5),VLOOKUP(N499,setup!$A$8:$H$58,8))</f>
        <v>* @return CampanhaCashbackResgatePixDTO</v>
      </c>
    </row>
    <row r="500" spans="1:15" x14ac:dyDescent="0.25">
      <c r="A500" s="4" t="s">
        <v>20</v>
      </c>
      <c r="N500">
        <v>4</v>
      </c>
      <c r="O500" s="7" t="str">
        <f ca="1">getCodigoBackend(N500,A500,VLOOKUP(N500,setup!$A$8:$H$58,2),VLOOKUP(N500,setup!$A$8:$H$58,3),VLOOKUP(N500,setup!$A$8:$H$58,4),VLOOKUP(N500,setup!$A$8:$H$58,5),VLOOKUP(N500,setup!$A$8:$H$58,6),VLOOKUP(N500,setup!$A$8:$H$58,7), VLOOKUP(0,setup!$A$8:$H$58,2),VLOOKUP(0,setup!$A$8:$H$58,5),VLOOKUP(N500,setup!$A$8:$H$58,8))</f>
        <v>*</v>
      </c>
    </row>
    <row r="501" spans="1:15" x14ac:dyDescent="0.25">
      <c r="A501" s="4" t="s">
        <v>75</v>
      </c>
      <c r="N501">
        <v>4</v>
      </c>
      <c r="O501" s="7" t="str">
        <f ca="1">getCodigoBackend(N501,A501,VLOOKUP(N501,setup!$A$8:$H$58,2),VLOOKUP(N501,setup!$A$8:$H$58,3),VLOOKUP(N501,setup!$A$8:$H$58,4),VLOOKUP(N501,setup!$A$8:$H$58,5),VLOOKUP(N501,setup!$A$8:$H$58,6),VLOOKUP(N501,setup!$A$8:$H$58,7), VLOOKUP(0,setup!$A$8:$H$58,2),VLOOKUP(0,setup!$A$8:$H$58,5),VLOOKUP(N501,setup!$A$8:$H$58,8))</f>
        <v xml:space="preserve">* </v>
      </c>
    </row>
    <row r="502" spans="1:15" x14ac:dyDescent="0.25">
      <c r="A502" s="4" t="s">
        <v>21</v>
      </c>
      <c r="N502">
        <v>4</v>
      </c>
      <c r="O502" s="7" t="str">
        <f ca="1">getCodigoBackend(N502,A502,VLOOKUP(N502,setup!$A$8:$H$58,2),VLOOKUP(N502,setup!$A$8:$H$58,3),VLOOKUP(N502,setup!$A$8:$H$58,4),VLOOKUP(N502,setup!$A$8:$H$58,5),VLOOKUP(N502,setup!$A$8:$H$58,6),VLOOKUP(N502,setup!$A$8:$H$58,7), VLOOKUP(0,setup!$A$8:$H$58,2),VLOOKUP(0,setup!$A$8:$H$58,5),VLOOKUP(N502,setup!$A$8:$H$58,8))</f>
        <v>*/</v>
      </c>
    </row>
    <row r="503" spans="1:15" x14ac:dyDescent="0.25">
      <c r="N503">
        <v>4</v>
      </c>
      <c r="O503" s="7" t="str">
        <f ca="1">getCodigoBackend(N503,A503,VLOOKUP(N503,setup!$A$8:$H$58,2),VLOOKUP(N503,setup!$A$8:$H$58,3),VLOOKUP(N503,setup!$A$8:$H$58,4),VLOOKUP(N503,setup!$A$8:$H$58,5),VLOOKUP(N503,setup!$A$8:$H$58,6),VLOOKUP(N503,setup!$A$8:$H$58,7), VLOOKUP(0,setup!$A$8:$H$58,2),VLOOKUP(0,setup!$A$8:$H$58,5),VLOOKUP(N503,setup!$A$8:$H$58,8))</f>
        <v/>
      </c>
    </row>
    <row r="504" spans="1:15" x14ac:dyDescent="0.25">
      <c r="A504" s="6" t="s">
        <v>720</v>
      </c>
      <c r="N504">
        <v>4</v>
      </c>
      <c r="O504" s="7" t="str">
        <f ca="1">getCodigoBackend(N504,A504,VLOOKUP(N504,setup!$A$8:$H$58,2),VLOOKUP(N504,setup!$A$8:$H$58,3),VLOOKUP(N504,setup!$A$8:$H$58,4),VLOOKUP(N504,setup!$A$8:$H$58,5),VLOOKUP(N504,setup!$A$8:$H$58,6),VLOOKUP(N504,setup!$A$8:$H$58,7), VLOOKUP(0,setup!$A$8:$H$58,2),VLOOKUP(0,setup!$A$8:$H$58,5),VLOOKUP(N504,setup!$A$8:$H$58,8))</f>
        <v>    public function pesquisarPorChavepix($chavePix)</v>
      </c>
    </row>
    <row r="505" spans="1:15" x14ac:dyDescent="0.25">
      <c r="A505" s="6" t="s">
        <v>38</v>
      </c>
      <c r="N505">
        <v>4</v>
      </c>
      <c r="O505" s="7" t="str">
        <f ca="1">getCodigoBackend(N505,A505,VLOOKUP(N505,setup!$A$8:$H$58,2),VLOOKUP(N505,setup!$A$8:$H$58,3),VLOOKUP(N505,setup!$A$8:$H$58,4),VLOOKUP(N505,setup!$A$8:$H$58,5),VLOOKUP(N505,setup!$A$8:$H$58,6),VLOOKUP(N505,setup!$A$8:$H$58,7), VLOOKUP(0,setup!$A$8:$H$58,2),VLOOKUP(0,setup!$A$8:$H$58,5),VLOOKUP(N505,setup!$A$8:$H$58,8))</f>
        <v>    {</v>
      </c>
    </row>
    <row r="506" spans="1:15" x14ac:dyDescent="0.25">
      <c r="A506" s="6" t="s">
        <v>39</v>
      </c>
      <c r="N506">
        <v>4</v>
      </c>
      <c r="O506" s="7" t="str">
        <f ca="1">getCodigoBackend(N506,A506,VLOOKUP(N506,setup!$A$8:$H$58,2),VLOOKUP(N506,setup!$A$8:$H$58,3),VLOOKUP(N506,setup!$A$8:$H$58,4),VLOOKUP(N506,setup!$A$8:$H$58,5),VLOOKUP(N506,setup!$A$8:$H$58,6),VLOOKUP(N506,setup!$A$8:$H$58,7), VLOOKUP(0,setup!$A$8:$H$58,2),VLOOKUP(0,setup!$A$8:$H$58,5),VLOOKUP(N506,setup!$A$8:$H$58,8))</f>
        <v>        $daofactory = NULL;</v>
      </c>
    </row>
    <row r="507" spans="1:15" x14ac:dyDescent="0.25">
      <c r="A507" s="6" t="s">
        <v>40</v>
      </c>
      <c r="N507">
        <v>4</v>
      </c>
      <c r="O507" s="7" t="str">
        <f ca="1">getCodigoBackend(N507,A507,VLOOKUP(N507,setup!$A$8:$H$58,2),VLOOKUP(N507,setup!$A$8:$H$58,3),VLOOKUP(N507,setup!$A$8:$H$58,4),VLOOKUP(N507,setup!$A$8:$H$58,5),VLOOKUP(N507,setup!$A$8:$H$58,6),VLOOKUP(N507,setup!$A$8:$H$58,7), VLOOKUP(0,setup!$A$8:$H$58,2),VLOOKUP(0,setup!$A$8:$H$58,5),VLOOKUP(N507,setup!$A$8:$H$58,8))</f>
        <v>        $retorno = NULL;</v>
      </c>
    </row>
    <row r="508" spans="1:15" x14ac:dyDescent="0.25">
      <c r="A508" s="6" t="s">
        <v>41</v>
      </c>
      <c r="N508">
        <v>4</v>
      </c>
      <c r="O508" s="7" t="str">
        <f ca="1">getCodigoBackend(N508,A508,VLOOKUP(N508,setup!$A$8:$H$58,2),VLOOKUP(N508,setup!$A$8:$H$58,3),VLOOKUP(N508,setup!$A$8:$H$58,4),VLOOKUP(N508,setup!$A$8:$H$58,5),VLOOKUP(N508,setup!$A$8:$H$58,6),VLOOKUP(N508,setup!$A$8:$H$58,7), VLOOKUP(0,setup!$A$8:$H$58,2),VLOOKUP(0,setup!$A$8:$H$58,5),VLOOKUP(N508,setup!$A$8:$H$58,8))</f>
        <v>        try {</v>
      </c>
    </row>
    <row r="509" spans="1:15" x14ac:dyDescent="0.25">
      <c r="A509" s="6" t="s">
        <v>42</v>
      </c>
      <c r="N509">
        <v>4</v>
      </c>
      <c r="O509" s="7" t="str">
        <f ca="1">getCodigoBackend(N509,A509,VLOOKUP(N509,setup!$A$8:$H$58,2),VLOOKUP(N509,setup!$A$8:$H$58,3),VLOOKUP(N509,setup!$A$8:$H$58,4),VLOOKUP(N509,setup!$A$8:$H$58,5),VLOOKUP(N509,setup!$A$8:$H$58,6),VLOOKUP(N509,setup!$A$8:$H$58,7), VLOOKUP(0,setup!$A$8:$H$58,2),VLOOKUP(0,setup!$A$8:$H$58,5),VLOOKUP(N509,setup!$A$8:$H$58,8))</f>
        <v>            $daofactory = DAOFactory::getDAOFactory();</v>
      </c>
    </row>
    <row r="510" spans="1:15" x14ac:dyDescent="0.25">
      <c r="A510" s="6" t="s">
        <v>43</v>
      </c>
      <c r="N510">
        <v>4</v>
      </c>
      <c r="O510" s="7" t="str">
        <f ca="1">getCodigoBackend(N510,A510,VLOOKUP(N510,setup!$A$8:$H$58,2),VLOOKUP(N510,setup!$A$8:$H$58,3),VLOOKUP(N510,setup!$A$8:$H$58,4),VLOOKUP(N510,setup!$A$8:$H$58,5),VLOOKUP(N510,setup!$A$8:$H$58,6),VLOOKUP(N510,setup!$A$8:$H$58,7), VLOOKUP(0,setup!$A$8:$H$58,2),VLOOKUP(0,setup!$A$8:$H$58,5),VLOOKUP(N510,setup!$A$8:$H$58,8))</f>
        <v>            $daofactory-&gt;open();</v>
      </c>
    </row>
    <row r="511" spans="1:15" x14ac:dyDescent="0.25">
      <c r="A511" s="6" t="s">
        <v>44</v>
      </c>
      <c r="N511">
        <v>4</v>
      </c>
      <c r="O511" s="7" t="str">
        <f ca="1">getCodigoBackend(N511,A511,VLOOKUP(N511,setup!$A$8:$H$58,2),VLOOKUP(N511,setup!$A$8:$H$58,3),VLOOKUP(N511,setup!$A$8:$H$58,4),VLOOKUP(N511,setup!$A$8:$H$58,5),VLOOKUP(N511,setup!$A$8:$H$58,6),VLOOKUP(N511,setup!$A$8:$H$58,7), VLOOKUP(0,setup!$A$8:$H$58,2),VLOOKUP(0,setup!$A$8:$H$58,5),VLOOKUP(N511,setup!$A$8:$H$58,8))</f>
        <v>            $daofactory-&gt;beginTransaction();</v>
      </c>
    </row>
    <row r="512" spans="1:15" x14ac:dyDescent="0.25">
      <c r="A512" s="6" t="s">
        <v>45</v>
      </c>
      <c r="N512">
        <v>4</v>
      </c>
      <c r="O512" s="7" t="str">
        <f ca="1">getCodigoBackend(N512,A512,VLOOKUP(N512,setup!$A$8:$H$58,2),VLOOKUP(N512,setup!$A$8:$H$58,3),VLOOKUP(N512,setup!$A$8:$H$58,4),VLOOKUP(N512,setup!$A$8:$H$58,5),VLOOKUP(N512,setup!$A$8:$H$58,6),VLOOKUP(N512,setup!$A$8:$H$58,7), VLOOKUP(0,setup!$A$8:$H$58,2),VLOOKUP(0,setup!$A$8:$H$58,5),VLOOKUP(N512,setup!$A$8:$H$58,8))</f>
        <v>            </v>
      </c>
    </row>
    <row r="513" spans="1:15" x14ac:dyDescent="0.25">
      <c r="A513" s="6" t="s">
        <v>722</v>
      </c>
      <c r="N513">
        <v>4</v>
      </c>
      <c r="O513" s="7" t="str">
        <f ca="1">getCodigoBackend(N513,A513,VLOOKUP(N513,setup!$A$8:$H$58,2),VLOOKUP(N513,setup!$A$8:$H$58,3),VLOOKUP(N513,setup!$A$8:$H$58,4),VLOOKUP(N513,setup!$A$8:$H$58,5),VLOOKUP(N513,setup!$A$8:$H$58,6),VLOOKUP(N513,setup!$A$8:$H$58,7), VLOOKUP(0,setup!$A$8:$H$58,2),VLOOKUP(0,setup!$A$8:$H$58,5),VLOOKUP(N513,setup!$A$8:$H$58,8))</f>
        <v>            // pesquisar pelo atributo CampanhaCashbackResgatePix.chavePix no campo CCRP_TX_CHAVE_PIX da tabela CAMPANHA_CASHBACK_RESGATE_PIX</v>
      </c>
    </row>
    <row r="514" spans="1:15" x14ac:dyDescent="0.25">
      <c r="A514" s="6" t="s">
        <v>265</v>
      </c>
      <c r="N514">
        <v>4</v>
      </c>
      <c r="O514" s="7" t="str">
        <f ca="1">getCodigoBackend(N514,A514,VLOOKUP(N514,setup!$A$8:$H$58,2),VLOOKUP(N514,setup!$A$8:$H$58,3),VLOOKUP(N514,setup!$A$8:$H$58,4),VLOOKUP(N514,setup!$A$8:$H$58,5),VLOOKUP(N514,setup!$A$8:$H$58,6),VLOOKUP(N514,setup!$A$8:$H$58,7), VLOOKUP(0,setup!$A$8:$H$58,2),VLOOKUP(0,setup!$A$8:$H$58,5),VLOOKUP(N514,setup!$A$8:$H$58,8))</f>
        <v>           $bo = new CampanhaCashbackResgatePixBusinessImpl();</v>
      </c>
    </row>
    <row r="515" spans="1:15" x14ac:dyDescent="0.25">
      <c r="A515" s="6" t="s">
        <v>721</v>
      </c>
      <c r="N515">
        <v>4</v>
      </c>
      <c r="O515" s="7" t="str">
        <f ca="1">getCodigoBackend(N515,A515,VLOOKUP(N515,setup!$A$8:$H$58,2),VLOOKUP(N515,setup!$A$8:$H$58,3),VLOOKUP(N515,setup!$A$8:$H$58,4),VLOOKUP(N515,setup!$A$8:$H$58,5),VLOOKUP(N515,setup!$A$8:$H$58,6),VLOOKUP(N515,setup!$A$8:$H$58,7), VLOOKUP(0,setup!$A$8:$H$58,2),VLOOKUP(0,setup!$A$8:$H$58,5),VLOOKUP(N515,setup!$A$8:$H$58,8))</f>
        <v>           $retorno = $bo-&gt;carregarPorChavepix($daofactory, $chavePix);</v>
      </c>
    </row>
    <row r="516" spans="1:15" x14ac:dyDescent="0.25">
      <c r="A516" s="6" t="s">
        <v>68</v>
      </c>
      <c r="N516">
        <v>4</v>
      </c>
      <c r="O516" s="7" t="str">
        <f ca="1">getCodigoBackend(N516,A516,VLOOKUP(N516,setup!$A$8:$H$58,2),VLOOKUP(N516,setup!$A$8:$H$58,3),VLOOKUP(N516,setup!$A$8:$H$58,4),VLOOKUP(N516,setup!$A$8:$H$58,5),VLOOKUP(N516,setup!$A$8:$H$58,6),VLOOKUP(N516,setup!$A$8:$H$58,7), VLOOKUP(0,setup!$A$8:$H$58,2),VLOOKUP(0,setup!$A$8:$H$58,5),VLOOKUP(N516,setup!$A$8:$H$58,8))</f>
        <v>           if ($retorno-&gt;msgcode == ConstantesMensagem::COMANDO_REALIZADO_COM_SUCESSO){</v>
      </c>
    </row>
    <row r="517" spans="1:15" x14ac:dyDescent="0.25">
      <c r="A517" s="6" t="s">
        <v>48</v>
      </c>
      <c r="N517">
        <v>4</v>
      </c>
      <c r="O517" s="7" t="str">
        <f ca="1">getCodigoBackend(N517,A517,VLOOKUP(N517,setup!$A$8:$H$58,2),VLOOKUP(N517,setup!$A$8:$H$58,3),VLOOKUP(N517,setup!$A$8:$H$58,4),VLOOKUP(N517,setup!$A$8:$H$58,5),VLOOKUP(N517,setup!$A$8:$H$58,6),VLOOKUP(N517,setup!$A$8:$H$58,7), VLOOKUP(0,setup!$A$8:$H$58,2),VLOOKUP(0,setup!$A$8:$H$58,5),VLOOKUP(N517,setup!$A$8:$H$58,8))</f>
        <v>                $daofactory-&gt;commit();</v>
      </c>
    </row>
    <row r="518" spans="1:15" x14ac:dyDescent="0.25">
      <c r="A518" s="6" t="s">
        <v>63</v>
      </c>
      <c r="N518">
        <v>4</v>
      </c>
      <c r="O518" s="7" t="str">
        <f ca="1">getCodigoBackend(N518,A518,VLOOKUP(N518,setup!$A$8:$H$58,2),VLOOKUP(N518,setup!$A$8:$H$58,3),VLOOKUP(N518,setup!$A$8:$H$58,4),VLOOKUP(N518,setup!$A$8:$H$58,5),VLOOKUP(N518,setup!$A$8:$H$58,6),VLOOKUP(N518,setup!$A$8:$H$58,7), VLOOKUP(0,setup!$A$8:$H$58,2),VLOOKUP(0,setup!$A$8:$H$58,5),VLOOKUP(N518,setup!$A$8:$H$58,8))</f>
        <v>           } else {</v>
      </c>
    </row>
    <row r="519" spans="1:15" x14ac:dyDescent="0.25">
      <c r="A519" s="6" t="s">
        <v>50</v>
      </c>
      <c r="N519">
        <v>4</v>
      </c>
      <c r="O519" s="7" t="str">
        <f ca="1">getCodigoBackend(N519,A519,VLOOKUP(N519,setup!$A$8:$H$58,2),VLOOKUP(N519,setup!$A$8:$H$58,3),VLOOKUP(N519,setup!$A$8:$H$58,4),VLOOKUP(N519,setup!$A$8:$H$58,5),VLOOKUP(N519,setup!$A$8:$H$58,6),VLOOKUP(N519,setup!$A$8:$H$58,7), VLOOKUP(0,setup!$A$8:$H$58,2),VLOOKUP(0,setup!$A$8:$H$58,5),VLOOKUP(N519,setup!$A$8:$H$58,8))</f>
        <v>                $daofactory-&gt;rollback();</v>
      </c>
    </row>
    <row r="520" spans="1:15" x14ac:dyDescent="0.25">
      <c r="A520" s="6" t="s">
        <v>64</v>
      </c>
      <c r="N520">
        <v>4</v>
      </c>
      <c r="O520" s="7" t="str">
        <f ca="1">getCodigoBackend(N520,A520,VLOOKUP(N520,setup!$A$8:$H$58,2),VLOOKUP(N520,setup!$A$8:$H$58,3),VLOOKUP(N520,setup!$A$8:$H$58,4),VLOOKUP(N520,setup!$A$8:$H$58,5),VLOOKUP(N520,setup!$A$8:$H$58,6),VLOOKUP(N520,setup!$A$8:$H$58,7), VLOOKUP(0,setup!$A$8:$H$58,2),VLOOKUP(0,setup!$A$8:$H$58,5),VLOOKUP(N520,setup!$A$8:$H$58,8))</f>
        <v>           }</v>
      </c>
    </row>
    <row r="521" spans="1:15" x14ac:dyDescent="0.25">
      <c r="A521" s="6" t="s">
        <v>45</v>
      </c>
      <c r="N521">
        <v>4</v>
      </c>
      <c r="O521" s="7" t="str">
        <f ca="1">getCodigoBackend(N521,A521,VLOOKUP(N521,setup!$A$8:$H$58,2),VLOOKUP(N521,setup!$A$8:$H$58,3),VLOOKUP(N521,setup!$A$8:$H$58,4),VLOOKUP(N521,setup!$A$8:$H$58,5),VLOOKUP(N521,setup!$A$8:$H$58,6),VLOOKUP(N521,setup!$A$8:$H$58,7), VLOOKUP(0,setup!$A$8:$H$58,2),VLOOKUP(0,setup!$A$8:$H$58,5),VLOOKUP(N521,setup!$A$8:$H$58,8))</f>
        <v>            </v>
      </c>
    </row>
    <row r="522" spans="1:15" x14ac:dyDescent="0.25">
      <c r="A522" s="6" t="s">
        <v>52</v>
      </c>
      <c r="N522">
        <v>4</v>
      </c>
      <c r="O522" s="7" t="str">
        <f ca="1">getCodigoBackend(N522,A522,VLOOKUP(N522,setup!$A$8:$H$58,2),VLOOKUP(N522,setup!$A$8:$H$58,3),VLOOKUP(N522,setup!$A$8:$H$58,4),VLOOKUP(N522,setup!$A$8:$H$58,5),VLOOKUP(N522,setup!$A$8:$H$58,6),VLOOKUP(N522,setup!$A$8:$H$58,7), VLOOKUP(0,setup!$A$8:$H$58,2),VLOOKUP(0,setup!$A$8:$H$58,5),VLOOKUP(N522,setup!$A$8:$H$58,8))</f>
        <v>        } catch (Exception $e) {</v>
      </c>
    </row>
    <row r="523" spans="1:15" x14ac:dyDescent="0.25">
      <c r="A523" s="6" t="s">
        <v>53</v>
      </c>
      <c r="N523">
        <v>4</v>
      </c>
      <c r="O523" s="7" t="str">
        <f ca="1">getCodigoBackend(N523,A523,VLOOKUP(N523,setup!$A$8:$H$58,2),VLOOKUP(N523,setup!$A$8:$H$58,3),VLOOKUP(N523,setup!$A$8:$H$58,4),VLOOKUP(N523,setup!$A$8:$H$58,5),VLOOKUP(N523,setup!$A$8:$H$58,6),VLOOKUP(N523,setup!$A$8:$H$58,7), VLOOKUP(0,setup!$A$8:$H$58,2),VLOOKUP(0,setup!$A$8:$H$58,5),VLOOKUP(N523,setup!$A$8:$H$58,8))</f>
        <v>            // rollback na transação</v>
      </c>
    </row>
    <row r="524" spans="1:15" x14ac:dyDescent="0.25">
      <c r="N524">
        <v>4</v>
      </c>
      <c r="O524" s="7" t="str">
        <f ca="1">getCodigoBackend(N524,A524,VLOOKUP(N524,setup!$A$8:$H$58,2),VLOOKUP(N524,setup!$A$8:$H$58,3),VLOOKUP(N524,setup!$A$8:$H$58,4),VLOOKUP(N524,setup!$A$8:$H$58,5),VLOOKUP(N524,setup!$A$8:$H$58,6),VLOOKUP(N524,setup!$A$8:$H$58,7), VLOOKUP(0,setup!$A$8:$H$58,2),VLOOKUP(0,setup!$A$8:$H$58,5),VLOOKUP(N524,setup!$A$8:$H$58,8))</f>
        <v/>
      </c>
    </row>
    <row r="525" spans="1:15" x14ac:dyDescent="0.25">
      <c r="A525" s="6" t="s">
        <v>55</v>
      </c>
      <c r="N525">
        <v>4</v>
      </c>
      <c r="O525" s="7" t="str">
        <f ca="1">getCodigoBackend(N525,A525,VLOOKUP(N525,setup!$A$8:$H$58,2),VLOOKUP(N525,setup!$A$8:$H$58,3),VLOOKUP(N525,setup!$A$8:$H$58,4),VLOOKUP(N525,setup!$A$8:$H$58,5),VLOOKUP(N525,setup!$A$8:$H$58,6),VLOOKUP(N525,setup!$A$8:$H$58,7), VLOOKUP(0,setup!$A$8:$H$58,2),VLOOKUP(0,setup!$A$8:$H$58,5),VLOOKUP(N525,setup!$A$8:$H$58,8))</f>
        <v>        } finally {</v>
      </c>
    </row>
    <row r="526" spans="1:15" x14ac:dyDescent="0.25">
      <c r="A526" s="6" t="s">
        <v>56</v>
      </c>
      <c r="N526">
        <v>4</v>
      </c>
      <c r="O526" s="7" t="str">
        <f ca="1">getCodigoBackend(N526,A526,VLOOKUP(N526,setup!$A$8:$H$58,2),VLOOKUP(N526,setup!$A$8:$H$58,3),VLOOKUP(N526,setup!$A$8:$H$58,4),VLOOKUP(N526,setup!$A$8:$H$58,5),VLOOKUP(N526,setup!$A$8:$H$58,6),VLOOKUP(N526,setup!$A$8:$H$58,7), VLOOKUP(0,setup!$A$8:$H$58,2),VLOOKUP(0,setup!$A$8:$H$58,5),VLOOKUP(N526,setup!$A$8:$H$58,8))</f>
        <v>            try {</v>
      </c>
    </row>
    <row r="527" spans="1:15" x14ac:dyDescent="0.25">
      <c r="A527" s="6" t="s">
        <v>57</v>
      </c>
      <c r="N527">
        <v>4</v>
      </c>
      <c r="O527" s="7" t="str">
        <f ca="1">getCodigoBackend(N527,A527,VLOOKUP(N527,setup!$A$8:$H$58,2),VLOOKUP(N527,setup!$A$8:$H$58,3),VLOOKUP(N527,setup!$A$8:$H$58,4),VLOOKUP(N527,setup!$A$8:$H$58,5),VLOOKUP(N527,setup!$A$8:$H$58,6),VLOOKUP(N527,setup!$A$8:$H$58,7), VLOOKUP(0,setup!$A$8:$H$58,2),VLOOKUP(0,setup!$A$8:$H$58,5),VLOOKUP(N527,setup!$A$8:$H$58,8))</f>
        <v>                $daofactory-&gt;close();</v>
      </c>
    </row>
    <row r="528" spans="1:15" x14ac:dyDescent="0.25">
      <c r="A528" s="6" t="s">
        <v>58</v>
      </c>
      <c r="N528">
        <v>4</v>
      </c>
      <c r="O528" s="7" t="str">
        <f ca="1">getCodigoBackend(N528,A528,VLOOKUP(N528,setup!$A$8:$H$58,2),VLOOKUP(N528,setup!$A$8:$H$58,3),VLOOKUP(N528,setup!$A$8:$H$58,4),VLOOKUP(N528,setup!$A$8:$H$58,5),VLOOKUP(N528,setup!$A$8:$H$58,6),VLOOKUP(N528,setup!$A$8:$H$58,7), VLOOKUP(0,setup!$A$8:$H$58,2),VLOOKUP(0,setup!$A$8:$H$58,5),VLOOKUP(N528,setup!$A$8:$H$58,8))</f>
        <v>            } catch (Exception $e) {</v>
      </c>
    </row>
    <row r="529" spans="1:15" x14ac:dyDescent="0.25">
      <c r="A529" s="6" t="s">
        <v>59</v>
      </c>
      <c r="N529">
        <v>4</v>
      </c>
      <c r="O529" s="7" t="str">
        <f ca="1">getCodigoBackend(N529,A529,VLOOKUP(N529,setup!$A$8:$H$58,2),VLOOKUP(N529,setup!$A$8:$H$58,3),VLOOKUP(N529,setup!$A$8:$H$58,4),VLOOKUP(N529,setup!$A$8:$H$58,5),VLOOKUP(N529,setup!$A$8:$H$58,6),VLOOKUP(N529,setup!$A$8:$H$58,7), VLOOKUP(0,setup!$A$8:$H$58,2),VLOOKUP(0,setup!$A$8:$H$58,5),VLOOKUP(N529,setup!$A$8:$H$58,8))</f>
        <v>                // faz algo</v>
      </c>
    </row>
    <row r="530" spans="1:15" x14ac:dyDescent="0.25">
      <c r="A530" s="6" t="s">
        <v>51</v>
      </c>
      <c r="N530">
        <v>4</v>
      </c>
      <c r="O530" s="7" t="str">
        <f ca="1">getCodigoBackend(N530,A530,VLOOKUP(N530,setup!$A$8:$H$58,2),VLOOKUP(N530,setup!$A$8:$H$58,3),VLOOKUP(N530,setup!$A$8:$H$58,4),VLOOKUP(N530,setup!$A$8:$H$58,5),VLOOKUP(N530,setup!$A$8:$H$58,6),VLOOKUP(N530,setup!$A$8:$H$58,7), VLOOKUP(0,setup!$A$8:$H$58,2),VLOOKUP(0,setup!$A$8:$H$58,5),VLOOKUP(N530,setup!$A$8:$H$58,8))</f>
        <v>            }</v>
      </c>
    </row>
    <row r="531" spans="1:15" x14ac:dyDescent="0.25">
      <c r="A531" s="6" t="s">
        <v>60</v>
      </c>
      <c r="N531">
        <v>4</v>
      </c>
      <c r="O531" s="7" t="str">
        <f ca="1">getCodigoBackend(N531,A531,VLOOKUP(N531,setup!$A$8:$H$58,2),VLOOKUP(N531,setup!$A$8:$H$58,3),VLOOKUP(N531,setup!$A$8:$H$58,4),VLOOKUP(N531,setup!$A$8:$H$58,5),VLOOKUP(N531,setup!$A$8:$H$58,6),VLOOKUP(N531,setup!$A$8:$H$58,7), VLOOKUP(0,setup!$A$8:$H$58,2),VLOOKUP(0,setup!$A$8:$H$58,5),VLOOKUP(N531,setup!$A$8:$H$58,8))</f>
        <v>        }</v>
      </c>
    </row>
    <row r="532" spans="1:15" x14ac:dyDescent="0.25">
      <c r="N532">
        <v>4</v>
      </c>
      <c r="O532" s="7" t="str">
        <f ca="1">getCodigoBackend(N532,A532,VLOOKUP(N532,setup!$A$8:$H$58,2),VLOOKUP(N532,setup!$A$8:$H$58,3),VLOOKUP(N532,setup!$A$8:$H$58,4),VLOOKUP(N532,setup!$A$8:$H$58,5),VLOOKUP(N532,setup!$A$8:$H$58,6),VLOOKUP(N532,setup!$A$8:$H$58,7), VLOOKUP(0,setup!$A$8:$H$58,2),VLOOKUP(0,setup!$A$8:$H$58,5),VLOOKUP(N532,setup!$A$8:$H$58,8))</f>
        <v/>
      </c>
    </row>
    <row r="533" spans="1:15" x14ac:dyDescent="0.25">
      <c r="A533" s="6" t="s">
        <v>61</v>
      </c>
      <c r="N533">
        <v>4</v>
      </c>
      <c r="O533" s="7" t="str">
        <f ca="1">getCodigoBackend(N533,A533,VLOOKUP(N533,setup!$A$8:$H$58,2),VLOOKUP(N533,setup!$A$8:$H$58,3),VLOOKUP(N533,setup!$A$8:$H$58,4),VLOOKUP(N533,setup!$A$8:$H$58,5),VLOOKUP(N533,setup!$A$8:$H$58,6),VLOOKUP(N533,setup!$A$8:$H$58,7), VLOOKUP(0,setup!$A$8:$H$58,2),VLOOKUP(0,setup!$A$8:$H$58,5),VLOOKUP(N533,setup!$A$8:$H$58,8))</f>
        <v>        return $retorno;</v>
      </c>
    </row>
    <row r="534" spans="1:15" x14ac:dyDescent="0.25">
      <c r="A534" s="6" t="s">
        <v>62</v>
      </c>
      <c r="N534">
        <v>4</v>
      </c>
      <c r="O534" s="7" t="str">
        <f ca="1">getCodigoBackend(N534,A534,VLOOKUP(N534,setup!$A$8:$H$58,2),VLOOKUP(N534,setup!$A$8:$H$58,3),VLOOKUP(N534,setup!$A$8:$H$58,4),VLOOKUP(N534,setup!$A$8:$H$58,5),VLOOKUP(N534,setup!$A$8:$H$58,6),VLOOKUP(N534,setup!$A$8:$H$58,7), VLOOKUP(0,setup!$A$8:$H$58,2),VLOOKUP(0,setup!$A$8:$H$58,5),VLOOKUP(N534,setup!$A$8:$H$58,8))</f>
        <v>    }</v>
      </c>
    </row>
    <row r="535" spans="1:15" x14ac:dyDescent="0.25">
      <c r="A535" s="6"/>
      <c r="O535" s="7"/>
    </row>
    <row r="536" spans="1:15" x14ac:dyDescent="0.25">
      <c r="A536" s="4" t="s">
        <v>19</v>
      </c>
      <c r="N536">
        <v>5</v>
      </c>
      <c r="O536" s="7" t="str">
        <f ca="1">getCodigoBackend(N536,A536,VLOOKUP(N536,setup!$A$8:$H$58,2),VLOOKUP(N536,setup!$A$8:$H$58,3),VLOOKUP(N536,setup!$A$8:$H$58,4),VLOOKUP(N536,setup!$A$8:$H$58,5),VLOOKUP(N536,setup!$A$8:$H$58,6),VLOOKUP(N536,setup!$A$8:$H$58,7), VLOOKUP(0,setup!$A$8:$H$58,2),VLOOKUP(0,setup!$A$8:$H$58,5),VLOOKUP(N536,setup!$A$8:$H$58,8))</f>
        <v>/**</v>
      </c>
    </row>
    <row r="537" spans="1:15" x14ac:dyDescent="0.25">
      <c r="A537" s="4" t="s">
        <v>20</v>
      </c>
      <c r="N537">
        <v>5</v>
      </c>
      <c r="O537" s="7" t="str">
        <f ca="1">getCodigoBackend(N537,A537,VLOOKUP(N537,setup!$A$8:$H$58,2),VLOOKUP(N537,setup!$A$8:$H$58,3),VLOOKUP(N537,setup!$A$8:$H$58,4),VLOOKUP(N537,setup!$A$8:$H$58,5),VLOOKUP(N537,setup!$A$8:$H$58,6),VLOOKUP(N537,setup!$A$8:$H$58,7), VLOOKUP(0,setup!$A$8:$H$58,2),VLOOKUP(0,setup!$A$8:$H$58,5),VLOOKUP(N537,setup!$A$8:$H$58,8))</f>
        <v>*</v>
      </c>
    </row>
    <row r="538" spans="1:15" x14ac:dyDescent="0.25">
      <c r="A538" s="4" t="s">
        <v>716</v>
      </c>
      <c r="N538">
        <v>5</v>
      </c>
      <c r="O538" s="7" t="str">
        <f ca="1">getCodigoBackend(N538,A538,VLOOKUP(N538,setup!$A$8:$H$58,2),VLOOKUP(N538,setup!$A$8:$H$58,3),VLOOKUP(N538,setup!$A$8:$H$58,4),VLOOKUP(N538,setup!$A$8:$H$58,5),VLOOKUP(N538,setup!$A$8:$H$58,6),VLOOKUP(N538,setup!$A$8:$H$58,7), VLOOKUP(0,setup!$A$8:$H$58,2),VLOOKUP(0,setup!$A$8:$H$58,5),VLOOKUP(N538,setup!$A$8:$H$58,8))</f>
        <v>* pesquisarPorValorresgate() - Usado para invocar a classe de negócio CampanhaCashbackResgatePixBusinessImpl de forma geral</v>
      </c>
    </row>
    <row r="539" spans="1:15" x14ac:dyDescent="0.25">
      <c r="A539" s="4" t="s">
        <v>717</v>
      </c>
      <c r="N539">
        <v>5</v>
      </c>
      <c r="O539" s="7" t="str">
        <f ca="1">getCodigoBackend(N539,A539,VLOOKUP(N539,setup!$A$8:$H$58,2),VLOOKUP(N539,setup!$A$8:$H$58,3),VLOOKUP(N539,setup!$A$8:$H$58,4),VLOOKUP(N539,setup!$A$8:$H$58,5),VLOOKUP(N539,setup!$A$8:$H$58,6),VLOOKUP(N539,setup!$A$8:$H$58,7), VLOOKUP(0,setup!$A$8:$H$58,2),VLOOKUP(0,setup!$A$8:$H$58,5),VLOOKUP(N539,setup!$A$8:$H$58,8))</f>
        <v>* realizar uma busca de Valor Pretendido a Resgatar diretamente na tabela CAMPANHA_CASHBACK_RESGATE_PIX campo CCRP_VL_RESGATE</v>
      </c>
    </row>
    <row r="540" spans="1:15" x14ac:dyDescent="0.25">
      <c r="A540" s="4" t="s">
        <v>20</v>
      </c>
      <c r="N540">
        <v>5</v>
      </c>
      <c r="O540" s="7" t="str">
        <f ca="1">getCodigoBackend(N540,A540,VLOOKUP(N540,setup!$A$8:$H$58,2),VLOOKUP(N540,setup!$A$8:$H$58,3),VLOOKUP(N540,setup!$A$8:$H$58,4),VLOOKUP(N540,setup!$A$8:$H$58,5),VLOOKUP(N540,setup!$A$8:$H$58,6),VLOOKUP(N540,setup!$A$8:$H$58,7), VLOOKUP(0,setup!$A$8:$H$58,2),VLOOKUP(0,setup!$A$8:$H$58,5),VLOOKUP(N540,setup!$A$8:$H$58,8))</f>
        <v>*</v>
      </c>
    </row>
    <row r="541" spans="1:15" x14ac:dyDescent="0.25">
      <c r="A541" s="4" t="s">
        <v>723</v>
      </c>
      <c r="N541">
        <v>5</v>
      </c>
      <c r="O541" s="7" t="str">
        <f ca="1">getCodigoBackend(N541,A541,VLOOKUP(N541,setup!$A$8:$H$58,2),VLOOKUP(N541,setup!$A$8:$H$58,3),VLOOKUP(N541,setup!$A$8:$H$58,4),VLOOKUP(N541,setup!$A$8:$H$58,5),VLOOKUP(N541,setup!$A$8:$H$58,6),VLOOKUP(N541,setup!$A$8:$H$58,7), VLOOKUP(0,setup!$A$8:$H$58,2),VLOOKUP(0,setup!$A$8:$H$58,5),VLOOKUP(N541,setup!$A$8:$H$58,8))</f>
        <v>* @param $valorResgate</v>
      </c>
    </row>
    <row r="542" spans="1:15" x14ac:dyDescent="0.25">
      <c r="A542" s="4" t="s">
        <v>347</v>
      </c>
      <c r="N542">
        <v>5</v>
      </c>
      <c r="O542" s="7" t="str">
        <f ca="1">getCodigoBackend(N542,A542,VLOOKUP(N542,setup!$A$8:$H$58,2),VLOOKUP(N542,setup!$A$8:$H$58,3),VLOOKUP(N542,setup!$A$8:$H$58,4),VLOOKUP(N542,setup!$A$8:$H$58,5),VLOOKUP(N542,setup!$A$8:$H$58,6),VLOOKUP(N542,setup!$A$8:$H$58,7), VLOOKUP(0,setup!$A$8:$H$58,2),VLOOKUP(0,setup!$A$8:$H$58,5),VLOOKUP(N542,setup!$A$8:$H$58,8))</f>
        <v>* @return CampanhaCashbackResgatePixDTO</v>
      </c>
    </row>
    <row r="543" spans="1:15" x14ac:dyDescent="0.25">
      <c r="A543" s="4" t="s">
        <v>20</v>
      </c>
      <c r="N543">
        <v>5</v>
      </c>
      <c r="O543" s="7" t="str">
        <f ca="1">getCodigoBackend(N543,A543,VLOOKUP(N543,setup!$A$8:$H$58,2),VLOOKUP(N543,setup!$A$8:$H$58,3),VLOOKUP(N543,setup!$A$8:$H$58,4),VLOOKUP(N543,setup!$A$8:$H$58,5),VLOOKUP(N543,setup!$A$8:$H$58,6),VLOOKUP(N543,setup!$A$8:$H$58,7), VLOOKUP(0,setup!$A$8:$H$58,2),VLOOKUP(0,setup!$A$8:$H$58,5),VLOOKUP(N543,setup!$A$8:$H$58,8))</f>
        <v>*</v>
      </c>
    </row>
    <row r="544" spans="1:15" x14ac:dyDescent="0.25">
      <c r="A544" s="4" t="s">
        <v>75</v>
      </c>
      <c r="N544">
        <v>5</v>
      </c>
      <c r="O544" s="7" t="str">
        <f ca="1">getCodigoBackend(N544,A544,VLOOKUP(N544,setup!$A$8:$H$58,2),VLOOKUP(N544,setup!$A$8:$H$58,3),VLOOKUP(N544,setup!$A$8:$H$58,4),VLOOKUP(N544,setup!$A$8:$H$58,5),VLOOKUP(N544,setup!$A$8:$H$58,6),VLOOKUP(N544,setup!$A$8:$H$58,7), VLOOKUP(0,setup!$A$8:$H$58,2),VLOOKUP(0,setup!$A$8:$H$58,5),VLOOKUP(N544,setup!$A$8:$H$58,8))</f>
        <v xml:space="preserve">* </v>
      </c>
    </row>
    <row r="545" spans="1:15" x14ac:dyDescent="0.25">
      <c r="A545" s="4" t="s">
        <v>21</v>
      </c>
      <c r="N545">
        <v>5</v>
      </c>
      <c r="O545" s="7" t="str">
        <f ca="1">getCodigoBackend(N545,A545,VLOOKUP(N545,setup!$A$8:$H$58,2),VLOOKUP(N545,setup!$A$8:$H$58,3),VLOOKUP(N545,setup!$A$8:$H$58,4),VLOOKUP(N545,setup!$A$8:$H$58,5),VLOOKUP(N545,setup!$A$8:$H$58,6),VLOOKUP(N545,setup!$A$8:$H$58,7), VLOOKUP(0,setup!$A$8:$H$58,2),VLOOKUP(0,setup!$A$8:$H$58,5),VLOOKUP(N545,setup!$A$8:$H$58,8))</f>
        <v>*/</v>
      </c>
    </row>
    <row r="546" spans="1:15" x14ac:dyDescent="0.25">
      <c r="N546">
        <v>5</v>
      </c>
      <c r="O546" s="7" t="str">
        <f ca="1">getCodigoBackend(N546,A546,VLOOKUP(N546,setup!$A$8:$H$58,2),VLOOKUP(N546,setup!$A$8:$H$58,3),VLOOKUP(N546,setup!$A$8:$H$58,4),VLOOKUP(N546,setup!$A$8:$H$58,5),VLOOKUP(N546,setup!$A$8:$H$58,6),VLOOKUP(N546,setup!$A$8:$H$58,7), VLOOKUP(0,setup!$A$8:$H$58,2),VLOOKUP(0,setup!$A$8:$H$58,5),VLOOKUP(N546,setup!$A$8:$H$58,8))</f>
        <v/>
      </c>
    </row>
    <row r="547" spans="1:15" x14ac:dyDescent="0.25">
      <c r="A547" s="6" t="s">
        <v>720</v>
      </c>
      <c r="N547">
        <v>5</v>
      </c>
      <c r="O547" s="7" t="str">
        <f ca="1">getCodigoBackend(N547,A547,VLOOKUP(N547,setup!$A$8:$H$58,2),VLOOKUP(N547,setup!$A$8:$H$58,3),VLOOKUP(N547,setup!$A$8:$H$58,4),VLOOKUP(N547,setup!$A$8:$H$58,5),VLOOKUP(N547,setup!$A$8:$H$58,6),VLOOKUP(N547,setup!$A$8:$H$58,7), VLOOKUP(0,setup!$A$8:$H$58,2),VLOOKUP(0,setup!$A$8:$H$58,5),VLOOKUP(N547,setup!$A$8:$H$58,8))</f>
        <v>    public function pesquisarPorValorresgate($valorResgate)</v>
      </c>
    </row>
    <row r="548" spans="1:15" x14ac:dyDescent="0.25">
      <c r="A548" s="6" t="s">
        <v>38</v>
      </c>
      <c r="N548">
        <v>5</v>
      </c>
      <c r="O548" s="7" t="str">
        <f ca="1">getCodigoBackend(N548,A548,VLOOKUP(N548,setup!$A$8:$H$58,2),VLOOKUP(N548,setup!$A$8:$H$58,3),VLOOKUP(N548,setup!$A$8:$H$58,4),VLOOKUP(N548,setup!$A$8:$H$58,5),VLOOKUP(N548,setup!$A$8:$H$58,6),VLOOKUP(N548,setup!$A$8:$H$58,7), VLOOKUP(0,setup!$A$8:$H$58,2),VLOOKUP(0,setup!$A$8:$H$58,5),VLOOKUP(N548,setup!$A$8:$H$58,8))</f>
        <v>    {</v>
      </c>
    </row>
    <row r="549" spans="1:15" x14ac:dyDescent="0.25">
      <c r="A549" s="6" t="s">
        <v>39</v>
      </c>
      <c r="N549">
        <v>5</v>
      </c>
      <c r="O549" s="7" t="str">
        <f ca="1">getCodigoBackend(N549,A549,VLOOKUP(N549,setup!$A$8:$H$58,2),VLOOKUP(N549,setup!$A$8:$H$58,3),VLOOKUP(N549,setup!$A$8:$H$58,4),VLOOKUP(N549,setup!$A$8:$H$58,5),VLOOKUP(N549,setup!$A$8:$H$58,6),VLOOKUP(N549,setup!$A$8:$H$58,7), VLOOKUP(0,setup!$A$8:$H$58,2),VLOOKUP(0,setup!$A$8:$H$58,5),VLOOKUP(N549,setup!$A$8:$H$58,8))</f>
        <v>        $daofactory = NULL;</v>
      </c>
    </row>
    <row r="550" spans="1:15" x14ac:dyDescent="0.25">
      <c r="A550" s="6" t="s">
        <v>40</v>
      </c>
      <c r="N550">
        <v>5</v>
      </c>
      <c r="O550" s="7" t="str">
        <f ca="1">getCodigoBackend(N550,A550,VLOOKUP(N550,setup!$A$8:$H$58,2),VLOOKUP(N550,setup!$A$8:$H$58,3),VLOOKUP(N550,setup!$A$8:$H$58,4),VLOOKUP(N550,setup!$A$8:$H$58,5),VLOOKUP(N550,setup!$A$8:$H$58,6),VLOOKUP(N550,setup!$A$8:$H$58,7), VLOOKUP(0,setup!$A$8:$H$58,2),VLOOKUP(0,setup!$A$8:$H$58,5),VLOOKUP(N550,setup!$A$8:$H$58,8))</f>
        <v>        $retorno = NULL;</v>
      </c>
    </row>
    <row r="551" spans="1:15" x14ac:dyDescent="0.25">
      <c r="A551" s="6" t="s">
        <v>41</v>
      </c>
      <c r="N551">
        <v>5</v>
      </c>
      <c r="O551" s="7" t="str">
        <f ca="1">getCodigoBackend(N551,A551,VLOOKUP(N551,setup!$A$8:$H$58,2),VLOOKUP(N551,setup!$A$8:$H$58,3),VLOOKUP(N551,setup!$A$8:$H$58,4),VLOOKUP(N551,setup!$A$8:$H$58,5),VLOOKUP(N551,setup!$A$8:$H$58,6),VLOOKUP(N551,setup!$A$8:$H$58,7), VLOOKUP(0,setup!$A$8:$H$58,2),VLOOKUP(0,setup!$A$8:$H$58,5),VLOOKUP(N551,setup!$A$8:$H$58,8))</f>
        <v>        try {</v>
      </c>
    </row>
    <row r="552" spans="1:15" x14ac:dyDescent="0.25">
      <c r="A552" s="6" t="s">
        <v>42</v>
      </c>
      <c r="N552">
        <v>5</v>
      </c>
      <c r="O552" s="7" t="str">
        <f ca="1">getCodigoBackend(N552,A552,VLOOKUP(N552,setup!$A$8:$H$58,2),VLOOKUP(N552,setup!$A$8:$H$58,3),VLOOKUP(N552,setup!$A$8:$H$58,4),VLOOKUP(N552,setup!$A$8:$H$58,5),VLOOKUP(N552,setup!$A$8:$H$58,6),VLOOKUP(N552,setup!$A$8:$H$58,7), VLOOKUP(0,setup!$A$8:$H$58,2),VLOOKUP(0,setup!$A$8:$H$58,5),VLOOKUP(N552,setup!$A$8:$H$58,8))</f>
        <v>            $daofactory = DAOFactory::getDAOFactory();</v>
      </c>
    </row>
    <row r="553" spans="1:15" x14ac:dyDescent="0.25">
      <c r="A553" s="6" t="s">
        <v>43</v>
      </c>
      <c r="N553">
        <v>5</v>
      </c>
      <c r="O553" s="7" t="str">
        <f ca="1">getCodigoBackend(N553,A553,VLOOKUP(N553,setup!$A$8:$H$58,2),VLOOKUP(N553,setup!$A$8:$H$58,3),VLOOKUP(N553,setup!$A$8:$H$58,4),VLOOKUP(N553,setup!$A$8:$H$58,5),VLOOKUP(N553,setup!$A$8:$H$58,6),VLOOKUP(N553,setup!$A$8:$H$58,7), VLOOKUP(0,setup!$A$8:$H$58,2),VLOOKUP(0,setup!$A$8:$H$58,5),VLOOKUP(N553,setup!$A$8:$H$58,8))</f>
        <v>            $daofactory-&gt;open();</v>
      </c>
    </row>
    <row r="554" spans="1:15" x14ac:dyDescent="0.25">
      <c r="A554" s="6" t="s">
        <v>44</v>
      </c>
      <c r="N554">
        <v>5</v>
      </c>
      <c r="O554" s="7" t="str">
        <f ca="1">getCodigoBackend(N554,A554,VLOOKUP(N554,setup!$A$8:$H$58,2),VLOOKUP(N554,setup!$A$8:$H$58,3),VLOOKUP(N554,setup!$A$8:$H$58,4),VLOOKUP(N554,setup!$A$8:$H$58,5),VLOOKUP(N554,setup!$A$8:$H$58,6),VLOOKUP(N554,setup!$A$8:$H$58,7), VLOOKUP(0,setup!$A$8:$H$58,2),VLOOKUP(0,setup!$A$8:$H$58,5),VLOOKUP(N554,setup!$A$8:$H$58,8))</f>
        <v>            $daofactory-&gt;beginTransaction();</v>
      </c>
    </row>
    <row r="555" spans="1:15" x14ac:dyDescent="0.25">
      <c r="A555" s="6" t="s">
        <v>45</v>
      </c>
      <c r="N555">
        <v>5</v>
      </c>
      <c r="O555" s="7" t="str">
        <f ca="1">getCodigoBackend(N555,A555,VLOOKUP(N555,setup!$A$8:$H$58,2),VLOOKUP(N555,setup!$A$8:$H$58,3),VLOOKUP(N555,setup!$A$8:$H$58,4),VLOOKUP(N555,setup!$A$8:$H$58,5),VLOOKUP(N555,setup!$A$8:$H$58,6),VLOOKUP(N555,setup!$A$8:$H$58,7), VLOOKUP(0,setup!$A$8:$H$58,2),VLOOKUP(0,setup!$A$8:$H$58,5),VLOOKUP(N555,setup!$A$8:$H$58,8))</f>
        <v>            </v>
      </c>
    </row>
    <row r="556" spans="1:15" x14ac:dyDescent="0.25">
      <c r="A556" s="6" t="s">
        <v>722</v>
      </c>
      <c r="N556">
        <v>5</v>
      </c>
      <c r="O556" s="7" t="str">
        <f ca="1">getCodigoBackend(N556,A556,VLOOKUP(N556,setup!$A$8:$H$58,2),VLOOKUP(N556,setup!$A$8:$H$58,3),VLOOKUP(N556,setup!$A$8:$H$58,4),VLOOKUP(N556,setup!$A$8:$H$58,5),VLOOKUP(N556,setup!$A$8:$H$58,6),VLOOKUP(N556,setup!$A$8:$H$58,7), VLOOKUP(0,setup!$A$8:$H$58,2),VLOOKUP(0,setup!$A$8:$H$58,5),VLOOKUP(N556,setup!$A$8:$H$58,8))</f>
        <v>            // pesquisar pelo atributo CampanhaCashbackResgatePix.valorResgate no campo CCRP_VL_RESGATE da tabela CAMPANHA_CASHBACK_RESGATE_PIX</v>
      </c>
    </row>
    <row r="557" spans="1:15" x14ac:dyDescent="0.25">
      <c r="A557" s="6" t="s">
        <v>265</v>
      </c>
      <c r="N557">
        <v>5</v>
      </c>
      <c r="O557" s="7" t="str">
        <f ca="1">getCodigoBackend(N557,A557,VLOOKUP(N557,setup!$A$8:$H$58,2),VLOOKUP(N557,setup!$A$8:$H$58,3),VLOOKUP(N557,setup!$A$8:$H$58,4),VLOOKUP(N557,setup!$A$8:$H$58,5),VLOOKUP(N557,setup!$A$8:$H$58,6),VLOOKUP(N557,setup!$A$8:$H$58,7), VLOOKUP(0,setup!$A$8:$H$58,2),VLOOKUP(0,setup!$A$8:$H$58,5),VLOOKUP(N557,setup!$A$8:$H$58,8))</f>
        <v>           $bo = new CampanhaCashbackResgatePixBusinessImpl();</v>
      </c>
    </row>
    <row r="558" spans="1:15" x14ac:dyDescent="0.25">
      <c r="A558" s="6" t="s">
        <v>721</v>
      </c>
      <c r="N558">
        <v>5</v>
      </c>
      <c r="O558" s="7" t="str">
        <f ca="1">getCodigoBackend(N558,A558,VLOOKUP(N558,setup!$A$8:$H$58,2),VLOOKUP(N558,setup!$A$8:$H$58,3),VLOOKUP(N558,setup!$A$8:$H$58,4),VLOOKUP(N558,setup!$A$8:$H$58,5),VLOOKUP(N558,setup!$A$8:$H$58,6),VLOOKUP(N558,setup!$A$8:$H$58,7), VLOOKUP(0,setup!$A$8:$H$58,2),VLOOKUP(0,setup!$A$8:$H$58,5),VLOOKUP(N558,setup!$A$8:$H$58,8))</f>
        <v>           $retorno = $bo-&gt;carregarPorValorresgate($daofactory, $valorResgate);</v>
      </c>
    </row>
    <row r="559" spans="1:15" x14ac:dyDescent="0.25">
      <c r="A559" s="6" t="s">
        <v>68</v>
      </c>
      <c r="N559">
        <v>5</v>
      </c>
      <c r="O559" s="7" t="str">
        <f ca="1">getCodigoBackend(N559,A559,VLOOKUP(N559,setup!$A$8:$H$58,2),VLOOKUP(N559,setup!$A$8:$H$58,3),VLOOKUP(N559,setup!$A$8:$H$58,4),VLOOKUP(N559,setup!$A$8:$H$58,5),VLOOKUP(N559,setup!$A$8:$H$58,6),VLOOKUP(N559,setup!$A$8:$H$58,7), VLOOKUP(0,setup!$A$8:$H$58,2),VLOOKUP(0,setup!$A$8:$H$58,5),VLOOKUP(N559,setup!$A$8:$H$58,8))</f>
        <v>           if ($retorno-&gt;msgcode == ConstantesMensagem::COMANDO_REALIZADO_COM_SUCESSO){</v>
      </c>
    </row>
    <row r="560" spans="1:15" x14ac:dyDescent="0.25">
      <c r="A560" s="6" t="s">
        <v>48</v>
      </c>
      <c r="N560">
        <v>5</v>
      </c>
      <c r="O560" s="7" t="str">
        <f ca="1">getCodigoBackend(N560,A560,VLOOKUP(N560,setup!$A$8:$H$58,2),VLOOKUP(N560,setup!$A$8:$H$58,3),VLOOKUP(N560,setup!$A$8:$H$58,4),VLOOKUP(N560,setup!$A$8:$H$58,5),VLOOKUP(N560,setup!$A$8:$H$58,6),VLOOKUP(N560,setup!$A$8:$H$58,7), VLOOKUP(0,setup!$A$8:$H$58,2),VLOOKUP(0,setup!$A$8:$H$58,5),VLOOKUP(N560,setup!$A$8:$H$58,8))</f>
        <v>                $daofactory-&gt;commit();</v>
      </c>
    </row>
    <row r="561" spans="1:15" x14ac:dyDescent="0.25">
      <c r="A561" s="6" t="s">
        <v>63</v>
      </c>
      <c r="N561">
        <v>5</v>
      </c>
      <c r="O561" s="7" t="str">
        <f ca="1">getCodigoBackend(N561,A561,VLOOKUP(N561,setup!$A$8:$H$58,2),VLOOKUP(N561,setup!$A$8:$H$58,3),VLOOKUP(N561,setup!$A$8:$H$58,4),VLOOKUP(N561,setup!$A$8:$H$58,5),VLOOKUP(N561,setup!$A$8:$H$58,6),VLOOKUP(N561,setup!$A$8:$H$58,7), VLOOKUP(0,setup!$A$8:$H$58,2),VLOOKUP(0,setup!$A$8:$H$58,5),VLOOKUP(N561,setup!$A$8:$H$58,8))</f>
        <v>           } else {</v>
      </c>
    </row>
    <row r="562" spans="1:15" x14ac:dyDescent="0.25">
      <c r="A562" s="6" t="s">
        <v>50</v>
      </c>
      <c r="N562">
        <v>5</v>
      </c>
      <c r="O562" s="7" t="str">
        <f ca="1">getCodigoBackend(N562,A562,VLOOKUP(N562,setup!$A$8:$H$58,2),VLOOKUP(N562,setup!$A$8:$H$58,3),VLOOKUP(N562,setup!$A$8:$H$58,4),VLOOKUP(N562,setup!$A$8:$H$58,5),VLOOKUP(N562,setup!$A$8:$H$58,6),VLOOKUP(N562,setup!$A$8:$H$58,7), VLOOKUP(0,setup!$A$8:$H$58,2),VLOOKUP(0,setup!$A$8:$H$58,5),VLOOKUP(N562,setup!$A$8:$H$58,8))</f>
        <v>                $daofactory-&gt;rollback();</v>
      </c>
    </row>
    <row r="563" spans="1:15" x14ac:dyDescent="0.25">
      <c r="A563" s="6" t="s">
        <v>64</v>
      </c>
      <c r="N563">
        <v>5</v>
      </c>
      <c r="O563" s="7" t="str">
        <f ca="1">getCodigoBackend(N563,A563,VLOOKUP(N563,setup!$A$8:$H$58,2),VLOOKUP(N563,setup!$A$8:$H$58,3),VLOOKUP(N563,setup!$A$8:$H$58,4),VLOOKUP(N563,setup!$A$8:$H$58,5),VLOOKUP(N563,setup!$A$8:$H$58,6),VLOOKUP(N563,setup!$A$8:$H$58,7), VLOOKUP(0,setup!$A$8:$H$58,2),VLOOKUP(0,setup!$A$8:$H$58,5),VLOOKUP(N563,setup!$A$8:$H$58,8))</f>
        <v>           }</v>
      </c>
    </row>
    <row r="564" spans="1:15" x14ac:dyDescent="0.25">
      <c r="A564" s="6" t="s">
        <v>45</v>
      </c>
      <c r="N564">
        <v>5</v>
      </c>
      <c r="O564" s="7" t="str">
        <f ca="1">getCodigoBackend(N564,A564,VLOOKUP(N564,setup!$A$8:$H$58,2),VLOOKUP(N564,setup!$A$8:$H$58,3),VLOOKUP(N564,setup!$A$8:$H$58,4),VLOOKUP(N564,setup!$A$8:$H$58,5),VLOOKUP(N564,setup!$A$8:$H$58,6),VLOOKUP(N564,setup!$A$8:$H$58,7), VLOOKUP(0,setup!$A$8:$H$58,2),VLOOKUP(0,setup!$A$8:$H$58,5),VLOOKUP(N564,setup!$A$8:$H$58,8))</f>
        <v>            </v>
      </c>
    </row>
    <row r="565" spans="1:15" x14ac:dyDescent="0.25">
      <c r="A565" s="6" t="s">
        <v>52</v>
      </c>
      <c r="N565">
        <v>5</v>
      </c>
      <c r="O565" s="7" t="str">
        <f ca="1">getCodigoBackend(N565,A565,VLOOKUP(N565,setup!$A$8:$H$58,2),VLOOKUP(N565,setup!$A$8:$H$58,3),VLOOKUP(N565,setup!$A$8:$H$58,4),VLOOKUP(N565,setup!$A$8:$H$58,5),VLOOKUP(N565,setup!$A$8:$H$58,6),VLOOKUP(N565,setup!$A$8:$H$58,7), VLOOKUP(0,setup!$A$8:$H$58,2),VLOOKUP(0,setup!$A$8:$H$58,5),VLOOKUP(N565,setup!$A$8:$H$58,8))</f>
        <v>        } catch (Exception $e) {</v>
      </c>
    </row>
    <row r="566" spans="1:15" x14ac:dyDescent="0.25">
      <c r="A566" s="6" t="s">
        <v>53</v>
      </c>
      <c r="N566">
        <v>5</v>
      </c>
      <c r="O566" s="7" t="str">
        <f ca="1">getCodigoBackend(N566,A566,VLOOKUP(N566,setup!$A$8:$H$58,2),VLOOKUP(N566,setup!$A$8:$H$58,3),VLOOKUP(N566,setup!$A$8:$H$58,4),VLOOKUP(N566,setup!$A$8:$H$58,5),VLOOKUP(N566,setup!$A$8:$H$58,6),VLOOKUP(N566,setup!$A$8:$H$58,7), VLOOKUP(0,setup!$A$8:$H$58,2),VLOOKUP(0,setup!$A$8:$H$58,5),VLOOKUP(N566,setup!$A$8:$H$58,8))</f>
        <v>            // rollback na transação</v>
      </c>
    </row>
    <row r="567" spans="1:15" x14ac:dyDescent="0.25">
      <c r="N567">
        <v>5</v>
      </c>
      <c r="O567" s="7" t="str">
        <f ca="1">getCodigoBackend(N567,A567,VLOOKUP(N567,setup!$A$8:$H$58,2),VLOOKUP(N567,setup!$A$8:$H$58,3),VLOOKUP(N567,setup!$A$8:$H$58,4),VLOOKUP(N567,setup!$A$8:$H$58,5),VLOOKUP(N567,setup!$A$8:$H$58,6),VLOOKUP(N567,setup!$A$8:$H$58,7), VLOOKUP(0,setup!$A$8:$H$58,2),VLOOKUP(0,setup!$A$8:$H$58,5),VLOOKUP(N567,setup!$A$8:$H$58,8))</f>
        <v/>
      </c>
    </row>
    <row r="568" spans="1:15" x14ac:dyDescent="0.25">
      <c r="A568" s="6" t="s">
        <v>55</v>
      </c>
      <c r="N568">
        <v>5</v>
      </c>
      <c r="O568" s="7" t="str">
        <f ca="1">getCodigoBackend(N568,A568,VLOOKUP(N568,setup!$A$8:$H$58,2),VLOOKUP(N568,setup!$A$8:$H$58,3),VLOOKUP(N568,setup!$A$8:$H$58,4),VLOOKUP(N568,setup!$A$8:$H$58,5),VLOOKUP(N568,setup!$A$8:$H$58,6),VLOOKUP(N568,setup!$A$8:$H$58,7), VLOOKUP(0,setup!$A$8:$H$58,2),VLOOKUP(0,setup!$A$8:$H$58,5),VLOOKUP(N568,setup!$A$8:$H$58,8))</f>
        <v>        } finally {</v>
      </c>
    </row>
    <row r="569" spans="1:15" x14ac:dyDescent="0.25">
      <c r="A569" s="6" t="s">
        <v>56</v>
      </c>
      <c r="N569">
        <v>5</v>
      </c>
      <c r="O569" s="7" t="str">
        <f ca="1">getCodigoBackend(N569,A569,VLOOKUP(N569,setup!$A$8:$H$58,2),VLOOKUP(N569,setup!$A$8:$H$58,3),VLOOKUP(N569,setup!$A$8:$H$58,4),VLOOKUP(N569,setup!$A$8:$H$58,5),VLOOKUP(N569,setup!$A$8:$H$58,6),VLOOKUP(N569,setup!$A$8:$H$58,7), VLOOKUP(0,setup!$A$8:$H$58,2),VLOOKUP(0,setup!$A$8:$H$58,5),VLOOKUP(N569,setup!$A$8:$H$58,8))</f>
        <v>            try {</v>
      </c>
    </row>
    <row r="570" spans="1:15" x14ac:dyDescent="0.25">
      <c r="A570" s="6" t="s">
        <v>57</v>
      </c>
      <c r="N570">
        <v>5</v>
      </c>
      <c r="O570" s="7" t="str">
        <f ca="1">getCodigoBackend(N570,A570,VLOOKUP(N570,setup!$A$8:$H$58,2),VLOOKUP(N570,setup!$A$8:$H$58,3),VLOOKUP(N570,setup!$A$8:$H$58,4),VLOOKUP(N570,setup!$A$8:$H$58,5),VLOOKUP(N570,setup!$A$8:$H$58,6),VLOOKUP(N570,setup!$A$8:$H$58,7), VLOOKUP(0,setup!$A$8:$H$58,2),VLOOKUP(0,setup!$A$8:$H$58,5),VLOOKUP(N570,setup!$A$8:$H$58,8))</f>
        <v>                $daofactory-&gt;close();</v>
      </c>
    </row>
    <row r="571" spans="1:15" x14ac:dyDescent="0.25">
      <c r="A571" s="6" t="s">
        <v>58</v>
      </c>
      <c r="N571">
        <v>5</v>
      </c>
      <c r="O571" s="7" t="str">
        <f ca="1">getCodigoBackend(N571,A571,VLOOKUP(N571,setup!$A$8:$H$58,2),VLOOKUP(N571,setup!$A$8:$H$58,3),VLOOKUP(N571,setup!$A$8:$H$58,4),VLOOKUP(N571,setup!$A$8:$H$58,5),VLOOKUP(N571,setup!$A$8:$H$58,6),VLOOKUP(N571,setup!$A$8:$H$58,7), VLOOKUP(0,setup!$A$8:$H$58,2),VLOOKUP(0,setup!$A$8:$H$58,5),VLOOKUP(N571,setup!$A$8:$H$58,8))</f>
        <v>            } catch (Exception $e) {</v>
      </c>
    </row>
    <row r="572" spans="1:15" x14ac:dyDescent="0.25">
      <c r="A572" s="6" t="s">
        <v>59</v>
      </c>
      <c r="N572">
        <v>5</v>
      </c>
      <c r="O572" s="7" t="str">
        <f ca="1">getCodigoBackend(N572,A572,VLOOKUP(N572,setup!$A$8:$H$58,2),VLOOKUP(N572,setup!$A$8:$H$58,3),VLOOKUP(N572,setup!$A$8:$H$58,4),VLOOKUP(N572,setup!$A$8:$H$58,5),VLOOKUP(N572,setup!$A$8:$H$58,6),VLOOKUP(N572,setup!$A$8:$H$58,7), VLOOKUP(0,setup!$A$8:$H$58,2),VLOOKUP(0,setup!$A$8:$H$58,5),VLOOKUP(N572,setup!$A$8:$H$58,8))</f>
        <v>                // faz algo</v>
      </c>
    </row>
    <row r="573" spans="1:15" x14ac:dyDescent="0.25">
      <c r="A573" s="6" t="s">
        <v>51</v>
      </c>
      <c r="N573">
        <v>5</v>
      </c>
      <c r="O573" s="7" t="str">
        <f ca="1">getCodigoBackend(N573,A573,VLOOKUP(N573,setup!$A$8:$H$58,2),VLOOKUP(N573,setup!$A$8:$H$58,3),VLOOKUP(N573,setup!$A$8:$H$58,4),VLOOKUP(N573,setup!$A$8:$H$58,5),VLOOKUP(N573,setup!$A$8:$H$58,6),VLOOKUP(N573,setup!$A$8:$H$58,7), VLOOKUP(0,setup!$A$8:$H$58,2),VLOOKUP(0,setup!$A$8:$H$58,5),VLOOKUP(N573,setup!$A$8:$H$58,8))</f>
        <v>            }</v>
      </c>
    </row>
    <row r="574" spans="1:15" x14ac:dyDescent="0.25">
      <c r="A574" s="6" t="s">
        <v>60</v>
      </c>
      <c r="N574">
        <v>5</v>
      </c>
      <c r="O574" s="7" t="str">
        <f ca="1">getCodigoBackend(N574,A574,VLOOKUP(N574,setup!$A$8:$H$58,2),VLOOKUP(N574,setup!$A$8:$H$58,3),VLOOKUP(N574,setup!$A$8:$H$58,4),VLOOKUP(N574,setup!$A$8:$H$58,5),VLOOKUP(N574,setup!$A$8:$H$58,6),VLOOKUP(N574,setup!$A$8:$H$58,7), VLOOKUP(0,setup!$A$8:$H$58,2),VLOOKUP(0,setup!$A$8:$H$58,5),VLOOKUP(N574,setup!$A$8:$H$58,8))</f>
        <v>        }</v>
      </c>
    </row>
    <row r="575" spans="1:15" x14ac:dyDescent="0.25">
      <c r="N575">
        <v>5</v>
      </c>
      <c r="O575" s="7" t="str">
        <f ca="1">getCodigoBackend(N575,A575,VLOOKUP(N575,setup!$A$8:$H$58,2),VLOOKUP(N575,setup!$A$8:$H$58,3),VLOOKUP(N575,setup!$A$8:$H$58,4),VLOOKUP(N575,setup!$A$8:$H$58,5),VLOOKUP(N575,setup!$A$8:$H$58,6),VLOOKUP(N575,setup!$A$8:$H$58,7), VLOOKUP(0,setup!$A$8:$H$58,2),VLOOKUP(0,setup!$A$8:$H$58,5),VLOOKUP(N575,setup!$A$8:$H$58,8))</f>
        <v/>
      </c>
    </row>
    <row r="576" spans="1:15" x14ac:dyDescent="0.25">
      <c r="A576" s="6" t="s">
        <v>61</v>
      </c>
      <c r="N576">
        <v>5</v>
      </c>
      <c r="O576" s="7" t="str">
        <f ca="1">getCodigoBackend(N576,A576,VLOOKUP(N576,setup!$A$8:$H$58,2),VLOOKUP(N576,setup!$A$8:$H$58,3),VLOOKUP(N576,setup!$A$8:$H$58,4),VLOOKUP(N576,setup!$A$8:$H$58,5),VLOOKUP(N576,setup!$A$8:$H$58,6),VLOOKUP(N576,setup!$A$8:$H$58,7), VLOOKUP(0,setup!$A$8:$H$58,2),VLOOKUP(0,setup!$A$8:$H$58,5),VLOOKUP(N576,setup!$A$8:$H$58,8))</f>
        <v>        return $retorno;</v>
      </c>
    </row>
    <row r="577" spans="1:15" x14ac:dyDescent="0.25">
      <c r="A577" s="6" t="s">
        <v>62</v>
      </c>
      <c r="N577">
        <v>5</v>
      </c>
      <c r="O577" s="7" t="str">
        <f ca="1">getCodigoBackend(N577,A577,VLOOKUP(N577,setup!$A$8:$H$58,2),VLOOKUP(N577,setup!$A$8:$H$58,3),VLOOKUP(N577,setup!$A$8:$H$58,4),VLOOKUP(N577,setup!$A$8:$H$58,5),VLOOKUP(N577,setup!$A$8:$H$58,6),VLOOKUP(N577,setup!$A$8:$H$58,7), VLOOKUP(0,setup!$A$8:$H$58,2),VLOOKUP(0,setup!$A$8:$H$58,5),VLOOKUP(N577,setup!$A$8:$H$58,8))</f>
        <v>    }</v>
      </c>
    </row>
    <row r="578" spans="1:15" x14ac:dyDescent="0.25">
      <c r="A578" s="6"/>
      <c r="O578" s="7" t="str">
        <f ca="1">getCodigoBackend(N578,A578,VLOOKUP(N578,setup!$A$8:$H$58,2),VLOOKUP(N578,setup!$A$8:$H$58,3),VLOOKUP(N578,setup!$A$8:$H$58,4),VLOOKUP(N578,setup!$A$8:$H$58,5),VLOOKUP(N578,setup!$A$8:$H$58,6),VLOOKUP(N578,setup!$A$8:$H$58,7), VLOOKUP(0,setup!$A$8:$H$58,2),VLOOKUP(0,setup!$A$8:$H$58,5),VLOOKUP(N578,setup!$A$8:$H$58,8))</f>
        <v/>
      </c>
    </row>
    <row r="579" spans="1:15" x14ac:dyDescent="0.25">
      <c r="A579" s="4" t="s">
        <v>19</v>
      </c>
      <c r="N579">
        <v>6</v>
      </c>
      <c r="O579" s="7" t="str">
        <f ca="1">getCodigoBackend(N579,A579,VLOOKUP(N579,setup!$A$8:$H$58,2),VLOOKUP(N579,setup!$A$8:$H$58,3),VLOOKUP(N579,setup!$A$8:$H$58,4),VLOOKUP(N579,setup!$A$8:$H$58,5),VLOOKUP(N579,setup!$A$8:$H$58,6),VLOOKUP(N579,setup!$A$8:$H$58,7), VLOOKUP(0,setup!$A$8:$H$58,2),VLOOKUP(0,setup!$A$8:$H$58,5),VLOOKUP(N579,setup!$A$8:$H$58,8))</f>
        <v>/**</v>
      </c>
    </row>
    <row r="580" spans="1:15" x14ac:dyDescent="0.25">
      <c r="A580" s="4" t="s">
        <v>20</v>
      </c>
      <c r="N580">
        <v>6</v>
      </c>
      <c r="O580" s="7" t="str">
        <f ca="1">getCodigoBackend(N580,A580,VLOOKUP(N580,setup!$A$8:$H$58,2),VLOOKUP(N580,setup!$A$8:$H$58,3),VLOOKUP(N580,setup!$A$8:$H$58,4),VLOOKUP(N580,setup!$A$8:$H$58,5),VLOOKUP(N580,setup!$A$8:$H$58,6),VLOOKUP(N580,setup!$A$8:$H$58,7), VLOOKUP(0,setup!$A$8:$H$58,2),VLOOKUP(0,setup!$A$8:$H$58,5),VLOOKUP(N580,setup!$A$8:$H$58,8))</f>
        <v>*</v>
      </c>
    </row>
    <row r="581" spans="1:15" x14ac:dyDescent="0.25">
      <c r="A581" s="4" t="s">
        <v>716</v>
      </c>
      <c r="N581">
        <v>6</v>
      </c>
      <c r="O581" s="7" t="str">
        <f ca="1">getCodigoBackend(N581,A581,VLOOKUP(N581,setup!$A$8:$H$58,2),VLOOKUP(N581,setup!$A$8:$H$58,3),VLOOKUP(N581,setup!$A$8:$H$58,4),VLOOKUP(N581,setup!$A$8:$H$58,5),VLOOKUP(N581,setup!$A$8:$H$58,6),VLOOKUP(N581,setup!$A$8:$H$58,7), VLOOKUP(0,setup!$A$8:$H$58,2),VLOOKUP(0,setup!$A$8:$H$58,5),VLOOKUP(N581,setup!$A$8:$H$58,8))</f>
        <v>* pesquisarPorAutenticacaobco() - Usado para invocar a classe de negócio CampanhaCashbackResgatePixBusinessImpl de forma geral</v>
      </c>
    </row>
    <row r="582" spans="1:15" x14ac:dyDescent="0.25">
      <c r="A582" s="4" t="s">
        <v>717</v>
      </c>
      <c r="N582">
        <v>6</v>
      </c>
      <c r="O582" s="7" t="str">
        <f ca="1">getCodigoBackend(N582,A582,VLOOKUP(N582,setup!$A$8:$H$58,2),VLOOKUP(N582,setup!$A$8:$H$58,3),VLOOKUP(N582,setup!$A$8:$H$58,4),VLOOKUP(N582,setup!$A$8:$H$58,5),VLOOKUP(N582,setup!$A$8:$H$58,6),VLOOKUP(N582,setup!$A$8:$H$58,7), VLOOKUP(0,setup!$A$8:$H$58,2),VLOOKUP(0,setup!$A$8:$H$58,5),VLOOKUP(N582,setup!$A$8:$H$58,8))</f>
        <v>* realizar uma busca de Autenticação do Banco diretamente na tabela CAMPANHA_CASHBACK_RESGATE_PIX campo CCRP_TX_AUTENT_BCO</v>
      </c>
    </row>
    <row r="583" spans="1:15" x14ac:dyDescent="0.25">
      <c r="A583" s="4" t="s">
        <v>20</v>
      </c>
      <c r="N583">
        <v>6</v>
      </c>
      <c r="O583" s="7" t="str">
        <f ca="1">getCodigoBackend(N583,A583,VLOOKUP(N583,setup!$A$8:$H$58,2),VLOOKUP(N583,setup!$A$8:$H$58,3),VLOOKUP(N583,setup!$A$8:$H$58,4),VLOOKUP(N583,setup!$A$8:$H$58,5),VLOOKUP(N583,setup!$A$8:$H$58,6),VLOOKUP(N583,setup!$A$8:$H$58,7), VLOOKUP(0,setup!$A$8:$H$58,2),VLOOKUP(0,setup!$A$8:$H$58,5),VLOOKUP(N583,setup!$A$8:$H$58,8))</f>
        <v>*</v>
      </c>
    </row>
    <row r="584" spans="1:15" x14ac:dyDescent="0.25">
      <c r="A584" s="4" t="s">
        <v>723</v>
      </c>
      <c r="N584">
        <v>6</v>
      </c>
      <c r="O584" s="7" t="str">
        <f ca="1">getCodigoBackend(N584,A584,VLOOKUP(N584,setup!$A$8:$H$58,2),VLOOKUP(N584,setup!$A$8:$H$58,3),VLOOKUP(N584,setup!$A$8:$H$58,4),VLOOKUP(N584,setup!$A$8:$H$58,5),VLOOKUP(N584,setup!$A$8:$H$58,6),VLOOKUP(N584,setup!$A$8:$H$58,7), VLOOKUP(0,setup!$A$8:$H$58,2),VLOOKUP(0,setup!$A$8:$H$58,5),VLOOKUP(N584,setup!$A$8:$H$58,8))</f>
        <v>* @param $autenticacaoBco</v>
      </c>
    </row>
    <row r="585" spans="1:15" x14ac:dyDescent="0.25">
      <c r="A585" s="4" t="s">
        <v>347</v>
      </c>
      <c r="N585">
        <v>6</v>
      </c>
      <c r="O585" s="7" t="str">
        <f ca="1">getCodigoBackend(N585,A585,VLOOKUP(N585,setup!$A$8:$H$58,2),VLOOKUP(N585,setup!$A$8:$H$58,3),VLOOKUP(N585,setup!$A$8:$H$58,4),VLOOKUP(N585,setup!$A$8:$H$58,5),VLOOKUP(N585,setup!$A$8:$H$58,6),VLOOKUP(N585,setup!$A$8:$H$58,7), VLOOKUP(0,setup!$A$8:$H$58,2),VLOOKUP(0,setup!$A$8:$H$58,5),VLOOKUP(N585,setup!$A$8:$H$58,8))</f>
        <v>* @return CampanhaCashbackResgatePixDTO</v>
      </c>
    </row>
    <row r="586" spans="1:15" x14ac:dyDescent="0.25">
      <c r="A586" s="4" t="s">
        <v>20</v>
      </c>
      <c r="N586">
        <v>6</v>
      </c>
      <c r="O586" s="7" t="str">
        <f ca="1">getCodigoBackend(N586,A586,VLOOKUP(N586,setup!$A$8:$H$58,2),VLOOKUP(N586,setup!$A$8:$H$58,3),VLOOKUP(N586,setup!$A$8:$H$58,4),VLOOKUP(N586,setup!$A$8:$H$58,5),VLOOKUP(N586,setup!$A$8:$H$58,6),VLOOKUP(N586,setup!$A$8:$H$58,7), VLOOKUP(0,setup!$A$8:$H$58,2),VLOOKUP(0,setup!$A$8:$H$58,5),VLOOKUP(N586,setup!$A$8:$H$58,8))</f>
        <v>*</v>
      </c>
    </row>
    <row r="587" spans="1:15" x14ac:dyDescent="0.25">
      <c r="A587" s="4" t="s">
        <v>75</v>
      </c>
      <c r="N587">
        <v>6</v>
      </c>
      <c r="O587" s="7" t="str">
        <f ca="1">getCodigoBackend(N587,A587,VLOOKUP(N587,setup!$A$8:$H$58,2),VLOOKUP(N587,setup!$A$8:$H$58,3),VLOOKUP(N587,setup!$A$8:$H$58,4),VLOOKUP(N587,setup!$A$8:$H$58,5),VLOOKUP(N587,setup!$A$8:$H$58,6),VLOOKUP(N587,setup!$A$8:$H$58,7), VLOOKUP(0,setup!$A$8:$H$58,2),VLOOKUP(0,setup!$A$8:$H$58,5),VLOOKUP(N587,setup!$A$8:$H$58,8))</f>
        <v xml:space="preserve">* </v>
      </c>
    </row>
    <row r="588" spans="1:15" x14ac:dyDescent="0.25">
      <c r="A588" s="4" t="s">
        <v>21</v>
      </c>
      <c r="N588">
        <v>6</v>
      </c>
      <c r="O588" s="7" t="str">
        <f ca="1">getCodigoBackend(N588,A588,VLOOKUP(N588,setup!$A$8:$H$58,2),VLOOKUP(N588,setup!$A$8:$H$58,3),VLOOKUP(N588,setup!$A$8:$H$58,4),VLOOKUP(N588,setup!$A$8:$H$58,5),VLOOKUP(N588,setup!$A$8:$H$58,6),VLOOKUP(N588,setup!$A$8:$H$58,7), VLOOKUP(0,setup!$A$8:$H$58,2),VLOOKUP(0,setup!$A$8:$H$58,5),VLOOKUP(N588,setup!$A$8:$H$58,8))</f>
        <v>*/</v>
      </c>
    </row>
    <row r="589" spans="1:15" x14ac:dyDescent="0.25">
      <c r="N589">
        <v>6</v>
      </c>
      <c r="O589" s="7" t="str">
        <f ca="1">getCodigoBackend(N589,A589,VLOOKUP(N589,setup!$A$8:$H$58,2),VLOOKUP(N589,setup!$A$8:$H$58,3),VLOOKUP(N589,setup!$A$8:$H$58,4),VLOOKUP(N589,setup!$A$8:$H$58,5),VLOOKUP(N589,setup!$A$8:$H$58,6),VLOOKUP(N589,setup!$A$8:$H$58,7), VLOOKUP(0,setup!$A$8:$H$58,2),VLOOKUP(0,setup!$A$8:$H$58,5),VLOOKUP(N589,setup!$A$8:$H$58,8))</f>
        <v/>
      </c>
    </row>
    <row r="590" spans="1:15" x14ac:dyDescent="0.25">
      <c r="A590" s="6" t="s">
        <v>720</v>
      </c>
      <c r="N590">
        <v>6</v>
      </c>
      <c r="O590" s="7" t="str">
        <f ca="1">getCodigoBackend(N590,A590,VLOOKUP(N590,setup!$A$8:$H$58,2),VLOOKUP(N590,setup!$A$8:$H$58,3),VLOOKUP(N590,setup!$A$8:$H$58,4),VLOOKUP(N590,setup!$A$8:$H$58,5),VLOOKUP(N590,setup!$A$8:$H$58,6),VLOOKUP(N590,setup!$A$8:$H$58,7), VLOOKUP(0,setup!$A$8:$H$58,2),VLOOKUP(0,setup!$A$8:$H$58,5),VLOOKUP(N590,setup!$A$8:$H$58,8))</f>
        <v>    public function pesquisarPorAutenticacaobco($autenticacaoBco)</v>
      </c>
    </row>
    <row r="591" spans="1:15" x14ac:dyDescent="0.25">
      <c r="A591" s="6" t="s">
        <v>38</v>
      </c>
      <c r="N591">
        <v>6</v>
      </c>
      <c r="O591" s="7" t="str">
        <f ca="1">getCodigoBackend(N591,A591,VLOOKUP(N591,setup!$A$8:$H$58,2),VLOOKUP(N591,setup!$A$8:$H$58,3),VLOOKUP(N591,setup!$A$8:$H$58,4),VLOOKUP(N591,setup!$A$8:$H$58,5),VLOOKUP(N591,setup!$A$8:$H$58,6),VLOOKUP(N591,setup!$A$8:$H$58,7), VLOOKUP(0,setup!$A$8:$H$58,2),VLOOKUP(0,setup!$A$8:$H$58,5),VLOOKUP(N591,setup!$A$8:$H$58,8))</f>
        <v>    {</v>
      </c>
    </row>
    <row r="592" spans="1:15" x14ac:dyDescent="0.25">
      <c r="A592" s="6" t="s">
        <v>39</v>
      </c>
      <c r="N592">
        <v>6</v>
      </c>
      <c r="O592" s="7" t="str">
        <f ca="1">getCodigoBackend(N592,A592,VLOOKUP(N592,setup!$A$8:$H$58,2),VLOOKUP(N592,setup!$A$8:$H$58,3),VLOOKUP(N592,setup!$A$8:$H$58,4),VLOOKUP(N592,setup!$A$8:$H$58,5),VLOOKUP(N592,setup!$A$8:$H$58,6),VLOOKUP(N592,setup!$A$8:$H$58,7), VLOOKUP(0,setup!$A$8:$H$58,2),VLOOKUP(0,setup!$A$8:$H$58,5),VLOOKUP(N592,setup!$A$8:$H$58,8))</f>
        <v>        $daofactory = NULL;</v>
      </c>
    </row>
    <row r="593" spans="1:15" x14ac:dyDescent="0.25">
      <c r="A593" s="6" t="s">
        <v>40</v>
      </c>
      <c r="N593">
        <v>6</v>
      </c>
      <c r="O593" s="7" t="str">
        <f ca="1">getCodigoBackend(N593,A593,VLOOKUP(N593,setup!$A$8:$H$58,2),VLOOKUP(N593,setup!$A$8:$H$58,3),VLOOKUP(N593,setup!$A$8:$H$58,4),VLOOKUP(N593,setup!$A$8:$H$58,5),VLOOKUP(N593,setup!$A$8:$H$58,6),VLOOKUP(N593,setup!$A$8:$H$58,7), VLOOKUP(0,setup!$A$8:$H$58,2),VLOOKUP(0,setup!$A$8:$H$58,5),VLOOKUP(N593,setup!$A$8:$H$58,8))</f>
        <v>        $retorno = NULL;</v>
      </c>
    </row>
    <row r="594" spans="1:15" x14ac:dyDescent="0.25">
      <c r="A594" s="6" t="s">
        <v>41</v>
      </c>
      <c r="N594">
        <v>6</v>
      </c>
      <c r="O594" s="7" t="str">
        <f ca="1">getCodigoBackend(N594,A594,VLOOKUP(N594,setup!$A$8:$H$58,2),VLOOKUP(N594,setup!$A$8:$H$58,3),VLOOKUP(N594,setup!$A$8:$H$58,4),VLOOKUP(N594,setup!$A$8:$H$58,5),VLOOKUP(N594,setup!$A$8:$H$58,6),VLOOKUP(N594,setup!$A$8:$H$58,7), VLOOKUP(0,setup!$A$8:$H$58,2),VLOOKUP(0,setup!$A$8:$H$58,5),VLOOKUP(N594,setup!$A$8:$H$58,8))</f>
        <v>        try {</v>
      </c>
    </row>
    <row r="595" spans="1:15" x14ac:dyDescent="0.25">
      <c r="A595" s="6" t="s">
        <v>42</v>
      </c>
      <c r="N595">
        <v>6</v>
      </c>
      <c r="O595" s="7" t="str">
        <f ca="1">getCodigoBackend(N595,A595,VLOOKUP(N595,setup!$A$8:$H$58,2),VLOOKUP(N595,setup!$A$8:$H$58,3),VLOOKUP(N595,setup!$A$8:$H$58,4),VLOOKUP(N595,setup!$A$8:$H$58,5),VLOOKUP(N595,setup!$A$8:$H$58,6),VLOOKUP(N595,setup!$A$8:$H$58,7), VLOOKUP(0,setup!$A$8:$H$58,2),VLOOKUP(0,setup!$A$8:$H$58,5),VLOOKUP(N595,setup!$A$8:$H$58,8))</f>
        <v>            $daofactory = DAOFactory::getDAOFactory();</v>
      </c>
    </row>
    <row r="596" spans="1:15" x14ac:dyDescent="0.25">
      <c r="A596" s="6" t="s">
        <v>43</v>
      </c>
      <c r="N596">
        <v>6</v>
      </c>
      <c r="O596" s="7" t="str">
        <f ca="1">getCodigoBackend(N596,A596,VLOOKUP(N596,setup!$A$8:$H$58,2),VLOOKUP(N596,setup!$A$8:$H$58,3),VLOOKUP(N596,setup!$A$8:$H$58,4),VLOOKUP(N596,setup!$A$8:$H$58,5),VLOOKUP(N596,setup!$A$8:$H$58,6),VLOOKUP(N596,setup!$A$8:$H$58,7), VLOOKUP(0,setup!$A$8:$H$58,2),VLOOKUP(0,setup!$A$8:$H$58,5),VLOOKUP(N596,setup!$A$8:$H$58,8))</f>
        <v>            $daofactory-&gt;open();</v>
      </c>
    </row>
    <row r="597" spans="1:15" x14ac:dyDescent="0.25">
      <c r="A597" s="6" t="s">
        <v>44</v>
      </c>
      <c r="N597">
        <v>6</v>
      </c>
      <c r="O597" s="7" t="str">
        <f ca="1">getCodigoBackend(N597,A597,VLOOKUP(N597,setup!$A$8:$H$58,2),VLOOKUP(N597,setup!$A$8:$H$58,3),VLOOKUP(N597,setup!$A$8:$H$58,4),VLOOKUP(N597,setup!$A$8:$H$58,5),VLOOKUP(N597,setup!$A$8:$H$58,6),VLOOKUP(N597,setup!$A$8:$H$58,7), VLOOKUP(0,setup!$A$8:$H$58,2),VLOOKUP(0,setup!$A$8:$H$58,5),VLOOKUP(N597,setup!$A$8:$H$58,8))</f>
        <v>            $daofactory-&gt;beginTransaction();</v>
      </c>
    </row>
    <row r="598" spans="1:15" x14ac:dyDescent="0.25">
      <c r="A598" s="6" t="s">
        <v>45</v>
      </c>
      <c r="N598">
        <v>6</v>
      </c>
      <c r="O598" s="7" t="str">
        <f ca="1">getCodigoBackend(N598,A598,VLOOKUP(N598,setup!$A$8:$H$58,2),VLOOKUP(N598,setup!$A$8:$H$58,3),VLOOKUP(N598,setup!$A$8:$H$58,4),VLOOKUP(N598,setup!$A$8:$H$58,5),VLOOKUP(N598,setup!$A$8:$H$58,6),VLOOKUP(N598,setup!$A$8:$H$58,7), VLOOKUP(0,setup!$A$8:$H$58,2),VLOOKUP(0,setup!$A$8:$H$58,5),VLOOKUP(N598,setup!$A$8:$H$58,8))</f>
        <v>            </v>
      </c>
    </row>
    <row r="599" spans="1:15" x14ac:dyDescent="0.25">
      <c r="A599" s="6" t="s">
        <v>722</v>
      </c>
      <c r="N599">
        <v>6</v>
      </c>
      <c r="O599" s="7" t="str">
        <f ca="1">getCodigoBackend(N599,A599,VLOOKUP(N599,setup!$A$8:$H$58,2),VLOOKUP(N599,setup!$A$8:$H$58,3),VLOOKUP(N599,setup!$A$8:$H$58,4),VLOOKUP(N599,setup!$A$8:$H$58,5),VLOOKUP(N599,setup!$A$8:$H$58,6),VLOOKUP(N599,setup!$A$8:$H$58,7), VLOOKUP(0,setup!$A$8:$H$58,2),VLOOKUP(0,setup!$A$8:$H$58,5),VLOOKUP(N599,setup!$A$8:$H$58,8))</f>
        <v>            // pesquisar pelo atributo CampanhaCashbackResgatePix.autenticacaoBco no campo CCRP_TX_AUTENT_BCO da tabela CAMPANHA_CASHBACK_RESGATE_PIX</v>
      </c>
    </row>
    <row r="600" spans="1:15" x14ac:dyDescent="0.25">
      <c r="A600" s="6" t="s">
        <v>265</v>
      </c>
      <c r="N600">
        <v>6</v>
      </c>
      <c r="O600" s="7" t="str">
        <f ca="1">getCodigoBackend(N600,A600,VLOOKUP(N600,setup!$A$8:$H$58,2),VLOOKUP(N600,setup!$A$8:$H$58,3),VLOOKUP(N600,setup!$A$8:$H$58,4),VLOOKUP(N600,setup!$A$8:$H$58,5),VLOOKUP(N600,setup!$A$8:$H$58,6),VLOOKUP(N600,setup!$A$8:$H$58,7), VLOOKUP(0,setup!$A$8:$H$58,2),VLOOKUP(0,setup!$A$8:$H$58,5),VLOOKUP(N600,setup!$A$8:$H$58,8))</f>
        <v>           $bo = new CampanhaCashbackResgatePixBusinessImpl();</v>
      </c>
    </row>
    <row r="601" spans="1:15" x14ac:dyDescent="0.25">
      <c r="A601" s="6" t="s">
        <v>721</v>
      </c>
      <c r="N601">
        <v>6</v>
      </c>
      <c r="O601" s="7" t="str">
        <f ca="1">getCodigoBackend(N601,A601,VLOOKUP(N601,setup!$A$8:$H$58,2),VLOOKUP(N601,setup!$A$8:$H$58,3),VLOOKUP(N601,setup!$A$8:$H$58,4),VLOOKUP(N601,setup!$A$8:$H$58,5),VLOOKUP(N601,setup!$A$8:$H$58,6),VLOOKUP(N601,setup!$A$8:$H$58,7), VLOOKUP(0,setup!$A$8:$H$58,2),VLOOKUP(0,setup!$A$8:$H$58,5),VLOOKUP(N601,setup!$A$8:$H$58,8))</f>
        <v>           $retorno = $bo-&gt;carregarPorAutenticacaobco($daofactory, $autenticacaoBco);</v>
      </c>
    </row>
    <row r="602" spans="1:15" x14ac:dyDescent="0.25">
      <c r="A602" s="6" t="s">
        <v>68</v>
      </c>
      <c r="N602">
        <v>6</v>
      </c>
      <c r="O602" s="7" t="str">
        <f ca="1">getCodigoBackend(N602,A602,VLOOKUP(N602,setup!$A$8:$H$58,2),VLOOKUP(N602,setup!$A$8:$H$58,3),VLOOKUP(N602,setup!$A$8:$H$58,4),VLOOKUP(N602,setup!$A$8:$H$58,5),VLOOKUP(N602,setup!$A$8:$H$58,6),VLOOKUP(N602,setup!$A$8:$H$58,7), VLOOKUP(0,setup!$A$8:$H$58,2),VLOOKUP(0,setup!$A$8:$H$58,5),VLOOKUP(N602,setup!$A$8:$H$58,8))</f>
        <v>           if ($retorno-&gt;msgcode == ConstantesMensagem::COMANDO_REALIZADO_COM_SUCESSO){</v>
      </c>
    </row>
    <row r="603" spans="1:15" x14ac:dyDescent="0.25">
      <c r="A603" s="6" t="s">
        <v>48</v>
      </c>
      <c r="N603">
        <v>6</v>
      </c>
      <c r="O603" s="7" t="str">
        <f ca="1">getCodigoBackend(N603,A603,VLOOKUP(N603,setup!$A$8:$H$58,2),VLOOKUP(N603,setup!$A$8:$H$58,3),VLOOKUP(N603,setup!$A$8:$H$58,4),VLOOKUP(N603,setup!$A$8:$H$58,5),VLOOKUP(N603,setup!$A$8:$H$58,6),VLOOKUP(N603,setup!$A$8:$H$58,7), VLOOKUP(0,setup!$A$8:$H$58,2),VLOOKUP(0,setup!$A$8:$H$58,5),VLOOKUP(N603,setup!$A$8:$H$58,8))</f>
        <v>                $daofactory-&gt;commit();</v>
      </c>
    </row>
    <row r="604" spans="1:15" x14ac:dyDescent="0.25">
      <c r="A604" s="6" t="s">
        <v>63</v>
      </c>
      <c r="N604">
        <v>6</v>
      </c>
      <c r="O604" s="7" t="str">
        <f ca="1">getCodigoBackend(N604,A604,VLOOKUP(N604,setup!$A$8:$H$58,2),VLOOKUP(N604,setup!$A$8:$H$58,3),VLOOKUP(N604,setup!$A$8:$H$58,4),VLOOKUP(N604,setup!$A$8:$H$58,5),VLOOKUP(N604,setup!$A$8:$H$58,6),VLOOKUP(N604,setup!$A$8:$H$58,7), VLOOKUP(0,setup!$A$8:$H$58,2),VLOOKUP(0,setup!$A$8:$H$58,5),VLOOKUP(N604,setup!$A$8:$H$58,8))</f>
        <v>           } else {</v>
      </c>
    </row>
    <row r="605" spans="1:15" x14ac:dyDescent="0.25">
      <c r="A605" s="6" t="s">
        <v>50</v>
      </c>
      <c r="N605">
        <v>6</v>
      </c>
      <c r="O605" s="7" t="str">
        <f ca="1">getCodigoBackend(N605,A605,VLOOKUP(N605,setup!$A$8:$H$58,2),VLOOKUP(N605,setup!$A$8:$H$58,3),VLOOKUP(N605,setup!$A$8:$H$58,4),VLOOKUP(N605,setup!$A$8:$H$58,5),VLOOKUP(N605,setup!$A$8:$H$58,6),VLOOKUP(N605,setup!$A$8:$H$58,7), VLOOKUP(0,setup!$A$8:$H$58,2),VLOOKUP(0,setup!$A$8:$H$58,5),VLOOKUP(N605,setup!$A$8:$H$58,8))</f>
        <v>                $daofactory-&gt;rollback();</v>
      </c>
    </row>
    <row r="606" spans="1:15" x14ac:dyDescent="0.25">
      <c r="A606" s="6" t="s">
        <v>64</v>
      </c>
      <c r="N606">
        <v>6</v>
      </c>
      <c r="O606" s="7" t="str">
        <f ca="1">getCodigoBackend(N606,A606,VLOOKUP(N606,setup!$A$8:$H$58,2),VLOOKUP(N606,setup!$A$8:$H$58,3),VLOOKUP(N606,setup!$A$8:$H$58,4),VLOOKUP(N606,setup!$A$8:$H$58,5),VLOOKUP(N606,setup!$A$8:$H$58,6),VLOOKUP(N606,setup!$A$8:$H$58,7), VLOOKUP(0,setup!$A$8:$H$58,2),VLOOKUP(0,setup!$A$8:$H$58,5),VLOOKUP(N606,setup!$A$8:$H$58,8))</f>
        <v>           }</v>
      </c>
    </row>
    <row r="607" spans="1:15" x14ac:dyDescent="0.25">
      <c r="A607" s="6" t="s">
        <v>45</v>
      </c>
      <c r="N607">
        <v>6</v>
      </c>
      <c r="O607" s="7" t="str">
        <f ca="1">getCodigoBackend(N607,A607,VLOOKUP(N607,setup!$A$8:$H$58,2),VLOOKUP(N607,setup!$A$8:$H$58,3),VLOOKUP(N607,setup!$A$8:$H$58,4),VLOOKUP(N607,setup!$A$8:$H$58,5),VLOOKUP(N607,setup!$A$8:$H$58,6),VLOOKUP(N607,setup!$A$8:$H$58,7), VLOOKUP(0,setup!$A$8:$H$58,2),VLOOKUP(0,setup!$A$8:$H$58,5),VLOOKUP(N607,setup!$A$8:$H$58,8))</f>
        <v>            </v>
      </c>
    </row>
    <row r="608" spans="1:15" x14ac:dyDescent="0.25">
      <c r="A608" s="6" t="s">
        <v>52</v>
      </c>
      <c r="N608">
        <v>6</v>
      </c>
      <c r="O608" s="7" t="str">
        <f ca="1">getCodigoBackend(N608,A608,VLOOKUP(N608,setup!$A$8:$H$58,2),VLOOKUP(N608,setup!$A$8:$H$58,3),VLOOKUP(N608,setup!$A$8:$H$58,4),VLOOKUP(N608,setup!$A$8:$H$58,5),VLOOKUP(N608,setup!$A$8:$H$58,6),VLOOKUP(N608,setup!$A$8:$H$58,7), VLOOKUP(0,setup!$A$8:$H$58,2),VLOOKUP(0,setup!$A$8:$H$58,5),VLOOKUP(N608,setup!$A$8:$H$58,8))</f>
        <v>        } catch (Exception $e) {</v>
      </c>
    </row>
    <row r="609" spans="1:15" x14ac:dyDescent="0.25">
      <c r="A609" s="6" t="s">
        <v>53</v>
      </c>
      <c r="N609">
        <v>6</v>
      </c>
      <c r="O609" s="7" t="str">
        <f ca="1">getCodigoBackend(N609,A609,VLOOKUP(N609,setup!$A$8:$H$58,2),VLOOKUP(N609,setup!$A$8:$H$58,3),VLOOKUP(N609,setup!$A$8:$H$58,4),VLOOKUP(N609,setup!$A$8:$H$58,5),VLOOKUP(N609,setup!$A$8:$H$58,6),VLOOKUP(N609,setup!$A$8:$H$58,7), VLOOKUP(0,setup!$A$8:$H$58,2),VLOOKUP(0,setup!$A$8:$H$58,5),VLOOKUP(N609,setup!$A$8:$H$58,8))</f>
        <v>            // rollback na transação</v>
      </c>
    </row>
    <row r="610" spans="1:15" x14ac:dyDescent="0.25">
      <c r="N610">
        <v>6</v>
      </c>
      <c r="O610" s="7" t="str">
        <f ca="1">getCodigoBackend(N610,A610,VLOOKUP(N610,setup!$A$8:$H$58,2),VLOOKUP(N610,setup!$A$8:$H$58,3),VLOOKUP(N610,setup!$A$8:$H$58,4),VLOOKUP(N610,setup!$A$8:$H$58,5),VLOOKUP(N610,setup!$A$8:$H$58,6),VLOOKUP(N610,setup!$A$8:$H$58,7), VLOOKUP(0,setup!$A$8:$H$58,2),VLOOKUP(0,setup!$A$8:$H$58,5),VLOOKUP(N610,setup!$A$8:$H$58,8))</f>
        <v/>
      </c>
    </row>
    <row r="611" spans="1:15" x14ac:dyDescent="0.25">
      <c r="A611" s="6" t="s">
        <v>55</v>
      </c>
      <c r="N611">
        <v>6</v>
      </c>
      <c r="O611" s="7" t="str">
        <f ca="1">getCodigoBackend(N611,A611,VLOOKUP(N611,setup!$A$8:$H$58,2),VLOOKUP(N611,setup!$A$8:$H$58,3),VLOOKUP(N611,setup!$A$8:$H$58,4),VLOOKUP(N611,setup!$A$8:$H$58,5),VLOOKUP(N611,setup!$A$8:$H$58,6),VLOOKUP(N611,setup!$A$8:$H$58,7), VLOOKUP(0,setup!$A$8:$H$58,2),VLOOKUP(0,setup!$A$8:$H$58,5),VLOOKUP(N611,setup!$A$8:$H$58,8))</f>
        <v>        } finally {</v>
      </c>
    </row>
    <row r="612" spans="1:15" x14ac:dyDescent="0.25">
      <c r="A612" s="6" t="s">
        <v>56</v>
      </c>
      <c r="N612">
        <v>6</v>
      </c>
      <c r="O612" s="7" t="str">
        <f ca="1">getCodigoBackend(N612,A612,VLOOKUP(N612,setup!$A$8:$H$58,2),VLOOKUP(N612,setup!$A$8:$H$58,3),VLOOKUP(N612,setup!$A$8:$H$58,4),VLOOKUP(N612,setup!$A$8:$H$58,5),VLOOKUP(N612,setup!$A$8:$H$58,6),VLOOKUP(N612,setup!$A$8:$H$58,7), VLOOKUP(0,setup!$A$8:$H$58,2),VLOOKUP(0,setup!$A$8:$H$58,5),VLOOKUP(N612,setup!$A$8:$H$58,8))</f>
        <v>            try {</v>
      </c>
    </row>
    <row r="613" spans="1:15" x14ac:dyDescent="0.25">
      <c r="A613" s="6" t="s">
        <v>57</v>
      </c>
      <c r="N613">
        <v>6</v>
      </c>
      <c r="O613" s="7" t="str">
        <f ca="1">getCodigoBackend(N613,A613,VLOOKUP(N613,setup!$A$8:$H$58,2),VLOOKUP(N613,setup!$A$8:$H$58,3),VLOOKUP(N613,setup!$A$8:$H$58,4),VLOOKUP(N613,setup!$A$8:$H$58,5),VLOOKUP(N613,setup!$A$8:$H$58,6),VLOOKUP(N613,setup!$A$8:$H$58,7), VLOOKUP(0,setup!$A$8:$H$58,2),VLOOKUP(0,setup!$A$8:$H$58,5),VLOOKUP(N613,setup!$A$8:$H$58,8))</f>
        <v>                $daofactory-&gt;close();</v>
      </c>
    </row>
    <row r="614" spans="1:15" x14ac:dyDescent="0.25">
      <c r="A614" s="6" t="s">
        <v>58</v>
      </c>
      <c r="N614">
        <v>6</v>
      </c>
      <c r="O614" s="7" t="str">
        <f ca="1">getCodigoBackend(N614,A614,VLOOKUP(N614,setup!$A$8:$H$58,2),VLOOKUP(N614,setup!$A$8:$H$58,3),VLOOKUP(N614,setup!$A$8:$H$58,4),VLOOKUP(N614,setup!$A$8:$H$58,5),VLOOKUP(N614,setup!$A$8:$H$58,6),VLOOKUP(N614,setup!$A$8:$H$58,7), VLOOKUP(0,setup!$A$8:$H$58,2),VLOOKUP(0,setup!$A$8:$H$58,5),VLOOKUP(N614,setup!$A$8:$H$58,8))</f>
        <v>            } catch (Exception $e) {</v>
      </c>
    </row>
    <row r="615" spans="1:15" x14ac:dyDescent="0.25">
      <c r="A615" s="6" t="s">
        <v>59</v>
      </c>
      <c r="N615">
        <v>6</v>
      </c>
      <c r="O615" s="7" t="str">
        <f ca="1">getCodigoBackend(N615,A615,VLOOKUP(N615,setup!$A$8:$H$58,2),VLOOKUP(N615,setup!$A$8:$H$58,3),VLOOKUP(N615,setup!$A$8:$H$58,4),VLOOKUP(N615,setup!$A$8:$H$58,5),VLOOKUP(N615,setup!$A$8:$H$58,6),VLOOKUP(N615,setup!$A$8:$H$58,7), VLOOKUP(0,setup!$A$8:$H$58,2),VLOOKUP(0,setup!$A$8:$H$58,5),VLOOKUP(N615,setup!$A$8:$H$58,8))</f>
        <v>                // faz algo</v>
      </c>
    </row>
    <row r="616" spans="1:15" x14ac:dyDescent="0.25">
      <c r="A616" s="6" t="s">
        <v>51</v>
      </c>
      <c r="N616">
        <v>6</v>
      </c>
      <c r="O616" s="7" t="str">
        <f ca="1">getCodigoBackend(N616,A616,VLOOKUP(N616,setup!$A$8:$H$58,2),VLOOKUP(N616,setup!$A$8:$H$58,3),VLOOKUP(N616,setup!$A$8:$H$58,4),VLOOKUP(N616,setup!$A$8:$H$58,5),VLOOKUP(N616,setup!$A$8:$H$58,6),VLOOKUP(N616,setup!$A$8:$H$58,7), VLOOKUP(0,setup!$A$8:$H$58,2),VLOOKUP(0,setup!$A$8:$H$58,5),VLOOKUP(N616,setup!$A$8:$H$58,8))</f>
        <v>            }</v>
      </c>
    </row>
    <row r="617" spans="1:15" x14ac:dyDescent="0.25">
      <c r="A617" s="6" t="s">
        <v>60</v>
      </c>
      <c r="N617">
        <v>6</v>
      </c>
      <c r="O617" s="7" t="str">
        <f ca="1">getCodigoBackend(N617,A617,VLOOKUP(N617,setup!$A$8:$H$58,2),VLOOKUP(N617,setup!$A$8:$H$58,3),VLOOKUP(N617,setup!$A$8:$H$58,4),VLOOKUP(N617,setup!$A$8:$H$58,5),VLOOKUP(N617,setup!$A$8:$H$58,6),VLOOKUP(N617,setup!$A$8:$H$58,7), VLOOKUP(0,setup!$A$8:$H$58,2),VLOOKUP(0,setup!$A$8:$H$58,5),VLOOKUP(N617,setup!$A$8:$H$58,8))</f>
        <v>        }</v>
      </c>
    </row>
    <row r="618" spans="1:15" x14ac:dyDescent="0.25">
      <c r="N618">
        <v>6</v>
      </c>
      <c r="O618" s="7" t="str">
        <f ca="1">getCodigoBackend(N618,A618,VLOOKUP(N618,setup!$A$8:$H$58,2),VLOOKUP(N618,setup!$A$8:$H$58,3),VLOOKUP(N618,setup!$A$8:$H$58,4),VLOOKUP(N618,setup!$A$8:$H$58,5),VLOOKUP(N618,setup!$A$8:$H$58,6),VLOOKUP(N618,setup!$A$8:$H$58,7), VLOOKUP(0,setup!$A$8:$H$58,2),VLOOKUP(0,setup!$A$8:$H$58,5),VLOOKUP(N618,setup!$A$8:$H$58,8))</f>
        <v/>
      </c>
    </row>
    <row r="619" spans="1:15" x14ac:dyDescent="0.25">
      <c r="A619" s="6" t="s">
        <v>61</v>
      </c>
      <c r="N619">
        <v>6</v>
      </c>
      <c r="O619" s="7" t="str">
        <f ca="1">getCodigoBackend(N619,A619,VLOOKUP(N619,setup!$A$8:$H$58,2),VLOOKUP(N619,setup!$A$8:$H$58,3),VLOOKUP(N619,setup!$A$8:$H$58,4),VLOOKUP(N619,setup!$A$8:$H$58,5),VLOOKUP(N619,setup!$A$8:$H$58,6),VLOOKUP(N619,setup!$A$8:$H$58,7), VLOOKUP(0,setup!$A$8:$H$58,2),VLOOKUP(0,setup!$A$8:$H$58,5),VLOOKUP(N619,setup!$A$8:$H$58,8))</f>
        <v>        return $retorno;</v>
      </c>
    </row>
    <row r="620" spans="1:15" x14ac:dyDescent="0.25">
      <c r="A620" s="6" t="s">
        <v>62</v>
      </c>
      <c r="N620">
        <v>6</v>
      </c>
      <c r="O620" s="7" t="str">
        <f ca="1">getCodigoBackend(N620,A620,VLOOKUP(N620,setup!$A$8:$H$58,2),VLOOKUP(N620,setup!$A$8:$H$58,3),VLOOKUP(N620,setup!$A$8:$H$58,4),VLOOKUP(N620,setup!$A$8:$H$58,5),VLOOKUP(N620,setup!$A$8:$H$58,6),VLOOKUP(N620,setup!$A$8:$H$58,7), VLOOKUP(0,setup!$A$8:$H$58,2),VLOOKUP(0,setup!$A$8:$H$58,5),VLOOKUP(N620,setup!$A$8:$H$58,8))</f>
        <v>    }</v>
      </c>
    </row>
    <row r="621" spans="1:15" x14ac:dyDescent="0.25">
      <c r="A621" s="6"/>
      <c r="O621" s="7" t="str">
        <f ca="1">getCodigoBackend(N621,A621,VLOOKUP(N621,setup!$A$8:$H$58,2),VLOOKUP(N621,setup!$A$8:$H$58,3),VLOOKUP(N621,setup!$A$8:$H$58,4),VLOOKUP(N621,setup!$A$8:$H$58,5),VLOOKUP(N621,setup!$A$8:$H$58,6),VLOOKUP(N621,setup!$A$8:$H$58,7), VLOOKUP(0,setup!$A$8:$H$58,2),VLOOKUP(0,setup!$A$8:$H$58,5),VLOOKUP(N621,setup!$A$8:$H$58,8))</f>
        <v/>
      </c>
    </row>
    <row r="622" spans="1:15" x14ac:dyDescent="0.25">
      <c r="A622" s="4" t="s">
        <v>19</v>
      </c>
      <c r="N622">
        <v>7</v>
      </c>
      <c r="O622" s="7" t="str">
        <f ca="1">getCodigoBackend(N622,A622,VLOOKUP(N622,setup!$A$8:$H$58,2),VLOOKUP(N622,setup!$A$8:$H$58,3),VLOOKUP(N622,setup!$A$8:$H$58,4),VLOOKUP(N622,setup!$A$8:$H$58,5),VLOOKUP(N622,setup!$A$8:$H$58,6),VLOOKUP(N622,setup!$A$8:$H$58,7), VLOOKUP(0,setup!$A$8:$H$58,2),VLOOKUP(0,setup!$A$8:$H$58,5),VLOOKUP(N622,setup!$A$8:$H$58,8))</f>
        <v>/**</v>
      </c>
    </row>
    <row r="623" spans="1:15" x14ac:dyDescent="0.25">
      <c r="A623" s="4" t="s">
        <v>20</v>
      </c>
      <c r="N623">
        <v>7</v>
      </c>
      <c r="O623" s="7" t="str">
        <f ca="1">getCodigoBackend(N623,A623,VLOOKUP(N623,setup!$A$8:$H$58,2),VLOOKUP(N623,setup!$A$8:$H$58,3),VLOOKUP(N623,setup!$A$8:$H$58,4),VLOOKUP(N623,setup!$A$8:$H$58,5),VLOOKUP(N623,setup!$A$8:$H$58,6),VLOOKUP(N623,setup!$A$8:$H$58,7), VLOOKUP(0,setup!$A$8:$H$58,2),VLOOKUP(0,setup!$A$8:$H$58,5),VLOOKUP(N623,setup!$A$8:$H$58,8))</f>
        <v>*</v>
      </c>
    </row>
    <row r="624" spans="1:15" x14ac:dyDescent="0.25">
      <c r="A624" s="4" t="s">
        <v>716</v>
      </c>
      <c r="N624">
        <v>7</v>
      </c>
      <c r="O624" s="7" t="str">
        <f ca="1">getCodigoBackend(N624,A624,VLOOKUP(N624,setup!$A$8:$H$58,2),VLOOKUP(N624,setup!$A$8:$H$58,3),VLOOKUP(N624,setup!$A$8:$H$58,4),VLOOKUP(N624,setup!$A$8:$H$58,5),VLOOKUP(N624,setup!$A$8:$H$58,6),VLOOKUP(N624,setup!$A$8:$H$58,7), VLOOKUP(0,setup!$A$8:$H$58,2),VLOOKUP(0,setup!$A$8:$H$58,5),VLOOKUP(N624,setup!$A$8:$H$58,8))</f>
        <v>* pesquisarPorEstagiorealtime() - Usado para invocar a classe de negócio CampanhaCashbackResgatePixBusinessImpl de forma geral</v>
      </c>
    </row>
    <row r="625" spans="1:15" x14ac:dyDescent="0.25">
      <c r="A625" s="4" t="s">
        <v>717</v>
      </c>
      <c r="N625">
        <v>7</v>
      </c>
      <c r="O625" s="7" t="str">
        <f ca="1">getCodigoBackend(N625,A625,VLOOKUP(N625,setup!$A$8:$H$58,2),VLOOKUP(N625,setup!$A$8:$H$58,3),VLOOKUP(N625,setup!$A$8:$H$58,4),VLOOKUP(N625,setup!$A$8:$H$58,5),VLOOKUP(N625,setup!$A$8:$H$58,6),VLOOKUP(N625,setup!$A$8:$H$58,7), VLOOKUP(0,setup!$A$8:$H$58,2),VLOOKUP(0,setup!$A$8:$H$58,5),VLOOKUP(N625,setup!$A$8:$H$58,8))</f>
        <v>* realizar uma busca de Estágio Real Time diretamente na tabela CAMPANHA_CASHBACK_RESGATE_PIX campo CCRP_IN_ESTAGIO_RT</v>
      </c>
    </row>
    <row r="626" spans="1:15" x14ac:dyDescent="0.25">
      <c r="A626" s="4" t="s">
        <v>20</v>
      </c>
      <c r="N626">
        <v>7</v>
      </c>
      <c r="O626" s="7" t="str">
        <f ca="1">getCodigoBackend(N626,A626,VLOOKUP(N626,setup!$A$8:$H$58,2),VLOOKUP(N626,setup!$A$8:$H$58,3),VLOOKUP(N626,setup!$A$8:$H$58,4),VLOOKUP(N626,setup!$A$8:$H$58,5),VLOOKUP(N626,setup!$A$8:$H$58,6),VLOOKUP(N626,setup!$A$8:$H$58,7), VLOOKUP(0,setup!$A$8:$H$58,2),VLOOKUP(0,setup!$A$8:$H$58,5),VLOOKUP(N626,setup!$A$8:$H$58,8))</f>
        <v>*</v>
      </c>
    </row>
    <row r="627" spans="1:15" x14ac:dyDescent="0.25">
      <c r="A627" s="4" t="s">
        <v>723</v>
      </c>
      <c r="N627">
        <v>7</v>
      </c>
      <c r="O627" s="7" t="str">
        <f ca="1">getCodigoBackend(N627,A627,VLOOKUP(N627,setup!$A$8:$H$58,2),VLOOKUP(N627,setup!$A$8:$H$58,3),VLOOKUP(N627,setup!$A$8:$H$58,4),VLOOKUP(N627,setup!$A$8:$H$58,5),VLOOKUP(N627,setup!$A$8:$H$58,6),VLOOKUP(N627,setup!$A$8:$H$58,7), VLOOKUP(0,setup!$A$8:$H$58,2),VLOOKUP(0,setup!$A$8:$H$58,5),VLOOKUP(N627,setup!$A$8:$H$58,8))</f>
        <v>* @param $estagioRealTime</v>
      </c>
    </row>
    <row r="628" spans="1:15" x14ac:dyDescent="0.25">
      <c r="A628" s="4" t="s">
        <v>347</v>
      </c>
      <c r="N628">
        <v>7</v>
      </c>
      <c r="O628" s="7" t="str">
        <f ca="1">getCodigoBackend(N628,A628,VLOOKUP(N628,setup!$A$8:$H$58,2),VLOOKUP(N628,setup!$A$8:$H$58,3),VLOOKUP(N628,setup!$A$8:$H$58,4),VLOOKUP(N628,setup!$A$8:$H$58,5),VLOOKUP(N628,setup!$A$8:$H$58,6),VLOOKUP(N628,setup!$A$8:$H$58,7), VLOOKUP(0,setup!$A$8:$H$58,2),VLOOKUP(0,setup!$A$8:$H$58,5),VLOOKUP(N628,setup!$A$8:$H$58,8))</f>
        <v>* @return CampanhaCashbackResgatePixDTO</v>
      </c>
    </row>
    <row r="629" spans="1:15" x14ac:dyDescent="0.25">
      <c r="A629" s="4" t="s">
        <v>20</v>
      </c>
      <c r="N629">
        <v>7</v>
      </c>
      <c r="O629" s="7" t="str">
        <f ca="1">getCodigoBackend(N629,A629,VLOOKUP(N629,setup!$A$8:$H$58,2),VLOOKUP(N629,setup!$A$8:$H$58,3),VLOOKUP(N629,setup!$A$8:$H$58,4),VLOOKUP(N629,setup!$A$8:$H$58,5),VLOOKUP(N629,setup!$A$8:$H$58,6),VLOOKUP(N629,setup!$A$8:$H$58,7), VLOOKUP(0,setup!$A$8:$H$58,2),VLOOKUP(0,setup!$A$8:$H$58,5),VLOOKUP(N629,setup!$A$8:$H$58,8))</f>
        <v>*</v>
      </c>
    </row>
    <row r="630" spans="1:15" x14ac:dyDescent="0.25">
      <c r="A630" s="4" t="s">
        <v>75</v>
      </c>
      <c r="N630">
        <v>7</v>
      </c>
      <c r="O630" s="7" t="str">
        <f ca="1">getCodigoBackend(N630,A630,VLOOKUP(N630,setup!$A$8:$H$58,2),VLOOKUP(N630,setup!$A$8:$H$58,3),VLOOKUP(N630,setup!$A$8:$H$58,4),VLOOKUP(N630,setup!$A$8:$H$58,5),VLOOKUP(N630,setup!$A$8:$H$58,6),VLOOKUP(N630,setup!$A$8:$H$58,7), VLOOKUP(0,setup!$A$8:$H$58,2),VLOOKUP(0,setup!$A$8:$H$58,5),VLOOKUP(N630,setup!$A$8:$H$58,8))</f>
        <v xml:space="preserve">* </v>
      </c>
    </row>
    <row r="631" spans="1:15" x14ac:dyDescent="0.25">
      <c r="A631" s="4" t="s">
        <v>21</v>
      </c>
      <c r="N631">
        <v>7</v>
      </c>
      <c r="O631" s="7" t="str">
        <f ca="1">getCodigoBackend(N631,A631,VLOOKUP(N631,setup!$A$8:$H$58,2),VLOOKUP(N631,setup!$A$8:$H$58,3),VLOOKUP(N631,setup!$A$8:$H$58,4),VLOOKUP(N631,setup!$A$8:$H$58,5),VLOOKUP(N631,setup!$A$8:$H$58,6),VLOOKUP(N631,setup!$A$8:$H$58,7), VLOOKUP(0,setup!$A$8:$H$58,2),VLOOKUP(0,setup!$A$8:$H$58,5),VLOOKUP(N631,setup!$A$8:$H$58,8))</f>
        <v>*/</v>
      </c>
    </row>
    <row r="632" spans="1:15" x14ac:dyDescent="0.25">
      <c r="N632">
        <v>7</v>
      </c>
      <c r="O632" s="7" t="str">
        <f ca="1">getCodigoBackend(N632,A632,VLOOKUP(N632,setup!$A$8:$H$58,2),VLOOKUP(N632,setup!$A$8:$H$58,3),VLOOKUP(N632,setup!$A$8:$H$58,4),VLOOKUP(N632,setup!$A$8:$H$58,5),VLOOKUP(N632,setup!$A$8:$H$58,6),VLOOKUP(N632,setup!$A$8:$H$58,7), VLOOKUP(0,setup!$A$8:$H$58,2),VLOOKUP(0,setup!$A$8:$H$58,5),VLOOKUP(N632,setup!$A$8:$H$58,8))</f>
        <v/>
      </c>
    </row>
    <row r="633" spans="1:15" x14ac:dyDescent="0.25">
      <c r="A633" s="6" t="s">
        <v>720</v>
      </c>
      <c r="N633">
        <v>7</v>
      </c>
      <c r="O633" s="7" t="str">
        <f ca="1">getCodigoBackend(N633,A633,VLOOKUP(N633,setup!$A$8:$H$58,2),VLOOKUP(N633,setup!$A$8:$H$58,3),VLOOKUP(N633,setup!$A$8:$H$58,4),VLOOKUP(N633,setup!$A$8:$H$58,5),VLOOKUP(N633,setup!$A$8:$H$58,6),VLOOKUP(N633,setup!$A$8:$H$58,7), VLOOKUP(0,setup!$A$8:$H$58,2),VLOOKUP(0,setup!$A$8:$H$58,5),VLOOKUP(N633,setup!$A$8:$H$58,8))</f>
        <v>    public function pesquisarPorEstagiorealtime($estagioRealTime)</v>
      </c>
    </row>
    <row r="634" spans="1:15" x14ac:dyDescent="0.25">
      <c r="A634" s="6" t="s">
        <v>38</v>
      </c>
      <c r="N634">
        <v>7</v>
      </c>
      <c r="O634" s="7" t="str">
        <f ca="1">getCodigoBackend(N634,A634,VLOOKUP(N634,setup!$A$8:$H$58,2),VLOOKUP(N634,setup!$A$8:$H$58,3),VLOOKUP(N634,setup!$A$8:$H$58,4),VLOOKUP(N634,setup!$A$8:$H$58,5),VLOOKUP(N634,setup!$A$8:$H$58,6),VLOOKUP(N634,setup!$A$8:$H$58,7), VLOOKUP(0,setup!$A$8:$H$58,2),VLOOKUP(0,setup!$A$8:$H$58,5),VLOOKUP(N634,setup!$A$8:$H$58,8))</f>
        <v>    {</v>
      </c>
    </row>
    <row r="635" spans="1:15" x14ac:dyDescent="0.25">
      <c r="A635" s="6" t="s">
        <v>39</v>
      </c>
      <c r="N635">
        <v>7</v>
      </c>
      <c r="O635" s="7" t="str">
        <f ca="1">getCodigoBackend(N635,A635,VLOOKUP(N635,setup!$A$8:$H$58,2),VLOOKUP(N635,setup!$A$8:$H$58,3),VLOOKUP(N635,setup!$A$8:$H$58,4),VLOOKUP(N635,setup!$A$8:$H$58,5),VLOOKUP(N635,setup!$A$8:$H$58,6),VLOOKUP(N635,setup!$A$8:$H$58,7), VLOOKUP(0,setup!$A$8:$H$58,2),VLOOKUP(0,setup!$A$8:$H$58,5),VLOOKUP(N635,setup!$A$8:$H$58,8))</f>
        <v>        $daofactory = NULL;</v>
      </c>
    </row>
    <row r="636" spans="1:15" x14ac:dyDescent="0.25">
      <c r="A636" s="6" t="s">
        <v>40</v>
      </c>
      <c r="N636">
        <v>7</v>
      </c>
      <c r="O636" s="7" t="str">
        <f ca="1">getCodigoBackend(N636,A636,VLOOKUP(N636,setup!$A$8:$H$58,2),VLOOKUP(N636,setup!$A$8:$H$58,3),VLOOKUP(N636,setup!$A$8:$H$58,4),VLOOKUP(N636,setup!$A$8:$H$58,5),VLOOKUP(N636,setup!$A$8:$H$58,6),VLOOKUP(N636,setup!$A$8:$H$58,7), VLOOKUP(0,setup!$A$8:$H$58,2),VLOOKUP(0,setup!$A$8:$H$58,5),VLOOKUP(N636,setup!$A$8:$H$58,8))</f>
        <v>        $retorno = NULL;</v>
      </c>
    </row>
    <row r="637" spans="1:15" x14ac:dyDescent="0.25">
      <c r="A637" s="6" t="s">
        <v>41</v>
      </c>
      <c r="N637">
        <v>7</v>
      </c>
      <c r="O637" s="7" t="str">
        <f ca="1">getCodigoBackend(N637,A637,VLOOKUP(N637,setup!$A$8:$H$58,2),VLOOKUP(N637,setup!$A$8:$H$58,3),VLOOKUP(N637,setup!$A$8:$H$58,4),VLOOKUP(N637,setup!$A$8:$H$58,5),VLOOKUP(N637,setup!$A$8:$H$58,6),VLOOKUP(N637,setup!$A$8:$H$58,7), VLOOKUP(0,setup!$A$8:$H$58,2),VLOOKUP(0,setup!$A$8:$H$58,5),VLOOKUP(N637,setup!$A$8:$H$58,8))</f>
        <v>        try {</v>
      </c>
    </row>
    <row r="638" spans="1:15" x14ac:dyDescent="0.25">
      <c r="A638" s="6" t="s">
        <v>42</v>
      </c>
      <c r="N638">
        <v>7</v>
      </c>
      <c r="O638" s="7" t="str">
        <f ca="1">getCodigoBackend(N638,A638,VLOOKUP(N638,setup!$A$8:$H$58,2),VLOOKUP(N638,setup!$A$8:$H$58,3),VLOOKUP(N638,setup!$A$8:$H$58,4),VLOOKUP(N638,setup!$A$8:$H$58,5),VLOOKUP(N638,setup!$A$8:$H$58,6),VLOOKUP(N638,setup!$A$8:$H$58,7), VLOOKUP(0,setup!$A$8:$H$58,2),VLOOKUP(0,setup!$A$8:$H$58,5),VLOOKUP(N638,setup!$A$8:$H$58,8))</f>
        <v>            $daofactory = DAOFactory::getDAOFactory();</v>
      </c>
    </row>
    <row r="639" spans="1:15" x14ac:dyDescent="0.25">
      <c r="A639" s="6" t="s">
        <v>43</v>
      </c>
      <c r="N639">
        <v>7</v>
      </c>
      <c r="O639" s="7" t="str">
        <f ca="1">getCodigoBackend(N639,A639,VLOOKUP(N639,setup!$A$8:$H$58,2),VLOOKUP(N639,setup!$A$8:$H$58,3),VLOOKUP(N639,setup!$A$8:$H$58,4),VLOOKUP(N639,setup!$A$8:$H$58,5),VLOOKUP(N639,setup!$A$8:$H$58,6),VLOOKUP(N639,setup!$A$8:$H$58,7), VLOOKUP(0,setup!$A$8:$H$58,2),VLOOKUP(0,setup!$A$8:$H$58,5),VLOOKUP(N639,setup!$A$8:$H$58,8))</f>
        <v>            $daofactory-&gt;open();</v>
      </c>
    </row>
    <row r="640" spans="1:15" x14ac:dyDescent="0.25">
      <c r="A640" s="6" t="s">
        <v>44</v>
      </c>
      <c r="N640">
        <v>7</v>
      </c>
      <c r="O640" s="7" t="str">
        <f ca="1">getCodigoBackend(N640,A640,VLOOKUP(N640,setup!$A$8:$H$58,2),VLOOKUP(N640,setup!$A$8:$H$58,3),VLOOKUP(N640,setup!$A$8:$H$58,4),VLOOKUP(N640,setup!$A$8:$H$58,5),VLOOKUP(N640,setup!$A$8:$H$58,6),VLOOKUP(N640,setup!$A$8:$H$58,7), VLOOKUP(0,setup!$A$8:$H$58,2),VLOOKUP(0,setup!$A$8:$H$58,5),VLOOKUP(N640,setup!$A$8:$H$58,8))</f>
        <v>            $daofactory-&gt;beginTransaction();</v>
      </c>
    </row>
    <row r="641" spans="1:15" x14ac:dyDescent="0.25">
      <c r="A641" s="6" t="s">
        <v>45</v>
      </c>
      <c r="N641">
        <v>7</v>
      </c>
      <c r="O641" s="7" t="str">
        <f ca="1">getCodigoBackend(N641,A641,VLOOKUP(N641,setup!$A$8:$H$58,2),VLOOKUP(N641,setup!$A$8:$H$58,3),VLOOKUP(N641,setup!$A$8:$H$58,4),VLOOKUP(N641,setup!$A$8:$H$58,5),VLOOKUP(N641,setup!$A$8:$H$58,6),VLOOKUP(N641,setup!$A$8:$H$58,7), VLOOKUP(0,setup!$A$8:$H$58,2),VLOOKUP(0,setup!$A$8:$H$58,5),VLOOKUP(N641,setup!$A$8:$H$58,8))</f>
        <v>            </v>
      </c>
    </row>
    <row r="642" spans="1:15" x14ac:dyDescent="0.25">
      <c r="A642" s="6" t="s">
        <v>722</v>
      </c>
      <c r="N642">
        <v>7</v>
      </c>
      <c r="O642" s="7" t="str">
        <f ca="1">getCodigoBackend(N642,A642,VLOOKUP(N642,setup!$A$8:$H$58,2),VLOOKUP(N642,setup!$A$8:$H$58,3),VLOOKUP(N642,setup!$A$8:$H$58,4),VLOOKUP(N642,setup!$A$8:$H$58,5),VLOOKUP(N642,setup!$A$8:$H$58,6),VLOOKUP(N642,setup!$A$8:$H$58,7), VLOOKUP(0,setup!$A$8:$H$58,2),VLOOKUP(0,setup!$A$8:$H$58,5),VLOOKUP(N642,setup!$A$8:$H$58,8))</f>
        <v>            // pesquisar pelo atributo CampanhaCashbackResgatePix.estagioRealTime no campo CCRP_IN_ESTAGIO_RT da tabela CAMPANHA_CASHBACK_RESGATE_PIX</v>
      </c>
    </row>
    <row r="643" spans="1:15" x14ac:dyDescent="0.25">
      <c r="A643" s="6" t="s">
        <v>265</v>
      </c>
      <c r="N643">
        <v>7</v>
      </c>
      <c r="O643" s="7" t="str">
        <f ca="1">getCodigoBackend(N643,A643,VLOOKUP(N643,setup!$A$8:$H$58,2),VLOOKUP(N643,setup!$A$8:$H$58,3),VLOOKUP(N643,setup!$A$8:$H$58,4),VLOOKUP(N643,setup!$A$8:$H$58,5),VLOOKUP(N643,setup!$A$8:$H$58,6),VLOOKUP(N643,setup!$A$8:$H$58,7), VLOOKUP(0,setup!$A$8:$H$58,2),VLOOKUP(0,setup!$A$8:$H$58,5),VLOOKUP(N643,setup!$A$8:$H$58,8))</f>
        <v>           $bo = new CampanhaCashbackResgatePixBusinessImpl();</v>
      </c>
    </row>
    <row r="644" spans="1:15" x14ac:dyDescent="0.25">
      <c r="A644" s="6" t="s">
        <v>721</v>
      </c>
      <c r="N644">
        <v>7</v>
      </c>
      <c r="O644" s="7" t="str">
        <f ca="1">getCodigoBackend(N644,A644,VLOOKUP(N644,setup!$A$8:$H$58,2),VLOOKUP(N644,setup!$A$8:$H$58,3),VLOOKUP(N644,setup!$A$8:$H$58,4),VLOOKUP(N644,setup!$A$8:$H$58,5),VLOOKUP(N644,setup!$A$8:$H$58,6),VLOOKUP(N644,setup!$A$8:$H$58,7), VLOOKUP(0,setup!$A$8:$H$58,2),VLOOKUP(0,setup!$A$8:$H$58,5),VLOOKUP(N644,setup!$A$8:$H$58,8))</f>
        <v>           $retorno = $bo-&gt;carregarPorEstagiorealtime($daofactory, $estagioRealTime);</v>
      </c>
    </row>
    <row r="645" spans="1:15" x14ac:dyDescent="0.25">
      <c r="A645" s="6" t="s">
        <v>68</v>
      </c>
      <c r="N645">
        <v>7</v>
      </c>
      <c r="O645" s="7" t="str">
        <f ca="1">getCodigoBackend(N645,A645,VLOOKUP(N645,setup!$A$8:$H$58,2),VLOOKUP(N645,setup!$A$8:$H$58,3),VLOOKUP(N645,setup!$A$8:$H$58,4),VLOOKUP(N645,setup!$A$8:$H$58,5),VLOOKUP(N645,setup!$A$8:$H$58,6),VLOOKUP(N645,setup!$A$8:$H$58,7), VLOOKUP(0,setup!$A$8:$H$58,2),VLOOKUP(0,setup!$A$8:$H$58,5),VLOOKUP(N645,setup!$A$8:$H$58,8))</f>
        <v>           if ($retorno-&gt;msgcode == ConstantesMensagem::COMANDO_REALIZADO_COM_SUCESSO){</v>
      </c>
    </row>
    <row r="646" spans="1:15" x14ac:dyDescent="0.25">
      <c r="A646" s="6" t="s">
        <v>48</v>
      </c>
      <c r="N646">
        <v>7</v>
      </c>
      <c r="O646" s="7" t="str">
        <f ca="1">getCodigoBackend(N646,A646,VLOOKUP(N646,setup!$A$8:$H$58,2),VLOOKUP(N646,setup!$A$8:$H$58,3),VLOOKUP(N646,setup!$A$8:$H$58,4),VLOOKUP(N646,setup!$A$8:$H$58,5),VLOOKUP(N646,setup!$A$8:$H$58,6),VLOOKUP(N646,setup!$A$8:$H$58,7), VLOOKUP(0,setup!$A$8:$H$58,2),VLOOKUP(0,setup!$A$8:$H$58,5),VLOOKUP(N646,setup!$A$8:$H$58,8))</f>
        <v>                $daofactory-&gt;commit();</v>
      </c>
    </row>
    <row r="647" spans="1:15" x14ac:dyDescent="0.25">
      <c r="A647" s="6" t="s">
        <v>63</v>
      </c>
      <c r="N647">
        <v>7</v>
      </c>
      <c r="O647" s="7" t="str">
        <f ca="1">getCodigoBackend(N647,A647,VLOOKUP(N647,setup!$A$8:$H$58,2),VLOOKUP(N647,setup!$A$8:$H$58,3),VLOOKUP(N647,setup!$A$8:$H$58,4),VLOOKUP(N647,setup!$A$8:$H$58,5),VLOOKUP(N647,setup!$A$8:$H$58,6),VLOOKUP(N647,setup!$A$8:$H$58,7), VLOOKUP(0,setup!$A$8:$H$58,2),VLOOKUP(0,setup!$A$8:$H$58,5),VLOOKUP(N647,setup!$A$8:$H$58,8))</f>
        <v>           } else {</v>
      </c>
    </row>
    <row r="648" spans="1:15" x14ac:dyDescent="0.25">
      <c r="A648" s="6" t="s">
        <v>50</v>
      </c>
      <c r="N648">
        <v>7</v>
      </c>
      <c r="O648" s="7" t="str">
        <f ca="1">getCodigoBackend(N648,A648,VLOOKUP(N648,setup!$A$8:$H$58,2),VLOOKUP(N648,setup!$A$8:$H$58,3),VLOOKUP(N648,setup!$A$8:$H$58,4),VLOOKUP(N648,setup!$A$8:$H$58,5),VLOOKUP(N648,setup!$A$8:$H$58,6),VLOOKUP(N648,setup!$A$8:$H$58,7), VLOOKUP(0,setup!$A$8:$H$58,2),VLOOKUP(0,setup!$A$8:$H$58,5),VLOOKUP(N648,setup!$A$8:$H$58,8))</f>
        <v>                $daofactory-&gt;rollback();</v>
      </c>
    </row>
    <row r="649" spans="1:15" x14ac:dyDescent="0.25">
      <c r="A649" s="6" t="s">
        <v>64</v>
      </c>
      <c r="N649">
        <v>7</v>
      </c>
      <c r="O649" s="7" t="str">
        <f ca="1">getCodigoBackend(N649,A649,VLOOKUP(N649,setup!$A$8:$H$58,2),VLOOKUP(N649,setup!$A$8:$H$58,3),VLOOKUP(N649,setup!$A$8:$H$58,4),VLOOKUP(N649,setup!$A$8:$H$58,5),VLOOKUP(N649,setup!$A$8:$H$58,6),VLOOKUP(N649,setup!$A$8:$H$58,7), VLOOKUP(0,setup!$A$8:$H$58,2),VLOOKUP(0,setup!$A$8:$H$58,5),VLOOKUP(N649,setup!$A$8:$H$58,8))</f>
        <v>           }</v>
      </c>
    </row>
    <row r="650" spans="1:15" x14ac:dyDescent="0.25">
      <c r="A650" s="6" t="s">
        <v>45</v>
      </c>
      <c r="N650">
        <v>7</v>
      </c>
      <c r="O650" s="7" t="str">
        <f ca="1">getCodigoBackend(N650,A650,VLOOKUP(N650,setup!$A$8:$H$58,2),VLOOKUP(N650,setup!$A$8:$H$58,3),VLOOKUP(N650,setup!$A$8:$H$58,4),VLOOKUP(N650,setup!$A$8:$H$58,5),VLOOKUP(N650,setup!$A$8:$H$58,6),VLOOKUP(N650,setup!$A$8:$H$58,7), VLOOKUP(0,setup!$A$8:$H$58,2),VLOOKUP(0,setup!$A$8:$H$58,5),VLOOKUP(N650,setup!$A$8:$H$58,8))</f>
        <v>            </v>
      </c>
    </row>
    <row r="651" spans="1:15" x14ac:dyDescent="0.25">
      <c r="A651" s="6" t="s">
        <v>52</v>
      </c>
      <c r="N651">
        <v>7</v>
      </c>
      <c r="O651" s="7" t="str">
        <f ca="1">getCodigoBackend(N651,A651,VLOOKUP(N651,setup!$A$8:$H$58,2),VLOOKUP(N651,setup!$A$8:$H$58,3),VLOOKUP(N651,setup!$A$8:$H$58,4),VLOOKUP(N651,setup!$A$8:$H$58,5),VLOOKUP(N651,setup!$A$8:$H$58,6),VLOOKUP(N651,setup!$A$8:$H$58,7), VLOOKUP(0,setup!$A$8:$H$58,2),VLOOKUP(0,setup!$A$8:$H$58,5),VLOOKUP(N651,setup!$A$8:$H$58,8))</f>
        <v>        } catch (Exception $e) {</v>
      </c>
    </row>
    <row r="652" spans="1:15" x14ac:dyDescent="0.25">
      <c r="A652" s="6" t="s">
        <v>53</v>
      </c>
      <c r="N652">
        <v>7</v>
      </c>
      <c r="O652" s="7" t="str">
        <f ca="1">getCodigoBackend(N652,A652,VLOOKUP(N652,setup!$A$8:$H$58,2),VLOOKUP(N652,setup!$A$8:$H$58,3),VLOOKUP(N652,setup!$A$8:$H$58,4),VLOOKUP(N652,setup!$A$8:$H$58,5),VLOOKUP(N652,setup!$A$8:$H$58,6),VLOOKUP(N652,setup!$A$8:$H$58,7), VLOOKUP(0,setup!$A$8:$H$58,2),VLOOKUP(0,setup!$A$8:$H$58,5),VLOOKUP(N652,setup!$A$8:$H$58,8))</f>
        <v>            // rollback na transação</v>
      </c>
    </row>
    <row r="653" spans="1:15" x14ac:dyDescent="0.25">
      <c r="N653">
        <v>7</v>
      </c>
      <c r="O653" s="7" t="str">
        <f ca="1">getCodigoBackend(N653,A653,VLOOKUP(N653,setup!$A$8:$H$58,2),VLOOKUP(N653,setup!$A$8:$H$58,3),VLOOKUP(N653,setup!$A$8:$H$58,4),VLOOKUP(N653,setup!$A$8:$H$58,5),VLOOKUP(N653,setup!$A$8:$H$58,6),VLOOKUP(N653,setup!$A$8:$H$58,7), VLOOKUP(0,setup!$A$8:$H$58,2),VLOOKUP(0,setup!$A$8:$H$58,5),VLOOKUP(N653,setup!$A$8:$H$58,8))</f>
        <v/>
      </c>
    </row>
    <row r="654" spans="1:15" x14ac:dyDescent="0.25">
      <c r="A654" s="6" t="s">
        <v>55</v>
      </c>
      <c r="N654">
        <v>7</v>
      </c>
      <c r="O654" s="7" t="str">
        <f ca="1">getCodigoBackend(N654,A654,VLOOKUP(N654,setup!$A$8:$H$58,2),VLOOKUP(N654,setup!$A$8:$H$58,3),VLOOKUP(N654,setup!$A$8:$H$58,4),VLOOKUP(N654,setup!$A$8:$H$58,5),VLOOKUP(N654,setup!$A$8:$H$58,6),VLOOKUP(N654,setup!$A$8:$H$58,7), VLOOKUP(0,setup!$A$8:$H$58,2),VLOOKUP(0,setup!$A$8:$H$58,5),VLOOKUP(N654,setup!$A$8:$H$58,8))</f>
        <v>        } finally {</v>
      </c>
    </row>
    <row r="655" spans="1:15" x14ac:dyDescent="0.25">
      <c r="A655" s="6" t="s">
        <v>56</v>
      </c>
      <c r="N655">
        <v>7</v>
      </c>
      <c r="O655" s="7" t="str">
        <f ca="1">getCodigoBackend(N655,A655,VLOOKUP(N655,setup!$A$8:$H$58,2),VLOOKUP(N655,setup!$A$8:$H$58,3),VLOOKUP(N655,setup!$A$8:$H$58,4),VLOOKUP(N655,setup!$A$8:$H$58,5),VLOOKUP(N655,setup!$A$8:$H$58,6),VLOOKUP(N655,setup!$A$8:$H$58,7), VLOOKUP(0,setup!$A$8:$H$58,2),VLOOKUP(0,setup!$A$8:$H$58,5),VLOOKUP(N655,setup!$A$8:$H$58,8))</f>
        <v>            try {</v>
      </c>
    </row>
    <row r="656" spans="1:15" x14ac:dyDescent="0.25">
      <c r="A656" s="6" t="s">
        <v>57</v>
      </c>
      <c r="N656">
        <v>7</v>
      </c>
      <c r="O656" s="7" t="str">
        <f ca="1">getCodigoBackend(N656,A656,VLOOKUP(N656,setup!$A$8:$H$58,2),VLOOKUP(N656,setup!$A$8:$H$58,3),VLOOKUP(N656,setup!$A$8:$H$58,4),VLOOKUP(N656,setup!$A$8:$H$58,5),VLOOKUP(N656,setup!$A$8:$H$58,6),VLOOKUP(N656,setup!$A$8:$H$58,7), VLOOKUP(0,setup!$A$8:$H$58,2),VLOOKUP(0,setup!$A$8:$H$58,5),VLOOKUP(N656,setup!$A$8:$H$58,8))</f>
        <v>                $daofactory-&gt;close();</v>
      </c>
    </row>
    <row r="657" spans="1:15" x14ac:dyDescent="0.25">
      <c r="A657" s="6" t="s">
        <v>58</v>
      </c>
      <c r="N657">
        <v>7</v>
      </c>
      <c r="O657" s="7" t="str">
        <f ca="1">getCodigoBackend(N657,A657,VLOOKUP(N657,setup!$A$8:$H$58,2),VLOOKUP(N657,setup!$A$8:$H$58,3),VLOOKUP(N657,setup!$A$8:$H$58,4),VLOOKUP(N657,setup!$A$8:$H$58,5),VLOOKUP(N657,setup!$A$8:$H$58,6),VLOOKUP(N657,setup!$A$8:$H$58,7), VLOOKUP(0,setup!$A$8:$H$58,2),VLOOKUP(0,setup!$A$8:$H$58,5),VLOOKUP(N657,setup!$A$8:$H$58,8))</f>
        <v>            } catch (Exception $e) {</v>
      </c>
    </row>
    <row r="658" spans="1:15" x14ac:dyDescent="0.25">
      <c r="A658" s="6" t="s">
        <v>59</v>
      </c>
      <c r="N658">
        <v>7</v>
      </c>
      <c r="O658" s="7" t="str">
        <f ca="1">getCodigoBackend(N658,A658,VLOOKUP(N658,setup!$A$8:$H$58,2),VLOOKUP(N658,setup!$A$8:$H$58,3),VLOOKUP(N658,setup!$A$8:$H$58,4),VLOOKUP(N658,setup!$A$8:$H$58,5),VLOOKUP(N658,setup!$A$8:$H$58,6),VLOOKUP(N658,setup!$A$8:$H$58,7), VLOOKUP(0,setup!$A$8:$H$58,2),VLOOKUP(0,setup!$A$8:$H$58,5),VLOOKUP(N658,setup!$A$8:$H$58,8))</f>
        <v>                // faz algo</v>
      </c>
    </row>
    <row r="659" spans="1:15" x14ac:dyDescent="0.25">
      <c r="A659" s="6" t="s">
        <v>51</v>
      </c>
      <c r="N659">
        <v>7</v>
      </c>
      <c r="O659" s="7" t="str">
        <f ca="1">getCodigoBackend(N659,A659,VLOOKUP(N659,setup!$A$8:$H$58,2),VLOOKUP(N659,setup!$A$8:$H$58,3),VLOOKUP(N659,setup!$A$8:$H$58,4),VLOOKUP(N659,setup!$A$8:$H$58,5),VLOOKUP(N659,setup!$A$8:$H$58,6),VLOOKUP(N659,setup!$A$8:$H$58,7), VLOOKUP(0,setup!$A$8:$H$58,2),VLOOKUP(0,setup!$A$8:$H$58,5),VLOOKUP(N659,setup!$A$8:$H$58,8))</f>
        <v>            }</v>
      </c>
    </row>
    <row r="660" spans="1:15" x14ac:dyDescent="0.25">
      <c r="A660" s="6" t="s">
        <v>60</v>
      </c>
      <c r="N660">
        <v>7</v>
      </c>
      <c r="O660" s="7" t="str">
        <f ca="1">getCodigoBackend(N660,A660,VLOOKUP(N660,setup!$A$8:$H$58,2),VLOOKUP(N660,setup!$A$8:$H$58,3),VLOOKUP(N660,setup!$A$8:$H$58,4),VLOOKUP(N660,setup!$A$8:$H$58,5),VLOOKUP(N660,setup!$A$8:$H$58,6),VLOOKUP(N660,setup!$A$8:$H$58,7), VLOOKUP(0,setup!$A$8:$H$58,2),VLOOKUP(0,setup!$A$8:$H$58,5),VLOOKUP(N660,setup!$A$8:$H$58,8))</f>
        <v>        }</v>
      </c>
    </row>
    <row r="661" spans="1:15" x14ac:dyDescent="0.25">
      <c r="N661">
        <v>7</v>
      </c>
      <c r="O661" s="7" t="str">
        <f ca="1">getCodigoBackend(N661,A661,VLOOKUP(N661,setup!$A$8:$H$58,2),VLOOKUP(N661,setup!$A$8:$H$58,3),VLOOKUP(N661,setup!$A$8:$H$58,4),VLOOKUP(N661,setup!$A$8:$H$58,5),VLOOKUP(N661,setup!$A$8:$H$58,6),VLOOKUP(N661,setup!$A$8:$H$58,7), VLOOKUP(0,setup!$A$8:$H$58,2),VLOOKUP(0,setup!$A$8:$H$58,5),VLOOKUP(N661,setup!$A$8:$H$58,8))</f>
        <v/>
      </c>
    </row>
    <row r="662" spans="1:15" x14ac:dyDescent="0.25">
      <c r="A662" s="6" t="s">
        <v>61</v>
      </c>
      <c r="N662">
        <v>7</v>
      </c>
      <c r="O662" s="7" t="str">
        <f ca="1">getCodigoBackend(N662,A662,VLOOKUP(N662,setup!$A$8:$H$58,2),VLOOKUP(N662,setup!$A$8:$H$58,3),VLOOKUP(N662,setup!$A$8:$H$58,4),VLOOKUP(N662,setup!$A$8:$H$58,5),VLOOKUP(N662,setup!$A$8:$H$58,6),VLOOKUP(N662,setup!$A$8:$H$58,7), VLOOKUP(0,setup!$A$8:$H$58,2),VLOOKUP(0,setup!$A$8:$H$58,5),VLOOKUP(N662,setup!$A$8:$H$58,8))</f>
        <v>        return $retorno;</v>
      </c>
    </row>
    <row r="663" spans="1:15" x14ac:dyDescent="0.25">
      <c r="A663" s="6" t="s">
        <v>62</v>
      </c>
      <c r="N663">
        <v>7</v>
      </c>
      <c r="O663" s="7" t="str">
        <f ca="1">getCodigoBackend(N663,A663,VLOOKUP(N663,setup!$A$8:$H$58,2),VLOOKUP(N663,setup!$A$8:$H$58,3),VLOOKUP(N663,setup!$A$8:$H$58,4),VLOOKUP(N663,setup!$A$8:$H$58,5),VLOOKUP(N663,setup!$A$8:$H$58,6),VLOOKUP(N663,setup!$A$8:$H$58,7), VLOOKUP(0,setup!$A$8:$H$58,2),VLOOKUP(0,setup!$A$8:$H$58,5),VLOOKUP(N663,setup!$A$8:$H$58,8))</f>
        <v>    }</v>
      </c>
    </row>
    <row r="664" spans="1:15" x14ac:dyDescent="0.25">
      <c r="A664" s="6"/>
      <c r="O664" s="7" t="str">
        <f ca="1">getCodigoBackend(N664,A664,VLOOKUP(N664,setup!$A$8:$H$58,2),VLOOKUP(N664,setup!$A$8:$H$58,3),VLOOKUP(N664,setup!$A$8:$H$58,4),VLOOKUP(N664,setup!$A$8:$H$58,5),VLOOKUP(N664,setup!$A$8:$H$58,6),VLOOKUP(N664,setup!$A$8:$H$58,7), VLOOKUP(0,setup!$A$8:$H$58,2),VLOOKUP(0,setup!$A$8:$H$58,5),VLOOKUP(N664,setup!$A$8:$H$58,8))</f>
        <v/>
      </c>
    </row>
    <row r="665" spans="1:15" x14ac:dyDescent="0.25">
      <c r="A665" s="4" t="s">
        <v>19</v>
      </c>
      <c r="N665">
        <v>8</v>
      </c>
      <c r="O665" s="7" t="str">
        <f ca="1">getCodigoBackend(N665,A665,VLOOKUP(N665,setup!$A$8:$H$58,2),VLOOKUP(N665,setup!$A$8:$H$58,3),VLOOKUP(N665,setup!$A$8:$H$58,4),VLOOKUP(N665,setup!$A$8:$H$58,5),VLOOKUP(N665,setup!$A$8:$H$58,6),VLOOKUP(N665,setup!$A$8:$H$58,7), VLOOKUP(0,setup!$A$8:$H$58,2),VLOOKUP(0,setup!$A$8:$H$58,5),VLOOKUP(N665,setup!$A$8:$H$58,8))</f>
        <v>/**</v>
      </c>
    </row>
    <row r="666" spans="1:15" x14ac:dyDescent="0.25">
      <c r="A666" s="4" t="s">
        <v>20</v>
      </c>
      <c r="N666">
        <v>8</v>
      </c>
      <c r="O666" s="7" t="str">
        <f ca="1">getCodigoBackend(N666,A666,VLOOKUP(N666,setup!$A$8:$H$58,2),VLOOKUP(N666,setup!$A$8:$H$58,3),VLOOKUP(N666,setup!$A$8:$H$58,4),VLOOKUP(N666,setup!$A$8:$H$58,5),VLOOKUP(N666,setup!$A$8:$H$58,6),VLOOKUP(N666,setup!$A$8:$H$58,7), VLOOKUP(0,setup!$A$8:$H$58,2),VLOOKUP(0,setup!$A$8:$H$58,5),VLOOKUP(N666,setup!$A$8:$H$58,8))</f>
        <v>*</v>
      </c>
    </row>
    <row r="667" spans="1:15" x14ac:dyDescent="0.25">
      <c r="A667" s="4" t="s">
        <v>716</v>
      </c>
      <c r="N667">
        <v>8</v>
      </c>
      <c r="O667" s="7" t="str">
        <f ca="1">getCodigoBackend(N667,A667,VLOOKUP(N667,setup!$A$8:$H$58,2),VLOOKUP(N667,setup!$A$8:$H$58,3),VLOOKUP(N667,setup!$A$8:$H$58,4),VLOOKUP(N667,setup!$A$8:$H$58,5),VLOOKUP(N667,setup!$A$8:$H$58,6),VLOOKUP(N667,setup!$A$8:$H$58,7), VLOOKUP(0,setup!$A$8:$H$58,2),VLOOKUP(0,setup!$A$8:$H$58,5),VLOOKUP(N667,setup!$A$8:$H$58,8))</f>
        <v>* pesquisarPorDtestagioanalise() - Usado para invocar a classe de negócio CampanhaCashbackResgatePixBusinessImpl de forma geral</v>
      </c>
    </row>
    <row r="668" spans="1:15" x14ac:dyDescent="0.25">
      <c r="A668" s="4" t="s">
        <v>717</v>
      </c>
      <c r="N668">
        <v>8</v>
      </c>
      <c r="O668" s="7" t="str">
        <f ca="1">getCodigoBackend(N668,A668,VLOOKUP(N668,setup!$A$8:$H$58,2),VLOOKUP(N668,setup!$A$8:$H$58,3),VLOOKUP(N668,setup!$A$8:$H$58,4),VLOOKUP(N668,setup!$A$8:$H$58,5),VLOOKUP(N668,setup!$A$8:$H$58,6),VLOOKUP(N668,setup!$A$8:$H$58,7), VLOOKUP(0,setup!$A$8:$H$58,2),VLOOKUP(0,setup!$A$8:$H$58,5),VLOOKUP(N668,setup!$A$8:$H$58,8))</f>
        <v>* realizar uma busca de Data Registro Estágio Análise diretamente na tabela CAMPANHA_CASHBACK_RESGATE_PIX campo CCRP_DT_ESTAGIO_ANALISE</v>
      </c>
    </row>
    <row r="669" spans="1:15" x14ac:dyDescent="0.25">
      <c r="A669" s="4" t="s">
        <v>20</v>
      </c>
      <c r="N669">
        <v>8</v>
      </c>
      <c r="O669" s="7" t="str">
        <f ca="1">getCodigoBackend(N669,A669,VLOOKUP(N669,setup!$A$8:$H$58,2),VLOOKUP(N669,setup!$A$8:$H$58,3),VLOOKUP(N669,setup!$A$8:$H$58,4),VLOOKUP(N669,setup!$A$8:$H$58,5),VLOOKUP(N669,setup!$A$8:$H$58,6),VLOOKUP(N669,setup!$A$8:$H$58,7), VLOOKUP(0,setup!$A$8:$H$58,2),VLOOKUP(0,setup!$A$8:$H$58,5),VLOOKUP(N669,setup!$A$8:$H$58,8))</f>
        <v>*</v>
      </c>
    </row>
    <row r="670" spans="1:15" x14ac:dyDescent="0.25">
      <c r="A670" s="4" t="s">
        <v>723</v>
      </c>
      <c r="N670">
        <v>8</v>
      </c>
      <c r="O670" s="7" t="str">
        <f ca="1">getCodigoBackend(N670,A670,VLOOKUP(N670,setup!$A$8:$H$58,2),VLOOKUP(N670,setup!$A$8:$H$58,3),VLOOKUP(N670,setup!$A$8:$H$58,4),VLOOKUP(N670,setup!$A$8:$H$58,5),VLOOKUP(N670,setup!$A$8:$H$58,6),VLOOKUP(N670,setup!$A$8:$H$58,7), VLOOKUP(0,setup!$A$8:$H$58,2),VLOOKUP(0,setup!$A$8:$H$58,5),VLOOKUP(N670,setup!$A$8:$H$58,8))</f>
        <v>* @param $dtEstagioAnalise</v>
      </c>
    </row>
    <row r="671" spans="1:15" x14ac:dyDescent="0.25">
      <c r="A671" s="4" t="s">
        <v>347</v>
      </c>
      <c r="N671">
        <v>8</v>
      </c>
      <c r="O671" s="7" t="str">
        <f ca="1">getCodigoBackend(N671,A671,VLOOKUP(N671,setup!$A$8:$H$58,2),VLOOKUP(N671,setup!$A$8:$H$58,3),VLOOKUP(N671,setup!$A$8:$H$58,4),VLOOKUP(N671,setup!$A$8:$H$58,5),VLOOKUP(N671,setup!$A$8:$H$58,6),VLOOKUP(N671,setup!$A$8:$H$58,7), VLOOKUP(0,setup!$A$8:$H$58,2),VLOOKUP(0,setup!$A$8:$H$58,5),VLOOKUP(N671,setup!$A$8:$H$58,8))</f>
        <v>* @return CampanhaCashbackResgatePixDTO</v>
      </c>
    </row>
    <row r="672" spans="1:15" x14ac:dyDescent="0.25">
      <c r="A672" s="4" t="s">
        <v>20</v>
      </c>
      <c r="N672">
        <v>8</v>
      </c>
      <c r="O672" s="7" t="str">
        <f ca="1">getCodigoBackend(N672,A672,VLOOKUP(N672,setup!$A$8:$H$58,2),VLOOKUP(N672,setup!$A$8:$H$58,3),VLOOKUP(N672,setup!$A$8:$H$58,4),VLOOKUP(N672,setup!$A$8:$H$58,5),VLOOKUP(N672,setup!$A$8:$H$58,6),VLOOKUP(N672,setup!$A$8:$H$58,7), VLOOKUP(0,setup!$A$8:$H$58,2),VLOOKUP(0,setup!$A$8:$H$58,5),VLOOKUP(N672,setup!$A$8:$H$58,8))</f>
        <v>*</v>
      </c>
    </row>
    <row r="673" spans="1:15" x14ac:dyDescent="0.25">
      <c r="A673" s="4" t="s">
        <v>75</v>
      </c>
      <c r="N673">
        <v>8</v>
      </c>
      <c r="O673" s="7" t="str">
        <f ca="1">getCodigoBackend(N673,A673,VLOOKUP(N673,setup!$A$8:$H$58,2),VLOOKUP(N673,setup!$A$8:$H$58,3),VLOOKUP(N673,setup!$A$8:$H$58,4),VLOOKUP(N673,setup!$A$8:$H$58,5),VLOOKUP(N673,setup!$A$8:$H$58,6),VLOOKUP(N673,setup!$A$8:$H$58,7), VLOOKUP(0,setup!$A$8:$H$58,2),VLOOKUP(0,setup!$A$8:$H$58,5),VLOOKUP(N673,setup!$A$8:$H$58,8))</f>
        <v xml:space="preserve">* </v>
      </c>
    </row>
    <row r="674" spans="1:15" x14ac:dyDescent="0.25">
      <c r="A674" s="4" t="s">
        <v>21</v>
      </c>
      <c r="N674">
        <v>8</v>
      </c>
      <c r="O674" s="7" t="str">
        <f ca="1">getCodigoBackend(N674,A674,VLOOKUP(N674,setup!$A$8:$H$58,2),VLOOKUP(N674,setup!$A$8:$H$58,3),VLOOKUP(N674,setup!$A$8:$H$58,4),VLOOKUP(N674,setup!$A$8:$H$58,5),VLOOKUP(N674,setup!$A$8:$H$58,6),VLOOKUP(N674,setup!$A$8:$H$58,7), VLOOKUP(0,setup!$A$8:$H$58,2),VLOOKUP(0,setup!$A$8:$H$58,5),VLOOKUP(N674,setup!$A$8:$H$58,8))</f>
        <v>*/</v>
      </c>
    </row>
    <row r="675" spans="1:15" x14ac:dyDescent="0.25">
      <c r="N675">
        <v>8</v>
      </c>
      <c r="O675" s="7" t="str">
        <f ca="1">getCodigoBackend(N675,A675,VLOOKUP(N675,setup!$A$8:$H$58,2),VLOOKUP(N675,setup!$A$8:$H$58,3),VLOOKUP(N675,setup!$A$8:$H$58,4),VLOOKUP(N675,setup!$A$8:$H$58,5),VLOOKUP(N675,setup!$A$8:$H$58,6),VLOOKUP(N675,setup!$A$8:$H$58,7), VLOOKUP(0,setup!$A$8:$H$58,2),VLOOKUP(0,setup!$A$8:$H$58,5),VLOOKUP(N675,setup!$A$8:$H$58,8))</f>
        <v/>
      </c>
    </row>
    <row r="676" spans="1:15" x14ac:dyDescent="0.25">
      <c r="A676" s="6" t="s">
        <v>720</v>
      </c>
      <c r="N676">
        <v>8</v>
      </c>
      <c r="O676" s="7" t="str">
        <f ca="1">getCodigoBackend(N676,A676,VLOOKUP(N676,setup!$A$8:$H$58,2),VLOOKUP(N676,setup!$A$8:$H$58,3),VLOOKUP(N676,setup!$A$8:$H$58,4),VLOOKUP(N676,setup!$A$8:$H$58,5),VLOOKUP(N676,setup!$A$8:$H$58,6),VLOOKUP(N676,setup!$A$8:$H$58,7), VLOOKUP(0,setup!$A$8:$H$58,2),VLOOKUP(0,setup!$A$8:$H$58,5),VLOOKUP(N676,setup!$A$8:$H$58,8))</f>
        <v>    public function pesquisarPorDtestagioanalise($dtEstagioAnalise)</v>
      </c>
    </row>
    <row r="677" spans="1:15" x14ac:dyDescent="0.25">
      <c r="A677" s="6" t="s">
        <v>38</v>
      </c>
      <c r="N677">
        <v>8</v>
      </c>
      <c r="O677" s="7" t="str">
        <f ca="1">getCodigoBackend(N677,A677,VLOOKUP(N677,setup!$A$8:$H$58,2),VLOOKUP(N677,setup!$A$8:$H$58,3),VLOOKUP(N677,setup!$A$8:$H$58,4),VLOOKUP(N677,setup!$A$8:$H$58,5),VLOOKUP(N677,setup!$A$8:$H$58,6),VLOOKUP(N677,setup!$A$8:$H$58,7), VLOOKUP(0,setup!$A$8:$H$58,2),VLOOKUP(0,setup!$A$8:$H$58,5),VLOOKUP(N677,setup!$A$8:$H$58,8))</f>
        <v>    {</v>
      </c>
    </row>
    <row r="678" spans="1:15" x14ac:dyDescent="0.25">
      <c r="A678" s="6" t="s">
        <v>39</v>
      </c>
      <c r="N678">
        <v>8</v>
      </c>
      <c r="O678" s="7" t="str">
        <f ca="1">getCodigoBackend(N678,A678,VLOOKUP(N678,setup!$A$8:$H$58,2),VLOOKUP(N678,setup!$A$8:$H$58,3),VLOOKUP(N678,setup!$A$8:$H$58,4),VLOOKUP(N678,setup!$A$8:$H$58,5),VLOOKUP(N678,setup!$A$8:$H$58,6),VLOOKUP(N678,setup!$A$8:$H$58,7), VLOOKUP(0,setup!$A$8:$H$58,2),VLOOKUP(0,setup!$A$8:$H$58,5),VLOOKUP(N678,setup!$A$8:$H$58,8))</f>
        <v>        $daofactory = NULL;</v>
      </c>
    </row>
    <row r="679" spans="1:15" x14ac:dyDescent="0.25">
      <c r="A679" s="6" t="s">
        <v>40</v>
      </c>
      <c r="N679">
        <v>8</v>
      </c>
      <c r="O679" s="7" t="str">
        <f ca="1">getCodigoBackend(N679,A679,VLOOKUP(N679,setup!$A$8:$H$58,2),VLOOKUP(N679,setup!$A$8:$H$58,3),VLOOKUP(N679,setup!$A$8:$H$58,4),VLOOKUP(N679,setup!$A$8:$H$58,5),VLOOKUP(N679,setup!$A$8:$H$58,6),VLOOKUP(N679,setup!$A$8:$H$58,7), VLOOKUP(0,setup!$A$8:$H$58,2),VLOOKUP(0,setup!$A$8:$H$58,5),VLOOKUP(N679,setup!$A$8:$H$58,8))</f>
        <v>        $retorno = NULL;</v>
      </c>
    </row>
    <row r="680" spans="1:15" x14ac:dyDescent="0.25">
      <c r="A680" s="6" t="s">
        <v>41</v>
      </c>
      <c r="N680">
        <v>8</v>
      </c>
      <c r="O680" s="7" t="str">
        <f ca="1">getCodigoBackend(N680,A680,VLOOKUP(N680,setup!$A$8:$H$58,2),VLOOKUP(N680,setup!$A$8:$H$58,3),VLOOKUP(N680,setup!$A$8:$H$58,4),VLOOKUP(N680,setup!$A$8:$H$58,5),VLOOKUP(N680,setup!$A$8:$H$58,6),VLOOKUP(N680,setup!$A$8:$H$58,7), VLOOKUP(0,setup!$A$8:$H$58,2),VLOOKUP(0,setup!$A$8:$H$58,5),VLOOKUP(N680,setup!$A$8:$H$58,8))</f>
        <v>        try {</v>
      </c>
    </row>
    <row r="681" spans="1:15" x14ac:dyDescent="0.25">
      <c r="A681" s="6" t="s">
        <v>42</v>
      </c>
      <c r="N681">
        <v>8</v>
      </c>
      <c r="O681" s="7" t="str">
        <f ca="1">getCodigoBackend(N681,A681,VLOOKUP(N681,setup!$A$8:$H$58,2),VLOOKUP(N681,setup!$A$8:$H$58,3),VLOOKUP(N681,setup!$A$8:$H$58,4),VLOOKUP(N681,setup!$A$8:$H$58,5),VLOOKUP(N681,setup!$A$8:$H$58,6),VLOOKUP(N681,setup!$A$8:$H$58,7), VLOOKUP(0,setup!$A$8:$H$58,2),VLOOKUP(0,setup!$A$8:$H$58,5),VLOOKUP(N681,setup!$A$8:$H$58,8))</f>
        <v>            $daofactory = DAOFactory::getDAOFactory();</v>
      </c>
    </row>
    <row r="682" spans="1:15" x14ac:dyDescent="0.25">
      <c r="A682" s="6" t="s">
        <v>43</v>
      </c>
      <c r="N682">
        <v>8</v>
      </c>
      <c r="O682" s="7" t="str">
        <f ca="1">getCodigoBackend(N682,A682,VLOOKUP(N682,setup!$A$8:$H$58,2),VLOOKUP(N682,setup!$A$8:$H$58,3),VLOOKUP(N682,setup!$A$8:$H$58,4),VLOOKUP(N682,setup!$A$8:$H$58,5),VLOOKUP(N682,setup!$A$8:$H$58,6),VLOOKUP(N682,setup!$A$8:$H$58,7), VLOOKUP(0,setup!$A$8:$H$58,2),VLOOKUP(0,setup!$A$8:$H$58,5),VLOOKUP(N682,setup!$A$8:$H$58,8))</f>
        <v>            $daofactory-&gt;open();</v>
      </c>
    </row>
    <row r="683" spans="1:15" x14ac:dyDescent="0.25">
      <c r="A683" s="6" t="s">
        <v>44</v>
      </c>
      <c r="N683">
        <v>8</v>
      </c>
      <c r="O683" s="7" t="str">
        <f ca="1">getCodigoBackend(N683,A683,VLOOKUP(N683,setup!$A$8:$H$58,2),VLOOKUP(N683,setup!$A$8:$H$58,3),VLOOKUP(N683,setup!$A$8:$H$58,4),VLOOKUP(N683,setup!$A$8:$H$58,5),VLOOKUP(N683,setup!$A$8:$H$58,6),VLOOKUP(N683,setup!$A$8:$H$58,7), VLOOKUP(0,setup!$A$8:$H$58,2),VLOOKUP(0,setup!$A$8:$H$58,5),VLOOKUP(N683,setup!$A$8:$H$58,8))</f>
        <v>            $daofactory-&gt;beginTransaction();</v>
      </c>
    </row>
    <row r="684" spans="1:15" x14ac:dyDescent="0.25">
      <c r="A684" s="6" t="s">
        <v>45</v>
      </c>
      <c r="N684">
        <v>8</v>
      </c>
      <c r="O684" s="7" t="str">
        <f ca="1">getCodigoBackend(N684,A684,VLOOKUP(N684,setup!$A$8:$H$58,2),VLOOKUP(N684,setup!$A$8:$H$58,3),VLOOKUP(N684,setup!$A$8:$H$58,4),VLOOKUP(N684,setup!$A$8:$H$58,5),VLOOKUP(N684,setup!$A$8:$H$58,6),VLOOKUP(N684,setup!$A$8:$H$58,7), VLOOKUP(0,setup!$A$8:$H$58,2),VLOOKUP(0,setup!$A$8:$H$58,5),VLOOKUP(N684,setup!$A$8:$H$58,8))</f>
        <v>            </v>
      </c>
    </row>
    <row r="685" spans="1:15" x14ac:dyDescent="0.25">
      <c r="A685" s="6" t="s">
        <v>722</v>
      </c>
      <c r="N685">
        <v>8</v>
      </c>
      <c r="O685" s="7" t="str">
        <f ca="1">getCodigoBackend(N685,A685,VLOOKUP(N685,setup!$A$8:$H$58,2),VLOOKUP(N685,setup!$A$8:$H$58,3),VLOOKUP(N685,setup!$A$8:$H$58,4),VLOOKUP(N685,setup!$A$8:$H$58,5),VLOOKUP(N685,setup!$A$8:$H$58,6),VLOOKUP(N685,setup!$A$8:$H$58,7), VLOOKUP(0,setup!$A$8:$H$58,2),VLOOKUP(0,setup!$A$8:$H$58,5),VLOOKUP(N685,setup!$A$8:$H$58,8))</f>
        <v>            // pesquisar pelo atributo CampanhaCashbackResgatePix.dtEstagioAnalise no campo CCRP_DT_ESTAGIO_ANALISE da tabela CAMPANHA_CASHBACK_RESGATE_PIX</v>
      </c>
    </row>
    <row r="686" spans="1:15" x14ac:dyDescent="0.25">
      <c r="A686" s="6" t="s">
        <v>265</v>
      </c>
      <c r="N686">
        <v>8</v>
      </c>
      <c r="O686" s="7" t="str">
        <f ca="1">getCodigoBackend(N686,A686,VLOOKUP(N686,setup!$A$8:$H$58,2),VLOOKUP(N686,setup!$A$8:$H$58,3),VLOOKUP(N686,setup!$A$8:$H$58,4),VLOOKUP(N686,setup!$A$8:$H$58,5),VLOOKUP(N686,setup!$A$8:$H$58,6),VLOOKUP(N686,setup!$A$8:$H$58,7), VLOOKUP(0,setup!$A$8:$H$58,2),VLOOKUP(0,setup!$A$8:$H$58,5),VLOOKUP(N686,setup!$A$8:$H$58,8))</f>
        <v>           $bo = new CampanhaCashbackResgatePixBusinessImpl();</v>
      </c>
    </row>
    <row r="687" spans="1:15" x14ac:dyDescent="0.25">
      <c r="A687" s="6" t="s">
        <v>721</v>
      </c>
      <c r="N687">
        <v>8</v>
      </c>
      <c r="O687" s="7" t="str">
        <f ca="1">getCodigoBackend(N687,A687,VLOOKUP(N687,setup!$A$8:$H$58,2),VLOOKUP(N687,setup!$A$8:$H$58,3),VLOOKUP(N687,setup!$A$8:$H$58,4),VLOOKUP(N687,setup!$A$8:$H$58,5),VLOOKUP(N687,setup!$A$8:$H$58,6),VLOOKUP(N687,setup!$A$8:$H$58,7), VLOOKUP(0,setup!$A$8:$H$58,2),VLOOKUP(0,setup!$A$8:$H$58,5),VLOOKUP(N687,setup!$A$8:$H$58,8))</f>
        <v>           $retorno = $bo-&gt;carregarPorDtestagioanalise($daofactory, $dtEstagioAnalise);</v>
      </c>
    </row>
    <row r="688" spans="1:15" x14ac:dyDescent="0.25">
      <c r="A688" s="6" t="s">
        <v>68</v>
      </c>
      <c r="N688">
        <v>8</v>
      </c>
      <c r="O688" s="7" t="str">
        <f ca="1">getCodigoBackend(N688,A688,VLOOKUP(N688,setup!$A$8:$H$58,2),VLOOKUP(N688,setup!$A$8:$H$58,3),VLOOKUP(N688,setup!$A$8:$H$58,4),VLOOKUP(N688,setup!$A$8:$H$58,5),VLOOKUP(N688,setup!$A$8:$H$58,6),VLOOKUP(N688,setup!$A$8:$H$58,7), VLOOKUP(0,setup!$A$8:$H$58,2),VLOOKUP(0,setup!$A$8:$H$58,5),VLOOKUP(N688,setup!$A$8:$H$58,8))</f>
        <v>           if ($retorno-&gt;msgcode == ConstantesMensagem::COMANDO_REALIZADO_COM_SUCESSO){</v>
      </c>
    </row>
    <row r="689" spans="1:15" x14ac:dyDescent="0.25">
      <c r="A689" s="6" t="s">
        <v>48</v>
      </c>
      <c r="N689">
        <v>8</v>
      </c>
      <c r="O689" s="7" t="str">
        <f ca="1">getCodigoBackend(N689,A689,VLOOKUP(N689,setup!$A$8:$H$58,2),VLOOKUP(N689,setup!$A$8:$H$58,3),VLOOKUP(N689,setup!$A$8:$H$58,4),VLOOKUP(N689,setup!$A$8:$H$58,5),VLOOKUP(N689,setup!$A$8:$H$58,6),VLOOKUP(N689,setup!$A$8:$H$58,7), VLOOKUP(0,setup!$A$8:$H$58,2),VLOOKUP(0,setup!$A$8:$H$58,5),VLOOKUP(N689,setup!$A$8:$H$58,8))</f>
        <v>                $daofactory-&gt;commit();</v>
      </c>
    </row>
    <row r="690" spans="1:15" x14ac:dyDescent="0.25">
      <c r="A690" s="6" t="s">
        <v>63</v>
      </c>
      <c r="N690">
        <v>8</v>
      </c>
      <c r="O690" s="7" t="str">
        <f ca="1">getCodigoBackend(N690,A690,VLOOKUP(N690,setup!$A$8:$H$58,2),VLOOKUP(N690,setup!$A$8:$H$58,3),VLOOKUP(N690,setup!$A$8:$H$58,4),VLOOKUP(N690,setup!$A$8:$H$58,5),VLOOKUP(N690,setup!$A$8:$H$58,6),VLOOKUP(N690,setup!$A$8:$H$58,7), VLOOKUP(0,setup!$A$8:$H$58,2),VLOOKUP(0,setup!$A$8:$H$58,5),VLOOKUP(N690,setup!$A$8:$H$58,8))</f>
        <v>           } else {</v>
      </c>
    </row>
    <row r="691" spans="1:15" x14ac:dyDescent="0.25">
      <c r="A691" s="6" t="s">
        <v>50</v>
      </c>
      <c r="N691">
        <v>8</v>
      </c>
      <c r="O691" s="7" t="str">
        <f ca="1">getCodigoBackend(N691,A691,VLOOKUP(N691,setup!$A$8:$H$58,2),VLOOKUP(N691,setup!$A$8:$H$58,3),VLOOKUP(N691,setup!$A$8:$H$58,4),VLOOKUP(N691,setup!$A$8:$H$58,5),VLOOKUP(N691,setup!$A$8:$H$58,6),VLOOKUP(N691,setup!$A$8:$H$58,7), VLOOKUP(0,setup!$A$8:$H$58,2),VLOOKUP(0,setup!$A$8:$H$58,5),VLOOKUP(N691,setup!$A$8:$H$58,8))</f>
        <v>                $daofactory-&gt;rollback();</v>
      </c>
    </row>
    <row r="692" spans="1:15" x14ac:dyDescent="0.25">
      <c r="A692" s="6" t="s">
        <v>64</v>
      </c>
      <c r="N692">
        <v>8</v>
      </c>
      <c r="O692" s="7" t="str">
        <f ca="1">getCodigoBackend(N692,A692,VLOOKUP(N692,setup!$A$8:$H$58,2),VLOOKUP(N692,setup!$A$8:$H$58,3),VLOOKUP(N692,setup!$A$8:$H$58,4),VLOOKUP(N692,setup!$A$8:$H$58,5),VLOOKUP(N692,setup!$A$8:$H$58,6),VLOOKUP(N692,setup!$A$8:$H$58,7), VLOOKUP(0,setup!$A$8:$H$58,2),VLOOKUP(0,setup!$A$8:$H$58,5),VLOOKUP(N692,setup!$A$8:$H$58,8))</f>
        <v>           }</v>
      </c>
    </row>
    <row r="693" spans="1:15" x14ac:dyDescent="0.25">
      <c r="A693" s="6" t="s">
        <v>45</v>
      </c>
      <c r="N693">
        <v>8</v>
      </c>
      <c r="O693" s="7" t="str">
        <f ca="1">getCodigoBackend(N693,A693,VLOOKUP(N693,setup!$A$8:$H$58,2),VLOOKUP(N693,setup!$A$8:$H$58,3),VLOOKUP(N693,setup!$A$8:$H$58,4),VLOOKUP(N693,setup!$A$8:$H$58,5),VLOOKUP(N693,setup!$A$8:$H$58,6),VLOOKUP(N693,setup!$A$8:$H$58,7), VLOOKUP(0,setup!$A$8:$H$58,2),VLOOKUP(0,setup!$A$8:$H$58,5),VLOOKUP(N693,setup!$A$8:$H$58,8))</f>
        <v>            </v>
      </c>
    </row>
    <row r="694" spans="1:15" x14ac:dyDescent="0.25">
      <c r="A694" s="6" t="s">
        <v>52</v>
      </c>
      <c r="N694">
        <v>8</v>
      </c>
      <c r="O694" s="7" t="str">
        <f ca="1">getCodigoBackend(N694,A694,VLOOKUP(N694,setup!$A$8:$H$58,2),VLOOKUP(N694,setup!$A$8:$H$58,3),VLOOKUP(N694,setup!$A$8:$H$58,4),VLOOKUP(N694,setup!$A$8:$H$58,5),VLOOKUP(N694,setup!$A$8:$H$58,6),VLOOKUP(N694,setup!$A$8:$H$58,7), VLOOKUP(0,setup!$A$8:$H$58,2),VLOOKUP(0,setup!$A$8:$H$58,5),VLOOKUP(N694,setup!$A$8:$H$58,8))</f>
        <v>        } catch (Exception $e) {</v>
      </c>
    </row>
    <row r="695" spans="1:15" x14ac:dyDescent="0.25">
      <c r="A695" s="6" t="s">
        <v>53</v>
      </c>
      <c r="N695">
        <v>8</v>
      </c>
      <c r="O695" s="7" t="str">
        <f ca="1">getCodigoBackend(N695,A695,VLOOKUP(N695,setup!$A$8:$H$58,2),VLOOKUP(N695,setup!$A$8:$H$58,3),VLOOKUP(N695,setup!$A$8:$H$58,4),VLOOKUP(N695,setup!$A$8:$H$58,5),VLOOKUP(N695,setup!$A$8:$H$58,6),VLOOKUP(N695,setup!$A$8:$H$58,7), VLOOKUP(0,setup!$A$8:$H$58,2),VLOOKUP(0,setup!$A$8:$H$58,5),VLOOKUP(N695,setup!$A$8:$H$58,8))</f>
        <v>            // rollback na transação</v>
      </c>
    </row>
    <row r="696" spans="1:15" x14ac:dyDescent="0.25">
      <c r="N696">
        <v>8</v>
      </c>
      <c r="O696" s="7" t="str">
        <f ca="1">getCodigoBackend(N696,A696,VLOOKUP(N696,setup!$A$8:$H$58,2),VLOOKUP(N696,setup!$A$8:$H$58,3),VLOOKUP(N696,setup!$A$8:$H$58,4),VLOOKUP(N696,setup!$A$8:$H$58,5),VLOOKUP(N696,setup!$A$8:$H$58,6),VLOOKUP(N696,setup!$A$8:$H$58,7), VLOOKUP(0,setup!$A$8:$H$58,2),VLOOKUP(0,setup!$A$8:$H$58,5),VLOOKUP(N696,setup!$A$8:$H$58,8))</f>
        <v/>
      </c>
    </row>
    <row r="697" spans="1:15" x14ac:dyDescent="0.25">
      <c r="A697" s="6" t="s">
        <v>55</v>
      </c>
      <c r="N697">
        <v>8</v>
      </c>
      <c r="O697" s="7" t="str">
        <f ca="1">getCodigoBackend(N697,A697,VLOOKUP(N697,setup!$A$8:$H$58,2),VLOOKUP(N697,setup!$A$8:$H$58,3),VLOOKUP(N697,setup!$A$8:$H$58,4),VLOOKUP(N697,setup!$A$8:$H$58,5),VLOOKUP(N697,setup!$A$8:$H$58,6),VLOOKUP(N697,setup!$A$8:$H$58,7), VLOOKUP(0,setup!$A$8:$H$58,2),VLOOKUP(0,setup!$A$8:$H$58,5),VLOOKUP(N697,setup!$A$8:$H$58,8))</f>
        <v>        } finally {</v>
      </c>
    </row>
    <row r="698" spans="1:15" x14ac:dyDescent="0.25">
      <c r="A698" s="6" t="s">
        <v>56</v>
      </c>
      <c r="N698">
        <v>8</v>
      </c>
      <c r="O698" s="7" t="str">
        <f ca="1">getCodigoBackend(N698,A698,VLOOKUP(N698,setup!$A$8:$H$58,2),VLOOKUP(N698,setup!$A$8:$H$58,3),VLOOKUP(N698,setup!$A$8:$H$58,4),VLOOKUP(N698,setup!$A$8:$H$58,5),VLOOKUP(N698,setup!$A$8:$H$58,6),VLOOKUP(N698,setup!$A$8:$H$58,7), VLOOKUP(0,setup!$A$8:$H$58,2),VLOOKUP(0,setup!$A$8:$H$58,5),VLOOKUP(N698,setup!$A$8:$H$58,8))</f>
        <v>            try {</v>
      </c>
    </row>
    <row r="699" spans="1:15" x14ac:dyDescent="0.25">
      <c r="A699" s="6" t="s">
        <v>57</v>
      </c>
      <c r="N699">
        <v>8</v>
      </c>
      <c r="O699" s="7" t="str">
        <f ca="1">getCodigoBackend(N699,A699,VLOOKUP(N699,setup!$A$8:$H$58,2),VLOOKUP(N699,setup!$A$8:$H$58,3),VLOOKUP(N699,setup!$A$8:$H$58,4),VLOOKUP(N699,setup!$A$8:$H$58,5),VLOOKUP(N699,setup!$A$8:$H$58,6),VLOOKUP(N699,setup!$A$8:$H$58,7), VLOOKUP(0,setup!$A$8:$H$58,2),VLOOKUP(0,setup!$A$8:$H$58,5),VLOOKUP(N699,setup!$A$8:$H$58,8))</f>
        <v>                $daofactory-&gt;close();</v>
      </c>
    </row>
    <row r="700" spans="1:15" x14ac:dyDescent="0.25">
      <c r="A700" s="6" t="s">
        <v>58</v>
      </c>
      <c r="N700">
        <v>8</v>
      </c>
      <c r="O700" s="7" t="str">
        <f ca="1">getCodigoBackend(N700,A700,VLOOKUP(N700,setup!$A$8:$H$58,2),VLOOKUP(N700,setup!$A$8:$H$58,3),VLOOKUP(N700,setup!$A$8:$H$58,4),VLOOKUP(N700,setup!$A$8:$H$58,5),VLOOKUP(N700,setup!$A$8:$H$58,6),VLOOKUP(N700,setup!$A$8:$H$58,7), VLOOKUP(0,setup!$A$8:$H$58,2),VLOOKUP(0,setup!$A$8:$H$58,5),VLOOKUP(N700,setup!$A$8:$H$58,8))</f>
        <v>            } catch (Exception $e) {</v>
      </c>
    </row>
    <row r="701" spans="1:15" x14ac:dyDescent="0.25">
      <c r="A701" s="6" t="s">
        <v>59</v>
      </c>
      <c r="N701">
        <v>8</v>
      </c>
      <c r="O701" s="7" t="str">
        <f ca="1">getCodigoBackend(N701,A701,VLOOKUP(N701,setup!$A$8:$H$58,2),VLOOKUP(N701,setup!$A$8:$H$58,3),VLOOKUP(N701,setup!$A$8:$H$58,4),VLOOKUP(N701,setup!$A$8:$H$58,5),VLOOKUP(N701,setup!$A$8:$H$58,6),VLOOKUP(N701,setup!$A$8:$H$58,7), VLOOKUP(0,setup!$A$8:$H$58,2),VLOOKUP(0,setup!$A$8:$H$58,5),VLOOKUP(N701,setup!$A$8:$H$58,8))</f>
        <v>                // faz algo</v>
      </c>
    </row>
    <row r="702" spans="1:15" x14ac:dyDescent="0.25">
      <c r="A702" s="6" t="s">
        <v>51</v>
      </c>
      <c r="N702">
        <v>8</v>
      </c>
      <c r="O702" s="7" t="str">
        <f ca="1">getCodigoBackend(N702,A702,VLOOKUP(N702,setup!$A$8:$H$58,2),VLOOKUP(N702,setup!$A$8:$H$58,3),VLOOKUP(N702,setup!$A$8:$H$58,4),VLOOKUP(N702,setup!$A$8:$H$58,5),VLOOKUP(N702,setup!$A$8:$H$58,6),VLOOKUP(N702,setup!$A$8:$H$58,7), VLOOKUP(0,setup!$A$8:$H$58,2),VLOOKUP(0,setup!$A$8:$H$58,5),VLOOKUP(N702,setup!$A$8:$H$58,8))</f>
        <v>            }</v>
      </c>
    </row>
    <row r="703" spans="1:15" x14ac:dyDescent="0.25">
      <c r="A703" s="6" t="s">
        <v>60</v>
      </c>
      <c r="N703">
        <v>8</v>
      </c>
      <c r="O703" s="7" t="str">
        <f ca="1">getCodigoBackend(N703,A703,VLOOKUP(N703,setup!$A$8:$H$58,2),VLOOKUP(N703,setup!$A$8:$H$58,3),VLOOKUP(N703,setup!$A$8:$H$58,4),VLOOKUP(N703,setup!$A$8:$H$58,5),VLOOKUP(N703,setup!$A$8:$H$58,6),VLOOKUP(N703,setup!$A$8:$H$58,7), VLOOKUP(0,setup!$A$8:$H$58,2),VLOOKUP(0,setup!$A$8:$H$58,5),VLOOKUP(N703,setup!$A$8:$H$58,8))</f>
        <v>        }</v>
      </c>
    </row>
    <row r="704" spans="1:15" x14ac:dyDescent="0.25">
      <c r="N704">
        <v>8</v>
      </c>
      <c r="O704" s="7" t="str">
        <f ca="1">getCodigoBackend(N704,A704,VLOOKUP(N704,setup!$A$8:$H$58,2),VLOOKUP(N704,setup!$A$8:$H$58,3),VLOOKUP(N704,setup!$A$8:$H$58,4),VLOOKUP(N704,setup!$A$8:$H$58,5),VLOOKUP(N704,setup!$A$8:$H$58,6),VLOOKUP(N704,setup!$A$8:$H$58,7), VLOOKUP(0,setup!$A$8:$H$58,2),VLOOKUP(0,setup!$A$8:$H$58,5),VLOOKUP(N704,setup!$A$8:$H$58,8))</f>
        <v/>
      </c>
    </row>
    <row r="705" spans="1:15" x14ac:dyDescent="0.25">
      <c r="A705" s="6" t="s">
        <v>61</v>
      </c>
      <c r="N705">
        <v>8</v>
      </c>
      <c r="O705" s="7" t="str">
        <f ca="1">getCodigoBackend(N705,A705,VLOOKUP(N705,setup!$A$8:$H$58,2),VLOOKUP(N705,setup!$A$8:$H$58,3),VLOOKUP(N705,setup!$A$8:$H$58,4),VLOOKUP(N705,setup!$A$8:$H$58,5),VLOOKUP(N705,setup!$A$8:$H$58,6),VLOOKUP(N705,setup!$A$8:$H$58,7), VLOOKUP(0,setup!$A$8:$H$58,2),VLOOKUP(0,setup!$A$8:$H$58,5),VLOOKUP(N705,setup!$A$8:$H$58,8))</f>
        <v>        return $retorno;</v>
      </c>
    </row>
    <row r="706" spans="1:15" x14ac:dyDescent="0.25">
      <c r="A706" s="6" t="s">
        <v>62</v>
      </c>
      <c r="N706">
        <v>8</v>
      </c>
      <c r="O706" s="7" t="str">
        <f ca="1">getCodigoBackend(N706,A706,VLOOKUP(N706,setup!$A$8:$H$58,2),VLOOKUP(N706,setup!$A$8:$H$58,3),VLOOKUP(N706,setup!$A$8:$H$58,4),VLOOKUP(N706,setup!$A$8:$H$58,5),VLOOKUP(N706,setup!$A$8:$H$58,6),VLOOKUP(N706,setup!$A$8:$H$58,7), VLOOKUP(0,setup!$A$8:$H$58,2),VLOOKUP(0,setup!$A$8:$H$58,5),VLOOKUP(N706,setup!$A$8:$H$58,8))</f>
        <v>    }</v>
      </c>
    </row>
    <row r="707" spans="1:15" x14ac:dyDescent="0.25">
      <c r="A707" s="6"/>
      <c r="O707" s="7" t="str">
        <f ca="1">getCodigoBackend(N707,A707,VLOOKUP(N707,setup!$A$8:$H$58,2),VLOOKUP(N707,setup!$A$8:$H$58,3),VLOOKUP(N707,setup!$A$8:$H$58,4),VLOOKUP(N707,setup!$A$8:$H$58,5),VLOOKUP(N707,setup!$A$8:$H$58,6),VLOOKUP(N707,setup!$A$8:$H$58,7), VLOOKUP(0,setup!$A$8:$H$58,2),VLOOKUP(0,setup!$A$8:$H$58,5),VLOOKUP(N707,setup!$A$8:$H$58,8))</f>
        <v/>
      </c>
    </row>
    <row r="708" spans="1:15" x14ac:dyDescent="0.25">
      <c r="A708" s="4" t="s">
        <v>19</v>
      </c>
      <c r="N708">
        <v>9</v>
      </c>
      <c r="O708" s="7" t="str">
        <f ca="1">getCodigoBackend(N708,A708,VLOOKUP(N708,setup!$A$8:$H$58,2),VLOOKUP(N708,setup!$A$8:$H$58,3),VLOOKUP(N708,setup!$A$8:$H$58,4),VLOOKUP(N708,setup!$A$8:$H$58,5),VLOOKUP(N708,setup!$A$8:$H$58,6),VLOOKUP(N708,setup!$A$8:$H$58,7), VLOOKUP(0,setup!$A$8:$H$58,2),VLOOKUP(0,setup!$A$8:$H$58,5),VLOOKUP(N708,setup!$A$8:$H$58,8))</f>
        <v>/**</v>
      </c>
    </row>
    <row r="709" spans="1:15" x14ac:dyDescent="0.25">
      <c r="A709" s="4" t="s">
        <v>20</v>
      </c>
      <c r="N709">
        <v>9</v>
      </c>
      <c r="O709" s="7" t="str">
        <f ca="1">getCodigoBackend(N709,A709,VLOOKUP(N709,setup!$A$8:$H$58,2),VLOOKUP(N709,setup!$A$8:$H$58,3),VLOOKUP(N709,setup!$A$8:$H$58,4),VLOOKUP(N709,setup!$A$8:$H$58,5),VLOOKUP(N709,setup!$A$8:$H$58,6),VLOOKUP(N709,setup!$A$8:$H$58,7), VLOOKUP(0,setup!$A$8:$H$58,2),VLOOKUP(0,setup!$A$8:$H$58,5),VLOOKUP(N709,setup!$A$8:$H$58,8))</f>
        <v>*</v>
      </c>
    </row>
    <row r="710" spans="1:15" x14ac:dyDescent="0.25">
      <c r="A710" s="4" t="s">
        <v>716</v>
      </c>
      <c r="N710">
        <v>9</v>
      </c>
      <c r="O710" s="7" t="str">
        <f ca="1">getCodigoBackend(N710,A710,VLOOKUP(N710,setup!$A$8:$H$58,2),VLOOKUP(N710,setup!$A$8:$H$58,3),VLOOKUP(N710,setup!$A$8:$H$58,4),VLOOKUP(N710,setup!$A$8:$H$58,5),VLOOKUP(N710,setup!$A$8:$H$58,6),VLOOKUP(N710,setup!$A$8:$H$58,7), VLOOKUP(0,setup!$A$8:$H$58,2),VLOOKUP(0,setup!$A$8:$H$58,5),VLOOKUP(N710,setup!$A$8:$H$58,8))</f>
        <v>* pesquisarPorDtestagiofinanceiro() - Usado para invocar a classe de negócio CampanhaCashbackResgatePixBusinessImpl de forma geral</v>
      </c>
    </row>
    <row r="711" spans="1:15" x14ac:dyDescent="0.25">
      <c r="A711" s="4" t="s">
        <v>717</v>
      </c>
      <c r="N711">
        <v>9</v>
      </c>
      <c r="O711" s="7" t="str">
        <f ca="1">getCodigoBackend(N711,A711,VLOOKUP(N711,setup!$A$8:$H$58,2),VLOOKUP(N711,setup!$A$8:$H$58,3),VLOOKUP(N711,setup!$A$8:$H$58,4),VLOOKUP(N711,setup!$A$8:$H$58,5),VLOOKUP(N711,setup!$A$8:$H$58,6),VLOOKUP(N711,setup!$A$8:$H$58,7), VLOOKUP(0,setup!$A$8:$H$58,2),VLOOKUP(0,setup!$A$8:$H$58,5),VLOOKUP(N711,setup!$A$8:$H$58,8))</f>
        <v>* realizar uma busca de Data Registro Estágio Financeiro diretamente na tabela CAMPANHA_CASHBACK_RESGATE_PIX campo CCRP_DT_ESTAGIO_FINANCEIRO</v>
      </c>
    </row>
    <row r="712" spans="1:15" x14ac:dyDescent="0.25">
      <c r="A712" s="4" t="s">
        <v>20</v>
      </c>
      <c r="N712">
        <v>9</v>
      </c>
      <c r="O712" s="7" t="str">
        <f ca="1">getCodigoBackend(N712,A712,VLOOKUP(N712,setup!$A$8:$H$58,2),VLOOKUP(N712,setup!$A$8:$H$58,3),VLOOKUP(N712,setup!$A$8:$H$58,4),VLOOKUP(N712,setup!$A$8:$H$58,5),VLOOKUP(N712,setup!$A$8:$H$58,6),VLOOKUP(N712,setup!$A$8:$H$58,7), VLOOKUP(0,setup!$A$8:$H$58,2),VLOOKUP(0,setup!$A$8:$H$58,5),VLOOKUP(N712,setup!$A$8:$H$58,8))</f>
        <v>*</v>
      </c>
    </row>
    <row r="713" spans="1:15" x14ac:dyDescent="0.25">
      <c r="A713" s="4" t="s">
        <v>723</v>
      </c>
      <c r="N713">
        <v>9</v>
      </c>
      <c r="O713" s="7" t="str">
        <f ca="1">getCodigoBackend(N713,A713,VLOOKUP(N713,setup!$A$8:$H$58,2),VLOOKUP(N713,setup!$A$8:$H$58,3),VLOOKUP(N713,setup!$A$8:$H$58,4),VLOOKUP(N713,setup!$A$8:$H$58,5),VLOOKUP(N713,setup!$A$8:$H$58,6),VLOOKUP(N713,setup!$A$8:$H$58,7), VLOOKUP(0,setup!$A$8:$H$58,2),VLOOKUP(0,setup!$A$8:$H$58,5),VLOOKUP(N713,setup!$A$8:$H$58,8))</f>
        <v>* @param $dtEstagioFinanceiro</v>
      </c>
    </row>
    <row r="714" spans="1:15" x14ac:dyDescent="0.25">
      <c r="A714" s="4" t="s">
        <v>347</v>
      </c>
      <c r="N714">
        <v>9</v>
      </c>
      <c r="O714" s="7" t="str">
        <f ca="1">getCodigoBackend(N714,A714,VLOOKUP(N714,setup!$A$8:$H$58,2),VLOOKUP(N714,setup!$A$8:$H$58,3),VLOOKUP(N714,setup!$A$8:$H$58,4),VLOOKUP(N714,setup!$A$8:$H$58,5),VLOOKUP(N714,setup!$A$8:$H$58,6),VLOOKUP(N714,setup!$A$8:$H$58,7), VLOOKUP(0,setup!$A$8:$H$58,2),VLOOKUP(0,setup!$A$8:$H$58,5),VLOOKUP(N714,setup!$A$8:$H$58,8))</f>
        <v>* @return CampanhaCashbackResgatePixDTO</v>
      </c>
    </row>
    <row r="715" spans="1:15" x14ac:dyDescent="0.25">
      <c r="A715" s="4" t="s">
        <v>20</v>
      </c>
      <c r="N715">
        <v>9</v>
      </c>
      <c r="O715" s="7" t="str">
        <f ca="1">getCodigoBackend(N715,A715,VLOOKUP(N715,setup!$A$8:$H$58,2),VLOOKUP(N715,setup!$A$8:$H$58,3),VLOOKUP(N715,setup!$A$8:$H$58,4),VLOOKUP(N715,setup!$A$8:$H$58,5),VLOOKUP(N715,setup!$A$8:$H$58,6),VLOOKUP(N715,setup!$A$8:$H$58,7), VLOOKUP(0,setup!$A$8:$H$58,2),VLOOKUP(0,setup!$A$8:$H$58,5),VLOOKUP(N715,setup!$A$8:$H$58,8))</f>
        <v>*</v>
      </c>
    </row>
    <row r="716" spans="1:15" x14ac:dyDescent="0.25">
      <c r="A716" s="4" t="s">
        <v>75</v>
      </c>
      <c r="N716">
        <v>9</v>
      </c>
      <c r="O716" s="7" t="str">
        <f ca="1">getCodigoBackend(N716,A716,VLOOKUP(N716,setup!$A$8:$H$58,2),VLOOKUP(N716,setup!$A$8:$H$58,3),VLOOKUP(N716,setup!$A$8:$H$58,4),VLOOKUP(N716,setup!$A$8:$H$58,5),VLOOKUP(N716,setup!$A$8:$H$58,6),VLOOKUP(N716,setup!$A$8:$H$58,7), VLOOKUP(0,setup!$A$8:$H$58,2),VLOOKUP(0,setup!$A$8:$H$58,5),VLOOKUP(N716,setup!$A$8:$H$58,8))</f>
        <v xml:space="preserve">* </v>
      </c>
    </row>
    <row r="717" spans="1:15" x14ac:dyDescent="0.25">
      <c r="A717" s="4" t="s">
        <v>21</v>
      </c>
      <c r="N717">
        <v>9</v>
      </c>
      <c r="O717" s="7" t="str">
        <f ca="1">getCodigoBackend(N717,A717,VLOOKUP(N717,setup!$A$8:$H$58,2),VLOOKUP(N717,setup!$A$8:$H$58,3),VLOOKUP(N717,setup!$A$8:$H$58,4),VLOOKUP(N717,setup!$A$8:$H$58,5),VLOOKUP(N717,setup!$A$8:$H$58,6),VLOOKUP(N717,setup!$A$8:$H$58,7), VLOOKUP(0,setup!$A$8:$H$58,2),VLOOKUP(0,setup!$A$8:$H$58,5),VLOOKUP(N717,setup!$A$8:$H$58,8))</f>
        <v>*/</v>
      </c>
    </row>
    <row r="718" spans="1:15" x14ac:dyDescent="0.25">
      <c r="N718">
        <v>9</v>
      </c>
      <c r="O718" s="7" t="str">
        <f ca="1">getCodigoBackend(N718,A718,VLOOKUP(N718,setup!$A$8:$H$58,2),VLOOKUP(N718,setup!$A$8:$H$58,3),VLOOKUP(N718,setup!$A$8:$H$58,4),VLOOKUP(N718,setup!$A$8:$H$58,5),VLOOKUP(N718,setup!$A$8:$H$58,6),VLOOKUP(N718,setup!$A$8:$H$58,7), VLOOKUP(0,setup!$A$8:$H$58,2),VLOOKUP(0,setup!$A$8:$H$58,5),VLOOKUP(N718,setup!$A$8:$H$58,8))</f>
        <v/>
      </c>
    </row>
    <row r="719" spans="1:15" x14ac:dyDescent="0.25">
      <c r="A719" s="6" t="s">
        <v>720</v>
      </c>
      <c r="N719">
        <v>9</v>
      </c>
      <c r="O719" s="7" t="str">
        <f ca="1">getCodigoBackend(N719,A719,VLOOKUP(N719,setup!$A$8:$H$58,2),VLOOKUP(N719,setup!$A$8:$H$58,3),VLOOKUP(N719,setup!$A$8:$H$58,4),VLOOKUP(N719,setup!$A$8:$H$58,5),VLOOKUP(N719,setup!$A$8:$H$58,6),VLOOKUP(N719,setup!$A$8:$H$58,7), VLOOKUP(0,setup!$A$8:$H$58,2),VLOOKUP(0,setup!$A$8:$H$58,5),VLOOKUP(N719,setup!$A$8:$H$58,8))</f>
        <v>    public function pesquisarPorDtestagiofinanceiro($dtEstagioFinanceiro)</v>
      </c>
    </row>
    <row r="720" spans="1:15" x14ac:dyDescent="0.25">
      <c r="A720" s="6" t="s">
        <v>38</v>
      </c>
      <c r="N720">
        <v>9</v>
      </c>
      <c r="O720" s="7" t="str">
        <f ca="1">getCodigoBackend(N720,A720,VLOOKUP(N720,setup!$A$8:$H$58,2),VLOOKUP(N720,setup!$A$8:$H$58,3),VLOOKUP(N720,setup!$A$8:$H$58,4),VLOOKUP(N720,setup!$A$8:$H$58,5),VLOOKUP(N720,setup!$A$8:$H$58,6),VLOOKUP(N720,setup!$A$8:$H$58,7), VLOOKUP(0,setup!$A$8:$H$58,2),VLOOKUP(0,setup!$A$8:$H$58,5),VLOOKUP(N720,setup!$A$8:$H$58,8))</f>
        <v>    {</v>
      </c>
    </row>
    <row r="721" spans="1:15" x14ac:dyDescent="0.25">
      <c r="A721" s="6" t="s">
        <v>39</v>
      </c>
      <c r="N721">
        <v>9</v>
      </c>
      <c r="O721" s="7" t="str">
        <f ca="1">getCodigoBackend(N721,A721,VLOOKUP(N721,setup!$A$8:$H$58,2),VLOOKUP(N721,setup!$A$8:$H$58,3),VLOOKUP(N721,setup!$A$8:$H$58,4),VLOOKUP(N721,setup!$A$8:$H$58,5),VLOOKUP(N721,setup!$A$8:$H$58,6),VLOOKUP(N721,setup!$A$8:$H$58,7), VLOOKUP(0,setup!$A$8:$H$58,2),VLOOKUP(0,setup!$A$8:$H$58,5),VLOOKUP(N721,setup!$A$8:$H$58,8))</f>
        <v>        $daofactory = NULL;</v>
      </c>
    </row>
    <row r="722" spans="1:15" x14ac:dyDescent="0.25">
      <c r="A722" s="6" t="s">
        <v>40</v>
      </c>
      <c r="N722">
        <v>9</v>
      </c>
      <c r="O722" s="7" t="str">
        <f ca="1">getCodigoBackend(N722,A722,VLOOKUP(N722,setup!$A$8:$H$58,2),VLOOKUP(N722,setup!$A$8:$H$58,3),VLOOKUP(N722,setup!$A$8:$H$58,4),VLOOKUP(N722,setup!$A$8:$H$58,5),VLOOKUP(N722,setup!$A$8:$H$58,6),VLOOKUP(N722,setup!$A$8:$H$58,7), VLOOKUP(0,setup!$A$8:$H$58,2),VLOOKUP(0,setup!$A$8:$H$58,5),VLOOKUP(N722,setup!$A$8:$H$58,8))</f>
        <v>        $retorno = NULL;</v>
      </c>
    </row>
    <row r="723" spans="1:15" x14ac:dyDescent="0.25">
      <c r="A723" s="6" t="s">
        <v>41</v>
      </c>
      <c r="N723">
        <v>9</v>
      </c>
      <c r="O723" s="7" t="str">
        <f ca="1">getCodigoBackend(N723,A723,VLOOKUP(N723,setup!$A$8:$H$58,2),VLOOKUP(N723,setup!$A$8:$H$58,3),VLOOKUP(N723,setup!$A$8:$H$58,4),VLOOKUP(N723,setup!$A$8:$H$58,5),VLOOKUP(N723,setup!$A$8:$H$58,6),VLOOKUP(N723,setup!$A$8:$H$58,7), VLOOKUP(0,setup!$A$8:$H$58,2),VLOOKUP(0,setup!$A$8:$H$58,5),VLOOKUP(N723,setup!$A$8:$H$58,8))</f>
        <v>        try {</v>
      </c>
    </row>
    <row r="724" spans="1:15" x14ac:dyDescent="0.25">
      <c r="A724" s="6" t="s">
        <v>42</v>
      </c>
      <c r="N724">
        <v>9</v>
      </c>
      <c r="O724" s="7" t="str">
        <f ca="1">getCodigoBackend(N724,A724,VLOOKUP(N724,setup!$A$8:$H$58,2),VLOOKUP(N724,setup!$A$8:$H$58,3),VLOOKUP(N724,setup!$A$8:$H$58,4),VLOOKUP(N724,setup!$A$8:$H$58,5),VLOOKUP(N724,setup!$A$8:$H$58,6),VLOOKUP(N724,setup!$A$8:$H$58,7), VLOOKUP(0,setup!$A$8:$H$58,2),VLOOKUP(0,setup!$A$8:$H$58,5),VLOOKUP(N724,setup!$A$8:$H$58,8))</f>
        <v>            $daofactory = DAOFactory::getDAOFactory();</v>
      </c>
    </row>
    <row r="725" spans="1:15" x14ac:dyDescent="0.25">
      <c r="A725" s="6" t="s">
        <v>43</v>
      </c>
      <c r="N725">
        <v>9</v>
      </c>
      <c r="O725" s="7" t="str">
        <f ca="1">getCodigoBackend(N725,A725,VLOOKUP(N725,setup!$A$8:$H$58,2),VLOOKUP(N725,setup!$A$8:$H$58,3),VLOOKUP(N725,setup!$A$8:$H$58,4),VLOOKUP(N725,setup!$A$8:$H$58,5),VLOOKUP(N725,setup!$A$8:$H$58,6),VLOOKUP(N725,setup!$A$8:$H$58,7), VLOOKUP(0,setup!$A$8:$H$58,2),VLOOKUP(0,setup!$A$8:$H$58,5),VLOOKUP(N725,setup!$A$8:$H$58,8))</f>
        <v>            $daofactory-&gt;open();</v>
      </c>
    </row>
    <row r="726" spans="1:15" x14ac:dyDescent="0.25">
      <c r="A726" s="6" t="s">
        <v>44</v>
      </c>
      <c r="N726">
        <v>9</v>
      </c>
      <c r="O726" s="7" t="str">
        <f ca="1">getCodigoBackend(N726,A726,VLOOKUP(N726,setup!$A$8:$H$58,2),VLOOKUP(N726,setup!$A$8:$H$58,3),VLOOKUP(N726,setup!$A$8:$H$58,4),VLOOKUP(N726,setup!$A$8:$H$58,5),VLOOKUP(N726,setup!$A$8:$H$58,6),VLOOKUP(N726,setup!$A$8:$H$58,7), VLOOKUP(0,setup!$A$8:$H$58,2),VLOOKUP(0,setup!$A$8:$H$58,5),VLOOKUP(N726,setup!$A$8:$H$58,8))</f>
        <v>            $daofactory-&gt;beginTransaction();</v>
      </c>
    </row>
    <row r="727" spans="1:15" x14ac:dyDescent="0.25">
      <c r="A727" s="6" t="s">
        <v>45</v>
      </c>
      <c r="N727">
        <v>9</v>
      </c>
      <c r="O727" s="7" t="str">
        <f ca="1">getCodigoBackend(N727,A727,VLOOKUP(N727,setup!$A$8:$H$58,2),VLOOKUP(N727,setup!$A$8:$H$58,3),VLOOKUP(N727,setup!$A$8:$H$58,4),VLOOKUP(N727,setup!$A$8:$H$58,5),VLOOKUP(N727,setup!$A$8:$H$58,6),VLOOKUP(N727,setup!$A$8:$H$58,7), VLOOKUP(0,setup!$A$8:$H$58,2),VLOOKUP(0,setup!$A$8:$H$58,5),VLOOKUP(N727,setup!$A$8:$H$58,8))</f>
        <v>            </v>
      </c>
    </row>
    <row r="728" spans="1:15" x14ac:dyDescent="0.25">
      <c r="A728" s="6" t="s">
        <v>722</v>
      </c>
      <c r="N728">
        <v>9</v>
      </c>
      <c r="O728" s="7" t="str">
        <f ca="1">getCodigoBackend(N728,A728,VLOOKUP(N728,setup!$A$8:$H$58,2),VLOOKUP(N728,setup!$A$8:$H$58,3),VLOOKUP(N728,setup!$A$8:$H$58,4),VLOOKUP(N728,setup!$A$8:$H$58,5),VLOOKUP(N728,setup!$A$8:$H$58,6),VLOOKUP(N728,setup!$A$8:$H$58,7), VLOOKUP(0,setup!$A$8:$H$58,2),VLOOKUP(0,setup!$A$8:$H$58,5),VLOOKUP(N728,setup!$A$8:$H$58,8))</f>
        <v>            // pesquisar pelo atributo CampanhaCashbackResgatePix.dtEstagioFinanceiro no campo CCRP_DT_ESTAGIO_FINANCEIRO da tabela CAMPANHA_CASHBACK_RESGATE_PIX</v>
      </c>
    </row>
    <row r="729" spans="1:15" x14ac:dyDescent="0.25">
      <c r="A729" s="6" t="s">
        <v>265</v>
      </c>
      <c r="N729">
        <v>9</v>
      </c>
      <c r="O729" s="7" t="str">
        <f ca="1">getCodigoBackend(N729,A729,VLOOKUP(N729,setup!$A$8:$H$58,2),VLOOKUP(N729,setup!$A$8:$H$58,3),VLOOKUP(N729,setup!$A$8:$H$58,4),VLOOKUP(N729,setup!$A$8:$H$58,5),VLOOKUP(N729,setup!$A$8:$H$58,6),VLOOKUP(N729,setup!$A$8:$H$58,7), VLOOKUP(0,setup!$A$8:$H$58,2),VLOOKUP(0,setup!$A$8:$H$58,5),VLOOKUP(N729,setup!$A$8:$H$58,8))</f>
        <v>           $bo = new CampanhaCashbackResgatePixBusinessImpl();</v>
      </c>
    </row>
    <row r="730" spans="1:15" x14ac:dyDescent="0.25">
      <c r="A730" s="6" t="s">
        <v>721</v>
      </c>
      <c r="N730">
        <v>9</v>
      </c>
      <c r="O730" s="7" t="str">
        <f ca="1">getCodigoBackend(N730,A730,VLOOKUP(N730,setup!$A$8:$H$58,2),VLOOKUP(N730,setup!$A$8:$H$58,3),VLOOKUP(N730,setup!$A$8:$H$58,4),VLOOKUP(N730,setup!$A$8:$H$58,5),VLOOKUP(N730,setup!$A$8:$H$58,6),VLOOKUP(N730,setup!$A$8:$H$58,7), VLOOKUP(0,setup!$A$8:$H$58,2),VLOOKUP(0,setup!$A$8:$H$58,5),VLOOKUP(N730,setup!$A$8:$H$58,8))</f>
        <v>           $retorno = $bo-&gt;carregarPorDtestagiofinanceiro($daofactory, $dtEstagioFinanceiro);</v>
      </c>
    </row>
    <row r="731" spans="1:15" x14ac:dyDescent="0.25">
      <c r="A731" s="6" t="s">
        <v>68</v>
      </c>
      <c r="N731">
        <v>9</v>
      </c>
      <c r="O731" s="7" t="str">
        <f ca="1">getCodigoBackend(N731,A731,VLOOKUP(N731,setup!$A$8:$H$58,2),VLOOKUP(N731,setup!$A$8:$H$58,3),VLOOKUP(N731,setup!$A$8:$H$58,4),VLOOKUP(N731,setup!$A$8:$H$58,5),VLOOKUP(N731,setup!$A$8:$H$58,6),VLOOKUP(N731,setup!$A$8:$H$58,7), VLOOKUP(0,setup!$A$8:$H$58,2),VLOOKUP(0,setup!$A$8:$H$58,5),VLOOKUP(N731,setup!$A$8:$H$58,8))</f>
        <v>           if ($retorno-&gt;msgcode == ConstantesMensagem::COMANDO_REALIZADO_COM_SUCESSO){</v>
      </c>
    </row>
    <row r="732" spans="1:15" x14ac:dyDescent="0.25">
      <c r="A732" s="6" t="s">
        <v>48</v>
      </c>
      <c r="N732">
        <v>9</v>
      </c>
      <c r="O732" s="7" t="str">
        <f ca="1">getCodigoBackend(N732,A732,VLOOKUP(N732,setup!$A$8:$H$58,2),VLOOKUP(N732,setup!$A$8:$H$58,3),VLOOKUP(N732,setup!$A$8:$H$58,4),VLOOKUP(N732,setup!$A$8:$H$58,5),VLOOKUP(N732,setup!$A$8:$H$58,6),VLOOKUP(N732,setup!$A$8:$H$58,7), VLOOKUP(0,setup!$A$8:$H$58,2),VLOOKUP(0,setup!$A$8:$H$58,5),VLOOKUP(N732,setup!$A$8:$H$58,8))</f>
        <v>                $daofactory-&gt;commit();</v>
      </c>
    </row>
    <row r="733" spans="1:15" x14ac:dyDescent="0.25">
      <c r="A733" s="6" t="s">
        <v>63</v>
      </c>
      <c r="N733">
        <v>9</v>
      </c>
      <c r="O733" s="7" t="str">
        <f ca="1">getCodigoBackend(N733,A733,VLOOKUP(N733,setup!$A$8:$H$58,2),VLOOKUP(N733,setup!$A$8:$H$58,3),VLOOKUP(N733,setup!$A$8:$H$58,4),VLOOKUP(N733,setup!$A$8:$H$58,5),VLOOKUP(N733,setup!$A$8:$H$58,6),VLOOKUP(N733,setup!$A$8:$H$58,7), VLOOKUP(0,setup!$A$8:$H$58,2),VLOOKUP(0,setup!$A$8:$H$58,5),VLOOKUP(N733,setup!$A$8:$H$58,8))</f>
        <v>           } else {</v>
      </c>
    </row>
    <row r="734" spans="1:15" x14ac:dyDescent="0.25">
      <c r="A734" s="6" t="s">
        <v>50</v>
      </c>
      <c r="N734">
        <v>9</v>
      </c>
      <c r="O734" s="7" t="str">
        <f ca="1">getCodigoBackend(N734,A734,VLOOKUP(N734,setup!$A$8:$H$58,2),VLOOKUP(N734,setup!$A$8:$H$58,3),VLOOKUP(N734,setup!$A$8:$H$58,4),VLOOKUP(N734,setup!$A$8:$H$58,5),VLOOKUP(N734,setup!$A$8:$H$58,6),VLOOKUP(N734,setup!$A$8:$H$58,7), VLOOKUP(0,setup!$A$8:$H$58,2),VLOOKUP(0,setup!$A$8:$H$58,5),VLOOKUP(N734,setup!$A$8:$H$58,8))</f>
        <v>                $daofactory-&gt;rollback();</v>
      </c>
    </row>
    <row r="735" spans="1:15" x14ac:dyDescent="0.25">
      <c r="A735" s="6" t="s">
        <v>64</v>
      </c>
      <c r="N735">
        <v>9</v>
      </c>
      <c r="O735" s="7" t="str">
        <f ca="1">getCodigoBackend(N735,A735,VLOOKUP(N735,setup!$A$8:$H$58,2),VLOOKUP(N735,setup!$A$8:$H$58,3),VLOOKUP(N735,setup!$A$8:$H$58,4),VLOOKUP(N735,setup!$A$8:$H$58,5),VLOOKUP(N735,setup!$A$8:$H$58,6),VLOOKUP(N735,setup!$A$8:$H$58,7), VLOOKUP(0,setup!$A$8:$H$58,2),VLOOKUP(0,setup!$A$8:$H$58,5),VLOOKUP(N735,setup!$A$8:$H$58,8))</f>
        <v>           }</v>
      </c>
    </row>
    <row r="736" spans="1:15" x14ac:dyDescent="0.25">
      <c r="A736" s="6" t="s">
        <v>45</v>
      </c>
      <c r="N736">
        <v>9</v>
      </c>
      <c r="O736" s="7" t="str">
        <f ca="1">getCodigoBackend(N736,A736,VLOOKUP(N736,setup!$A$8:$H$58,2),VLOOKUP(N736,setup!$A$8:$H$58,3),VLOOKUP(N736,setup!$A$8:$H$58,4),VLOOKUP(N736,setup!$A$8:$H$58,5),VLOOKUP(N736,setup!$A$8:$H$58,6),VLOOKUP(N736,setup!$A$8:$H$58,7), VLOOKUP(0,setup!$A$8:$H$58,2),VLOOKUP(0,setup!$A$8:$H$58,5),VLOOKUP(N736,setup!$A$8:$H$58,8))</f>
        <v>            </v>
      </c>
    </row>
    <row r="737" spans="1:15" x14ac:dyDescent="0.25">
      <c r="A737" s="6" t="s">
        <v>52</v>
      </c>
      <c r="N737">
        <v>9</v>
      </c>
      <c r="O737" s="7" t="str">
        <f ca="1">getCodigoBackend(N737,A737,VLOOKUP(N737,setup!$A$8:$H$58,2),VLOOKUP(N737,setup!$A$8:$H$58,3),VLOOKUP(N737,setup!$A$8:$H$58,4),VLOOKUP(N737,setup!$A$8:$H$58,5),VLOOKUP(N737,setup!$A$8:$H$58,6),VLOOKUP(N737,setup!$A$8:$H$58,7), VLOOKUP(0,setup!$A$8:$H$58,2),VLOOKUP(0,setup!$A$8:$H$58,5),VLOOKUP(N737,setup!$A$8:$H$58,8))</f>
        <v>        } catch (Exception $e) {</v>
      </c>
    </row>
    <row r="738" spans="1:15" x14ac:dyDescent="0.25">
      <c r="A738" s="6" t="s">
        <v>53</v>
      </c>
      <c r="N738">
        <v>9</v>
      </c>
      <c r="O738" s="7" t="str">
        <f ca="1">getCodigoBackend(N738,A738,VLOOKUP(N738,setup!$A$8:$H$58,2),VLOOKUP(N738,setup!$A$8:$H$58,3),VLOOKUP(N738,setup!$A$8:$H$58,4),VLOOKUP(N738,setup!$A$8:$H$58,5),VLOOKUP(N738,setup!$A$8:$H$58,6),VLOOKUP(N738,setup!$A$8:$H$58,7), VLOOKUP(0,setup!$A$8:$H$58,2),VLOOKUP(0,setup!$A$8:$H$58,5),VLOOKUP(N738,setup!$A$8:$H$58,8))</f>
        <v>            // rollback na transação</v>
      </c>
    </row>
    <row r="739" spans="1:15" x14ac:dyDescent="0.25">
      <c r="N739">
        <v>9</v>
      </c>
      <c r="O739" s="7" t="str">
        <f ca="1">getCodigoBackend(N739,A739,VLOOKUP(N739,setup!$A$8:$H$58,2),VLOOKUP(N739,setup!$A$8:$H$58,3),VLOOKUP(N739,setup!$A$8:$H$58,4),VLOOKUP(N739,setup!$A$8:$H$58,5),VLOOKUP(N739,setup!$A$8:$H$58,6),VLOOKUP(N739,setup!$A$8:$H$58,7), VLOOKUP(0,setup!$A$8:$H$58,2),VLOOKUP(0,setup!$A$8:$H$58,5),VLOOKUP(N739,setup!$A$8:$H$58,8))</f>
        <v/>
      </c>
    </row>
    <row r="740" spans="1:15" x14ac:dyDescent="0.25">
      <c r="A740" s="6" t="s">
        <v>55</v>
      </c>
      <c r="N740">
        <v>9</v>
      </c>
      <c r="O740" s="7" t="str">
        <f ca="1">getCodigoBackend(N740,A740,VLOOKUP(N740,setup!$A$8:$H$58,2),VLOOKUP(N740,setup!$A$8:$H$58,3),VLOOKUP(N740,setup!$A$8:$H$58,4),VLOOKUP(N740,setup!$A$8:$H$58,5),VLOOKUP(N740,setup!$A$8:$H$58,6),VLOOKUP(N740,setup!$A$8:$H$58,7), VLOOKUP(0,setup!$A$8:$H$58,2),VLOOKUP(0,setup!$A$8:$H$58,5),VLOOKUP(N740,setup!$A$8:$H$58,8))</f>
        <v>        } finally {</v>
      </c>
    </row>
    <row r="741" spans="1:15" x14ac:dyDescent="0.25">
      <c r="A741" s="6" t="s">
        <v>56</v>
      </c>
      <c r="N741">
        <v>9</v>
      </c>
      <c r="O741" s="7" t="str">
        <f ca="1">getCodigoBackend(N741,A741,VLOOKUP(N741,setup!$A$8:$H$58,2),VLOOKUP(N741,setup!$A$8:$H$58,3),VLOOKUP(N741,setup!$A$8:$H$58,4),VLOOKUP(N741,setup!$A$8:$H$58,5),VLOOKUP(N741,setup!$A$8:$H$58,6),VLOOKUP(N741,setup!$A$8:$H$58,7), VLOOKUP(0,setup!$A$8:$H$58,2),VLOOKUP(0,setup!$A$8:$H$58,5),VLOOKUP(N741,setup!$A$8:$H$58,8))</f>
        <v>            try {</v>
      </c>
    </row>
    <row r="742" spans="1:15" x14ac:dyDescent="0.25">
      <c r="A742" s="6" t="s">
        <v>57</v>
      </c>
      <c r="N742">
        <v>9</v>
      </c>
      <c r="O742" s="7" t="str">
        <f ca="1">getCodigoBackend(N742,A742,VLOOKUP(N742,setup!$A$8:$H$58,2),VLOOKUP(N742,setup!$A$8:$H$58,3),VLOOKUP(N742,setup!$A$8:$H$58,4),VLOOKUP(N742,setup!$A$8:$H$58,5),VLOOKUP(N742,setup!$A$8:$H$58,6),VLOOKUP(N742,setup!$A$8:$H$58,7), VLOOKUP(0,setup!$A$8:$H$58,2),VLOOKUP(0,setup!$A$8:$H$58,5),VLOOKUP(N742,setup!$A$8:$H$58,8))</f>
        <v>                $daofactory-&gt;close();</v>
      </c>
    </row>
    <row r="743" spans="1:15" x14ac:dyDescent="0.25">
      <c r="A743" s="6" t="s">
        <v>58</v>
      </c>
      <c r="N743">
        <v>9</v>
      </c>
      <c r="O743" s="7" t="str">
        <f ca="1">getCodigoBackend(N743,A743,VLOOKUP(N743,setup!$A$8:$H$58,2),VLOOKUP(N743,setup!$A$8:$H$58,3),VLOOKUP(N743,setup!$A$8:$H$58,4),VLOOKUP(N743,setup!$A$8:$H$58,5),VLOOKUP(N743,setup!$A$8:$H$58,6),VLOOKUP(N743,setup!$A$8:$H$58,7), VLOOKUP(0,setup!$A$8:$H$58,2),VLOOKUP(0,setup!$A$8:$H$58,5),VLOOKUP(N743,setup!$A$8:$H$58,8))</f>
        <v>            } catch (Exception $e) {</v>
      </c>
    </row>
    <row r="744" spans="1:15" x14ac:dyDescent="0.25">
      <c r="A744" s="6" t="s">
        <v>59</v>
      </c>
      <c r="N744">
        <v>9</v>
      </c>
      <c r="O744" s="7" t="str">
        <f ca="1">getCodigoBackend(N744,A744,VLOOKUP(N744,setup!$A$8:$H$58,2),VLOOKUP(N744,setup!$A$8:$H$58,3),VLOOKUP(N744,setup!$A$8:$H$58,4),VLOOKUP(N744,setup!$A$8:$H$58,5),VLOOKUP(N744,setup!$A$8:$H$58,6),VLOOKUP(N744,setup!$A$8:$H$58,7), VLOOKUP(0,setup!$A$8:$H$58,2),VLOOKUP(0,setup!$A$8:$H$58,5),VLOOKUP(N744,setup!$A$8:$H$58,8))</f>
        <v>                // faz algo</v>
      </c>
    </row>
    <row r="745" spans="1:15" x14ac:dyDescent="0.25">
      <c r="A745" s="6" t="s">
        <v>51</v>
      </c>
      <c r="N745">
        <v>9</v>
      </c>
      <c r="O745" s="7" t="str">
        <f ca="1">getCodigoBackend(N745,A745,VLOOKUP(N745,setup!$A$8:$H$58,2),VLOOKUP(N745,setup!$A$8:$H$58,3),VLOOKUP(N745,setup!$A$8:$H$58,4),VLOOKUP(N745,setup!$A$8:$H$58,5),VLOOKUP(N745,setup!$A$8:$H$58,6),VLOOKUP(N745,setup!$A$8:$H$58,7), VLOOKUP(0,setup!$A$8:$H$58,2),VLOOKUP(0,setup!$A$8:$H$58,5),VLOOKUP(N745,setup!$A$8:$H$58,8))</f>
        <v>            }</v>
      </c>
    </row>
    <row r="746" spans="1:15" x14ac:dyDescent="0.25">
      <c r="A746" s="6" t="s">
        <v>60</v>
      </c>
      <c r="N746">
        <v>9</v>
      </c>
      <c r="O746" s="7" t="str">
        <f ca="1">getCodigoBackend(N746,A746,VLOOKUP(N746,setup!$A$8:$H$58,2),VLOOKUP(N746,setup!$A$8:$H$58,3),VLOOKUP(N746,setup!$A$8:$H$58,4),VLOOKUP(N746,setup!$A$8:$H$58,5),VLOOKUP(N746,setup!$A$8:$H$58,6),VLOOKUP(N746,setup!$A$8:$H$58,7), VLOOKUP(0,setup!$A$8:$H$58,2),VLOOKUP(0,setup!$A$8:$H$58,5),VLOOKUP(N746,setup!$A$8:$H$58,8))</f>
        <v>        }</v>
      </c>
    </row>
    <row r="747" spans="1:15" x14ac:dyDescent="0.25">
      <c r="N747">
        <v>9</v>
      </c>
      <c r="O747" s="7" t="str">
        <f ca="1">getCodigoBackend(N747,A747,VLOOKUP(N747,setup!$A$8:$H$58,2),VLOOKUP(N747,setup!$A$8:$H$58,3),VLOOKUP(N747,setup!$A$8:$H$58,4),VLOOKUP(N747,setup!$A$8:$H$58,5),VLOOKUP(N747,setup!$A$8:$H$58,6),VLOOKUP(N747,setup!$A$8:$H$58,7), VLOOKUP(0,setup!$A$8:$H$58,2),VLOOKUP(0,setup!$A$8:$H$58,5),VLOOKUP(N747,setup!$A$8:$H$58,8))</f>
        <v/>
      </c>
    </row>
    <row r="748" spans="1:15" x14ac:dyDescent="0.25">
      <c r="A748" s="6" t="s">
        <v>61</v>
      </c>
      <c r="N748">
        <v>9</v>
      </c>
      <c r="O748" s="7" t="str">
        <f ca="1">getCodigoBackend(N748,A748,VLOOKUP(N748,setup!$A$8:$H$58,2),VLOOKUP(N748,setup!$A$8:$H$58,3),VLOOKUP(N748,setup!$A$8:$H$58,4),VLOOKUP(N748,setup!$A$8:$H$58,5),VLOOKUP(N748,setup!$A$8:$H$58,6),VLOOKUP(N748,setup!$A$8:$H$58,7), VLOOKUP(0,setup!$A$8:$H$58,2),VLOOKUP(0,setup!$A$8:$H$58,5),VLOOKUP(N748,setup!$A$8:$H$58,8))</f>
        <v>        return $retorno;</v>
      </c>
    </row>
    <row r="749" spans="1:15" x14ac:dyDescent="0.25">
      <c r="A749" s="6" t="s">
        <v>62</v>
      </c>
      <c r="N749">
        <v>9</v>
      </c>
      <c r="O749" s="7" t="str">
        <f ca="1">getCodigoBackend(N749,A749,VLOOKUP(N749,setup!$A$8:$H$58,2),VLOOKUP(N749,setup!$A$8:$H$58,3),VLOOKUP(N749,setup!$A$8:$H$58,4),VLOOKUP(N749,setup!$A$8:$H$58,5),VLOOKUP(N749,setup!$A$8:$H$58,6),VLOOKUP(N749,setup!$A$8:$H$58,7), VLOOKUP(0,setup!$A$8:$H$58,2),VLOOKUP(0,setup!$A$8:$H$58,5),VLOOKUP(N749,setup!$A$8:$H$58,8))</f>
        <v>    }</v>
      </c>
    </row>
    <row r="750" spans="1:15" x14ac:dyDescent="0.25">
      <c r="A750" s="6"/>
      <c r="O750" s="7"/>
    </row>
    <row r="751" spans="1:15" x14ac:dyDescent="0.25">
      <c r="A751" s="6"/>
      <c r="O751" s="7" t="str">
        <f ca="1">getCodigoBackend(N751,A751,VLOOKUP(N751,setup!$A$8:$H$58,2),VLOOKUP(N751,setup!$A$8:$H$58,3),VLOOKUP(N751,setup!$A$8:$H$58,4),VLOOKUP(N751,setup!$A$8:$H$58,5),VLOOKUP(N751,setup!$A$8:$H$58,6),VLOOKUP(N751,setup!$A$8:$H$58,7), VLOOKUP(0,setup!$A$8:$H$58,2),VLOOKUP(0,setup!$A$8:$H$58,5),VLOOKUP(N751,setup!$A$8:$H$58,8))</f>
        <v/>
      </c>
    </row>
    <row r="752" spans="1:15" x14ac:dyDescent="0.25">
      <c r="A752" s="4" t="s">
        <v>19</v>
      </c>
      <c r="N752">
        <v>10</v>
      </c>
      <c r="O752" s="7" t="str">
        <f ca="1">getCodigoBackend(N752,A752,VLOOKUP(N752,setup!$A$8:$H$58,2),VLOOKUP(N752,setup!$A$8:$H$58,3),VLOOKUP(N752,setup!$A$8:$H$58,4),VLOOKUP(N752,setup!$A$8:$H$58,5),VLOOKUP(N752,setup!$A$8:$H$58,6),VLOOKUP(N752,setup!$A$8:$H$58,7), VLOOKUP(0,setup!$A$8:$H$58,2),VLOOKUP(0,setup!$A$8:$H$58,5),VLOOKUP(N752,setup!$A$8:$H$58,8))</f>
        <v>/**</v>
      </c>
    </row>
    <row r="753" spans="1:15" x14ac:dyDescent="0.25">
      <c r="A753" s="4" t="s">
        <v>20</v>
      </c>
      <c r="N753">
        <v>10</v>
      </c>
      <c r="O753" s="7" t="str">
        <f ca="1">getCodigoBackend(N753,A753,VLOOKUP(N753,setup!$A$8:$H$58,2),VLOOKUP(N753,setup!$A$8:$H$58,3),VLOOKUP(N753,setup!$A$8:$H$58,4),VLOOKUP(N753,setup!$A$8:$H$58,5),VLOOKUP(N753,setup!$A$8:$H$58,6),VLOOKUP(N753,setup!$A$8:$H$58,7), VLOOKUP(0,setup!$A$8:$H$58,2),VLOOKUP(0,setup!$A$8:$H$58,5),VLOOKUP(N753,setup!$A$8:$H$58,8))</f>
        <v>*</v>
      </c>
    </row>
    <row r="754" spans="1:15" x14ac:dyDescent="0.25">
      <c r="A754" s="4" t="s">
        <v>716</v>
      </c>
      <c r="N754">
        <v>10</v>
      </c>
      <c r="O754" s="7" t="str">
        <f ca="1">getCodigoBackend(N754,A754,VLOOKUP(N754,setup!$A$8:$H$58,2),VLOOKUP(N754,setup!$A$8:$H$58,3),VLOOKUP(N754,setup!$A$8:$H$58,4),VLOOKUP(N754,setup!$A$8:$H$58,5),VLOOKUP(N754,setup!$A$8:$H$58,6),VLOOKUP(N754,setup!$A$8:$H$58,7), VLOOKUP(0,setup!$A$8:$H$58,2),VLOOKUP(0,setup!$A$8:$H$58,5),VLOOKUP(N754,setup!$A$8:$H$58,8))</f>
        <v>* pesquisarPorDtestagioerro() - Usado para invocar a classe de negócio CampanhaCashbackResgatePixBusinessImpl de forma geral</v>
      </c>
    </row>
    <row r="755" spans="1:15" x14ac:dyDescent="0.25">
      <c r="A755" s="4" t="s">
        <v>717</v>
      </c>
      <c r="N755">
        <v>10</v>
      </c>
      <c r="O755" s="7" t="str">
        <f ca="1">getCodigoBackend(N755,A755,VLOOKUP(N755,setup!$A$8:$H$58,2),VLOOKUP(N755,setup!$A$8:$H$58,3),VLOOKUP(N755,setup!$A$8:$H$58,4),VLOOKUP(N755,setup!$A$8:$H$58,5),VLOOKUP(N755,setup!$A$8:$H$58,6),VLOOKUP(N755,setup!$A$8:$H$58,7), VLOOKUP(0,setup!$A$8:$H$58,2),VLOOKUP(0,setup!$A$8:$H$58,5),VLOOKUP(N755,setup!$A$8:$H$58,8))</f>
        <v>* realizar uma busca de Data Registro Estágio Erro diretamente na tabela CAMPANHA_CASHBACK_RESGATE_PIX campo CCRP_DT_ESTAGIO_ERRO</v>
      </c>
    </row>
    <row r="756" spans="1:15" x14ac:dyDescent="0.25">
      <c r="A756" s="4" t="s">
        <v>20</v>
      </c>
      <c r="N756">
        <v>10</v>
      </c>
      <c r="O756" s="7" t="str">
        <f ca="1">getCodigoBackend(N756,A756,VLOOKUP(N756,setup!$A$8:$H$58,2),VLOOKUP(N756,setup!$A$8:$H$58,3),VLOOKUP(N756,setup!$A$8:$H$58,4),VLOOKUP(N756,setup!$A$8:$H$58,5),VLOOKUP(N756,setup!$A$8:$H$58,6),VLOOKUP(N756,setup!$A$8:$H$58,7), VLOOKUP(0,setup!$A$8:$H$58,2),VLOOKUP(0,setup!$A$8:$H$58,5),VLOOKUP(N756,setup!$A$8:$H$58,8))</f>
        <v>*</v>
      </c>
    </row>
    <row r="757" spans="1:15" x14ac:dyDescent="0.25">
      <c r="A757" s="4" t="s">
        <v>723</v>
      </c>
      <c r="N757">
        <v>10</v>
      </c>
      <c r="O757" s="7" t="str">
        <f ca="1">getCodigoBackend(N757,A757,VLOOKUP(N757,setup!$A$8:$H$58,2),VLOOKUP(N757,setup!$A$8:$H$58,3),VLOOKUP(N757,setup!$A$8:$H$58,4),VLOOKUP(N757,setup!$A$8:$H$58,5),VLOOKUP(N757,setup!$A$8:$H$58,6),VLOOKUP(N757,setup!$A$8:$H$58,7), VLOOKUP(0,setup!$A$8:$H$58,2),VLOOKUP(0,setup!$A$8:$H$58,5),VLOOKUP(N757,setup!$A$8:$H$58,8))</f>
        <v>* @param $dtEstagioErro</v>
      </c>
    </row>
    <row r="758" spans="1:15" x14ac:dyDescent="0.25">
      <c r="A758" s="4" t="s">
        <v>347</v>
      </c>
      <c r="N758">
        <v>10</v>
      </c>
      <c r="O758" s="7" t="str">
        <f ca="1">getCodigoBackend(N758,A758,VLOOKUP(N758,setup!$A$8:$H$58,2),VLOOKUP(N758,setup!$A$8:$H$58,3),VLOOKUP(N758,setup!$A$8:$H$58,4),VLOOKUP(N758,setup!$A$8:$H$58,5),VLOOKUP(N758,setup!$A$8:$H$58,6),VLOOKUP(N758,setup!$A$8:$H$58,7), VLOOKUP(0,setup!$A$8:$H$58,2),VLOOKUP(0,setup!$A$8:$H$58,5),VLOOKUP(N758,setup!$A$8:$H$58,8))</f>
        <v>* @return CampanhaCashbackResgatePixDTO</v>
      </c>
    </row>
    <row r="759" spans="1:15" x14ac:dyDescent="0.25">
      <c r="A759" s="4" t="s">
        <v>20</v>
      </c>
      <c r="N759">
        <v>10</v>
      </c>
      <c r="O759" s="7" t="str">
        <f ca="1">getCodigoBackend(N759,A759,VLOOKUP(N759,setup!$A$8:$H$58,2),VLOOKUP(N759,setup!$A$8:$H$58,3),VLOOKUP(N759,setup!$A$8:$H$58,4),VLOOKUP(N759,setup!$A$8:$H$58,5),VLOOKUP(N759,setup!$A$8:$H$58,6),VLOOKUP(N759,setup!$A$8:$H$58,7), VLOOKUP(0,setup!$A$8:$H$58,2),VLOOKUP(0,setup!$A$8:$H$58,5),VLOOKUP(N759,setup!$A$8:$H$58,8))</f>
        <v>*</v>
      </c>
    </row>
    <row r="760" spans="1:15" x14ac:dyDescent="0.25">
      <c r="A760" s="4" t="s">
        <v>75</v>
      </c>
      <c r="N760">
        <v>10</v>
      </c>
      <c r="O760" s="7" t="str">
        <f ca="1">getCodigoBackend(N760,A760,VLOOKUP(N760,setup!$A$8:$H$58,2),VLOOKUP(N760,setup!$A$8:$H$58,3),VLOOKUP(N760,setup!$A$8:$H$58,4),VLOOKUP(N760,setup!$A$8:$H$58,5),VLOOKUP(N760,setup!$A$8:$H$58,6),VLOOKUP(N760,setup!$A$8:$H$58,7), VLOOKUP(0,setup!$A$8:$H$58,2),VLOOKUP(0,setup!$A$8:$H$58,5),VLOOKUP(N760,setup!$A$8:$H$58,8))</f>
        <v xml:space="preserve">* </v>
      </c>
    </row>
    <row r="761" spans="1:15" x14ac:dyDescent="0.25">
      <c r="A761" s="4" t="s">
        <v>21</v>
      </c>
      <c r="N761">
        <v>10</v>
      </c>
      <c r="O761" s="7" t="str">
        <f ca="1">getCodigoBackend(N761,A761,VLOOKUP(N761,setup!$A$8:$H$58,2),VLOOKUP(N761,setup!$A$8:$H$58,3),VLOOKUP(N761,setup!$A$8:$H$58,4),VLOOKUP(N761,setup!$A$8:$H$58,5),VLOOKUP(N761,setup!$A$8:$H$58,6),VLOOKUP(N761,setup!$A$8:$H$58,7), VLOOKUP(0,setup!$A$8:$H$58,2),VLOOKUP(0,setup!$A$8:$H$58,5),VLOOKUP(N761,setup!$A$8:$H$58,8))</f>
        <v>*/</v>
      </c>
    </row>
    <row r="762" spans="1:15" x14ac:dyDescent="0.25">
      <c r="N762">
        <v>10</v>
      </c>
      <c r="O762" s="7" t="str">
        <f ca="1">getCodigoBackend(N762,A762,VLOOKUP(N762,setup!$A$8:$H$58,2),VLOOKUP(N762,setup!$A$8:$H$58,3),VLOOKUP(N762,setup!$A$8:$H$58,4),VLOOKUP(N762,setup!$A$8:$H$58,5),VLOOKUP(N762,setup!$A$8:$H$58,6),VLOOKUP(N762,setup!$A$8:$H$58,7), VLOOKUP(0,setup!$A$8:$H$58,2),VLOOKUP(0,setup!$A$8:$H$58,5),VLOOKUP(N762,setup!$A$8:$H$58,8))</f>
        <v/>
      </c>
    </row>
    <row r="763" spans="1:15" x14ac:dyDescent="0.25">
      <c r="A763" s="6" t="s">
        <v>720</v>
      </c>
      <c r="N763">
        <v>10</v>
      </c>
      <c r="O763" s="7" t="str">
        <f ca="1">getCodigoBackend(N763,A763,VLOOKUP(N763,setup!$A$8:$H$58,2),VLOOKUP(N763,setup!$A$8:$H$58,3),VLOOKUP(N763,setup!$A$8:$H$58,4),VLOOKUP(N763,setup!$A$8:$H$58,5),VLOOKUP(N763,setup!$A$8:$H$58,6),VLOOKUP(N763,setup!$A$8:$H$58,7), VLOOKUP(0,setup!$A$8:$H$58,2),VLOOKUP(0,setup!$A$8:$H$58,5),VLOOKUP(N763,setup!$A$8:$H$58,8))</f>
        <v>    public function pesquisarPorDtestagioerro($dtEstagioErro)</v>
      </c>
    </row>
    <row r="764" spans="1:15" x14ac:dyDescent="0.25">
      <c r="A764" s="6" t="s">
        <v>38</v>
      </c>
      <c r="N764">
        <v>10</v>
      </c>
      <c r="O764" s="7" t="str">
        <f ca="1">getCodigoBackend(N764,A764,VLOOKUP(N764,setup!$A$8:$H$58,2),VLOOKUP(N764,setup!$A$8:$H$58,3),VLOOKUP(N764,setup!$A$8:$H$58,4),VLOOKUP(N764,setup!$A$8:$H$58,5),VLOOKUP(N764,setup!$A$8:$H$58,6),VLOOKUP(N764,setup!$A$8:$H$58,7), VLOOKUP(0,setup!$A$8:$H$58,2),VLOOKUP(0,setup!$A$8:$H$58,5),VLOOKUP(N764,setup!$A$8:$H$58,8))</f>
        <v>    {</v>
      </c>
    </row>
    <row r="765" spans="1:15" x14ac:dyDescent="0.25">
      <c r="A765" s="6" t="s">
        <v>39</v>
      </c>
      <c r="N765">
        <v>10</v>
      </c>
      <c r="O765" s="7" t="str">
        <f ca="1">getCodigoBackend(N765,A765,VLOOKUP(N765,setup!$A$8:$H$58,2),VLOOKUP(N765,setup!$A$8:$H$58,3),VLOOKUP(N765,setup!$A$8:$H$58,4),VLOOKUP(N765,setup!$A$8:$H$58,5),VLOOKUP(N765,setup!$A$8:$H$58,6),VLOOKUP(N765,setup!$A$8:$H$58,7), VLOOKUP(0,setup!$A$8:$H$58,2),VLOOKUP(0,setup!$A$8:$H$58,5),VLOOKUP(N765,setup!$A$8:$H$58,8))</f>
        <v>        $daofactory = NULL;</v>
      </c>
    </row>
    <row r="766" spans="1:15" x14ac:dyDescent="0.25">
      <c r="A766" s="6" t="s">
        <v>40</v>
      </c>
      <c r="N766">
        <v>10</v>
      </c>
      <c r="O766" s="7" t="str">
        <f ca="1">getCodigoBackend(N766,A766,VLOOKUP(N766,setup!$A$8:$H$58,2),VLOOKUP(N766,setup!$A$8:$H$58,3),VLOOKUP(N766,setup!$A$8:$H$58,4),VLOOKUP(N766,setup!$A$8:$H$58,5),VLOOKUP(N766,setup!$A$8:$H$58,6),VLOOKUP(N766,setup!$A$8:$H$58,7), VLOOKUP(0,setup!$A$8:$H$58,2),VLOOKUP(0,setup!$A$8:$H$58,5),VLOOKUP(N766,setup!$A$8:$H$58,8))</f>
        <v>        $retorno = NULL;</v>
      </c>
    </row>
    <row r="767" spans="1:15" x14ac:dyDescent="0.25">
      <c r="A767" s="6" t="s">
        <v>41</v>
      </c>
      <c r="N767">
        <v>10</v>
      </c>
      <c r="O767" s="7" t="str">
        <f ca="1">getCodigoBackend(N767,A767,VLOOKUP(N767,setup!$A$8:$H$58,2),VLOOKUP(N767,setup!$A$8:$H$58,3),VLOOKUP(N767,setup!$A$8:$H$58,4),VLOOKUP(N767,setup!$A$8:$H$58,5),VLOOKUP(N767,setup!$A$8:$H$58,6),VLOOKUP(N767,setup!$A$8:$H$58,7), VLOOKUP(0,setup!$A$8:$H$58,2),VLOOKUP(0,setup!$A$8:$H$58,5),VLOOKUP(N767,setup!$A$8:$H$58,8))</f>
        <v>        try {</v>
      </c>
    </row>
    <row r="768" spans="1:15" x14ac:dyDescent="0.25">
      <c r="A768" s="6" t="s">
        <v>42</v>
      </c>
      <c r="N768">
        <v>10</v>
      </c>
      <c r="O768" s="7" t="str">
        <f ca="1">getCodigoBackend(N768,A768,VLOOKUP(N768,setup!$A$8:$H$58,2),VLOOKUP(N768,setup!$A$8:$H$58,3),VLOOKUP(N768,setup!$A$8:$H$58,4),VLOOKUP(N768,setup!$A$8:$H$58,5),VLOOKUP(N768,setup!$A$8:$H$58,6),VLOOKUP(N768,setup!$A$8:$H$58,7), VLOOKUP(0,setup!$A$8:$H$58,2),VLOOKUP(0,setup!$A$8:$H$58,5),VLOOKUP(N768,setup!$A$8:$H$58,8))</f>
        <v>            $daofactory = DAOFactory::getDAOFactory();</v>
      </c>
    </row>
    <row r="769" spans="1:15" x14ac:dyDescent="0.25">
      <c r="A769" s="6" t="s">
        <v>43</v>
      </c>
      <c r="N769">
        <v>10</v>
      </c>
      <c r="O769" s="7" t="str">
        <f ca="1">getCodigoBackend(N769,A769,VLOOKUP(N769,setup!$A$8:$H$58,2),VLOOKUP(N769,setup!$A$8:$H$58,3),VLOOKUP(N769,setup!$A$8:$H$58,4),VLOOKUP(N769,setup!$A$8:$H$58,5),VLOOKUP(N769,setup!$A$8:$H$58,6),VLOOKUP(N769,setup!$A$8:$H$58,7), VLOOKUP(0,setup!$A$8:$H$58,2),VLOOKUP(0,setup!$A$8:$H$58,5),VLOOKUP(N769,setup!$A$8:$H$58,8))</f>
        <v>            $daofactory-&gt;open();</v>
      </c>
    </row>
    <row r="770" spans="1:15" x14ac:dyDescent="0.25">
      <c r="A770" s="6" t="s">
        <v>44</v>
      </c>
      <c r="N770">
        <v>10</v>
      </c>
      <c r="O770" s="7" t="str">
        <f ca="1">getCodigoBackend(N770,A770,VLOOKUP(N770,setup!$A$8:$H$58,2),VLOOKUP(N770,setup!$A$8:$H$58,3),VLOOKUP(N770,setup!$A$8:$H$58,4),VLOOKUP(N770,setup!$A$8:$H$58,5),VLOOKUP(N770,setup!$A$8:$H$58,6),VLOOKUP(N770,setup!$A$8:$H$58,7), VLOOKUP(0,setup!$A$8:$H$58,2),VLOOKUP(0,setup!$A$8:$H$58,5),VLOOKUP(N770,setup!$A$8:$H$58,8))</f>
        <v>            $daofactory-&gt;beginTransaction();</v>
      </c>
    </row>
    <row r="771" spans="1:15" x14ac:dyDescent="0.25">
      <c r="A771" s="6" t="s">
        <v>45</v>
      </c>
      <c r="N771">
        <v>10</v>
      </c>
      <c r="O771" s="7" t="str">
        <f ca="1">getCodigoBackend(N771,A771,VLOOKUP(N771,setup!$A$8:$H$58,2),VLOOKUP(N771,setup!$A$8:$H$58,3),VLOOKUP(N771,setup!$A$8:$H$58,4),VLOOKUP(N771,setup!$A$8:$H$58,5),VLOOKUP(N771,setup!$A$8:$H$58,6),VLOOKUP(N771,setup!$A$8:$H$58,7), VLOOKUP(0,setup!$A$8:$H$58,2),VLOOKUP(0,setup!$A$8:$H$58,5),VLOOKUP(N771,setup!$A$8:$H$58,8))</f>
        <v>            </v>
      </c>
    </row>
    <row r="772" spans="1:15" x14ac:dyDescent="0.25">
      <c r="A772" s="6" t="s">
        <v>722</v>
      </c>
      <c r="N772">
        <v>10</v>
      </c>
      <c r="O772" s="7" t="str">
        <f ca="1">getCodigoBackend(N772,A772,VLOOKUP(N772,setup!$A$8:$H$58,2),VLOOKUP(N772,setup!$A$8:$H$58,3),VLOOKUP(N772,setup!$A$8:$H$58,4),VLOOKUP(N772,setup!$A$8:$H$58,5),VLOOKUP(N772,setup!$A$8:$H$58,6),VLOOKUP(N772,setup!$A$8:$H$58,7), VLOOKUP(0,setup!$A$8:$H$58,2),VLOOKUP(0,setup!$A$8:$H$58,5),VLOOKUP(N772,setup!$A$8:$H$58,8))</f>
        <v>            // pesquisar pelo atributo CampanhaCashbackResgatePix.dtEstagioErro no campo CCRP_DT_ESTAGIO_ERRO da tabela CAMPANHA_CASHBACK_RESGATE_PIX</v>
      </c>
    </row>
    <row r="773" spans="1:15" x14ac:dyDescent="0.25">
      <c r="A773" s="6" t="s">
        <v>265</v>
      </c>
      <c r="N773">
        <v>10</v>
      </c>
      <c r="O773" s="7" t="str">
        <f ca="1">getCodigoBackend(N773,A773,VLOOKUP(N773,setup!$A$8:$H$58,2),VLOOKUP(N773,setup!$A$8:$H$58,3),VLOOKUP(N773,setup!$A$8:$H$58,4),VLOOKUP(N773,setup!$A$8:$H$58,5),VLOOKUP(N773,setup!$A$8:$H$58,6),VLOOKUP(N773,setup!$A$8:$H$58,7), VLOOKUP(0,setup!$A$8:$H$58,2),VLOOKUP(0,setup!$A$8:$H$58,5),VLOOKUP(N773,setup!$A$8:$H$58,8))</f>
        <v>           $bo = new CampanhaCashbackResgatePixBusinessImpl();</v>
      </c>
    </row>
    <row r="774" spans="1:15" x14ac:dyDescent="0.25">
      <c r="A774" s="6" t="s">
        <v>721</v>
      </c>
      <c r="N774">
        <v>10</v>
      </c>
      <c r="O774" s="7" t="str">
        <f ca="1">getCodigoBackend(N774,A774,VLOOKUP(N774,setup!$A$8:$H$58,2),VLOOKUP(N774,setup!$A$8:$H$58,3),VLOOKUP(N774,setup!$A$8:$H$58,4),VLOOKUP(N774,setup!$A$8:$H$58,5),VLOOKUP(N774,setup!$A$8:$H$58,6),VLOOKUP(N774,setup!$A$8:$H$58,7), VLOOKUP(0,setup!$A$8:$H$58,2),VLOOKUP(0,setup!$A$8:$H$58,5),VLOOKUP(N774,setup!$A$8:$H$58,8))</f>
        <v>           $retorno = $bo-&gt;carregarPorDtestagioerro($daofactory, $dtEstagioErro);</v>
      </c>
    </row>
    <row r="775" spans="1:15" x14ac:dyDescent="0.25">
      <c r="A775" s="6" t="s">
        <v>68</v>
      </c>
      <c r="N775">
        <v>10</v>
      </c>
      <c r="O775" s="7" t="str">
        <f ca="1">getCodigoBackend(N775,A775,VLOOKUP(N775,setup!$A$8:$H$58,2),VLOOKUP(N775,setup!$A$8:$H$58,3),VLOOKUP(N775,setup!$A$8:$H$58,4),VLOOKUP(N775,setup!$A$8:$H$58,5),VLOOKUP(N775,setup!$A$8:$H$58,6),VLOOKUP(N775,setup!$A$8:$H$58,7), VLOOKUP(0,setup!$A$8:$H$58,2),VLOOKUP(0,setup!$A$8:$H$58,5),VLOOKUP(N775,setup!$A$8:$H$58,8))</f>
        <v>           if ($retorno-&gt;msgcode == ConstantesMensagem::COMANDO_REALIZADO_COM_SUCESSO){</v>
      </c>
    </row>
    <row r="776" spans="1:15" x14ac:dyDescent="0.25">
      <c r="A776" s="6" t="s">
        <v>48</v>
      </c>
      <c r="N776">
        <v>10</v>
      </c>
      <c r="O776" s="7" t="str">
        <f ca="1">getCodigoBackend(N776,A776,VLOOKUP(N776,setup!$A$8:$H$58,2),VLOOKUP(N776,setup!$A$8:$H$58,3),VLOOKUP(N776,setup!$A$8:$H$58,4),VLOOKUP(N776,setup!$A$8:$H$58,5),VLOOKUP(N776,setup!$A$8:$H$58,6),VLOOKUP(N776,setup!$A$8:$H$58,7), VLOOKUP(0,setup!$A$8:$H$58,2),VLOOKUP(0,setup!$A$8:$H$58,5),VLOOKUP(N776,setup!$A$8:$H$58,8))</f>
        <v>                $daofactory-&gt;commit();</v>
      </c>
    </row>
    <row r="777" spans="1:15" x14ac:dyDescent="0.25">
      <c r="A777" s="6" t="s">
        <v>63</v>
      </c>
      <c r="N777">
        <v>10</v>
      </c>
      <c r="O777" s="7" t="str">
        <f ca="1">getCodigoBackend(N777,A777,VLOOKUP(N777,setup!$A$8:$H$58,2),VLOOKUP(N777,setup!$A$8:$H$58,3),VLOOKUP(N777,setup!$A$8:$H$58,4),VLOOKUP(N777,setup!$A$8:$H$58,5),VLOOKUP(N777,setup!$A$8:$H$58,6),VLOOKUP(N777,setup!$A$8:$H$58,7), VLOOKUP(0,setup!$A$8:$H$58,2),VLOOKUP(0,setup!$A$8:$H$58,5),VLOOKUP(N777,setup!$A$8:$H$58,8))</f>
        <v>           } else {</v>
      </c>
    </row>
    <row r="778" spans="1:15" x14ac:dyDescent="0.25">
      <c r="A778" s="6" t="s">
        <v>50</v>
      </c>
      <c r="N778">
        <v>10</v>
      </c>
      <c r="O778" s="7" t="str">
        <f ca="1">getCodigoBackend(N778,A778,VLOOKUP(N778,setup!$A$8:$H$58,2),VLOOKUP(N778,setup!$A$8:$H$58,3),VLOOKUP(N778,setup!$A$8:$H$58,4),VLOOKUP(N778,setup!$A$8:$H$58,5),VLOOKUP(N778,setup!$A$8:$H$58,6),VLOOKUP(N778,setup!$A$8:$H$58,7), VLOOKUP(0,setup!$A$8:$H$58,2),VLOOKUP(0,setup!$A$8:$H$58,5),VLOOKUP(N778,setup!$A$8:$H$58,8))</f>
        <v>                $daofactory-&gt;rollback();</v>
      </c>
    </row>
    <row r="779" spans="1:15" x14ac:dyDescent="0.25">
      <c r="A779" s="6" t="s">
        <v>64</v>
      </c>
      <c r="N779">
        <v>10</v>
      </c>
      <c r="O779" s="7" t="str">
        <f ca="1">getCodigoBackend(N779,A779,VLOOKUP(N779,setup!$A$8:$H$58,2),VLOOKUP(N779,setup!$A$8:$H$58,3),VLOOKUP(N779,setup!$A$8:$H$58,4),VLOOKUP(N779,setup!$A$8:$H$58,5),VLOOKUP(N779,setup!$A$8:$H$58,6),VLOOKUP(N779,setup!$A$8:$H$58,7), VLOOKUP(0,setup!$A$8:$H$58,2),VLOOKUP(0,setup!$A$8:$H$58,5),VLOOKUP(N779,setup!$A$8:$H$58,8))</f>
        <v>           }</v>
      </c>
    </row>
    <row r="780" spans="1:15" x14ac:dyDescent="0.25">
      <c r="A780" s="6" t="s">
        <v>45</v>
      </c>
      <c r="N780">
        <v>10</v>
      </c>
      <c r="O780" s="7" t="str">
        <f ca="1">getCodigoBackend(N780,A780,VLOOKUP(N780,setup!$A$8:$H$58,2),VLOOKUP(N780,setup!$A$8:$H$58,3),VLOOKUP(N780,setup!$A$8:$H$58,4),VLOOKUP(N780,setup!$A$8:$H$58,5),VLOOKUP(N780,setup!$A$8:$H$58,6),VLOOKUP(N780,setup!$A$8:$H$58,7), VLOOKUP(0,setup!$A$8:$H$58,2),VLOOKUP(0,setup!$A$8:$H$58,5),VLOOKUP(N780,setup!$A$8:$H$58,8))</f>
        <v>            </v>
      </c>
    </row>
    <row r="781" spans="1:15" x14ac:dyDescent="0.25">
      <c r="A781" s="6" t="s">
        <v>52</v>
      </c>
      <c r="N781">
        <v>10</v>
      </c>
      <c r="O781" s="7" t="str">
        <f ca="1">getCodigoBackend(N781,A781,VLOOKUP(N781,setup!$A$8:$H$58,2),VLOOKUP(N781,setup!$A$8:$H$58,3),VLOOKUP(N781,setup!$A$8:$H$58,4),VLOOKUP(N781,setup!$A$8:$H$58,5),VLOOKUP(N781,setup!$A$8:$H$58,6),VLOOKUP(N781,setup!$A$8:$H$58,7), VLOOKUP(0,setup!$A$8:$H$58,2),VLOOKUP(0,setup!$A$8:$H$58,5),VLOOKUP(N781,setup!$A$8:$H$58,8))</f>
        <v>        } catch (Exception $e) {</v>
      </c>
    </row>
    <row r="782" spans="1:15" x14ac:dyDescent="0.25">
      <c r="A782" s="6" t="s">
        <v>53</v>
      </c>
      <c r="N782">
        <v>10</v>
      </c>
      <c r="O782" s="7" t="str">
        <f ca="1">getCodigoBackend(N782,A782,VLOOKUP(N782,setup!$A$8:$H$58,2),VLOOKUP(N782,setup!$A$8:$H$58,3),VLOOKUP(N782,setup!$A$8:$H$58,4),VLOOKUP(N782,setup!$A$8:$H$58,5),VLOOKUP(N782,setup!$A$8:$H$58,6),VLOOKUP(N782,setup!$A$8:$H$58,7), VLOOKUP(0,setup!$A$8:$H$58,2),VLOOKUP(0,setup!$A$8:$H$58,5),VLOOKUP(N782,setup!$A$8:$H$58,8))</f>
        <v>            // rollback na transação</v>
      </c>
    </row>
    <row r="783" spans="1:15" x14ac:dyDescent="0.25">
      <c r="N783">
        <v>10</v>
      </c>
      <c r="O783" s="7" t="str">
        <f ca="1">getCodigoBackend(N783,A783,VLOOKUP(N783,setup!$A$8:$H$58,2),VLOOKUP(N783,setup!$A$8:$H$58,3),VLOOKUP(N783,setup!$A$8:$H$58,4),VLOOKUP(N783,setup!$A$8:$H$58,5),VLOOKUP(N783,setup!$A$8:$H$58,6),VLOOKUP(N783,setup!$A$8:$H$58,7), VLOOKUP(0,setup!$A$8:$H$58,2),VLOOKUP(0,setup!$A$8:$H$58,5),VLOOKUP(N783,setup!$A$8:$H$58,8))</f>
        <v/>
      </c>
    </row>
    <row r="784" spans="1:15" x14ac:dyDescent="0.25">
      <c r="A784" s="6" t="s">
        <v>55</v>
      </c>
      <c r="N784">
        <v>10</v>
      </c>
      <c r="O784" s="7" t="str">
        <f ca="1">getCodigoBackend(N784,A784,VLOOKUP(N784,setup!$A$8:$H$58,2),VLOOKUP(N784,setup!$A$8:$H$58,3),VLOOKUP(N784,setup!$A$8:$H$58,4),VLOOKUP(N784,setup!$A$8:$H$58,5),VLOOKUP(N784,setup!$A$8:$H$58,6),VLOOKUP(N784,setup!$A$8:$H$58,7), VLOOKUP(0,setup!$A$8:$H$58,2),VLOOKUP(0,setup!$A$8:$H$58,5),VLOOKUP(N784,setup!$A$8:$H$58,8))</f>
        <v>        } finally {</v>
      </c>
    </row>
    <row r="785" spans="1:15" x14ac:dyDescent="0.25">
      <c r="A785" s="6" t="s">
        <v>56</v>
      </c>
      <c r="N785">
        <v>10</v>
      </c>
      <c r="O785" s="7" t="str">
        <f ca="1">getCodigoBackend(N785,A785,VLOOKUP(N785,setup!$A$8:$H$58,2),VLOOKUP(N785,setup!$A$8:$H$58,3),VLOOKUP(N785,setup!$A$8:$H$58,4),VLOOKUP(N785,setup!$A$8:$H$58,5),VLOOKUP(N785,setup!$A$8:$H$58,6),VLOOKUP(N785,setup!$A$8:$H$58,7), VLOOKUP(0,setup!$A$8:$H$58,2),VLOOKUP(0,setup!$A$8:$H$58,5),VLOOKUP(N785,setup!$A$8:$H$58,8))</f>
        <v>            try {</v>
      </c>
    </row>
    <row r="786" spans="1:15" x14ac:dyDescent="0.25">
      <c r="A786" s="6" t="s">
        <v>57</v>
      </c>
      <c r="N786">
        <v>10</v>
      </c>
      <c r="O786" s="7" t="str">
        <f ca="1">getCodigoBackend(N786,A786,VLOOKUP(N786,setup!$A$8:$H$58,2),VLOOKUP(N786,setup!$A$8:$H$58,3),VLOOKUP(N786,setup!$A$8:$H$58,4),VLOOKUP(N786,setup!$A$8:$H$58,5),VLOOKUP(N786,setup!$A$8:$H$58,6),VLOOKUP(N786,setup!$A$8:$H$58,7), VLOOKUP(0,setup!$A$8:$H$58,2),VLOOKUP(0,setup!$A$8:$H$58,5),VLOOKUP(N786,setup!$A$8:$H$58,8))</f>
        <v>                $daofactory-&gt;close();</v>
      </c>
    </row>
    <row r="787" spans="1:15" x14ac:dyDescent="0.25">
      <c r="A787" s="6" t="s">
        <v>58</v>
      </c>
      <c r="N787">
        <v>10</v>
      </c>
      <c r="O787" s="7" t="str">
        <f ca="1">getCodigoBackend(N787,A787,VLOOKUP(N787,setup!$A$8:$H$58,2),VLOOKUP(N787,setup!$A$8:$H$58,3),VLOOKUP(N787,setup!$A$8:$H$58,4),VLOOKUP(N787,setup!$A$8:$H$58,5),VLOOKUP(N787,setup!$A$8:$H$58,6),VLOOKUP(N787,setup!$A$8:$H$58,7), VLOOKUP(0,setup!$A$8:$H$58,2),VLOOKUP(0,setup!$A$8:$H$58,5),VLOOKUP(N787,setup!$A$8:$H$58,8))</f>
        <v>            } catch (Exception $e) {</v>
      </c>
    </row>
    <row r="788" spans="1:15" x14ac:dyDescent="0.25">
      <c r="A788" s="6" t="s">
        <v>59</v>
      </c>
      <c r="N788">
        <v>10</v>
      </c>
      <c r="O788" s="7" t="str">
        <f ca="1">getCodigoBackend(N788,A788,VLOOKUP(N788,setup!$A$8:$H$58,2),VLOOKUP(N788,setup!$A$8:$H$58,3),VLOOKUP(N788,setup!$A$8:$H$58,4),VLOOKUP(N788,setup!$A$8:$H$58,5),VLOOKUP(N788,setup!$A$8:$H$58,6),VLOOKUP(N788,setup!$A$8:$H$58,7), VLOOKUP(0,setup!$A$8:$H$58,2),VLOOKUP(0,setup!$A$8:$H$58,5),VLOOKUP(N788,setup!$A$8:$H$58,8))</f>
        <v>                // faz algo</v>
      </c>
    </row>
    <row r="789" spans="1:15" x14ac:dyDescent="0.25">
      <c r="A789" s="6" t="s">
        <v>51</v>
      </c>
      <c r="N789">
        <v>10</v>
      </c>
      <c r="O789" s="7" t="str">
        <f ca="1">getCodigoBackend(N789,A789,VLOOKUP(N789,setup!$A$8:$H$58,2),VLOOKUP(N789,setup!$A$8:$H$58,3),VLOOKUP(N789,setup!$A$8:$H$58,4),VLOOKUP(N789,setup!$A$8:$H$58,5),VLOOKUP(N789,setup!$A$8:$H$58,6),VLOOKUP(N789,setup!$A$8:$H$58,7), VLOOKUP(0,setup!$A$8:$H$58,2),VLOOKUP(0,setup!$A$8:$H$58,5),VLOOKUP(N789,setup!$A$8:$H$58,8))</f>
        <v>            }</v>
      </c>
    </row>
    <row r="790" spans="1:15" x14ac:dyDescent="0.25">
      <c r="A790" s="6" t="s">
        <v>60</v>
      </c>
      <c r="N790">
        <v>10</v>
      </c>
      <c r="O790" s="7" t="str">
        <f ca="1">getCodigoBackend(N790,A790,VLOOKUP(N790,setup!$A$8:$H$58,2),VLOOKUP(N790,setup!$A$8:$H$58,3),VLOOKUP(N790,setup!$A$8:$H$58,4),VLOOKUP(N790,setup!$A$8:$H$58,5),VLOOKUP(N790,setup!$A$8:$H$58,6),VLOOKUP(N790,setup!$A$8:$H$58,7), VLOOKUP(0,setup!$A$8:$H$58,2),VLOOKUP(0,setup!$A$8:$H$58,5),VLOOKUP(N790,setup!$A$8:$H$58,8))</f>
        <v>        }</v>
      </c>
    </row>
    <row r="791" spans="1:15" x14ac:dyDescent="0.25">
      <c r="N791">
        <v>10</v>
      </c>
      <c r="O791" s="7" t="str">
        <f ca="1">getCodigoBackend(N791,A791,VLOOKUP(N791,setup!$A$8:$H$58,2),VLOOKUP(N791,setup!$A$8:$H$58,3),VLOOKUP(N791,setup!$A$8:$H$58,4),VLOOKUP(N791,setup!$A$8:$H$58,5),VLOOKUP(N791,setup!$A$8:$H$58,6),VLOOKUP(N791,setup!$A$8:$H$58,7), VLOOKUP(0,setup!$A$8:$H$58,2),VLOOKUP(0,setup!$A$8:$H$58,5),VLOOKUP(N791,setup!$A$8:$H$58,8))</f>
        <v/>
      </c>
    </row>
    <row r="792" spans="1:15" x14ac:dyDescent="0.25">
      <c r="A792" s="6" t="s">
        <v>61</v>
      </c>
      <c r="N792">
        <v>10</v>
      </c>
      <c r="O792" s="7" t="str">
        <f ca="1">getCodigoBackend(N792,A792,VLOOKUP(N792,setup!$A$8:$H$58,2),VLOOKUP(N792,setup!$A$8:$H$58,3),VLOOKUP(N792,setup!$A$8:$H$58,4),VLOOKUP(N792,setup!$A$8:$H$58,5),VLOOKUP(N792,setup!$A$8:$H$58,6),VLOOKUP(N792,setup!$A$8:$H$58,7), VLOOKUP(0,setup!$A$8:$H$58,2),VLOOKUP(0,setup!$A$8:$H$58,5),VLOOKUP(N792,setup!$A$8:$H$58,8))</f>
        <v>        return $retorno;</v>
      </c>
    </row>
    <row r="793" spans="1:15" x14ac:dyDescent="0.25">
      <c r="A793" s="6" t="s">
        <v>62</v>
      </c>
      <c r="N793">
        <v>10</v>
      </c>
      <c r="O793" s="7" t="str">
        <f ca="1">getCodigoBackend(N793,A793,VLOOKUP(N793,setup!$A$8:$H$58,2),VLOOKUP(N793,setup!$A$8:$H$58,3),VLOOKUP(N793,setup!$A$8:$H$58,4),VLOOKUP(N793,setup!$A$8:$H$58,5),VLOOKUP(N793,setup!$A$8:$H$58,6),VLOOKUP(N793,setup!$A$8:$H$58,7), VLOOKUP(0,setup!$A$8:$H$58,2),VLOOKUP(0,setup!$A$8:$H$58,5),VLOOKUP(N793,setup!$A$8:$H$58,8))</f>
        <v>    }</v>
      </c>
    </row>
    <row r="794" spans="1:15" x14ac:dyDescent="0.25">
      <c r="A794" s="6"/>
      <c r="O794" s="7"/>
    </row>
    <row r="795" spans="1:15" x14ac:dyDescent="0.25">
      <c r="A795" s="6"/>
      <c r="O795" s="7" t="str">
        <f ca="1">getCodigoBackend(N795,A795,VLOOKUP(N795,setup!$A$8:$H$58,2),VLOOKUP(N795,setup!$A$8:$H$58,3),VLOOKUP(N795,setup!$A$8:$H$58,4),VLOOKUP(N795,setup!$A$8:$H$58,5),VLOOKUP(N795,setup!$A$8:$H$58,6),VLOOKUP(N795,setup!$A$8:$H$58,7), VLOOKUP(0,setup!$A$8:$H$58,2),VLOOKUP(0,setup!$A$8:$H$58,5),VLOOKUP(N795,setup!$A$8:$H$58,8))</f>
        <v/>
      </c>
    </row>
    <row r="796" spans="1:15" x14ac:dyDescent="0.25">
      <c r="A796" s="4" t="s">
        <v>19</v>
      </c>
      <c r="N796">
        <v>11</v>
      </c>
      <c r="O796" s="7" t="str">
        <f ca="1">getCodigoBackend(N796,A796,VLOOKUP(N796,setup!$A$8:$H$58,2),VLOOKUP(N796,setup!$A$8:$H$58,3),VLOOKUP(N796,setup!$A$8:$H$58,4),VLOOKUP(N796,setup!$A$8:$H$58,5),VLOOKUP(N796,setup!$A$8:$H$58,6),VLOOKUP(N796,setup!$A$8:$H$58,7), VLOOKUP(0,setup!$A$8:$H$58,2),VLOOKUP(0,setup!$A$8:$H$58,5),VLOOKUP(N796,setup!$A$8:$H$58,8))</f>
        <v>/**</v>
      </c>
    </row>
    <row r="797" spans="1:15" x14ac:dyDescent="0.25">
      <c r="A797" s="4" t="s">
        <v>20</v>
      </c>
      <c r="N797">
        <v>11</v>
      </c>
      <c r="O797" s="7" t="str">
        <f ca="1">getCodigoBackend(N797,A797,VLOOKUP(N797,setup!$A$8:$H$58,2),VLOOKUP(N797,setup!$A$8:$H$58,3),VLOOKUP(N797,setup!$A$8:$H$58,4),VLOOKUP(N797,setup!$A$8:$H$58,5),VLOOKUP(N797,setup!$A$8:$H$58,6),VLOOKUP(N797,setup!$A$8:$H$58,7), VLOOKUP(0,setup!$A$8:$H$58,2),VLOOKUP(0,setup!$A$8:$H$58,5),VLOOKUP(N797,setup!$A$8:$H$58,8))</f>
        <v>*</v>
      </c>
    </row>
    <row r="798" spans="1:15" x14ac:dyDescent="0.25">
      <c r="A798" s="4" t="s">
        <v>716</v>
      </c>
      <c r="N798">
        <v>11</v>
      </c>
      <c r="O798" s="7" t="str">
        <f ca="1">getCodigoBackend(N798,A798,VLOOKUP(N798,setup!$A$8:$H$58,2),VLOOKUP(N798,setup!$A$8:$H$58,3),VLOOKUP(N798,setup!$A$8:$H$58,4),VLOOKUP(N798,setup!$A$8:$H$58,5),VLOOKUP(N798,setup!$A$8:$H$58,6),VLOOKUP(N798,setup!$A$8:$H$58,7), VLOOKUP(0,setup!$A$8:$H$58,2),VLOOKUP(0,setup!$A$8:$H$58,5),VLOOKUP(N798,setup!$A$8:$H$58,8))</f>
        <v>* pesquisarPorDtestagiotranfbco() - Usado para invocar a classe de negócio CampanhaCashbackResgatePixBusinessImpl de forma geral</v>
      </c>
    </row>
    <row r="799" spans="1:15" x14ac:dyDescent="0.25">
      <c r="A799" s="4" t="s">
        <v>717</v>
      </c>
      <c r="N799">
        <v>11</v>
      </c>
      <c r="O799" s="7" t="str">
        <f ca="1">getCodigoBackend(N799,A799,VLOOKUP(N799,setup!$A$8:$H$58,2),VLOOKUP(N799,setup!$A$8:$H$58,3),VLOOKUP(N799,setup!$A$8:$H$58,4),VLOOKUP(N799,setup!$A$8:$H$58,5),VLOOKUP(N799,setup!$A$8:$H$58,6),VLOOKUP(N799,setup!$A$8:$H$58,7), VLOOKUP(0,setup!$A$8:$H$58,2),VLOOKUP(0,setup!$A$8:$H$58,5),VLOOKUP(N799,setup!$A$8:$H$58,8))</f>
        <v>* realizar uma busca de Data Registro Estágio Transferido Bco diretamente na tabela CAMPANHA_CASHBACK_RESGATE_PIX campo CCRP_DT_ESTAGIO_TRANSF_BCO</v>
      </c>
    </row>
    <row r="800" spans="1:15" x14ac:dyDescent="0.25">
      <c r="A800" s="4" t="s">
        <v>20</v>
      </c>
      <c r="N800">
        <v>11</v>
      </c>
      <c r="O800" s="7" t="str">
        <f ca="1">getCodigoBackend(N800,A800,VLOOKUP(N800,setup!$A$8:$H$58,2),VLOOKUP(N800,setup!$A$8:$H$58,3),VLOOKUP(N800,setup!$A$8:$H$58,4),VLOOKUP(N800,setup!$A$8:$H$58,5),VLOOKUP(N800,setup!$A$8:$H$58,6),VLOOKUP(N800,setup!$A$8:$H$58,7), VLOOKUP(0,setup!$A$8:$H$58,2),VLOOKUP(0,setup!$A$8:$H$58,5),VLOOKUP(N800,setup!$A$8:$H$58,8))</f>
        <v>*</v>
      </c>
    </row>
    <row r="801" spans="1:15" x14ac:dyDescent="0.25">
      <c r="A801" s="4" t="s">
        <v>723</v>
      </c>
      <c r="N801">
        <v>11</v>
      </c>
      <c r="O801" s="7" t="str">
        <f ca="1">getCodigoBackend(N801,A801,VLOOKUP(N801,setup!$A$8:$H$58,2),VLOOKUP(N801,setup!$A$8:$H$58,3),VLOOKUP(N801,setup!$A$8:$H$58,4),VLOOKUP(N801,setup!$A$8:$H$58,5),VLOOKUP(N801,setup!$A$8:$H$58,6),VLOOKUP(N801,setup!$A$8:$H$58,7), VLOOKUP(0,setup!$A$8:$H$58,2),VLOOKUP(0,setup!$A$8:$H$58,5),VLOOKUP(N801,setup!$A$8:$H$58,8))</f>
        <v>* @param $dtEstagioTranfBco</v>
      </c>
    </row>
    <row r="802" spans="1:15" x14ac:dyDescent="0.25">
      <c r="A802" s="4" t="s">
        <v>347</v>
      </c>
      <c r="N802">
        <v>11</v>
      </c>
      <c r="O802" s="7" t="str">
        <f ca="1">getCodigoBackend(N802,A802,VLOOKUP(N802,setup!$A$8:$H$58,2),VLOOKUP(N802,setup!$A$8:$H$58,3),VLOOKUP(N802,setup!$A$8:$H$58,4),VLOOKUP(N802,setup!$A$8:$H$58,5),VLOOKUP(N802,setup!$A$8:$H$58,6),VLOOKUP(N802,setup!$A$8:$H$58,7), VLOOKUP(0,setup!$A$8:$H$58,2),VLOOKUP(0,setup!$A$8:$H$58,5),VLOOKUP(N802,setup!$A$8:$H$58,8))</f>
        <v>* @return CampanhaCashbackResgatePixDTO</v>
      </c>
    </row>
    <row r="803" spans="1:15" x14ac:dyDescent="0.25">
      <c r="A803" s="4" t="s">
        <v>20</v>
      </c>
      <c r="N803">
        <v>11</v>
      </c>
      <c r="O803" s="7" t="str">
        <f ca="1">getCodigoBackend(N803,A803,VLOOKUP(N803,setup!$A$8:$H$58,2),VLOOKUP(N803,setup!$A$8:$H$58,3),VLOOKUP(N803,setup!$A$8:$H$58,4),VLOOKUP(N803,setup!$A$8:$H$58,5),VLOOKUP(N803,setup!$A$8:$H$58,6),VLOOKUP(N803,setup!$A$8:$H$58,7), VLOOKUP(0,setup!$A$8:$H$58,2),VLOOKUP(0,setup!$A$8:$H$58,5),VLOOKUP(N803,setup!$A$8:$H$58,8))</f>
        <v>*</v>
      </c>
    </row>
    <row r="804" spans="1:15" x14ac:dyDescent="0.25">
      <c r="A804" s="4" t="s">
        <v>75</v>
      </c>
      <c r="N804">
        <v>11</v>
      </c>
      <c r="O804" s="7" t="str">
        <f ca="1">getCodigoBackend(N804,A804,VLOOKUP(N804,setup!$A$8:$H$58,2),VLOOKUP(N804,setup!$A$8:$H$58,3),VLOOKUP(N804,setup!$A$8:$H$58,4),VLOOKUP(N804,setup!$A$8:$H$58,5),VLOOKUP(N804,setup!$A$8:$H$58,6),VLOOKUP(N804,setup!$A$8:$H$58,7), VLOOKUP(0,setup!$A$8:$H$58,2),VLOOKUP(0,setup!$A$8:$H$58,5),VLOOKUP(N804,setup!$A$8:$H$58,8))</f>
        <v xml:space="preserve">* </v>
      </c>
    </row>
    <row r="805" spans="1:15" x14ac:dyDescent="0.25">
      <c r="A805" s="4" t="s">
        <v>21</v>
      </c>
      <c r="N805">
        <v>11</v>
      </c>
      <c r="O805" s="7" t="str">
        <f ca="1">getCodigoBackend(N805,A805,VLOOKUP(N805,setup!$A$8:$H$58,2),VLOOKUP(N805,setup!$A$8:$H$58,3),VLOOKUP(N805,setup!$A$8:$H$58,4),VLOOKUP(N805,setup!$A$8:$H$58,5),VLOOKUP(N805,setup!$A$8:$H$58,6),VLOOKUP(N805,setup!$A$8:$H$58,7), VLOOKUP(0,setup!$A$8:$H$58,2),VLOOKUP(0,setup!$A$8:$H$58,5),VLOOKUP(N805,setup!$A$8:$H$58,8))</f>
        <v>*/</v>
      </c>
    </row>
    <row r="806" spans="1:15" x14ac:dyDescent="0.25">
      <c r="N806">
        <v>11</v>
      </c>
      <c r="O806" s="7" t="str">
        <f ca="1">getCodigoBackend(N806,A806,VLOOKUP(N806,setup!$A$8:$H$58,2),VLOOKUP(N806,setup!$A$8:$H$58,3),VLOOKUP(N806,setup!$A$8:$H$58,4),VLOOKUP(N806,setup!$A$8:$H$58,5),VLOOKUP(N806,setup!$A$8:$H$58,6),VLOOKUP(N806,setup!$A$8:$H$58,7), VLOOKUP(0,setup!$A$8:$H$58,2),VLOOKUP(0,setup!$A$8:$H$58,5),VLOOKUP(N806,setup!$A$8:$H$58,8))</f>
        <v/>
      </c>
    </row>
    <row r="807" spans="1:15" x14ac:dyDescent="0.25">
      <c r="A807" s="6" t="s">
        <v>720</v>
      </c>
      <c r="N807">
        <v>11</v>
      </c>
      <c r="O807" s="7" t="str">
        <f ca="1">getCodigoBackend(N807,A807,VLOOKUP(N807,setup!$A$8:$H$58,2),VLOOKUP(N807,setup!$A$8:$H$58,3),VLOOKUP(N807,setup!$A$8:$H$58,4),VLOOKUP(N807,setup!$A$8:$H$58,5),VLOOKUP(N807,setup!$A$8:$H$58,6),VLOOKUP(N807,setup!$A$8:$H$58,7), VLOOKUP(0,setup!$A$8:$H$58,2),VLOOKUP(0,setup!$A$8:$H$58,5),VLOOKUP(N807,setup!$A$8:$H$58,8))</f>
        <v>    public function pesquisarPorDtestagiotranfbco($dtEstagioTranfBco)</v>
      </c>
    </row>
    <row r="808" spans="1:15" x14ac:dyDescent="0.25">
      <c r="A808" s="6" t="s">
        <v>38</v>
      </c>
      <c r="N808">
        <v>11</v>
      </c>
      <c r="O808" s="7" t="str">
        <f ca="1">getCodigoBackend(N808,A808,VLOOKUP(N808,setup!$A$8:$H$58,2),VLOOKUP(N808,setup!$A$8:$H$58,3),VLOOKUP(N808,setup!$A$8:$H$58,4),VLOOKUP(N808,setup!$A$8:$H$58,5),VLOOKUP(N808,setup!$A$8:$H$58,6),VLOOKUP(N808,setup!$A$8:$H$58,7), VLOOKUP(0,setup!$A$8:$H$58,2),VLOOKUP(0,setup!$A$8:$H$58,5),VLOOKUP(N808,setup!$A$8:$H$58,8))</f>
        <v>    {</v>
      </c>
    </row>
    <row r="809" spans="1:15" x14ac:dyDescent="0.25">
      <c r="A809" s="6" t="s">
        <v>39</v>
      </c>
      <c r="N809">
        <v>11</v>
      </c>
      <c r="O809" s="7" t="str">
        <f ca="1">getCodigoBackend(N809,A809,VLOOKUP(N809,setup!$A$8:$H$58,2),VLOOKUP(N809,setup!$A$8:$H$58,3),VLOOKUP(N809,setup!$A$8:$H$58,4),VLOOKUP(N809,setup!$A$8:$H$58,5),VLOOKUP(N809,setup!$A$8:$H$58,6),VLOOKUP(N809,setup!$A$8:$H$58,7), VLOOKUP(0,setup!$A$8:$H$58,2),VLOOKUP(0,setup!$A$8:$H$58,5),VLOOKUP(N809,setup!$A$8:$H$58,8))</f>
        <v>        $daofactory = NULL;</v>
      </c>
    </row>
    <row r="810" spans="1:15" x14ac:dyDescent="0.25">
      <c r="A810" s="6" t="s">
        <v>40</v>
      </c>
      <c r="N810">
        <v>11</v>
      </c>
      <c r="O810" s="7" t="str">
        <f ca="1">getCodigoBackend(N810,A810,VLOOKUP(N810,setup!$A$8:$H$58,2),VLOOKUP(N810,setup!$A$8:$H$58,3),VLOOKUP(N810,setup!$A$8:$H$58,4),VLOOKUP(N810,setup!$A$8:$H$58,5),VLOOKUP(N810,setup!$A$8:$H$58,6),VLOOKUP(N810,setup!$A$8:$H$58,7), VLOOKUP(0,setup!$A$8:$H$58,2),VLOOKUP(0,setup!$A$8:$H$58,5),VLOOKUP(N810,setup!$A$8:$H$58,8))</f>
        <v>        $retorno = NULL;</v>
      </c>
    </row>
    <row r="811" spans="1:15" x14ac:dyDescent="0.25">
      <c r="A811" s="6" t="s">
        <v>41</v>
      </c>
      <c r="N811">
        <v>11</v>
      </c>
      <c r="O811" s="7" t="str">
        <f ca="1">getCodigoBackend(N811,A811,VLOOKUP(N811,setup!$A$8:$H$58,2),VLOOKUP(N811,setup!$A$8:$H$58,3),VLOOKUP(N811,setup!$A$8:$H$58,4),VLOOKUP(N811,setup!$A$8:$H$58,5),VLOOKUP(N811,setup!$A$8:$H$58,6),VLOOKUP(N811,setup!$A$8:$H$58,7), VLOOKUP(0,setup!$A$8:$H$58,2),VLOOKUP(0,setup!$A$8:$H$58,5),VLOOKUP(N811,setup!$A$8:$H$58,8))</f>
        <v>        try {</v>
      </c>
    </row>
    <row r="812" spans="1:15" x14ac:dyDescent="0.25">
      <c r="A812" s="6" t="s">
        <v>42</v>
      </c>
      <c r="N812">
        <v>11</v>
      </c>
      <c r="O812" s="7" t="str">
        <f ca="1">getCodigoBackend(N812,A812,VLOOKUP(N812,setup!$A$8:$H$58,2),VLOOKUP(N812,setup!$A$8:$H$58,3),VLOOKUP(N812,setup!$A$8:$H$58,4),VLOOKUP(N812,setup!$A$8:$H$58,5),VLOOKUP(N812,setup!$A$8:$H$58,6),VLOOKUP(N812,setup!$A$8:$H$58,7), VLOOKUP(0,setup!$A$8:$H$58,2),VLOOKUP(0,setup!$A$8:$H$58,5),VLOOKUP(N812,setup!$A$8:$H$58,8))</f>
        <v>            $daofactory = DAOFactory::getDAOFactory();</v>
      </c>
    </row>
    <row r="813" spans="1:15" x14ac:dyDescent="0.25">
      <c r="A813" s="6" t="s">
        <v>43</v>
      </c>
      <c r="N813">
        <v>11</v>
      </c>
      <c r="O813" s="7" t="str">
        <f ca="1">getCodigoBackend(N813,A813,VLOOKUP(N813,setup!$A$8:$H$58,2),VLOOKUP(N813,setup!$A$8:$H$58,3),VLOOKUP(N813,setup!$A$8:$H$58,4),VLOOKUP(N813,setup!$A$8:$H$58,5),VLOOKUP(N813,setup!$A$8:$H$58,6),VLOOKUP(N813,setup!$A$8:$H$58,7), VLOOKUP(0,setup!$A$8:$H$58,2),VLOOKUP(0,setup!$A$8:$H$58,5),VLOOKUP(N813,setup!$A$8:$H$58,8))</f>
        <v>            $daofactory-&gt;open();</v>
      </c>
    </row>
    <row r="814" spans="1:15" x14ac:dyDescent="0.25">
      <c r="A814" s="6" t="s">
        <v>44</v>
      </c>
      <c r="N814">
        <v>11</v>
      </c>
      <c r="O814" s="7" t="str">
        <f ca="1">getCodigoBackend(N814,A814,VLOOKUP(N814,setup!$A$8:$H$58,2),VLOOKUP(N814,setup!$A$8:$H$58,3),VLOOKUP(N814,setup!$A$8:$H$58,4),VLOOKUP(N814,setup!$A$8:$H$58,5),VLOOKUP(N814,setup!$A$8:$H$58,6),VLOOKUP(N814,setup!$A$8:$H$58,7), VLOOKUP(0,setup!$A$8:$H$58,2),VLOOKUP(0,setup!$A$8:$H$58,5),VLOOKUP(N814,setup!$A$8:$H$58,8))</f>
        <v>            $daofactory-&gt;beginTransaction();</v>
      </c>
    </row>
    <row r="815" spans="1:15" x14ac:dyDescent="0.25">
      <c r="A815" s="6" t="s">
        <v>45</v>
      </c>
      <c r="N815">
        <v>11</v>
      </c>
      <c r="O815" s="7" t="str">
        <f ca="1">getCodigoBackend(N815,A815,VLOOKUP(N815,setup!$A$8:$H$58,2),VLOOKUP(N815,setup!$A$8:$H$58,3),VLOOKUP(N815,setup!$A$8:$H$58,4),VLOOKUP(N815,setup!$A$8:$H$58,5),VLOOKUP(N815,setup!$A$8:$H$58,6),VLOOKUP(N815,setup!$A$8:$H$58,7), VLOOKUP(0,setup!$A$8:$H$58,2),VLOOKUP(0,setup!$A$8:$H$58,5),VLOOKUP(N815,setup!$A$8:$H$58,8))</f>
        <v>            </v>
      </c>
    </row>
    <row r="816" spans="1:15" x14ac:dyDescent="0.25">
      <c r="A816" s="6" t="s">
        <v>722</v>
      </c>
      <c r="N816">
        <v>11</v>
      </c>
      <c r="O816" s="7" t="str">
        <f ca="1">getCodigoBackend(N816,A816,VLOOKUP(N816,setup!$A$8:$H$58,2),VLOOKUP(N816,setup!$A$8:$H$58,3),VLOOKUP(N816,setup!$A$8:$H$58,4),VLOOKUP(N816,setup!$A$8:$H$58,5),VLOOKUP(N816,setup!$A$8:$H$58,6),VLOOKUP(N816,setup!$A$8:$H$58,7), VLOOKUP(0,setup!$A$8:$H$58,2),VLOOKUP(0,setup!$A$8:$H$58,5),VLOOKUP(N816,setup!$A$8:$H$58,8))</f>
        <v>            // pesquisar pelo atributo CampanhaCashbackResgatePix.dtEstagioTranfBco no campo CCRP_DT_ESTAGIO_TRANSF_BCO da tabela CAMPANHA_CASHBACK_RESGATE_PIX</v>
      </c>
    </row>
    <row r="817" spans="1:15" x14ac:dyDescent="0.25">
      <c r="A817" s="6" t="s">
        <v>265</v>
      </c>
      <c r="N817">
        <v>11</v>
      </c>
      <c r="O817" s="7" t="str">
        <f ca="1">getCodigoBackend(N817,A817,VLOOKUP(N817,setup!$A$8:$H$58,2),VLOOKUP(N817,setup!$A$8:$H$58,3),VLOOKUP(N817,setup!$A$8:$H$58,4),VLOOKUP(N817,setup!$A$8:$H$58,5),VLOOKUP(N817,setup!$A$8:$H$58,6),VLOOKUP(N817,setup!$A$8:$H$58,7), VLOOKUP(0,setup!$A$8:$H$58,2),VLOOKUP(0,setup!$A$8:$H$58,5),VLOOKUP(N817,setup!$A$8:$H$58,8))</f>
        <v>           $bo = new CampanhaCashbackResgatePixBusinessImpl();</v>
      </c>
    </row>
    <row r="818" spans="1:15" x14ac:dyDescent="0.25">
      <c r="A818" s="6" t="s">
        <v>721</v>
      </c>
      <c r="N818">
        <v>11</v>
      </c>
      <c r="O818" s="7" t="str">
        <f ca="1">getCodigoBackend(N818,A818,VLOOKUP(N818,setup!$A$8:$H$58,2),VLOOKUP(N818,setup!$A$8:$H$58,3),VLOOKUP(N818,setup!$A$8:$H$58,4),VLOOKUP(N818,setup!$A$8:$H$58,5),VLOOKUP(N818,setup!$A$8:$H$58,6),VLOOKUP(N818,setup!$A$8:$H$58,7), VLOOKUP(0,setup!$A$8:$H$58,2),VLOOKUP(0,setup!$A$8:$H$58,5),VLOOKUP(N818,setup!$A$8:$H$58,8))</f>
        <v>           $retorno = $bo-&gt;carregarPorDtestagiotranfbco($daofactory, $dtEstagioTranfBco);</v>
      </c>
    </row>
    <row r="819" spans="1:15" x14ac:dyDescent="0.25">
      <c r="A819" s="6" t="s">
        <v>68</v>
      </c>
      <c r="N819">
        <v>11</v>
      </c>
      <c r="O819" s="7" t="str">
        <f ca="1">getCodigoBackend(N819,A819,VLOOKUP(N819,setup!$A$8:$H$58,2),VLOOKUP(N819,setup!$A$8:$H$58,3),VLOOKUP(N819,setup!$A$8:$H$58,4),VLOOKUP(N819,setup!$A$8:$H$58,5),VLOOKUP(N819,setup!$A$8:$H$58,6),VLOOKUP(N819,setup!$A$8:$H$58,7), VLOOKUP(0,setup!$A$8:$H$58,2),VLOOKUP(0,setup!$A$8:$H$58,5),VLOOKUP(N819,setup!$A$8:$H$58,8))</f>
        <v>           if ($retorno-&gt;msgcode == ConstantesMensagem::COMANDO_REALIZADO_COM_SUCESSO){</v>
      </c>
    </row>
    <row r="820" spans="1:15" x14ac:dyDescent="0.25">
      <c r="A820" s="6" t="s">
        <v>48</v>
      </c>
      <c r="N820">
        <v>11</v>
      </c>
      <c r="O820" s="7" t="str">
        <f ca="1">getCodigoBackend(N820,A820,VLOOKUP(N820,setup!$A$8:$H$58,2),VLOOKUP(N820,setup!$A$8:$H$58,3),VLOOKUP(N820,setup!$A$8:$H$58,4),VLOOKUP(N820,setup!$A$8:$H$58,5),VLOOKUP(N820,setup!$A$8:$H$58,6),VLOOKUP(N820,setup!$A$8:$H$58,7), VLOOKUP(0,setup!$A$8:$H$58,2),VLOOKUP(0,setup!$A$8:$H$58,5),VLOOKUP(N820,setup!$A$8:$H$58,8))</f>
        <v>                $daofactory-&gt;commit();</v>
      </c>
    </row>
    <row r="821" spans="1:15" x14ac:dyDescent="0.25">
      <c r="A821" s="6" t="s">
        <v>63</v>
      </c>
      <c r="N821">
        <v>11</v>
      </c>
      <c r="O821" s="7" t="str">
        <f ca="1">getCodigoBackend(N821,A821,VLOOKUP(N821,setup!$A$8:$H$58,2),VLOOKUP(N821,setup!$A$8:$H$58,3),VLOOKUP(N821,setup!$A$8:$H$58,4),VLOOKUP(N821,setup!$A$8:$H$58,5),VLOOKUP(N821,setup!$A$8:$H$58,6),VLOOKUP(N821,setup!$A$8:$H$58,7), VLOOKUP(0,setup!$A$8:$H$58,2),VLOOKUP(0,setup!$A$8:$H$58,5),VLOOKUP(N821,setup!$A$8:$H$58,8))</f>
        <v>           } else {</v>
      </c>
    </row>
    <row r="822" spans="1:15" x14ac:dyDescent="0.25">
      <c r="A822" s="6" t="s">
        <v>50</v>
      </c>
      <c r="N822">
        <v>11</v>
      </c>
      <c r="O822" s="7" t="str">
        <f ca="1">getCodigoBackend(N822,A822,VLOOKUP(N822,setup!$A$8:$H$58,2),VLOOKUP(N822,setup!$A$8:$H$58,3),VLOOKUP(N822,setup!$A$8:$H$58,4),VLOOKUP(N822,setup!$A$8:$H$58,5),VLOOKUP(N822,setup!$A$8:$H$58,6),VLOOKUP(N822,setup!$A$8:$H$58,7), VLOOKUP(0,setup!$A$8:$H$58,2),VLOOKUP(0,setup!$A$8:$H$58,5),VLOOKUP(N822,setup!$A$8:$H$58,8))</f>
        <v>                $daofactory-&gt;rollback();</v>
      </c>
    </row>
    <row r="823" spans="1:15" x14ac:dyDescent="0.25">
      <c r="A823" s="6" t="s">
        <v>64</v>
      </c>
      <c r="N823">
        <v>11</v>
      </c>
      <c r="O823" s="7" t="str">
        <f ca="1">getCodigoBackend(N823,A823,VLOOKUP(N823,setup!$A$8:$H$58,2),VLOOKUP(N823,setup!$A$8:$H$58,3),VLOOKUP(N823,setup!$A$8:$H$58,4),VLOOKUP(N823,setup!$A$8:$H$58,5),VLOOKUP(N823,setup!$A$8:$H$58,6),VLOOKUP(N823,setup!$A$8:$H$58,7), VLOOKUP(0,setup!$A$8:$H$58,2),VLOOKUP(0,setup!$A$8:$H$58,5),VLOOKUP(N823,setup!$A$8:$H$58,8))</f>
        <v>           }</v>
      </c>
    </row>
    <row r="824" spans="1:15" x14ac:dyDescent="0.25">
      <c r="A824" s="6" t="s">
        <v>45</v>
      </c>
      <c r="N824">
        <v>11</v>
      </c>
      <c r="O824" s="7" t="str">
        <f ca="1">getCodigoBackend(N824,A824,VLOOKUP(N824,setup!$A$8:$H$58,2),VLOOKUP(N824,setup!$A$8:$H$58,3),VLOOKUP(N824,setup!$A$8:$H$58,4),VLOOKUP(N824,setup!$A$8:$H$58,5),VLOOKUP(N824,setup!$A$8:$H$58,6),VLOOKUP(N824,setup!$A$8:$H$58,7), VLOOKUP(0,setup!$A$8:$H$58,2),VLOOKUP(0,setup!$A$8:$H$58,5),VLOOKUP(N824,setup!$A$8:$H$58,8))</f>
        <v>            </v>
      </c>
    </row>
    <row r="825" spans="1:15" x14ac:dyDescent="0.25">
      <c r="A825" s="6" t="s">
        <v>52</v>
      </c>
      <c r="N825">
        <v>11</v>
      </c>
      <c r="O825" s="7" t="str">
        <f ca="1">getCodigoBackend(N825,A825,VLOOKUP(N825,setup!$A$8:$H$58,2),VLOOKUP(N825,setup!$A$8:$H$58,3),VLOOKUP(N825,setup!$A$8:$H$58,4),VLOOKUP(N825,setup!$A$8:$H$58,5),VLOOKUP(N825,setup!$A$8:$H$58,6),VLOOKUP(N825,setup!$A$8:$H$58,7), VLOOKUP(0,setup!$A$8:$H$58,2),VLOOKUP(0,setup!$A$8:$H$58,5),VLOOKUP(N825,setup!$A$8:$H$58,8))</f>
        <v>        } catch (Exception $e) {</v>
      </c>
    </row>
    <row r="826" spans="1:15" x14ac:dyDescent="0.25">
      <c r="A826" s="6" t="s">
        <v>53</v>
      </c>
      <c r="N826">
        <v>11</v>
      </c>
      <c r="O826" s="7" t="str">
        <f ca="1">getCodigoBackend(N826,A826,VLOOKUP(N826,setup!$A$8:$H$58,2),VLOOKUP(N826,setup!$A$8:$H$58,3),VLOOKUP(N826,setup!$A$8:$H$58,4),VLOOKUP(N826,setup!$A$8:$H$58,5),VLOOKUP(N826,setup!$A$8:$H$58,6),VLOOKUP(N826,setup!$A$8:$H$58,7), VLOOKUP(0,setup!$A$8:$H$58,2),VLOOKUP(0,setup!$A$8:$H$58,5),VLOOKUP(N826,setup!$A$8:$H$58,8))</f>
        <v>            // rollback na transação</v>
      </c>
    </row>
    <row r="827" spans="1:15" x14ac:dyDescent="0.25">
      <c r="N827">
        <v>11</v>
      </c>
      <c r="O827" s="7" t="str">
        <f ca="1">getCodigoBackend(N827,A827,VLOOKUP(N827,setup!$A$8:$H$58,2),VLOOKUP(N827,setup!$A$8:$H$58,3),VLOOKUP(N827,setup!$A$8:$H$58,4),VLOOKUP(N827,setup!$A$8:$H$58,5),VLOOKUP(N827,setup!$A$8:$H$58,6),VLOOKUP(N827,setup!$A$8:$H$58,7), VLOOKUP(0,setup!$A$8:$H$58,2),VLOOKUP(0,setup!$A$8:$H$58,5),VLOOKUP(N827,setup!$A$8:$H$58,8))</f>
        <v/>
      </c>
    </row>
    <row r="828" spans="1:15" x14ac:dyDescent="0.25">
      <c r="A828" s="6" t="s">
        <v>55</v>
      </c>
      <c r="N828">
        <v>11</v>
      </c>
      <c r="O828" s="7" t="str">
        <f ca="1">getCodigoBackend(N828,A828,VLOOKUP(N828,setup!$A$8:$H$58,2),VLOOKUP(N828,setup!$A$8:$H$58,3),VLOOKUP(N828,setup!$A$8:$H$58,4),VLOOKUP(N828,setup!$A$8:$H$58,5),VLOOKUP(N828,setup!$A$8:$H$58,6),VLOOKUP(N828,setup!$A$8:$H$58,7), VLOOKUP(0,setup!$A$8:$H$58,2),VLOOKUP(0,setup!$A$8:$H$58,5),VLOOKUP(N828,setup!$A$8:$H$58,8))</f>
        <v>        } finally {</v>
      </c>
    </row>
    <row r="829" spans="1:15" x14ac:dyDescent="0.25">
      <c r="A829" s="6" t="s">
        <v>56</v>
      </c>
      <c r="N829">
        <v>11</v>
      </c>
      <c r="O829" s="7" t="str">
        <f ca="1">getCodigoBackend(N829,A829,VLOOKUP(N829,setup!$A$8:$H$58,2),VLOOKUP(N829,setup!$A$8:$H$58,3),VLOOKUP(N829,setup!$A$8:$H$58,4),VLOOKUP(N829,setup!$A$8:$H$58,5),VLOOKUP(N829,setup!$A$8:$H$58,6),VLOOKUP(N829,setup!$A$8:$H$58,7), VLOOKUP(0,setup!$A$8:$H$58,2),VLOOKUP(0,setup!$A$8:$H$58,5),VLOOKUP(N829,setup!$A$8:$H$58,8))</f>
        <v>            try {</v>
      </c>
    </row>
    <row r="830" spans="1:15" x14ac:dyDescent="0.25">
      <c r="A830" s="6" t="s">
        <v>57</v>
      </c>
      <c r="N830">
        <v>11</v>
      </c>
      <c r="O830" s="7" t="str">
        <f ca="1">getCodigoBackend(N830,A830,VLOOKUP(N830,setup!$A$8:$H$58,2),VLOOKUP(N830,setup!$A$8:$H$58,3),VLOOKUP(N830,setup!$A$8:$H$58,4),VLOOKUP(N830,setup!$A$8:$H$58,5),VLOOKUP(N830,setup!$A$8:$H$58,6),VLOOKUP(N830,setup!$A$8:$H$58,7), VLOOKUP(0,setup!$A$8:$H$58,2),VLOOKUP(0,setup!$A$8:$H$58,5),VLOOKUP(N830,setup!$A$8:$H$58,8))</f>
        <v>                $daofactory-&gt;close();</v>
      </c>
    </row>
    <row r="831" spans="1:15" x14ac:dyDescent="0.25">
      <c r="A831" s="6" t="s">
        <v>58</v>
      </c>
      <c r="N831">
        <v>11</v>
      </c>
      <c r="O831" s="7" t="str">
        <f ca="1">getCodigoBackend(N831,A831,VLOOKUP(N831,setup!$A$8:$H$58,2),VLOOKUP(N831,setup!$A$8:$H$58,3),VLOOKUP(N831,setup!$A$8:$H$58,4),VLOOKUP(N831,setup!$A$8:$H$58,5),VLOOKUP(N831,setup!$A$8:$H$58,6),VLOOKUP(N831,setup!$A$8:$H$58,7), VLOOKUP(0,setup!$A$8:$H$58,2),VLOOKUP(0,setup!$A$8:$H$58,5),VLOOKUP(N831,setup!$A$8:$H$58,8))</f>
        <v>            } catch (Exception $e) {</v>
      </c>
    </row>
    <row r="832" spans="1:15" x14ac:dyDescent="0.25">
      <c r="A832" s="6" t="s">
        <v>59</v>
      </c>
      <c r="N832">
        <v>11</v>
      </c>
      <c r="O832" s="7" t="str">
        <f ca="1">getCodigoBackend(N832,A832,VLOOKUP(N832,setup!$A$8:$H$58,2),VLOOKUP(N832,setup!$A$8:$H$58,3),VLOOKUP(N832,setup!$A$8:$H$58,4),VLOOKUP(N832,setup!$A$8:$H$58,5),VLOOKUP(N832,setup!$A$8:$H$58,6),VLOOKUP(N832,setup!$A$8:$H$58,7), VLOOKUP(0,setup!$A$8:$H$58,2),VLOOKUP(0,setup!$A$8:$H$58,5),VLOOKUP(N832,setup!$A$8:$H$58,8))</f>
        <v>                // faz algo</v>
      </c>
    </row>
    <row r="833" spans="1:15" x14ac:dyDescent="0.25">
      <c r="A833" s="6" t="s">
        <v>51</v>
      </c>
      <c r="N833">
        <v>11</v>
      </c>
      <c r="O833" s="7" t="str">
        <f ca="1">getCodigoBackend(N833,A833,VLOOKUP(N833,setup!$A$8:$H$58,2),VLOOKUP(N833,setup!$A$8:$H$58,3),VLOOKUP(N833,setup!$A$8:$H$58,4),VLOOKUP(N833,setup!$A$8:$H$58,5),VLOOKUP(N833,setup!$A$8:$H$58,6),VLOOKUP(N833,setup!$A$8:$H$58,7), VLOOKUP(0,setup!$A$8:$H$58,2),VLOOKUP(0,setup!$A$8:$H$58,5),VLOOKUP(N833,setup!$A$8:$H$58,8))</f>
        <v>            }</v>
      </c>
    </row>
    <row r="834" spans="1:15" x14ac:dyDescent="0.25">
      <c r="A834" s="6" t="s">
        <v>60</v>
      </c>
      <c r="N834">
        <v>11</v>
      </c>
      <c r="O834" s="7" t="str">
        <f ca="1">getCodigoBackend(N834,A834,VLOOKUP(N834,setup!$A$8:$H$58,2),VLOOKUP(N834,setup!$A$8:$H$58,3),VLOOKUP(N834,setup!$A$8:$H$58,4),VLOOKUP(N834,setup!$A$8:$H$58,5),VLOOKUP(N834,setup!$A$8:$H$58,6),VLOOKUP(N834,setup!$A$8:$H$58,7), VLOOKUP(0,setup!$A$8:$H$58,2),VLOOKUP(0,setup!$A$8:$H$58,5),VLOOKUP(N834,setup!$A$8:$H$58,8))</f>
        <v>        }</v>
      </c>
    </row>
    <row r="835" spans="1:15" x14ac:dyDescent="0.25">
      <c r="N835">
        <v>11</v>
      </c>
      <c r="O835" s="7" t="str">
        <f ca="1">getCodigoBackend(N835,A835,VLOOKUP(N835,setup!$A$8:$H$58,2),VLOOKUP(N835,setup!$A$8:$H$58,3),VLOOKUP(N835,setup!$A$8:$H$58,4),VLOOKUP(N835,setup!$A$8:$H$58,5),VLOOKUP(N835,setup!$A$8:$H$58,6),VLOOKUP(N835,setup!$A$8:$H$58,7), VLOOKUP(0,setup!$A$8:$H$58,2),VLOOKUP(0,setup!$A$8:$H$58,5),VLOOKUP(N835,setup!$A$8:$H$58,8))</f>
        <v/>
      </c>
    </row>
    <row r="836" spans="1:15" x14ac:dyDescent="0.25">
      <c r="A836" s="6" t="s">
        <v>61</v>
      </c>
      <c r="N836">
        <v>11</v>
      </c>
      <c r="O836" s="7" t="str">
        <f ca="1">getCodigoBackend(N836,A836,VLOOKUP(N836,setup!$A$8:$H$58,2),VLOOKUP(N836,setup!$A$8:$H$58,3),VLOOKUP(N836,setup!$A$8:$H$58,4),VLOOKUP(N836,setup!$A$8:$H$58,5),VLOOKUP(N836,setup!$A$8:$H$58,6),VLOOKUP(N836,setup!$A$8:$H$58,7), VLOOKUP(0,setup!$A$8:$H$58,2),VLOOKUP(0,setup!$A$8:$H$58,5),VLOOKUP(N836,setup!$A$8:$H$58,8))</f>
        <v>        return $retorno;</v>
      </c>
    </row>
    <row r="837" spans="1:15" x14ac:dyDescent="0.25">
      <c r="A837" s="6" t="s">
        <v>62</v>
      </c>
      <c r="N837">
        <v>11</v>
      </c>
      <c r="O837" s="7" t="str">
        <f ca="1">getCodigoBackend(N837,A837,VLOOKUP(N837,setup!$A$8:$H$58,2),VLOOKUP(N837,setup!$A$8:$H$58,3),VLOOKUP(N837,setup!$A$8:$H$58,4),VLOOKUP(N837,setup!$A$8:$H$58,5),VLOOKUP(N837,setup!$A$8:$H$58,6),VLOOKUP(N837,setup!$A$8:$H$58,7), VLOOKUP(0,setup!$A$8:$H$58,2),VLOOKUP(0,setup!$A$8:$H$58,5),VLOOKUP(N837,setup!$A$8:$H$58,8))</f>
        <v>    }</v>
      </c>
    </row>
    <row r="838" spans="1:15" x14ac:dyDescent="0.25">
      <c r="A838" s="6"/>
      <c r="O838" s="7"/>
    </row>
    <row r="839" spans="1:15" x14ac:dyDescent="0.25">
      <c r="A839" s="6"/>
      <c r="O839" s="7" t="str">
        <f ca="1">getCodigoBackend(N839,A839,VLOOKUP(N839,setup!$A$8:$H$58,2),VLOOKUP(N839,setup!$A$8:$H$58,3),VLOOKUP(N839,setup!$A$8:$H$58,4),VLOOKUP(N839,setup!$A$8:$H$58,5),VLOOKUP(N839,setup!$A$8:$H$58,6),VLOOKUP(N839,setup!$A$8:$H$58,7), VLOOKUP(0,setup!$A$8:$H$58,2),VLOOKUP(0,setup!$A$8:$H$58,5),VLOOKUP(N839,setup!$A$8:$H$58,8))</f>
        <v/>
      </c>
    </row>
    <row r="840" spans="1:15" x14ac:dyDescent="0.25">
      <c r="A840" s="4" t="s">
        <v>19</v>
      </c>
      <c r="N840">
        <v>12</v>
      </c>
      <c r="O840" s="7" t="str">
        <f ca="1">getCodigoBackend(N840,A840,VLOOKUP(N840,setup!$A$8:$H$58,2),VLOOKUP(N840,setup!$A$8:$H$58,3),VLOOKUP(N840,setup!$A$8:$H$58,4),VLOOKUP(N840,setup!$A$8:$H$58,5),VLOOKUP(N840,setup!$A$8:$H$58,6),VLOOKUP(N840,setup!$A$8:$H$58,7), VLOOKUP(0,setup!$A$8:$H$58,2),VLOOKUP(0,setup!$A$8:$H$58,5),VLOOKUP(N840,setup!$A$8:$H$58,8))</f>
        <v>/**</v>
      </c>
    </row>
    <row r="841" spans="1:15" x14ac:dyDescent="0.25">
      <c r="A841" s="4" t="s">
        <v>20</v>
      </c>
      <c r="N841">
        <v>12</v>
      </c>
      <c r="O841" s="7" t="str">
        <f ca="1">getCodigoBackend(N841,A841,VLOOKUP(N841,setup!$A$8:$H$58,2),VLOOKUP(N841,setup!$A$8:$H$58,3),VLOOKUP(N841,setup!$A$8:$H$58,4),VLOOKUP(N841,setup!$A$8:$H$58,5),VLOOKUP(N841,setup!$A$8:$H$58,6),VLOOKUP(N841,setup!$A$8:$H$58,7), VLOOKUP(0,setup!$A$8:$H$58,2),VLOOKUP(0,setup!$A$8:$H$58,5),VLOOKUP(N841,setup!$A$8:$H$58,8))</f>
        <v>*</v>
      </c>
    </row>
    <row r="842" spans="1:15" x14ac:dyDescent="0.25">
      <c r="A842" s="4" t="s">
        <v>716</v>
      </c>
      <c r="N842">
        <v>12</v>
      </c>
      <c r="O842" s="7" t="str">
        <f ca="1">getCodigoBackend(N842,A842,VLOOKUP(N842,setup!$A$8:$H$58,2),VLOOKUP(N842,setup!$A$8:$H$58,3),VLOOKUP(N842,setup!$A$8:$H$58,4),VLOOKUP(N842,setup!$A$8:$H$58,5),VLOOKUP(N842,setup!$A$8:$H$58,6),VLOOKUP(N842,setup!$A$8:$H$58,7), VLOOKUP(0,setup!$A$8:$H$58,2),VLOOKUP(0,setup!$A$8:$H$58,5),VLOOKUP(N842,setup!$A$8:$H$58,8))</f>
        <v>* pesquisarPorTxtlivreestagiort() - Usado para invocar a classe de negócio CampanhaCashbackResgatePixBusinessImpl de forma geral</v>
      </c>
    </row>
    <row r="843" spans="1:15" x14ac:dyDescent="0.25">
      <c r="A843" s="4" t="s">
        <v>717</v>
      </c>
      <c r="N843">
        <v>12</v>
      </c>
      <c r="O843" s="7" t="str">
        <f ca="1">getCodigoBackend(N843,A843,VLOOKUP(N843,setup!$A$8:$H$58,2),VLOOKUP(N843,setup!$A$8:$H$58,3),VLOOKUP(N843,setup!$A$8:$H$58,4),VLOOKUP(N843,setup!$A$8:$H$58,5),VLOOKUP(N843,setup!$A$8:$H$58,6),VLOOKUP(N843,setup!$A$8:$H$58,7), VLOOKUP(0,setup!$A$8:$H$58,2),VLOOKUP(0,setup!$A$8:$H$58,5),VLOOKUP(N843,setup!$A$8:$H$58,8))</f>
        <v>* realizar uma busca de Texto Livre do Estagio RT diretamente na tabela CAMPANHA_CASHBACK_RESGATE_PIX campo CCRP_TX_LIVRE_ESTAGIO_RT</v>
      </c>
    </row>
    <row r="844" spans="1:15" x14ac:dyDescent="0.25">
      <c r="A844" s="4" t="s">
        <v>20</v>
      </c>
      <c r="N844">
        <v>12</v>
      </c>
      <c r="O844" s="7" t="str">
        <f ca="1">getCodigoBackend(N844,A844,VLOOKUP(N844,setup!$A$8:$H$58,2),VLOOKUP(N844,setup!$A$8:$H$58,3),VLOOKUP(N844,setup!$A$8:$H$58,4),VLOOKUP(N844,setup!$A$8:$H$58,5),VLOOKUP(N844,setup!$A$8:$H$58,6),VLOOKUP(N844,setup!$A$8:$H$58,7), VLOOKUP(0,setup!$A$8:$H$58,2),VLOOKUP(0,setup!$A$8:$H$58,5),VLOOKUP(N844,setup!$A$8:$H$58,8))</f>
        <v>*</v>
      </c>
    </row>
    <row r="845" spans="1:15" x14ac:dyDescent="0.25">
      <c r="A845" s="4" t="s">
        <v>723</v>
      </c>
      <c r="N845">
        <v>12</v>
      </c>
      <c r="O845" s="7" t="str">
        <f ca="1">getCodigoBackend(N845,A845,VLOOKUP(N845,setup!$A$8:$H$58,2),VLOOKUP(N845,setup!$A$8:$H$58,3),VLOOKUP(N845,setup!$A$8:$H$58,4),VLOOKUP(N845,setup!$A$8:$H$58,5),VLOOKUP(N845,setup!$A$8:$H$58,6),VLOOKUP(N845,setup!$A$8:$H$58,7), VLOOKUP(0,setup!$A$8:$H$58,2),VLOOKUP(0,setup!$A$8:$H$58,5),VLOOKUP(N845,setup!$A$8:$H$58,8))</f>
        <v>* @param $txtLivreEstagioRT</v>
      </c>
    </row>
    <row r="846" spans="1:15" x14ac:dyDescent="0.25">
      <c r="A846" s="4" t="s">
        <v>347</v>
      </c>
      <c r="N846">
        <v>12</v>
      </c>
      <c r="O846" s="7" t="str">
        <f ca="1">getCodigoBackend(N846,A846,VLOOKUP(N846,setup!$A$8:$H$58,2),VLOOKUP(N846,setup!$A$8:$H$58,3),VLOOKUP(N846,setup!$A$8:$H$58,4),VLOOKUP(N846,setup!$A$8:$H$58,5),VLOOKUP(N846,setup!$A$8:$H$58,6),VLOOKUP(N846,setup!$A$8:$H$58,7), VLOOKUP(0,setup!$A$8:$H$58,2),VLOOKUP(0,setup!$A$8:$H$58,5),VLOOKUP(N846,setup!$A$8:$H$58,8))</f>
        <v>* @return CampanhaCashbackResgatePixDTO</v>
      </c>
    </row>
    <row r="847" spans="1:15" x14ac:dyDescent="0.25">
      <c r="A847" s="4" t="s">
        <v>20</v>
      </c>
      <c r="N847">
        <v>12</v>
      </c>
      <c r="O847" s="7" t="str">
        <f ca="1">getCodigoBackend(N847,A847,VLOOKUP(N847,setup!$A$8:$H$58,2),VLOOKUP(N847,setup!$A$8:$H$58,3),VLOOKUP(N847,setup!$A$8:$H$58,4),VLOOKUP(N847,setup!$A$8:$H$58,5),VLOOKUP(N847,setup!$A$8:$H$58,6),VLOOKUP(N847,setup!$A$8:$H$58,7), VLOOKUP(0,setup!$A$8:$H$58,2),VLOOKUP(0,setup!$A$8:$H$58,5),VLOOKUP(N847,setup!$A$8:$H$58,8))</f>
        <v>*</v>
      </c>
    </row>
    <row r="848" spans="1:15" x14ac:dyDescent="0.25">
      <c r="A848" s="4" t="s">
        <v>75</v>
      </c>
      <c r="N848">
        <v>12</v>
      </c>
      <c r="O848" s="7" t="str">
        <f ca="1">getCodigoBackend(N848,A848,VLOOKUP(N848,setup!$A$8:$H$58,2),VLOOKUP(N848,setup!$A$8:$H$58,3),VLOOKUP(N848,setup!$A$8:$H$58,4),VLOOKUP(N848,setup!$A$8:$H$58,5),VLOOKUP(N848,setup!$A$8:$H$58,6),VLOOKUP(N848,setup!$A$8:$H$58,7), VLOOKUP(0,setup!$A$8:$H$58,2),VLOOKUP(0,setup!$A$8:$H$58,5),VLOOKUP(N848,setup!$A$8:$H$58,8))</f>
        <v xml:space="preserve">* </v>
      </c>
    </row>
    <row r="849" spans="1:15" x14ac:dyDescent="0.25">
      <c r="A849" s="4" t="s">
        <v>21</v>
      </c>
      <c r="N849">
        <v>12</v>
      </c>
      <c r="O849" s="7" t="str">
        <f ca="1">getCodigoBackend(N849,A849,VLOOKUP(N849,setup!$A$8:$H$58,2),VLOOKUP(N849,setup!$A$8:$H$58,3),VLOOKUP(N849,setup!$A$8:$H$58,4),VLOOKUP(N849,setup!$A$8:$H$58,5),VLOOKUP(N849,setup!$A$8:$H$58,6),VLOOKUP(N849,setup!$A$8:$H$58,7), VLOOKUP(0,setup!$A$8:$H$58,2),VLOOKUP(0,setup!$A$8:$H$58,5),VLOOKUP(N849,setup!$A$8:$H$58,8))</f>
        <v>*/</v>
      </c>
    </row>
    <row r="850" spans="1:15" x14ac:dyDescent="0.25">
      <c r="N850">
        <v>12</v>
      </c>
      <c r="O850" s="7" t="str">
        <f ca="1">getCodigoBackend(N850,A850,VLOOKUP(N850,setup!$A$8:$H$58,2),VLOOKUP(N850,setup!$A$8:$H$58,3),VLOOKUP(N850,setup!$A$8:$H$58,4),VLOOKUP(N850,setup!$A$8:$H$58,5),VLOOKUP(N850,setup!$A$8:$H$58,6),VLOOKUP(N850,setup!$A$8:$H$58,7), VLOOKUP(0,setup!$A$8:$H$58,2),VLOOKUP(0,setup!$A$8:$H$58,5),VLOOKUP(N850,setup!$A$8:$H$58,8))</f>
        <v/>
      </c>
    </row>
    <row r="851" spans="1:15" x14ac:dyDescent="0.25">
      <c r="A851" s="6" t="s">
        <v>720</v>
      </c>
      <c r="N851">
        <v>12</v>
      </c>
      <c r="O851" s="7" t="str">
        <f ca="1">getCodigoBackend(N851,A851,VLOOKUP(N851,setup!$A$8:$H$58,2),VLOOKUP(N851,setup!$A$8:$H$58,3),VLOOKUP(N851,setup!$A$8:$H$58,4),VLOOKUP(N851,setup!$A$8:$H$58,5),VLOOKUP(N851,setup!$A$8:$H$58,6),VLOOKUP(N851,setup!$A$8:$H$58,7), VLOOKUP(0,setup!$A$8:$H$58,2),VLOOKUP(0,setup!$A$8:$H$58,5),VLOOKUP(N851,setup!$A$8:$H$58,8))</f>
        <v>    public function pesquisarPorTxtlivreestagiort($txtLivreEstagioRT)</v>
      </c>
    </row>
    <row r="852" spans="1:15" x14ac:dyDescent="0.25">
      <c r="A852" s="6" t="s">
        <v>38</v>
      </c>
      <c r="N852">
        <v>12</v>
      </c>
      <c r="O852" s="7" t="str">
        <f ca="1">getCodigoBackend(N852,A852,VLOOKUP(N852,setup!$A$8:$H$58,2),VLOOKUP(N852,setup!$A$8:$H$58,3),VLOOKUP(N852,setup!$A$8:$H$58,4),VLOOKUP(N852,setup!$A$8:$H$58,5),VLOOKUP(N852,setup!$A$8:$H$58,6),VLOOKUP(N852,setup!$A$8:$H$58,7), VLOOKUP(0,setup!$A$8:$H$58,2),VLOOKUP(0,setup!$A$8:$H$58,5),VLOOKUP(N852,setup!$A$8:$H$58,8))</f>
        <v>    {</v>
      </c>
    </row>
    <row r="853" spans="1:15" x14ac:dyDescent="0.25">
      <c r="A853" s="6" t="s">
        <v>39</v>
      </c>
      <c r="N853">
        <v>12</v>
      </c>
      <c r="O853" s="7" t="str">
        <f ca="1">getCodigoBackend(N853,A853,VLOOKUP(N853,setup!$A$8:$H$58,2),VLOOKUP(N853,setup!$A$8:$H$58,3),VLOOKUP(N853,setup!$A$8:$H$58,4),VLOOKUP(N853,setup!$A$8:$H$58,5),VLOOKUP(N853,setup!$A$8:$H$58,6),VLOOKUP(N853,setup!$A$8:$H$58,7), VLOOKUP(0,setup!$A$8:$H$58,2),VLOOKUP(0,setup!$A$8:$H$58,5),VLOOKUP(N853,setup!$A$8:$H$58,8))</f>
        <v>        $daofactory = NULL;</v>
      </c>
    </row>
    <row r="854" spans="1:15" x14ac:dyDescent="0.25">
      <c r="A854" s="6" t="s">
        <v>40</v>
      </c>
      <c r="N854">
        <v>12</v>
      </c>
      <c r="O854" s="7" t="str">
        <f ca="1">getCodigoBackend(N854,A854,VLOOKUP(N854,setup!$A$8:$H$58,2),VLOOKUP(N854,setup!$A$8:$H$58,3),VLOOKUP(N854,setup!$A$8:$H$58,4),VLOOKUP(N854,setup!$A$8:$H$58,5),VLOOKUP(N854,setup!$A$8:$H$58,6),VLOOKUP(N854,setup!$A$8:$H$58,7), VLOOKUP(0,setup!$A$8:$H$58,2),VLOOKUP(0,setup!$A$8:$H$58,5),VLOOKUP(N854,setup!$A$8:$H$58,8))</f>
        <v>        $retorno = NULL;</v>
      </c>
    </row>
    <row r="855" spans="1:15" x14ac:dyDescent="0.25">
      <c r="A855" s="6" t="s">
        <v>41</v>
      </c>
      <c r="N855">
        <v>12</v>
      </c>
      <c r="O855" s="7" t="str">
        <f ca="1">getCodigoBackend(N855,A855,VLOOKUP(N855,setup!$A$8:$H$58,2),VLOOKUP(N855,setup!$A$8:$H$58,3),VLOOKUP(N855,setup!$A$8:$H$58,4),VLOOKUP(N855,setup!$A$8:$H$58,5),VLOOKUP(N855,setup!$A$8:$H$58,6),VLOOKUP(N855,setup!$A$8:$H$58,7), VLOOKUP(0,setup!$A$8:$H$58,2),VLOOKUP(0,setup!$A$8:$H$58,5),VLOOKUP(N855,setup!$A$8:$H$58,8))</f>
        <v>        try {</v>
      </c>
    </row>
    <row r="856" spans="1:15" x14ac:dyDescent="0.25">
      <c r="A856" s="6" t="s">
        <v>42</v>
      </c>
      <c r="N856">
        <v>12</v>
      </c>
      <c r="O856" s="7" t="str">
        <f ca="1">getCodigoBackend(N856,A856,VLOOKUP(N856,setup!$A$8:$H$58,2),VLOOKUP(N856,setup!$A$8:$H$58,3),VLOOKUP(N856,setup!$A$8:$H$58,4),VLOOKUP(N856,setup!$A$8:$H$58,5),VLOOKUP(N856,setup!$A$8:$H$58,6),VLOOKUP(N856,setup!$A$8:$H$58,7), VLOOKUP(0,setup!$A$8:$H$58,2),VLOOKUP(0,setup!$A$8:$H$58,5),VLOOKUP(N856,setup!$A$8:$H$58,8))</f>
        <v>            $daofactory = DAOFactory::getDAOFactory();</v>
      </c>
    </row>
    <row r="857" spans="1:15" x14ac:dyDescent="0.25">
      <c r="A857" s="6" t="s">
        <v>43</v>
      </c>
      <c r="N857">
        <v>12</v>
      </c>
      <c r="O857" s="7" t="str">
        <f ca="1">getCodigoBackend(N857,A857,VLOOKUP(N857,setup!$A$8:$H$58,2),VLOOKUP(N857,setup!$A$8:$H$58,3),VLOOKUP(N857,setup!$A$8:$H$58,4),VLOOKUP(N857,setup!$A$8:$H$58,5),VLOOKUP(N857,setup!$A$8:$H$58,6),VLOOKUP(N857,setup!$A$8:$H$58,7), VLOOKUP(0,setup!$A$8:$H$58,2),VLOOKUP(0,setup!$A$8:$H$58,5),VLOOKUP(N857,setup!$A$8:$H$58,8))</f>
        <v>            $daofactory-&gt;open();</v>
      </c>
    </row>
    <row r="858" spans="1:15" x14ac:dyDescent="0.25">
      <c r="A858" s="6" t="s">
        <v>44</v>
      </c>
      <c r="N858">
        <v>12</v>
      </c>
      <c r="O858" s="7" t="str">
        <f ca="1">getCodigoBackend(N858,A858,VLOOKUP(N858,setup!$A$8:$H$58,2),VLOOKUP(N858,setup!$A$8:$H$58,3),VLOOKUP(N858,setup!$A$8:$H$58,4),VLOOKUP(N858,setup!$A$8:$H$58,5),VLOOKUP(N858,setup!$A$8:$H$58,6),VLOOKUP(N858,setup!$A$8:$H$58,7), VLOOKUP(0,setup!$A$8:$H$58,2),VLOOKUP(0,setup!$A$8:$H$58,5),VLOOKUP(N858,setup!$A$8:$H$58,8))</f>
        <v>            $daofactory-&gt;beginTransaction();</v>
      </c>
    </row>
    <row r="859" spans="1:15" x14ac:dyDescent="0.25">
      <c r="A859" s="6" t="s">
        <v>45</v>
      </c>
      <c r="N859">
        <v>12</v>
      </c>
      <c r="O859" s="7" t="str">
        <f ca="1">getCodigoBackend(N859,A859,VLOOKUP(N859,setup!$A$8:$H$58,2),VLOOKUP(N859,setup!$A$8:$H$58,3),VLOOKUP(N859,setup!$A$8:$H$58,4),VLOOKUP(N859,setup!$A$8:$H$58,5),VLOOKUP(N859,setup!$A$8:$H$58,6),VLOOKUP(N859,setup!$A$8:$H$58,7), VLOOKUP(0,setup!$A$8:$H$58,2),VLOOKUP(0,setup!$A$8:$H$58,5),VLOOKUP(N859,setup!$A$8:$H$58,8))</f>
        <v>            </v>
      </c>
    </row>
    <row r="860" spans="1:15" x14ac:dyDescent="0.25">
      <c r="A860" s="6" t="s">
        <v>722</v>
      </c>
      <c r="N860">
        <v>12</v>
      </c>
      <c r="O860" s="7" t="str">
        <f ca="1">getCodigoBackend(N860,A860,VLOOKUP(N860,setup!$A$8:$H$58,2),VLOOKUP(N860,setup!$A$8:$H$58,3),VLOOKUP(N860,setup!$A$8:$H$58,4),VLOOKUP(N860,setup!$A$8:$H$58,5),VLOOKUP(N860,setup!$A$8:$H$58,6),VLOOKUP(N860,setup!$A$8:$H$58,7), VLOOKUP(0,setup!$A$8:$H$58,2),VLOOKUP(0,setup!$A$8:$H$58,5),VLOOKUP(N860,setup!$A$8:$H$58,8))</f>
        <v>            // pesquisar pelo atributo CampanhaCashbackResgatePix.txtLivreEstagioRT no campo CCRP_TX_LIVRE_ESTAGIO_RT da tabela CAMPANHA_CASHBACK_RESGATE_PIX</v>
      </c>
    </row>
    <row r="861" spans="1:15" x14ac:dyDescent="0.25">
      <c r="A861" s="6" t="s">
        <v>265</v>
      </c>
      <c r="N861">
        <v>12</v>
      </c>
      <c r="O861" s="7" t="str">
        <f ca="1">getCodigoBackend(N861,A861,VLOOKUP(N861,setup!$A$8:$H$58,2),VLOOKUP(N861,setup!$A$8:$H$58,3),VLOOKUP(N861,setup!$A$8:$H$58,4),VLOOKUP(N861,setup!$A$8:$H$58,5),VLOOKUP(N861,setup!$A$8:$H$58,6),VLOOKUP(N861,setup!$A$8:$H$58,7), VLOOKUP(0,setup!$A$8:$H$58,2),VLOOKUP(0,setup!$A$8:$H$58,5),VLOOKUP(N861,setup!$A$8:$H$58,8))</f>
        <v>           $bo = new CampanhaCashbackResgatePixBusinessImpl();</v>
      </c>
    </row>
    <row r="862" spans="1:15" x14ac:dyDescent="0.25">
      <c r="A862" s="6" t="s">
        <v>721</v>
      </c>
      <c r="N862">
        <v>12</v>
      </c>
      <c r="O862" s="7" t="str">
        <f ca="1">getCodigoBackend(N862,A862,VLOOKUP(N862,setup!$A$8:$H$58,2),VLOOKUP(N862,setup!$A$8:$H$58,3),VLOOKUP(N862,setup!$A$8:$H$58,4),VLOOKUP(N862,setup!$A$8:$H$58,5),VLOOKUP(N862,setup!$A$8:$H$58,6),VLOOKUP(N862,setup!$A$8:$H$58,7), VLOOKUP(0,setup!$A$8:$H$58,2),VLOOKUP(0,setup!$A$8:$H$58,5),VLOOKUP(N862,setup!$A$8:$H$58,8))</f>
        <v>           $retorno = $bo-&gt;carregarPorTxtlivreestagiort($daofactory, $txtLivreEstagioRT);</v>
      </c>
    </row>
    <row r="863" spans="1:15" x14ac:dyDescent="0.25">
      <c r="A863" s="6" t="s">
        <v>68</v>
      </c>
      <c r="N863">
        <v>12</v>
      </c>
      <c r="O863" s="7" t="str">
        <f ca="1">getCodigoBackend(N863,A863,VLOOKUP(N863,setup!$A$8:$H$58,2),VLOOKUP(N863,setup!$A$8:$H$58,3),VLOOKUP(N863,setup!$A$8:$H$58,4),VLOOKUP(N863,setup!$A$8:$H$58,5),VLOOKUP(N863,setup!$A$8:$H$58,6),VLOOKUP(N863,setup!$A$8:$H$58,7), VLOOKUP(0,setup!$A$8:$H$58,2),VLOOKUP(0,setup!$A$8:$H$58,5),VLOOKUP(N863,setup!$A$8:$H$58,8))</f>
        <v>           if ($retorno-&gt;msgcode == ConstantesMensagem::COMANDO_REALIZADO_COM_SUCESSO){</v>
      </c>
    </row>
    <row r="864" spans="1:15" x14ac:dyDescent="0.25">
      <c r="A864" s="6" t="s">
        <v>48</v>
      </c>
      <c r="N864">
        <v>12</v>
      </c>
      <c r="O864" s="7" t="str">
        <f ca="1">getCodigoBackend(N864,A864,VLOOKUP(N864,setup!$A$8:$H$58,2),VLOOKUP(N864,setup!$A$8:$H$58,3),VLOOKUP(N864,setup!$A$8:$H$58,4),VLOOKUP(N864,setup!$A$8:$H$58,5),VLOOKUP(N864,setup!$A$8:$H$58,6),VLOOKUP(N864,setup!$A$8:$H$58,7), VLOOKUP(0,setup!$A$8:$H$58,2),VLOOKUP(0,setup!$A$8:$H$58,5),VLOOKUP(N864,setup!$A$8:$H$58,8))</f>
        <v>                $daofactory-&gt;commit();</v>
      </c>
    </row>
    <row r="865" spans="1:15" x14ac:dyDescent="0.25">
      <c r="A865" s="6" t="s">
        <v>63</v>
      </c>
      <c r="N865">
        <v>12</v>
      </c>
      <c r="O865" s="7" t="str">
        <f ca="1">getCodigoBackend(N865,A865,VLOOKUP(N865,setup!$A$8:$H$58,2),VLOOKUP(N865,setup!$A$8:$H$58,3),VLOOKUP(N865,setup!$A$8:$H$58,4),VLOOKUP(N865,setup!$A$8:$H$58,5),VLOOKUP(N865,setup!$A$8:$H$58,6),VLOOKUP(N865,setup!$A$8:$H$58,7), VLOOKUP(0,setup!$A$8:$H$58,2),VLOOKUP(0,setup!$A$8:$H$58,5),VLOOKUP(N865,setup!$A$8:$H$58,8))</f>
        <v>           } else {</v>
      </c>
    </row>
    <row r="866" spans="1:15" x14ac:dyDescent="0.25">
      <c r="A866" s="6" t="s">
        <v>50</v>
      </c>
      <c r="N866">
        <v>12</v>
      </c>
      <c r="O866" s="7" t="str">
        <f ca="1">getCodigoBackend(N866,A866,VLOOKUP(N866,setup!$A$8:$H$58,2),VLOOKUP(N866,setup!$A$8:$H$58,3),VLOOKUP(N866,setup!$A$8:$H$58,4),VLOOKUP(N866,setup!$A$8:$H$58,5),VLOOKUP(N866,setup!$A$8:$H$58,6),VLOOKUP(N866,setup!$A$8:$H$58,7), VLOOKUP(0,setup!$A$8:$H$58,2),VLOOKUP(0,setup!$A$8:$H$58,5),VLOOKUP(N866,setup!$A$8:$H$58,8))</f>
        <v>                $daofactory-&gt;rollback();</v>
      </c>
    </row>
    <row r="867" spans="1:15" x14ac:dyDescent="0.25">
      <c r="A867" s="6" t="s">
        <v>64</v>
      </c>
      <c r="N867">
        <v>12</v>
      </c>
      <c r="O867" s="7" t="str">
        <f ca="1">getCodigoBackend(N867,A867,VLOOKUP(N867,setup!$A$8:$H$58,2),VLOOKUP(N867,setup!$A$8:$H$58,3),VLOOKUP(N867,setup!$A$8:$H$58,4),VLOOKUP(N867,setup!$A$8:$H$58,5),VLOOKUP(N867,setup!$A$8:$H$58,6),VLOOKUP(N867,setup!$A$8:$H$58,7), VLOOKUP(0,setup!$A$8:$H$58,2),VLOOKUP(0,setup!$A$8:$H$58,5),VLOOKUP(N867,setup!$A$8:$H$58,8))</f>
        <v>           }</v>
      </c>
    </row>
    <row r="868" spans="1:15" x14ac:dyDescent="0.25">
      <c r="A868" s="6" t="s">
        <v>45</v>
      </c>
      <c r="N868">
        <v>12</v>
      </c>
      <c r="O868" s="7" t="str">
        <f ca="1">getCodigoBackend(N868,A868,VLOOKUP(N868,setup!$A$8:$H$58,2),VLOOKUP(N868,setup!$A$8:$H$58,3),VLOOKUP(N868,setup!$A$8:$H$58,4),VLOOKUP(N868,setup!$A$8:$H$58,5),VLOOKUP(N868,setup!$A$8:$H$58,6),VLOOKUP(N868,setup!$A$8:$H$58,7), VLOOKUP(0,setup!$A$8:$H$58,2),VLOOKUP(0,setup!$A$8:$H$58,5),VLOOKUP(N868,setup!$A$8:$H$58,8))</f>
        <v>            </v>
      </c>
    </row>
    <row r="869" spans="1:15" x14ac:dyDescent="0.25">
      <c r="A869" s="6" t="s">
        <v>52</v>
      </c>
      <c r="N869">
        <v>12</v>
      </c>
      <c r="O869" s="7" t="str">
        <f ca="1">getCodigoBackend(N869,A869,VLOOKUP(N869,setup!$A$8:$H$58,2),VLOOKUP(N869,setup!$A$8:$H$58,3),VLOOKUP(N869,setup!$A$8:$H$58,4),VLOOKUP(N869,setup!$A$8:$H$58,5),VLOOKUP(N869,setup!$A$8:$H$58,6),VLOOKUP(N869,setup!$A$8:$H$58,7), VLOOKUP(0,setup!$A$8:$H$58,2),VLOOKUP(0,setup!$A$8:$H$58,5),VLOOKUP(N869,setup!$A$8:$H$58,8))</f>
        <v>        } catch (Exception $e) {</v>
      </c>
    </row>
    <row r="870" spans="1:15" x14ac:dyDescent="0.25">
      <c r="A870" s="6" t="s">
        <v>53</v>
      </c>
      <c r="N870">
        <v>12</v>
      </c>
      <c r="O870" s="7" t="str">
        <f ca="1">getCodigoBackend(N870,A870,VLOOKUP(N870,setup!$A$8:$H$58,2),VLOOKUP(N870,setup!$A$8:$H$58,3),VLOOKUP(N870,setup!$A$8:$H$58,4),VLOOKUP(N870,setup!$A$8:$H$58,5),VLOOKUP(N870,setup!$A$8:$H$58,6),VLOOKUP(N870,setup!$A$8:$H$58,7), VLOOKUP(0,setup!$A$8:$H$58,2),VLOOKUP(0,setup!$A$8:$H$58,5),VLOOKUP(N870,setup!$A$8:$H$58,8))</f>
        <v>            // rollback na transação</v>
      </c>
    </row>
    <row r="871" spans="1:15" x14ac:dyDescent="0.25">
      <c r="N871">
        <v>12</v>
      </c>
      <c r="O871" s="7" t="str">
        <f ca="1">getCodigoBackend(N871,A871,VLOOKUP(N871,setup!$A$8:$H$58,2),VLOOKUP(N871,setup!$A$8:$H$58,3),VLOOKUP(N871,setup!$A$8:$H$58,4),VLOOKUP(N871,setup!$A$8:$H$58,5),VLOOKUP(N871,setup!$A$8:$H$58,6),VLOOKUP(N871,setup!$A$8:$H$58,7), VLOOKUP(0,setup!$A$8:$H$58,2),VLOOKUP(0,setup!$A$8:$H$58,5),VLOOKUP(N871,setup!$A$8:$H$58,8))</f>
        <v/>
      </c>
    </row>
    <row r="872" spans="1:15" x14ac:dyDescent="0.25">
      <c r="A872" s="6" t="s">
        <v>55</v>
      </c>
      <c r="N872">
        <v>12</v>
      </c>
      <c r="O872" s="7" t="str">
        <f ca="1">getCodigoBackend(N872,A872,VLOOKUP(N872,setup!$A$8:$H$58,2),VLOOKUP(N872,setup!$A$8:$H$58,3),VLOOKUP(N872,setup!$A$8:$H$58,4),VLOOKUP(N872,setup!$A$8:$H$58,5),VLOOKUP(N872,setup!$A$8:$H$58,6),VLOOKUP(N872,setup!$A$8:$H$58,7), VLOOKUP(0,setup!$A$8:$H$58,2),VLOOKUP(0,setup!$A$8:$H$58,5),VLOOKUP(N872,setup!$A$8:$H$58,8))</f>
        <v>        } finally {</v>
      </c>
    </row>
    <row r="873" spans="1:15" x14ac:dyDescent="0.25">
      <c r="A873" s="6" t="s">
        <v>56</v>
      </c>
      <c r="N873">
        <v>12</v>
      </c>
      <c r="O873" s="7" t="str">
        <f ca="1">getCodigoBackend(N873,A873,VLOOKUP(N873,setup!$A$8:$H$58,2),VLOOKUP(N873,setup!$A$8:$H$58,3),VLOOKUP(N873,setup!$A$8:$H$58,4),VLOOKUP(N873,setup!$A$8:$H$58,5),VLOOKUP(N873,setup!$A$8:$H$58,6),VLOOKUP(N873,setup!$A$8:$H$58,7), VLOOKUP(0,setup!$A$8:$H$58,2),VLOOKUP(0,setup!$A$8:$H$58,5),VLOOKUP(N873,setup!$A$8:$H$58,8))</f>
        <v>            try {</v>
      </c>
    </row>
    <row r="874" spans="1:15" x14ac:dyDescent="0.25">
      <c r="A874" s="6" t="s">
        <v>57</v>
      </c>
      <c r="N874">
        <v>12</v>
      </c>
      <c r="O874" s="7" t="str">
        <f ca="1">getCodigoBackend(N874,A874,VLOOKUP(N874,setup!$A$8:$H$58,2),VLOOKUP(N874,setup!$A$8:$H$58,3),VLOOKUP(N874,setup!$A$8:$H$58,4),VLOOKUP(N874,setup!$A$8:$H$58,5),VLOOKUP(N874,setup!$A$8:$H$58,6),VLOOKUP(N874,setup!$A$8:$H$58,7), VLOOKUP(0,setup!$A$8:$H$58,2),VLOOKUP(0,setup!$A$8:$H$58,5),VLOOKUP(N874,setup!$A$8:$H$58,8))</f>
        <v>                $daofactory-&gt;close();</v>
      </c>
    </row>
    <row r="875" spans="1:15" x14ac:dyDescent="0.25">
      <c r="A875" s="6" t="s">
        <v>58</v>
      </c>
      <c r="N875">
        <v>12</v>
      </c>
      <c r="O875" s="7" t="str">
        <f ca="1">getCodigoBackend(N875,A875,VLOOKUP(N875,setup!$A$8:$H$58,2),VLOOKUP(N875,setup!$A$8:$H$58,3),VLOOKUP(N875,setup!$A$8:$H$58,4),VLOOKUP(N875,setup!$A$8:$H$58,5),VLOOKUP(N875,setup!$A$8:$H$58,6),VLOOKUP(N875,setup!$A$8:$H$58,7), VLOOKUP(0,setup!$A$8:$H$58,2),VLOOKUP(0,setup!$A$8:$H$58,5),VLOOKUP(N875,setup!$A$8:$H$58,8))</f>
        <v>            } catch (Exception $e) {</v>
      </c>
    </row>
    <row r="876" spans="1:15" x14ac:dyDescent="0.25">
      <c r="A876" s="6" t="s">
        <v>59</v>
      </c>
      <c r="N876">
        <v>12</v>
      </c>
      <c r="O876" s="7" t="str">
        <f ca="1">getCodigoBackend(N876,A876,VLOOKUP(N876,setup!$A$8:$H$58,2),VLOOKUP(N876,setup!$A$8:$H$58,3),VLOOKUP(N876,setup!$A$8:$H$58,4),VLOOKUP(N876,setup!$A$8:$H$58,5),VLOOKUP(N876,setup!$A$8:$H$58,6),VLOOKUP(N876,setup!$A$8:$H$58,7), VLOOKUP(0,setup!$A$8:$H$58,2),VLOOKUP(0,setup!$A$8:$H$58,5),VLOOKUP(N876,setup!$A$8:$H$58,8))</f>
        <v>                // faz algo</v>
      </c>
    </row>
    <row r="877" spans="1:15" x14ac:dyDescent="0.25">
      <c r="A877" s="6" t="s">
        <v>51</v>
      </c>
      <c r="N877">
        <v>12</v>
      </c>
      <c r="O877" s="7" t="str">
        <f ca="1">getCodigoBackend(N877,A877,VLOOKUP(N877,setup!$A$8:$H$58,2),VLOOKUP(N877,setup!$A$8:$H$58,3),VLOOKUP(N877,setup!$A$8:$H$58,4),VLOOKUP(N877,setup!$A$8:$H$58,5),VLOOKUP(N877,setup!$A$8:$H$58,6),VLOOKUP(N877,setup!$A$8:$H$58,7), VLOOKUP(0,setup!$A$8:$H$58,2),VLOOKUP(0,setup!$A$8:$H$58,5),VLOOKUP(N877,setup!$A$8:$H$58,8))</f>
        <v>            }</v>
      </c>
    </row>
    <row r="878" spans="1:15" x14ac:dyDescent="0.25">
      <c r="A878" s="6" t="s">
        <v>60</v>
      </c>
      <c r="N878">
        <v>12</v>
      </c>
      <c r="O878" s="7" t="str">
        <f ca="1">getCodigoBackend(N878,A878,VLOOKUP(N878,setup!$A$8:$H$58,2),VLOOKUP(N878,setup!$A$8:$H$58,3),VLOOKUP(N878,setup!$A$8:$H$58,4),VLOOKUP(N878,setup!$A$8:$H$58,5),VLOOKUP(N878,setup!$A$8:$H$58,6),VLOOKUP(N878,setup!$A$8:$H$58,7), VLOOKUP(0,setup!$A$8:$H$58,2),VLOOKUP(0,setup!$A$8:$H$58,5),VLOOKUP(N878,setup!$A$8:$H$58,8))</f>
        <v>        }</v>
      </c>
    </row>
    <row r="879" spans="1:15" x14ac:dyDescent="0.25">
      <c r="N879">
        <v>12</v>
      </c>
      <c r="O879" s="7" t="str">
        <f ca="1">getCodigoBackend(N879,A879,VLOOKUP(N879,setup!$A$8:$H$58,2),VLOOKUP(N879,setup!$A$8:$H$58,3),VLOOKUP(N879,setup!$A$8:$H$58,4),VLOOKUP(N879,setup!$A$8:$H$58,5),VLOOKUP(N879,setup!$A$8:$H$58,6),VLOOKUP(N879,setup!$A$8:$H$58,7), VLOOKUP(0,setup!$A$8:$H$58,2),VLOOKUP(0,setup!$A$8:$H$58,5),VLOOKUP(N879,setup!$A$8:$H$58,8))</f>
        <v/>
      </c>
    </row>
    <row r="880" spans="1:15" x14ac:dyDescent="0.25">
      <c r="A880" s="6" t="s">
        <v>61</v>
      </c>
      <c r="N880">
        <v>12</v>
      </c>
      <c r="O880" s="7" t="str">
        <f ca="1">getCodigoBackend(N880,A880,VLOOKUP(N880,setup!$A$8:$H$58,2),VLOOKUP(N880,setup!$A$8:$H$58,3),VLOOKUP(N880,setup!$A$8:$H$58,4),VLOOKUP(N880,setup!$A$8:$H$58,5),VLOOKUP(N880,setup!$A$8:$H$58,6),VLOOKUP(N880,setup!$A$8:$H$58,7), VLOOKUP(0,setup!$A$8:$H$58,2),VLOOKUP(0,setup!$A$8:$H$58,5),VLOOKUP(N880,setup!$A$8:$H$58,8))</f>
        <v>        return $retorno;</v>
      </c>
    </row>
    <row r="881" spans="1:15" x14ac:dyDescent="0.25">
      <c r="A881" s="6" t="s">
        <v>62</v>
      </c>
      <c r="N881">
        <v>12</v>
      </c>
      <c r="O881" s="7" t="str">
        <f ca="1">getCodigoBackend(N881,A881,VLOOKUP(N881,setup!$A$8:$H$58,2),VLOOKUP(N881,setup!$A$8:$H$58,3),VLOOKUP(N881,setup!$A$8:$H$58,4),VLOOKUP(N881,setup!$A$8:$H$58,5),VLOOKUP(N881,setup!$A$8:$H$58,6),VLOOKUP(N881,setup!$A$8:$H$58,7), VLOOKUP(0,setup!$A$8:$H$58,2),VLOOKUP(0,setup!$A$8:$H$58,5),VLOOKUP(N881,setup!$A$8:$H$58,8))</f>
        <v>    }</v>
      </c>
    </row>
    <row r="882" spans="1:15" x14ac:dyDescent="0.25">
      <c r="A882" s="6"/>
      <c r="O882" s="7" t="str">
        <f ca="1">getCodigoBackend(N882,A882,VLOOKUP(N882,setup!$A$8:$H$58,2),VLOOKUP(N882,setup!$A$8:$H$58,3),VLOOKUP(N882,setup!$A$8:$H$58,4),VLOOKUP(N882,setup!$A$8:$H$58,5),VLOOKUP(N882,setup!$A$8:$H$58,6),VLOOKUP(N882,setup!$A$8:$H$58,7), VLOOKUP(0,setup!$A$8:$H$58,2),VLOOKUP(0,setup!$A$8:$H$58,5),VLOOKUP(N882,setup!$A$8:$H$58,8))</f>
        <v/>
      </c>
    </row>
    <row r="883" spans="1:15" x14ac:dyDescent="0.25">
      <c r="A883" s="6"/>
      <c r="O883" s="7" t="str">
        <f ca="1">getCodigoBackend(N883,A883,VLOOKUP(N883,setup!$A$8:$H$58,2),VLOOKUP(N883,setup!$A$8:$H$58,3),VLOOKUP(N883,setup!$A$8:$H$58,4),VLOOKUP(N883,setup!$A$8:$H$58,5),VLOOKUP(N883,setup!$A$8:$H$58,6),VLOOKUP(N883,setup!$A$8:$H$58,7), VLOOKUP(0,setup!$A$8:$H$58,2),VLOOKUP(0,setup!$A$8:$H$58,5),VLOOKUP(N883,setup!$A$8:$H$58,8))</f>
        <v/>
      </c>
    </row>
    <row r="884" spans="1:15" x14ac:dyDescent="0.25">
      <c r="A884" s="6"/>
      <c r="O884" s="7" t="str">
        <f ca="1">getCodigoBackend(N884,A884,VLOOKUP(N884,setup!$A$8:$H$58,2),VLOOKUP(N884,setup!$A$8:$H$58,3),VLOOKUP(N884,setup!$A$8:$H$58,4),VLOOKUP(N884,setup!$A$8:$H$58,5),VLOOKUP(N884,setup!$A$8:$H$58,6),VLOOKUP(N884,setup!$A$8:$H$58,7), VLOOKUP(0,setup!$A$8:$H$58,2),VLOOKUP(0,setup!$A$8:$H$58,5),VLOOKUP(N884,setup!$A$8:$H$58,8))</f>
        <v/>
      </c>
    </row>
    <row r="885" spans="1:15" x14ac:dyDescent="0.25">
      <c r="A885" s="4" t="s">
        <v>19</v>
      </c>
      <c r="N885">
        <v>1</v>
      </c>
      <c r="O885" s="7" t="str">
        <f ca="1">getCodigoBackend(N885,A885,VLOOKUP(N885,setup!$A$8:$H$58,2),VLOOKUP(N885,setup!$A$8:$H$58,3),VLOOKUP(N885,setup!$A$8:$H$58,4),VLOOKUP(N885,setup!$A$8:$H$58,5),VLOOKUP(N885,setup!$A$8:$H$58,6),VLOOKUP(N885,setup!$A$8:$H$58,7), VLOOKUP(0,setup!$A$8:$H$58,2),VLOOKUP(0,setup!$A$8:$H$58,5),VLOOKUP(N885,setup!$A$8:$H$58,8))</f>
        <v>/**</v>
      </c>
    </row>
    <row r="886" spans="1:15" x14ac:dyDescent="0.25">
      <c r="A886" s="4" t="s">
        <v>20</v>
      </c>
      <c r="N886">
        <v>1</v>
      </c>
      <c r="O886" s="7" t="str">
        <f ca="1">getCodigoBackend(N886,A886,VLOOKUP(N886,setup!$A$8:$H$58,2),VLOOKUP(N886,setup!$A$8:$H$58,3),VLOOKUP(N886,setup!$A$8:$H$58,4),VLOOKUP(N886,setup!$A$8:$H$58,5),VLOOKUP(N886,setup!$A$8:$H$58,6),VLOOKUP(N886,setup!$A$8:$H$58,7), VLOOKUP(0,setup!$A$8:$H$58,2),VLOOKUP(0,setup!$A$8:$H$58,5),VLOOKUP(N886,setup!$A$8:$H$58,8))</f>
        <v>*</v>
      </c>
    </row>
    <row r="887" spans="1:15" x14ac:dyDescent="0.25">
      <c r="A887" s="4" t="s">
        <v>744</v>
      </c>
      <c r="N887">
        <v>1</v>
      </c>
      <c r="O887" s="7" t="str">
        <f ca="1">getCodigoBackend(N887,A887,VLOOKUP(N887,setup!$A$8:$H$58,2),VLOOKUP(N887,setup!$A$8:$H$58,3),VLOOKUP(N887,setup!$A$8:$H$58,4),VLOOKUP(N887,setup!$A$8:$H$58,5),VLOOKUP(N887,setup!$A$8:$H$58,6),VLOOKUP(N887,setup!$A$8:$H$58,7), VLOOKUP(0,setup!$A$8:$H$58,2),VLOOKUP(0,setup!$A$8:$H$58,5),VLOOKUP(N887,setup!$A$8:$H$58,8))</f>
        <v>* atualizarIdcampanhacashbackPorPK() - Usado para invocar a classe de negócio CampanhaCashbackResgatePixBusinessImpl de forma geral</v>
      </c>
    </row>
    <row r="888" spans="1:15" x14ac:dyDescent="0.25">
      <c r="A888" s="4" t="s">
        <v>745</v>
      </c>
      <c r="N888">
        <v>1</v>
      </c>
      <c r="O888" s="7" t="str">
        <f ca="1">getCodigoBackend(N888,A888,VLOOKUP(N888,setup!$A$8:$H$58,2),VLOOKUP(N888,setup!$A$8:$H$58,3),VLOOKUP(N888,setup!$A$8:$H$58,4),VLOOKUP(N888,setup!$A$8:$H$58,5),VLOOKUP(N888,setup!$A$8:$H$58,6),VLOOKUP(N888,setup!$A$8:$H$58,7), VLOOKUP(0,setup!$A$8:$H$58,2),VLOOKUP(0,setup!$A$8:$H$58,5),VLOOKUP(N888,setup!$A$8:$H$58,8))</f>
        <v>* realizar uma atualização de ID Campanha x Cashback diretamente na tabela CAMPANHA_CASHBACK_RESGATE_PIX campo CACA_ID</v>
      </c>
    </row>
    <row r="889" spans="1:15" x14ac:dyDescent="0.25">
      <c r="A889" s="4" t="s">
        <v>346</v>
      </c>
      <c r="N889">
        <v>1</v>
      </c>
      <c r="O889" s="7" t="str">
        <f ca="1">getCodigoBackend(N889,A889,VLOOKUP(N889,setup!$A$8:$H$58,2),VLOOKUP(N889,setup!$A$8:$H$58,3),VLOOKUP(N889,setup!$A$8:$H$58,4),VLOOKUP(N889,setup!$A$8:$H$58,5),VLOOKUP(N889,setup!$A$8:$H$58,6),VLOOKUP(N889,setup!$A$8:$H$58,7), VLOOKUP(0,setup!$A$8:$H$58,2),VLOOKUP(0,setup!$A$8:$H$58,5),VLOOKUP(N889,setup!$A$8:$H$58,8))</f>
        <v>* @param $id</v>
      </c>
    </row>
    <row r="890" spans="1:15" x14ac:dyDescent="0.25">
      <c r="A890" s="4" t="s">
        <v>723</v>
      </c>
      <c r="N890">
        <v>1</v>
      </c>
      <c r="O890" s="7" t="str">
        <f ca="1">getCodigoBackend(N890,A890,VLOOKUP(N890,setup!$A$8:$H$58,2),VLOOKUP(N890,setup!$A$8:$H$58,3),VLOOKUP(N890,setup!$A$8:$H$58,4),VLOOKUP(N890,setup!$A$8:$H$58,5),VLOOKUP(N890,setup!$A$8:$H$58,6),VLOOKUP(N890,setup!$A$8:$H$58,7), VLOOKUP(0,setup!$A$8:$H$58,2),VLOOKUP(0,setup!$A$8:$H$58,5),VLOOKUP(N890,setup!$A$8:$H$58,8))</f>
        <v>* @param $idCampanhaCashback</v>
      </c>
    </row>
    <row r="891" spans="1:15" x14ac:dyDescent="0.25">
      <c r="A891" s="4" t="s">
        <v>347</v>
      </c>
      <c r="N891">
        <v>1</v>
      </c>
      <c r="O891" s="7" t="str">
        <f ca="1">getCodigoBackend(N891,A891,VLOOKUP(N891,setup!$A$8:$H$58,2),VLOOKUP(N891,setup!$A$8:$H$58,3),VLOOKUP(N891,setup!$A$8:$H$58,4),VLOOKUP(N891,setup!$A$8:$H$58,5),VLOOKUP(N891,setup!$A$8:$H$58,6),VLOOKUP(N891,setup!$A$8:$H$58,7), VLOOKUP(0,setup!$A$8:$H$58,2),VLOOKUP(0,setup!$A$8:$H$58,5),VLOOKUP(N891,setup!$A$8:$H$58,8))</f>
        <v>* @return CampanhaCashbackResgatePixDTO</v>
      </c>
    </row>
    <row r="892" spans="1:15" x14ac:dyDescent="0.25">
      <c r="A892" s="4" t="s">
        <v>20</v>
      </c>
      <c r="N892">
        <v>1</v>
      </c>
      <c r="O892" s="7" t="str">
        <f ca="1">getCodigoBackend(N892,A892,VLOOKUP(N892,setup!$A$8:$H$58,2),VLOOKUP(N892,setup!$A$8:$H$58,3),VLOOKUP(N892,setup!$A$8:$H$58,4),VLOOKUP(N892,setup!$A$8:$H$58,5),VLOOKUP(N892,setup!$A$8:$H$58,6),VLOOKUP(N892,setup!$A$8:$H$58,7), VLOOKUP(0,setup!$A$8:$H$58,2),VLOOKUP(0,setup!$A$8:$H$58,5),VLOOKUP(N892,setup!$A$8:$H$58,8))</f>
        <v>*</v>
      </c>
    </row>
    <row r="893" spans="1:15" x14ac:dyDescent="0.25">
      <c r="A893" s="4" t="s">
        <v>75</v>
      </c>
      <c r="N893">
        <v>1</v>
      </c>
      <c r="O893" s="7" t="str">
        <f ca="1">getCodigoBackend(N893,A893,VLOOKUP(N893,setup!$A$8:$H$58,2),VLOOKUP(N893,setup!$A$8:$H$58,3),VLOOKUP(N893,setup!$A$8:$H$58,4),VLOOKUP(N893,setup!$A$8:$H$58,5),VLOOKUP(N893,setup!$A$8:$H$58,6),VLOOKUP(N893,setup!$A$8:$H$58,7), VLOOKUP(0,setup!$A$8:$H$58,2),VLOOKUP(0,setup!$A$8:$H$58,5),VLOOKUP(N893,setup!$A$8:$H$58,8))</f>
        <v xml:space="preserve">* </v>
      </c>
    </row>
    <row r="894" spans="1:15" x14ac:dyDescent="0.25">
      <c r="A894" s="4" t="s">
        <v>21</v>
      </c>
      <c r="N894">
        <v>1</v>
      </c>
      <c r="O894" s="7" t="str">
        <f ca="1">getCodigoBackend(N894,A894,VLOOKUP(N894,setup!$A$8:$H$58,2),VLOOKUP(N894,setup!$A$8:$H$58,3),VLOOKUP(N894,setup!$A$8:$H$58,4),VLOOKUP(N894,setup!$A$8:$H$58,5),VLOOKUP(N894,setup!$A$8:$H$58,6),VLOOKUP(N894,setup!$A$8:$H$58,7), VLOOKUP(0,setup!$A$8:$H$58,2),VLOOKUP(0,setup!$A$8:$H$58,5),VLOOKUP(N894,setup!$A$8:$H$58,8))</f>
        <v>*/</v>
      </c>
    </row>
    <row r="895" spans="1:15" x14ac:dyDescent="0.25">
      <c r="A895" s="6"/>
      <c r="N895">
        <v>1</v>
      </c>
      <c r="O895" s="7" t="str">
        <f ca="1">getCodigoBackend(N895,A895,VLOOKUP(N895,setup!$A$8:$H$58,2),VLOOKUP(N895,setup!$A$8:$H$58,3),VLOOKUP(N895,setup!$A$8:$H$58,4),VLOOKUP(N895,setup!$A$8:$H$58,5),VLOOKUP(N895,setup!$A$8:$H$58,6),VLOOKUP(N895,setup!$A$8:$H$58,7), VLOOKUP(0,setup!$A$8:$H$58,2),VLOOKUP(0,setup!$A$8:$H$58,5),VLOOKUP(N895,setup!$A$8:$H$58,8))</f>
        <v/>
      </c>
    </row>
    <row r="896" spans="1:15" x14ac:dyDescent="0.25">
      <c r="A896" s="29" t="s">
        <v>782</v>
      </c>
      <c r="N896">
        <v>1</v>
      </c>
      <c r="O896" s="7" t="str">
        <f ca="1">getCodigoBackend(N896,A896,VLOOKUP(N896,setup!$A$8:$H$58,2),VLOOKUP(N896,setup!$A$8:$H$58,3),VLOOKUP(N896,setup!$A$8:$H$58,4),VLOOKUP(N896,setup!$A$8:$H$58,5),VLOOKUP(N896,setup!$A$8:$H$58,6),VLOOKUP(N896,setup!$A$8:$H$58,7), VLOOKUP(0,setup!$A$8:$H$58,2),VLOOKUP(0,setup!$A$8:$H$58,5),VLOOKUP(N896,setup!$A$8:$H$58,8))</f>
        <v xml:space="preserve">    public function atualizarIdcampanhacashbackPorPK($idCampanhaCashback,$id)</v>
      </c>
    </row>
    <row r="897" spans="1:15" x14ac:dyDescent="0.25">
      <c r="A897" s="29" t="s">
        <v>379</v>
      </c>
      <c r="N897">
        <v>1</v>
      </c>
      <c r="O897" s="7" t="str">
        <f ca="1">getCodigoBackend(N897,A897,VLOOKUP(N897,setup!$A$8:$H$58,2),VLOOKUP(N897,setup!$A$8:$H$58,3),VLOOKUP(N897,setup!$A$8:$H$58,4),VLOOKUP(N897,setup!$A$8:$H$58,5),VLOOKUP(N897,setup!$A$8:$H$58,6),VLOOKUP(N897,setup!$A$8:$H$58,7), VLOOKUP(0,setup!$A$8:$H$58,2),VLOOKUP(0,setup!$A$8:$H$58,5),VLOOKUP(N897,setup!$A$8:$H$58,8))</f>
        <v xml:space="preserve">    {</v>
      </c>
    </row>
    <row r="898" spans="1:15" x14ac:dyDescent="0.25">
      <c r="A898" s="29" t="s">
        <v>724</v>
      </c>
      <c r="N898">
        <v>1</v>
      </c>
      <c r="O898" s="7" t="str">
        <f ca="1">getCodigoBackend(N898,A898,VLOOKUP(N898,setup!$A$8:$H$58,2),VLOOKUP(N898,setup!$A$8:$H$58,3),VLOOKUP(N898,setup!$A$8:$H$58,4),VLOOKUP(N898,setup!$A$8:$H$58,5),VLOOKUP(N898,setup!$A$8:$H$58,6),VLOOKUP(N898,setup!$A$8:$H$58,7), VLOOKUP(0,setup!$A$8:$H$58,2),VLOOKUP(0,setup!$A$8:$H$58,5),VLOOKUP(N898,setup!$A$8:$H$58,8))</f>
        <v xml:space="preserve">        $daofactory = NULL;</v>
      </c>
    </row>
    <row r="899" spans="1:15" x14ac:dyDescent="0.25">
      <c r="A899" s="29" t="s">
        <v>725</v>
      </c>
      <c r="N899">
        <v>1</v>
      </c>
      <c r="O899" s="7" t="str">
        <f ca="1">getCodigoBackend(N899,A899,VLOOKUP(N899,setup!$A$8:$H$58,2),VLOOKUP(N899,setup!$A$8:$H$58,3),VLOOKUP(N899,setup!$A$8:$H$58,4),VLOOKUP(N899,setup!$A$8:$H$58,5),VLOOKUP(N899,setup!$A$8:$H$58,6),VLOOKUP(N899,setup!$A$8:$H$58,7), VLOOKUP(0,setup!$A$8:$H$58,2),VLOOKUP(0,setup!$A$8:$H$58,5),VLOOKUP(N899,setup!$A$8:$H$58,8))</f>
        <v xml:space="preserve">        $retorno = NULL;</v>
      </c>
    </row>
    <row r="900" spans="1:15" x14ac:dyDescent="0.25">
      <c r="A900" s="29" t="s">
        <v>726</v>
      </c>
      <c r="N900">
        <v>1</v>
      </c>
      <c r="O900" s="7" t="str">
        <f ca="1">getCodigoBackend(N900,A900,VLOOKUP(N900,setup!$A$8:$H$58,2),VLOOKUP(N900,setup!$A$8:$H$58,3),VLOOKUP(N900,setup!$A$8:$H$58,4),VLOOKUP(N900,setup!$A$8:$H$58,5),VLOOKUP(N900,setup!$A$8:$H$58,6),VLOOKUP(N900,setup!$A$8:$H$58,7), VLOOKUP(0,setup!$A$8:$H$58,2),VLOOKUP(0,setup!$A$8:$H$58,5),VLOOKUP(N900,setup!$A$8:$H$58,8))</f>
        <v xml:space="preserve">        try {</v>
      </c>
    </row>
    <row r="901" spans="1:15" x14ac:dyDescent="0.25">
      <c r="A901" s="29" t="s">
        <v>727</v>
      </c>
      <c r="N901">
        <v>1</v>
      </c>
      <c r="O901" s="7" t="str">
        <f ca="1">getCodigoBackend(N901,A901,VLOOKUP(N901,setup!$A$8:$H$58,2),VLOOKUP(N901,setup!$A$8:$H$58,3),VLOOKUP(N901,setup!$A$8:$H$58,4),VLOOKUP(N901,setup!$A$8:$H$58,5),VLOOKUP(N901,setup!$A$8:$H$58,6),VLOOKUP(N901,setup!$A$8:$H$58,7), VLOOKUP(0,setup!$A$8:$H$58,2),VLOOKUP(0,setup!$A$8:$H$58,5),VLOOKUP(N901,setup!$A$8:$H$58,8))</f>
        <v xml:space="preserve">            $daofactory = DAOFactory::getDAOFactory();</v>
      </c>
    </row>
    <row r="902" spans="1:15" x14ac:dyDescent="0.25">
      <c r="A902" s="29" t="s">
        <v>728</v>
      </c>
      <c r="N902">
        <v>1</v>
      </c>
      <c r="O902" s="7" t="str">
        <f ca="1">getCodigoBackend(N902,A902,VLOOKUP(N902,setup!$A$8:$H$58,2),VLOOKUP(N902,setup!$A$8:$H$58,3),VLOOKUP(N902,setup!$A$8:$H$58,4),VLOOKUP(N902,setup!$A$8:$H$58,5),VLOOKUP(N902,setup!$A$8:$H$58,6),VLOOKUP(N902,setup!$A$8:$H$58,7), VLOOKUP(0,setup!$A$8:$H$58,2),VLOOKUP(0,setup!$A$8:$H$58,5),VLOOKUP(N902,setup!$A$8:$H$58,8))</f>
        <v xml:space="preserve">            $daofactory-&gt;open();</v>
      </c>
    </row>
    <row r="903" spans="1:15" x14ac:dyDescent="0.25">
      <c r="A903" s="29" t="s">
        <v>729</v>
      </c>
      <c r="N903">
        <v>1</v>
      </c>
      <c r="O903" s="7" t="str">
        <f ca="1">getCodigoBackend(N903,A903,VLOOKUP(N903,setup!$A$8:$H$58,2),VLOOKUP(N903,setup!$A$8:$H$58,3),VLOOKUP(N903,setup!$A$8:$H$58,4),VLOOKUP(N903,setup!$A$8:$H$58,5),VLOOKUP(N903,setup!$A$8:$H$58,6),VLOOKUP(N903,setup!$A$8:$H$58,7), VLOOKUP(0,setup!$A$8:$H$58,2),VLOOKUP(0,setup!$A$8:$H$58,5),VLOOKUP(N903,setup!$A$8:$H$58,8))</f>
        <v xml:space="preserve">            $daofactory-&gt;beginTransaction();</v>
      </c>
    </row>
    <row r="904" spans="1:15" x14ac:dyDescent="0.25">
      <c r="A904" s="29" t="s">
        <v>730</v>
      </c>
      <c r="N904">
        <v>1</v>
      </c>
      <c r="O904" s="7" t="str">
        <f ca="1">getCodigoBackend(N904,A904,VLOOKUP(N904,setup!$A$8:$H$58,2),VLOOKUP(N904,setup!$A$8:$H$58,3),VLOOKUP(N904,setup!$A$8:$H$58,4),VLOOKUP(N904,setup!$A$8:$H$58,5),VLOOKUP(N904,setup!$A$8:$H$58,6),VLOOKUP(N904,setup!$A$8:$H$58,7), VLOOKUP(0,setup!$A$8:$H$58,2),VLOOKUP(0,setup!$A$8:$H$58,5),VLOOKUP(N904,setup!$A$8:$H$58,8))</f>
        <v xml:space="preserve">            </v>
      </c>
    </row>
    <row r="905" spans="1:15" x14ac:dyDescent="0.25">
      <c r="A905" s="29" t="s">
        <v>746</v>
      </c>
      <c r="N905">
        <v>1</v>
      </c>
      <c r="O905" s="7" t="str">
        <f ca="1">getCodigoBackend(N905,A905,VLOOKUP(N905,setup!$A$8:$H$58,2),VLOOKUP(N905,setup!$A$8:$H$58,3),VLOOKUP(N905,setup!$A$8:$H$58,4),VLOOKUP(N905,setup!$A$8:$H$58,5),VLOOKUP(N905,setup!$A$8:$H$58,6),VLOOKUP(N905,setup!$A$8:$H$58,7), VLOOKUP(0,setup!$A$8:$H$58,2),VLOOKUP(0,setup!$A$8:$H$58,5),VLOOKUP(N905,setup!$A$8:$H$58,8))</f>
        <v xml:space="preserve">            // atualizar registro por meio do método CampanhaCashbackResgatePixBusinessImpl::atualizarIdcampanhacashbackPorPK($idCampanhaCashback,$id)</v>
      </c>
    </row>
    <row r="906" spans="1:15" x14ac:dyDescent="0.25">
      <c r="A906" s="29" t="s">
        <v>747</v>
      </c>
      <c r="N906">
        <v>1</v>
      </c>
      <c r="O906" s="7" t="str">
        <f ca="1">getCodigoBackend(N906,A906,VLOOKUP(N906,setup!$A$8:$H$58,2),VLOOKUP(N906,setup!$A$8:$H$58,3),VLOOKUP(N906,setup!$A$8:$H$58,4),VLOOKUP(N906,setup!$A$8:$H$58,5),VLOOKUP(N906,setup!$A$8:$H$58,6),VLOOKUP(N906,setup!$A$8:$H$58,7), VLOOKUP(0,setup!$A$8:$H$58,2),VLOOKUP(0,setup!$A$8:$H$58,5),VLOOKUP(N906,setup!$A$8:$H$58,8))</f>
        <v xml:space="preserve">           $bo = new CampanhaCashbackResgatePixBusinessImpl();</v>
      </c>
    </row>
    <row r="907" spans="1:15" x14ac:dyDescent="0.25">
      <c r="A907" s="29" t="s">
        <v>748</v>
      </c>
      <c r="N907">
        <v>1</v>
      </c>
      <c r="O907" s="7" t="str">
        <f ca="1">getCodigoBackend(N907,A907,VLOOKUP(N907,setup!$A$8:$H$58,2),VLOOKUP(N907,setup!$A$8:$H$58,3),VLOOKUP(N907,setup!$A$8:$H$58,4),VLOOKUP(N907,setup!$A$8:$H$58,5),VLOOKUP(N907,setup!$A$8:$H$58,6),VLOOKUP(N907,setup!$A$8:$H$58,7), VLOOKUP(0,setup!$A$8:$H$58,2),VLOOKUP(0,setup!$A$8:$H$58,5),VLOOKUP(N907,setup!$A$8:$H$58,8))</f>
        <v xml:space="preserve">           $retorno = $bo-&gt;atualizarIdcampanhacashbackPorPK($daofactory,$idCampanhaCashback,$id);</v>
      </c>
    </row>
    <row r="908" spans="1:15" x14ac:dyDescent="0.25">
      <c r="A908" s="29"/>
      <c r="N908">
        <v>1</v>
      </c>
      <c r="O908" s="7" t="str">
        <f ca="1">getCodigoBackend(N908,A908,VLOOKUP(N908,setup!$A$8:$H$58,2),VLOOKUP(N908,setup!$A$8:$H$58,3),VLOOKUP(N908,setup!$A$8:$H$58,4),VLOOKUP(N908,setup!$A$8:$H$58,5),VLOOKUP(N908,setup!$A$8:$H$58,6),VLOOKUP(N908,setup!$A$8:$H$58,7), VLOOKUP(0,setup!$A$8:$H$58,2),VLOOKUP(0,setup!$A$8:$H$58,5),VLOOKUP(N908,setup!$A$8:$H$58,8))</f>
        <v/>
      </c>
    </row>
    <row r="909" spans="1:15" x14ac:dyDescent="0.25">
      <c r="A909" s="29" t="s">
        <v>731</v>
      </c>
      <c r="N909">
        <v>1</v>
      </c>
      <c r="O909" s="7" t="str">
        <f ca="1">getCodigoBackend(N909,A909,VLOOKUP(N909,setup!$A$8:$H$58,2),VLOOKUP(N909,setup!$A$8:$H$58,3),VLOOKUP(N909,setup!$A$8:$H$58,4),VLOOKUP(N909,setup!$A$8:$H$58,5),VLOOKUP(N909,setup!$A$8:$H$58,6),VLOOKUP(N909,setup!$A$8:$H$58,7), VLOOKUP(0,setup!$A$8:$H$58,2),VLOOKUP(0,setup!$A$8:$H$58,5),VLOOKUP(N909,setup!$A$8:$H$58,8))</f>
        <v xml:space="preserve">           if ($retorno-&gt;msgcode == ConstantesMensagem::COMANDO_REALIZADO_COM_SUCESSO){</v>
      </c>
    </row>
    <row r="910" spans="1:15" x14ac:dyDescent="0.25">
      <c r="A910" s="29" t="s">
        <v>732</v>
      </c>
      <c r="N910">
        <v>1</v>
      </c>
      <c r="O910" s="7" t="str">
        <f ca="1">getCodigoBackend(N910,A910,VLOOKUP(N910,setup!$A$8:$H$58,2),VLOOKUP(N910,setup!$A$8:$H$58,3),VLOOKUP(N910,setup!$A$8:$H$58,4),VLOOKUP(N910,setup!$A$8:$H$58,5),VLOOKUP(N910,setup!$A$8:$H$58,6),VLOOKUP(N910,setup!$A$8:$H$58,7), VLOOKUP(0,setup!$A$8:$H$58,2),VLOOKUP(0,setup!$A$8:$H$58,5),VLOOKUP(N910,setup!$A$8:$H$58,8))</f>
        <v xml:space="preserve">                $daofactory-&gt;commit();</v>
      </c>
    </row>
    <row r="911" spans="1:15" x14ac:dyDescent="0.25">
      <c r="A911" s="29" t="s">
        <v>733</v>
      </c>
      <c r="N911">
        <v>1</v>
      </c>
      <c r="O911" s="7" t="str">
        <f ca="1">getCodigoBackend(N911,A911,VLOOKUP(N911,setup!$A$8:$H$58,2),VLOOKUP(N911,setup!$A$8:$H$58,3),VLOOKUP(N911,setup!$A$8:$H$58,4),VLOOKUP(N911,setup!$A$8:$H$58,5),VLOOKUP(N911,setup!$A$8:$H$58,6),VLOOKUP(N911,setup!$A$8:$H$58,7), VLOOKUP(0,setup!$A$8:$H$58,2),VLOOKUP(0,setup!$A$8:$H$58,5),VLOOKUP(N911,setup!$A$8:$H$58,8))</f>
        <v xml:space="preserve">            } else {</v>
      </c>
    </row>
    <row r="912" spans="1:15" x14ac:dyDescent="0.25">
      <c r="A912" s="29" t="s">
        <v>734</v>
      </c>
      <c r="N912">
        <v>1</v>
      </c>
      <c r="O912" s="7" t="str">
        <f ca="1">getCodigoBackend(N912,A912,VLOOKUP(N912,setup!$A$8:$H$58,2),VLOOKUP(N912,setup!$A$8:$H$58,3),VLOOKUP(N912,setup!$A$8:$H$58,4),VLOOKUP(N912,setup!$A$8:$H$58,5),VLOOKUP(N912,setup!$A$8:$H$58,6),VLOOKUP(N912,setup!$A$8:$H$58,7), VLOOKUP(0,setup!$A$8:$H$58,2),VLOOKUP(0,setup!$A$8:$H$58,5),VLOOKUP(N912,setup!$A$8:$H$58,8))</f>
        <v xml:space="preserve">                $daofactory-&gt;rollback();</v>
      </c>
    </row>
    <row r="913" spans="1:15" x14ac:dyDescent="0.25">
      <c r="A913" s="29" t="s">
        <v>505</v>
      </c>
      <c r="N913">
        <v>1</v>
      </c>
      <c r="O913" s="7" t="str">
        <f ca="1">getCodigoBackend(N913,A913,VLOOKUP(N913,setup!$A$8:$H$58,2),VLOOKUP(N913,setup!$A$8:$H$58,3),VLOOKUP(N913,setup!$A$8:$H$58,4),VLOOKUP(N913,setup!$A$8:$H$58,5),VLOOKUP(N913,setup!$A$8:$H$58,6),VLOOKUP(N913,setup!$A$8:$H$58,7), VLOOKUP(0,setup!$A$8:$H$58,2),VLOOKUP(0,setup!$A$8:$H$58,5),VLOOKUP(N913,setup!$A$8:$H$58,8))</f>
        <v xml:space="preserve">            }</v>
      </c>
    </row>
    <row r="914" spans="1:15" x14ac:dyDescent="0.25">
      <c r="A914" s="29" t="s">
        <v>730</v>
      </c>
      <c r="N914">
        <v>1</v>
      </c>
      <c r="O914" s="7" t="str">
        <f ca="1">getCodigoBackend(N914,A914,VLOOKUP(N914,setup!$A$8:$H$58,2),VLOOKUP(N914,setup!$A$8:$H$58,3),VLOOKUP(N914,setup!$A$8:$H$58,4),VLOOKUP(N914,setup!$A$8:$H$58,5),VLOOKUP(N914,setup!$A$8:$H$58,6),VLOOKUP(N914,setup!$A$8:$H$58,7), VLOOKUP(0,setup!$A$8:$H$58,2),VLOOKUP(0,setup!$A$8:$H$58,5),VLOOKUP(N914,setup!$A$8:$H$58,8))</f>
        <v xml:space="preserve">            </v>
      </c>
    </row>
    <row r="915" spans="1:15" x14ac:dyDescent="0.25">
      <c r="A915" s="29" t="s">
        <v>735</v>
      </c>
      <c r="N915">
        <v>1</v>
      </c>
      <c r="O915" s="7" t="str">
        <f ca="1">getCodigoBackend(N915,A915,VLOOKUP(N915,setup!$A$8:$H$58,2),VLOOKUP(N915,setup!$A$8:$H$58,3),VLOOKUP(N915,setup!$A$8:$H$58,4),VLOOKUP(N915,setup!$A$8:$H$58,5),VLOOKUP(N915,setup!$A$8:$H$58,6),VLOOKUP(N915,setup!$A$8:$H$58,7), VLOOKUP(0,setup!$A$8:$H$58,2),VLOOKUP(0,setup!$A$8:$H$58,5),VLOOKUP(N915,setup!$A$8:$H$58,8))</f>
        <v xml:space="preserve">        } catch (Exception $e) {</v>
      </c>
    </row>
    <row r="916" spans="1:15" x14ac:dyDescent="0.25">
      <c r="A916" s="29" t="s">
        <v>736</v>
      </c>
      <c r="N916">
        <v>1</v>
      </c>
      <c r="O916" s="7" t="str">
        <f ca="1">getCodigoBackend(N916,A916,VLOOKUP(N916,setup!$A$8:$H$58,2),VLOOKUP(N916,setup!$A$8:$H$58,3),VLOOKUP(N916,setup!$A$8:$H$58,4),VLOOKUP(N916,setup!$A$8:$H$58,5),VLOOKUP(N916,setup!$A$8:$H$58,6),VLOOKUP(N916,setup!$A$8:$H$58,7), VLOOKUP(0,setup!$A$8:$H$58,2),VLOOKUP(0,setup!$A$8:$H$58,5),VLOOKUP(N916,setup!$A$8:$H$58,8))</f>
        <v xml:space="preserve">            // rollback na transação</v>
      </c>
    </row>
    <row r="917" spans="1:15" x14ac:dyDescent="0.25">
      <c r="A917" s="29" t="s">
        <v>737</v>
      </c>
      <c r="N917">
        <v>1</v>
      </c>
      <c r="O917" s="7" t="str">
        <f ca="1">getCodigoBackend(N917,A917,VLOOKUP(N917,setup!$A$8:$H$58,2),VLOOKUP(N917,setup!$A$8:$H$58,3),VLOOKUP(N917,setup!$A$8:$H$58,4),VLOOKUP(N917,setup!$A$8:$H$58,5),VLOOKUP(N917,setup!$A$8:$H$58,6),VLOOKUP(N917,setup!$A$8:$H$58,7), VLOOKUP(0,setup!$A$8:$H$58,2),VLOOKUP(0,setup!$A$8:$H$58,5),VLOOKUP(N917,setup!$A$8:$H$58,8))</f>
        <v xml:space="preserve">            $daofactory-&gt;rollback();</v>
      </c>
    </row>
    <row r="918" spans="1:15" x14ac:dyDescent="0.25">
      <c r="A918" s="29"/>
      <c r="N918">
        <v>1</v>
      </c>
      <c r="O918" s="7" t="str">
        <f ca="1">getCodigoBackend(N918,A918,VLOOKUP(N918,setup!$A$8:$H$58,2),VLOOKUP(N918,setup!$A$8:$H$58,3),VLOOKUP(N918,setup!$A$8:$H$58,4),VLOOKUP(N918,setup!$A$8:$H$58,5),VLOOKUP(N918,setup!$A$8:$H$58,6),VLOOKUP(N918,setup!$A$8:$H$58,7), VLOOKUP(0,setup!$A$8:$H$58,2),VLOOKUP(0,setup!$A$8:$H$58,5),VLOOKUP(N918,setup!$A$8:$H$58,8))</f>
        <v/>
      </c>
    </row>
    <row r="919" spans="1:15" x14ac:dyDescent="0.25">
      <c r="A919" s="29" t="s">
        <v>738</v>
      </c>
      <c r="N919">
        <v>1</v>
      </c>
      <c r="O919" s="7" t="str">
        <f ca="1">getCodigoBackend(N919,A919,VLOOKUP(N919,setup!$A$8:$H$58,2),VLOOKUP(N919,setup!$A$8:$H$58,3),VLOOKUP(N919,setup!$A$8:$H$58,4),VLOOKUP(N919,setup!$A$8:$H$58,5),VLOOKUP(N919,setup!$A$8:$H$58,6),VLOOKUP(N919,setup!$A$8:$H$58,7), VLOOKUP(0,setup!$A$8:$H$58,2),VLOOKUP(0,setup!$A$8:$H$58,5),VLOOKUP(N919,setup!$A$8:$H$58,8))</f>
        <v xml:space="preserve">        } finally {</v>
      </c>
    </row>
    <row r="920" spans="1:15" x14ac:dyDescent="0.25">
      <c r="A920" s="29" t="s">
        <v>739</v>
      </c>
      <c r="N920">
        <v>1</v>
      </c>
      <c r="O920" s="7" t="str">
        <f ca="1">getCodigoBackend(N920,A920,VLOOKUP(N920,setup!$A$8:$H$58,2),VLOOKUP(N920,setup!$A$8:$H$58,3),VLOOKUP(N920,setup!$A$8:$H$58,4),VLOOKUP(N920,setup!$A$8:$H$58,5),VLOOKUP(N920,setup!$A$8:$H$58,6),VLOOKUP(N920,setup!$A$8:$H$58,7), VLOOKUP(0,setup!$A$8:$H$58,2),VLOOKUP(0,setup!$A$8:$H$58,5),VLOOKUP(N920,setup!$A$8:$H$58,8))</f>
        <v xml:space="preserve">            try {</v>
      </c>
    </row>
    <row r="921" spans="1:15" x14ac:dyDescent="0.25">
      <c r="A921" s="29" t="s">
        <v>740</v>
      </c>
      <c r="N921">
        <v>1</v>
      </c>
      <c r="O921" s="7" t="str">
        <f ca="1">getCodigoBackend(N921,A921,VLOOKUP(N921,setup!$A$8:$H$58,2),VLOOKUP(N921,setup!$A$8:$H$58,3),VLOOKUP(N921,setup!$A$8:$H$58,4),VLOOKUP(N921,setup!$A$8:$H$58,5),VLOOKUP(N921,setup!$A$8:$H$58,6),VLOOKUP(N921,setup!$A$8:$H$58,7), VLOOKUP(0,setup!$A$8:$H$58,2),VLOOKUP(0,setup!$A$8:$H$58,5),VLOOKUP(N921,setup!$A$8:$H$58,8))</f>
        <v xml:space="preserve">                $daofactory-&gt;close();</v>
      </c>
    </row>
    <row r="922" spans="1:15" x14ac:dyDescent="0.25">
      <c r="A922" s="29" t="s">
        <v>741</v>
      </c>
      <c r="N922">
        <v>1</v>
      </c>
      <c r="O922" s="7" t="str">
        <f ca="1">getCodigoBackend(N922,A922,VLOOKUP(N922,setup!$A$8:$H$58,2),VLOOKUP(N922,setup!$A$8:$H$58,3),VLOOKUP(N922,setup!$A$8:$H$58,4),VLOOKUP(N922,setup!$A$8:$H$58,5),VLOOKUP(N922,setup!$A$8:$H$58,6),VLOOKUP(N922,setup!$A$8:$H$58,7), VLOOKUP(0,setup!$A$8:$H$58,2),VLOOKUP(0,setup!$A$8:$H$58,5),VLOOKUP(N922,setup!$A$8:$H$58,8))</f>
        <v xml:space="preserve">            } catch (Exception $e) {</v>
      </c>
    </row>
    <row r="923" spans="1:15" x14ac:dyDescent="0.25">
      <c r="A923" s="29" t="s">
        <v>742</v>
      </c>
      <c r="N923">
        <v>1</v>
      </c>
      <c r="O923" s="7" t="str">
        <f ca="1">getCodigoBackend(N923,A923,VLOOKUP(N923,setup!$A$8:$H$58,2),VLOOKUP(N923,setup!$A$8:$H$58,3),VLOOKUP(N923,setup!$A$8:$H$58,4),VLOOKUP(N923,setup!$A$8:$H$58,5),VLOOKUP(N923,setup!$A$8:$H$58,6),VLOOKUP(N923,setup!$A$8:$H$58,7), VLOOKUP(0,setup!$A$8:$H$58,2),VLOOKUP(0,setup!$A$8:$H$58,5),VLOOKUP(N923,setup!$A$8:$H$58,8))</f>
        <v xml:space="preserve">                // faz algo</v>
      </c>
    </row>
    <row r="924" spans="1:15" x14ac:dyDescent="0.25">
      <c r="A924" s="29" t="s">
        <v>505</v>
      </c>
      <c r="N924">
        <v>1</v>
      </c>
      <c r="O924" s="7" t="str">
        <f ca="1">getCodigoBackend(N924,A924,VLOOKUP(N924,setup!$A$8:$H$58,2),VLOOKUP(N924,setup!$A$8:$H$58,3),VLOOKUP(N924,setup!$A$8:$H$58,4),VLOOKUP(N924,setup!$A$8:$H$58,5),VLOOKUP(N924,setup!$A$8:$H$58,6),VLOOKUP(N924,setup!$A$8:$H$58,7), VLOOKUP(0,setup!$A$8:$H$58,2),VLOOKUP(0,setup!$A$8:$H$58,5),VLOOKUP(N924,setup!$A$8:$H$58,8))</f>
        <v xml:space="preserve">            }</v>
      </c>
    </row>
    <row r="925" spans="1:15" x14ac:dyDescent="0.25">
      <c r="A925" s="29" t="s">
        <v>157</v>
      </c>
      <c r="N925">
        <v>1</v>
      </c>
      <c r="O925" s="7" t="str">
        <f ca="1">getCodigoBackend(N925,A925,VLOOKUP(N925,setup!$A$8:$H$58,2),VLOOKUP(N925,setup!$A$8:$H$58,3),VLOOKUP(N925,setup!$A$8:$H$58,4),VLOOKUP(N925,setup!$A$8:$H$58,5),VLOOKUP(N925,setup!$A$8:$H$58,6),VLOOKUP(N925,setup!$A$8:$H$58,7), VLOOKUP(0,setup!$A$8:$H$58,2),VLOOKUP(0,setup!$A$8:$H$58,5),VLOOKUP(N925,setup!$A$8:$H$58,8))</f>
        <v xml:space="preserve">        }</v>
      </c>
    </row>
    <row r="926" spans="1:15" x14ac:dyDescent="0.25">
      <c r="A926" s="29"/>
      <c r="N926">
        <v>1</v>
      </c>
      <c r="O926" s="7" t="str">
        <f ca="1">getCodigoBackend(N926,A926,VLOOKUP(N926,setup!$A$8:$H$58,2),VLOOKUP(N926,setup!$A$8:$H$58,3),VLOOKUP(N926,setup!$A$8:$H$58,4),VLOOKUP(N926,setup!$A$8:$H$58,5),VLOOKUP(N926,setup!$A$8:$H$58,6),VLOOKUP(N926,setup!$A$8:$H$58,7), VLOOKUP(0,setup!$A$8:$H$58,2),VLOOKUP(0,setup!$A$8:$H$58,5),VLOOKUP(N926,setup!$A$8:$H$58,8))</f>
        <v/>
      </c>
    </row>
    <row r="927" spans="1:15" x14ac:dyDescent="0.25">
      <c r="A927" s="29" t="s">
        <v>743</v>
      </c>
      <c r="N927">
        <v>1</v>
      </c>
      <c r="O927" s="7" t="str">
        <f ca="1">getCodigoBackend(N927,A927,VLOOKUP(N927,setup!$A$8:$H$58,2),VLOOKUP(N927,setup!$A$8:$H$58,3),VLOOKUP(N927,setup!$A$8:$H$58,4),VLOOKUP(N927,setup!$A$8:$H$58,5),VLOOKUP(N927,setup!$A$8:$H$58,6),VLOOKUP(N927,setup!$A$8:$H$58,7), VLOOKUP(0,setup!$A$8:$H$58,2),VLOOKUP(0,setup!$A$8:$H$58,5),VLOOKUP(N927,setup!$A$8:$H$58,8))</f>
        <v xml:space="preserve">        return $retorno;</v>
      </c>
    </row>
    <row r="928" spans="1:15" x14ac:dyDescent="0.25">
      <c r="A928" s="29" t="s">
        <v>406</v>
      </c>
      <c r="N928">
        <v>1</v>
      </c>
      <c r="O928" s="7" t="str">
        <f ca="1">getCodigoBackend(N928,A928,VLOOKUP(N928,setup!$A$8:$H$58,2),VLOOKUP(N928,setup!$A$8:$H$58,3),VLOOKUP(N928,setup!$A$8:$H$58,4),VLOOKUP(N928,setup!$A$8:$H$58,5),VLOOKUP(N928,setup!$A$8:$H$58,6),VLOOKUP(N928,setup!$A$8:$H$58,7), VLOOKUP(0,setup!$A$8:$H$58,2),VLOOKUP(0,setup!$A$8:$H$58,5),VLOOKUP(N928,setup!$A$8:$H$58,8))</f>
        <v xml:space="preserve">    }</v>
      </c>
    </row>
    <row r="929" spans="1:15" x14ac:dyDescent="0.25">
      <c r="A929" s="29"/>
      <c r="O929" s="7" t="str">
        <f ca="1">getCodigoBackend(N929,A929,VLOOKUP(N929,setup!$A$8:$H$58,2),VLOOKUP(N929,setup!$A$8:$H$58,3),VLOOKUP(N929,setup!$A$8:$H$58,4),VLOOKUP(N929,setup!$A$8:$H$58,5),VLOOKUP(N929,setup!$A$8:$H$58,6),VLOOKUP(N929,setup!$A$8:$H$58,7), VLOOKUP(0,setup!$A$8:$H$58,2),VLOOKUP(0,setup!$A$8:$H$58,5),VLOOKUP(N929,setup!$A$8:$H$58,8))</f>
        <v/>
      </c>
    </row>
    <row r="930" spans="1:15" x14ac:dyDescent="0.25">
      <c r="A930" s="4" t="s">
        <v>19</v>
      </c>
      <c r="N930">
        <v>2</v>
      </c>
      <c r="O930" s="7" t="str">
        <f ca="1">getCodigoBackend(N930,A930,VLOOKUP(N930,setup!$A$8:$H$58,2),VLOOKUP(N930,setup!$A$8:$H$58,3),VLOOKUP(N930,setup!$A$8:$H$58,4),VLOOKUP(N930,setup!$A$8:$H$58,5),VLOOKUP(N930,setup!$A$8:$H$58,6),VLOOKUP(N930,setup!$A$8:$H$58,7), VLOOKUP(0,setup!$A$8:$H$58,2),VLOOKUP(0,setup!$A$8:$H$58,5),VLOOKUP(N930,setup!$A$8:$H$58,8))</f>
        <v>/**</v>
      </c>
    </row>
    <row r="931" spans="1:15" x14ac:dyDescent="0.25">
      <c r="A931" s="4" t="s">
        <v>20</v>
      </c>
      <c r="N931">
        <v>2</v>
      </c>
      <c r="O931" s="7" t="str">
        <f ca="1">getCodigoBackend(N931,A931,VLOOKUP(N931,setup!$A$8:$H$58,2),VLOOKUP(N931,setup!$A$8:$H$58,3),VLOOKUP(N931,setup!$A$8:$H$58,4),VLOOKUP(N931,setup!$A$8:$H$58,5),VLOOKUP(N931,setup!$A$8:$H$58,6),VLOOKUP(N931,setup!$A$8:$H$58,7), VLOOKUP(0,setup!$A$8:$H$58,2),VLOOKUP(0,setup!$A$8:$H$58,5),VLOOKUP(N931,setup!$A$8:$H$58,8))</f>
        <v>*</v>
      </c>
    </row>
    <row r="932" spans="1:15" x14ac:dyDescent="0.25">
      <c r="A932" s="4" t="s">
        <v>744</v>
      </c>
      <c r="N932">
        <v>2</v>
      </c>
      <c r="O932" s="7" t="str">
        <f ca="1">getCodigoBackend(N932,A932,VLOOKUP(N932,setup!$A$8:$H$58,2),VLOOKUP(N932,setup!$A$8:$H$58,3),VLOOKUP(N932,setup!$A$8:$H$58,4),VLOOKUP(N932,setup!$A$8:$H$58,5),VLOOKUP(N932,setup!$A$8:$H$58,6),VLOOKUP(N932,setup!$A$8:$H$58,7), VLOOKUP(0,setup!$A$8:$H$58,2),VLOOKUP(0,setup!$A$8:$H$58,5),VLOOKUP(N932,setup!$A$8:$H$58,8))</f>
        <v>* atualizarIdusuariosolicitantePorPK() - Usado para invocar a classe de negócio CampanhaCashbackResgatePixBusinessImpl de forma geral</v>
      </c>
    </row>
    <row r="933" spans="1:15" x14ac:dyDescent="0.25">
      <c r="A933" s="4" t="s">
        <v>745</v>
      </c>
      <c r="N933">
        <v>2</v>
      </c>
      <c r="O933" s="7" t="str">
        <f ca="1">getCodigoBackend(N933,A933,VLOOKUP(N933,setup!$A$8:$H$58,2),VLOOKUP(N933,setup!$A$8:$H$58,3),VLOOKUP(N933,setup!$A$8:$H$58,4),VLOOKUP(N933,setup!$A$8:$H$58,5),VLOOKUP(N933,setup!$A$8:$H$58,6),VLOOKUP(N933,setup!$A$8:$H$58,7), VLOOKUP(0,setup!$A$8:$H$58,2),VLOOKUP(0,setup!$A$8:$H$58,5),VLOOKUP(N933,setup!$A$8:$H$58,8))</f>
        <v>* realizar uma atualização de ID do usuário solicitante diretamente na tabela CAMPANHA_CASHBACK_RESGATE_PIX campo USUA_ID</v>
      </c>
    </row>
    <row r="934" spans="1:15" x14ac:dyDescent="0.25">
      <c r="A934" s="4" t="s">
        <v>346</v>
      </c>
      <c r="N934">
        <v>2</v>
      </c>
      <c r="O934" s="7" t="str">
        <f ca="1">getCodigoBackend(N934,A934,VLOOKUP(N934,setup!$A$8:$H$58,2),VLOOKUP(N934,setup!$A$8:$H$58,3),VLOOKUP(N934,setup!$A$8:$H$58,4),VLOOKUP(N934,setup!$A$8:$H$58,5),VLOOKUP(N934,setup!$A$8:$H$58,6),VLOOKUP(N934,setup!$A$8:$H$58,7), VLOOKUP(0,setup!$A$8:$H$58,2),VLOOKUP(0,setup!$A$8:$H$58,5),VLOOKUP(N934,setup!$A$8:$H$58,8))</f>
        <v>* @param $id</v>
      </c>
    </row>
    <row r="935" spans="1:15" x14ac:dyDescent="0.25">
      <c r="A935" s="4" t="s">
        <v>723</v>
      </c>
      <c r="N935">
        <v>2</v>
      </c>
      <c r="O935" s="7" t="str">
        <f ca="1">getCodigoBackend(N935,A935,VLOOKUP(N935,setup!$A$8:$H$58,2),VLOOKUP(N935,setup!$A$8:$H$58,3),VLOOKUP(N935,setup!$A$8:$H$58,4),VLOOKUP(N935,setup!$A$8:$H$58,5),VLOOKUP(N935,setup!$A$8:$H$58,6),VLOOKUP(N935,setup!$A$8:$H$58,7), VLOOKUP(0,setup!$A$8:$H$58,2),VLOOKUP(0,setup!$A$8:$H$58,5),VLOOKUP(N935,setup!$A$8:$H$58,8))</f>
        <v>* @param $idUsuarioSolicitante</v>
      </c>
    </row>
    <row r="936" spans="1:15" x14ac:dyDescent="0.25">
      <c r="A936" s="4" t="s">
        <v>347</v>
      </c>
      <c r="N936">
        <v>2</v>
      </c>
      <c r="O936" s="7" t="str">
        <f ca="1">getCodigoBackend(N936,A936,VLOOKUP(N936,setup!$A$8:$H$58,2),VLOOKUP(N936,setup!$A$8:$H$58,3),VLOOKUP(N936,setup!$A$8:$H$58,4),VLOOKUP(N936,setup!$A$8:$H$58,5),VLOOKUP(N936,setup!$A$8:$H$58,6),VLOOKUP(N936,setup!$A$8:$H$58,7), VLOOKUP(0,setup!$A$8:$H$58,2),VLOOKUP(0,setup!$A$8:$H$58,5),VLOOKUP(N936,setup!$A$8:$H$58,8))</f>
        <v>* @return CampanhaCashbackResgatePixDTO</v>
      </c>
    </row>
    <row r="937" spans="1:15" x14ac:dyDescent="0.25">
      <c r="A937" s="4" t="s">
        <v>20</v>
      </c>
      <c r="N937">
        <v>2</v>
      </c>
      <c r="O937" s="7" t="str">
        <f ca="1">getCodigoBackend(N937,A937,VLOOKUP(N937,setup!$A$8:$H$58,2),VLOOKUP(N937,setup!$A$8:$H$58,3),VLOOKUP(N937,setup!$A$8:$H$58,4),VLOOKUP(N937,setup!$A$8:$H$58,5),VLOOKUP(N937,setup!$A$8:$H$58,6),VLOOKUP(N937,setup!$A$8:$H$58,7), VLOOKUP(0,setup!$A$8:$H$58,2),VLOOKUP(0,setup!$A$8:$H$58,5),VLOOKUP(N937,setup!$A$8:$H$58,8))</f>
        <v>*</v>
      </c>
    </row>
    <row r="938" spans="1:15" x14ac:dyDescent="0.25">
      <c r="A938" s="4" t="s">
        <v>75</v>
      </c>
      <c r="N938">
        <v>2</v>
      </c>
      <c r="O938" s="7" t="str">
        <f ca="1">getCodigoBackend(N938,A938,VLOOKUP(N938,setup!$A$8:$H$58,2),VLOOKUP(N938,setup!$A$8:$H$58,3),VLOOKUP(N938,setup!$A$8:$H$58,4),VLOOKUP(N938,setup!$A$8:$H$58,5),VLOOKUP(N938,setup!$A$8:$H$58,6),VLOOKUP(N938,setup!$A$8:$H$58,7), VLOOKUP(0,setup!$A$8:$H$58,2),VLOOKUP(0,setup!$A$8:$H$58,5),VLOOKUP(N938,setup!$A$8:$H$58,8))</f>
        <v xml:space="preserve">* </v>
      </c>
    </row>
    <row r="939" spans="1:15" x14ac:dyDescent="0.25">
      <c r="A939" s="4" t="s">
        <v>21</v>
      </c>
      <c r="N939">
        <v>2</v>
      </c>
      <c r="O939" s="7" t="str">
        <f ca="1">getCodigoBackend(N939,A939,VLOOKUP(N939,setup!$A$8:$H$58,2),VLOOKUP(N939,setup!$A$8:$H$58,3),VLOOKUP(N939,setup!$A$8:$H$58,4),VLOOKUP(N939,setup!$A$8:$H$58,5),VLOOKUP(N939,setup!$A$8:$H$58,6),VLOOKUP(N939,setup!$A$8:$H$58,7), VLOOKUP(0,setup!$A$8:$H$58,2),VLOOKUP(0,setup!$A$8:$H$58,5),VLOOKUP(N939,setup!$A$8:$H$58,8))</f>
        <v>*/</v>
      </c>
    </row>
    <row r="940" spans="1:15" x14ac:dyDescent="0.25">
      <c r="A940" s="6"/>
      <c r="N940">
        <v>2</v>
      </c>
      <c r="O940" s="7" t="str">
        <f ca="1">getCodigoBackend(N940,A940,VLOOKUP(N940,setup!$A$8:$H$58,2),VLOOKUP(N940,setup!$A$8:$H$58,3),VLOOKUP(N940,setup!$A$8:$H$58,4),VLOOKUP(N940,setup!$A$8:$H$58,5),VLOOKUP(N940,setup!$A$8:$H$58,6),VLOOKUP(N940,setup!$A$8:$H$58,7), VLOOKUP(0,setup!$A$8:$H$58,2),VLOOKUP(0,setup!$A$8:$H$58,5),VLOOKUP(N940,setup!$A$8:$H$58,8))</f>
        <v/>
      </c>
    </row>
    <row r="941" spans="1:15" x14ac:dyDescent="0.25">
      <c r="A941" s="29" t="s">
        <v>782</v>
      </c>
      <c r="N941">
        <v>2</v>
      </c>
      <c r="O941" s="7" t="str">
        <f ca="1">getCodigoBackend(N941,A941,VLOOKUP(N941,setup!$A$8:$H$58,2),VLOOKUP(N941,setup!$A$8:$H$58,3),VLOOKUP(N941,setup!$A$8:$H$58,4),VLOOKUP(N941,setup!$A$8:$H$58,5),VLOOKUP(N941,setup!$A$8:$H$58,6),VLOOKUP(N941,setup!$A$8:$H$58,7), VLOOKUP(0,setup!$A$8:$H$58,2),VLOOKUP(0,setup!$A$8:$H$58,5),VLOOKUP(N941,setup!$A$8:$H$58,8))</f>
        <v xml:space="preserve">    public function atualizarIdusuariosolicitantePorPK($idUsuarioSolicitante,$id)</v>
      </c>
    </row>
    <row r="942" spans="1:15" x14ac:dyDescent="0.25">
      <c r="A942" s="29" t="s">
        <v>379</v>
      </c>
      <c r="N942">
        <v>2</v>
      </c>
      <c r="O942" s="7" t="str">
        <f ca="1">getCodigoBackend(N942,A942,VLOOKUP(N942,setup!$A$8:$H$58,2),VLOOKUP(N942,setup!$A$8:$H$58,3),VLOOKUP(N942,setup!$A$8:$H$58,4),VLOOKUP(N942,setup!$A$8:$H$58,5),VLOOKUP(N942,setup!$A$8:$H$58,6),VLOOKUP(N942,setup!$A$8:$H$58,7), VLOOKUP(0,setup!$A$8:$H$58,2),VLOOKUP(0,setup!$A$8:$H$58,5),VLOOKUP(N942,setup!$A$8:$H$58,8))</f>
        <v xml:space="preserve">    {</v>
      </c>
    </row>
    <row r="943" spans="1:15" x14ac:dyDescent="0.25">
      <c r="A943" s="29" t="s">
        <v>724</v>
      </c>
      <c r="N943">
        <v>2</v>
      </c>
      <c r="O943" s="7" t="str">
        <f ca="1">getCodigoBackend(N943,A943,VLOOKUP(N943,setup!$A$8:$H$58,2),VLOOKUP(N943,setup!$A$8:$H$58,3),VLOOKUP(N943,setup!$A$8:$H$58,4),VLOOKUP(N943,setup!$A$8:$H$58,5),VLOOKUP(N943,setup!$A$8:$H$58,6),VLOOKUP(N943,setup!$A$8:$H$58,7), VLOOKUP(0,setup!$A$8:$H$58,2),VLOOKUP(0,setup!$A$8:$H$58,5),VLOOKUP(N943,setup!$A$8:$H$58,8))</f>
        <v xml:space="preserve">        $daofactory = NULL;</v>
      </c>
    </row>
    <row r="944" spans="1:15" x14ac:dyDescent="0.25">
      <c r="A944" s="29" t="s">
        <v>725</v>
      </c>
      <c r="N944">
        <v>2</v>
      </c>
      <c r="O944" s="7" t="str">
        <f ca="1">getCodigoBackend(N944,A944,VLOOKUP(N944,setup!$A$8:$H$58,2),VLOOKUP(N944,setup!$A$8:$H$58,3),VLOOKUP(N944,setup!$A$8:$H$58,4),VLOOKUP(N944,setup!$A$8:$H$58,5),VLOOKUP(N944,setup!$A$8:$H$58,6),VLOOKUP(N944,setup!$A$8:$H$58,7), VLOOKUP(0,setup!$A$8:$H$58,2),VLOOKUP(0,setup!$A$8:$H$58,5),VLOOKUP(N944,setup!$A$8:$H$58,8))</f>
        <v xml:space="preserve">        $retorno = NULL;</v>
      </c>
    </row>
    <row r="945" spans="1:15" x14ac:dyDescent="0.25">
      <c r="A945" s="29" t="s">
        <v>726</v>
      </c>
      <c r="N945">
        <v>2</v>
      </c>
      <c r="O945" s="7" t="str">
        <f ca="1">getCodigoBackend(N945,A945,VLOOKUP(N945,setup!$A$8:$H$58,2),VLOOKUP(N945,setup!$A$8:$H$58,3),VLOOKUP(N945,setup!$A$8:$H$58,4),VLOOKUP(N945,setup!$A$8:$H$58,5),VLOOKUP(N945,setup!$A$8:$H$58,6),VLOOKUP(N945,setup!$A$8:$H$58,7), VLOOKUP(0,setup!$A$8:$H$58,2),VLOOKUP(0,setup!$A$8:$H$58,5),VLOOKUP(N945,setup!$A$8:$H$58,8))</f>
        <v xml:space="preserve">        try {</v>
      </c>
    </row>
    <row r="946" spans="1:15" x14ac:dyDescent="0.25">
      <c r="A946" s="29" t="s">
        <v>727</v>
      </c>
      <c r="N946">
        <v>2</v>
      </c>
      <c r="O946" s="7" t="str">
        <f ca="1">getCodigoBackend(N946,A946,VLOOKUP(N946,setup!$A$8:$H$58,2),VLOOKUP(N946,setup!$A$8:$H$58,3),VLOOKUP(N946,setup!$A$8:$H$58,4),VLOOKUP(N946,setup!$A$8:$H$58,5),VLOOKUP(N946,setup!$A$8:$H$58,6),VLOOKUP(N946,setup!$A$8:$H$58,7), VLOOKUP(0,setup!$A$8:$H$58,2),VLOOKUP(0,setup!$A$8:$H$58,5),VLOOKUP(N946,setup!$A$8:$H$58,8))</f>
        <v xml:space="preserve">            $daofactory = DAOFactory::getDAOFactory();</v>
      </c>
    </row>
    <row r="947" spans="1:15" x14ac:dyDescent="0.25">
      <c r="A947" s="29" t="s">
        <v>728</v>
      </c>
      <c r="N947">
        <v>2</v>
      </c>
      <c r="O947" s="7" t="str">
        <f ca="1">getCodigoBackend(N947,A947,VLOOKUP(N947,setup!$A$8:$H$58,2),VLOOKUP(N947,setup!$A$8:$H$58,3),VLOOKUP(N947,setup!$A$8:$H$58,4),VLOOKUP(N947,setup!$A$8:$H$58,5),VLOOKUP(N947,setup!$A$8:$H$58,6),VLOOKUP(N947,setup!$A$8:$H$58,7), VLOOKUP(0,setup!$A$8:$H$58,2),VLOOKUP(0,setup!$A$8:$H$58,5),VLOOKUP(N947,setup!$A$8:$H$58,8))</f>
        <v xml:space="preserve">            $daofactory-&gt;open();</v>
      </c>
    </row>
    <row r="948" spans="1:15" x14ac:dyDescent="0.25">
      <c r="A948" s="29" t="s">
        <v>729</v>
      </c>
      <c r="N948">
        <v>2</v>
      </c>
      <c r="O948" s="7" t="str">
        <f ca="1">getCodigoBackend(N948,A948,VLOOKUP(N948,setup!$A$8:$H$58,2),VLOOKUP(N948,setup!$A$8:$H$58,3),VLOOKUP(N948,setup!$A$8:$H$58,4),VLOOKUP(N948,setup!$A$8:$H$58,5),VLOOKUP(N948,setup!$A$8:$H$58,6),VLOOKUP(N948,setup!$A$8:$H$58,7), VLOOKUP(0,setup!$A$8:$H$58,2),VLOOKUP(0,setup!$A$8:$H$58,5),VLOOKUP(N948,setup!$A$8:$H$58,8))</f>
        <v xml:space="preserve">            $daofactory-&gt;beginTransaction();</v>
      </c>
    </row>
    <row r="949" spans="1:15" x14ac:dyDescent="0.25">
      <c r="A949" s="29" t="s">
        <v>730</v>
      </c>
      <c r="N949">
        <v>2</v>
      </c>
      <c r="O949" s="7" t="str">
        <f ca="1">getCodigoBackend(N949,A949,VLOOKUP(N949,setup!$A$8:$H$58,2),VLOOKUP(N949,setup!$A$8:$H$58,3),VLOOKUP(N949,setup!$A$8:$H$58,4),VLOOKUP(N949,setup!$A$8:$H$58,5),VLOOKUP(N949,setup!$A$8:$H$58,6),VLOOKUP(N949,setup!$A$8:$H$58,7), VLOOKUP(0,setup!$A$8:$H$58,2),VLOOKUP(0,setup!$A$8:$H$58,5),VLOOKUP(N949,setup!$A$8:$H$58,8))</f>
        <v xml:space="preserve">            </v>
      </c>
    </row>
    <row r="950" spans="1:15" x14ac:dyDescent="0.25">
      <c r="A950" s="29" t="s">
        <v>746</v>
      </c>
      <c r="N950">
        <v>2</v>
      </c>
      <c r="O950" s="7" t="str">
        <f ca="1">getCodigoBackend(N950,A950,VLOOKUP(N950,setup!$A$8:$H$58,2),VLOOKUP(N950,setup!$A$8:$H$58,3),VLOOKUP(N950,setup!$A$8:$H$58,4),VLOOKUP(N950,setup!$A$8:$H$58,5),VLOOKUP(N950,setup!$A$8:$H$58,6),VLOOKUP(N950,setup!$A$8:$H$58,7), VLOOKUP(0,setup!$A$8:$H$58,2),VLOOKUP(0,setup!$A$8:$H$58,5),VLOOKUP(N950,setup!$A$8:$H$58,8))</f>
        <v xml:space="preserve">            // atualizar registro por meio do método CampanhaCashbackResgatePixBusinessImpl::atualizarIdusuariosolicitantePorPK($idUsuarioSolicitante,$id)</v>
      </c>
    </row>
    <row r="951" spans="1:15" x14ac:dyDescent="0.25">
      <c r="A951" s="29" t="s">
        <v>747</v>
      </c>
      <c r="N951">
        <v>2</v>
      </c>
      <c r="O951" s="7" t="str">
        <f ca="1">getCodigoBackend(N951,A951,VLOOKUP(N951,setup!$A$8:$H$58,2),VLOOKUP(N951,setup!$A$8:$H$58,3),VLOOKUP(N951,setup!$A$8:$H$58,4),VLOOKUP(N951,setup!$A$8:$H$58,5),VLOOKUP(N951,setup!$A$8:$H$58,6),VLOOKUP(N951,setup!$A$8:$H$58,7), VLOOKUP(0,setup!$A$8:$H$58,2),VLOOKUP(0,setup!$A$8:$H$58,5),VLOOKUP(N951,setup!$A$8:$H$58,8))</f>
        <v xml:space="preserve">           $bo = new CampanhaCashbackResgatePixBusinessImpl();</v>
      </c>
    </row>
    <row r="952" spans="1:15" x14ac:dyDescent="0.25">
      <c r="A952" s="29" t="s">
        <v>748</v>
      </c>
      <c r="N952">
        <v>2</v>
      </c>
      <c r="O952" s="7" t="str">
        <f ca="1">getCodigoBackend(N952,A952,VLOOKUP(N952,setup!$A$8:$H$58,2),VLOOKUP(N952,setup!$A$8:$H$58,3),VLOOKUP(N952,setup!$A$8:$H$58,4),VLOOKUP(N952,setup!$A$8:$H$58,5),VLOOKUP(N952,setup!$A$8:$H$58,6),VLOOKUP(N952,setup!$A$8:$H$58,7), VLOOKUP(0,setup!$A$8:$H$58,2),VLOOKUP(0,setup!$A$8:$H$58,5),VLOOKUP(N952,setup!$A$8:$H$58,8))</f>
        <v xml:space="preserve">           $retorno = $bo-&gt;atualizarIdusuariosolicitantePorPK($daofactory,$idUsuarioSolicitante,$id);</v>
      </c>
    </row>
    <row r="953" spans="1:15" x14ac:dyDescent="0.25">
      <c r="A953" s="29"/>
      <c r="N953">
        <v>2</v>
      </c>
      <c r="O953" s="7" t="str">
        <f ca="1">getCodigoBackend(N953,A953,VLOOKUP(N953,setup!$A$8:$H$58,2),VLOOKUP(N953,setup!$A$8:$H$58,3),VLOOKUP(N953,setup!$A$8:$H$58,4),VLOOKUP(N953,setup!$A$8:$H$58,5),VLOOKUP(N953,setup!$A$8:$H$58,6),VLOOKUP(N953,setup!$A$8:$H$58,7), VLOOKUP(0,setup!$A$8:$H$58,2),VLOOKUP(0,setup!$A$8:$H$58,5),VLOOKUP(N953,setup!$A$8:$H$58,8))</f>
        <v/>
      </c>
    </row>
    <row r="954" spans="1:15" x14ac:dyDescent="0.25">
      <c r="A954" s="29" t="s">
        <v>731</v>
      </c>
      <c r="N954">
        <v>2</v>
      </c>
      <c r="O954" s="7" t="str">
        <f ca="1">getCodigoBackend(N954,A954,VLOOKUP(N954,setup!$A$8:$H$58,2),VLOOKUP(N954,setup!$A$8:$H$58,3),VLOOKUP(N954,setup!$A$8:$H$58,4),VLOOKUP(N954,setup!$A$8:$H$58,5),VLOOKUP(N954,setup!$A$8:$H$58,6),VLOOKUP(N954,setup!$A$8:$H$58,7), VLOOKUP(0,setup!$A$8:$H$58,2),VLOOKUP(0,setup!$A$8:$H$58,5),VLOOKUP(N954,setup!$A$8:$H$58,8))</f>
        <v xml:space="preserve">           if ($retorno-&gt;msgcode == ConstantesMensagem::COMANDO_REALIZADO_COM_SUCESSO){</v>
      </c>
    </row>
    <row r="955" spans="1:15" x14ac:dyDescent="0.25">
      <c r="A955" s="29" t="s">
        <v>732</v>
      </c>
      <c r="N955">
        <v>2</v>
      </c>
      <c r="O955" s="7" t="str">
        <f ca="1">getCodigoBackend(N955,A955,VLOOKUP(N955,setup!$A$8:$H$58,2),VLOOKUP(N955,setup!$A$8:$H$58,3),VLOOKUP(N955,setup!$A$8:$H$58,4),VLOOKUP(N955,setup!$A$8:$H$58,5),VLOOKUP(N955,setup!$A$8:$H$58,6),VLOOKUP(N955,setup!$A$8:$H$58,7), VLOOKUP(0,setup!$A$8:$H$58,2),VLOOKUP(0,setup!$A$8:$H$58,5),VLOOKUP(N955,setup!$A$8:$H$58,8))</f>
        <v xml:space="preserve">                $daofactory-&gt;commit();</v>
      </c>
    </row>
    <row r="956" spans="1:15" x14ac:dyDescent="0.25">
      <c r="A956" s="29" t="s">
        <v>733</v>
      </c>
      <c r="N956">
        <v>2</v>
      </c>
      <c r="O956" s="7" t="str">
        <f ca="1">getCodigoBackend(N956,A956,VLOOKUP(N956,setup!$A$8:$H$58,2),VLOOKUP(N956,setup!$A$8:$H$58,3),VLOOKUP(N956,setup!$A$8:$H$58,4),VLOOKUP(N956,setup!$A$8:$H$58,5),VLOOKUP(N956,setup!$A$8:$H$58,6),VLOOKUP(N956,setup!$A$8:$H$58,7), VLOOKUP(0,setup!$A$8:$H$58,2),VLOOKUP(0,setup!$A$8:$H$58,5),VLOOKUP(N956,setup!$A$8:$H$58,8))</f>
        <v xml:space="preserve">            } else {</v>
      </c>
    </row>
    <row r="957" spans="1:15" x14ac:dyDescent="0.25">
      <c r="A957" s="29" t="s">
        <v>734</v>
      </c>
      <c r="N957">
        <v>2</v>
      </c>
      <c r="O957" s="7" t="str">
        <f ca="1">getCodigoBackend(N957,A957,VLOOKUP(N957,setup!$A$8:$H$58,2),VLOOKUP(N957,setup!$A$8:$H$58,3),VLOOKUP(N957,setup!$A$8:$H$58,4),VLOOKUP(N957,setup!$A$8:$H$58,5),VLOOKUP(N957,setup!$A$8:$H$58,6),VLOOKUP(N957,setup!$A$8:$H$58,7), VLOOKUP(0,setup!$A$8:$H$58,2),VLOOKUP(0,setup!$A$8:$H$58,5),VLOOKUP(N957,setup!$A$8:$H$58,8))</f>
        <v xml:space="preserve">                $daofactory-&gt;rollback();</v>
      </c>
    </row>
    <row r="958" spans="1:15" x14ac:dyDescent="0.25">
      <c r="A958" s="29" t="s">
        <v>505</v>
      </c>
      <c r="N958">
        <v>2</v>
      </c>
      <c r="O958" s="7" t="str">
        <f ca="1">getCodigoBackend(N958,A958,VLOOKUP(N958,setup!$A$8:$H$58,2),VLOOKUP(N958,setup!$A$8:$H$58,3),VLOOKUP(N958,setup!$A$8:$H$58,4),VLOOKUP(N958,setup!$A$8:$H$58,5),VLOOKUP(N958,setup!$A$8:$H$58,6),VLOOKUP(N958,setup!$A$8:$H$58,7), VLOOKUP(0,setup!$A$8:$H$58,2),VLOOKUP(0,setup!$A$8:$H$58,5),VLOOKUP(N958,setup!$A$8:$H$58,8))</f>
        <v xml:space="preserve">            }</v>
      </c>
    </row>
    <row r="959" spans="1:15" x14ac:dyDescent="0.25">
      <c r="A959" s="29" t="s">
        <v>730</v>
      </c>
      <c r="N959">
        <v>2</v>
      </c>
      <c r="O959" s="7" t="str">
        <f ca="1">getCodigoBackend(N959,A959,VLOOKUP(N959,setup!$A$8:$H$58,2),VLOOKUP(N959,setup!$A$8:$H$58,3),VLOOKUP(N959,setup!$A$8:$H$58,4),VLOOKUP(N959,setup!$A$8:$H$58,5),VLOOKUP(N959,setup!$A$8:$H$58,6),VLOOKUP(N959,setup!$A$8:$H$58,7), VLOOKUP(0,setup!$A$8:$H$58,2),VLOOKUP(0,setup!$A$8:$H$58,5),VLOOKUP(N959,setup!$A$8:$H$58,8))</f>
        <v xml:space="preserve">            </v>
      </c>
    </row>
    <row r="960" spans="1:15" x14ac:dyDescent="0.25">
      <c r="A960" s="29" t="s">
        <v>735</v>
      </c>
      <c r="N960">
        <v>2</v>
      </c>
      <c r="O960" s="7" t="str">
        <f ca="1">getCodigoBackend(N960,A960,VLOOKUP(N960,setup!$A$8:$H$58,2),VLOOKUP(N960,setup!$A$8:$H$58,3),VLOOKUP(N960,setup!$A$8:$H$58,4),VLOOKUP(N960,setup!$A$8:$H$58,5),VLOOKUP(N960,setup!$A$8:$H$58,6),VLOOKUP(N960,setup!$A$8:$H$58,7), VLOOKUP(0,setup!$A$8:$H$58,2),VLOOKUP(0,setup!$A$8:$H$58,5),VLOOKUP(N960,setup!$A$8:$H$58,8))</f>
        <v xml:space="preserve">        } catch (Exception $e) {</v>
      </c>
    </row>
    <row r="961" spans="1:15" x14ac:dyDescent="0.25">
      <c r="A961" s="29" t="s">
        <v>736</v>
      </c>
      <c r="N961">
        <v>2</v>
      </c>
      <c r="O961" s="7" t="str">
        <f ca="1">getCodigoBackend(N961,A961,VLOOKUP(N961,setup!$A$8:$H$58,2),VLOOKUP(N961,setup!$A$8:$H$58,3),VLOOKUP(N961,setup!$A$8:$H$58,4),VLOOKUP(N961,setup!$A$8:$H$58,5),VLOOKUP(N961,setup!$A$8:$H$58,6),VLOOKUP(N961,setup!$A$8:$H$58,7), VLOOKUP(0,setup!$A$8:$H$58,2),VLOOKUP(0,setup!$A$8:$H$58,5),VLOOKUP(N961,setup!$A$8:$H$58,8))</f>
        <v xml:space="preserve">            // rollback na transação</v>
      </c>
    </row>
    <row r="962" spans="1:15" x14ac:dyDescent="0.25">
      <c r="A962" s="29" t="s">
        <v>737</v>
      </c>
      <c r="N962">
        <v>2</v>
      </c>
      <c r="O962" s="7" t="str">
        <f ca="1">getCodigoBackend(N962,A962,VLOOKUP(N962,setup!$A$8:$H$58,2),VLOOKUP(N962,setup!$A$8:$H$58,3),VLOOKUP(N962,setup!$A$8:$H$58,4),VLOOKUP(N962,setup!$A$8:$H$58,5),VLOOKUP(N962,setup!$A$8:$H$58,6),VLOOKUP(N962,setup!$A$8:$H$58,7), VLOOKUP(0,setup!$A$8:$H$58,2),VLOOKUP(0,setup!$A$8:$H$58,5),VLOOKUP(N962,setup!$A$8:$H$58,8))</f>
        <v xml:space="preserve">            $daofactory-&gt;rollback();</v>
      </c>
    </row>
    <row r="963" spans="1:15" x14ac:dyDescent="0.25">
      <c r="A963" s="29"/>
      <c r="N963">
        <v>2</v>
      </c>
      <c r="O963" s="7" t="str">
        <f ca="1">getCodigoBackend(N963,A963,VLOOKUP(N963,setup!$A$8:$H$58,2),VLOOKUP(N963,setup!$A$8:$H$58,3),VLOOKUP(N963,setup!$A$8:$H$58,4),VLOOKUP(N963,setup!$A$8:$H$58,5),VLOOKUP(N963,setup!$A$8:$H$58,6),VLOOKUP(N963,setup!$A$8:$H$58,7), VLOOKUP(0,setup!$A$8:$H$58,2),VLOOKUP(0,setup!$A$8:$H$58,5),VLOOKUP(N963,setup!$A$8:$H$58,8))</f>
        <v/>
      </c>
    </row>
    <row r="964" spans="1:15" x14ac:dyDescent="0.25">
      <c r="A964" s="29" t="s">
        <v>738</v>
      </c>
      <c r="N964">
        <v>2</v>
      </c>
      <c r="O964" s="7" t="str">
        <f ca="1">getCodigoBackend(N964,A964,VLOOKUP(N964,setup!$A$8:$H$58,2),VLOOKUP(N964,setup!$A$8:$H$58,3),VLOOKUP(N964,setup!$A$8:$H$58,4),VLOOKUP(N964,setup!$A$8:$H$58,5),VLOOKUP(N964,setup!$A$8:$H$58,6),VLOOKUP(N964,setup!$A$8:$H$58,7), VLOOKUP(0,setup!$A$8:$H$58,2),VLOOKUP(0,setup!$A$8:$H$58,5),VLOOKUP(N964,setup!$A$8:$H$58,8))</f>
        <v xml:space="preserve">        } finally {</v>
      </c>
    </row>
    <row r="965" spans="1:15" x14ac:dyDescent="0.25">
      <c r="A965" s="29" t="s">
        <v>739</v>
      </c>
      <c r="N965">
        <v>2</v>
      </c>
      <c r="O965" s="7" t="str">
        <f ca="1">getCodigoBackend(N965,A965,VLOOKUP(N965,setup!$A$8:$H$58,2),VLOOKUP(N965,setup!$A$8:$H$58,3),VLOOKUP(N965,setup!$A$8:$H$58,4),VLOOKUP(N965,setup!$A$8:$H$58,5),VLOOKUP(N965,setup!$A$8:$H$58,6),VLOOKUP(N965,setup!$A$8:$H$58,7), VLOOKUP(0,setup!$A$8:$H$58,2),VLOOKUP(0,setup!$A$8:$H$58,5),VLOOKUP(N965,setup!$A$8:$H$58,8))</f>
        <v xml:space="preserve">            try {</v>
      </c>
    </row>
    <row r="966" spans="1:15" x14ac:dyDescent="0.25">
      <c r="A966" s="29" t="s">
        <v>740</v>
      </c>
      <c r="N966">
        <v>2</v>
      </c>
      <c r="O966" s="7" t="str">
        <f ca="1">getCodigoBackend(N966,A966,VLOOKUP(N966,setup!$A$8:$H$58,2),VLOOKUP(N966,setup!$A$8:$H$58,3),VLOOKUP(N966,setup!$A$8:$H$58,4),VLOOKUP(N966,setup!$A$8:$H$58,5),VLOOKUP(N966,setup!$A$8:$H$58,6),VLOOKUP(N966,setup!$A$8:$H$58,7), VLOOKUP(0,setup!$A$8:$H$58,2),VLOOKUP(0,setup!$A$8:$H$58,5),VLOOKUP(N966,setup!$A$8:$H$58,8))</f>
        <v xml:space="preserve">                $daofactory-&gt;close();</v>
      </c>
    </row>
    <row r="967" spans="1:15" x14ac:dyDescent="0.25">
      <c r="A967" s="29" t="s">
        <v>741</v>
      </c>
      <c r="N967">
        <v>2</v>
      </c>
      <c r="O967" s="7" t="str">
        <f ca="1">getCodigoBackend(N967,A967,VLOOKUP(N967,setup!$A$8:$H$58,2),VLOOKUP(N967,setup!$A$8:$H$58,3),VLOOKUP(N967,setup!$A$8:$H$58,4),VLOOKUP(N967,setup!$A$8:$H$58,5),VLOOKUP(N967,setup!$A$8:$H$58,6),VLOOKUP(N967,setup!$A$8:$H$58,7), VLOOKUP(0,setup!$A$8:$H$58,2),VLOOKUP(0,setup!$A$8:$H$58,5),VLOOKUP(N967,setup!$A$8:$H$58,8))</f>
        <v xml:space="preserve">            } catch (Exception $e) {</v>
      </c>
    </row>
    <row r="968" spans="1:15" x14ac:dyDescent="0.25">
      <c r="A968" s="29" t="s">
        <v>742</v>
      </c>
      <c r="N968">
        <v>2</v>
      </c>
      <c r="O968" s="7" t="str">
        <f ca="1">getCodigoBackend(N968,A968,VLOOKUP(N968,setup!$A$8:$H$58,2),VLOOKUP(N968,setup!$A$8:$H$58,3),VLOOKUP(N968,setup!$A$8:$H$58,4),VLOOKUP(N968,setup!$A$8:$H$58,5),VLOOKUP(N968,setup!$A$8:$H$58,6),VLOOKUP(N968,setup!$A$8:$H$58,7), VLOOKUP(0,setup!$A$8:$H$58,2),VLOOKUP(0,setup!$A$8:$H$58,5),VLOOKUP(N968,setup!$A$8:$H$58,8))</f>
        <v xml:space="preserve">                // faz algo</v>
      </c>
    </row>
    <row r="969" spans="1:15" x14ac:dyDescent="0.25">
      <c r="A969" s="29" t="s">
        <v>505</v>
      </c>
      <c r="N969">
        <v>2</v>
      </c>
      <c r="O969" s="7" t="str">
        <f ca="1">getCodigoBackend(N969,A969,VLOOKUP(N969,setup!$A$8:$H$58,2),VLOOKUP(N969,setup!$A$8:$H$58,3),VLOOKUP(N969,setup!$A$8:$H$58,4),VLOOKUP(N969,setup!$A$8:$H$58,5),VLOOKUP(N969,setup!$A$8:$H$58,6),VLOOKUP(N969,setup!$A$8:$H$58,7), VLOOKUP(0,setup!$A$8:$H$58,2),VLOOKUP(0,setup!$A$8:$H$58,5),VLOOKUP(N969,setup!$A$8:$H$58,8))</f>
        <v xml:space="preserve">            }</v>
      </c>
    </row>
    <row r="970" spans="1:15" x14ac:dyDescent="0.25">
      <c r="A970" s="29" t="s">
        <v>157</v>
      </c>
      <c r="N970">
        <v>2</v>
      </c>
      <c r="O970" s="7" t="str">
        <f ca="1">getCodigoBackend(N970,A970,VLOOKUP(N970,setup!$A$8:$H$58,2),VLOOKUP(N970,setup!$A$8:$H$58,3),VLOOKUP(N970,setup!$A$8:$H$58,4),VLOOKUP(N970,setup!$A$8:$H$58,5),VLOOKUP(N970,setup!$A$8:$H$58,6),VLOOKUP(N970,setup!$A$8:$H$58,7), VLOOKUP(0,setup!$A$8:$H$58,2),VLOOKUP(0,setup!$A$8:$H$58,5),VLOOKUP(N970,setup!$A$8:$H$58,8))</f>
        <v xml:space="preserve">        }</v>
      </c>
    </row>
    <row r="971" spans="1:15" x14ac:dyDescent="0.25">
      <c r="A971" s="29"/>
      <c r="N971">
        <v>2</v>
      </c>
      <c r="O971" s="7" t="str">
        <f ca="1">getCodigoBackend(N971,A971,VLOOKUP(N971,setup!$A$8:$H$58,2),VLOOKUP(N971,setup!$A$8:$H$58,3),VLOOKUP(N971,setup!$A$8:$H$58,4),VLOOKUP(N971,setup!$A$8:$H$58,5),VLOOKUP(N971,setup!$A$8:$H$58,6),VLOOKUP(N971,setup!$A$8:$H$58,7), VLOOKUP(0,setup!$A$8:$H$58,2),VLOOKUP(0,setup!$A$8:$H$58,5),VLOOKUP(N971,setup!$A$8:$H$58,8))</f>
        <v/>
      </c>
    </row>
    <row r="972" spans="1:15" x14ac:dyDescent="0.25">
      <c r="A972" s="29" t="s">
        <v>743</v>
      </c>
      <c r="N972">
        <v>2</v>
      </c>
      <c r="O972" s="7" t="str">
        <f ca="1">getCodigoBackend(N972,A972,VLOOKUP(N972,setup!$A$8:$H$58,2),VLOOKUP(N972,setup!$A$8:$H$58,3),VLOOKUP(N972,setup!$A$8:$H$58,4),VLOOKUP(N972,setup!$A$8:$H$58,5),VLOOKUP(N972,setup!$A$8:$H$58,6),VLOOKUP(N972,setup!$A$8:$H$58,7), VLOOKUP(0,setup!$A$8:$H$58,2),VLOOKUP(0,setup!$A$8:$H$58,5),VLOOKUP(N972,setup!$A$8:$H$58,8))</f>
        <v xml:space="preserve">        return $retorno;</v>
      </c>
    </row>
    <row r="973" spans="1:15" x14ac:dyDescent="0.25">
      <c r="A973" s="29" t="s">
        <v>406</v>
      </c>
      <c r="N973">
        <v>2</v>
      </c>
      <c r="O973" s="7" t="str">
        <f ca="1">getCodigoBackend(N973,A973,VLOOKUP(N973,setup!$A$8:$H$58,2),VLOOKUP(N973,setup!$A$8:$H$58,3),VLOOKUP(N973,setup!$A$8:$H$58,4),VLOOKUP(N973,setup!$A$8:$H$58,5),VLOOKUP(N973,setup!$A$8:$H$58,6),VLOOKUP(N973,setup!$A$8:$H$58,7), VLOOKUP(0,setup!$A$8:$H$58,2),VLOOKUP(0,setup!$A$8:$H$58,5),VLOOKUP(N973,setup!$A$8:$H$58,8))</f>
        <v xml:space="preserve">    }</v>
      </c>
    </row>
    <row r="974" spans="1:15" x14ac:dyDescent="0.25">
      <c r="A974" s="29"/>
      <c r="O974" s="7"/>
    </row>
    <row r="975" spans="1:15" x14ac:dyDescent="0.25">
      <c r="A975" s="4" t="s">
        <v>19</v>
      </c>
      <c r="N975">
        <f>N973+1</f>
        <v>3</v>
      </c>
      <c r="O975" s="7" t="str">
        <f ca="1">getCodigoBackend(N975,A975,VLOOKUP(N975,setup!$A$8:$H$58,2),VLOOKUP(N975,setup!$A$8:$H$58,3),VLOOKUP(N975,setup!$A$8:$H$58,4),VLOOKUP(N975,setup!$A$8:$H$58,5),VLOOKUP(N975,setup!$A$8:$H$58,6),VLOOKUP(N975,setup!$A$8:$H$58,7), VLOOKUP(0,setup!$A$8:$H$58,2),VLOOKUP(0,setup!$A$8:$H$58,5),VLOOKUP(N975,setup!$A$8:$H$58,8))</f>
        <v>/**</v>
      </c>
    </row>
    <row r="976" spans="1:15" x14ac:dyDescent="0.25">
      <c r="A976" s="4" t="s">
        <v>20</v>
      </c>
      <c r="N976">
        <f>$N$975</f>
        <v>3</v>
      </c>
      <c r="O976" s="7" t="str">
        <f ca="1">getCodigoBackend(N976,A976,VLOOKUP(N976,setup!$A$8:$H$58,2),VLOOKUP(N976,setup!$A$8:$H$58,3),VLOOKUP(N976,setup!$A$8:$H$58,4),VLOOKUP(N976,setup!$A$8:$H$58,5),VLOOKUP(N976,setup!$A$8:$H$58,6),VLOOKUP(N976,setup!$A$8:$H$58,7), VLOOKUP(0,setup!$A$8:$H$58,2),VLOOKUP(0,setup!$A$8:$H$58,5),VLOOKUP(N976,setup!$A$8:$H$58,8))</f>
        <v>*</v>
      </c>
    </row>
    <row r="977" spans="1:15" x14ac:dyDescent="0.25">
      <c r="A977" s="4" t="s">
        <v>744</v>
      </c>
      <c r="N977">
        <f t="shared" ref="N977:N1018" si="0">$N$975</f>
        <v>3</v>
      </c>
      <c r="O977" s="7" t="str">
        <f ca="1">getCodigoBackend(N977,A977,VLOOKUP(N977,setup!$A$8:$H$58,2),VLOOKUP(N977,setup!$A$8:$H$58,3),VLOOKUP(N977,setup!$A$8:$H$58,4),VLOOKUP(N977,setup!$A$8:$H$58,5),VLOOKUP(N977,setup!$A$8:$H$58,6),VLOOKUP(N977,setup!$A$8:$H$58,7), VLOOKUP(0,setup!$A$8:$H$58,2),VLOOKUP(0,setup!$A$8:$H$58,5),VLOOKUP(N977,setup!$A$8:$H$58,8))</f>
        <v>* atualizarTipochavepixPorPK() - Usado para invocar a classe de negócio CampanhaCashbackResgatePixBusinessImpl de forma geral</v>
      </c>
    </row>
    <row r="978" spans="1:15" x14ac:dyDescent="0.25">
      <c r="A978" s="4" t="s">
        <v>745</v>
      </c>
      <c r="N978">
        <f t="shared" si="0"/>
        <v>3</v>
      </c>
      <c r="O978" s="7" t="str">
        <f ca="1">getCodigoBackend(N978,A978,VLOOKUP(N978,setup!$A$8:$H$58,2),VLOOKUP(N978,setup!$A$8:$H$58,3),VLOOKUP(N978,setup!$A$8:$H$58,4),VLOOKUP(N978,setup!$A$8:$H$58,5),VLOOKUP(N978,setup!$A$8:$H$58,6),VLOOKUP(N978,setup!$A$8:$H$58,7), VLOOKUP(0,setup!$A$8:$H$58,2),VLOOKUP(0,setup!$A$8:$H$58,5),VLOOKUP(N978,setup!$A$8:$H$58,8))</f>
        <v>* realizar uma atualização de Tipo da Chave PIX diretamente na tabela CAMPANHA_CASHBACK_RESGATE_PIX campo CCRP_IN_TIPO_CHAVE_PIX</v>
      </c>
    </row>
    <row r="979" spans="1:15" x14ac:dyDescent="0.25">
      <c r="A979" s="4" t="s">
        <v>346</v>
      </c>
      <c r="N979">
        <f t="shared" si="0"/>
        <v>3</v>
      </c>
      <c r="O979" s="7" t="str">
        <f ca="1">getCodigoBackend(N979,A979,VLOOKUP(N979,setup!$A$8:$H$58,2),VLOOKUP(N979,setup!$A$8:$H$58,3),VLOOKUP(N979,setup!$A$8:$H$58,4),VLOOKUP(N979,setup!$A$8:$H$58,5),VLOOKUP(N979,setup!$A$8:$H$58,6),VLOOKUP(N979,setup!$A$8:$H$58,7), VLOOKUP(0,setup!$A$8:$H$58,2),VLOOKUP(0,setup!$A$8:$H$58,5),VLOOKUP(N979,setup!$A$8:$H$58,8))</f>
        <v>* @param $id</v>
      </c>
    </row>
    <row r="980" spans="1:15" x14ac:dyDescent="0.25">
      <c r="A980" s="4" t="s">
        <v>723</v>
      </c>
      <c r="N980">
        <f t="shared" si="0"/>
        <v>3</v>
      </c>
      <c r="O980" s="7" t="str">
        <f ca="1">getCodigoBackend(N980,A980,VLOOKUP(N980,setup!$A$8:$H$58,2),VLOOKUP(N980,setup!$A$8:$H$58,3),VLOOKUP(N980,setup!$A$8:$H$58,4),VLOOKUP(N980,setup!$A$8:$H$58,5),VLOOKUP(N980,setup!$A$8:$H$58,6),VLOOKUP(N980,setup!$A$8:$H$58,7), VLOOKUP(0,setup!$A$8:$H$58,2),VLOOKUP(0,setup!$A$8:$H$58,5),VLOOKUP(N980,setup!$A$8:$H$58,8))</f>
        <v>* @param $tipoChavePix</v>
      </c>
    </row>
    <row r="981" spans="1:15" x14ac:dyDescent="0.25">
      <c r="A981" s="4" t="s">
        <v>347</v>
      </c>
      <c r="N981">
        <f t="shared" si="0"/>
        <v>3</v>
      </c>
      <c r="O981" s="7" t="str">
        <f ca="1">getCodigoBackend(N981,A981,VLOOKUP(N981,setup!$A$8:$H$58,2),VLOOKUP(N981,setup!$A$8:$H$58,3),VLOOKUP(N981,setup!$A$8:$H$58,4),VLOOKUP(N981,setup!$A$8:$H$58,5),VLOOKUP(N981,setup!$A$8:$H$58,6),VLOOKUP(N981,setup!$A$8:$H$58,7), VLOOKUP(0,setup!$A$8:$H$58,2),VLOOKUP(0,setup!$A$8:$H$58,5),VLOOKUP(N981,setup!$A$8:$H$58,8))</f>
        <v>* @return CampanhaCashbackResgatePixDTO</v>
      </c>
    </row>
    <row r="982" spans="1:15" x14ac:dyDescent="0.25">
      <c r="A982" s="4" t="s">
        <v>20</v>
      </c>
      <c r="N982">
        <f t="shared" si="0"/>
        <v>3</v>
      </c>
      <c r="O982" s="7" t="str">
        <f ca="1">getCodigoBackend(N982,A982,VLOOKUP(N982,setup!$A$8:$H$58,2),VLOOKUP(N982,setup!$A$8:$H$58,3),VLOOKUP(N982,setup!$A$8:$H$58,4),VLOOKUP(N982,setup!$A$8:$H$58,5),VLOOKUP(N982,setup!$A$8:$H$58,6),VLOOKUP(N982,setup!$A$8:$H$58,7), VLOOKUP(0,setup!$A$8:$H$58,2),VLOOKUP(0,setup!$A$8:$H$58,5),VLOOKUP(N982,setup!$A$8:$H$58,8))</f>
        <v>*</v>
      </c>
    </row>
    <row r="983" spans="1:15" x14ac:dyDescent="0.25">
      <c r="A983" s="4" t="s">
        <v>75</v>
      </c>
      <c r="N983">
        <f t="shared" si="0"/>
        <v>3</v>
      </c>
      <c r="O983" s="7" t="str">
        <f ca="1">getCodigoBackend(N983,A983,VLOOKUP(N983,setup!$A$8:$H$58,2),VLOOKUP(N983,setup!$A$8:$H$58,3),VLOOKUP(N983,setup!$A$8:$H$58,4),VLOOKUP(N983,setup!$A$8:$H$58,5),VLOOKUP(N983,setup!$A$8:$H$58,6),VLOOKUP(N983,setup!$A$8:$H$58,7), VLOOKUP(0,setup!$A$8:$H$58,2),VLOOKUP(0,setup!$A$8:$H$58,5),VLOOKUP(N983,setup!$A$8:$H$58,8))</f>
        <v xml:space="preserve">* </v>
      </c>
    </row>
    <row r="984" spans="1:15" x14ac:dyDescent="0.25">
      <c r="A984" s="4" t="s">
        <v>21</v>
      </c>
      <c r="N984">
        <f t="shared" si="0"/>
        <v>3</v>
      </c>
      <c r="O984" s="7" t="str">
        <f ca="1">getCodigoBackend(N984,A984,VLOOKUP(N984,setup!$A$8:$H$58,2),VLOOKUP(N984,setup!$A$8:$H$58,3),VLOOKUP(N984,setup!$A$8:$H$58,4),VLOOKUP(N984,setup!$A$8:$H$58,5),VLOOKUP(N984,setup!$A$8:$H$58,6),VLOOKUP(N984,setup!$A$8:$H$58,7), VLOOKUP(0,setup!$A$8:$H$58,2),VLOOKUP(0,setup!$A$8:$H$58,5),VLOOKUP(N984,setup!$A$8:$H$58,8))</f>
        <v>*/</v>
      </c>
    </row>
    <row r="985" spans="1:15" x14ac:dyDescent="0.25">
      <c r="A985" s="6"/>
      <c r="N985">
        <f t="shared" si="0"/>
        <v>3</v>
      </c>
      <c r="O985" s="7" t="str">
        <f ca="1">getCodigoBackend(N985,A985,VLOOKUP(N985,setup!$A$8:$H$58,2),VLOOKUP(N985,setup!$A$8:$H$58,3),VLOOKUP(N985,setup!$A$8:$H$58,4),VLOOKUP(N985,setup!$A$8:$H$58,5),VLOOKUP(N985,setup!$A$8:$H$58,6),VLOOKUP(N985,setup!$A$8:$H$58,7), VLOOKUP(0,setup!$A$8:$H$58,2),VLOOKUP(0,setup!$A$8:$H$58,5),VLOOKUP(N985,setup!$A$8:$H$58,8))</f>
        <v/>
      </c>
    </row>
    <row r="986" spans="1:15" x14ac:dyDescent="0.25">
      <c r="A986" s="29" t="s">
        <v>782</v>
      </c>
      <c r="N986">
        <f t="shared" si="0"/>
        <v>3</v>
      </c>
      <c r="O986" s="7" t="str">
        <f ca="1">getCodigoBackend(N986,A986,VLOOKUP(N986,setup!$A$8:$H$58,2),VLOOKUP(N986,setup!$A$8:$H$58,3),VLOOKUP(N986,setup!$A$8:$H$58,4),VLOOKUP(N986,setup!$A$8:$H$58,5),VLOOKUP(N986,setup!$A$8:$H$58,6),VLOOKUP(N986,setup!$A$8:$H$58,7), VLOOKUP(0,setup!$A$8:$H$58,2),VLOOKUP(0,setup!$A$8:$H$58,5),VLOOKUP(N986,setup!$A$8:$H$58,8))</f>
        <v xml:space="preserve">    public function atualizarTipochavepixPorPK($tipoChavePix,$id)</v>
      </c>
    </row>
    <row r="987" spans="1:15" x14ac:dyDescent="0.25">
      <c r="A987" s="29" t="s">
        <v>379</v>
      </c>
      <c r="N987">
        <f t="shared" si="0"/>
        <v>3</v>
      </c>
      <c r="O987" s="7" t="str">
        <f ca="1">getCodigoBackend(N987,A987,VLOOKUP(N987,setup!$A$8:$H$58,2),VLOOKUP(N987,setup!$A$8:$H$58,3),VLOOKUP(N987,setup!$A$8:$H$58,4),VLOOKUP(N987,setup!$A$8:$H$58,5),VLOOKUP(N987,setup!$A$8:$H$58,6),VLOOKUP(N987,setup!$A$8:$H$58,7), VLOOKUP(0,setup!$A$8:$H$58,2),VLOOKUP(0,setup!$A$8:$H$58,5),VLOOKUP(N987,setup!$A$8:$H$58,8))</f>
        <v xml:space="preserve">    {</v>
      </c>
    </row>
    <row r="988" spans="1:15" x14ac:dyDescent="0.25">
      <c r="A988" s="29" t="s">
        <v>724</v>
      </c>
      <c r="N988">
        <f t="shared" si="0"/>
        <v>3</v>
      </c>
      <c r="O988" s="7" t="str">
        <f ca="1">getCodigoBackend(N988,A988,VLOOKUP(N988,setup!$A$8:$H$58,2),VLOOKUP(N988,setup!$A$8:$H$58,3),VLOOKUP(N988,setup!$A$8:$H$58,4),VLOOKUP(N988,setup!$A$8:$H$58,5),VLOOKUP(N988,setup!$A$8:$H$58,6),VLOOKUP(N988,setup!$A$8:$H$58,7), VLOOKUP(0,setup!$A$8:$H$58,2),VLOOKUP(0,setup!$A$8:$H$58,5),VLOOKUP(N988,setup!$A$8:$H$58,8))</f>
        <v xml:space="preserve">        $daofactory = NULL;</v>
      </c>
    </row>
    <row r="989" spans="1:15" x14ac:dyDescent="0.25">
      <c r="A989" s="29" t="s">
        <v>725</v>
      </c>
      <c r="N989">
        <f t="shared" si="0"/>
        <v>3</v>
      </c>
      <c r="O989" s="7" t="str">
        <f ca="1">getCodigoBackend(N989,A989,VLOOKUP(N989,setup!$A$8:$H$58,2),VLOOKUP(N989,setup!$A$8:$H$58,3),VLOOKUP(N989,setup!$A$8:$H$58,4),VLOOKUP(N989,setup!$A$8:$H$58,5),VLOOKUP(N989,setup!$A$8:$H$58,6),VLOOKUP(N989,setup!$A$8:$H$58,7), VLOOKUP(0,setup!$A$8:$H$58,2),VLOOKUP(0,setup!$A$8:$H$58,5),VLOOKUP(N989,setup!$A$8:$H$58,8))</f>
        <v xml:space="preserve">        $retorno = NULL;</v>
      </c>
    </row>
    <row r="990" spans="1:15" x14ac:dyDescent="0.25">
      <c r="A990" s="29" t="s">
        <v>726</v>
      </c>
      <c r="N990">
        <f t="shared" si="0"/>
        <v>3</v>
      </c>
      <c r="O990" s="7" t="str">
        <f ca="1">getCodigoBackend(N990,A990,VLOOKUP(N990,setup!$A$8:$H$58,2),VLOOKUP(N990,setup!$A$8:$H$58,3),VLOOKUP(N990,setup!$A$8:$H$58,4),VLOOKUP(N990,setup!$A$8:$H$58,5),VLOOKUP(N990,setup!$A$8:$H$58,6),VLOOKUP(N990,setup!$A$8:$H$58,7), VLOOKUP(0,setup!$A$8:$H$58,2),VLOOKUP(0,setup!$A$8:$H$58,5),VLOOKUP(N990,setup!$A$8:$H$58,8))</f>
        <v xml:space="preserve">        try {</v>
      </c>
    </row>
    <row r="991" spans="1:15" x14ac:dyDescent="0.25">
      <c r="A991" s="29" t="s">
        <v>727</v>
      </c>
      <c r="N991">
        <f t="shared" si="0"/>
        <v>3</v>
      </c>
      <c r="O991" s="7" t="str">
        <f ca="1">getCodigoBackend(N991,A991,VLOOKUP(N991,setup!$A$8:$H$58,2),VLOOKUP(N991,setup!$A$8:$H$58,3),VLOOKUP(N991,setup!$A$8:$H$58,4),VLOOKUP(N991,setup!$A$8:$H$58,5),VLOOKUP(N991,setup!$A$8:$H$58,6),VLOOKUP(N991,setup!$A$8:$H$58,7), VLOOKUP(0,setup!$A$8:$H$58,2),VLOOKUP(0,setup!$A$8:$H$58,5),VLOOKUP(N991,setup!$A$8:$H$58,8))</f>
        <v xml:space="preserve">            $daofactory = DAOFactory::getDAOFactory();</v>
      </c>
    </row>
    <row r="992" spans="1:15" x14ac:dyDescent="0.25">
      <c r="A992" s="29" t="s">
        <v>728</v>
      </c>
      <c r="N992">
        <f t="shared" si="0"/>
        <v>3</v>
      </c>
      <c r="O992" s="7" t="str">
        <f ca="1">getCodigoBackend(N992,A992,VLOOKUP(N992,setup!$A$8:$H$58,2),VLOOKUP(N992,setup!$A$8:$H$58,3),VLOOKUP(N992,setup!$A$8:$H$58,4),VLOOKUP(N992,setup!$A$8:$H$58,5),VLOOKUP(N992,setup!$A$8:$H$58,6),VLOOKUP(N992,setup!$A$8:$H$58,7), VLOOKUP(0,setup!$A$8:$H$58,2),VLOOKUP(0,setup!$A$8:$H$58,5),VLOOKUP(N992,setup!$A$8:$H$58,8))</f>
        <v xml:space="preserve">            $daofactory-&gt;open();</v>
      </c>
    </row>
    <row r="993" spans="1:15" x14ac:dyDescent="0.25">
      <c r="A993" s="29" t="s">
        <v>729</v>
      </c>
      <c r="N993">
        <f t="shared" si="0"/>
        <v>3</v>
      </c>
      <c r="O993" s="7" t="str">
        <f ca="1">getCodigoBackend(N993,A993,VLOOKUP(N993,setup!$A$8:$H$58,2),VLOOKUP(N993,setup!$A$8:$H$58,3),VLOOKUP(N993,setup!$A$8:$H$58,4),VLOOKUP(N993,setup!$A$8:$H$58,5),VLOOKUP(N993,setup!$A$8:$H$58,6),VLOOKUP(N993,setup!$A$8:$H$58,7), VLOOKUP(0,setup!$A$8:$H$58,2),VLOOKUP(0,setup!$A$8:$H$58,5),VLOOKUP(N993,setup!$A$8:$H$58,8))</f>
        <v xml:space="preserve">            $daofactory-&gt;beginTransaction();</v>
      </c>
    </row>
    <row r="994" spans="1:15" x14ac:dyDescent="0.25">
      <c r="A994" s="29" t="s">
        <v>730</v>
      </c>
      <c r="N994">
        <f t="shared" si="0"/>
        <v>3</v>
      </c>
      <c r="O994" s="7" t="str">
        <f ca="1">getCodigoBackend(N994,A994,VLOOKUP(N994,setup!$A$8:$H$58,2),VLOOKUP(N994,setup!$A$8:$H$58,3),VLOOKUP(N994,setup!$A$8:$H$58,4),VLOOKUP(N994,setup!$A$8:$H$58,5),VLOOKUP(N994,setup!$A$8:$H$58,6),VLOOKUP(N994,setup!$A$8:$H$58,7), VLOOKUP(0,setup!$A$8:$H$58,2),VLOOKUP(0,setup!$A$8:$H$58,5),VLOOKUP(N994,setup!$A$8:$H$58,8))</f>
        <v xml:space="preserve">            </v>
      </c>
    </row>
    <row r="995" spans="1:15" x14ac:dyDescent="0.25">
      <c r="A995" s="29" t="s">
        <v>746</v>
      </c>
      <c r="N995">
        <f t="shared" si="0"/>
        <v>3</v>
      </c>
      <c r="O995" s="7" t="str">
        <f ca="1">getCodigoBackend(N995,A995,VLOOKUP(N995,setup!$A$8:$H$58,2),VLOOKUP(N995,setup!$A$8:$H$58,3),VLOOKUP(N995,setup!$A$8:$H$58,4),VLOOKUP(N995,setup!$A$8:$H$58,5),VLOOKUP(N995,setup!$A$8:$H$58,6),VLOOKUP(N995,setup!$A$8:$H$58,7), VLOOKUP(0,setup!$A$8:$H$58,2),VLOOKUP(0,setup!$A$8:$H$58,5),VLOOKUP(N995,setup!$A$8:$H$58,8))</f>
        <v xml:space="preserve">            // atualizar registro por meio do método CampanhaCashbackResgatePixBusinessImpl::atualizarTipochavepixPorPK($tipoChavePix,$id)</v>
      </c>
    </row>
    <row r="996" spans="1:15" x14ac:dyDescent="0.25">
      <c r="A996" s="29" t="s">
        <v>747</v>
      </c>
      <c r="N996">
        <f t="shared" si="0"/>
        <v>3</v>
      </c>
      <c r="O996" s="7" t="str">
        <f ca="1">getCodigoBackend(N996,A996,VLOOKUP(N996,setup!$A$8:$H$58,2),VLOOKUP(N996,setup!$A$8:$H$58,3),VLOOKUP(N996,setup!$A$8:$H$58,4),VLOOKUP(N996,setup!$A$8:$H$58,5),VLOOKUP(N996,setup!$A$8:$H$58,6),VLOOKUP(N996,setup!$A$8:$H$58,7), VLOOKUP(0,setup!$A$8:$H$58,2),VLOOKUP(0,setup!$A$8:$H$58,5),VLOOKUP(N996,setup!$A$8:$H$58,8))</f>
        <v xml:space="preserve">           $bo = new CampanhaCashbackResgatePixBusinessImpl();</v>
      </c>
    </row>
    <row r="997" spans="1:15" x14ac:dyDescent="0.25">
      <c r="A997" s="29" t="s">
        <v>748</v>
      </c>
      <c r="N997">
        <f t="shared" si="0"/>
        <v>3</v>
      </c>
      <c r="O997" s="7" t="str">
        <f ca="1">getCodigoBackend(N997,A997,VLOOKUP(N997,setup!$A$8:$H$58,2),VLOOKUP(N997,setup!$A$8:$H$58,3),VLOOKUP(N997,setup!$A$8:$H$58,4),VLOOKUP(N997,setup!$A$8:$H$58,5),VLOOKUP(N997,setup!$A$8:$H$58,6),VLOOKUP(N997,setup!$A$8:$H$58,7), VLOOKUP(0,setup!$A$8:$H$58,2),VLOOKUP(0,setup!$A$8:$H$58,5),VLOOKUP(N997,setup!$A$8:$H$58,8))</f>
        <v xml:space="preserve">           $retorno = $bo-&gt;atualizarTipochavepixPorPK($daofactory,$tipoChavePix,$id);</v>
      </c>
    </row>
    <row r="998" spans="1:15" x14ac:dyDescent="0.25">
      <c r="A998" s="29"/>
      <c r="N998">
        <f t="shared" si="0"/>
        <v>3</v>
      </c>
      <c r="O998" s="7" t="str">
        <f ca="1">getCodigoBackend(N998,A998,VLOOKUP(N998,setup!$A$8:$H$58,2),VLOOKUP(N998,setup!$A$8:$H$58,3),VLOOKUP(N998,setup!$A$8:$H$58,4),VLOOKUP(N998,setup!$A$8:$H$58,5),VLOOKUP(N998,setup!$A$8:$H$58,6),VLOOKUP(N998,setup!$A$8:$H$58,7), VLOOKUP(0,setup!$A$8:$H$58,2),VLOOKUP(0,setup!$A$8:$H$58,5),VLOOKUP(N998,setup!$A$8:$H$58,8))</f>
        <v/>
      </c>
    </row>
    <row r="999" spans="1:15" x14ac:dyDescent="0.25">
      <c r="A999" s="29" t="s">
        <v>731</v>
      </c>
      <c r="N999">
        <f t="shared" si="0"/>
        <v>3</v>
      </c>
      <c r="O999" s="7" t="str">
        <f ca="1">getCodigoBackend(N999,A999,VLOOKUP(N999,setup!$A$8:$H$58,2),VLOOKUP(N999,setup!$A$8:$H$58,3),VLOOKUP(N999,setup!$A$8:$H$58,4),VLOOKUP(N999,setup!$A$8:$H$58,5),VLOOKUP(N999,setup!$A$8:$H$58,6),VLOOKUP(N999,setup!$A$8:$H$58,7), VLOOKUP(0,setup!$A$8:$H$58,2),VLOOKUP(0,setup!$A$8:$H$58,5),VLOOKUP(N999,setup!$A$8:$H$58,8))</f>
        <v xml:space="preserve">           if ($retorno-&gt;msgcode == ConstantesMensagem::COMANDO_REALIZADO_COM_SUCESSO){</v>
      </c>
    </row>
    <row r="1000" spans="1:15" x14ac:dyDescent="0.25">
      <c r="A1000" s="29" t="s">
        <v>732</v>
      </c>
      <c r="N1000">
        <f t="shared" si="0"/>
        <v>3</v>
      </c>
      <c r="O1000" s="7" t="str">
        <f ca="1">getCodigoBackend(N1000,A1000,VLOOKUP(N1000,setup!$A$8:$H$58,2),VLOOKUP(N1000,setup!$A$8:$H$58,3),VLOOKUP(N1000,setup!$A$8:$H$58,4),VLOOKUP(N1000,setup!$A$8:$H$58,5),VLOOKUP(N1000,setup!$A$8:$H$58,6),VLOOKUP(N1000,setup!$A$8:$H$58,7), VLOOKUP(0,setup!$A$8:$H$58,2),VLOOKUP(0,setup!$A$8:$H$58,5),VLOOKUP(N1000,setup!$A$8:$H$58,8))</f>
        <v xml:space="preserve">                $daofactory-&gt;commit();</v>
      </c>
    </row>
    <row r="1001" spans="1:15" x14ac:dyDescent="0.25">
      <c r="A1001" s="29" t="s">
        <v>733</v>
      </c>
      <c r="N1001">
        <f t="shared" si="0"/>
        <v>3</v>
      </c>
      <c r="O1001" s="7" t="str">
        <f ca="1">getCodigoBackend(N1001,A1001,VLOOKUP(N1001,setup!$A$8:$H$58,2),VLOOKUP(N1001,setup!$A$8:$H$58,3),VLOOKUP(N1001,setup!$A$8:$H$58,4),VLOOKUP(N1001,setup!$A$8:$H$58,5),VLOOKUP(N1001,setup!$A$8:$H$58,6),VLOOKUP(N1001,setup!$A$8:$H$58,7), VLOOKUP(0,setup!$A$8:$H$58,2),VLOOKUP(0,setup!$A$8:$H$58,5),VLOOKUP(N1001,setup!$A$8:$H$58,8))</f>
        <v xml:space="preserve">            } else {</v>
      </c>
    </row>
    <row r="1002" spans="1:15" x14ac:dyDescent="0.25">
      <c r="A1002" s="29" t="s">
        <v>734</v>
      </c>
      <c r="N1002">
        <f t="shared" si="0"/>
        <v>3</v>
      </c>
      <c r="O1002" s="7" t="str">
        <f ca="1">getCodigoBackend(N1002,A1002,VLOOKUP(N1002,setup!$A$8:$H$58,2),VLOOKUP(N1002,setup!$A$8:$H$58,3),VLOOKUP(N1002,setup!$A$8:$H$58,4),VLOOKUP(N1002,setup!$A$8:$H$58,5),VLOOKUP(N1002,setup!$A$8:$H$58,6),VLOOKUP(N1002,setup!$A$8:$H$58,7), VLOOKUP(0,setup!$A$8:$H$58,2),VLOOKUP(0,setup!$A$8:$H$58,5),VLOOKUP(N1002,setup!$A$8:$H$58,8))</f>
        <v xml:space="preserve">                $daofactory-&gt;rollback();</v>
      </c>
    </row>
    <row r="1003" spans="1:15" x14ac:dyDescent="0.25">
      <c r="A1003" s="29" t="s">
        <v>505</v>
      </c>
      <c r="N1003">
        <f t="shared" si="0"/>
        <v>3</v>
      </c>
      <c r="O1003" s="7" t="str">
        <f ca="1">getCodigoBackend(N1003,A1003,VLOOKUP(N1003,setup!$A$8:$H$58,2),VLOOKUP(N1003,setup!$A$8:$H$58,3),VLOOKUP(N1003,setup!$A$8:$H$58,4),VLOOKUP(N1003,setup!$A$8:$H$58,5),VLOOKUP(N1003,setup!$A$8:$H$58,6),VLOOKUP(N1003,setup!$A$8:$H$58,7), VLOOKUP(0,setup!$A$8:$H$58,2),VLOOKUP(0,setup!$A$8:$H$58,5),VLOOKUP(N1003,setup!$A$8:$H$58,8))</f>
        <v xml:space="preserve">            }</v>
      </c>
    </row>
    <row r="1004" spans="1:15" x14ac:dyDescent="0.25">
      <c r="A1004" s="29" t="s">
        <v>730</v>
      </c>
      <c r="N1004">
        <f t="shared" si="0"/>
        <v>3</v>
      </c>
      <c r="O1004" s="7" t="str">
        <f ca="1">getCodigoBackend(N1004,A1004,VLOOKUP(N1004,setup!$A$8:$H$58,2),VLOOKUP(N1004,setup!$A$8:$H$58,3),VLOOKUP(N1004,setup!$A$8:$H$58,4),VLOOKUP(N1004,setup!$A$8:$H$58,5),VLOOKUP(N1004,setup!$A$8:$H$58,6),VLOOKUP(N1004,setup!$A$8:$H$58,7), VLOOKUP(0,setup!$A$8:$H$58,2),VLOOKUP(0,setup!$A$8:$H$58,5),VLOOKUP(N1004,setup!$A$8:$H$58,8))</f>
        <v xml:space="preserve">            </v>
      </c>
    </row>
    <row r="1005" spans="1:15" x14ac:dyDescent="0.25">
      <c r="A1005" s="29" t="s">
        <v>735</v>
      </c>
      <c r="N1005">
        <f t="shared" si="0"/>
        <v>3</v>
      </c>
      <c r="O1005" s="7" t="str">
        <f ca="1">getCodigoBackend(N1005,A1005,VLOOKUP(N1005,setup!$A$8:$H$58,2),VLOOKUP(N1005,setup!$A$8:$H$58,3),VLOOKUP(N1005,setup!$A$8:$H$58,4),VLOOKUP(N1005,setup!$A$8:$H$58,5),VLOOKUP(N1005,setup!$A$8:$H$58,6),VLOOKUP(N1005,setup!$A$8:$H$58,7), VLOOKUP(0,setup!$A$8:$H$58,2),VLOOKUP(0,setup!$A$8:$H$58,5),VLOOKUP(N1005,setup!$A$8:$H$58,8))</f>
        <v xml:space="preserve">        } catch (Exception $e) {</v>
      </c>
    </row>
    <row r="1006" spans="1:15" x14ac:dyDescent="0.25">
      <c r="A1006" s="29" t="s">
        <v>736</v>
      </c>
      <c r="N1006">
        <f t="shared" si="0"/>
        <v>3</v>
      </c>
      <c r="O1006" s="7" t="str">
        <f ca="1">getCodigoBackend(N1006,A1006,VLOOKUP(N1006,setup!$A$8:$H$58,2),VLOOKUP(N1006,setup!$A$8:$H$58,3),VLOOKUP(N1006,setup!$A$8:$H$58,4),VLOOKUP(N1006,setup!$A$8:$H$58,5),VLOOKUP(N1006,setup!$A$8:$H$58,6),VLOOKUP(N1006,setup!$A$8:$H$58,7), VLOOKUP(0,setup!$A$8:$H$58,2),VLOOKUP(0,setup!$A$8:$H$58,5),VLOOKUP(N1006,setup!$A$8:$H$58,8))</f>
        <v xml:space="preserve">            // rollback na transação</v>
      </c>
    </row>
    <row r="1007" spans="1:15" x14ac:dyDescent="0.25">
      <c r="A1007" s="29" t="s">
        <v>737</v>
      </c>
      <c r="N1007">
        <f t="shared" si="0"/>
        <v>3</v>
      </c>
      <c r="O1007" s="7" t="str">
        <f ca="1">getCodigoBackend(N1007,A1007,VLOOKUP(N1007,setup!$A$8:$H$58,2),VLOOKUP(N1007,setup!$A$8:$H$58,3),VLOOKUP(N1007,setup!$A$8:$H$58,4),VLOOKUP(N1007,setup!$A$8:$H$58,5),VLOOKUP(N1007,setup!$A$8:$H$58,6),VLOOKUP(N1007,setup!$A$8:$H$58,7), VLOOKUP(0,setup!$A$8:$H$58,2),VLOOKUP(0,setup!$A$8:$H$58,5),VLOOKUP(N1007,setup!$A$8:$H$58,8))</f>
        <v xml:space="preserve">            $daofactory-&gt;rollback();</v>
      </c>
    </row>
    <row r="1008" spans="1:15" x14ac:dyDescent="0.25">
      <c r="A1008" s="29"/>
      <c r="N1008">
        <f t="shared" si="0"/>
        <v>3</v>
      </c>
      <c r="O1008" s="7" t="str">
        <f ca="1">getCodigoBackend(N1008,A1008,VLOOKUP(N1008,setup!$A$8:$H$58,2),VLOOKUP(N1008,setup!$A$8:$H$58,3),VLOOKUP(N1008,setup!$A$8:$H$58,4),VLOOKUP(N1008,setup!$A$8:$H$58,5),VLOOKUP(N1008,setup!$A$8:$H$58,6),VLOOKUP(N1008,setup!$A$8:$H$58,7), VLOOKUP(0,setup!$A$8:$H$58,2),VLOOKUP(0,setup!$A$8:$H$58,5),VLOOKUP(N1008,setup!$A$8:$H$58,8))</f>
        <v/>
      </c>
    </row>
    <row r="1009" spans="1:15" x14ac:dyDescent="0.25">
      <c r="A1009" s="29" t="s">
        <v>738</v>
      </c>
      <c r="N1009">
        <f t="shared" si="0"/>
        <v>3</v>
      </c>
      <c r="O1009" s="7" t="str">
        <f ca="1">getCodigoBackend(N1009,A1009,VLOOKUP(N1009,setup!$A$8:$H$58,2),VLOOKUP(N1009,setup!$A$8:$H$58,3),VLOOKUP(N1009,setup!$A$8:$H$58,4),VLOOKUP(N1009,setup!$A$8:$H$58,5),VLOOKUP(N1009,setup!$A$8:$H$58,6),VLOOKUP(N1009,setup!$A$8:$H$58,7), VLOOKUP(0,setup!$A$8:$H$58,2),VLOOKUP(0,setup!$A$8:$H$58,5),VLOOKUP(N1009,setup!$A$8:$H$58,8))</f>
        <v xml:space="preserve">        } finally {</v>
      </c>
    </row>
    <row r="1010" spans="1:15" x14ac:dyDescent="0.25">
      <c r="A1010" s="29" t="s">
        <v>739</v>
      </c>
      <c r="N1010">
        <f t="shared" si="0"/>
        <v>3</v>
      </c>
      <c r="O1010" s="7" t="str">
        <f ca="1">getCodigoBackend(N1010,A1010,VLOOKUP(N1010,setup!$A$8:$H$58,2),VLOOKUP(N1010,setup!$A$8:$H$58,3),VLOOKUP(N1010,setup!$A$8:$H$58,4),VLOOKUP(N1010,setup!$A$8:$H$58,5),VLOOKUP(N1010,setup!$A$8:$H$58,6),VLOOKUP(N1010,setup!$A$8:$H$58,7), VLOOKUP(0,setup!$A$8:$H$58,2),VLOOKUP(0,setup!$A$8:$H$58,5),VLOOKUP(N1010,setup!$A$8:$H$58,8))</f>
        <v xml:space="preserve">            try {</v>
      </c>
    </row>
    <row r="1011" spans="1:15" x14ac:dyDescent="0.25">
      <c r="A1011" s="29" t="s">
        <v>740</v>
      </c>
      <c r="N1011">
        <f t="shared" si="0"/>
        <v>3</v>
      </c>
      <c r="O1011" s="7" t="str">
        <f ca="1">getCodigoBackend(N1011,A1011,VLOOKUP(N1011,setup!$A$8:$H$58,2),VLOOKUP(N1011,setup!$A$8:$H$58,3),VLOOKUP(N1011,setup!$A$8:$H$58,4),VLOOKUP(N1011,setup!$A$8:$H$58,5),VLOOKUP(N1011,setup!$A$8:$H$58,6),VLOOKUP(N1011,setup!$A$8:$H$58,7), VLOOKUP(0,setup!$A$8:$H$58,2),VLOOKUP(0,setup!$A$8:$H$58,5),VLOOKUP(N1011,setup!$A$8:$H$58,8))</f>
        <v xml:space="preserve">                $daofactory-&gt;close();</v>
      </c>
    </row>
    <row r="1012" spans="1:15" x14ac:dyDescent="0.25">
      <c r="A1012" s="29" t="s">
        <v>741</v>
      </c>
      <c r="N1012">
        <f t="shared" si="0"/>
        <v>3</v>
      </c>
      <c r="O1012" s="7" t="str">
        <f ca="1">getCodigoBackend(N1012,A1012,VLOOKUP(N1012,setup!$A$8:$H$58,2),VLOOKUP(N1012,setup!$A$8:$H$58,3),VLOOKUP(N1012,setup!$A$8:$H$58,4),VLOOKUP(N1012,setup!$A$8:$H$58,5),VLOOKUP(N1012,setup!$A$8:$H$58,6),VLOOKUP(N1012,setup!$A$8:$H$58,7), VLOOKUP(0,setup!$A$8:$H$58,2),VLOOKUP(0,setup!$A$8:$H$58,5),VLOOKUP(N1012,setup!$A$8:$H$58,8))</f>
        <v xml:space="preserve">            } catch (Exception $e) {</v>
      </c>
    </row>
    <row r="1013" spans="1:15" x14ac:dyDescent="0.25">
      <c r="A1013" s="29" t="s">
        <v>742</v>
      </c>
      <c r="N1013">
        <f t="shared" si="0"/>
        <v>3</v>
      </c>
      <c r="O1013" s="7" t="str">
        <f ca="1">getCodigoBackend(N1013,A1013,VLOOKUP(N1013,setup!$A$8:$H$58,2),VLOOKUP(N1013,setup!$A$8:$H$58,3),VLOOKUP(N1013,setup!$A$8:$H$58,4),VLOOKUP(N1013,setup!$A$8:$H$58,5),VLOOKUP(N1013,setup!$A$8:$H$58,6),VLOOKUP(N1013,setup!$A$8:$H$58,7), VLOOKUP(0,setup!$A$8:$H$58,2),VLOOKUP(0,setup!$A$8:$H$58,5),VLOOKUP(N1013,setup!$A$8:$H$58,8))</f>
        <v xml:space="preserve">                // faz algo</v>
      </c>
    </row>
    <row r="1014" spans="1:15" x14ac:dyDescent="0.25">
      <c r="A1014" s="29" t="s">
        <v>505</v>
      </c>
      <c r="N1014">
        <f t="shared" si="0"/>
        <v>3</v>
      </c>
      <c r="O1014" s="7" t="str">
        <f ca="1">getCodigoBackend(N1014,A1014,VLOOKUP(N1014,setup!$A$8:$H$58,2),VLOOKUP(N1014,setup!$A$8:$H$58,3),VLOOKUP(N1014,setup!$A$8:$H$58,4),VLOOKUP(N1014,setup!$A$8:$H$58,5),VLOOKUP(N1014,setup!$A$8:$H$58,6),VLOOKUP(N1014,setup!$A$8:$H$58,7), VLOOKUP(0,setup!$A$8:$H$58,2),VLOOKUP(0,setup!$A$8:$H$58,5),VLOOKUP(N1014,setup!$A$8:$H$58,8))</f>
        <v xml:space="preserve">            }</v>
      </c>
    </row>
    <row r="1015" spans="1:15" x14ac:dyDescent="0.25">
      <c r="A1015" s="29" t="s">
        <v>157</v>
      </c>
      <c r="N1015">
        <f t="shared" si="0"/>
        <v>3</v>
      </c>
      <c r="O1015" s="7" t="str">
        <f ca="1">getCodigoBackend(N1015,A1015,VLOOKUP(N1015,setup!$A$8:$H$58,2),VLOOKUP(N1015,setup!$A$8:$H$58,3),VLOOKUP(N1015,setup!$A$8:$H$58,4),VLOOKUP(N1015,setup!$A$8:$H$58,5),VLOOKUP(N1015,setup!$A$8:$H$58,6),VLOOKUP(N1015,setup!$A$8:$H$58,7), VLOOKUP(0,setup!$A$8:$H$58,2),VLOOKUP(0,setup!$A$8:$H$58,5),VLOOKUP(N1015,setup!$A$8:$H$58,8))</f>
        <v xml:space="preserve">        }</v>
      </c>
    </row>
    <row r="1016" spans="1:15" x14ac:dyDescent="0.25">
      <c r="A1016" s="29"/>
      <c r="N1016">
        <f t="shared" si="0"/>
        <v>3</v>
      </c>
      <c r="O1016" s="7" t="str">
        <f ca="1">getCodigoBackend(N1016,A1016,VLOOKUP(N1016,setup!$A$8:$H$58,2),VLOOKUP(N1016,setup!$A$8:$H$58,3),VLOOKUP(N1016,setup!$A$8:$H$58,4),VLOOKUP(N1016,setup!$A$8:$H$58,5),VLOOKUP(N1016,setup!$A$8:$H$58,6),VLOOKUP(N1016,setup!$A$8:$H$58,7), VLOOKUP(0,setup!$A$8:$H$58,2),VLOOKUP(0,setup!$A$8:$H$58,5),VLOOKUP(N1016,setup!$A$8:$H$58,8))</f>
        <v/>
      </c>
    </row>
    <row r="1017" spans="1:15" x14ac:dyDescent="0.25">
      <c r="A1017" s="29" t="s">
        <v>743</v>
      </c>
      <c r="N1017">
        <f t="shared" si="0"/>
        <v>3</v>
      </c>
      <c r="O1017" s="7" t="str">
        <f ca="1">getCodigoBackend(N1017,A1017,VLOOKUP(N1017,setup!$A$8:$H$58,2),VLOOKUP(N1017,setup!$A$8:$H$58,3),VLOOKUP(N1017,setup!$A$8:$H$58,4),VLOOKUP(N1017,setup!$A$8:$H$58,5),VLOOKUP(N1017,setup!$A$8:$H$58,6),VLOOKUP(N1017,setup!$A$8:$H$58,7), VLOOKUP(0,setup!$A$8:$H$58,2),VLOOKUP(0,setup!$A$8:$H$58,5),VLOOKUP(N1017,setup!$A$8:$H$58,8))</f>
        <v xml:space="preserve">        return $retorno;</v>
      </c>
    </row>
    <row r="1018" spans="1:15" x14ac:dyDescent="0.25">
      <c r="A1018" s="29" t="s">
        <v>406</v>
      </c>
      <c r="N1018">
        <f t="shared" si="0"/>
        <v>3</v>
      </c>
      <c r="O1018" s="7" t="str">
        <f ca="1">getCodigoBackend(N1018,A1018,VLOOKUP(N1018,setup!$A$8:$H$58,2),VLOOKUP(N1018,setup!$A$8:$H$58,3),VLOOKUP(N1018,setup!$A$8:$H$58,4),VLOOKUP(N1018,setup!$A$8:$H$58,5),VLOOKUP(N1018,setup!$A$8:$H$58,6),VLOOKUP(N1018,setup!$A$8:$H$58,7), VLOOKUP(0,setup!$A$8:$H$58,2),VLOOKUP(0,setup!$A$8:$H$58,5),VLOOKUP(N1018,setup!$A$8:$H$58,8))</f>
        <v xml:space="preserve">    }</v>
      </c>
    </row>
    <row r="1019" spans="1:15" x14ac:dyDescent="0.25">
      <c r="A1019" s="29"/>
      <c r="O1019" s="7"/>
    </row>
    <row r="1020" spans="1:15" x14ac:dyDescent="0.25">
      <c r="A1020" s="4" t="s">
        <v>19</v>
      </c>
      <c r="N1020">
        <f>N1018+1</f>
        <v>4</v>
      </c>
      <c r="O1020" s="7" t="str">
        <f ca="1">getCodigoBackend(N1020,A1020,VLOOKUP(N1020,setup!$A$8:$H$58,2),VLOOKUP(N1020,setup!$A$8:$H$58,3),VLOOKUP(N1020,setup!$A$8:$H$58,4),VLOOKUP(N1020,setup!$A$8:$H$58,5),VLOOKUP(N1020,setup!$A$8:$H$58,6),VLOOKUP(N1020,setup!$A$8:$H$58,7), VLOOKUP(0,setup!$A$8:$H$58,2),VLOOKUP(0,setup!$A$8:$H$58,5),VLOOKUP(N1020,setup!$A$8:$H$58,8))</f>
        <v>/**</v>
      </c>
    </row>
    <row r="1021" spans="1:15" x14ac:dyDescent="0.25">
      <c r="A1021" s="4" t="s">
        <v>20</v>
      </c>
      <c r="N1021">
        <f>N1020</f>
        <v>4</v>
      </c>
      <c r="O1021" s="7" t="str">
        <f ca="1">getCodigoBackend(N1021,A1021,VLOOKUP(N1021,setup!$A$8:$H$58,2),VLOOKUP(N1021,setup!$A$8:$H$58,3),VLOOKUP(N1021,setup!$A$8:$H$58,4),VLOOKUP(N1021,setup!$A$8:$H$58,5),VLOOKUP(N1021,setup!$A$8:$H$58,6),VLOOKUP(N1021,setup!$A$8:$H$58,7), VLOOKUP(0,setup!$A$8:$H$58,2),VLOOKUP(0,setup!$A$8:$H$58,5),VLOOKUP(N1021,setup!$A$8:$H$58,8))</f>
        <v>*</v>
      </c>
    </row>
    <row r="1022" spans="1:15" x14ac:dyDescent="0.25">
      <c r="A1022" s="4" t="s">
        <v>744</v>
      </c>
      <c r="N1022">
        <f t="shared" ref="N1022:N1063" si="1">N1021</f>
        <v>4</v>
      </c>
      <c r="O1022" s="7" t="str">
        <f ca="1">getCodigoBackend(N1022,A1022,VLOOKUP(N1022,setup!$A$8:$H$58,2),VLOOKUP(N1022,setup!$A$8:$H$58,3),VLOOKUP(N1022,setup!$A$8:$H$58,4),VLOOKUP(N1022,setup!$A$8:$H$58,5),VLOOKUP(N1022,setup!$A$8:$H$58,6),VLOOKUP(N1022,setup!$A$8:$H$58,7), VLOOKUP(0,setup!$A$8:$H$58,2),VLOOKUP(0,setup!$A$8:$H$58,5),VLOOKUP(N1022,setup!$A$8:$H$58,8))</f>
        <v>* atualizarChavepixPorPK() - Usado para invocar a classe de negócio CampanhaCashbackResgatePixBusinessImpl de forma geral</v>
      </c>
    </row>
    <row r="1023" spans="1:15" x14ac:dyDescent="0.25">
      <c r="A1023" s="4" t="s">
        <v>745</v>
      </c>
      <c r="N1023">
        <f t="shared" si="1"/>
        <v>4</v>
      </c>
      <c r="O1023" s="7" t="str">
        <f ca="1">getCodigoBackend(N1023,A1023,VLOOKUP(N1023,setup!$A$8:$H$58,2),VLOOKUP(N1023,setup!$A$8:$H$58,3),VLOOKUP(N1023,setup!$A$8:$H$58,4),VLOOKUP(N1023,setup!$A$8:$H$58,5),VLOOKUP(N1023,setup!$A$8:$H$58,6),VLOOKUP(N1023,setup!$A$8:$H$58,7), VLOOKUP(0,setup!$A$8:$H$58,2),VLOOKUP(0,setup!$A$8:$H$58,5),VLOOKUP(N1023,setup!$A$8:$H$58,8))</f>
        <v>* realizar uma atualização de Chave PIX diretamente na tabela CAMPANHA_CASHBACK_RESGATE_PIX campo CCRP_TX_CHAVE_PIX</v>
      </c>
    </row>
    <row r="1024" spans="1:15" x14ac:dyDescent="0.25">
      <c r="A1024" s="4" t="s">
        <v>346</v>
      </c>
      <c r="N1024">
        <f t="shared" si="1"/>
        <v>4</v>
      </c>
      <c r="O1024" s="7" t="str">
        <f ca="1">getCodigoBackend(N1024,A1024,VLOOKUP(N1024,setup!$A$8:$H$58,2),VLOOKUP(N1024,setup!$A$8:$H$58,3),VLOOKUP(N1024,setup!$A$8:$H$58,4),VLOOKUP(N1024,setup!$A$8:$H$58,5),VLOOKUP(N1024,setup!$A$8:$H$58,6),VLOOKUP(N1024,setup!$A$8:$H$58,7), VLOOKUP(0,setup!$A$8:$H$58,2),VLOOKUP(0,setup!$A$8:$H$58,5),VLOOKUP(N1024,setup!$A$8:$H$58,8))</f>
        <v>* @param $id</v>
      </c>
    </row>
    <row r="1025" spans="1:15" x14ac:dyDescent="0.25">
      <c r="A1025" s="4" t="s">
        <v>723</v>
      </c>
      <c r="N1025">
        <f t="shared" si="1"/>
        <v>4</v>
      </c>
      <c r="O1025" s="7" t="str">
        <f ca="1">getCodigoBackend(N1025,A1025,VLOOKUP(N1025,setup!$A$8:$H$58,2),VLOOKUP(N1025,setup!$A$8:$H$58,3),VLOOKUP(N1025,setup!$A$8:$H$58,4),VLOOKUP(N1025,setup!$A$8:$H$58,5),VLOOKUP(N1025,setup!$A$8:$H$58,6),VLOOKUP(N1025,setup!$A$8:$H$58,7), VLOOKUP(0,setup!$A$8:$H$58,2),VLOOKUP(0,setup!$A$8:$H$58,5),VLOOKUP(N1025,setup!$A$8:$H$58,8))</f>
        <v>* @param $chavePix</v>
      </c>
    </row>
    <row r="1026" spans="1:15" x14ac:dyDescent="0.25">
      <c r="A1026" s="4" t="s">
        <v>347</v>
      </c>
      <c r="N1026">
        <f t="shared" si="1"/>
        <v>4</v>
      </c>
      <c r="O1026" s="7" t="str">
        <f ca="1">getCodigoBackend(N1026,A1026,VLOOKUP(N1026,setup!$A$8:$H$58,2),VLOOKUP(N1026,setup!$A$8:$H$58,3),VLOOKUP(N1026,setup!$A$8:$H$58,4),VLOOKUP(N1026,setup!$A$8:$H$58,5),VLOOKUP(N1026,setup!$A$8:$H$58,6),VLOOKUP(N1026,setup!$A$8:$H$58,7), VLOOKUP(0,setup!$A$8:$H$58,2),VLOOKUP(0,setup!$A$8:$H$58,5),VLOOKUP(N1026,setup!$A$8:$H$58,8))</f>
        <v>* @return CampanhaCashbackResgatePixDTO</v>
      </c>
    </row>
    <row r="1027" spans="1:15" x14ac:dyDescent="0.25">
      <c r="A1027" s="4" t="s">
        <v>20</v>
      </c>
      <c r="N1027">
        <f t="shared" si="1"/>
        <v>4</v>
      </c>
      <c r="O1027" s="7" t="str">
        <f ca="1">getCodigoBackend(N1027,A1027,VLOOKUP(N1027,setup!$A$8:$H$58,2),VLOOKUP(N1027,setup!$A$8:$H$58,3),VLOOKUP(N1027,setup!$A$8:$H$58,4),VLOOKUP(N1027,setup!$A$8:$H$58,5),VLOOKUP(N1027,setup!$A$8:$H$58,6),VLOOKUP(N1027,setup!$A$8:$H$58,7), VLOOKUP(0,setup!$A$8:$H$58,2),VLOOKUP(0,setup!$A$8:$H$58,5),VLOOKUP(N1027,setup!$A$8:$H$58,8))</f>
        <v>*</v>
      </c>
    </row>
    <row r="1028" spans="1:15" x14ac:dyDescent="0.25">
      <c r="A1028" s="4" t="s">
        <v>75</v>
      </c>
      <c r="N1028">
        <f t="shared" si="1"/>
        <v>4</v>
      </c>
      <c r="O1028" s="7" t="str">
        <f ca="1">getCodigoBackend(N1028,A1028,VLOOKUP(N1028,setup!$A$8:$H$58,2),VLOOKUP(N1028,setup!$A$8:$H$58,3),VLOOKUP(N1028,setup!$A$8:$H$58,4),VLOOKUP(N1028,setup!$A$8:$H$58,5),VLOOKUP(N1028,setup!$A$8:$H$58,6),VLOOKUP(N1028,setup!$A$8:$H$58,7), VLOOKUP(0,setup!$A$8:$H$58,2),VLOOKUP(0,setup!$A$8:$H$58,5),VLOOKUP(N1028,setup!$A$8:$H$58,8))</f>
        <v xml:space="preserve">* </v>
      </c>
    </row>
    <row r="1029" spans="1:15" x14ac:dyDescent="0.25">
      <c r="A1029" s="4" t="s">
        <v>21</v>
      </c>
      <c r="N1029">
        <f t="shared" si="1"/>
        <v>4</v>
      </c>
      <c r="O1029" s="7" t="str">
        <f ca="1">getCodigoBackend(N1029,A1029,VLOOKUP(N1029,setup!$A$8:$H$58,2),VLOOKUP(N1029,setup!$A$8:$H$58,3),VLOOKUP(N1029,setup!$A$8:$H$58,4),VLOOKUP(N1029,setup!$A$8:$H$58,5),VLOOKUP(N1029,setup!$A$8:$H$58,6),VLOOKUP(N1029,setup!$A$8:$H$58,7), VLOOKUP(0,setup!$A$8:$H$58,2),VLOOKUP(0,setup!$A$8:$H$58,5),VLOOKUP(N1029,setup!$A$8:$H$58,8))</f>
        <v>*/</v>
      </c>
    </row>
    <row r="1030" spans="1:15" x14ac:dyDescent="0.25">
      <c r="A1030" s="6"/>
      <c r="N1030">
        <f t="shared" si="1"/>
        <v>4</v>
      </c>
      <c r="O1030" s="7" t="str">
        <f ca="1">getCodigoBackend(N1030,A1030,VLOOKUP(N1030,setup!$A$8:$H$58,2),VLOOKUP(N1030,setup!$A$8:$H$58,3),VLOOKUP(N1030,setup!$A$8:$H$58,4),VLOOKUP(N1030,setup!$A$8:$H$58,5),VLOOKUP(N1030,setup!$A$8:$H$58,6),VLOOKUP(N1030,setup!$A$8:$H$58,7), VLOOKUP(0,setup!$A$8:$H$58,2),VLOOKUP(0,setup!$A$8:$H$58,5),VLOOKUP(N1030,setup!$A$8:$H$58,8))</f>
        <v/>
      </c>
    </row>
    <row r="1031" spans="1:15" x14ac:dyDescent="0.25">
      <c r="A1031" s="29" t="s">
        <v>782</v>
      </c>
      <c r="N1031">
        <f t="shared" si="1"/>
        <v>4</v>
      </c>
      <c r="O1031" s="7" t="str">
        <f ca="1">getCodigoBackend(N1031,A1031,VLOOKUP(N1031,setup!$A$8:$H$58,2),VLOOKUP(N1031,setup!$A$8:$H$58,3),VLOOKUP(N1031,setup!$A$8:$H$58,4),VLOOKUP(N1031,setup!$A$8:$H$58,5),VLOOKUP(N1031,setup!$A$8:$H$58,6),VLOOKUP(N1031,setup!$A$8:$H$58,7), VLOOKUP(0,setup!$A$8:$H$58,2),VLOOKUP(0,setup!$A$8:$H$58,5),VLOOKUP(N1031,setup!$A$8:$H$58,8))</f>
        <v xml:space="preserve">    public function atualizarChavepixPorPK($chavePix,$id)</v>
      </c>
    </row>
    <row r="1032" spans="1:15" x14ac:dyDescent="0.25">
      <c r="A1032" s="29" t="s">
        <v>379</v>
      </c>
      <c r="N1032">
        <f t="shared" si="1"/>
        <v>4</v>
      </c>
      <c r="O1032" s="7" t="str">
        <f ca="1">getCodigoBackend(N1032,A1032,VLOOKUP(N1032,setup!$A$8:$H$58,2),VLOOKUP(N1032,setup!$A$8:$H$58,3),VLOOKUP(N1032,setup!$A$8:$H$58,4),VLOOKUP(N1032,setup!$A$8:$H$58,5),VLOOKUP(N1032,setup!$A$8:$H$58,6),VLOOKUP(N1032,setup!$A$8:$H$58,7), VLOOKUP(0,setup!$A$8:$H$58,2),VLOOKUP(0,setup!$A$8:$H$58,5),VLOOKUP(N1032,setup!$A$8:$H$58,8))</f>
        <v xml:space="preserve">    {</v>
      </c>
    </row>
    <row r="1033" spans="1:15" x14ac:dyDescent="0.25">
      <c r="A1033" s="29" t="s">
        <v>724</v>
      </c>
      <c r="N1033">
        <f t="shared" si="1"/>
        <v>4</v>
      </c>
      <c r="O1033" s="7" t="str">
        <f ca="1">getCodigoBackend(N1033,A1033,VLOOKUP(N1033,setup!$A$8:$H$58,2),VLOOKUP(N1033,setup!$A$8:$H$58,3),VLOOKUP(N1033,setup!$A$8:$H$58,4),VLOOKUP(N1033,setup!$A$8:$H$58,5),VLOOKUP(N1033,setup!$A$8:$H$58,6),VLOOKUP(N1033,setup!$A$8:$H$58,7), VLOOKUP(0,setup!$A$8:$H$58,2),VLOOKUP(0,setup!$A$8:$H$58,5),VLOOKUP(N1033,setup!$A$8:$H$58,8))</f>
        <v xml:space="preserve">        $daofactory = NULL;</v>
      </c>
    </row>
    <row r="1034" spans="1:15" x14ac:dyDescent="0.25">
      <c r="A1034" s="29" t="s">
        <v>725</v>
      </c>
      <c r="N1034">
        <f t="shared" si="1"/>
        <v>4</v>
      </c>
      <c r="O1034" s="7" t="str">
        <f ca="1">getCodigoBackend(N1034,A1034,VLOOKUP(N1034,setup!$A$8:$H$58,2),VLOOKUP(N1034,setup!$A$8:$H$58,3),VLOOKUP(N1034,setup!$A$8:$H$58,4),VLOOKUP(N1034,setup!$A$8:$H$58,5),VLOOKUP(N1034,setup!$A$8:$H$58,6),VLOOKUP(N1034,setup!$A$8:$H$58,7), VLOOKUP(0,setup!$A$8:$H$58,2),VLOOKUP(0,setup!$A$8:$H$58,5),VLOOKUP(N1034,setup!$A$8:$H$58,8))</f>
        <v xml:space="preserve">        $retorno = NULL;</v>
      </c>
    </row>
    <row r="1035" spans="1:15" x14ac:dyDescent="0.25">
      <c r="A1035" s="29" t="s">
        <v>726</v>
      </c>
      <c r="N1035">
        <f t="shared" si="1"/>
        <v>4</v>
      </c>
      <c r="O1035" s="7" t="str">
        <f ca="1">getCodigoBackend(N1035,A1035,VLOOKUP(N1035,setup!$A$8:$H$58,2),VLOOKUP(N1035,setup!$A$8:$H$58,3),VLOOKUP(N1035,setup!$A$8:$H$58,4),VLOOKUP(N1035,setup!$A$8:$H$58,5),VLOOKUP(N1035,setup!$A$8:$H$58,6),VLOOKUP(N1035,setup!$A$8:$H$58,7), VLOOKUP(0,setup!$A$8:$H$58,2),VLOOKUP(0,setup!$A$8:$H$58,5),VLOOKUP(N1035,setup!$A$8:$H$58,8))</f>
        <v xml:space="preserve">        try {</v>
      </c>
    </row>
    <row r="1036" spans="1:15" x14ac:dyDescent="0.25">
      <c r="A1036" s="29" t="s">
        <v>727</v>
      </c>
      <c r="N1036">
        <f t="shared" si="1"/>
        <v>4</v>
      </c>
      <c r="O1036" s="7" t="str">
        <f ca="1">getCodigoBackend(N1036,A1036,VLOOKUP(N1036,setup!$A$8:$H$58,2),VLOOKUP(N1036,setup!$A$8:$H$58,3),VLOOKUP(N1036,setup!$A$8:$H$58,4),VLOOKUP(N1036,setup!$A$8:$H$58,5),VLOOKUP(N1036,setup!$A$8:$H$58,6),VLOOKUP(N1036,setup!$A$8:$H$58,7), VLOOKUP(0,setup!$A$8:$H$58,2),VLOOKUP(0,setup!$A$8:$H$58,5),VLOOKUP(N1036,setup!$A$8:$H$58,8))</f>
        <v xml:space="preserve">            $daofactory = DAOFactory::getDAOFactory();</v>
      </c>
    </row>
    <row r="1037" spans="1:15" x14ac:dyDescent="0.25">
      <c r="A1037" s="29" t="s">
        <v>728</v>
      </c>
      <c r="N1037">
        <f t="shared" si="1"/>
        <v>4</v>
      </c>
      <c r="O1037" s="7" t="str">
        <f ca="1">getCodigoBackend(N1037,A1037,VLOOKUP(N1037,setup!$A$8:$H$58,2),VLOOKUP(N1037,setup!$A$8:$H$58,3),VLOOKUP(N1037,setup!$A$8:$H$58,4),VLOOKUP(N1037,setup!$A$8:$H$58,5),VLOOKUP(N1037,setup!$A$8:$H$58,6),VLOOKUP(N1037,setup!$A$8:$H$58,7), VLOOKUP(0,setup!$A$8:$H$58,2),VLOOKUP(0,setup!$A$8:$H$58,5),VLOOKUP(N1037,setup!$A$8:$H$58,8))</f>
        <v xml:space="preserve">            $daofactory-&gt;open();</v>
      </c>
    </row>
    <row r="1038" spans="1:15" x14ac:dyDescent="0.25">
      <c r="A1038" s="29" t="s">
        <v>729</v>
      </c>
      <c r="N1038">
        <f t="shared" si="1"/>
        <v>4</v>
      </c>
      <c r="O1038" s="7" t="str">
        <f ca="1">getCodigoBackend(N1038,A1038,VLOOKUP(N1038,setup!$A$8:$H$58,2),VLOOKUP(N1038,setup!$A$8:$H$58,3),VLOOKUP(N1038,setup!$A$8:$H$58,4),VLOOKUP(N1038,setup!$A$8:$H$58,5),VLOOKUP(N1038,setup!$A$8:$H$58,6),VLOOKUP(N1038,setup!$A$8:$H$58,7), VLOOKUP(0,setup!$A$8:$H$58,2),VLOOKUP(0,setup!$A$8:$H$58,5),VLOOKUP(N1038,setup!$A$8:$H$58,8))</f>
        <v xml:space="preserve">            $daofactory-&gt;beginTransaction();</v>
      </c>
    </row>
    <row r="1039" spans="1:15" x14ac:dyDescent="0.25">
      <c r="A1039" s="29" t="s">
        <v>730</v>
      </c>
      <c r="N1039">
        <f t="shared" si="1"/>
        <v>4</v>
      </c>
      <c r="O1039" s="7" t="str">
        <f ca="1">getCodigoBackend(N1039,A1039,VLOOKUP(N1039,setup!$A$8:$H$58,2),VLOOKUP(N1039,setup!$A$8:$H$58,3),VLOOKUP(N1039,setup!$A$8:$H$58,4),VLOOKUP(N1039,setup!$A$8:$H$58,5),VLOOKUP(N1039,setup!$A$8:$H$58,6),VLOOKUP(N1039,setup!$A$8:$H$58,7), VLOOKUP(0,setup!$A$8:$H$58,2),VLOOKUP(0,setup!$A$8:$H$58,5),VLOOKUP(N1039,setup!$A$8:$H$58,8))</f>
        <v xml:space="preserve">            </v>
      </c>
    </row>
    <row r="1040" spans="1:15" x14ac:dyDescent="0.25">
      <c r="A1040" s="29" t="s">
        <v>746</v>
      </c>
      <c r="N1040">
        <f t="shared" si="1"/>
        <v>4</v>
      </c>
      <c r="O1040" s="7" t="str">
        <f ca="1">getCodigoBackend(N1040,A1040,VLOOKUP(N1040,setup!$A$8:$H$58,2),VLOOKUP(N1040,setup!$A$8:$H$58,3),VLOOKUP(N1040,setup!$A$8:$H$58,4),VLOOKUP(N1040,setup!$A$8:$H$58,5),VLOOKUP(N1040,setup!$A$8:$H$58,6),VLOOKUP(N1040,setup!$A$8:$H$58,7), VLOOKUP(0,setup!$A$8:$H$58,2),VLOOKUP(0,setup!$A$8:$H$58,5),VLOOKUP(N1040,setup!$A$8:$H$58,8))</f>
        <v xml:space="preserve">            // atualizar registro por meio do método CampanhaCashbackResgatePixBusinessImpl::atualizarChavepixPorPK($chavePix,$id)</v>
      </c>
    </row>
    <row r="1041" spans="1:15" x14ac:dyDescent="0.25">
      <c r="A1041" s="29" t="s">
        <v>747</v>
      </c>
      <c r="N1041">
        <f t="shared" si="1"/>
        <v>4</v>
      </c>
      <c r="O1041" s="7" t="str">
        <f ca="1">getCodigoBackend(N1041,A1041,VLOOKUP(N1041,setup!$A$8:$H$58,2),VLOOKUP(N1041,setup!$A$8:$H$58,3),VLOOKUP(N1041,setup!$A$8:$H$58,4),VLOOKUP(N1041,setup!$A$8:$H$58,5),VLOOKUP(N1041,setup!$A$8:$H$58,6),VLOOKUP(N1041,setup!$A$8:$H$58,7), VLOOKUP(0,setup!$A$8:$H$58,2),VLOOKUP(0,setup!$A$8:$H$58,5),VLOOKUP(N1041,setup!$A$8:$H$58,8))</f>
        <v xml:space="preserve">           $bo = new CampanhaCashbackResgatePixBusinessImpl();</v>
      </c>
    </row>
    <row r="1042" spans="1:15" x14ac:dyDescent="0.25">
      <c r="A1042" s="29" t="s">
        <v>748</v>
      </c>
      <c r="N1042">
        <f t="shared" si="1"/>
        <v>4</v>
      </c>
      <c r="O1042" s="7" t="str">
        <f ca="1">getCodigoBackend(N1042,A1042,VLOOKUP(N1042,setup!$A$8:$H$58,2),VLOOKUP(N1042,setup!$A$8:$H$58,3),VLOOKUP(N1042,setup!$A$8:$H$58,4),VLOOKUP(N1042,setup!$A$8:$H$58,5),VLOOKUP(N1042,setup!$A$8:$H$58,6),VLOOKUP(N1042,setup!$A$8:$H$58,7), VLOOKUP(0,setup!$A$8:$H$58,2),VLOOKUP(0,setup!$A$8:$H$58,5),VLOOKUP(N1042,setup!$A$8:$H$58,8))</f>
        <v xml:space="preserve">           $retorno = $bo-&gt;atualizarChavepixPorPK($daofactory,$chavePix,$id);</v>
      </c>
    </row>
    <row r="1043" spans="1:15" x14ac:dyDescent="0.25">
      <c r="A1043" s="29"/>
      <c r="N1043">
        <f t="shared" si="1"/>
        <v>4</v>
      </c>
      <c r="O1043" s="7" t="str">
        <f ca="1">getCodigoBackend(N1043,A1043,VLOOKUP(N1043,setup!$A$8:$H$58,2),VLOOKUP(N1043,setup!$A$8:$H$58,3),VLOOKUP(N1043,setup!$A$8:$H$58,4),VLOOKUP(N1043,setup!$A$8:$H$58,5),VLOOKUP(N1043,setup!$A$8:$H$58,6),VLOOKUP(N1043,setup!$A$8:$H$58,7), VLOOKUP(0,setup!$A$8:$H$58,2),VLOOKUP(0,setup!$A$8:$H$58,5),VLOOKUP(N1043,setup!$A$8:$H$58,8))</f>
        <v/>
      </c>
    </row>
    <row r="1044" spans="1:15" x14ac:dyDescent="0.25">
      <c r="A1044" s="29" t="s">
        <v>731</v>
      </c>
      <c r="N1044">
        <f t="shared" si="1"/>
        <v>4</v>
      </c>
      <c r="O1044" s="7" t="str">
        <f ca="1">getCodigoBackend(N1044,A1044,VLOOKUP(N1044,setup!$A$8:$H$58,2),VLOOKUP(N1044,setup!$A$8:$H$58,3),VLOOKUP(N1044,setup!$A$8:$H$58,4),VLOOKUP(N1044,setup!$A$8:$H$58,5),VLOOKUP(N1044,setup!$A$8:$H$58,6),VLOOKUP(N1044,setup!$A$8:$H$58,7), VLOOKUP(0,setup!$A$8:$H$58,2),VLOOKUP(0,setup!$A$8:$H$58,5),VLOOKUP(N1044,setup!$A$8:$H$58,8))</f>
        <v xml:space="preserve">           if ($retorno-&gt;msgcode == ConstantesMensagem::COMANDO_REALIZADO_COM_SUCESSO){</v>
      </c>
    </row>
    <row r="1045" spans="1:15" x14ac:dyDescent="0.25">
      <c r="A1045" s="29" t="s">
        <v>732</v>
      </c>
      <c r="N1045">
        <f t="shared" si="1"/>
        <v>4</v>
      </c>
      <c r="O1045" s="7" t="str">
        <f ca="1">getCodigoBackend(N1045,A1045,VLOOKUP(N1045,setup!$A$8:$H$58,2),VLOOKUP(N1045,setup!$A$8:$H$58,3),VLOOKUP(N1045,setup!$A$8:$H$58,4),VLOOKUP(N1045,setup!$A$8:$H$58,5),VLOOKUP(N1045,setup!$A$8:$H$58,6),VLOOKUP(N1045,setup!$A$8:$H$58,7), VLOOKUP(0,setup!$A$8:$H$58,2),VLOOKUP(0,setup!$A$8:$H$58,5),VLOOKUP(N1045,setup!$A$8:$H$58,8))</f>
        <v xml:space="preserve">                $daofactory-&gt;commit();</v>
      </c>
    </row>
    <row r="1046" spans="1:15" x14ac:dyDescent="0.25">
      <c r="A1046" s="29" t="s">
        <v>733</v>
      </c>
      <c r="N1046">
        <f t="shared" si="1"/>
        <v>4</v>
      </c>
      <c r="O1046" s="7" t="str">
        <f ca="1">getCodigoBackend(N1046,A1046,VLOOKUP(N1046,setup!$A$8:$H$58,2),VLOOKUP(N1046,setup!$A$8:$H$58,3),VLOOKUP(N1046,setup!$A$8:$H$58,4),VLOOKUP(N1046,setup!$A$8:$H$58,5),VLOOKUP(N1046,setup!$A$8:$H$58,6),VLOOKUP(N1046,setup!$A$8:$H$58,7), VLOOKUP(0,setup!$A$8:$H$58,2),VLOOKUP(0,setup!$A$8:$H$58,5),VLOOKUP(N1046,setup!$A$8:$H$58,8))</f>
        <v xml:space="preserve">            } else {</v>
      </c>
    </row>
    <row r="1047" spans="1:15" x14ac:dyDescent="0.25">
      <c r="A1047" s="29" t="s">
        <v>734</v>
      </c>
      <c r="N1047">
        <f t="shared" si="1"/>
        <v>4</v>
      </c>
      <c r="O1047" s="7" t="str">
        <f ca="1">getCodigoBackend(N1047,A1047,VLOOKUP(N1047,setup!$A$8:$H$58,2),VLOOKUP(N1047,setup!$A$8:$H$58,3),VLOOKUP(N1047,setup!$A$8:$H$58,4),VLOOKUP(N1047,setup!$A$8:$H$58,5),VLOOKUP(N1047,setup!$A$8:$H$58,6),VLOOKUP(N1047,setup!$A$8:$H$58,7), VLOOKUP(0,setup!$A$8:$H$58,2),VLOOKUP(0,setup!$A$8:$H$58,5),VLOOKUP(N1047,setup!$A$8:$H$58,8))</f>
        <v xml:space="preserve">                $daofactory-&gt;rollback();</v>
      </c>
    </row>
    <row r="1048" spans="1:15" x14ac:dyDescent="0.25">
      <c r="A1048" s="29" t="s">
        <v>505</v>
      </c>
      <c r="N1048">
        <f t="shared" si="1"/>
        <v>4</v>
      </c>
      <c r="O1048" s="7" t="str">
        <f ca="1">getCodigoBackend(N1048,A1048,VLOOKUP(N1048,setup!$A$8:$H$58,2),VLOOKUP(N1048,setup!$A$8:$H$58,3),VLOOKUP(N1048,setup!$A$8:$H$58,4),VLOOKUP(N1048,setup!$A$8:$H$58,5),VLOOKUP(N1048,setup!$A$8:$H$58,6),VLOOKUP(N1048,setup!$A$8:$H$58,7), VLOOKUP(0,setup!$A$8:$H$58,2),VLOOKUP(0,setup!$A$8:$H$58,5),VLOOKUP(N1048,setup!$A$8:$H$58,8))</f>
        <v xml:space="preserve">            }</v>
      </c>
    </row>
    <row r="1049" spans="1:15" x14ac:dyDescent="0.25">
      <c r="A1049" s="29" t="s">
        <v>730</v>
      </c>
      <c r="N1049">
        <f t="shared" si="1"/>
        <v>4</v>
      </c>
      <c r="O1049" s="7" t="str">
        <f ca="1">getCodigoBackend(N1049,A1049,VLOOKUP(N1049,setup!$A$8:$H$58,2),VLOOKUP(N1049,setup!$A$8:$H$58,3),VLOOKUP(N1049,setup!$A$8:$H$58,4),VLOOKUP(N1049,setup!$A$8:$H$58,5),VLOOKUP(N1049,setup!$A$8:$H$58,6),VLOOKUP(N1049,setup!$A$8:$H$58,7), VLOOKUP(0,setup!$A$8:$H$58,2),VLOOKUP(0,setup!$A$8:$H$58,5),VLOOKUP(N1049,setup!$A$8:$H$58,8))</f>
        <v xml:space="preserve">            </v>
      </c>
    </row>
    <row r="1050" spans="1:15" x14ac:dyDescent="0.25">
      <c r="A1050" s="29" t="s">
        <v>735</v>
      </c>
      <c r="N1050">
        <f t="shared" si="1"/>
        <v>4</v>
      </c>
      <c r="O1050" s="7" t="str">
        <f ca="1">getCodigoBackend(N1050,A1050,VLOOKUP(N1050,setup!$A$8:$H$58,2),VLOOKUP(N1050,setup!$A$8:$H$58,3),VLOOKUP(N1050,setup!$A$8:$H$58,4),VLOOKUP(N1050,setup!$A$8:$H$58,5),VLOOKUP(N1050,setup!$A$8:$H$58,6),VLOOKUP(N1050,setup!$A$8:$H$58,7), VLOOKUP(0,setup!$A$8:$H$58,2),VLOOKUP(0,setup!$A$8:$H$58,5),VLOOKUP(N1050,setup!$A$8:$H$58,8))</f>
        <v xml:space="preserve">        } catch (Exception $e) {</v>
      </c>
    </row>
    <row r="1051" spans="1:15" x14ac:dyDescent="0.25">
      <c r="A1051" s="29" t="s">
        <v>736</v>
      </c>
      <c r="N1051">
        <f t="shared" si="1"/>
        <v>4</v>
      </c>
      <c r="O1051" s="7" t="str">
        <f ca="1">getCodigoBackend(N1051,A1051,VLOOKUP(N1051,setup!$A$8:$H$58,2),VLOOKUP(N1051,setup!$A$8:$H$58,3),VLOOKUP(N1051,setup!$A$8:$H$58,4),VLOOKUP(N1051,setup!$A$8:$H$58,5),VLOOKUP(N1051,setup!$A$8:$H$58,6),VLOOKUP(N1051,setup!$A$8:$H$58,7), VLOOKUP(0,setup!$A$8:$H$58,2),VLOOKUP(0,setup!$A$8:$H$58,5),VLOOKUP(N1051,setup!$A$8:$H$58,8))</f>
        <v xml:space="preserve">            // rollback na transação</v>
      </c>
    </row>
    <row r="1052" spans="1:15" x14ac:dyDescent="0.25">
      <c r="A1052" s="29" t="s">
        <v>737</v>
      </c>
      <c r="N1052">
        <f t="shared" si="1"/>
        <v>4</v>
      </c>
      <c r="O1052" s="7" t="str">
        <f ca="1">getCodigoBackend(N1052,A1052,VLOOKUP(N1052,setup!$A$8:$H$58,2),VLOOKUP(N1052,setup!$A$8:$H$58,3),VLOOKUP(N1052,setup!$A$8:$H$58,4),VLOOKUP(N1052,setup!$A$8:$H$58,5),VLOOKUP(N1052,setup!$A$8:$H$58,6),VLOOKUP(N1052,setup!$A$8:$H$58,7), VLOOKUP(0,setup!$A$8:$H$58,2),VLOOKUP(0,setup!$A$8:$H$58,5),VLOOKUP(N1052,setup!$A$8:$H$58,8))</f>
        <v xml:space="preserve">            $daofactory-&gt;rollback();</v>
      </c>
    </row>
    <row r="1053" spans="1:15" x14ac:dyDescent="0.25">
      <c r="A1053" s="29"/>
      <c r="N1053">
        <f t="shared" si="1"/>
        <v>4</v>
      </c>
      <c r="O1053" s="7" t="str">
        <f ca="1">getCodigoBackend(N1053,A1053,VLOOKUP(N1053,setup!$A$8:$H$58,2),VLOOKUP(N1053,setup!$A$8:$H$58,3),VLOOKUP(N1053,setup!$A$8:$H$58,4),VLOOKUP(N1053,setup!$A$8:$H$58,5),VLOOKUP(N1053,setup!$A$8:$H$58,6),VLOOKUP(N1053,setup!$A$8:$H$58,7), VLOOKUP(0,setup!$A$8:$H$58,2),VLOOKUP(0,setup!$A$8:$H$58,5),VLOOKUP(N1053,setup!$A$8:$H$58,8))</f>
        <v/>
      </c>
    </row>
    <row r="1054" spans="1:15" x14ac:dyDescent="0.25">
      <c r="A1054" s="29" t="s">
        <v>738</v>
      </c>
      <c r="N1054">
        <f t="shared" si="1"/>
        <v>4</v>
      </c>
      <c r="O1054" s="7" t="str">
        <f ca="1">getCodigoBackend(N1054,A1054,VLOOKUP(N1054,setup!$A$8:$H$58,2),VLOOKUP(N1054,setup!$A$8:$H$58,3),VLOOKUP(N1054,setup!$A$8:$H$58,4),VLOOKUP(N1054,setup!$A$8:$H$58,5),VLOOKUP(N1054,setup!$A$8:$H$58,6),VLOOKUP(N1054,setup!$A$8:$H$58,7), VLOOKUP(0,setup!$A$8:$H$58,2),VLOOKUP(0,setup!$A$8:$H$58,5),VLOOKUP(N1054,setup!$A$8:$H$58,8))</f>
        <v xml:space="preserve">        } finally {</v>
      </c>
    </row>
    <row r="1055" spans="1:15" x14ac:dyDescent="0.25">
      <c r="A1055" s="29" t="s">
        <v>739</v>
      </c>
      <c r="N1055">
        <f t="shared" si="1"/>
        <v>4</v>
      </c>
      <c r="O1055" s="7" t="str">
        <f ca="1">getCodigoBackend(N1055,A1055,VLOOKUP(N1055,setup!$A$8:$H$58,2),VLOOKUP(N1055,setup!$A$8:$H$58,3),VLOOKUP(N1055,setup!$A$8:$H$58,4),VLOOKUP(N1055,setup!$A$8:$H$58,5),VLOOKUP(N1055,setup!$A$8:$H$58,6),VLOOKUP(N1055,setup!$A$8:$H$58,7), VLOOKUP(0,setup!$A$8:$H$58,2),VLOOKUP(0,setup!$A$8:$H$58,5),VLOOKUP(N1055,setup!$A$8:$H$58,8))</f>
        <v xml:space="preserve">            try {</v>
      </c>
    </row>
    <row r="1056" spans="1:15" x14ac:dyDescent="0.25">
      <c r="A1056" s="29" t="s">
        <v>740</v>
      </c>
      <c r="N1056">
        <f t="shared" si="1"/>
        <v>4</v>
      </c>
      <c r="O1056" s="7" t="str">
        <f ca="1">getCodigoBackend(N1056,A1056,VLOOKUP(N1056,setup!$A$8:$H$58,2),VLOOKUP(N1056,setup!$A$8:$H$58,3),VLOOKUP(N1056,setup!$A$8:$H$58,4),VLOOKUP(N1056,setup!$A$8:$H$58,5),VLOOKUP(N1056,setup!$A$8:$H$58,6),VLOOKUP(N1056,setup!$A$8:$H$58,7), VLOOKUP(0,setup!$A$8:$H$58,2),VLOOKUP(0,setup!$A$8:$H$58,5),VLOOKUP(N1056,setup!$A$8:$H$58,8))</f>
        <v xml:space="preserve">                $daofactory-&gt;close();</v>
      </c>
    </row>
    <row r="1057" spans="1:15" x14ac:dyDescent="0.25">
      <c r="A1057" s="29" t="s">
        <v>741</v>
      </c>
      <c r="N1057">
        <f t="shared" si="1"/>
        <v>4</v>
      </c>
      <c r="O1057" s="7" t="str">
        <f ca="1">getCodigoBackend(N1057,A1057,VLOOKUP(N1057,setup!$A$8:$H$58,2),VLOOKUP(N1057,setup!$A$8:$H$58,3),VLOOKUP(N1057,setup!$A$8:$H$58,4),VLOOKUP(N1057,setup!$A$8:$H$58,5),VLOOKUP(N1057,setup!$A$8:$H$58,6),VLOOKUP(N1057,setup!$A$8:$H$58,7), VLOOKUP(0,setup!$A$8:$H$58,2),VLOOKUP(0,setup!$A$8:$H$58,5),VLOOKUP(N1057,setup!$A$8:$H$58,8))</f>
        <v xml:space="preserve">            } catch (Exception $e) {</v>
      </c>
    </row>
    <row r="1058" spans="1:15" x14ac:dyDescent="0.25">
      <c r="A1058" s="29" t="s">
        <v>742</v>
      </c>
      <c r="N1058">
        <f t="shared" si="1"/>
        <v>4</v>
      </c>
      <c r="O1058" s="7" t="str">
        <f ca="1">getCodigoBackend(N1058,A1058,VLOOKUP(N1058,setup!$A$8:$H$58,2),VLOOKUP(N1058,setup!$A$8:$H$58,3),VLOOKUP(N1058,setup!$A$8:$H$58,4),VLOOKUP(N1058,setup!$A$8:$H$58,5),VLOOKUP(N1058,setup!$A$8:$H$58,6),VLOOKUP(N1058,setup!$A$8:$H$58,7), VLOOKUP(0,setup!$A$8:$H$58,2),VLOOKUP(0,setup!$A$8:$H$58,5),VLOOKUP(N1058,setup!$A$8:$H$58,8))</f>
        <v xml:space="preserve">                // faz algo</v>
      </c>
    </row>
    <row r="1059" spans="1:15" x14ac:dyDescent="0.25">
      <c r="A1059" s="29" t="s">
        <v>505</v>
      </c>
      <c r="N1059">
        <f t="shared" si="1"/>
        <v>4</v>
      </c>
      <c r="O1059" s="7" t="str">
        <f ca="1">getCodigoBackend(N1059,A1059,VLOOKUP(N1059,setup!$A$8:$H$58,2),VLOOKUP(N1059,setup!$A$8:$H$58,3),VLOOKUP(N1059,setup!$A$8:$H$58,4),VLOOKUP(N1059,setup!$A$8:$H$58,5),VLOOKUP(N1059,setup!$A$8:$H$58,6),VLOOKUP(N1059,setup!$A$8:$H$58,7), VLOOKUP(0,setup!$A$8:$H$58,2),VLOOKUP(0,setup!$A$8:$H$58,5),VLOOKUP(N1059,setup!$A$8:$H$58,8))</f>
        <v xml:space="preserve">            }</v>
      </c>
    </row>
    <row r="1060" spans="1:15" x14ac:dyDescent="0.25">
      <c r="A1060" s="29" t="s">
        <v>157</v>
      </c>
      <c r="N1060">
        <f t="shared" si="1"/>
        <v>4</v>
      </c>
      <c r="O1060" s="7" t="str">
        <f ca="1">getCodigoBackend(N1060,A1060,VLOOKUP(N1060,setup!$A$8:$H$58,2),VLOOKUP(N1060,setup!$A$8:$H$58,3),VLOOKUP(N1060,setup!$A$8:$H$58,4),VLOOKUP(N1060,setup!$A$8:$H$58,5),VLOOKUP(N1060,setup!$A$8:$H$58,6),VLOOKUP(N1060,setup!$A$8:$H$58,7), VLOOKUP(0,setup!$A$8:$H$58,2),VLOOKUP(0,setup!$A$8:$H$58,5),VLOOKUP(N1060,setup!$A$8:$H$58,8))</f>
        <v xml:space="preserve">        }</v>
      </c>
    </row>
    <row r="1061" spans="1:15" x14ac:dyDescent="0.25">
      <c r="A1061" s="29"/>
      <c r="N1061">
        <f t="shared" si="1"/>
        <v>4</v>
      </c>
      <c r="O1061" s="7" t="str">
        <f ca="1">getCodigoBackend(N1061,A1061,VLOOKUP(N1061,setup!$A$8:$H$58,2),VLOOKUP(N1061,setup!$A$8:$H$58,3),VLOOKUP(N1061,setup!$A$8:$H$58,4),VLOOKUP(N1061,setup!$A$8:$H$58,5),VLOOKUP(N1061,setup!$A$8:$H$58,6),VLOOKUP(N1061,setup!$A$8:$H$58,7), VLOOKUP(0,setup!$A$8:$H$58,2),VLOOKUP(0,setup!$A$8:$H$58,5),VLOOKUP(N1061,setup!$A$8:$H$58,8))</f>
        <v/>
      </c>
    </row>
    <row r="1062" spans="1:15" x14ac:dyDescent="0.25">
      <c r="A1062" s="29" t="s">
        <v>743</v>
      </c>
      <c r="N1062">
        <f t="shared" si="1"/>
        <v>4</v>
      </c>
      <c r="O1062" s="7" t="str">
        <f ca="1">getCodigoBackend(N1062,A1062,VLOOKUP(N1062,setup!$A$8:$H$58,2),VLOOKUP(N1062,setup!$A$8:$H$58,3),VLOOKUP(N1062,setup!$A$8:$H$58,4),VLOOKUP(N1062,setup!$A$8:$H$58,5),VLOOKUP(N1062,setup!$A$8:$H$58,6),VLOOKUP(N1062,setup!$A$8:$H$58,7), VLOOKUP(0,setup!$A$8:$H$58,2),VLOOKUP(0,setup!$A$8:$H$58,5),VLOOKUP(N1062,setup!$A$8:$H$58,8))</f>
        <v xml:space="preserve">        return $retorno;</v>
      </c>
    </row>
    <row r="1063" spans="1:15" x14ac:dyDescent="0.25">
      <c r="A1063" s="29" t="s">
        <v>406</v>
      </c>
      <c r="N1063">
        <f t="shared" si="1"/>
        <v>4</v>
      </c>
      <c r="O1063" s="7" t="str">
        <f ca="1">getCodigoBackend(N1063,A1063,VLOOKUP(N1063,setup!$A$8:$H$58,2),VLOOKUP(N1063,setup!$A$8:$H$58,3),VLOOKUP(N1063,setup!$A$8:$H$58,4),VLOOKUP(N1063,setup!$A$8:$H$58,5),VLOOKUP(N1063,setup!$A$8:$H$58,6),VLOOKUP(N1063,setup!$A$8:$H$58,7), VLOOKUP(0,setup!$A$8:$H$58,2),VLOOKUP(0,setup!$A$8:$H$58,5),VLOOKUP(N1063,setup!$A$8:$H$58,8))</f>
        <v xml:space="preserve">    }</v>
      </c>
    </row>
    <row r="1064" spans="1:15" x14ac:dyDescent="0.25">
      <c r="A1064" s="6"/>
      <c r="O1064" s="7"/>
    </row>
    <row r="1065" spans="1:15" x14ac:dyDescent="0.25">
      <c r="A1065" s="4" t="s">
        <v>19</v>
      </c>
      <c r="N1065">
        <f>N1063+1</f>
        <v>5</v>
      </c>
      <c r="O1065" s="7" t="str">
        <f ca="1">getCodigoBackend(N1065,A1065,VLOOKUP(N1065,setup!$A$8:$H$58,2),VLOOKUP(N1065,setup!$A$8:$H$58,3),VLOOKUP(N1065,setup!$A$8:$H$58,4),VLOOKUP(N1065,setup!$A$8:$H$58,5),VLOOKUP(N1065,setup!$A$8:$H$58,6),VLOOKUP(N1065,setup!$A$8:$H$58,7), VLOOKUP(0,setup!$A$8:$H$58,2),VLOOKUP(0,setup!$A$8:$H$58,5),VLOOKUP(N1065,setup!$A$8:$H$58,8))</f>
        <v>/**</v>
      </c>
    </row>
    <row r="1066" spans="1:15" x14ac:dyDescent="0.25">
      <c r="A1066" s="4" t="s">
        <v>20</v>
      </c>
      <c r="N1066">
        <f>N1065</f>
        <v>5</v>
      </c>
      <c r="O1066" s="7" t="str">
        <f ca="1">getCodigoBackend(N1066,A1066,VLOOKUP(N1066,setup!$A$8:$H$58,2),VLOOKUP(N1066,setup!$A$8:$H$58,3),VLOOKUP(N1066,setup!$A$8:$H$58,4),VLOOKUP(N1066,setup!$A$8:$H$58,5),VLOOKUP(N1066,setup!$A$8:$H$58,6),VLOOKUP(N1066,setup!$A$8:$H$58,7), VLOOKUP(0,setup!$A$8:$H$58,2),VLOOKUP(0,setup!$A$8:$H$58,5),VLOOKUP(N1066,setup!$A$8:$H$58,8))</f>
        <v>*</v>
      </c>
    </row>
    <row r="1067" spans="1:15" x14ac:dyDescent="0.25">
      <c r="A1067" s="4" t="s">
        <v>744</v>
      </c>
      <c r="N1067">
        <f t="shared" ref="N1067:N1108" si="2">N1066</f>
        <v>5</v>
      </c>
      <c r="O1067" s="7" t="str">
        <f ca="1">getCodigoBackend(N1067,A1067,VLOOKUP(N1067,setup!$A$8:$H$58,2),VLOOKUP(N1067,setup!$A$8:$H$58,3),VLOOKUP(N1067,setup!$A$8:$H$58,4),VLOOKUP(N1067,setup!$A$8:$H$58,5),VLOOKUP(N1067,setup!$A$8:$H$58,6),VLOOKUP(N1067,setup!$A$8:$H$58,7), VLOOKUP(0,setup!$A$8:$H$58,2),VLOOKUP(0,setup!$A$8:$H$58,5),VLOOKUP(N1067,setup!$A$8:$H$58,8))</f>
        <v>* atualizarValorresgatePorPK() - Usado para invocar a classe de negócio CampanhaCashbackResgatePixBusinessImpl de forma geral</v>
      </c>
    </row>
    <row r="1068" spans="1:15" x14ac:dyDescent="0.25">
      <c r="A1068" s="4" t="s">
        <v>745</v>
      </c>
      <c r="N1068">
        <f t="shared" si="2"/>
        <v>5</v>
      </c>
      <c r="O1068" s="7" t="str">
        <f ca="1">getCodigoBackend(N1068,A1068,VLOOKUP(N1068,setup!$A$8:$H$58,2),VLOOKUP(N1068,setup!$A$8:$H$58,3),VLOOKUP(N1068,setup!$A$8:$H$58,4),VLOOKUP(N1068,setup!$A$8:$H$58,5),VLOOKUP(N1068,setup!$A$8:$H$58,6),VLOOKUP(N1068,setup!$A$8:$H$58,7), VLOOKUP(0,setup!$A$8:$H$58,2),VLOOKUP(0,setup!$A$8:$H$58,5),VLOOKUP(N1068,setup!$A$8:$H$58,8))</f>
        <v>* realizar uma atualização de Valor Pretendido a Resgatar diretamente na tabela CAMPANHA_CASHBACK_RESGATE_PIX campo CCRP_VL_RESGATE</v>
      </c>
    </row>
    <row r="1069" spans="1:15" x14ac:dyDescent="0.25">
      <c r="A1069" s="4" t="s">
        <v>346</v>
      </c>
      <c r="N1069">
        <f t="shared" si="2"/>
        <v>5</v>
      </c>
      <c r="O1069" s="7" t="str">
        <f ca="1">getCodigoBackend(N1069,A1069,VLOOKUP(N1069,setup!$A$8:$H$58,2),VLOOKUP(N1069,setup!$A$8:$H$58,3),VLOOKUP(N1069,setup!$A$8:$H$58,4),VLOOKUP(N1069,setup!$A$8:$H$58,5),VLOOKUP(N1069,setup!$A$8:$H$58,6),VLOOKUP(N1069,setup!$A$8:$H$58,7), VLOOKUP(0,setup!$A$8:$H$58,2),VLOOKUP(0,setup!$A$8:$H$58,5),VLOOKUP(N1069,setup!$A$8:$H$58,8))</f>
        <v>* @param $id</v>
      </c>
    </row>
    <row r="1070" spans="1:15" x14ac:dyDescent="0.25">
      <c r="A1070" s="4" t="s">
        <v>723</v>
      </c>
      <c r="N1070">
        <f t="shared" si="2"/>
        <v>5</v>
      </c>
      <c r="O1070" s="7" t="str">
        <f ca="1">getCodigoBackend(N1070,A1070,VLOOKUP(N1070,setup!$A$8:$H$58,2),VLOOKUP(N1070,setup!$A$8:$H$58,3),VLOOKUP(N1070,setup!$A$8:$H$58,4),VLOOKUP(N1070,setup!$A$8:$H$58,5),VLOOKUP(N1070,setup!$A$8:$H$58,6),VLOOKUP(N1070,setup!$A$8:$H$58,7), VLOOKUP(0,setup!$A$8:$H$58,2),VLOOKUP(0,setup!$A$8:$H$58,5),VLOOKUP(N1070,setup!$A$8:$H$58,8))</f>
        <v>* @param $valorResgate</v>
      </c>
    </row>
    <row r="1071" spans="1:15" x14ac:dyDescent="0.25">
      <c r="A1071" s="4" t="s">
        <v>347</v>
      </c>
      <c r="N1071">
        <f t="shared" si="2"/>
        <v>5</v>
      </c>
      <c r="O1071" s="7" t="str">
        <f ca="1">getCodigoBackend(N1071,A1071,VLOOKUP(N1071,setup!$A$8:$H$58,2),VLOOKUP(N1071,setup!$A$8:$H$58,3),VLOOKUP(N1071,setup!$A$8:$H$58,4),VLOOKUP(N1071,setup!$A$8:$H$58,5),VLOOKUP(N1071,setup!$A$8:$H$58,6),VLOOKUP(N1071,setup!$A$8:$H$58,7), VLOOKUP(0,setup!$A$8:$H$58,2),VLOOKUP(0,setup!$A$8:$H$58,5),VLOOKUP(N1071,setup!$A$8:$H$58,8))</f>
        <v>* @return CampanhaCashbackResgatePixDTO</v>
      </c>
    </row>
    <row r="1072" spans="1:15" x14ac:dyDescent="0.25">
      <c r="A1072" s="4" t="s">
        <v>20</v>
      </c>
      <c r="N1072">
        <f t="shared" si="2"/>
        <v>5</v>
      </c>
      <c r="O1072" s="7" t="str">
        <f ca="1">getCodigoBackend(N1072,A1072,VLOOKUP(N1072,setup!$A$8:$H$58,2),VLOOKUP(N1072,setup!$A$8:$H$58,3),VLOOKUP(N1072,setup!$A$8:$H$58,4),VLOOKUP(N1072,setup!$A$8:$H$58,5),VLOOKUP(N1072,setup!$A$8:$H$58,6),VLOOKUP(N1072,setup!$A$8:$H$58,7), VLOOKUP(0,setup!$A$8:$H$58,2),VLOOKUP(0,setup!$A$8:$H$58,5),VLOOKUP(N1072,setup!$A$8:$H$58,8))</f>
        <v>*</v>
      </c>
    </row>
    <row r="1073" spans="1:15" x14ac:dyDescent="0.25">
      <c r="A1073" s="4" t="s">
        <v>75</v>
      </c>
      <c r="N1073">
        <f t="shared" si="2"/>
        <v>5</v>
      </c>
      <c r="O1073" s="7" t="str">
        <f ca="1">getCodigoBackend(N1073,A1073,VLOOKUP(N1073,setup!$A$8:$H$58,2),VLOOKUP(N1073,setup!$A$8:$H$58,3),VLOOKUP(N1073,setup!$A$8:$H$58,4),VLOOKUP(N1073,setup!$A$8:$H$58,5),VLOOKUP(N1073,setup!$A$8:$H$58,6),VLOOKUP(N1073,setup!$A$8:$H$58,7), VLOOKUP(0,setup!$A$8:$H$58,2),VLOOKUP(0,setup!$A$8:$H$58,5),VLOOKUP(N1073,setup!$A$8:$H$58,8))</f>
        <v xml:space="preserve">* </v>
      </c>
    </row>
    <row r="1074" spans="1:15" x14ac:dyDescent="0.25">
      <c r="A1074" s="4" t="s">
        <v>21</v>
      </c>
      <c r="N1074">
        <f t="shared" si="2"/>
        <v>5</v>
      </c>
      <c r="O1074" s="7" t="str">
        <f ca="1">getCodigoBackend(N1074,A1074,VLOOKUP(N1074,setup!$A$8:$H$58,2),VLOOKUP(N1074,setup!$A$8:$H$58,3),VLOOKUP(N1074,setup!$A$8:$H$58,4),VLOOKUP(N1074,setup!$A$8:$H$58,5),VLOOKUP(N1074,setup!$A$8:$H$58,6),VLOOKUP(N1074,setup!$A$8:$H$58,7), VLOOKUP(0,setup!$A$8:$H$58,2),VLOOKUP(0,setup!$A$8:$H$58,5),VLOOKUP(N1074,setup!$A$8:$H$58,8))</f>
        <v>*/</v>
      </c>
    </row>
    <row r="1075" spans="1:15" x14ac:dyDescent="0.25">
      <c r="A1075" s="6"/>
      <c r="N1075">
        <f t="shared" si="2"/>
        <v>5</v>
      </c>
      <c r="O1075" s="7" t="str">
        <f ca="1">getCodigoBackend(N1075,A1075,VLOOKUP(N1075,setup!$A$8:$H$58,2),VLOOKUP(N1075,setup!$A$8:$H$58,3),VLOOKUP(N1075,setup!$A$8:$H$58,4),VLOOKUP(N1075,setup!$A$8:$H$58,5),VLOOKUP(N1075,setup!$A$8:$H$58,6),VLOOKUP(N1075,setup!$A$8:$H$58,7), VLOOKUP(0,setup!$A$8:$H$58,2),VLOOKUP(0,setup!$A$8:$H$58,5),VLOOKUP(N1075,setup!$A$8:$H$58,8))</f>
        <v/>
      </c>
    </row>
    <row r="1076" spans="1:15" x14ac:dyDescent="0.25">
      <c r="A1076" s="29" t="s">
        <v>782</v>
      </c>
      <c r="N1076">
        <f t="shared" si="2"/>
        <v>5</v>
      </c>
      <c r="O1076" s="7" t="str">
        <f ca="1">getCodigoBackend(N1076,A1076,VLOOKUP(N1076,setup!$A$8:$H$58,2),VLOOKUP(N1076,setup!$A$8:$H$58,3),VLOOKUP(N1076,setup!$A$8:$H$58,4),VLOOKUP(N1076,setup!$A$8:$H$58,5),VLOOKUP(N1076,setup!$A$8:$H$58,6),VLOOKUP(N1076,setup!$A$8:$H$58,7), VLOOKUP(0,setup!$A$8:$H$58,2),VLOOKUP(0,setup!$A$8:$H$58,5),VLOOKUP(N1076,setup!$A$8:$H$58,8))</f>
        <v xml:space="preserve">    public function atualizarValorresgatePorPK($valorResgate,$id)</v>
      </c>
    </row>
    <row r="1077" spans="1:15" x14ac:dyDescent="0.25">
      <c r="A1077" s="29" t="s">
        <v>379</v>
      </c>
      <c r="N1077">
        <f t="shared" si="2"/>
        <v>5</v>
      </c>
      <c r="O1077" s="7" t="str">
        <f ca="1">getCodigoBackend(N1077,A1077,VLOOKUP(N1077,setup!$A$8:$H$58,2),VLOOKUP(N1077,setup!$A$8:$H$58,3),VLOOKUP(N1077,setup!$A$8:$H$58,4),VLOOKUP(N1077,setup!$A$8:$H$58,5),VLOOKUP(N1077,setup!$A$8:$H$58,6),VLOOKUP(N1077,setup!$A$8:$H$58,7), VLOOKUP(0,setup!$A$8:$H$58,2),VLOOKUP(0,setup!$A$8:$H$58,5),VLOOKUP(N1077,setup!$A$8:$H$58,8))</f>
        <v xml:space="preserve">    {</v>
      </c>
    </row>
    <row r="1078" spans="1:15" x14ac:dyDescent="0.25">
      <c r="A1078" s="29" t="s">
        <v>724</v>
      </c>
      <c r="N1078">
        <f t="shared" si="2"/>
        <v>5</v>
      </c>
      <c r="O1078" s="7" t="str">
        <f ca="1">getCodigoBackend(N1078,A1078,VLOOKUP(N1078,setup!$A$8:$H$58,2),VLOOKUP(N1078,setup!$A$8:$H$58,3),VLOOKUP(N1078,setup!$A$8:$H$58,4),VLOOKUP(N1078,setup!$A$8:$H$58,5),VLOOKUP(N1078,setup!$A$8:$H$58,6),VLOOKUP(N1078,setup!$A$8:$H$58,7), VLOOKUP(0,setup!$A$8:$H$58,2),VLOOKUP(0,setup!$A$8:$H$58,5),VLOOKUP(N1078,setup!$A$8:$H$58,8))</f>
        <v xml:space="preserve">        $daofactory = NULL;</v>
      </c>
    </row>
    <row r="1079" spans="1:15" x14ac:dyDescent="0.25">
      <c r="A1079" s="29" t="s">
        <v>725</v>
      </c>
      <c r="N1079">
        <f t="shared" si="2"/>
        <v>5</v>
      </c>
      <c r="O1079" s="7" t="str">
        <f ca="1">getCodigoBackend(N1079,A1079,VLOOKUP(N1079,setup!$A$8:$H$58,2),VLOOKUP(N1079,setup!$A$8:$H$58,3),VLOOKUP(N1079,setup!$A$8:$H$58,4),VLOOKUP(N1079,setup!$A$8:$H$58,5),VLOOKUP(N1079,setup!$A$8:$H$58,6),VLOOKUP(N1079,setup!$A$8:$H$58,7), VLOOKUP(0,setup!$A$8:$H$58,2),VLOOKUP(0,setup!$A$8:$H$58,5),VLOOKUP(N1079,setup!$A$8:$H$58,8))</f>
        <v xml:space="preserve">        $retorno = NULL;</v>
      </c>
    </row>
    <row r="1080" spans="1:15" x14ac:dyDescent="0.25">
      <c r="A1080" s="29" t="s">
        <v>726</v>
      </c>
      <c r="N1080">
        <f t="shared" si="2"/>
        <v>5</v>
      </c>
      <c r="O1080" s="7" t="str">
        <f ca="1">getCodigoBackend(N1080,A1080,VLOOKUP(N1080,setup!$A$8:$H$58,2),VLOOKUP(N1080,setup!$A$8:$H$58,3),VLOOKUP(N1080,setup!$A$8:$H$58,4),VLOOKUP(N1080,setup!$A$8:$H$58,5),VLOOKUP(N1080,setup!$A$8:$H$58,6),VLOOKUP(N1080,setup!$A$8:$H$58,7), VLOOKUP(0,setup!$A$8:$H$58,2),VLOOKUP(0,setup!$A$8:$H$58,5),VLOOKUP(N1080,setup!$A$8:$H$58,8))</f>
        <v xml:space="preserve">        try {</v>
      </c>
    </row>
    <row r="1081" spans="1:15" x14ac:dyDescent="0.25">
      <c r="A1081" s="29" t="s">
        <v>727</v>
      </c>
      <c r="N1081">
        <f t="shared" si="2"/>
        <v>5</v>
      </c>
      <c r="O1081" s="7" t="str">
        <f ca="1">getCodigoBackend(N1081,A1081,VLOOKUP(N1081,setup!$A$8:$H$58,2),VLOOKUP(N1081,setup!$A$8:$H$58,3),VLOOKUP(N1081,setup!$A$8:$H$58,4),VLOOKUP(N1081,setup!$A$8:$H$58,5),VLOOKUP(N1081,setup!$A$8:$H$58,6),VLOOKUP(N1081,setup!$A$8:$H$58,7), VLOOKUP(0,setup!$A$8:$H$58,2),VLOOKUP(0,setup!$A$8:$H$58,5),VLOOKUP(N1081,setup!$A$8:$H$58,8))</f>
        <v xml:space="preserve">            $daofactory = DAOFactory::getDAOFactory();</v>
      </c>
    </row>
    <row r="1082" spans="1:15" x14ac:dyDescent="0.25">
      <c r="A1082" s="29" t="s">
        <v>728</v>
      </c>
      <c r="N1082">
        <f t="shared" si="2"/>
        <v>5</v>
      </c>
      <c r="O1082" s="7" t="str">
        <f ca="1">getCodigoBackend(N1082,A1082,VLOOKUP(N1082,setup!$A$8:$H$58,2),VLOOKUP(N1082,setup!$A$8:$H$58,3),VLOOKUP(N1082,setup!$A$8:$H$58,4),VLOOKUP(N1082,setup!$A$8:$H$58,5),VLOOKUP(N1082,setup!$A$8:$H$58,6),VLOOKUP(N1082,setup!$A$8:$H$58,7), VLOOKUP(0,setup!$A$8:$H$58,2),VLOOKUP(0,setup!$A$8:$H$58,5),VLOOKUP(N1082,setup!$A$8:$H$58,8))</f>
        <v xml:space="preserve">            $daofactory-&gt;open();</v>
      </c>
    </row>
    <row r="1083" spans="1:15" x14ac:dyDescent="0.25">
      <c r="A1083" s="29" t="s">
        <v>729</v>
      </c>
      <c r="N1083">
        <f t="shared" si="2"/>
        <v>5</v>
      </c>
      <c r="O1083" s="7" t="str">
        <f ca="1">getCodigoBackend(N1083,A1083,VLOOKUP(N1083,setup!$A$8:$H$58,2),VLOOKUP(N1083,setup!$A$8:$H$58,3),VLOOKUP(N1083,setup!$A$8:$H$58,4),VLOOKUP(N1083,setup!$A$8:$H$58,5),VLOOKUP(N1083,setup!$A$8:$H$58,6),VLOOKUP(N1083,setup!$A$8:$H$58,7), VLOOKUP(0,setup!$A$8:$H$58,2),VLOOKUP(0,setup!$A$8:$H$58,5),VLOOKUP(N1083,setup!$A$8:$H$58,8))</f>
        <v xml:space="preserve">            $daofactory-&gt;beginTransaction();</v>
      </c>
    </row>
    <row r="1084" spans="1:15" x14ac:dyDescent="0.25">
      <c r="A1084" s="29" t="s">
        <v>730</v>
      </c>
      <c r="N1084">
        <f t="shared" si="2"/>
        <v>5</v>
      </c>
      <c r="O1084" s="7" t="str">
        <f ca="1">getCodigoBackend(N1084,A1084,VLOOKUP(N1084,setup!$A$8:$H$58,2),VLOOKUP(N1084,setup!$A$8:$H$58,3),VLOOKUP(N1084,setup!$A$8:$H$58,4),VLOOKUP(N1084,setup!$A$8:$H$58,5),VLOOKUP(N1084,setup!$A$8:$H$58,6),VLOOKUP(N1084,setup!$A$8:$H$58,7), VLOOKUP(0,setup!$A$8:$H$58,2),VLOOKUP(0,setup!$A$8:$H$58,5),VLOOKUP(N1084,setup!$A$8:$H$58,8))</f>
        <v xml:space="preserve">            </v>
      </c>
    </row>
    <row r="1085" spans="1:15" x14ac:dyDescent="0.25">
      <c r="A1085" s="29" t="s">
        <v>746</v>
      </c>
      <c r="N1085">
        <f t="shared" si="2"/>
        <v>5</v>
      </c>
      <c r="O1085" s="7" t="str">
        <f ca="1">getCodigoBackend(N1085,A1085,VLOOKUP(N1085,setup!$A$8:$H$58,2),VLOOKUP(N1085,setup!$A$8:$H$58,3),VLOOKUP(N1085,setup!$A$8:$H$58,4),VLOOKUP(N1085,setup!$A$8:$H$58,5),VLOOKUP(N1085,setup!$A$8:$H$58,6),VLOOKUP(N1085,setup!$A$8:$H$58,7), VLOOKUP(0,setup!$A$8:$H$58,2),VLOOKUP(0,setup!$A$8:$H$58,5),VLOOKUP(N1085,setup!$A$8:$H$58,8))</f>
        <v xml:space="preserve">            // atualizar registro por meio do método CampanhaCashbackResgatePixBusinessImpl::atualizarValorresgatePorPK($valorResgate,$id)</v>
      </c>
    </row>
    <row r="1086" spans="1:15" x14ac:dyDescent="0.25">
      <c r="A1086" s="29" t="s">
        <v>747</v>
      </c>
      <c r="N1086">
        <f t="shared" si="2"/>
        <v>5</v>
      </c>
      <c r="O1086" s="7" t="str">
        <f ca="1">getCodigoBackend(N1086,A1086,VLOOKUP(N1086,setup!$A$8:$H$58,2),VLOOKUP(N1086,setup!$A$8:$H$58,3),VLOOKUP(N1086,setup!$A$8:$H$58,4),VLOOKUP(N1086,setup!$A$8:$H$58,5),VLOOKUP(N1086,setup!$A$8:$H$58,6),VLOOKUP(N1086,setup!$A$8:$H$58,7), VLOOKUP(0,setup!$A$8:$H$58,2),VLOOKUP(0,setup!$A$8:$H$58,5),VLOOKUP(N1086,setup!$A$8:$H$58,8))</f>
        <v xml:space="preserve">           $bo = new CampanhaCashbackResgatePixBusinessImpl();</v>
      </c>
    </row>
    <row r="1087" spans="1:15" x14ac:dyDescent="0.25">
      <c r="A1087" s="29" t="s">
        <v>748</v>
      </c>
      <c r="N1087">
        <f t="shared" si="2"/>
        <v>5</v>
      </c>
      <c r="O1087" s="7" t="str">
        <f ca="1">getCodigoBackend(N1087,A1087,VLOOKUP(N1087,setup!$A$8:$H$58,2),VLOOKUP(N1087,setup!$A$8:$H$58,3),VLOOKUP(N1087,setup!$A$8:$H$58,4),VLOOKUP(N1087,setup!$A$8:$H$58,5),VLOOKUP(N1087,setup!$A$8:$H$58,6),VLOOKUP(N1087,setup!$A$8:$H$58,7), VLOOKUP(0,setup!$A$8:$H$58,2),VLOOKUP(0,setup!$A$8:$H$58,5),VLOOKUP(N1087,setup!$A$8:$H$58,8))</f>
        <v xml:space="preserve">           $retorno = $bo-&gt;atualizarValorresgatePorPK($daofactory,$valorResgate,$id);</v>
      </c>
    </row>
    <row r="1088" spans="1:15" x14ac:dyDescent="0.25">
      <c r="A1088" s="29"/>
      <c r="N1088">
        <f t="shared" si="2"/>
        <v>5</v>
      </c>
      <c r="O1088" s="7" t="str">
        <f ca="1">getCodigoBackend(N1088,A1088,VLOOKUP(N1088,setup!$A$8:$H$58,2),VLOOKUP(N1088,setup!$A$8:$H$58,3),VLOOKUP(N1088,setup!$A$8:$H$58,4),VLOOKUP(N1088,setup!$A$8:$H$58,5),VLOOKUP(N1088,setup!$A$8:$H$58,6),VLOOKUP(N1088,setup!$A$8:$H$58,7), VLOOKUP(0,setup!$A$8:$H$58,2),VLOOKUP(0,setup!$A$8:$H$58,5),VLOOKUP(N1088,setup!$A$8:$H$58,8))</f>
        <v/>
      </c>
    </row>
    <row r="1089" spans="1:15" x14ac:dyDescent="0.25">
      <c r="A1089" s="29" t="s">
        <v>731</v>
      </c>
      <c r="N1089">
        <f t="shared" si="2"/>
        <v>5</v>
      </c>
      <c r="O1089" s="7" t="str">
        <f ca="1">getCodigoBackend(N1089,A1089,VLOOKUP(N1089,setup!$A$8:$H$58,2),VLOOKUP(N1089,setup!$A$8:$H$58,3),VLOOKUP(N1089,setup!$A$8:$H$58,4),VLOOKUP(N1089,setup!$A$8:$H$58,5),VLOOKUP(N1089,setup!$A$8:$H$58,6),VLOOKUP(N1089,setup!$A$8:$H$58,7), VLOOKUP(0,setup!$A$8:$H$58,2),VLOOKUP(0,setup!$A$8:$H$58,5),VLOOKUP(N1089,setup!$A$8:$H$58,8))</f>
        <v xml:space="preserve">           if ($retorno-&gt;msgcode == ConstantesMensagem::COMANDO_REALIZADO_COM_SUCESSO){</v>
      </c>
    </row>
    <row r="1090" spans="1:15" x14ac:dyDescent="0.25">
      <c r="A1090" s="29" t="s">
        <v>732</v>
      </c>
      <c r="N1090">
        <f t="shared" si="2"/>
        <v>5</v>
      </c>
      <c r="O1090" s="7" t="str">
        <f ca="1">getCodigoBackend(N1090,A1090,VLOOKUP(N1090,setup!$A$8:$H$58,2),VLOOKUP(N1090,setup!$A$8:$H$58,3),VLOOKUP(N1090,setup!$A$8:$H$58,4),VLOOKUP(N1090,setup!$A$8:$H$58,5),VLOOKUP(N1090,setup!$A$8:$H$58,6),VLOOKUP(N1090,setup!$A$8:$H$58,7), VLOOKUP(0,setup!$A$8:$H$58,2),VLOOKUP(0,setup!$A$8:$H$58,5),VLOOKUP(N1090,setup!$A$8:$H$58,8))</f>
        <v xml:space="preserve">                $daofactory-&gt;commit();</v>
      </c>
    </row>
    <row r="1091" spans="1:15" x14ac:dyDescent="0.25">
      <c r="A1091" s="29" t="s">
        <v>733</v>
      </c>
      <c r="N1091">
        <f t="shared" si="2"/>
        <v>5</v>
      </c>
      <c r="O1091" s="7" t="str">
        <f ca="1">getCodigoBackend(N1091,A1091,VLOOKUP(N1091,setup!$A$8:$H$58,2),VLOOKUP(N1091,setup!$A$8:$H$58,3),VLOOKUP(N1091,setup!$A$8:$H$58,4),VLOOKUP(N1091,setup!$A$8:$H$58,5),VLOOKUP(N1091,setup!$A$8:$H$58,6),VLOOKUP(N1091,setup!$A$8:$H$58,7), VLOOKUP(0,setup!$A$8:$H$58,2),VLOOKUP(0,setup!$A$8:$H$58,5),VLOOKUP(N1091,setup!$A$8:$H$58,8))</f>
        <v xml:space="preserve">            } else {</v>
      </c>
    </row>
    <row r="1092" spans="1:15" x14ac:dyDescent="0.25">
      <c r="A1092" s="29" t="s">
        <v>734</v>
      </c>
      <c r="N1092">
        <f t="shared" si="2"/>
        <v>5</v>
      </c>
      <c r="O1092" s="7" t="str">
        <f ca="1">getCodigoBackend(N1092,A1092,VLOOKUP(N1092,setup!$A$8:$H$58,2),VLOOKUP(N1092,setup!$A$8:$H$58,3),VLOOKUP(N1092,setup!$A$8:$H$58,4),VLOOKUP(N1092,setup!$A$8:$H$58,5),VLOOKUP(N1092,setup!$A$8:$H$58,6),VLOOKUP(N1092,setup!$A$8:$H$58,7), VLOOKUP(0,setup!$A$8:$H$58,2),VLOOKUP(0,setup!$A$8:$H$58,5),VLOOKUP(N1092,setup!$A$8:$H$58,8))</f>
        <v xml:space="preserve">                $daofactory-&gt;rollback();</v>
      </c>
    </row>
    <row r="1093" spans="1:15" x14ac:dyDescent="0.25">
      <c r="A1093" s="29" t="s">
        <v>505</v>
      </c>
      <c r="N1093">
        <f t="shared" si="2"/>
        <v>5</v>
      </c>
      <c r="O1093" s="7" t="str">
        <f ca="1">getCodigoBackend(N1093,A1093,VLOOKUP(N1093,setup!$A$8:$H$58,2),VLOOKUP(N1093,setup!$A$8:$H$58,3),VLOOKUP(N1093,setup!$A$8:$H$58,4),VLOOKUP(N1093,setup!$A$8:$H$58,5),VLOOKUP(N1093,setup!$A$8:$H$58,6),VLOOKUP(N1093,setup!$A$8:$H$58,7), VLOOKUP(0,setup!$A$8:$H$58,2),VLOOKUP(0,setup!$A$8:$H$58,5),VLOOKUP(N1093,setup!$A$8:$H$58,8))</f>
        <v xml:space="preserve">            }</v>
      </c>
    </row>
    <row r="1094" spans="1:15" x14ac:dyDescent="0.25">
      <c r="A1094" s="29" t="s">
        <v>730</v>
      </c>
      <c r="N1094">
        <f t="shared" si="2"/>
        <v>5</v>
      </c>
      <c r="O1094" s="7" t="str">
        <f ca="1">getCodigoBackend(N1094,A1094,VLOOKUP(N1094,setup!$A$8:$H$58,2),VLOOKUP(N1094,setup!$A$8:$H$58,3),VLOOKUP(N1094,setup!$A$8:$H$58,4),VLOOKUP(N1094,setup!$A$8:$H$58,5),VLOOKUP(N1094,setup!$A$8:$H$58,6),VLOOKUP(N1094,setup!$A$8:$H$58,7), VLOOKUP(0,setup!$A$8:$H$58,2),VLOOKUP(0,setup!$A$8:$H$58,5),VLOOKUP(N1094,setup!$A$8:$H$58,8))</f>
        <v xml:space="preserve">            </v>
      </c>
    </row>
    <row r="1095" spans="1:15" x14ac:dyDescent="0.25">
      <c r="A1095" s="29" t="s">
        <v>735</v>
      </c>
      <c r="N1095">
        <f t="shared" si="2"/>
        <v>5</v>
      </c>
      <c r="O1095" s="7" t="str">
        <f ca="1">getCodigoBackend(N1095,A1095,VLOOKUP(N1095,setup!$A$8:$H$58,2),VLOOKUP(N1095,setup!$A$8:$H$58,3),VLOOKUP(N1095,setup!$A$8:$H$58,4),VLOOKUP(N1095,setup!$A$8:$H$58,5),VLOOKUP(N1095,setup!$A$8:$H$58,6),VLOOKUP(N1095,setup!$A$8:$H$58,7), VLOOKUP(0,setup!$A$8:$H$58,2),VLOOKUP(0,setup!$A$8:$H$58,5),VLOOKUP(N1095,setup!$A$8:$H$58,8))</f>
        <v xml:space="preserve">        } catch (Exception $e) {</v>
      </c>
    </row>
    <row r="1096" spans="1:15" x14ac:dyDescent="0.25">
      <c r="A1096" s="29" t="s">
        <v>736</v>
      </c>
      <c r="N1096">
        <f t="shared" si="2"/>
        <v>5</v>
      </c>
      <c r="O1096" s="7" t="str">
        <f ca="1">getCodigoBackend(N1096,A1096,VLOOKUP(N1096,setup!$A$8:$H$58,2),VLOOKUP(N1096,setup!$A$8:$H$58,3),VLOOKUP(N1096,setup!$A$8:$H$58,4),VLOOKUP(N1096,setup!$A$8:$H$58,5),VLOOKUP(N1096,setup!$A$8:$H$58,6),VLOOKUP(N1096,setup!$A$8:$H$58,7), VLOOKUP(0,setup!$A$8:$H$58,2),VLOOKUP(0,setup!$A$8:$H$58,5),VLOOKUP(N1096,setup!$A$8:$H$58,8))</f>
        <v xml:space="preserve">            // rollback na transação</v>
      </c>
    </row>
    <row r="1097" spans="1:15" x14ac:dyDescent="0.25">
      <c r="A1097" s="29" t="s">
        <v>737</v>
      </c>
      <c r="N1097">
        <f t="shared" si="2"/>
        <v>5</v>
      </c>
      <c r="O1097" s="7" t="str">
        <f ca="1">getCodigoBackend(N1097,A1097,VLOOKUP(N1097,setup!$A$8:$H$58,2),VLOOKUP(N1097,setup!$A$8:$H$58,3),VLOOKUP(N1097,setup!$A$8:$H$58,4),VLOOKUP(N1097,setup!$A$8:$H$58,5),VLOOKUP(N1097,setup!$A$8:$H$58,6),VLOOKUP(N1097,setup!$A$8:$H$58,7), VLOOKUP(0,setup!$A$8:$H$58,2),VLOOKUP(0,setup!$A$8:$H$58,5),VLOOKUP(N1097,setup!$A$8:$H$58,8))</f>
        <v xml:space="preserve">            $daofactory-&gt;rollback();</v>
      </c>
    </row>
    <row r="1098" spans="1:15" x14ac:dyDescent="0.25">
      <c r="A1098" s="29"/>
      <c r="N1098">
        <f t="shared" si="2"/>
        <v>5</v>
      </c>
      <c r="O1098" s="7" t="str">
        <f ca="1">getCodigoBackend(N1098,A1098,VLOOKUP(N1098,setup!$A$8:$H$58,2),VLOOKUP(N1098,setup!$A$8:$H$58,3),VLOOKUP(N1098,setup!$A$8:$H$58,4),VLOOKUP(N1098,setup!$A$8:$H$58,5),VLOOKUP(N1098,setup!$A$8:$H$58,6),VLOOKUP(N1098,setup!$A$8:$H$58,7), VLOOKUP(0,setup!$A$8:$H$58,2),VLOOKUP(0,setup!$A$8:$H$58,5),VLOOKUP(N1098,setup!$A$8:$H$58,8))</f>
        <v/>
      </c>
    </row>
    <row r="1099" spans="1:15" x14ac:dyDescent="0.25">
      <c r="A1099" s="29" t="s">
        <v>738</v>
      </c>
      <c r="N1099">
        <f t="shared" si="2"/>
        <v>5</v>
      </c>
      <c r="O1099" s="7" t="str">
        <f ca="1">getCodigoBackend(N1099,A1099,VLOOKUP(N1099,setup!$A$8:$H$58,2),VLOOKUP(N1099,setup!$A$8:$H$58,3),VLOOKUP(N1099,setup!$A$8:$H$58,4),VLOOKUP(N1099,setup!$A$8:$H$58,5),VLOOKUP(N1099,setup!$A$8:$H$58,6),VLOOKUP(N1099,setup!$A$8:$H$58,7), VLOOKUP(0,setup!$A$8:$H$58,2),VLOOKUP(0,setup!$A$8:$H$58,5),VLOOKUP(N1099,setup!$A$8:$H$58,8))</f>
        <v xml:space="preserve">        } finally {</v>
      </c>
    </row>
    <row r="1100" spans="1:15" x14ac:dyDescent="0.25">
      <c r="A1100" s="29" t="s">
        <v>739</v>
      </c>
      <c r="N1100">
        <f t="shared" si="2"/>
        <v>5</v>
      </c>
      <c r="O1100" s="7" t="str">
        <f ca="1">getCodigoBackend(N1100,A1100,VLOOKUP(N1100,setup!$A$8:$H$58,2),VLOOKUP(N1100,setup!$A$8:$H$58,3),VLOOKUP(N1100,setup!$A$8:$H$58,4),VLOOKUP(N1100,setup!$A$8:$H$58,5),VLOOKUP(N1100,setup!$A$8:$H$58,6),VLOOKUP(N1100,setup!$A$8:$H$58,7), VLOOKUP(0,setup!$A$8:$H$58,2),VLOOKUP(0,setup!$A$8:$H$58,5),VLOOKUP(N1100,setup!$A$8:$H$58,8))</f>
        <v xml:space="preserve">            try {</v>
      </c>
    </row>
    <row r="1101" spans="1:15" x14ac:dyDescent="0.25">
      <c r="A1101" s="29" t="s">
        <v>740</v>
      </c>
      <c r="N1101">
        <f t="shared" si="2"/>
        <v>5</v>
      </c>
      <c r="O1101" s="7" t="str">
        <f ca="1">getCodigoBackend(N1101,A1101,VLOOKUP(N1101,setup!$A$8:$H$58,2),VLOOKUP(N1101,setup!$A$8:$H$58,3),VLOOKUP(N1101,setup!$A$8:$H$58,4),VLOOKUP(N1101,setup!$A$8:$H$58,5),VLOOKUP(N1101,setup!$A$8:$H$58,6),VLOOKUP(N1101,setup!$A$8:$H$58,7), VLOOKUP(0,setup!$A$8:$H$58,2),VLOOKUP(0,setup!$A$8:$H$58,5),VLOOKUP(N1101,setup!$A$8:$H$58,8))</f>
        <v xml:space="preserve">                $daofactory-&gt;close();</v>
      </c>
    </row>
    <row r="1102" spans="1:15" x14ac:dyDescent="0.25">
      <c r="A1102" s="29" t="s">
        <v>741</v>
      </c>
      <c r="N1102">
        <f t="shared" si="2"/>
        <v>5</v>
      </c>
      <c r="O1102" s="7" t="str">
        <f ca="1">getCodigoBackend(N1102,A1102,VLOOKUP(N1102,setup!$A$8:$H$58,2),VLOOKUP(N1102,setup!$A$8:$H$58,3),VLOOKUP(N1102,setup!$A$8:$H$58,4),VLOOKUP(N1102,setup!$A$8:$H$58,5),VLOOKUP(N1102,setup!$A$8:$H$58,6),VLOOKUP(N1102,setup!$A$8:$H$58,7), VLOOKUP(0,setup!$A$8:$H$58,2),VLOOKUP(0,setup!$A$8:$H$58,5),VLOOKUP(N1102,setup!$A$8:$H$58,8))</f>
        <v xml:space="preserve">            } catch (Exception $e) {</v>
      </c>
    </row>
    <row r="1103" spans="1:15" x14ac:dyDescent="0.25">
      <c r="A1103" s="29" t="s">
        <v>742</v>
      </c>
      <c r="N1103">
        <f t="shared" si="2"/>
        <v>5</v>
      </c>
      <c r="O1103" s="7" t="str">
        <f ca="1">getCodigoBackend(N1103,A1103,VLOOKUP(N1103,setup!$A$8:$H$58,2),VLOOKUP(N1103,setup!$A$8:$H$58,3),VLOOKUP(N1103,setup!$A$8:$H$58,4),VLOOKUP(N1103,setup!$A$8:$H$58,5),VLOOKUP(N1103,setup!$A$8:$H$58,6),VLOOKUP(N1103,setup!$A$8:$H$58,7), VLOOKUP(0,setup!$A$8:$H$58,2),VLOOKUP(0,setup!$A$8:$H$58,5),VLOOKUP(N1103,setup!$A$8:$H$58,8))</f>
        <v xml:space="preserve">                // faz algo</v>
      </c>
    </row>
    <row r="1104" spans="1:15" x14ac:dyDescent="0.25">
      <c r="A1104" s="29" t="s">
        <v>505</v>
      </c>
      <c r="N1104">
        <f t="shared" si="2"/>
        <v>5</v>
      </c>
      <c r="O1104" s="7" t="str">
        <f ca="1">getCodigoBackend(N1104,A1104,VLOOKUP(N1104,setup!$A$8:$H$58,2),VLOOKUP(N1104,setup!$A$8:$H$58,3),VLOOKUP(N1104,setup!$A$8:$H$58,4),VLOOKUP(N1104,setup!$A$8:$H$58,5),VLOOKUP(N1104,setup!$A$8:$H$58,6),VLOOKUP(N1104,setup!$A$8:$H$58,7), VLOOKUP(0,setup!$A$8:$H$58,2),VLOOKUP(0,setup!$A$8:$H$58,5),VLOOKUP(N1104,setup!$A$8:$H$58,8))</f>
        <v xml:space="preserve">            }</v>
      </c>
    </row>
    <row r="1105" spans="1:15" x14ac:dyDescent="0.25">
      <c r="A1105" s="29" t="s">
        <v>157</v>
      </c>
      <c r="N1105">
        <f t="shared" si="2"/>
        <v>5</v>
      </c>
      <c r="O1105" s="7" t="str">
        <f ca="1">getCodigoBackend(N1105,A1105,VLOOKUP(N1105,setup!$A$8:$H$58,2),VLOOKUP(N1105,setup!$A$8:$H$58,3),VLOOKUP(N1105,setup!$A$8:$H$58,4),VLOOKUP(N1105,setup!$A$8:$H$58,5),VLOOKUP(N1105,setup!$A$8:$H$58,6),VLOOKUP(N1105,setup!$A$8:$H$58,7), VLOOKUP(0,setup!$A$8:$H$58,2),VLOOKUP(0,setup!$A$8:$H$58,5),VLOOKUP(N1105,setup!$A$8:$H$58,8))</f>
        <v xml:space="preserve">        }</v>
      </c>
    </row>
    <row r="1106" spans="1:15" x14ac:dyDescent="0.25">
      <c r="A1106" s="29"/>
      <c r="N1106">
        <f t="shared" si="2"/>
        <v>5</v>
      </c>
      <c r="O1106" s="7" t="str">
        <f ca="1">getCodigoBackend(N1106,A1106,VLOOKUP(N1106,setup!$A$8:$H$58,2),VLOOKUP(N1106,setup!$A$8:$H$58,3),VLOOKUP(N1106,setup!$A$8:$H$58,4),VLOOKUP(N1106,setup!$A$8:$H$58,5),VLOOKUP(N1106,setup!$A$8:$H$58,6),VLOOKUP(N1106,setup!$A$8:$H$58,7), VLOOKUP(0,setup!$A$8:$H$58,2),VLOOKUP(0,setup!$A$8:$H$58,5),VLOOKUP(N1106,setup!$A$8:$H$58,8))</f>
        <v/>
      </c>
    </row>
    <row r="1107" spans="1:15" x14ac:dyDescent="0.25">
      <c r="A1107" s="29" t="s">
        <v>743</v>
      </c>
      <c r="N1107">
        <f t="shared" si="2"/>
        <v>5</v>
      </c>
      <c r="O1107" s="7" t="str">
        <f ca="1">getCodigoBackend(N1107,A1107,VLOOKUP(N1107,setup!$A$8:$H$58,2),VLOOKUP(N1107,setup!$A$8:$H$58,3),VLOOKUP(N1107,setup!$A$8:$H$58,4),VLOOKUP(N1107,setup!$A$8:$H$58,5),VLOOKUP(N1107,setup!$A$8:$H$58,6),VLOOKUP(N1107,setup!$A$8:$H$58,7), VLOOKUP(0,setup!$A$8:$H$58,2),VLOOKUP(0,setup!$A$8:$H$58,5),VLOOKUP(N1107,setup!$A$8:$H$58,8))</f>
        <v xml:space="preserve">        return $retorno;</v>
      </c>
    </row>
    <row r="1108" spans="1:15" x14ac:dyDescent="0.25">
      <c r="A1108" s="29" t="s">
        <v>406</v>
      </c>
      <c r="N1108">
        <f t="shared" si="2"/>
        <v>5</v>
      </c>
      <c r="O1108" s="7" t="str">
        <f ca="1">getCodigoBackend(N1108,A1108,VLOOKUP(N1108,setup!$A$8:$H$58,2),VLOOKUP(N1108,setup!$A$8:$H$58,3),VLOOKUP(N1108,setup!$A$8:$H$58,4),VLOOKUP(N1108,setup!$A$8:$H$58,5),VLOOKUP(N1108,setup!$A$8:$H$58,6),VLOOKUP(N1108,setup!$A$8:$H$58,7), VLOOKUP(0,setup!$A$8:$H$58,2),VLOOKUP(0,setup!$A$8:$H$58,5),VLOOKUP(N1108,setup!$A$8:$H$58,8))</f>
        <v xml:space="preserve">    }</v>
      </c>
    </row>
    <row r="1109" spans="1:15" x14ac:dyDescent="0.25">
      <c r="A1109" s="6"/>
      <c r="O1109" s="7"/>
    </row>
    <row r="1110" spans="1:15" x14ac:dyDescent="0.25">
      <c r="A1110" s="4" t="s">
        <v>19</v>
      </c>
      <c r="N1110">
        <f>N1108+1</f>
        <v>6</v>
      </c>
      <c r="O1110" s="7" t="str">
        <f ca="1">getCodigoBackend(N1110,A1110,VLOOKUP(N1110,setup!$A$8:$H$58,2),VLOOKUP(N1110,setup!$A$8:$H$58,3),VLOOKUP(N1110,setup!$A$8:$H$58,4),VLOOKUP(N1110,setup!$A$8:$H$58,5),VLOOKUP(N1110,setup!$A$8:$H$58,6),VLOOKUP(N1110,setup!$A$8:$H$58,7), VLOOKUP(0,setup!$A$8:$H$58,2),VLOOKUP(0,setup!$A$8:$H$58,5),VLOOKUP(N1110,setup!$A$8:$H$58,8))</f>
        <v>/**</v>
      </c>
    </row>
    <row r="1111" spans="1:15" x14ac:dyDescent="0.25">
      <c r="A1111" s="4" t="s">
        <v>20</v>
      </c>
      <c r="N1111">
        <f>N1110</f>
        <v>6</v>
      </c>
      <c r="O1111" s="7" t="str">
        <f ca="1">getCodigoBackend(N1111,A1111,VLOOKUP(N1111,setup!$A$8:$H$58,2),VLOOKUP(N1111,setup!$A$8:$H$58,3),VLOOKUP(N1111,setup!$A$8:$H$58,4),VLOOKUP(N1111,setup!$A$8:$H$58,5),VLOOKUP(N1111,setup!$A$8:$H$58,6),VLOOKUP(N1111,setup!$A$8:$H$58,7), VLOOKUP(0,setup!$A$8:$H$58,2),VLOOKUP(0,setup!$A$8:$H$58,5),VLOOKUP(N1111,setup!$A$8:$H$58,8))</f>
        <v>*</v>
      </c>
    </row>
    <row r="1112" spans="1:15" x14ac:dyDescent="0.25">
      <c r="A1112" s="4" t="s">
        <v>744</v>
      </c>
      <c r="N1112">
        <f t="shared" ref="N1112:N1153" si="3">N1111</f>
        <v>6</v>
      </c>
      <c r="O1112" s="7" t="str">
        <f ca="1">getCodigoBackend(N1112,A1112,VLOOKUP(N1112,setup!$A$8:$H$58,2),VLOOKUP(N1112,setup!$A$8:$H$58,3),VLOOKUP(N1112,setup!$A$8:$H$58,4),VLOOKUP(N1112,setup!$A$8:$H$58,5),VLOOKUP(N1112,setup!$A$8:$H$58,6),VLOOKUP(N1112,setup!$A$8:$H$58,7), VLOOKUP(0,setup!$A$8:$H$58,2),VLOOKUP(0,setup!$A$8:$H$58,5),VLOOKUP(N1112,setup!$A$8:$H$58,8))</f>
        <v>* atualizarAutenticacaobcoPorPK() - Usado para invocar a classe de negócio CampanhaCashbackResgatePixBusinessImpl de forma geral</v>
      </c>
    </row>
    <row r="1113" spans="1:15" x14ac:dyDescent="0.25">
      <c r="A1113" s="4" t="s">
        <v>745</v>
      </c>
      <c r="N1113">
        <f t="shared" si="3"/>
        <v>6</v>
      </c>
      <c r="O1113" s="7" t="str">
        <f ca="1">getCodigoBackend(N1113,A1113,VLOOKUP(N1113,setup!$A$8:$H$58,2),VLOOKUP(N1113,setup!$A$8:$H$58,3),VLOOKUP(N1113,setup!$A$8:$H$58,4),VLOOKUP(N1113,setup!$A$8:$H$58,5),VLOOKUP(N1113,setup!$A$8:$H$58,6),VLOOKUP(N1113,setup!$A$8:$H$58,7), VLOOKUP(0,setup!$A$8:$H$58,2),VLOOKUP(0,setup!$A$8:$H$58,5),VLOOKUP(N1113,setup!$A$8:$H$58,8))</f>
        <v>* realizar uma atualização de Autenticação do Banco diretamente na tabela CAMPANHA_CASHBACK_RESGATE_PIX campo CCRP_TX_AUTENT_BCO</v>
      </c>
    </row>
    <row r="1114" spans="1:15" x14ac:dyDescent="0.25">
      <c r="A1114" s="4" t="s">
        <v>346</v>
      </c>
      <c r="N1114">
        <f t="shared" si="3"/>
        <v>6</v>
      </c>
      <c r="O1114" s="7" t="str">
        <f ca="1">getCodigoBackend(N1114,A1114,VLOOKUP(N1114,setup!$A$8:$H$58,2),VLOOKUP(N1114,setup!$A$8:$H$58,3),VLOOKUP(N1114,setup!$A$8:$H$58,4),VLOOKUP(N1114,setup!$A$8:$H$58,5),VLOOKUP(N1114,setup!$A$8:$H$58,6),VLOOKUP(N1114,setup!$A$8:$H$58,7), VLOOKUP(0,setup!$A$8:$H$58,2),VLOOKUP(0,setup!$A$8:$H$58,5),VLOOKUP(N1114,setup!$A$8:$H$58,8))</f>
        <v>* @param $id</v>
      </c>
    </row>
    <row r="1115" spans="1:15" x14ac:dyDescent="0.25">
      <c r="A1115" s="4" t="s">
        <v>723</v>
      </c>
      <c r="N1115">
        <f t="shared" si="3"/>
        <v>6</v>
      </c>
      <c r="O1115" s="7" t="str">
        <f ca="1">getCodigoBackend(N1115,A1115,VLOOKUP(N1115,setup!$A$8:$H$58,2),VLOOKUP(N1115,setup!$A$8:$H$58,3),VLOOKUP(N1115,setup!$A$8:$H$58,4),VLOOKUP(N1115,setup!$A$8:$H$58,5),VLOOKUP(N1115,setup!$A$8:$H$58,6),VLOOKUP(N1115,setup!$A$8:$H$58,7), VLOOKUP(0,setup!$A$8:$H$58,2),VLOOKUP(0,setup!$A$8:$H$58,5),VLOOKUP(N1115,setup!$A$8:$H$58,8))</f>
        <v>* @param $autenticacaoBco</v>
      </c>
    </row>
    <row r="1116" spans="1:15" x14ac:dyDescent="0.25">
      <c r="A1116" s="4" t="s">
        <v>347</v>
      </c>
      <c r="N1116">
        <f t="shared" si="3"/>
        <v>6</v>
      </c>
      <c r="O1116" s="7" t="str">
        <f ca="1">getCodigoBackend(N1116,A1116,VLOOKUP(N1116,setup!$A$8:$H$58,2),VLOOKUP(N1116,setup!$A$8:$H$58,3),VLOOKUP(N1116,setup!$A$8:$H$58,4),VLOOKUP(N1116,setup!$A$8:$H$58,5),VLOOKUP(N1116,setup!$A$8:$H$58,6),VLOOKUP(N1116,setup!$A$8:$H$58,7), VLOOKUP(0,setup!$A$8:$H$58,2),VLOOKUP(0,setup!$A$8:$H$58,5),VLOOKUP(N1116,setup!$A$8:$H$58,8))</f>
        <v>* @return CampanhaCashbackResgatePixDTO</v>
      </c>
    </row>
    <row r="1117" spans="1:15" x14ac:dyDescent="0.25">
      <c r="A1117" s="4" t="s">
        <v>20</v>
      </c>
      <c r="N1117">
        <f t="shared" si="3"/>
        <v>6</v>
      </c>
      <c r="O1117" s="7" t="str">
        <f ca="1">getCodigoBackend(N1117,A1117,VLOOKUP(N1117,setup!$A$8:$H$58,2),VLOOKUP(N1117,setup!$A$8:$H$58,3),VLOOKUP(N1117,setup!$A$8:$H$58,4),VLOOKUP(N1117,setup!$A$8:$H$58,5),VLOOKUP(N1117,setup!$A$8:$H$58,6),VLOOKUP(N1117,setup!$A$8:$H$58,7), VLOOKUP(0,setup!$A$8:$H$58,2),VLOOKUP(0,setup!$A$8:$H$58,5),VLOOKUP(N1117,setup!$A$8:$H$58,8))</f>
        <v>*</v>
      </c>
    </row>
    <row r="1118" spans="1:15" x14ac:dyDescent="0.25">
      <c r="A1118" s="4" t="s">
        <v>75</v>
      </c>
      <c r="N1118">
        <f t="shared" si="3"/>
        <v>6</v>
      </c>
      <c r="O1118" s="7" t="str">
        <f ca="1">getCodigoBackend(N1118,A1118,VLOOKUP(N1118,setup!$A$8:$H$58,2),VLOOKUP(N1118,setup!$A$8:$H$58,3),VLOOKUP(N1118,setup!$A$8:$H$58,4),VLOOKUP(N1118,setup!$A$8:$H$58,5),VLOOKUP(N1118,setup!$A$8:$H$58,6),VLOOKUP(N1118,setup!$A$8:$H$58,7), VLOOKUP(0,setup!$A$8:$H$58,2),VLOOKUP(0,setup!$A$8:$H$58,5),VLOOKUP(N1118,setup!$A$8:$H$58,8))</f>
        <v xml:space="preserve">* </v>
      </c>
    </row>
    <row r="1119" spans="1:15" x14ac:dyDescent="0.25">
      <c r="A1119" s="4" t="s">
        <v>21</v>
      </c>
      <c r="N1119">
        <f t="shared" si="3"/>
        <v>6</v>
      </c>
      <c r="O1119" s="7" t="str">
        <f ca="1">getCodigoBackend(N1119,A1119,VLOOKUP(N1119,setup!$A$8:$H$58,2),VLOOKUP(N1119,setup!$A$8:$H$58,3),VLOOKUP(N1119,setup!$A$8:$H$58,4),VLOOKUP(N1119,setup!$A$8:$H$58,5),VLOOKUP(N1119,setup!$A$8:$H$58,6),VLOOKUP(N1119,setup!$A$8:$H$58,7), VLOOKUP(0,setup!$A$8:$H$58,2),VLOOKUP(0,setup!$A$8:$H$58,5),VLOOKUP(N1119,setup!$A$8:$H$58,8))</f>
        <v>*/</v>
      </c>
    </row>
    <row r="1120" spans="1:15" x14ac:dyDescent="0.25">
      <c r="A1120" s="6"/>
      <c r="N1120">
        <f t="shared" si="3"/>
        <v>6</v>
      </c>
      <c r="O1120" s="7" t="str">
        <f ca="1">getCodigoBackend(N1120,A1120,VLOOKUP(N1120,setup!$A$8:$H$58,2),VLOOKUP(N1120,setup!$A$8:$H$58,3),VLOOKUP(N1120,setup!$A$8:$H$58,4),VLOOKUP(N1120,setup!$A$8:$H$58,5),VLOOKUP(N1120,setup!$A$8:$H$58,6),VLOOKUP(N1120,setup!$A$8:$H$58,7), VLOOKUP(0,setup!$A$8:$H$58,2),VLOOKUP(0,setup!$A$8:$H$58,5),VLOOKUP(N1120,setup!$A$8:$H$58,8))</f>
        <v/>
      </c>
    </row>
    <row r="1121" spans="1:15" x14ac:dyDescent="0.25">
      <c r="A1121" s="29" t="s">
        <v>782</v>
      </c>
      <c r="N1121">
        <f t="shared" si="3"/>
        <v>6</v>
      </c>
      <c r="O1121" s="7" t="str">
        <f ca="1">getCodigoBackend(N1121,A1121,VLOOKUP(N1121,setup!$A$8:$H$58,2),VLOOKUP(N1121,setup!$A$8:$H$58,3),VLOOKUP(N1121,setup!$A$8:$H$58,4),VLOOKUP(N1121,setup!$A$8:$H$58,5),VLOOKUP(N1121,setup!$A$8:$H$58,6),VLOOKUP(N1121,setup!$A$8:$H$58,7), VLOOKUP(0,setup!$A$8:$H$58,2),VLOOKUP(0,setup!$A$8:$H$58,5),VLOOKUP(N1121,setup!$A$8:$H$58,8))</f>
        <v xml:space="preserve">    public function atualizarAutenticacaobcoPorPK($autenticacaoBco,$id)</v>
      </c>
    </row>
    <row r="1122" spans="1:15" x14ac:dyDescent="0.25">
      <c r="A1122" s="29" t="s">
        <v>379</v>
      </c>
      <c r="N1122">
        <f t="shared" si="3"/>
        <v>6</v>
      </c>
      <c r="O1122" s="7" t="str">
        <f ca="1">getCodigoBackend(N1122,A1122,VLOOKUP(N1122,setup!$A$8:$H$58,2),VLOOKUP(N1122,setup!$A$8:$H$58,3),VLOOKUP(N1122,setup!$A$8:$H$58,4),VLOOKUP(N1122,setup!$A$8:$H$58,5),VLOOKUP(N1122,setup!$A$8:$H$58,6),VLOOKUP(N1122,setup!$A$8:$H$58,7), VLOOKUP(0,setup!$A$8:$H$58,2),VLOOKUP(0,setup!$A$8:$H$58,5),VLOOKUP(N1122,setup!$A$8:$H$58,8))</f>
        <v xml:space="preserve">    {</v>
      </c>
    </row>
    <row r="1123" spans="1:15" x14ac:dyDescent="0.25">
      <c r="A1123" s="29" t="s">
        <v>724</v>
      </c>
      <c r="N1123">
        <f t="shared" si="3"/>
        <v>6</v>
      </c>
      <c r="O1123" s="7" t="str">
        <f ca="1">getCodigoBackend(N1123,A1123,VLOOKUP(N1123,setup!$A$8:$H$58,2),VLOOKUP(N1123,setup!$A$8:$H$58,3),VLOOKUP(N1123,setup!$A$8:$H$58,4),VLOOKUP(N1123,setup!$A$8:$H$58,5),VLOOKUP(N1123,setup!$A$8:$H$58,6),VLOOKUP(N1123,setup!$A$8:$H$58,7), VLOOKUP(0,setup!$A$8:$H$58,2),VLOOKUP(0,setup!$A$8:$H$58,5),VLOOKUP(N1123,setup!$A$8:$H$58,8))</f>
        <v xml:space="preserve">        $daofactory = NULL;</v>
      </c>
    </row>
    <row r="1124" spans="1:15" x14ac:dyDescent="0.25">
      <c r="A1124" s="29" t="s">
        <v>725</v>
      </c>
      <c r="N1124">
        <f t="shared" si="3"/>
        <v>6</v>
      </c>
      <c r="O1124" s="7" t="str">
        <f ca="1">getCodigoBackend(N1124,A1124,VLOOKUP(N1124,setup!$A$8:$H$58,2),VLOOKUP(N1124,setup!$A$8:$H$58,3),VLOOKUP(N1124,setup!$A$8:$H$58,4),VLOOKUP(N1124,setup!$A$8:$H$58,5),VLOOKUP(N1124,setup!$A$8:$H$58,6),VLOOKUP(N1124,setup!$A$8:$H$58,7), VLOOKUP(0,setup!$A$8:$H$58,2),VLOOKUP(0,setup!$A$8:$H$58,5),VLOOKUP(N1124,setup!$A$8:$H$58,8))</f>
        <v xml:space="preserve">        $retorno = NULL;</v>
      </c>
    </row>
    <row r="1125" spans="1:15" x14ac:dyDescent="0.25">
      <c r="A1125" s="29" t="s">
        <v>726</v>
      </c>
      <c r="N1125">
        <f t="shared" si="3"/>
        <v>6</v>
      </c>
      <c r="O1125" s="7" t="str">
        <f ca="1">getCodigoBackend(N1125,A1125,VLOOKUP(N1125,setup!$A$8:$H$58,2),VLOOKUP(N1125,setup!$A$8:$H$58,3),VLOOKUP(N1125,setup!$A$8:$H$58,4),VLOOKUP(N1125,setup!$A$8:$H$58,5),VLOOKUP(N1125,setup!$A$8:$H$58,6),VLOOKUP(N1125,setup!$A$8:$H$58,7), VLOOKUP(0,setup!$A$8:$H$58,2),VLOOKUP(0,setup!$A$8:$H$58,5),VLOOKUP(N1125,setup!$A$8:$H$58,8))</f>
        <v xml:space="preserve">        try {</v>
      </c>
    </row>
    <row r="1126" spans="1:15" x14ac:dyDescent="0.25">
      <c r="A1126" s="29" t="s">
        <v>727</v>
      </c>
      <c r="N1126">
        <f t="shared" si="3"/>
        <v>6</v>
      </c>
      <c r="O1126" s="7" t="str">
        <f ca="1">getCodigoBackend(N1126,A1126,VLOOKUP(N1126,setup!$A$8:$H$58,2),VLOOKUP(N1126,setup!$A$8:$H$58,3),VLOOKUP(N1126,setup!$A$8:$H$58,4),VLOOKUP(N1126,setup!$A$8:$H$58,5),VLOOKUP(N1126,setup!$A$8:$H$58,6),VLOOKUP(N1126,setup!$A$8:$H$58,7), VLOOKUP(0,setup!$A$8:$H$58,2),VLOOKUP(0,setup!$A$8:$H$58,5),VLOOKUP(N1126,setup!$A$8:$H$58,8))</f>
        <v xml:space="preserve">            $daofactory = DAOFactory::getDAOFactory();</v>
      </c>
    </row>
    <row r="1127" spans="1:15" x14ac:dyDescent="0.25">
      <c r="A1127" s="29" t="s">
        <v>728</v>
      </c>
      <c r="N1127">
        <f t="shared" si="3"/>
        <v>6</v>
      </c>
      <c r="O1127" s="7" t="str">
        <f ca="1">getCodigoBackend(N1127,A1127,VLOOKUP(N1127,setup!$A$8:$H$58,2),VLOOKUP(N1127,setup!$A$8:$H$58,3),VLOOKUP(N1127,setup!$A$8:$H$58,4),VLOOKUP(N1127,setup!$A$8:$H$58,5),VLOOKUP(N1127,setup!$A$8:$H$58,6),VLOOKUP(N1127,setup!$A$8:$H$58,7), VLOOKUP(0,setup!$A$8:$H$58,2),VLOOKUP(0,setup!$A$8:$H$58,5),VLOOKUP(N1127,setup!$A$8:$H$58,8))</f>
        <v xml:space="preserve">            $daofactory-&gt;open();</v>
      </c>
    </row>
    <row r="1128" spans="1:15" x14ac:dyDescent="0.25">
      <c r="A1128" s="29" t="s">
        <v>729</v>
      </c>
      <c r="N1128">
        <f t="shared" si="3"/>
        <v>6</v>
      </c>
      <c r="O1128" s="7" t="str">
        <f ca="1">getCodigoBackend(N1128,A1128,VLOOKUP(N1128,setup!$A$8:$H$58,2),VLOOKUP(N1128,setup!$A$8:$H$58,3),VLOOKUP(N1128,setup!$A$8:$H$58,4),VLOOKUP(N1128,setup!$A$8:$H$58,5),VLOOKUP(N1128,setup!$A$8:$H$58,6),VLOOKUP(N1128,setup!$A$8:$H$58,7), VLOOKUP(0,setup!$A$8:$H$58,2),VLOOKUP(0,setup!$A$8:$H$58,5),VLOOKUP(N1128,setup!$A$8:$H$58,8))</f>
        <v xml:space="preserve">            $daofactory-&gt;beginTransaction();</v>
      </c>
    </row>
    <row r="1129" spans="1:15" x14ac:dyDescent="0.25">
      <c r="A1129" s="29" t="s">
        <v>730</v>
      </c>
      <c r="N1129">
        <f t="shared" si="3"/>
        <v>6</v>
      </c>
      <c r="O1129" s="7" t="str">
        <f ca="1">getCodigoBackend(N1129,A1129,VLOOKUP(N1129,setup!$A$8:$H$58,2),VLOOKUP(N1129,setup!$A$8:$H$58,3),VLOOKUP(N1129,setup!$A$8:$H$58,4),VLOOKUP(N1129,setup!$A$8:$H$58,5),VLOOKUP(N1129,setup!$A$8:$H$58,6),VLOOKUP(N1129,setup!$A$8:$H$58,7), VLOOKUP(0,setup!$A$8:$H$58,2),VLOOKUP(0,setup!$A$8:$H$58,5),VLOOKUP(N1129,setup!$A$8:$H$58,8))</f>
        <v xml:space="preserve">            </v>
      </c>
    </row>
    <row r="1130" spans="1:15" x14ac:dyDescent="0.25">
      <c r="A1130" s="29" t="s">
        <v>746</v>
      </c>
      <c r="N1130">
        <f t="shared" si="3"/>
        <v>6</v>
      </c>
      <c r="O1130" s="7" t="str">
        <f ca="1">getCodigoBackend(N1130,A1130,VLOOKUP(N1130,setup!$A$8:$H$58,2),VLOOKUP(N1130,setup!$A$8:$H$58,3),VLOOKUP(N1130,setup!$A$8:$H$58,4),VLOOKUP(N1130,setup!$A$8:$H$58,5),VLOOKUP(N1130,setup!$A$8:$H$58,6),VLOOKUP(N1130,setup!$A$8:$H$58,7), VLOOKUP(0,setup!$A$8:$H$58,2),VLOOKUP(0,setup!$A$8:$H$58,5),VLOOKUP(N1130,setup!$A$8:$H$58,8))</f>
        <v xml:space="preserve">            // atualizar registro por meio do método CampanhaCashbackResgatePixBusinessImpl::atualizarAutenticacaobcoPorPK($autenticacaoBco,$id)</v>
      </c>
    </row>
    <row r="1131" spans="1:15" x14ac:dyDescent="0.25">
      <c r="A1131" s="29" t="s">
        <v>747</v>
      </c>
      <c r="N1131">
        <f t="shared" si="3"/>
        <v>6</v>
      </c>
      <c r="O1131" s="7" t="str">
        <f ca="1">getCodigoBackend(N1131,A1131,VLOOKUP(N1131,setup!$A$8:$H$58,2),VLOOKUP(N1131,setup!$A$8:$H$58,3),VLOOKUP(N1131,setup!$A$8:$H$58,4),VLOOKUP(N1131,setup!$A$8:$H$58,5),VLOOKUP(N1131,setup!$A$8:$H$58,6),VLOOKUP(N1131,setup!$A$8:$H$58,7), VLOOKUP(0,setup!$A$8:$H$58,2),VLOOKUP(0,setup!$A$8:$H$58,5),VLOOKUP(N1131,setup!$A$8:$H$58,8))</f>
        <v xml:space="preserve">           $bo = new CampanhaCashbackResgatePixBusinessImpl();</v>
      </c>
    </row>
    <row r="1132" spans="1:15" x14ac:dyDescent="0.25">
      <c r="A1132" s="29" t="s">
        <v>748</v>
      </c>
      <c r="N1132">
        <f t="shared" si="3"/>
        <v>6</v>
      </c>
      <c r="O1132" s="7" t="str">
        <f ca="1">getCodigoBackend(N1132,A1132,VLOOKUP(N1132,setup!$A$8:$H$58,2),VLOOKUP(N1132,setup!$A$8:$H$58,3),VLOOKUP(N1132,setup!$A$8:$H$58,4),VLOOKUP(N1132,setup!$A$8:$H$58,5),VLOOKUP(N1132,setup!$A$8:$H$58,6),VLOOKUP(N1132,setup!$A$8:$H$58,7), VLOOKUP(0,setup!$A$8:$H$58,2),VLOOKUP(0,setup!$A$8:$H$58,5),VLOOKUP(N1132,setup!$A$8:$H$58,8))</f>
        <v xml:space="preserve">           $retorno = $bo-&gt;atualizarAutenticacaobcoPorPK($daofactory,$autenticacaoBco,$id);</v>
      </c>
    </row>
    <row r="1133" spans="1:15" x14ac:dyDescent="0.25">
      <c r="A1133" s="29"/>
      <c r="N1133">
        <f t="shared" si="3"/>
        <v>6</v>
      </c>
      <c r="O1133" s="7" t="str">
        <f ca="1">getCodigoBackend(N1133,A1133,VLOOKUP(N1133,setup!$A$8:$H$58,2),VLOOKUP(N1133,setup!$A$8:$H$58,3),VLOOKUP(N1133,setup!$A$8:$H$58,4),VLOOKUP(N1133,setup!$A$8:$H$58,5),VLOOKUP(N1133,setup!$A$8:$H$58,6),VLOOKUP(N1133,setup!$A$8:$H$58,7), VLOOKUP(0,setup!$A$8:$H$58,2),VLOOKUP(0,setup!$A$8:$H$58,5),VLOOKUP(N1133,setup!$A$8:$H$58,8))</f>
        <v/>
      </c>
    </row>
    <row r="1134" spans="1:15" x14ac:dyDescent="0.25">
      <c r="A1134" s="29" t="s">
        <v>731</v>
      </c>
      <c r="N1134">
        <f t="shared" si="3"/>
        <v>6</v>
      </c>
      <c r="O1134" s="7" t="str">
        <f ca="1">getCodigoBackend(N1134,A1134,VLOOKUP(N1134,setup!$A$8:$H$58,2),VLOOKUP(N1134,setup!$A$8:$H$58,3),VLOOKUP(N1134,setup!$A$8:$H$58,4),VLOOKUP(N1134,setup!$A$8:$H$58,5),VLOOKUP(N1134,setup!$A$8:$H$58,6),VLOOKUP(N1134,setup!$A$8:$H$58,7), VLOOKUP(0,setup!$A$8:$H$58,2),VLOOKUP(0,setup!$A$8:$H$58,5),VLOOKUP(N1134,setup!$A$8:$H$58,8))</f>
        <v xml:space="preserve">           if ($retorno-&gt;msgcode == ConstantesMensagem::COMANDO_REALIZADO_COM_SUCESSO){</v>
      </c>
    </row>
    <row r="1135" spans="1:15" x14ac:dyDescent="0.25">
      <c r="A1135" s="29" t="s">
        <v>732</v>
      </c>
      <c r="N1135">
        <f t="shared" si="3"/>
        <v>6</v>
      </c>
      <c r="O1135" s="7" t="str">
        <f ca="1">getCodigoBackend(N1135,A1135,VLOOKUP(N1135,setup!$A$8:$H$58,2),VLOOKUP(N1135,setup!$A$8:$H$58,3),VLOOKUP(N1135,setup!$A$8:$H$58,4),VLOOKUP(N1135,setup!$A$8:$H$58,5),VLOOKUP(N1135,setup!$A$8:$H$58,6),VLOOKUP(N1135,setup!$A$8:$H$58,7), VLOOKUP(0,setup!$A$8:$H$58,2),VLOOKUP(0,setup!$A$8:$H$58,5),VLOOKUP(N1135,setup!$A$8:$H$58,8))</f>
        <v xml:space="preserve">                $daofactory-&gt;commit();</v>
      </c>
    </row>
    <row r="1136" spans="1:15" x14ac:dyDescent="0.25">
      <c r="A1136" s="29" t="s">
        <v>733</v>
      </c>
      <c r="N1136">
        <f t="shared" si="3"/>
        <v>6</v>
      </c>
      <c r="O1136" s="7" t="str">
        <f ca="1">getCodigoBackend(N1136,A1136,VLOOKUP(N1136,setup!$A$8:$H$58,2),VLOOKUP(N1136,setup!$A$8:$H$58,3),VLOOKUP(N1136,setup!$A$8:$H$58,4),VLOOKUP(N1136,setup!$A$8:$H$58,5),VLOOKUP(N1136,setup!$A$8:$H$58,6),VLOOKUP(N1136,setup!$A$8:$H$58,7), VLOOKUP(0,setup!$A$8:$H$58,2),VLOOKUP(0,setup!$A$8:$H$58,5),VLOOKUP(N1136,setup!$A$8:$H$58,8))</f>
        <v xml:space="preserve">            } else {</v>
      </c>
    </row>
    <row r="1137" spans="1:15" x14ac:dyDescent="0.25">
      <c r="A1137" s="29" t="s">
        <v>734</v>
      </c>
      <c r="N1137">
        <f t="shared" si="3"/>
        <v>6</v>
      </c>
      <c r="O1137" s="7" t="str">
        <f ca="1">getCodigoBackend(N1137,A1137,VLOOKUP(N1137,setup!$A$8:$H$58,2),VLOOKUP(N1137,setup!$A$8:$H$58,3),VLOOKUP(N1137,setup!$A$8:$H$58,4),VLOOKUP(N1137,setup!$A$8:$H$58,5),VLOOKUP(N1137,setup!$A$8:$H$58,6),VLOOKUP(N1137,setup!$A$8:$H$58,7), VLOOKUP(0,setup!$A$8:$H$58,2),VLOOKUP(0,setup!$A$8:$H$58,5),VLOOKUP(N1137,setup!$A$8:$H$58,8))</f>
        <v xml:space="preserve">                $daofactory-&gt;rollback();</v>
      </c>
    </row>
    <row r="1138" spans="1:15" x14ac:dyDescent="0.25">
      <c r="A1138" s="29" t="s">
        <v>505</v>
      </c>
      <c r="N1138">
        <f t="shared" si="3"/>
        <v>6</v>
      </c>
      <c r="O1138" s="7" t="str">
        <f ca="1">getCodigoBackend(N1138,A1138,VLOOKUP(N1138,setup!$A$8:$H$58,2),VLOOKUP(N1138,setup!$A$8:$H$58,3),VLOOKUP(N1138,setup!$A$8:$H$58,4),VLOOKUP(N1138,setup!$A$8:$H$58,5),VLOOKUP(N1138,setup!$A$8:$H$58,6),VLOOKUP(N1138,setup!$A$8:$H$58,7), VLOOKUP(0,setup!$A$8:$H$58,2),VLOOKUP(0,setup!$A$8:$H$58,5),VLOOKUP(N1138,setup!$A$8:$H$58,8))</f>
        <v xml:space="preserve">            }</v>
      </c>
    </row>
    <row r="1139" spans="1:15" x14ac:dyDescent="0.25">
      <c r="A1139" s="29" t="s">
        <v>730</v>
      </c>
      <c r="N1139">
        <f t="shared" si="3"/>
        <v>6</v>
      </c>
      <c r="O1139" s="7" t="str">
        <f ca="1">getCodigoBackend(N1139,A1139,VLOOKUP(N1139,setup!$A$8:$H$58,2),VLOOKUP(N1139,setup!$A$8:$H$58,3),VLOOKUP(N1139,setup!$A$8:$H$58,4),VLOOKUP(N1139,setup!$A$8:$H$58,5),VLOOKUP(N1139,setup!$A$8:$H$58,6),VLOOKUP(N1139,setup!$A$8:$H$58,7), VLOOKUP(0,setup!$A$8:$H$58,2),VLOOKUP(0,setup!$A$8:$H$58,5),VLOOKUP(N1139,setup!$A$8:$H$58,8))</f>
        <v xml:space="preserve">            </v>
      </c>
    </row>
    <row r="1140" spans="1:15" x14ac:dyDescent="0.25">
      <c r="A1140" s="29" t="s">
        <v>735</v>
      </c>
      <c r="N1140">
        <f t="shared" si="3"/>
        <v>6</v>
      </c>
      <c r="O1140" s="7" t="str">
        <f ca="1">getCodigoBackend(N1140,A1140,VLOOKUP(N1140,setup!$A$8:$H$58,2),VLOOKUP(N1140,setup!$A$8:$H$58,3),VLOOKUP(N1140,setup!$A$8:$H$58,4),VLOOKUP(N1140,setup!$A$8:$H$58,5),VLOOKUP(N1140,setup!$A$8:$H$58,6),VLOOKUP(N1140,setup!$A$8:$H$58,7), VLOOKUP(0,setup!$A$8:$H$58,2),VLOOKUP(0,setup!$A$8:$H$58,5),VLOOKUP(N1140,setup!$A$8:$H$58,8))</f>
        <v xml:space="preserve">        } catch (Exception $e) {</v>
      </c>
    </row>
    <row r="1141" spans="1:15" x14ac:dyDescent="0.25">
      <c r="A1141" s="29" t="s">
        <v>736</v>
      </c>
      <c r="N1141">
        <f t="shared" si="3"/>
        <v>6</v>
      </c>
      <c r="O1141" s="7" t="str">
        <f ca="1">getCodigoBackend(N1141,A1141,VLOOKUP(N1141,setup!$A$8:$H$58,2),VLOOKUP(N1141,setup!$A$8:$H$58,3),VLOOKUP(N1141,setup!$A$8:$H$58,4),VLOOKUP(N1141,setup!$A$8:$H$58,5),VLOOKUP(N1141,setup!$A$8:$H$58,6),VLOOKUP(N1141,setup!$A$8:$H$58,7), VLOOKUP(0,setup!$A$8:$H$58,2),VLOOKUP(0,setup!$A$8:$H$58,5),VLOOKUP(N1141,setup!$A$8:$H$58,8))</f>
        <v xml:space="preserve">            // rollback na transação</v>
      </c>
    </row>
    <row r="1142" spans="1:15" x14ac:dyDescent="0.25">
      <c r="A1142" s="29" t="s">
        <v>737</v>
      </c>
      <c r="N1142">
        <f t="shared" si="3"/>
        <v>6</v>
      </c>
      <c r="O1142" s="7" t="str">
        <f ca="1">getCodigoBackend(N1142,A1142,VLOOKUP(N1142,setup!$A$8:$H$58,2),VLOOKUP(N1142,setup!$A$8:$H$58,3),VLOOKUP(N1142,setup!$A$8:$H$58,4),VLOOKUP(N1142,setup!$A$8:$H$58,5),VLOOKUP(N1142,setup!$A$8:$H$58,6),VLOOKUP(N1142,setup!$A$8:$H$58,7), VLOOKUP(0,setup!$A$8:$H$58,2),VLOOKUP(0,setup!$A$8:$H$58,5),VLOOKUP(N1142,setup!$A$8:$H$58,8))</f>
        <v xml:space="preserve">            $daofactory-&gt;rollback();</v>
      </c>
    </row>
    <row r="1143" spans="1:15" x14ac:dyDescent="0.25">
      <c r="A1143" s="29"/>
      <c r="N1143">
        <f t="shared" si="3"/>
        <v>6</v>
      </c>
      <c r="O1143" s="7" t="str">
        <f ca="1">getCodigoBackend(N1143,A1143,VLOOKUP(N1143,setup!$A$8:$H$58,2),VLOOKUP(N1143,setup!$A$8:$H$58,3),VLOOKUP(N1143,setup!$A$8:$H$58,4),VLOOKUP(N1143,setup!$A$8:$H$58,5),VLOOKUP(N1143,setup!$A$8:$H$58,6),VLOOKUP(N1143,setup!$A$8:$H$58,7), VLOOKUP(0,setup!$A$8:$H$58,2),VLOOKUP(0,setup!$A$8:$H$58,5),VLOOKUP(N1143,setup!$A$8:$H$58,8))</f>
        <v/>
      </c>
    </row>
    <row r="1144" spans="1:15" x14ac:dyDescent="0.25">
      <c r="A1144" s="29" t="s">
        <v>738</v>
      </c>
      <c r="N1144">
        <f t="shared" si="3"/>
        <v>6</v>
      </c>
      <c r="O1144" s="7" t="str">
        <f ca="1">getCodigoBackend(N1144,A1144,VLOOKUP(N1144,setup!$A$8:$H$58,2),VLOOKUP(N1144,setup!$A$8:$H$58,3),VLOOKUP(N1144,setup!$A$8:$H$58,4),VLOOKUP(N1144,setup!$A$8:$H$58,5),VLOOKUP(N1144,setup!$A$8:$H$58,6),VLOOKUP(N1144,setup!$A$8:$H$58,7), VLOOKUP(0,setup!$A$8:$H$58,2),VLOOKUP(0,setup!$A$8:$H$58,5),VLOOKUP(N1144,setup!$A$8:$H$58,8))</f>
        <v xml:space="preserve">        } finally {</v>
      </c>
    </row>
    <row r="1145" spans="1:15" x14ac:dyDescent="0.25">
      <c r="A1145" s="29" t="s">
        <v>739</v>
      </c>
      <c r="N1145">
        <f t="shared" si="3"/>
        <v>6</v>
      </c>
      <c r="O1145" s="7" t="str">
        <f ca="1">getCodigoBackend(N1145,A1145,VLOOKUP(N1145,setup!$A$8:$H$58,2),VLOOKUP(N1145,setup!$A$8:$H$58,3),VLOOKUP(N1145,setup!$A$8:$H$58,4),VLOOKUP(N1145,setup!$A$8:$H$58,5),VLOOKUP(N1145,setup!$A$8:$H$58,6),VLOOKUP(N1145,setup!$A$8:$H$58,7), VLOOKUP(0,setup!$A$8:$H$58,2),VLOOKUP(0,setup!$A$8:$H$58,5),VLOOKUP(N1145,setup!$A$8:$H$58,8))</f>
        <v xml:space="preserve">            try {</v>
      </c>
    </row>
    <row r="1146" spans="1:15" x14ac:dyDescent="0.25">
      <c r="A1146" s="29" t="s">
        <v>740</v>
      </c>
      <c r="N1146">
        <f t="shared" si="3"/>
        <v>6</v>
      </c>
      <c r="O1146" s="7" t="str">
        <f ca="1">getCodigoBackend(N1146,A1146,VLOOKUP(N1146,setup!$A$8:$H$58,2),VLOOKUP(N1146,setup!$A$8:$H$58,3),VLOOKUP(N1146,setup!$A$8:$H$58,4),VLOOKUP(N1146,setup!$A$8:$H$58,5),VLOOKUP(N1146,setup!$A$8:$H$58,6),VLOOKUP(N1146,setup!$A$8:$H$58,7), VLOOKUP(0,setup!$A$8:$H$58,2),VLOOKUP(0,setup!$A$8:$H$58,5),VLOOKUP(N1146,setup!$A$8:$H$58,8))</f>
        <v xml:space="preserve">                $daofactory-&gt;close();</v>
      </c>
    </row>
    <row r="1147" spans="1:15" x14ac:dyDescent="0.25">
      <c r="A1147" s="29" t="s">
        <v>741</v>
      </c>
      <c r="N1147">
        <f t="shared" si="3"/>
        <v>6</v>
      </c>
      <c r="O1147" s="7" t="str">
        <f ca="1">getCodigoBackend(N1147,A1147,VLOOKUP(N1147,setup!$A$8:$H$58,2),VLOOKUP(N1147,setup!$A$8:$H$58,3),VLOOKUP(N1147,setup!$A$8:$H$58,4),VLOOKUP(N1147,setup!$A$8:$H$58,5),VLOOKUP(N1147,setup!$A$8:$H$58,6),VLOOKUP(N1147,setup!$A$8:$H$58,7), VLOOKUP(0,setup!$A$8:$H$58,2),VLOOKUP(0,setup!$A$8:$H$58,5),VLOOKUP(N1147,setup!$A$8:$H$58,8))</f>
        <v xml:space="preserve">            } catch (Exception $e) {</v>
      </c>
    </row>
    <row r="1148" spans="1:15" x14ac:dyDescent="0.25">
      <c r="A1148" s="29" t="s">
        <v>742</v>
      </c>
      <c r="N1148">
        <f t="shared" si="3"/>
        <v>6</v>
      </c>
      <c r="O1148" s="7" t="str">
        <f ca="1">getCodigoBackend(N1148,A1148,VLOOKUP(N1148,setup!$A$8:$H$58,2),VLOOKUP(N1148,setup!$A$8:$H$58,3),VLOOKUP(N1148,setup!$A$8:$H$58,4),VLOOKUP(N1148,setup!$A$8:$H$58,5),VLOOKUP(N1148,setup!$A$8:$H$58,6),VLOOKUP(N1148,setup!$A$8:$H$58,7), VLOOKUP(0,setup!$A$8:$H$58,2),VLOOKUP(0,setup!$A$8:$H$58,5),VLOOKUP(N1148,setup!$A$8:$H$58,8))</f>
        <v xml:space="preserve">                // faz algo</v>
      </c>
    </row>
    <row r="1149" spans="1:15" x14ac:dyDescent="0.25">
      <c r="A1149" s="29" t="s">
        <v>505</v>
      </c>
      <c r="N1149">
        <f t="shared" si="3"/>
        <v>6</v>
      </c>
      <c r="O1149" s="7" t="str">
        <f ca="1">getCodigoBackend(N1149,A1149,VLOOKUP(N1149,setup!$A$8:$H$58,2),VLOOKUP(N1149,setup!$A$8:$H$58,3),VLOOKUP(N1149,setup!$A$8:$H$58,4),VLOOKUP(N1149,setup!$A$8:$H$58,5),VLOOKUP(N1149,setup!$A$8:$H$58,6),VLOOKUP(N1149,setup!$A$8:$H$58,7), VLOOKUP(0,setup!$A$8:$H$58,2),VLOOKUP(0,setup!$A$8:$H$58,5),VLOOKUP(N1149,setup!$A$8:$H$58,8))</f>
        <v xml:space="preserve">            }</v>
      </c>
    </row>
    <row r="1150" spans="1:15" x14ac:dyDescent="0.25">
      <c r="A1150" s="29" t="s">
        <v>157</v>
      </c>
      <c r="N1150">
        <f t="shared" si="3"/>
        <v>6</v>
      </c>
      <c r="O1150" s="7" t="str">
        <f ca="1">getCodigoBackend(N1150,A1150,VLOOKUP(N1150,setup!$A$8:$H$58,2),VLOOKUP(N1150,setup!$A$8:$H$58,3),VLOOKUP(N1150,setup!$A$8:$H$58,4),VLOOKUP(N1150,setup!$A$8:$H$58,5),VLOOKUP(N1150,setup!$A$8:$H$58,6),VLOOKUP(N1150,setup!$A$8:$H$58,7), VLOOKUP(0,setup!$A$8:$H$58,2),VLOOKUP(0,setup!$A$8:$H$58,5),VLOOKUP(N1150,setup!$A$8:$H$58,8))</f>
        <v xml:space="preserve">        }</v>
      </c>
    </row>
    <row r="1151" spans="1:15" x14ac:dyDescent="0.25">
      <c r="A1151" s="29"/>
      <c r="N1151">
        <f t="shared" si="3"/>
        <v>6</v>
      </c>
      <c r="O1151" s="7" t="str">
        <f ca="1">getCodigoBackend(N1151,A1151,VLOOKUP(N1151,setup!$A$8:$H$58,2),VLOOKUP(N1151,setup!$A$8:$H$58,3),VLOOKUP(N1151,setup!$A$8:$H$58,4),VLOOKUP(N1151,setup!$A$8:$H$58,5),VLOOKUP(N1151,setup!$A$8:$H$58,6),VLOOKUP(N1151,setup!$A$8:$H$58,7), VLOOKUP(0,setup!$A$8:$H$58,2),VLOOKUP(0,setup!$A$8:$H$58,5),VLOOKUP(N1151,setup!$A$8:$H$58,8))</f>
        <v/>
      </c>
    </row>
    <row r="1152" spans="1:15" x14ac:dyDescent="0.25">
      <c r="A1152" s="29" t="s">
        <v>743</v>
      </c>
      <c r="N1152">
        <f t="shared" si="3"/>
        <v>6</v>
      </c>
      <c r="O1152" s="7" t="str">
        <f ca="1">getCodigoBackend(N1152,A1152,VLOOKUP(N1152,setup!$A$8:$H$58,2),VLOOKUP(N1152,setup!$A$8:$H$58,3),VLOOKUP(N1152,setup!$A$8:$H$58,4),VLOOKUP(N1152,setup!$A$8:$H$58,5),VLOOKUP(N1152,setup!$A$8:$H$58,6),VLOOKUP(N1152,setup!$A$8:$H$58,7), VLOOKUP(0,setup!$A$8:$H$58,2),VLOOKUP(0,setup!$A$8:$H$58,5),VLOOKUP(N1152,setup!$A$8:$H$58,8))</f>
        <v xml:space="preserve">        return $retorno;</v>
      </c>
    </row>
    <row r="1153" spans="1:15" x14ac:dyDescent="0.25">
      <c r="A1153" s="29" t="s">
        <v>406</v>
      </c>
      <c r="N1153">
        <f t="shared" si="3"/>
        <v>6</v>
      </c>
      <c r="O1153" s="7" t="str">
        <f ca="1">getCodigoBackend(N1153,A1153,VLOOKUP(N1153,setup!$A$8:$H$58,2),VLOOKUP(N1153,setup!$A$8:$H$58,3),VLOOKUP(N1153,setup!$A$8:$H$58,4),VLOOKUP(N1153,setup!$A$8:$H$58,5),VLOOKUP(N1153,setup!$A$8:$H$58,6),VLOOKUP(N1153,setup!$A$8:$H$58,7), VLOOKUP(0,setup!$A$8:$H$58,2),VLOOKUP(0,setup!$A$8:$H$58,5),VLOOKUP(N1153,setup!$A$8:$H$58,8))</f>
        <v xml:space="preserve">    }</v>
      </c>
    </row>
    <row r="1154" spans="1:15" x14ac:dyDescent="0.25">
      <c r="A1154" s="6"/>
      <c r="O1154" s="7"/>
    </row>
    <row r="1155" spans="1:15" x14ac:dyDescent="0.25">
      <c r="A1155" s="4" t="s">
        <v>19</v>
      </c>
      <c r="N1155">
        <f>N1153+1</f>
        <v>7</v>
      </c>
      <c r="O1155" s="7" t="str">
        <f ca="1">getCodigoBackend(N1155,A1155,VLOOKUP(N1155,setup!$A$8:$H$58,2),VLOOKUP(N1155,setup!$A$8:$H$58,3),VLOOKUP(N1155,setup!$A$8:$H$58,4),VLOOKUP(N1155,setup!$A$8:$H$58,5),VLOOKUP(N1155,setup!$A$8:$H$58,6),VLOOKUP(N1155,setup!$A$8:$H$58,7), VLOOKUP(0,setup!$A$8:$H$58,2),VLOOKUP(0,setup!$A$8:$H$58,5),VLOOKUP(N1155,setup!$A$8:$H$58,8))</f>
        <v>/**</v>
      </c>
    </row>
    <row r="1156" spans="1:15" x14ac:dyDescent="0.25">
      <c r="A1156" s="4" t="s">
        <v>20</v>
      </c>
      <c r="N1156">
        <f>N1155</f>
        <v>7</v>
      </c>
      <c r="O1156" s="7" t="str">
        <f ca="1">getCodigoBackend(N1156,A1156,VLOOKUP(N1156,setup!$A$8:$H$58,2),VLOOKUP(N1156,setup!$A$8:$H$58,3),VLOOKUP(N1156,setup!$A$8:$H$58,4),VLOOKUP(N1156,setup!$A$8:$H$58,5),VLOOKUP(N1156,setup!$A$8:$H$58,6),VLOOKUP(N1156,setup!$A$8:$H$58,7), VLOOKUP(0,setup!$A$8:$H$58,2),VLOOKUP(0,setup!$A$8:$H$58,5),VLOOKUP(N1156,setup!$A$8:$H$58,8))</f>
        <v>*</v>
      </c>
    </row>
    <row r="1157" spans="1:15" x14ac:dyDescent="0.25">
      <c r="A1157" s="4" t="s">
        <v>744</v>
      </c>
      <c r="N1157">
        <f t="shared" ref="N1157:N1198" si="4">N1156</f>
        <v>7</v>
      </c>
      <c r="O1157" s="7" t="str">
        <f ca="1">getCodigoBackend(N1157,A1157,VLOOKUP(N1157,setup!$A$8:$H$58,2),VLOOKUP(N1157,setup!$A$8:$H$58,3),VLOOKUP(N1157,setup!$A$8:$H$58,4),VLOOKUP(N1157,setup!$A$8:$H$58,5),VLOOKUP(N1157,setup!$A$8:$H$58,6),VLOOKUP(N1157,setup!$A$8:$H$58,7), VLOOKUP(0,setup!$A$8:$H$58,2),VLOOKUP(0,setup!$A$8:$H$58,5),VLOOKUP(N1157,setup!$A$8:$H$58,8))</f>
        <v>* atualizarEstagiorealtimePorPK() - Usado para invocar a classe de negócio CampanhaCashbackResgatePixBusinessImpl de forma geral</v>
      </c>
    </row>
    <row r="1158" spans="1:15" x14ac:dyDescent="0.25">
      <c r="A1158" s="4" t="s">
        <v>745</v>
      </c>
      <c r="N1158">
        <f t="shared" si="4"/>
        <v>7</v>
      </c>
      <c r="O1158" s="7" t="str">
        <f ca="1">getCodigoBackend(N1158,A1158,VLOOKUP(N1158,setup!$A$8:$H$58,2),VLOOKUP(N1158,setup!$A$8:$H$58,3),VLOOKUP(N1158,setup!$A$8:$H$58,4),VLOOKUP(N1158,setup!$A$8:$H$58,5),VLOOKUP(N1158,setup!$A$8:$H$58,6),VLOOKUP(N1158,setup!$A$8:$H$58,7), VLOOKUP(0,setup!$A$8:$H$58,2),VLOOKUP(0,setup!$A$8:$H$58,5),VLOOKUP(N1158,setup!$A$8:$H$58,8))</f>
        <v>* realizar uma atualização de Estágio Real Time diretamente na tabela CAMPANHA_CASHBACK_RESGATE_PIX campo CCRP_IN_ESTAGIO_RT</v>
      </c>
    </row>
    <row r="1159" spans="1:15" x14ac:dyDescent="0.25">
      <c r="A1159" s="4" t="s">
        <v>346</v>
      </c>
      <c r="N1159">
        <f t="shared" si="4"/>
        <v>7</v>
      </c>
      <c r="O1159" s="7" t="str">
        <f ca="1">getCodigoBackend(N1159,A1159,VLOOKUP(N1159,setup!$A$8:$H$58,2),VLOOKUP(N1159,setup!$A$8:$H$58,3),VLOOKUP(N1159,setup!$A$8:$H$58,4),VLOOKUP(N1159,setup!$A$8:$H$58,5),VLOOKUP(N1159,setup!$A$8:$H$58,6),VLOOKUP(N1159,setup!$A$8:$H$58,7), VLOOKUP(0,setup!$A$8:$H$58,2),VLOOKUP(0,setup!$A$8:$H$58,5),VLOOKUP(N1159,setup!$A$8:$H$58,8))</f>
        <v>* @param $id</v>
      </c>
    </row>
    <row r="1160" spans="1:15" x14ac:dyDescent="0.25">
      <c r="A1160" s="4" t="s">
        <v>723</v>
      </c>
      <c r="N1160">
        <f t="shared" si="4"/>
        <v>7</v>
      </c>
      <c r="O1160" s="7" t="str">
        <f ca="1">getCodigoBackend(N1160,A1160,VLOOKUP(N1160,setup!$A$8:$H$58,2),VLOOKUP(N1160,setup!$A$8:$H$58,3),VLOOKUP(N1160,setup!$A$8:$H$58,4),VLOOKUP(N1160,setup!$A$8:$H$58,5),VLOOKUP(N1160,setup!$A$8:$H$58,6),VLOOKUP(N1160,setup!$A$8:$H$58,7), VLOOKUP(0,setup!$A$8:$H$58,2),VLOOKUP(0,setup!$A$8:$H$58,5),VLOOKUP(N1160,setup!$A$8:$H$58,8))</f>
        <v>* @param $estagioRealTime</v>
      </c>
    </row>
    <row r="1161" spans="1:15" x14ac:dyDescent="0.25">
      <c r="A1161" s="4" t="s">
        <v>347</v>
      </c>
      <c r="N1161">
        <f t="shared" si="4"/>
        <v>7</v>
      </c>
      <c r="O1161" s="7" t="str">
        <f ca="1">getCodigoBackend(N1161,A1161,VLOOKUP(N1161,setup!$A$8:$H$58,2),VLOOKUP(N1161,setup!$A$8:$H$58,3),VLOOKUP(N1161,setup!$A$8:$H$58,4),VLOOKUP(N1161,setup!$A$8:$H$58,5),VLOOKUP(N1161,setup!$A$8:$H$58,6),VLOOKUP(N1161,setup!$A$8:$H$58,7), VLOOKUP(0,setup!$A$8:$H$58,2),VLOOKUP(0,setup!$A$8:$H$58,5),VLOOKUP(N1161,setup!$A$8:$H$58,8))</f>
        <v>* @return CampanhaCashbackResgatePixDTO</v>
      </c>
    </row>
    <row r="1162" spans="1:15" x14ac:dyDescent="0.25">
      <c r="A1162" s="4" t="s">
        <v>20</v>
      </c>
      <c r="N1162">
        <f t="shared" si="4"/>
        <v>7</v>
      </c>
      <c r="O1162" s="7" t="str">
        <f ca="1">getCodigoBackend(N1162,A1162,VLOOKUP(N1162,setup!$A$8:$H$58,2),VLOOKUP(N1162,setup!$A$8:$H$58,3),VLOOKUP(N1162,setup!$A$8:$H$58,4),VLOOKUP(N1162,setup!$A$8:$H$58,5),VLOOKUP(N1162,setup!$A$8:$H$58,6),VLOOKUP(N1162,setup!$A$8:$H$58,7), VLOOKUP(0,setup!$A$8:$H$58,2),VLOOKUP(0,setup!$A$8:$H$58,5),VLOOKUP(N1162,setup!$A$8:$H$58,8))</f>
        <v>*</v>
      </c>
    </row>
    <row r="1163" spans="1:15" x14ac:dyDescent="0.25">
      <c r="A1163" s="4" t="s">
        <v>75</v>
      </c>
      <c r="N1163">
        <f t="shared" si="4"/>
        <v>7</v>
      </c>
      <c r="O1163" s="7" t="str">
        <f ca="1">getCodigoBackend(N1163,A1163,VLOOKUP(N1163,setup!$A$8:$H$58,2),VLOOKUP(N1163,setup!$A$8:$H$58,3),VLOOKUP(N1163,setup!$A$8:$H$58,4),VLOOKUP(N1163,setup!$A$8:$H$58,5),VLOOKUP(N1163,setup!$A$8:$H$58,6),VLOOKUP(N1163,setup!$A$8:$H$58,7), VLOOKUP(0,setup!$A$8:$H$58,2),VLOOKUP(0,setup!$A$8:$H$58,5),VLOOKUP(N1163,setup!$A$8:$H$58,8))</f>
        <v xml:space="preserve">* </v>
      </c>
    </row>
    <row r="1164" spans="1:15" x14ac:dyDescent="0.25">
      <c r="A1164" s="4" t="s">
        <v>21</v>
      </c>
      <c r="N1164">
        <f t="shared" si="4"/>
        <v>7</v>
      </c>
      <c r="O1164" s="7" t="str">
        <f ca="1">getCodigoBackend(N1164,A1164,VLOOKUP(N1164,setup!$A$8:$H$58,2),VLOOKUP(N1164,setup!$A$8:$H$58,3),VLOOKUP(N1164,setup!$A$8:$H$58,4),VLOOKUP(N1164,setup!$A$8:$H$58,5),VLOOKUP(N1164,setup!$A$8:$H$58,6),VLOOKUP(N1164,setup!$A$8:$H$58,7), VLOOKUP(0,setup!$A$8:$H$58,2),VLOOKUP(0,setup!$A$8:$H$58,5),VLOOKUP(N1164,setup!$A$8:$H$58,8))</f>
        <v>*/</v>
      </c>
    </row>
    <row r="1165" spans="1:15" x14ac:dyDescent="0.25">
      <c r="A1165" s="6"/>
      <c r="N1165">
        <f t="shared" si="4"/>
        <v>7</v>
      </c>
      <c r="O1165" s="7" t="str">
        <f ca="1">getCodigoBackend(N1165,A1165,VLOOKUP(N1165,setup!$A$8:$H$58,2),VLOOKUP(N1165,setup!$A$8:$H$58,3),VLOOKUP(N1165,setup!$A$8:$H$58,4),VLOOKUP(N1165,setup!$A$8:$H$58,5),VLOOKUP(N1165,setup!$A$8:$H$58,6),VLOOKUP(N1165,setup!$A$8:$H$58,7), VLOOKUP(0,setup!$A$8:$H$58,2),VLOOKUP(0,setup!$A$8:$H$58,5),VLOOKUP(N1165,setup!$A$8:$H$58,8))</f>
        <v/>
      </c>
    </row>
    <row r="1166" spans="1:15" x14ac:dyDescent="0.25">
      <c r="A1166" s="29" t="s">
        <v>782</v>
      </c>
      <c r="N1166">
        <f t="shared" si="4"/>
        <v>7</v>
      </c>
      <c r="O1166" s="7" t="str">
        <f ca="1">getCodigoBackend(N1166,A1166,VLOOKUP(N1166,setup!$A$8:$H$58,2),VLOOKUP(N1166,setup!$A$8:$H$58,3),VLOOKUP(N1166,setup!$A$8:$H$58,4),VLOOKUP(N1166,setup!$A$8:$H$58,5),VLOOKUP(N1166,setup!$A$8:$H$58,6),VLOOKUP(N1166,setup!$A$8:$H$58,7), VLOOKUP(0,setup!$A$8:$H$58,2),VLOOKUP(0,setup!$A$8:$H$58,5),VLOOKUP(N1166,setup!$A$8:$H$58,8))</f>
        <v xml:space="preserve">    public function atualizarEstagiorealtimePorPK($estagioRealTime,$id)</v>
      </c>
    </row>
    <row r="1167" spans="1:15" x14ac:dyDescent="0.25">
      <c r="A1167" s="29" t="s">
        <v>379</v>
      </c>
      <c r="N1167">
        <f t="shared" si="4"/>
        <v>7</v>
      </c>
      <c r="O1167" s="7" t="str">
        <f ca="1">getCodigoBackend(N1167,A1167,VLOOKUP(N1167,setup!$A$8:$H$58,2),VLOOKUP(N1167,setup!$A$8:$H$58,3),VLOOKUP(N1167,setup!$A$8:$H$58,4),VLOOKUP(N1167,setup!$A$8:$H$58,5),VLOOKUP(N1167,setup!$A$8:$H$58,6),VLOOKUP(N1167,setup!$A$8:$H$58,7), VLOOKUP(0,setup!$A$8:$H$58,2),VLOOKUP(0,setup!$A$8:$H$58,5),VLOOKUP(N1167,setup!$A$8:$H$58,8))</f>
        <v xml:space="preserve">    {</v>
      </c>
    </row>
    <row r="1168" spans="1:15" x14ac:dyDescent="0.25">
      <c r="A1168" s="29" t="s">
        <v>724</v>
      </c>
      <c r="N1168">
        <f t="shared" si="4"/>
        <v>7</v>
      </c>
      <c r="O1168" s="7" t="str">
        <f ca="1">getCodigoBackend(N1168,A1168,VLOOKUP(N1168,setup!$A$8:$H$58,2),VLOOKUP(N1168,setup!$A$8:$H$58,3),VLOOKUP(N1168,setup!$A$8:$H$58,4),VLOOKUP(N1168,setup!$A$8:$H$58,5),VLOOKUP(N1168,setup!$A$8:$H$58,6),VLOOKUP(N1168,setup!$A$8:$H$58,7), VLOOKUP(0,setup!$A$8:$H$58,2),VLOOKUP(0,setup!$A$8:$H$58,5),VLOOKUP(N1168,setup!$A$8:$H$58,8))</f>
        <v xml:space="preserve">        $daofactory = NULL;</v>
      </c>
    </row>
    <row r="1169" spans="1:15" x14ac:dyDescent="0.25">
      <c r="A1169" s="29" t="s">
        <v>725</v>
      </c>
      <c r="N1169">
        <f t="shared" si="4"/>
        <v>7</v>
      </c>
      <c r="O1169" s="7" t="str">
        <f ca="1">getCodigoBackend(N1169,A1169,VLOOKUP(N1169,setup!$A$8:$H$58,2),VLOOKUP(N1169,setup!$A$8:$H$58,3),VLOOKUP(N1169,setup!$A$8:$H$58,4),VLOOKUP(N1169,setup!$A$8:$H$58,5),VLOOKUP(N1169,setup!$A$8:$H$58,6),VLOOKUP(N1169,setup!$A$8:$H$58,7), VLOOKUP(0,setup!$A$8:$H$58,2),VLOOKUP(0,setup!$A$8:$H$58,5),VLOOKUP(N1169,setup!$A$8:$H$58,8))</f>
        <v xml:space="preserve">        $retorno = NULL;</v>
      </c>
    </row>
    <row r="1170" spans="1:15" x14ac:dyDescent="0.25">
      <c r="A1170" s="29" t="s">
        <v>726</v>
      </c>
      <c r="N1170">
        <f t="shared" si="4"/>
        <v>7</v>
      </c>
      <c r="O1170" s="7" t="str">
        <f ca="1">getCodigoBackend(N1170,A1170,VLOOKUP(N1170,setup!$A$8:$H$58,2),VLOOKUP(N1170,setup!$A$8:$H$58,3),VLOOKUP(N1170,setup!$A$8:$H$58,4),VLOOKUP(N1170,setup!$A$8:$H$58,5),VLOOKUP(N1170,setup!$A$8:$H$58,6),VLOOKUP(N1170,setup!$A$8:$H$58,7), VLOOKUP(0,setup!$A$8:$H$58,2),VLOOKUP(0,setup!$A$8:$H$58,5),VLOOKUP(N1170,setup!$A$8:$H$58,8))</f>
        <v xml:space="preserve">        try {</v>
      </c>
    </row>
    <row r="1171" spans="1:15" x14ac:dyDescent="0.25">
      <c r="A1171" s="29" t="s">
        <v>727</v>
      </c>
      <c r="N1171">
        <f t="shared" si="4"/>
        <v>7</v>
      </c>
      <c r="O1171" s="7" t="str">
        <f ca="1">getCodigoBackend(N1171,A1171,VLOOKUP(N1171,setup!$A$8:$H$58,2),VLOOKUP(N1171,setup!$A$8:$H$58,3),VLOOKUP(N1171,setup!$A$8:$H$58,4),VLOOKUP(N1171,setup!$A$8:$H$58,5),VLOOKUP(N1171,setup!$A$8:$H$58,6),VLOOKUP(N1171,setup!$A$8:$H$58,7), VLOOKUP(0,setup!$A$8:$H$58,2),VLOOKUP(0,setup!$A$8:$H$58,5),VLOOKUP(N1171,setup!$A$8:$H$58,8))</f>
        <v xml:space="preserve">            $daofactory = DAOFactory::getDAOFactory();</v>
      </c>
    </row>
    <row r="1172" spans="1:15" x14ac:dyDescent="0.25">
      <c r="A1172" s="29" t="s">
        <v>728</v>
      </c>
      <c r="N1172">
        <f t="shared" si="4"/>
        <v>7</v>
      </c>
      <c r="O1172" s="7" t="str">
        <f ca="1">getCodigoBackend(N1172,A1172,VLOOKUP(N1172,setup!$A$8:$H$58,2),VLOOKUP(N1172,setup!$A$8:$H$58,3),VLOOKUP(N1172,setup!$A$8:$H$58,4),VLOOKUP(N1172,setup!$A$8:$H$58,5),VLOOKUP(N1172,setup!$A$8:$H$58,6),VLOOKUP(N1172,setup!$A$8:$H$58,7), VLOOKUP(0,setup!$A$8:$H$58,2),VLOOKUP(0,setup!$A$8:$H$58,5),VLOOKUP(N1172,setup!$A$8:$H$58,8))</f>
        <v xml:space="preserve">            $daofactory-&gt;open();</v>
      </c>
    </row>
    <row r="1173" spans="1:15" x14ac:dyDescent="0.25">
      <c r="A1173" s="29" t="s">
        <v>729</v>
      </c>
      <c r="N1173">
        <f t="shared" si="4"/>
        <v>7</v>
      </c>
      <c r="O1173" s="7" t="str">
        <f ca="1">getCodigoBackend(N1173,A1173,VLOOKUP(N1173,setup!$A$8:$H$58,2),VLOOKUP(N1173,setup!$A$8:$H$58,3),VLOOKUP(N1173,setup!$A$8:$H$58,4),VLOOKUP(N1173,setup!$A$8:$H$58,5),VLOOKUP(N1173,setup!$A$8:$H$58,6),VLOOKUP(N1173,setup!$A$8:$H$58,7), VLOOKUP(0,setup!$A$8:$H$58,2),VLOOKUP(0,setup!$A$8:$H$58,5),VLOOKUP(N1173,setup!$A$8:$H$58,8))</f>
        <v xml:space="preserve">            $daofactory-&gt;beginTransaction();</v>
      </c>
    </row>
    <row r="1174" spans="1:15" x14ac:dyDescent="0.25">
      <c r="A1174" s="29" t="s">
        <v>730</v>
      </c>
      <c r="N1174">
        <f t="shared" si="4"/>
        <v>7</v>
      </c>
      <c r="O1174" s="7" t="str">
        <f ca="1">getCodigoBackend(N1174,A1174,VLOOKUP(N1174,setup!$A$8:$H$58,2),VLOOKUP(N1174,setup!$A$8:$H$58,3),VLOOKUP(N1174,setup!$A$8:$H$58,4),VLOOKUP(N1174,setup!$A$8:$H$58,5),VLOOKUP(N1174,setup!$A$8:$H$58,6),VLOOKUP(N1174,setup!$A$8:$H$58,7), VLOOKUP(0,setup!$A$8:$H$58,2),VLOOKUP(0,setup!$A$8:$H$58,5),VLOOKUP(N1174,setup!$A$8:$H$58,8))</f>
        <v xml:space="preserve">            </v>
      </c>
    </row>
    <row r="1175" spans="1:15" x14ac:dyDescent="0.25">
      <c r="A1175" s="29" t="s">
        <v>746</v>
      </c>
      <c r="N1175">
        <f t="shared" si="4"/>
        <v>7</v>
      </c>
      <c r="O1175" s="7" t="str">
        <f ca="1">getCodigoBackend(N1175,A1175,VLOOKUP(N1175,setup!$A$8:$H$58,2),VLOOKUP(N1175,setup!$A$8:$H$58,3),VLOOKUP(N1175,setup!$A$8:$H$58,4),VLOOKUP(N1175,setup!$A$8:$H$58,5),VLOOKUP(N1175,setup!$A$8:$H$58,6),VLOOKUP(N1175,setup!$A$8:$H$58,7), VLOOKUP(0,setup!$A$8:$H$58,2),VLOOKUP(0,setup!$A$8:$H$58,5),VLOOKUP(N1175,setup!$A$8:$H$58,8))</f>
        <v xml:space="preserve">            // atualizar registro por meio do método CampanhaCashbackResgatePixBusinessImpl::atualizarEstagiorealtimePorPK($estagioRealTime,$id)</v>
      </c>
    </row>
    <row r="1176" spans="1:15" x14ac:dyDescent="0.25">
      <c r="A1176" s="29" t="s">
        <v>747</v>
      </c>
      <c r="N1176">
        <f t="shared" si="4"/>
        <v>7</v>
      </c>
      <c r="O1176" s="7" t="str">
        <f ca="1">getCodigoBackend(N1176,A1176,VLOOKUP(N1176,setup!$A$8:$H$58,2),VLOOKUP(N1176,setup!$A$8:$H$58,3),VLOOKUP(N1176,setup!$A$8:$H$58,4),VLOOKUP(N1176,setup!$A$8:$H$58,5),VLOOKUP(N1176,setup!$A$8:$H$58,6),VLOOKUP(N1176,setup!$A$8:$H$58,7), VLOOKUP(0,setup!$A$8:$H$58,2),VLOOKUP(0,setup!$A$8:$H$58,5),VLOOKUP(N1176,setup!$A$8:$H$58,8))</f>
        <v xml:space="preserve">           $bo = new CampanhaCashbackResgatePixBusinessImpl();</v>
      </c>
    </row>
    <row r="1177" spans="1:15" x14ac:dyDescent="0.25">
      <c r="A1177" s="29" t="s">
        <v>748</v>
      </c>
      <c r="N1177">
        <f t="shared" si="4"/>
        <v>7</v>
      </c>
      <c r="O1177" s="7" t="str">
        <f ca="1">getCodigoBackend(N1177,A1177,VLOOKUP(N1177,setup!$A$8:$H$58,2),VLOOKUP(N1177,setup!$A$8:$H$58,3),VLOOKUP(N1177,setup!$A$8:$H$58,4),VLOOKUP(N1177,setup!$A$8:$H$58,5),VLOOKUP(N1177,setup!$A$8:$H$58,6),VLOOKUP(N1177,setup!$A$8:$H$58,7), VLOOKUP(0,setup!$A$8:$H$58,2),VLOOKUP(0,setup!$A$8:$H$58,5),VLOOKUP(N1177,setup!$A$8:$H$58,8))</f>
        <v xml:space="preserve">           $retorno = $bo-&gt;atualizarEstagiorealtimePorPK($daofactory,$estagioRealTime,$id);</v>
      </c>
    </row>
    <row r="1178" spans="1:15" x14ac:dyDescent="0.25">
      <c r="A1178" s="29"/>
      <c r="N1178">
        <f t="shared" si="4"/>
        <v>7</v>
      </c>
      <c r="O1178" s="7" t="str">
        <f ca="1">getCodigoBackend(N1178,A1178,VLOOKUP(N1178,setup!$A$8:$H$58,2),VLOOKUP(N1178,setup!$A$8:$H$58,3),VLOOKUP(N1178,setup!$A$8:$H$58,4),VLOOKUP(N1178,setup!$A$8:$H$58,5),VLOOKUP(N1178,setup!$A$8:$H$58,6),VLOOKUP(N1178,setup!$A$8:$H$58,7), VLOOKUP(0,setup!$A$8:$H$58,2),VLOOKUP(0,setup!$A$8:$H$58,5),VLOOKUP(N1178,setup!$A$8:$H$58,8))</f>
        <v/>
      </c>
    </row>
    <row r="1179" spans="1:15" x14ac:dyDescent="0.25">
      <c r="A1179" s="29" t="s">
        <v>731</v>
      </c>
      <c r="N1179">
        <f t="shared" si="4"/>
        <v>7</v>
      </c>
      <c r="O1179" s="7" t="str">
        <f ca="1">getCodigoBackend(N1179,A1179,VLOOKUP(N1179,setup!$A$8:$H$58,2),VLOOKUP(N1179,setup!$A$8:$H$58,3),VLOOKUP(N1179,setup!$A$8:$H$58,4),VLOOKUP(N1179,setup!$A$8:$H$58,5),VLOOKUP(N1179,setup!$A$8:$H$58,6),VLOOKUP(N1179,setup!$A$8:$H$58,7), VLOOKUP(0,setup!$A$8:$H$58,2),VLOOKUP(0,setup!$A$8:$H$58,5),VLOOKUP(N1179,setup!$A$8:$H$58,8))</f>
        <v xml:space="preserve">           if ($retorno-&gt;msgcode == ConstantesMensagem::COMANDO_REALIZADO_COM_SUCESSO){</v>
      </c>
    </row>
    <row r="1180" spans="1:15" x14ac:dyDescent="0.25">
      <c r="A1180" s="29" t="s">
        <v>732</v>
      </c>
      <c r="N1180">
        <f t="shared" si="4"/>
        <v>7</v>
      </c>
      <c r="O1180" s="7" t="str">
        <f ca="1">getCodigoBackend(N1180,A1180,VLOOKUP(N1180,setup!$A$8:$H$58,2),VLOOKUP(N1180,setup!$A$8:$H$58,3),VLOOKUP(N1180,setup!$A$8:$H$58,4),VLOOKUP(N1180,setup!$A$8:$H$58,5),VLOOKUP(N1180,setup!$A$8:$H$58,6),VLOOKUP(N1180,setup!$A$8:$H$58,7), VLOOKUP(0,setup!$A$8:$H$58,2),VLOOKUP(0,setup!$A$8:$H$58,5),VLOOKUP(N1180,setup!$A$8:$H$58,8))</f>
        <v xml:space="preserve">                $daofactory-&gt;commit();</v>
      </c>
    </row>
    <row r="1181" spans="1:15" x14ac:dyDescent="0.25">
      <c r="A1181" s="29" t="s">
        <v>733</v>
      </c>
      <c r="N1181">
        <f t="shared" si="4"/>
        <v>7</v>
      </c>
      <c r="O1181" s="7" t="str">
        <f ca="1">getCodigoBackend(N1181,A1181,VLOOKUP(N1181,setup!$A$8:$H$58,2),VLOOKUP(N1181,setup!$A$8:$H$58,3),VLOOKUP(N1181,setup!$A$8:$H$58,4),VLOOKUP(N1181,setup!$A$8:$H$58,5),VLOOKUP(N1181,setup!$A$8:$H$58,6),VLOOKUP(N1181,setup!$A$8:$H$58,7), VLOOKUP(0,setup!$A$8:$H$58,2),VLOOKUP(0,setup!$A$8:$H$58,5),VLOOKUP(N1181,setup!$A$8:$H$58,8))</f>
        <v xml:space="preserve">            } else {</v>
      </c>
    </row>
    <row r="1182" spans="1:15" x14ac:dyDescent="0.25">
      <c r="A1182" s="29" t="s">
        <v>734</v>
      </c>
      <c r="N1182">
        <f t="shared" si="4"/>
        <v>7</v>
      </c>
      <c r="O1182" s="7" t="str">
        <f ca="1">getCodigoBackend(N1182,A1182,VLOOKUP(N1182,setup!$A$8:$H$58,2),VLOOKUP(N1182,setup!$A$8:$H$58,3),VLOOKUP(N1182,setup!$A$8:$H$58,4),VLOOKUP(N1182,setup!$A$8:$H$58,5),VLOOKUP(N1182,setup!$A$8:$H$58,6),VLOOKUP(N1182,setup!$A$8:$H$58,7), VLOOKUP(0,setup!$A$8:$H$58,2),VLOOKUP(0,setup!$A$8:$H$58,5),VLOOKUP(N1182,setup!$A$8:$H$58,8))</f>
        <v xml:space="preserve">                $daofactory-&gt;rollback();</v>
      </c>
    </row>
    <row r="1183" spans="1:15" x14ac:dyDescent="0.25">
      <c r="A1183" s="29" t="s">
        <v>505</v>
      </c>
      <c r="N1183">
        <f t="shared" si="4"/>
        <v>7</v>
      </c>
      <c r="O1183" s="7" t="str">
        <f ca="1">getCodigoBackend(N1183,A1183,VLOOKUP(N1183,setup!$A$8:$H$58,2),VLOOKUP(N1183,setup!$A$8:$H$58,3),VLOOKUP(N1183,setup!$A$8:$H$58,4),VLOOKUP(N1183,setup!$A$8:$H$58,5),VLOOKUP(N1183,setup!$A$8:$H$58,6),VLOOKUP(N1183,setup!$A$8:$H$58,7), VLOOKUP(0,setup!$A$8:$H$58,2),VLOOKUP(0,setup!$A$8:$H$58,5),VLOOKUP(N1183,setup!$A$8:$H$58,8))</f>
        <v xml:space="preserve">            }</v>
      </c>
    </row>
    <row r="1184" spans="1:15" x14ac:dyDescent="0.25">
      <c r="A1184" s="29" t="s">
        <v>730</v>
      </c>
      <c r="N1184">
        <f t="shared" si="4"/>
        <v>7</v>
      </c>
      <c r="O1184" s="7" t="str">
        <f ca="1">getCodigoBackend(N1184,A1184,VLOOKUP(N1184,setup!$A$8:$H$58,2),VLOOKUP(N1184,setup!$A$8:$H$58,3),VLOOKUP(N1184,setup!$A$8:$H$58,4),VLOOKUP(N1184,setup!$A$8:$H$58,5),VLOOKUP(N1184,setup!$A$8:$H$58,6),VLOOKUP(N1184,setup!$A$8:$H$58,7), VLOOKUP(0,setup!$A$8:$H$58,2),VLOOKUP(0,setup!$A$8:$H$58,5),VLOOKUP(N1184,setup!$A$8:$H$58,8))</f>
        <v xml:space="preserve">            </v>
      </c>
    </row>
    <row r="1185" spans="1:15" x14ac:dyDescent="0.25">
      <c r="A1185" s="29" t="s">
        <v>735</v>
      </c>
      <c r="N1185">
        <f t="shared" si="4"/>
        <v>7</v>
      </c>
      <c r="O1185" s="7" t="str">
        <f ca="1">getCodigoBackend(N1185,A1185,VLOOKUP(N1185,setup!$A$8:$H$58,2),VLOOKUP(N1185,setup!$A$8:$H$58,3),VLOOKUP(N1185,setup!$A$8:$H$58,4),VLOOKUP(N1185,setup!$A$8:$H$58,5),VLOOKUP(N1185,setup!$A$8:$H$58,6),VLOOKUP(N1185,setup!$A$8:$H$58,7), VLOOKUP(0,setup!$A$8:$H$58,2),VLOOKUP(0,setup!$A$8:$H$58,5),VLOOKUP(N1185,setup!$A$8:$H$58,8))</f>
        <v xml:space="preserve">        } catch (Exception $e) {</v>
      </c>
    </row>
    <row r="1186" spans="1:15" x14ac:dyDescent="0.25">
      <c r="A1186" s="29" t="s">
        <v>736</v>
      </c>
      <c r="N1186">
        <f t="shared" si="4"/>
        <v>7</v>
      </c>
      <c r="O1186" s="7" t="str">
        <f ca="1">getCodigoBackend(N1186,A1186,VLOOKUP(N1186,setup!$A$8:$H$58,2),VLOOKUP(N1186,setup!$A$8:$H$58,3),VLOOKUP(N1186,setup!$A$8:$H$58,4),VLOOKUP(N1186,setup!$A$8:$H$58,5),VLOOKUP(N1186,setup!$A$8:$H$58,6),VLOOKUP(N1186,setup!$A$8:$H$58,7), VLOOKUP(0,setup!$A$8:$H$58,2),VLOOKUP(0,setup!$A$8:$H$58,5),VLOOKUP(N1186,setup!$A$8:$H$58,8))</f>
        <v xml:space="preserve">            // rollback na transação</v>
      </c>
    </row>
    <row r="1187" spans="1:15" x14ac:dyDescent="0.25">
      <c r="A1187" s="29" t="s">
        <v>737</v>
      </c>
      <c r="N1187">
        <f t="shared" si="4"/>
        <v>7</v>
      </c>
      <c r="O1187" s="7" t="str">
        <f ca="1">getCodigoBackend(N1187,A1187,VLOOKUP(N1187,setup!$A$8:$H$58,2),VLOOKUP(N1187,setup!$A$8:$H$58,3),VLOOKUP(N1187,setup!$A$8:$H$58,4),VLOOKUP(N1187,setup!$A$8:$H$58,5),VLOOKUP(N1187,setup!$A$8:$H$58,6),VLOOKUP(N1187,setup!$A$8:$H$58,7), VLOOKUP(0,setup!$A$8:$H$58,2),VLOOKUP(0,setup!$A$8:$H$58,5),VLOOKUP(N1187,setup!$A$8:$H$58,8))</f>
        <v xml:space="preserve">            $daofactory-&gt;rollback();</v>
      </c>
    </row>
    <row r="1188" spans="1:15" x14ac:dyDescent="0.25">
      <c r="A1188" s="29"/>
      <c r="N1188">
        <f t="shared" si="4"/>
        <v>7</v>
      </c>
      <c r="O1188" s="7" t="str">
        <f ca="1">getCodigoBackend(N1188,A1188,VLOOKUP(N1188,setup!$A$8:$H$58,2),VLOOKUP(N1188,setup!$A$8:$H$58,3),VLOOKUP(N1188,setup!$A$8:$H$58,4),VLOOKUP(N1188,setup!$A$8:$H$58,5),VLOOKUP(N1188,setup!$A$8:$H$58,6),VLOOKUP(N1188,setup!$A$8:$H$58,7), VLOOKUP(0,setup!$A$8:$H$58,2),VLOOKUP(0,setup!$A$8:$H$58,5),VLOOKUP(N1188,setup!$A$8:$H$58,8))</f>
        <v/>
      </c>
    </row>
    <row r="1189" spans="1:15" x14ac:dyDescent="0.25">
      <c r="A1189" s="29" t="s">
        <v>738</v>
      </c>
      <c r="N1189">
        <f t="shared" si="4"/>
        <v>7</v>
      </c>
      <c r="O1189" s="7" t="str">
        <f ca="1">getCodigoBackend(N1189,A1189,VLOOKUP(N1189,setup!$A$8:$H$58,2),VLOOKUP(N1189,setup!$A$8:$H$58,3),VLOOKUP(N1189,setup!$A$8:$H$58,4),VLOOKUP(N1189,setup!$A$8:$H$58,5),VLOOKUP(N1189,setup!$A$8:$H$58,6),VLOOKUP(N1189,setup!$A$8:$H$58,7), VLOOKUP(0,setup!$A$8:$H$58,2),VLOOKUP(0,setup!$A$8:$H$58,5),VLOOKUP(N1189,setup!$A$8:$H$58,8))</f>
        <v xml:space="preserve">        } finally {</v>
      </c>
    </row>
    <row r="1190" spans="1:15" x14ac:dyDescent="0.25">
      <c r="A1190" s="29" t="s">
        <v>739</v>
      </c>
      <c r="N1190">
        <f t="shared" si="4"/>
        <v>7</v>
      </c>
      <c r="O1190" s="7" t="str">
        <f ca="1">getCodigoBackend(N1190,A1190,VLOOKUP(N1190,setup!$A$8:$H$58,2),VLOOKUP(N1190,setup!$A$8:$H$58,3),VLOOKUP(N1190,setup!$A$8:$H$58,4),VLOOKUP(N1190,setup!$A$8:$H$58,5),VLOOKUP(N1190,setup!$A$8:$H$58,6),VLOOKUP(N1190,setup!$A$8:$H$58,7), VLOOKUP(0,setup!$A$8:$H$58,2),VLOOKUP(0,setup!$A$8:$H$58,5),VLOOKUP(N1190,setup!$A$8:$H$58,8))</f>
        <v xml:space="preserve">            try {</v>
      </c>
    </row>
    <row r="1191" spans="1:15" x14ac:dyDescent="0.25">
      <c r="A1191" s="29" t="s">
        <v>740</v>
      </c>
      <c r="N1191">
        <f t="shared" si="4"/>
        <v>7</v>
      </c>
      <c r="O1191" s="7" t="str">
        <f ca="1">getCodigoBackend(N1191,A1191,VLOOKUP(N1191,setup!$A$8:$H$58,2),VLOOKUP(N1191,setup!$A$8:$H$58,3),VLOOKUP(N1191,setup!$A$8:$H$58,4),VLOOKUP(N1191,setup!$A$8:$H$58,5),VLOOKUP(N1191,setup!$A$8:$H$58,6),VLOOKUP(N1191,setup!$A$8:$H$58,7), VLOOKUP(0,setup!$A$8:$H$58,2),VLOOKUP(0,setup!$A$8:$H$58,5),VLOOKUP(N1191,setup!$A$8:$H$58,8))</f>
        <v xml:space="preserve">                $daofactory-&gt;close();</v>
      </c>
    </row>
    <row r="1192" spans="1:15" x14ac:dyDescent="0.25">
      <c r="A1192" s="29" t="s">
        <v>741</v>
      </c>
      <c r="N1192">
        <f t="shared" si="4"/>
        <v>7</v>
      </c>
      <c r="O1192" s="7" t="str">
        <f ca="1">getCodigoBackend(N1192,A1192,VLOOKUP(N1192,setup!$A$8:$H$58,2),VLOOKUP(N1192,setup!$A$8:$H$58,3),VLOOKUP(N1192,setup!$A$8:$H$58,4),VLOOKUP(N1192,setup!$A$8:$H$58,5),VLOOKUP(N1192,setup!$A$8:$H$58,6),VLOOKUP(N1192,setup!$A$8:$H$58,7), VLOOKUP(0,setup!$A$8:$H$58,2),VLOOKUP(0,setup!$A$8:$H$58,5),VLOOKUP(N1192,setup!$A$8:$H$58,8))</f>
        <v xml:space="preserve">            } catch (Exception $e) {</v>
      </c>
    </row>
    <row r="1193" spans="1:15" x14ac:dyDescent="0.25">
      <c r="A1193" s="29" t="s">
        <v>742</v>
      </c>
      <c r="N1193">
        <f t="shared" si="4"/>
        <v>7</v>
      </c>
      <c r="O1193" s="7" t="str">
        <f ca="1">getCodigoBackend(N1193,A1193,VLOOKUP(N1193,setup!$A$8:$H$58,2),VLOOKUP(N1193,setup!$A$8:$H$58,3),VLOOKUP(N1193,setup!$A$8:$H$58,4),VLOOKUP(N1193,setup!$A$8:$H$58,5),VLOOKUP(N1193,setup!$A$8:$H$58,6),VLOOKUP(N1193,setup!$A$8:$H$58,7), VLOOKUP(0,setup!$A$8:$H$58,2),VLOOKUP(0,setup!$A$8:$H$58,5),VLOOKUP(N1193,setup!$A$8:$H$58,8))</f>
        <v xml:space="preserve">                // faz algo</v>
      </c>
    </row>
    <row r="1194" spans="1:15" x14ac:dyDescent="0.25">
      <c r="A1194" s="29" t="s">
        <v>505</v>
      </c>
      <c r="N1194">
        <f t="shared" si="4"/>
        <v>7</v>
      </c>
      <c r="O1194" s="7" t="str">
        <f ca="1">getCodigoBackend(N1194,A1194,VLOOKUP(N1194,setup!$A$8:$H$58,2),VLOOKUP(N1194,setup!$A$8:$H$58,3),VLOOKUP(N1194,setup!$A$8:$H$58,4),VLOOKUP(N1194,setup!$A$8:$H$58,5),VLOOKUP(N1194,setup!$A$8:$H$58,6),VLOOKUP(N1194,setup!$A$8:$H$58,7), VLOOKUP(0,setup!$A$8:$H$58,2),VLOOKUP(0,setup!$A$8:$H$58,5),VLOOKUP(N1194,setup!$A$8:$H$58,8))</f>
        <v xml:space="preserve">            }</v>
      </c>
    </row>
    <row r="1195" spans="1:15" x14ac:dyDescent="0.25">
      <c r="A1195" s="29" t="s">
        <v>157</v>
      </c>
      <c r="N1195">
        <f t="shared" si="4"/>
        <v>7</v>
      </c>
      <c r="O1195" s="7" t="str">
        <f ca="1">getCodigoBackend(N1195,A1195,VLOOKUP(N1195,setup!$A$8:$H$58,2),VLOOKUP(N1195,setup!$A$8:$H$58,3),VLOOKUP(N1195,setup!$A$8:$H$58,4),VLOOKUP(N1195,setup!$A$8:$H$58,5),VLOOKUP(N1195,setup!$A$8:$H$58,6),VLOOKUP(N1195,setup!$A$8:$H$58,7), VLOOKUP(0,setup!$A$8:$H$58,2),VLOOKUP(0,setup!$A$8:$H$58,5),VLOOKUP(N1195,setup!$A$8:$H$58,8))</f>
        <v xml:space="preserve">        }</v>
      </c>
    </row>
    <row r="1196" spans="1:15" x14ac:dyDescent="0.25">
      <c r="A1196" s="29"/>
      <c r="N1196">
        <f t="shared" si="4"/>
        <v>7</v>
      </c>
      <c r="O1196" s="7" t="str">
        <f ca="1">getCodigoBackend(N1196,A1196,VLOOKUP(N1196,setup!$A$8:$H$58,2),VLOOKUP(N1196,setup!$A$8:$H$58,3),VLOOKUP(N1196,setup!$A$8:$H$58,4),VLOOKUP(N1196,setup!$A$8:$H$58,5),VLOOKUP(N1196,setup!$A$8:$H$58,6),VLOOKUP(N1196,setup!$A$8:$H$58,7), VLOOKUP(0,setup!$A$8:$H$58,2),VLOOKUP(0,setup!$A$8:$H$58,5),VLOOKUP(N1196,setup!$A$8:$H$58,8))</f>
        <v/>
      </c>
    </row>
    <row r="1197" spans="1:15" x14ac:dyDescent="0.25">
      <c r="A1197" s="29" t="s">
        <v>743</v>
      </c>
      <c r="N1197">
        <f t="shared" si="4"/>
        <v>7</v>
      </c>
      <c r="O1197" s="7" t="str">
        <f ca="1">getCodigoBackend(N1197,A1197,VLOOKUP(N1197,setup!$A$8:$H$58,2),VLOOKUP(N1197,setup!$A$8:$H$58,3),VLOOKUP(N1197,setup!$A$8:$H$58,4),VLOOKUP(N1197,setup!$A$8:$H$58,5),VLOOKUP(N1197,setup!$A$8:$H$58,6),VLOOKUP(N1197,setup!$A$8:$H$58,7), VLOOKUP(0,setup!$A$8:$H$58,2),VLOOKUP(0,setup!$A$8:$H$58,5),VLOOKUP(N1197,setup!$A$8:$H$58,8))</f>
        <v xml:space="preserve">        return $retorno;</v>
      </c>
    </row>
    <row r="1198" spans="1:15" x14ac:dyDescent="0.25">
      <c r="A1198" s="29" t="s">
        <v>406</v>
      </c>
      <c r="N1198">
        <f t="shared" si="4"/>
        <v>7</v>
      </c>
      <c r="O1198" s="7" t="str">
        <f ca="1">getCodigoBackend(N1198,A1198,VLOOKUP(N1198,setup!$A$8:$H$58,2),VLOOKUP(N1198,setup!$A$8:$H$58,3),VLOOKUP(N1198,setup!$A$8:$H$58,4),VLOOKUP(N1198,setup!$A$8:$H$58,5),VLOOKUP(N1198,setup!$A$8:$H$58,6),VLOOKUP(N1198,setup!$A$8:$H$58,7), VLOOKUP(0,setup!$A$8:$H$58,2),VLOOKUP(0,setup!$A$8:$H$58,5),VLOOKUP(N1198,setup!$A$8:$H$58,8))</f>
        <v xml:space="preserve">    }</v>
      </c>
    </row>
    <row r="1199" spans="1:15" x14ac:dyDescent="0.25">
      <c r="A1199" s="6"/>
      <c r="O1199" s="7"/>
    </row>
    <row r="1200" spans="1:15" x14ac:dyDescent="0.25">
      <c r="A1200" s="4" t="s">
        <v>19</v>
      </c>
      <c r="N1200">
        <f>N1198+1</f>
        <v>8</v>
      </c>
      <c r="O1200" s="7" t="str">
        <f ca="1">getCodigoBackend(N1200,A1200,VLOOKUP(N1200,setup!$A$8:$H$58,2),VLOOKUP(N1200,setup!$A$8:$H$58,3),VLOOKUP(N1200,setup!$A$8:$H$58,4),VLOOKUP(N1200,setup!$A$8:$H$58,5),VLOOKUP(N1200,setup!$A$8:$H$58,6),VLOOKUP(N1200,setup!$A$8:$H$58,7), VLOOKUP(0,setup!$A$8:$H$58,2),VLOOKUP(0,setup!$A$8:$H$58,5),VLOOKUP(N1200,setup!$A$8:$H$58,8))</f>
        <v>/**</v>
      </c>
    </row>
    <row r="1201" spans="1:15" x14ac:dyDescent="0.25">
      <c r="A1201" s="4" t="s">
        <v>20</v>
      </c>
      <c r="N1201">
        <f>N1200</f>
        <v>8</v>
      </c>
      <c r="O1201" s="7" t="str">
        <f ca="1">getCodigoBackend(N1201,A1201,VLOOKUP(N1201,setup!$A$8:$H$58,2),VLOOKUP(N1201,setup!$A$8:$H$58,3),VLOOKUP(N1201,setup!$A$8:$H$58,4),VLOOKUP(N1201,setup!$A$8:$H$58,5),VLOOKUP(N1201,setup!$A$8:$H$58,6),VLOOKUP(N1201,setup!$A$8:$H$58,7), VLOOKUP(0,setup!$A$8:$H$58,2),VLOOKUP(0,setup!$A$8:$H$58,5),VLOOKUP(N1201,setup!$A$8:$H$58,8))</f>
        <v>*</v>
      </c>
    </row>
    <row r="1202" spans="1:15" x14ac:dyDescent="0.25">
      <c r="A1202" s="4" t="s">
        <v>744</v>
      </c>
      <c r="N1202">
        <f t="shared" ref="N1202:N1243" si="5">N1201</f>
        <v>8</v>
      </c>
      <c r="O1202" s="7" t="str">
        <f ca="1">getCodigoBackend(N1202,A1202,VLOOKUP(N1202,setup!$A$8:$H$58,2),VLOOKUP(N1202,setup!$A$8:$H$58,3),VLOOKUP(N1202,setup!$A$8:$H$58,4),VLOOKUP(N1202,setup!$A$8:$H$58,5),VLOOKUP(N1202,setup!$A$8:$H$58,6),VLOOKUP(N1202,setup!$A$8:$H$58,7), VLOOKUP(0,setup!$A$8:$H$58,2),VLOOKUP(0,setup!$A$8:$H$58,5),VLOOKUP(N1202,setup!$A$8:$H$58,8))</f>
        <v>* atualizarDtestagioanalisePorPK() - Usado para invocar a classe de negócio CampanhaCashbackResgatePixBusinessImpl de forma geral</v>
      </c>
    </row>
    <row r="1203" spans="1:15" x14ac:dyDescent="0.25">
      <c r="A1203" s="4" t="s">
        <v>745</v>
      </c>
      <c r="N1203">
        <f t="shared" si="5"/>
        <v>8</v>
      </c>
      <c r="O1203" s="7" t="str">
        <f ca="1">getCodigoBackend(N1203,A1203,VLOOKUP(N1203,setup!$A$8:$H$58,2),VLOOKUP(N1203,setup!$A$8:$H$58,3),VLOOKUP(N1203,setup!$A$8:$H$58,4),VLOOKUP(N1203,setup!$A$8:$H$58,5),VLOOKUP(N1203,setup!$A$8:$H$58,6),VLOOKUP(N1203,setup!$A$8:$H$58,7), VLOOKUP(0,setup!$A$8:$H$58,2),VLOOKUP(0,setup!$A$8:$H$58,5),VLOOKUP(N1203,setup!$A$8:$H$58,8))</f>
        <v>* realizar uma atualização de Data Registro Estágio Análise diretamente na tabela CAMPANHA_CASHBACK_RESGATE_PIX campo CCRP_DT_ESTAGIO_ANALISE</v>
      </c>
    </row>
    <row r="1204" spans="1:15" x14ac:dyDescent="0.25">
      <c r="A1204" s="4" t="s">
        <v>346</v>
      </c>
      <c r="N1204">
        <f t="shared" si="5"/>
        <v>8</v>
      </c>
      <c r="O1204" s="7" t="str">
        <f ca="1">getCodigoBackend(N1204,A1204,VLOOKUP(N1204,setup!$A$8:$H$58,2),VLOOKUP(N1204,setup!$A$8:$H$58,3),VLOOKUP(N1204,setup!$A$8:$H$58,4),VLOOKUP(N1204,setup!$A$8:$H$58,5),VLOOKUP(N1204,setup!$A$8:$H$58,6),VLOOKUP(N1204,setup!$A$8:$H$58,7), VLOOKUP(0,setup!$A$8:$H$58,2),VLOOKUP(0,setup!$A$8:$H$58,5),VLOOKUP(N1204,setup!$A$8:$H$58,8))</f>
        <v>* @param $id</v>
      </c>
    </row>
    <row r="1205" spans="1:15" x14ac:dyDescent="0.25">
      <c r="A1205" s="4" t="s">
        <v>723</v>
      </c>
      <c r="N1205">
        <f t="shared" si="5"/>
        <v>8</v>
      </c>
      <c r="O1205" s="7" t="str">
        <f ca="1">getCodigoBackend(N1205,A1205,VLOOKUP(N1205,setup!$A$8:$H$58,2),VLOOKUP(N1205,setup!$A$8:$H$58,3),VLOOKUP(N1205,setup!$A$8:$H$58,4),VLOOKUP(N1205,setup!$A$8:$H$58,5),VLOOKUP(N1205,setup!$A$8:$H$58,6),VLOOKUP(N1205,setup!$A$8:$H$58,7), VLOOKUP(0,setup!$A$8:$H$58,2),VLOOKUP(0,setup!$A$8:$H$58,5),VLOOKUP(N1205,setup!$A$8:$H$58,8))</f>
        <v>* @param $dtEstagioAnalise</v>
      </c>
    </row>
    <row r="1206" spans="1:15" x14ac:dyDescent="0.25">
      <c r="A1206" s="4" t="s">
        <v>347</v>
      </c>
      <c r="N1206">
        <f t="shared" si="5"/>
        <v>8</v>
      </c>
      <c r="O1206" s="7" t="str">
        <f ca="1">getCodigoBackend(N1206,A1206,VLOOKUP(N1206,setup!$A$8:$H$58,2),VLOOKUP(N1206,setup!$A$8:$H$58,3),VLOOKUP(N1206,setup!$A$8:$H$58,4),VLOOKUP(N1206,setup!$A$8:$H$58,5),VLOOKUP(N1206,setup!$A$8:$H$58,6),VLOOKUP(N1206,setup!$A$8:$H$58,7), VLOOKUP(0,setup!$A$8:$H$58,2),VLOOKUP(0,setup!$A$8:$H$58,5),VLOOKUP(N1206,setup!$A$8:$H$58,8))</f>
        <v>* @return CampanhaCashbackResgatePixDTO</v>
      </c>
    </row>
    <row r="1207" spans="1:15" x14ac:dyDescent="0.25">
      <c r="A1207" s="4" t="s">
        <v>20</v>
      </c>
      <c r="N1207">
        <f t="shared" si="5"/>
        <v>8</v>
      </c>
      <c r="O1207" s="7" t="str">
        <f ca="1">getCodigoBackend(N1207,A1207,VLOOKUP(N1207,setup!$A$8:$H$58,2),VLOOKUP(N1207,setup!$A$8:$H$58,3),VLOOKUP(N1207,setup!$A$8:$H$58,4),VLOOKUP(N1207,setup!$A$8:$H$58,5),VLOOKUP(N1207,setup!$A$8:$H$58,6),VLOOKUP(N1207,setup!$A$8:$H$58,7), VLOOKUP(0,setup!$A$8:$H$58,2),VLOOKUP(0,setup!$A$8:$H$58,5),VLOOKUP(N1207,setup!$A$8:$H$58,8))</f>
        <v>*</v>
      </c>
    </row>
    <row r="1208" spans="1:15" x14ac:dyDescent="0.25">
      <c r="A1208" s="4" t="s">
        <v>75</v>
      </c>
      <c r="N1208">
        <f t="shared" si="5"/>
        <v>8</v>
      </c>
      <c r="O1208" s="7" t="str">
        <f ca="1">getCodigoBackend(N1208,A1208,VLOOKUP(N1208,setup!$A$8:$H$58,2),VLOOKUP(N1208,setup!$A$8:$H$58,3),VLOOKUP(N1208,setup!$A$8:$H$58,4),VLOOKUP(N1208,setup!$A$8:$H$58,5),VLOOKUP(N1208,setup!$A$8:$H$58,6),VLOOKUP(N1208,setup!$A$8:$H$58,7), VLOOKUP(0,setup!$A$8:$H$58,2),VLOOKUP(0,setup!$A$8:$H$58,5),VLOOKUP(N1208,setup!$A$8:$H$58,8))</f>
        <v xml:space="preserve">* </v>
      </c>
    </row>
    <row r="1209" spans="1:15" x14ac:dyDescent="0.25">
      <c r="A1209" s="4" t="s">
        <v>21</v>
      </c>
      <c r="N1209">
        <f t="shared" si="5"/>
        <v>8</v>
      </c>
      <c r="O1209" s="7" t="str">
        <f ca="1">getCodigoBackend(N1209,A1209,VLOOKUP(N1209,setup!$A$8:$H$58,2),VLOOKUP(N1209,setup!$A$8:$H$58,3),VLOOKUP(N1209,setup!$A$8:$H$58,4),VLOOKUP(N1209,setup!$A$8:$H$58,5),VLOOKUP(N1209,setup!$A$8:$H$58,6),VLOOKUP(N1209,setup!$A$8:$H$58,7), VLOOKUP(0,setup!$A$8:$H$58,2),VLOOKUP(0,setup!$A$8:$H$58,5),VLOOKUP(N1209,setup!$A$8:$H$58,8))</f>
        <v>*/</v>
      </c>
    </row>
    <row r="1210" spans="1:15" x14ac:dyDescent="0.25">
      <c r="A1210" s="6"/>
      <c r="N1210">
        <f t="shared" si="5"/>
        <v>8</v>
      </c>
      <c r="O1210" s="7" t="str">
        <f ca="1">getCodigoBackend(N1210,A1210,VLOOKUP(N1210,setup!$A$8:$H$58,2),VLOOKUP(N1210,setup!$A$8:$H$58,3),VLOOKUP(N1210,setup!$A$8:$H$58,4),VLOOKUP(N1210,setup!$A$8:$H$58,5),VLOOKUP(N1210,setup!$A$8:$H$58,6),VLOOKUP(N1210,setup!$A$8:$H$58,7), VLOOKUP(0,setup!$A$8:$H$58,2),VLOOKUP(0,setup!$A$8:$H$58,5),VLOOKUP(N1210,setup!$A$8:$H$58,8))</f>
        <v/>
      </c>
    </row>
    <row r="1211" spans="1:15" x14ac:dyDescent="0.25">
      <c r="A1211" s="29" t="s">
        <v>782</v>
      </c>
      <c r="N1211">
        <f t="shared" si="5"/>
        <v>8</v>
      </c>
      <c r="O1211" s="7" t="str">
        <f ca="1">getCodigoBackend(N1211,A1211,VLOOKUP(N1211,setup!$A$8:$H$58,2),VLOOKUP(N1211,setup!$A$8:$H$58,3),VLOOKUP(N1211,setup!$A$8:$H$58,4),VLOOKUP(N1211,setup!$A$8:$H$58,5),VLOOKUP(N1211,setup!$A$8:$H$58,6),VLOOKUP(N1211,setup!$A$8:$H$58,7), VLOOKUP(0,setup!$A$8:$H$58,2),VLOOKUP(0,setup!$A$8:$H$58,5),VLOOKUP(N1211,setup!$A$8:$H$58,8))</f>
        <v xml:space="preserve">    public function atualizarDtestagioanalisePorPK($dtEstagioAnalise,$id)</v>
      </c>
    </row>
    <row r="1212" spans="1:15" x14ac:dyDescent="0.25">
      <c r="A1212" s="29" t="s">
        <v>379</v>
      </c>
      <c r="N1212">
        <f t="shared" si="5"/>
        <v>8</v>
      </c>
      <c r="O1212" s="7" t="str">
        <f ca="1">getCodigoBackend(N1212,A1212,VLOOKUP(N1212,setup!$A$8:$H$58,2),VLOOKUP(N1212,setup!$A$8:$H$58,3),VLOOKUP(N1212,setup!$A$8:$H$58,4),VLOOKUP(N1212,setup!$A$8:$H$58,5),VLOOKUP(N1212,setup!$A$8:$H$58,6),VLOOKUP(N1212,setup!$A$8:$H$58,7), VLOOKUP(0,setup!$A$8:$H$58,2),VLOOKUP(0,setup!$A$8:$H$58,5),VLOOKUP(N1212,setup!$A$8:$H$58,8))</f>
        <v xml:space="preserve">    {</v>
      </c>
    </row>
    <row r="1213" spans="1:15" x14ac:dyDescent="0.25">
      <c r="A1213" s="29" t="s">
        <v>724</v>
      </c>
      <c r="N1213">
        <f t="shared" si="5"/>
        <v>8</v>
      </c>
      <c r="O1213" s="7" t="str">
        <f ca="1">getCodigoBackend(N1213,A1213,VLOOKUP(N1213,setup!$A$8:$H$58,2),VLOOKUP(N1213,setup!$A$8:$H$58,3),VLOOKUP(N1213,setup!$A$8:$H$58,4),VLOOKUP(N1213,setup!$A$8:$H$58,5),VLOOKUP(N1213,setup!$A$8:$H$58,6),VLOOKUP(N1213,setup!$A$8:$H$58,7), VLOOKUP(0,setup!$A$8:$H$58,2),VLOOKUP(0,setup!$A$8:$H$58,5),VLOOKUP(N1213,setup!$A$8:$H$58,8))</f>
        <v xml:space="preserve">        $daofactory = NULL;</v>
      </c>
    </row>
    <row r="1214" spans="1:15" x14ac:dyDescent="0.25">
      <c r="A1214" s="29" t="s">
        <v>725</v>
      </c>
      <c r="N1214">
        <f t="shared" si="5"/>
        <v>8</v>
      </c>
      <c r="O1214" s="7" t="str">
        <f ca="1">getCodigoBackend(N1214,A1214,VLOOKUP(N1214,setup!$A$8:$H$58,2),VLOOKUP(N1214,setup!$A$8:$H$58,3),VLOOKUP(N1214,setup!$A$8:$H$58,4),VLOOKUP(N1214,setup!$A$8:$H$58,5),VLOOKUP(N1214,setup!$A$8:$H$58,6),VLOOKUP(N1214,setup!$A$8:$H$58,7), VLOOKUP(0,setup!$A$8:$H$58,2),VLOOKUP(0,setup!$A$8:$H$58,5),VLOOKUP(N1214,setup!$A$8:$H$58,8))</f>
        <v xml:space="preserve">        $retorno = NULL;</v>
      </c>
    </row>
    <row r="1215" spans="1:15" x14ac:dyDescent="0.25">
      <c r="A1215" s="29" t="s">
        <v>726</v>
      </c>
      <c r="N1215">
        <f t="shared" si="5"/>
        <v>8</v>
      </c>
      <c r="O1215" s="7" t="str">
        <f ca="1">getCodigoBackend(N1215,A1215,VLOOKUP(N1215,setup!$A$8:$H$58,2),VLOOKUP(N1215,setup!$A$8:$H$58,3),VLOOKUP(N1215,setup!$A$8:$H$58,4),VLOOKUP(N1215,setup!$A$8:$H$58,5),VLOOKUP(N1215,setup!$A$8:$H$58,6),VLOOKUP(N1215,setup!$A$8:$H$58,7), VLOOKUP(0,setup!$A$8:$H$58,2),VLOOKUP(0,setup!$A$8:$H$58,5),VLOOKUP(N1215,setup!$A$8:$H$58,8))</f>
        <v xml:space="preserve">        try {</v>
      </c>
    </row>
    <row r="1216" spans="1:15" x14ac:dyDescent="0.25">
      <c r="A1216" s="29" t="s">
        <v>727</v>
      </c>
      <c r="N1216">
        <f t="shared" si="5"/>
        <v>8</v>
      </c>
      <c r="O1216" s="7" t="str">
        <f ca="1">getCodigoBackend(N1216,A1216,VLOOKUP(N1216,setup!$A$8:$H$58,2),VLOOKUP(N1216,setup!$A$8:$H$58,3),VLOOKUP(N1216,setup!$A$8:$H$58,4),VLOOKUP(N1216,setup!$A$8:$H$58,5),VLOOKUP(N1216,setup!$A$8:$H$58,6),VLOOKUP(N1216,setup!$A$8:$H$58,7), VLOOKUP(0,setup!$A$8:$H$58,2),VLOOKUP(0,setup!$A$8:$H$58,5),VLOOKUP(N1216,setup!$A$8:$H$58,8))</f>
        <v xml:space="preserve">            $daofactory = DAOFactory::getDAOFactory();</v>
      </c>
    </row>
    <row r="1217" spans="1:15" x14ac:dyDescent="0.25">
      <c r="A1217" s="29" t="s">
        <v>728</v>
      </c>
      <c r="N1217">
        <f t="shared" si="5"/>
        <v>8</v>
      </c>
      <c r="O1217" s="7" t="str">
        <f ca="1">getCodigoBackend(N1217,A1217,VLOOKUP(N1217,setup!$A$8:$H$58,2),VLOOKUP(N1217,setup!$A$8:$H$58,3),VLOOKUP(N1217,setup!$A$8:$H$58,4),VLOOKUP(N1217,setup!$A$8:$H$58,5),VLOOKUP(N1217,setup!$A$8:$H$58,6),VLOOKUP(N1217,setup!$A$8:$H$58,7), VLOOKUP(0,setup!$A$8:$H$58,2),VLOOKUP(0,setup!$A$8:$H$58,5),VLOOKUP(N1217,setup!$A$8:$H$58,8))</f>
        <v xml:space="preserve">            $daofactory-&gt;open();</v>
      </c>
    </row>
    <row r="1218" spans="1:15" x14ac:dyDescent="0.25">
      <c r="A1218" s="29" t="s">
        <v>729</v>
      </c>
      <c r="N1218">
        <f t="shared" si="5"/>
        <v>8</v>
      </c>
      <c r="O1218" s="7" t="str">
        <f ca="1">getCodigoBackend(N1218,A1218,VLOOKUP(N1218,setup!$A$8:$H$58,2),VLOOKUP(N1218,setup!$A$8:$H$58,3),VLOOKUP(N1218,setup!$A$8:$H$58,4),VLOOKUP(N1218,setup!$A$8:$H$58,5),VLOOKUP(N1218,setup!$A$8:$H$58,6),VLOOKUP(N1218,setup!$A$8:$H$58,7), VLOOKUP(0,setup!$A$8:$H$58,2),VLOOKUP(0,setup!$A$8:$H$58,5),VLOOKUP(N1218,setup!$A$8:$H$58,8))</f>
        <v xml:space="preserve">            $daofactory-&gt;beginTransaction();</v>
      </c>
    </row>
    <row r="1219" spans="1:15" x14ac:dyDescent="0.25">
      <c r="A1219" s="29" t="s">
        <v>730</v>
      </c>
      <c r="N1219">
        <f t="shared" si="5"/>
        <v>8</v>
      </c>
      <c r="O1219" s="7" t="str">
        <f ca="1">getCodigoBackend(N1219,A1219,VLOOKUP(N1219,setup!$A$8:$H$58,2),VLOOKUP(N1219,setup!$A$8:$H$58,3),VLOOKUP(N1219,setup!$A$8:$H$58,4),VLOOKUP(N1219,setup!$A$8:$H$58,5),VLOOKUP(N1219,setup!$A$8:$H$58,6),VLOOKUP(N1219,setup!$A$8:$H$58,7), VLOOKUP(0,setup!$A$8:$H$58,2),VLOOKUP(0,setup!$A$8:$H$58,5),VLOOKUP(N1219,setup!$A$8:$H$58,8))</f>
        <v xml:space="preserve">            </v>
      </c>
    </row>
    <row r="1220" spans="1:15" x14ac:dyDescent="0.25">
      <c r="A1220" s="29" t="s">
        <v>746</v>
      </c>
      <c r="N1220">
        <f t="shared" si="5"/>
        <v>8</v>
      </c>
      <c r="O1220" s="7" t="str">
        <f ca="1">getCodigoBackend(N1220,A1220,VLOOKUP(N1220,setup!$A$8:$H$58,2),VLOOKUP(N1220,setup!$A$8:$H$58,3),VLOOKUP(N1220,setup!$A$8:$H$58,4),VLOOKUP(N1220,setup!$A$8:$H$58,5),VLOOKUP(N1220,setup!$A$8:$H$58,6),VLOOKUP(N1220,setup!$A$8:$H$58,7), VLOOKUP(0,setup!$A$8:$H$58,2),VLOOKUP(0,setup!$A$8:$H$58,5),VLOOKUP(N1220,setup!$A$8:$H$58,8))</f>
        <v xml:space="preserve">            // atualizar registro por meio do método CampanhaCashbackResgatePixBusinessImpl::atualizarDtestagioanalisePorPK($dtEstagioAnalise,$id)</v>
      </c>
    </row>
    <row r="1221" spans="1:15" x14ac:dyDescent="0.25">
      <c r="A1221" s="29" t="s">
        <v>747</v>
      </c>
      <c r="N1221">
        <f t="shared" si="5"/>
        <v>8</v>
      </c>
      <c r="O1221" s="7" t="str">
        <f ca="1">getCodigoBackend(N1221,A1221,VLOOKUP(N1221,setup!$A$8:$H$58,2),VLOOKUP(N1221,setup!$A$8:$H$58,3),VLOOKUP(N1221,setup!$A$8:$H$58,4),VLOOKUP(N1221,setup!$A$8:$H$58,5),VLOOKUP(N1221,setup!$A$8:$H$58,6),VLOOKUP(N1221,setup!$A$8:$H$58,7), VLOOKUP(0,setup!$A$8:$H$58,2),VLOOKUP(0,setup!$A$8:$H$58,5),VLOOKUP(N1221,setup!$A$8:$H$58,8))</f>
        <v xml:space="preserve">           $bo = new CampanhaCashbackResgatePixBusinessImpl();</v>
      </c>
    </row>
    <row r="1222" spans="1:15" x14ac:dyDescent="0.25">
      <c r="A1222" s="29" t="s">
        <v>748</v>
      </c>
      <c r="N1222">
        <f t="shared" si="5"/>
        <v>8</v>
      </c>
      <c r="O1222" s="7" t="str">
        <f ca="1">getCodigoBackend(N1222,A1222,VLOOKUP(N1222,setup!$A$8:$H$58,2),VLOOKUP(N1222,setup!$A$8:$H$58,3),VLOOKUP(N1222,setup!$A$8:$H$58,4),VLOOKUP(N1222,setup!$A$8:$H$58,5),VLOOKUP(N1222,setup!$A$8:$H$58,6),VLOOKUP(N1222,setup!$A$8:$H$58,7), VLOOKUP(0,setup!$A$8:$H$58,2),VLOOKUP(0,setup!$A$8:$H$58,5),VLOOKUP(N1222,setup!$A$8:$H$58,8))</f>
        <v xml:space="preserve">           $retorno = $bo-&gt;atualizarDtestagioanalisePorPK($daofactory,$dtEstagioAnalise,$id);</v>
      </c>
    </row>
    <row r="1223" spans="1:15" x14ac:dyDescent="0.25">
      <c r="A1223" s="29"/>
      <c r="N1223">
        <f t="shared" si="5"/>
        <v>8</v>
      </c>
      <c r="O1223" s="7" t="str">
        <f ca="1">getCodigoBackend(N1223,A1223,VLOOKUP(N1223,setup!$A$8:$H$58,2),VLOOKUP(N1223,setup!$A$8:$H$58,3),VLOOKUP(N1223,setup!$A$8:$H$58,4),VLOOKUP(N1223,setup!$A$8:$H$58,5),VLOOKUP(N1223,setup!$A$8:$H$58,6),VLOOKUP(N1223,setup!$A$8:$H$58,7), VLOOKUP(0,setup!$A$8:$H$58,2),VLOOKUP(0,setup!$A$8:$H$58,5),VLOOKUP(N1223,setup!$A$8:$H$58,8))</f>
        <v/>
      </c>
    </row>
    <row r="1224" spans="1:15" x14ac:dyDescent="0.25">
      <c r="A1224" s="29" t="s">
        <v>731</v>
      </c>
      <c r="N1224">
        <f t="shared" si="5"/>
        <v>8</v>
      </c>
      <c r="O1224" s="7" t="str">
        <f ca="1">getCodigoBackend(N1224,A1224,VLOOKUP(N1224,setup!$A$8:$H$58,2),VLOOKUP(N1224,setup!$A$8:$H$58,3),VLOOKUP(N1224,setup!$A$8:$H$58,4),VLOOKUP(N1224,setup!$A$8:$H$58,5),VLOOKUP(N1224,setup!$A$8:$H$58,6),VLOOKUP(N1224,setup!$A$8:$H$58,7), VLOOKUP(0,setup!$A$8:$H$58,2),VLOOKUP(0,setup!$A$8:$H$58,5),VLOOKUP(N1224,setup!$A$8:$H$58,8))</f>
        <v xml:space="preserve">           if ($retorno-&gt;msgcode == ConstantesMensagem::COMANDO_REALIZADO_COM_SUCESSO){</v>
      </c>
    </row>
    <row r="1225" spans="1:15" x14ac:dyDescent="0.25">
      <c r="A1225" s="29" t="s">
        <v>732</v>
      </c>
      <c r="N1225">
        <f t="shared" si="5"/>
        <v>8</v>
      </c>
      <c r="O1225" s="7" t="str">
        <f ca="1">getCodigoBackend(N1225,A1225,VLOOKUP(N1225,setup!$A$8:$H$58,2),VLOOKUP(N1225,setup!$A$8:$H$58,3),VLOOKUP(N1225,setup!$A$8:$H$58,4),VLOOKUP(N1225,setup!$A$8:$H$58,5),VLOOKUP(N1225,setup!$A$8:$H$58,6),VLOOKUP(N1225,setup!$A$8:$H$58,7), VLOOKUP(0,setup!$A$8:$H$58,2),VLOOKUP(0,setup!$A$8:$H$58,5),VLOOKUP(N1225,setup!$A$8:$H$58,8))</f>
        <v xml:space="preserve">                $daofactory-&gt;commit();</v>
      </c>
    </row>
    <row r="1226" spans="1:15" x14ac:dyDescent="0.25">
      <c r="A1226" s="29" t="s">
        <v>733</v>
      </c>
      <c r="N1226">
        <f t="shared" si="5"/>
        <v>8</v>
      </c>
      <c r="O1226" s="7" t="str">
        <f ca="1">getCodigoBackend(N1226,A1226,VLOOKUP(N1226,setup!$A$8:$H$58,2),VLOOKUP(N1226,setup!$A$8:$H$58,3),VLOOKUP(N1226,setup!$A$8:$H$58,4),VLOOKUP(N1226,setup!$A$8:$H$58,5),VLOOKUP(N1226,setup!$A$8:$H$58,6),VLOOKUP(N1226,setup!$A$8:$H$58,7), VLOOKUP(0,setup!$A$8:$H$58,2),VLOOKUP(0,setup!$A$8:$H$58,5),VLOOKUP(N1226,setup!$A$8:$H$58,8))</f>
        <v xml:space="preserve">            } else {</v>
      </c>
    </row>
    <row r="1227" spans="1:15" x14ac:dyDescent="0.25">
      <c r="A1227" s="29" t="s">
        <v>734</v>
      </c>
      <c r="N1227">
        <f t="shared" si="5"/>
        <v>8</v>
      </c>
      <c r="O1227" s="7" t="str">
        <f ca="1">getCodigoBackend(N1227,A1227,VLOOKUP(N1227,setup!$A$8:$H$58,2),VLOOKUP(N1227,setup!$A$8:$H$58,3),VLOOKUP(N1227,setup!$A$8:$H$58,4),VLOOKUP(N1227,setup!$A$8:$H$58,5),VLOOKUP(N1227,setup!$A$8:$H$58,6),VLOOKUP(N1227,setup!$A$8:$H$58,7), VLOOKUP(0,setup!$A$8:$H$58,2),VLOOKUP(0,setup!$A$8:$H$58,5),VLOOKUP(N1227,setup!$A$8:$H$58,8))</f>
        <v xml:space="preserve">                $daofactory-&gt;rollback();</v>
      </c>
    </row>
    <row r="1228" spans="1:15" x14ac:dyDescent="0.25">
      <c r="A1228" s="29" t="s">
        <v>505</v>
      </c>
      <c r="N1228">
        <f t="shared" si="5"/>
        <v>8</v>
      </c>
      <c r="O1228" s="7" t="str">
        <f ca="1">getCodigoBackend(N1228,A1228,VLOOKUP(N1228,setup!$A$8:$H$58,2),VLOOKUP(N1228,setup!$A$8:$H$58,3),VLOOKUP(N1228,setup!$A$8:$H$58,4),VLOOKUP(N1228,setup!$A$8:$H$58,5),VLOOKUP(N1228,setup!$A$8:$H$58,6),VLOOKUP(N1228,setup!$A$8:$H$58,7), VLOOKUP(0,setup!$A$8:$H$58,2),VLOOKUP(0,setup!$A$8:$H$58,5),VLOOKUP(N1228,setup!$A$8:$H$58,8))</f>
        <v xml:space="preserve">            }</v>
      </c>
    </row>
    <row r="1229" spans="1:15" x14ac:dyDescent="0.25">
      <c r="A1229" s="29" t="s">
        <v>730</v>
      </c>
      <c r="N1229">
        <f t="shared" si="5"/>
        <v>8</v>
      </c>
      <c r="O1229" s="7" t="str">
        <f ca="1">getCodigoBackend(N1229,A1229,VLOOKUP(N1229,setup!$A$8:$H$58,2),VLOOKUP(N1229,setup!$A$8:$H$58,3),VLOOKUP(N1229,setup!$A$8:$H$58,4),VLOOKUP(N1229,setup!$A$8:$H$58,5),VLOOKUP(N1229,setup!$A$8:$H$58,6),VLOOKUP(N1229,setup!$A$8:$H$58,7), VLOOKUP(0,setup!$A$8:$H$58,2),VLOOKUP(0,setup!$A$8:$H$58,5),VLOOKUP(N1229,setup!$A$8:$H$58,8))</f>
        <v xml:space="preserve">            </v>
      </c>
    </row>
    <row r="1230" spans="1:15" x14ac:dyDescent="0.25">
      <c r="A1230" s="29" t="s">
        <v>735</v>
      </c>
      <c r="N1230">
        <f t="shared" si="5"/>
        <v>8</v>
      </c>
      <c r="O1230" s="7" t="str">
        <f ca="1">getCodigoBackend(N1230,A1230,VLOOKUP(N1230,setup!$A$8:$H$58,2),VLOOKUP(N1230,setup!$A$8:$H$58,3),VLOOKUP(N1230,setup!$A$8:$H$58,4),VLOOKUP(N1230,setup!$A$8:$H$58,5),VLOOKUP(N1230,setup!$A$8:$H$58,6),VLOOKUP(N1230,setup!$A$8:$H$58,7), VLOOKUP(0,setup!$A$8:$H$58,2),VLOOKUP(0,setup!$A$8:$H$58,5),VLOOKUP(N1230,setup!$A$8:$H$58,8))</f>
        <v xml:space="preserve">        } catch (Exception $e) {</v>
      </c>
    </row>
    <row r="1231" spans="1:15" x14ac:dyDescent="0.25">
      <c r="A1231" s="29" t="s">
        <v>736</v>
      </c>
      <c r="N1231">
        <f t="shared" si="5"/>
        <v>8</v>
      </c>
      <c r="O1231" s="7" t="str">
        <f ca="1">getCodigoBackend(N1231,A1231,VLOOKUP(N1231,setup!$A$8:$H$58,2),VLOOKUP(N1231,setup!$A$8:$H$58,3),VLOOKUP(N1231,setup!$A$8:$H$58,4),VLOOKUP(N1231,setup!$A$8:$H$58,5),VLOOKUP(N1231,setup!$A$8:$H$58,6),VLOOKUP(N1231,setup!$A$8:$H$58,7), VLOOKUP(0,setup!$A$8:$H$58,2),VLOOKUP(0,setup!$A$8:$H$58,5),VLOOKUP(N1231,setup!$A$8:$H$58,8))</f>
        <v xml:space="preserve">            // rollback na transação</v>
      </c>
    </row>
    <row r="1232" spans="1:15" x14ac:dyDescent="0.25">
      <c r="A1232" s="29" t="s">
        <v>737</v>
      </c>
      <c r="N1232">
        <f t="shared" si="5"/>
        <v>8</v>
      </c>
      <c r="O1232" s="7" t="str">
        <f ca="1">getCodigoBackend(N1232,A1232,VLOOKUP(N1232,setup!$A$8:$H$58,2),VLOOKUP(N1232,setup!$A$8:$H$58,3),VLOOKUP(N1232,setup!$A$8:$H$58,4),VLOOKUP(N1232,setup!$A$8:$H$58,5),VLOOKUP(N1232,setup!$A$8:$H$58,6),VLOOKUP(N1232,setup!$A$8:$H$58,7), VLOOKUP(0,setup!$A$8:$H$58,2),VLOOKUP(0,setup!$A$8:$H$58,5),VLOOKUP(N1232,setup!$A$8:$H$58,8))</f>
        <v xml:space="preserve">            $daofactory-&gt;rollback();</v>
      </c>
    </row>
    <row r="1233" spans="1:15" x14ac:dyDescent="0.25">
      <c r="A1233" s="29"/>
      <c r="N1233">
        <f t="shared" si="5"/>
        <v>8</v>
      </c>
      <c r="O1233" s="7" t="str">
        <f ca="1">getCodigoBackend(N1233,A1233,VLOOKUP(N1233,setup!$A$8:$H$58,2),VLOOKUP(N1233,setup!$A$8:$H$58,3),VLOOKUP(N1233,setup!$A$8:$H$58,4),VLOOKUP(N1233,setup!$A$8:$H$58,5),VLOOKUP(N1233,setup!$A$8:$H$58,6),VLOOKUP(N1233,setup!$A$8:$H$58,7), VLOOKUP(0,setup!$A$8:$H$58,2),VLOOKUP(0,setup!$A$8:$H$58,5),VLOOKUP(N1233,setup!$A$8:$H$58,8))</f>
        <v/>
      </c>
    </row>
    <row r="1234" spans="1:15" x14ac:dyDescent="0.25">
      <c r="A1234" s="29" t="s">
        <v>738</v>
      </c>
      <c r="N1234">
        <f t="shared" si="5"/>
        <v>8</v>
      </c>
      <c r="O1234" s="7" t="str">
        <f ca="1">getCodigoBackend(N1234,A1234,VLOOKUP(N1234,setup!$A$8:$H$58,2),VLOOKUP(N1234,setup!$A$8:$H$58,3),VLOOKUP(N1234,setup!$A$8:$H$58,4),VLOOKUP(N1234,setup!$A$8:$H$58,5),VLOOKUP(N1234,setup!$A$8:$H$58,6),VLOOKUP(N1234,setup!$A$8:$H$58,7), VLOOKUP(0,setup!$A$8:$H$58,2),VLOOKUP(0,setup!$A$8:$H$58,5),VLOOKUP(N1234,setup!$A$8:$H$58,8))</f>
        <v xml:space="preserve">        } finally {</v>
      </c>
    </row>
    <row r="1235" spans="1:15" x14ac:dyDescent="0.25">
      <c r="A1235" s="29" t="s">
        <v>739</v>
      </c>
      <c r="N1235">
        <f t="shared" si="5"/>
        <v>8</v>
      </c>
      <c r="O1235" s="7" t="str">
        <f ca="1">getCodigoBackend(N1235,A1235,VLOOKUP(N1235,setup!$A$8:$H$58,2),VLOOKUP(N1235,setup!$A$8:$H$58,3),VLOOKUP(N1235,setup!$A$8:$H$58,4),VLOOKUP(N1235,setup!$A$8:$H$58,5),VLOOKUP(N1235,setup!$A$8:$H$58,6),VLOOKUP(N1235,setup!$A$8:$H$58,7), VLOOKUP(0,setup!$A$8:$H$58,2),VLOOKUP(0,setup!$A$8:$H$58,5),VLOOKUP(N1235,setup!$A$8:$H$58,8))</f>
        <v xml:space="preserve">            try {</v>
      </c>
    </row>
    <row r="1236" spans="1:15" x14ac:dyDescent="0.25">
      <c r="A1236" s="29" t="s">
        <v>740</v>
      </c>
      <c r="N1236">
        <f t="shared" si="5"/>
        <v>8</v>
      </c>
      <c r="O1236" s="7" t="str">
        <f ca="1">getCodigoBackend(N1236,A1236,VLOOKUP(N1236,setup!$A$8:$H$58,2),VLOOKUP(N1236,setup!$A$8:$H$58,3),VLOOKUP(N1236,setup!$A$8:$H$58,4),VLOOKUP(N1236,setup!$A$8:$H$58,5),VLOOKUP(N1236,setup!$A$8:$H$58,6),VLOOKUP(N1236,setup!$A$8:$H$58,7), VLOOKUP(0,setup!$A$8:$H$58,2),VLOOKUP(0,setup!$A$8:$H$58,5),VLOOKUP(N1236,setup!$A$8:$H$58,8))</f>
        <v xml:space="preserve">                $daofactory-&gt;close();</v>
      </c>
    </row>
    <row r="1237" spans="1:15" x14ac:dyDescent="0.25">
      <c r="A1237" s="29" t="s">
        <v>741</v>
      </c>
      <c r="N1237">
        <f t="shared" si="5"/>
        <v>8</v>
      </c>
      <c r="O1237" s="7" t="str">
        <f ca="1">getCodigoBackend(N1237,A1237,VLOOKUP(N1237,setup!$A$8:$H$58,2),VLOOKUP(N1237,setup!$A$8:$H$58,3),VLOOKUP(N1237,setup!$A$8:$H$58,4),VLOOKUP(N1237,setup!$A$8:$H$58,5),VLOOKUP(N1237,setup!$A$8:$H$58,6),VLOOKUP(N1237,setup!$A$8:$H$58,7), VLOOKUP(0,setup!$A$8:$H$58,2),VLOOKUP(0,setup!$A$8:$H$58,5),VLOOKUP(N1237,setup!$A$8:$H$58,8))</f>
        <v xml:space="preserve">            } catch (Exception $e) {</v>
      </c>
    </row>
    <row r="1238" spans="1:15" x14ac:dyDescent="0.25">
      <c r="A1238" s="29" t="s">
        <v>742</v>
      </c>
      <c r="N1238">
        <f t="shared" si="5"/>
        <v>8</v>
      </c>
      <c r="O1238" s="7" t="str">
        <f ca="1">getCodigoBackend(N1238,A1238,VLOOKUP(N1238,setup!$A$8:$H$58,2),VLOOKUP(N1238,setup!$A$8:$H$58,3),VLOOKUP(N1238,setup!$A$8:$H$58,4),VLOOKUP(N1238,setup!$A$8:$H$58,5),VLOOKUP(N1238,setup!$A$8:$H$58,6),VLOOKUP(N1238,setup!$A$8:$H$58,7), VLOOKUP(0,setup!$A$8:$H$58,2),VLOOKUP(0,setup!$A$8:$H$58,5),VLOOKUP(N1238,setup!$A$8:$H$58,8))</f>
        <v xml:space="preserve">                // faz algo</v>
      </c>
    </row>
    <row r="1239" spans="1:15" x14ac:dyDescent="0.25">
      <c r="A1239" s="29" t="s">
        <v>505</v>
      </c>
      <c r="N1239">
        <f t="shared" si="5"/>
        <v>8</v>
      </c>
      <c r="O1239" s="7" t="str">
        <f ca="1">getCodigoBackend(N1239,A1239,VLOOKUP(N1239,setup!$A$8:$H$58,2),VLOOKUP(N1239,setup!$A$8:$H$58,3),VLOOKUP(N1239,setup!$A$8:$H$58,4),VLOOKUP(N1239,setup!$A$8:$H$58,5),VLOOKUP(N1239,setup!$A$8:$H$58,6),VLOOKUP(N1239,setup!$A$8:$H$58,7), VLOOKUP(0,setup!$A$8:$H$58,2),VLOOKUP(0,setup!$A$8:$H$58,5),VLOOKUP(N1239,setup!$A$8:$H$58,8))</f>
        <v xml:space="preserve">            }</v>
      </c>
    </row>
    <row r="1240" spans="1:15" x14ac:dyDescent="0.25">
      <c r="A1240" s="29" t="s">
        <v>157</v>
      </c>
      <c r="N1240">
        <f t="shared" si="5"/>
        <v>8</v>
      </c>
      <c r="O1240" s="7" t="str">
        <f ca="1">getCodigoBackend(N1240,A1240,VLOOKUP(N1240,setup!$A$8:$H$58,2),VLOOKUP(N1240,setup!$A$8:$H$58,3),VLOOKUP(N1240,setup!$A$8:$H$58,4),VLOOKUP(N1240,setup!$A$8:$H$58,5),VLOOKUP(N1240,setup!$A$8:$H$58,6),VLOOKUP(N1240,setup!$A$8:$H$58,7), VLOOKUP(0,setup!$A$8:$H$58,2),VLOOKUP(0,setup!$A$8:$H$58,5),VLOOKUP(N1240,setup!$A$8:$H$58,8))</f>
        <v xml:space="preserve">        }</v>
      </c>
    </row>
    <row r="1241" spans="1:15" x14ac:dyDescent="0.25">
      <c r="A1241" s="29"/>
      <c r="N1241">
        <f t="shared" si="5"/>
        <v>8</v>
      </c>
      <c r="O1241" s="7" t="str">
        <f ca="1">getCodigoBackend(N1241,A1241,VLOOKUP(N1241,setup!$A$8:$H$58,2),VLOOKUP(N1241,setup!$A$8:$H$58,3),VLOOKUP(N1241,setup!$A$8:$H$58,4),VLOOKUP(N1241,setup!$A$8:$H$58,5),VLOOKUP(N1241,setup!$A$8:$H$58,6),VLOOKUP(N1241,setup!$A$8:$H$58,7), VLOOKUP(0,setup!$A$8:$H$58,2),VLOOKUP(0,setup!$A$8:$H$58,5),VLOOKUP(N1241,setup!$A$8:$H$58,8))</f>
        <v/>
      </c>
    </row>
    <row r="1242" spans="1:15" x14ac:dyDescent="0.25">
      <c r="A1242" s="29" t="s">
        <v>743</v>
      </c>
      <c r="N1242">
        <f t="shared" si="5"/>
        <v>8</v>
      </c>
      <c r="O1242" s="7" t="str">
        <f ca="1">getCodigoBackend(N1242,A1242,VLOOKUP(N1242,setup!$A$8:$H$58,2),VLOOKUP(N1242,setup!$A$8:$H$58,3),VLOOKUP(N1242,setup!$A$8:$H$58,4),VLOOKUP(N1242,setup!$A$8:$H$58,5),VLOOKUP(N1242,setup!$A$8:$H$58,6),VLOOKUP(N1242,setup!$A$8:$H$58,7), VLOOKUP(0,setup!$A$8:$H$58,2),VLOOKUP(0,setup!$A$8:$H$58,5),VLOOKUP(N1242,setup!$A$8:$H$58,8))</f>
        <v xml:space="preserve">        return $retorno;</v>
      </c>
    </row>
    <row r="1243" spans="1:15" x14ac:dyDescent="0.25">
      <c r="A1243" s="29" t="s">
        <v>406</v>
      </c>
      <c r="N1243">
        <f t="shared" si="5"/>
        <v>8</v>
      </c>
      <c r="O1243" s="7" t="str">
        <f ca="1">getCodigoBackend(N1243,A1243,VLOOKUP(N1243,setup!$A$8:$H$58,2),VLOOKUP(N1243,setup!$A$8:$H$58,3),VLOOKUP(N1243,setup!$A$8:$H$58,4),VLOOKUP(N1243,setup!$A$8:$H$58,5),VLOOKUP(N1243,setup!$A$8:$H$58,6),VLOOKUP(N1243,setup!$A$8:$H$58,7), VLOOKUP(0,setup!$A$8:$H$58,2),VLOOKUP(0,setup!$A$8:$H$58,5),VLOOKUP(N1243,setup!$A$8:$H$58,8))</f>
        <v xml:space="preserve">    }</v>
      </c>
    </row>
    <row r="1244" spans="1:15" x14ac:dyDescent="0.25">
      <c r="A1244" s="6"/>
      <c r="O1244" s="7"/>
    </row>
    <row r="1245" spans="1:15" x14ac:dyDescent="0.25">
      <c r="A1245" s="4" t="s">
        <v>19</v>
      </c>
      <c r="N1245">
        <f>N1243+1</f>
        <v>9</v>
      </c>
      <c r="O1245" s="7" t="str">
        <f ca="1">getCodigoBackend(N1245,A1245,VLOOKUP(N1245,setup!$A$8:$H$58,2),VLOOKUP(N1245,setup!$A$8:$H$58,3),VLOOKUP(N1245,setup!$A$8:$H$58,4),VLOOKUP(N1245,setup!$A$8:$H$58,5),VLOOKUP(N1245,setup!$A$8:$H$58,6),VLOOKUP(N1245,setup!$A$8:$H$58,7), VLOOKUP(0,setup!$A$8:$H$58,2),VLOOKUP(0,setup!$A$8:$H$58,5),VLOOKUP(N1245,setup!$A$8:$H$58,8))</f>
        <v>/**</v>
      </c>
    </row>
    <row r="1246" spans="1:15" x14ac:dyDescent="0.25">
      <c r="A1246" s="4" t="s">
        <v>20</v>
      </c>
      <c r="N1246">
        <f>N1245</f>
        <v>9</v>
      </c>
      <c r="O1246" s="7" t="str">
        <f ca="1">getCodigoBackend(N1246,A1246,VLOOKUP(N1246,setup!$A$8:$H$58,2),VLOOKUP(N1246,setup!$A$8:$H$58,3),VLOOKUP(N1246,setup!$A$8:$H$58,4),VLOOKUP(N1246,setup!$A$8:$H$58,5),VLOOKUP(N1246,setup!$A$8:$H$58,6),VLOOKUP(N1246,setup!$A$8:$H$58,7), VLOOKUP(0,setup!$A$8:$H$58,2),VLOOKUP(0,setup!$A$8:$H$58,5),VLOOKUP(N1246,setup!$A$8:$H$58,8))</f>
        <v>*</v>
      </c>
    </row>
    <row r="1247" spans="1:15" x14ac:dyDescent="0.25">
      <c r="A1247" s="4" t="s">
        <v>744</v>
      </c>
      <c r="N1247">
        <f t="shared" ref="N1247:N1288" si="6">N1246</f>
        <v>9</v>
      </c>
      <c r="O1247" s="7" t="str">
        <f ca="1">getCodigoBackend(N1247,A1247,VLOOKUP(N1247,setup!$A$8:$H$58,2),VLOOKUP(N1247,setup!$A$8:$H$58,3),VLOOKUP(N1247,setup!$A$8:$H$58,4),VLOOKUP(N1247,setup!$A$8:$H$58,5),VLOOKUP(N1247,setup!$A$8:$H$58,6),VLOOKUP(N1247,setup!$A$8:$H$58,7), VLOOKUP(0,setup!$A$8:$H$58,2),VLOOKUP(0,setup!$A$8:$H$58,5),VLOOKUP(N1247,setup!$A$8:$H$58,8))</f>
        <v>* atualizarDtestagiofinanceiroPorPK() - Usado para invocar a classe de negócio CampanhaCashbackResgatePixBusinessImpl de forma geral</v>
      </c>
    </row>
    <row r="1248" spans="1:15" x14ac:dyDescent="0.25">
      <c r="A1248" s="4" t="s">
        <v>745</v>
      </c>
      <c r="N1248">
        <f t="shared" si="6"/>
        <v>9</v>
      </c>
      <c r="O1248" s="7" t="str">
        <f ca="1">getCodigoBackend(N1248,A1248,VLOOKUP(N1248,setup!$A$8:$H$58,2),VLOOKUP(N1248,setup!$A$8:$H$58,3),VLOOKUP(N1248,setup!$A$8:$H$58,4),VLOOKUP(N1248,setup!$A$8:$H$58,5),VLOOKUP(N1248,setup!$A$8:$H$58,6),VLOOKUP(N1248,setup!$A$8:$H$58,7), VLOOKUP(0,setup!$A$8:$H$58,2),VLOOKUP(0,setup!$A$8:$H$58,5),VLOOKUP(N1248,setup!$A$8:$H$58,8))</f>
        <v>* realizar uma atualização de Data Registro Estágio Financeiro diretamente na tabela CAMPANHA_CASHBACK_RESGATE_PIX campo CCRP_DT_ESTAGIO_FINANCEIRO</v>
      </c>
    </row>
    <row r="1249" spans="1:15" x14ac:dyDescent="0.25">
      <c r="A1249" s="4" t="s">
        <v>346</v>
      </c>
      <c r="N1249">
        <f t="shared" si="6"/>
        <v>9</v>
      </c>
      <c r="O1249" s="7" t="str">
        <f ca="1">getCodigoBackend(N1249,A1249,VLOOKUP(N1249,setup!$A$8:$H$58,2),VLOOKUP(N1249,setup!$A$8:$H$58,3),VLOOKUP(N1249,setup!$A$8:$H$58,4),VLOOKUP(N1249,setup!$A$8:$H$58,5),VLOOKUP(N1249,setup!$A$8:$H$58,6),VLOOKUP(N1249,setup!$A$8:$H$58,7), VLOOKUP(0,setup!$A$8:$H$58,2),VLOOKUP(0,setup!$A$8:$H$58,5),VLOOKUP(N1249,setup!$A$8:$H$58,8))</f>
        <v>* @param $id</v>
      </c>
    </row>
    <row r="1250" spans="1:15" x14ac:dyDescent="0.25">
      <c r="A1250" s="4" t="s">
        <v>723</v>
      </c>
      <c r="N1250">
        <f t="shared" si="6"/>
        <v>9</v>
      </c>
      <c r="O1250" s="7" t="str">
        <f ca="1">getCodigoBackend(N1250,A1250,VLOOKUP(N1250,setup!$A$8:$H$58,2),VLOOKUP(N1250,setup!$A$8:$H$58,3),VLOOKUP(N1250,setup!$A$8:$H$58,4),VLOOKUP(N1250,setup!$A$8:$H$58,5),VLOOKUP(N1250,setup!$A$8:$H$58,6),VLOOKUP(N1250,setup!$A$8:$H$58,7), VLOOKUP(0,setup!$A$8:$H$58,2),VLOOKUP(0,setup!$A$8:$H$58,5),VLOOKUP(N1250,setup!$A$8:$H$58,8))</f>
        <v>* @param $dtEstagioFinanceiro</v>
      </c>
    </row>
    <row r="1251" spans="1:15" x14ac:dyDescent="0.25">
      <c r="A1251" s="4" t="s">
        <v>347</v>
      </c>
      <c r="N1251">
        <f t="shared" si="6"/>
        <v>9</v>
      </c>
      <c r="O1251" s="7" t="str">
        <f ca="1">getCodigoBackend(N1251,A1251,VLOOKUP(N1251,setup!$A$8:$H$58,2),VLOOKUP(N1251,setup!$A$8:$H$58,3),VLOOKUP(N1251,setup!$A$8:$H$58,4),VLOOKUP(N1251,setup!$A$8:$H$58,5),VLOOKUP(N1251,setup!$A$8:$H$58,6),VLOOKUP(N1251,setup!$A$8:$H$58,7), VLOOKUP(0,setup!$A$8:$H$58,2),VLOOKUP(0,setup!$A$8:$H$58,5),VLOOKUP(N1251,setup!$A$8:$H$58,8))</f>
        <v>* @return CampanhaCashbackResgatePixDTO</v>
      </c>
    </row>
    <row r="1252" spans="1:15" x14ac:dyDescent="0.25">
      <c r="A1252" s="4" t="s">
        <v>20</v>
      </c>
      <c r="N1252">
        <f t="shared" si="6"/>
        <v>9</v>
      </c>
      <c r="O1252" s="7" t="str">
        <f ca="1">getCodigoBackend(N1252,A1252,VLOOKUP(N1252,setup!$A$8:$H$58,2),VLOOKUP(N1252,setup!$A$8:$H$58,3),VLOOKUP(N1252,setup!$A$8:$H$58,4),VLOOKUP(N1252,setup!$A$8:$H$58,5),VLOOKUP(N1252,setup!$A$8:$H$58,6),VLOOKUP(N1252,setup!$A$8:$H$58,7), VLOOKUP(0,setup!$A$8:$H$58,2),VLOOKUP(0,setup!$A$8:$H$58,5),VLOOKUP(N1252,setup!$A$8:$H$58,8))</f>
        <v>*</v>
      </c>
    </row>
    <row r="1253" spans="1:15" x14ac:dyDescent="0.25">
      <c r="A1253" s="4" t="s">
        <v>75</v>
      </c>
      <c r="N1253">
        <f t="shared" si="6"/>
        <v>9</v>
      </c>
      <c r="O1253" s="7" t="str">
        <f ca="1">getCodigoBackend(N1253,A1253,VLOOKUP(N1253,setup!$A$8:$H$58,2),VLOOKUP(N1253,setup!$A$8:$H$58,3),VLOOKUP(N1253,setup!$A$8:$H$58,4),VLOOKUP(N1253,setup!$A$8:$H$58,5),VLOOKUP(N1253,setup!$A$8:$H$58,6),VLOOKUP(N1253,setup!$A$8:$H$58,7), VLOOKUP(0,setup!$A$8:$H$58,2),VLOOKUP(0,setup!$A$8:$H$58,5),VLOOKUP(N1253,setup!$A$8:$H$58,8))</f>
        <v xml:space="preserve">* </v>
      </c>
    </row>
    <row r="1254" spans="1:15" x14ac:dyDescent="0.25">
      <c r="A1254" s="4" t="s">
        <v>21</v>
      </c>
      <c r="N1254">
        <f t="shared" si="6"/>
        <v>9</v>
      </c>
      <c r="O1254" s="7" t="str">
        <f ca="1">getCodigoBackend(N1254,A1254,VLOOKUP(N1254,setup!$A$8:$H$58,2),VLOOKUP(N1254,setup!$A$8:$H$58,3),VLOOKUP(N1254,setup!$A$8:$H$58,4),VLOOKUP(N1254,setup!$A$8:$H$58,5),VLOOKUP(N1254,setup!$A$8:$H$58,6),VLOOKUP(N1254,setup!$A$8:$H$58,7), VLOOKUP(0,setup!$A$8:$H$58,2),VLOOKUP(0,setup!$A$8:$H$58,5),VLOOKUP(N1254,setup!$A$8:$H$58,8))</f>
        <v>*/</v>
      </c>
    </row>
    <row r="1255" spans="1:15" x14ac:dyDescent="0.25">
      <c r="A1255" s="6"/>
      <c r="N1255">
        <f t="shared" si="6"/>
        <v>9</v>
      </c>
      <c r="O1255" s="7" t="str">
        <f ca="1">getCodigoBackend(N1255,A1255,VLOOKUP(N1255,setup!$A$8:$H$58,2),VLOOKUP(N1255,setup!$A$8:$H$58,3),VLOOKUP(N1255,setup!$A$8:$H$58,4),VLOOKUP(N1255,setup!$A$8:$H$58,5),VLOOKUP(N1255,setup!$A$8:$H$58,6),VLOOKUP(N1255,setup!$A$8:$H$58,7), VLOOKUP(0,setup!$A$8:$H$58,2),VLOOKUP(0,setup!$A$8:$H$58,5),VLOOKUP(N1255,setup!$A$8:$H$58,8))</f>
        <v/>
      </c>
    </row>
    <row r="1256" spans="1:15" x14ac:dyDescent="0.25">
      <c r="A1256" s="29" t="s">
        <v>782</v>
      </c>
      <c r="N1256">
        <f t="shared" si="6"/>
        <v>9</v>
      </c>
      <c r="O1256" s="7" t="str">
        <f ca="1">getCodigoBackend(N1256,A1256,VLOOKUP(N1256,setup!$A$8:$H$58,2),VLOOKUP(N1256,setup!$A$8:$H$58,3),VLOOKUP(N1256,setup!$A$8:$H$58,4),VLOOKUP(N1256,setup!$A$8:$H$58,5),VLOOKUP(N1256,setup!$A$8:$H$58,6),VLOOKUP(N1256,setup!$A$8:$H$58,7), VLOOKUP(0,setup!$A$8:$H$58,2),VLOOKUP(0,setup!$A$8:$H$58,5),VLOOKUP(N1256,setup!$A$8:$H$58,8))</f>
        <v xml:space="preserve">    public function atualizarDtestagiofinanceiroPorPK($dtEstagioFinanceiro,$id)</v>
      </c>
    </row>
    <row r="1257" spans="1:15" x14ac:dyDescent="0.25">
      <c r="A1257" s="29" t="s">
        <v>379</v>
      </c>
      <c r="N1257">
        <f t="shared" si="6"/>
        <v>9</v>
      </c>
      <c r="O1257" s="7" t="str">
        <f ca="1">getCodigoBackend(N1257,A1257,VLOOKUP(N1257,setup!$A$8:$H$58,2),VLOOKUP(N1257,setup!$A$8:$H$58,3),VLOOKUP(N1257,setup!$A$8:$H$58,4),VLOOKUP(N1257,setup!$A$8:$H$58,5),VLOOKUP(N1257,setup!$A$8:$H$58,6),VLOOKUP(N1257,setup!$A$8:$H$58,7), VLOOKUP(0,setup!$A$8:$H$58,2),VLOOKUP(0,setup!$A$8:$H$58,5),VLOOKUP(N1257,setup!$A$8:$H$58,8))</f>
        <v xml:space="preserve">    {</v>
      </c>
    </row>
    <row r="1258" spans="1:15" x14ac:dyDescent="0.25">
      <c r="A1258" s="29" t="s">
        <v>724</v>
      </c>
      <c r="N1258">
        <f t="shared" si="6"/>
        <v>9</v>
      </c>
      <c r="O1258" s="7" t="str">
        <f ca="1">getCodigoBackend(N1258,A1258,VLOOKUP(N1258,setup!$A$8:$H$58,2),VLOOKUP(N1258,setup!$A$8:$H$58,3),VLOOKUP(N1258,setup!$A$8:$H$58,4),VLOOKUP(N1258,setup!$A$8:$H$58,5),VLOOKUP(N1258,setup!$A$8:$H$58,6),VLOOKUP(N1258,setup!$A$8:$H$58,7), VLOOKUP(0,setup!$A$8:$H$58,2),VLOOKUP(0,setup!$A$8:$H$58,5),VLOOKUP(N1258,setup!$A$8:$H$58,8))</f>
        <v xml:space="preserve">        $daofactory = NULL;</v>
      </c>
    </row>
    <row r="1259" spans="1:15" x14ac:dyDescent="0.25">
      <c r="A1259" s="29" t="s">
        <v>725</v>
      </c>
      <c r="N1259">
        <f t="shared" si="6"/>
        <v>9</v>
      </c>
      <c r="O1259" s="7" t="str">
        <f ca="1">getCodigoBackend(N1259,A1259,VLOOKUP(N1259,setup!$A$8:$H$58,2),VLOOKUP(N1259,setup!$A$8:$H$58,3),VLOOKUP(N1259,setup!$A$8:$H$58,4),VLOOKUP(N1259,setup!$A$8:$H$58,5),VLOOKUP(N1259,setup!$A$8:$H$58,6),VLOOKUP(N1259,setup!$A$8:$H$58,7), VLOOKUP(0,setup!$A$8:$H$58,2),VLOOKUP(0,setup!$A$8:$H$58,5),VLOOKUP(N1259,setup!$A$8:$H$58,8))</f>
        <v xml:space="preserve">        $retorno = NULL;</v>
      </c>
    </row>
    <row r="1260" spans="1:15" x14ac:dyDescent="0.25">
      <c r="A1260" s="29" t="s">
        <v>726</v>
      </c>
      <c r="N1260">
        <f t="shared" si="6"/>
        <v>9</v>
      </c>
      <c r="O1260" s="7" t="str">
        <f ca="1">getCodigoBackend(N1260,A1260,VLOOKUP(N1260,setup!$A$8:$H$58,2),VLOOKUP(N1260,setup!$A$8:$H$58,3),VLOOKUP(N1260,setup!$A$8:$H$58,4),VLOOKUP(N1260,setup!$A$8:$H$58,5),VLOOKUP(N1260,setup!$A$8:$H$58,6),VLOOKUP(N1260,setup!$A$8:$H$58,7), VLOOKUP(0,setup!$A$8:$H$58,2),VLOOKUP(0,setup!$A$8:$H$58,5),VLOOKUP(N1260,setup!$A$8:$H$58,8))</f>
        <v xml:space="preserve">        try {</v>
      </c>
    </row>
    <row r="1261" spans="1:15" x14ac:dyDescent="0.25">
      <c r="A1261" s="29" t="s">
        <v>727</v>
      </c>
      <c r="N1261">
        <f t="shared" si="6"/>
        <v>9</v>
      </c>
      <c r="O1261" s="7" t="str">
        <f ca="1">getCodigoBackend(N1261,A1261,VLOOKUP(N1261,setup!$A$8:$H$58,2),VLOOKUP(N1261,setup!$A$8:$H$58,3),VLOOKUP(N1261,setup!$A$8:$H$58,4),VLOOKUP(N1261,setup!$A$8:$H$58,5),VLOOKUP(N1261,setup!$A$8:$H$58,6),VLOOKUP(N1261,setup!$A$8:$H$58,7), VLOOKUP(0,setup!$A$8:$H$58,2),VLOOKUP(0,setup!$A$8:$H$58,5),VLOOKUP(N1261,setup!$A$8:$H$58,8))</f>
        <v xml:space="preserve">            $daofactory = DAOFactory::getDAOFactory();</v>
      </c>
    </row>
    <row r="1262" spans="1:15" x14ac:dyDescent="0.25">
      <c r="A1262" s="29" t="s">
        <v>728</v>
      </c>
      <c r="N1262">
        <f t="shared" si="6"/>
        <v>9</v>
      </c>
      <c r="O1262" s="7" t="str">
        <f ca="1">getCodigoBackend(N1262,A1262,VLOOKUP(N1262,setup!$A$8:$H$58,2),VLOOKUP(N1262,setup!$A$8:$H$58,3),VLOOKUP(N1262,setup!$A$8:$H$58,4),VLOOKUP(N1262,setup!$A$8:$H$58,5),VLOOKUP(N1262,setup!$A$8:$H$58,6),VLOOKUP(N1262,setup!$A$8:$H$58,7), VLOOKUP(0,setup!$A$8:$H$58,2),VLOOKUP(0,setup!$A$8:$H$58,5),VLOOKUP(N1262,setup!$A$8:$H$58,8))</f>
        <v xml:space="preserve">            $daofactory-&gt;open();</v>
      </c>
    </row>
    <row r="1263" spans="1:15" x14ac:dyDescent="0.25">
      <c r="A1263" s="29" t="s">
        <v>729</v>
      </c>
      <c r="N1263">
        <f t="shared" si="6"/>
        <v>9</v>
      </c>
      <c r="O1263" s="7" t="str">
        <f ca="1">getCodigoBackend(N1263,A1263,VLOOKUP(N1263,setup!$A$8:$H$58,2),VLOOKUP(N1263,setup!$A$8:$H$58,3),VLOOKUP(N1263,setup!$A$8:$H$58,4),VLOOKUP(N1263,setup!$A$8:$H$58,5),VLOOKUP(N1263,setup!$A$8:$H$58,6),VLOOKUP(N1263,setup!$A$8:$H$58,7), VLOOKUP(0,setup!$A$8:$H$58,2),VLOOKUP(0,setup!$A$8:$H$58,5),VLOOKUP(N1263,setup!$A$8:$H$58,8))</f>
        <v xml:space="preserve">            $daofactory-&gt;beginTransaction();</v>
      </c>
    </row>
    <row r="1264" spans="1:15" x14ac:dyDescent="0.25">
      <c r="A1264" s="29" t="s">
        <v>730</v>
      </c>
      <c r="N1264">
        <f t="shared" si="6"/>
        <v>9</v>
      </c>
      <c r="O1264" s="7" t="str">
        <f ca="1">getCodigoBackend(N1264,A1264,VLOOKUP(N1264,setup!$A$8:$H$58,2),VLOOKUP(N1264,setup!$A$8:$H$58,3),VLOOKUP(N1264,setup!$A$8:$H$58,4),VLOOKUP(N1264,setup!$A$8:$H$58,5),VLOOKUP(N1264,setup!$A$8:$H$58,6),VLOOKUP(N1264,setup!$A$8:$H$58,7), VLOOKUP(0,setup!$A$8:$H$58,2),VLOOKUP(0,setup!$A$8:$H$58,5),VLOOKUP(N1264,setup!$A$8:$H$58,8))</f>
        <v xml:space="preserve">            </v>
      </c>
    </row>
    <row r="1265" spans="1:15" x14ac:dyDescent="0.25">
      <c r="A1265" s="29" t="s">
        <v>746</v>
      </c>
      <c r="N1265">
        <f t="shared" si="6"/>
        <v>9</v>
      </c>
      <c r="O1265" s="7" t="str">
        <f ca="1">getCodigoBackend(N1265,A1265,VLOOKUP(N1265,setup!$A$8:$H$58,2),VLOOKUP(N1265,setup!$A$8:$H$58,3),VLOOKUP(N1265,setup!$A$8:$H$58,4),VLOOKUP(N1265,setup!$A$8:$H$58,5),VLOOKUP(N1265,setup!$A$8:$H$58,6),VLOOKUP(N1265,setup!$A$8:$H$58,7), VLOOKUP(0,setup!$A$8:$H$58,2),VLOOKUP(0,setup!$A$8:$H$58,5),VLOOKUP(N1265,setup!$A$8:$H$58,8))</f>
        <v xml:space="preserve">            // atualizar registro por meio do método CampanhaCashbackResgatePixBusinessImpl::atualizarDtestagiofinanceiroPorPK($dtEstagioFinanceiro,$id)</v>
      </c>
    </row>
    <row r="1266" spans="1:15" x14ac:dyDescent="0.25">
      <c r="A1266" s="29" t="s">
        <v>747</v>
      </c>
      <c r="N1266">
        <f t="shared" si="6"/>
        <v>9</v>
      </c>
      <c r="O1266" s="7" t="str">
        <f ca="1">getCodigoBackend(N1266,A1266,VLOOKUP(N1266,setup!$A$8:$H$58,2),VLOOKUP(N1266,setup!$A$8:$H$58,3),VLOOKUP(N1266,setup!$A$8:$H$58,4),VLOOKUP(N1266,setup!$A$8:$H$58,5),VLOOKUP(N1266,setup!$A$8:$H$58,6),VLOOKUP(N1266,setup!$A$8:$H$58,7), VLOOKUP(0,setup!$A$8:$H$58,2),VLOOKUP(0,setup!$A$8:$H$58,5),VLOOKUP(N1266,setup!$A$8:$H$58,8))</f>
        <v xml:space="preserve">           $bo = new CampanhaCashbackResgatePixBusinessImpl();</v>
      </c>
    </row>
    <row r="1267" spans="1:15" x14ac:dyDescent="0.25">
      <c r="A1267" s="29" t="s">
        <v>748</v>
      </c>
      <c r="N1267">
        <f t="shared" si="6"/>
        <v>9</v>
      </c>
      <c r="O1267" s="7" t="str">
        <f ca="1">getCodigoBackend(N1267,A1267,VLOOKUP(N1267,setup!$A$8:$H$58,2),VLOOKUP(N1267,setup!$A$8:$H$58,3),VLOOKUP(N1267,setup!$A$8:$H$58,4),VLOOKUP(N1267,setup!$A$8:$H$58,5),VLOOKUP(N1267,setup!$A$8:$H$58,6),VLOOKUP(N1267,setup!$A$8:$H$58,7), VLOOKUP(0,setup!$A$8:$H$58,2),VLOOKUP(0,setup!$A$8:$H$58,5),VLOOKUP(N1267,setup!$A$8:$H$58,8))</f>
        <v xml:space="preserve">           $retorno = $bo-&gt;atualizarDtestagiofinanceiroPorPK($daofactory,$dtEstagioFinanceiro,$id);</v>
      </c>
    </row>
    <row r="1268" spans="1:15" x14ac:dyDescent="0.25">
      <c r="A1268" s="29"/>
      <c r="N1268">
        <f t="shared" si="6"/>
        <v>9</v>
      </c>
      <c r="O1268" s="7" t="str">
        <f ca="1">getCodigoBackend(N1268,A1268,VLOOKUP(N1268,setup!$A$8:$H$58,2),VLOOKUP(N1268,setup!$A$8:$H$58,3),VLOOKUP(N1268,setup!$A$8:$H$58,4),VLOOKUP(N1268,setup!$A$8:$H$58,5),VLOOKUP(N1268,setup!$A$8:$H$58,6),VLOOKUP(N1268,setup!$A$8:$H$58,7), VLOOKUP(0,setup!$A$8:$H$58,2),VLOOKUP(0,setup!$A$8:$H$58,5),VLOOKUP(N1268,setup!$A$8:$H$58,8))</f>
        <v/>
      </c>
    </row>
    <row r="1269" spans="1:15" x14ac:dyDescent="0.25">
      <c r="A1269" s="29" t="s">
        <v>731</v>
      </c>
      <c r="N1269">
        <f t="shared" si="6"/>
        <v>9</v>
      </c>
      <c r="O1269" s="7" t="str">
        <f ca="1">getCodigoBackend(N1269,A1269,VLOOKUP(N1269,setup!$A$8:$H$58,2),VLOOKUP(N1269,setup!$A$8:$H$58,3),VLOOKUP(N1269,setup!$A$8:$H$58,4),VLOOKUP(N1269,setup!$A$8:$H$58,5),VLOOKUP(N1269,setup!$A$8:$H$58,6),VLOOKUP(N1269,setup!$A$8:$H$58,7), VLOOKUP(0,setup!$A$8:$H$58,2),VLOOKUP(0,setup!$A$8:$H$58,5),VLOOKUP(N1269,setup!$A$8:$H$58,8))</f>
        <v xml:space="preserve">           if ($retorno-&gt;msgcode == ConstantesMensagem::COMANDO_REALIZADO_COM_SUCESSO){</v>
      </c>
    </row>
    <row r="1270" spans="1:15" x14ac:dyDescent="0.25">
      <c r="A1270" s="29" t="s">
        <v>732</v>
      </c>
      <c r="N1270">
        <f t="shared" si="6"/>
        <v>9</v>
      </c>
      <c r="O1270" s="7" t="str">
        <f ca="1">getCodigoBackend(N1270,A1270,VLOOKUP(N1270,setup!$A$8:$H$58,2),VLOOKUP(N1270,setup!$A$8:$H$58,3),VLOOKUP(N1270,setup!$A$8:$H$58,4),VLOOKUP(N1270,setup!$A$8:$H$58,5),VLOOKUP(N1270,setup!$A$8:$H$58,6),VLOOKUP(N1270,setup!$A$8:$H$58,7), VLOOKUP(0,setup!$A$8:$H$58,2),VLOOKUP(0,setup!$A$8:$H$58,5),VLOOKUP(N1270,setup!$A$8:$H$58,8))</f>
        <v xml:space="preserve">                $daofactory-&gt;commit();</v>
      </c>
    </row>
    <row r="1271" spans="1:15" x14ac:dyDescent="0.25">
      <c r="A1271" s="29" t="s">
        <v>733</v>
      </c>
      <c r="N1271">
        <f t="shared" si="6"/>
        <v>9</v>
      </c>
      <c r="O1271" s="7" t="str">
        <f ca="1">getCodigoBackend(N1271,A1271,VLOOKUP(N1271,setup!$A$8:$H$58,2),VLOOKUP(N1271,setup!$A$8:$H$58,3),VLOOKUP(N1271,setup!$A$8:$H$58,4),VLOOKUP(N1271,setup!$A$8:$H$58,5),VLOOKUP(N1271,setup!$A$8:$H$58,6),VLOOKUP(N1271,setup!$A$8:$H$58,7), VLOOKUP(0,setup!$A$8:$H$58,2),VLOOKUP(0,setup!$A$8:$H$58,5),VLOOKUP(N1271,setup!$A$8:$H$58,8))</f>
        <v xml:space="preserve">            } else {</v>
      </c>
    </row>
    <row r="1272" spans="1:15" x14ac:dyDescent="0.25">
      <c r="A1272" s="29" t="s">
        <v>734</v>
      </c>
      <c r="N1272">
        <f t="shared" si="6"/>
        <v>9</v>
      </c>
      <c r="O1272" s="7" t="str">
        <f ca="1">getCodigoBackend(N1272,A1272,VLOOKUP(N1272,setup!$A$8:$H$58,2),VLOOKUP(N1272,setup!$A$8:$H$58,3),VLOOKUP(N1272,setup!$A$8:$H$58,4),VLOOKUP(N1272,setup!$A$8:$H$58,5),VLOOKUP(N1272,setup!$A$8:$H$58,6),VLOOKUP(N1272,setup!$A$8:$H$58,7), VLOOKUP(0,setup!$A$8:$H$58,2),VLOOKUP(0,setup!$A$8:$H$58,5),VLOOKUP(N1272,setup!$A$8:$H$58,8))</f>
        <v xml:space="preserve">                $daofactory-&gt;rollback();</v>
      </c>
    </row>
    <row r="1273" spans="1:15" x14ac:dyDescent="0.25">
      <c r="A1273" s="29" t="s">
        <v>505</v>
      </c>
      <c r="N1273">
        <f t="shared" si="6"/>
        <v>9</v>
      </c>
      <c r="O1273" s="7" t="str">
        <f ca="1">getCodigoBackend(N1273,A1273,VLOOKUP(N1273,setup!$A$8:$H$58,2),VLOOKUP(N1273,setup!$A$8:$H$58,3),VLOOKUP(N1273,setup!$A$8:$H$58,4),VLOOKUP(N1273,setup!$A$8:$H$58,5),VLOOKUP(N1273,setup!$A$8:$H$58,6),VLOOKUP(N1273,setup!$A$8:$H$58,7), VLOOKUP(0,setup!$A$8:$H$58,2),VLOOKUP(0,setup!$A$8:$H$58,5),VLOOKUP(N1273,setup!$A$8:$H$58,8))</f>
        <v xml:space="preserve">            }</v>
      </c>
    </row>
    <row r="1274" spans="1:15" x14ac:dyDescent="0.25">
      <c r="A1274" s="29" t="s">
        <v>730</v>
      </c>
      <c r="N1274">
        <f t="shared" si="6"/>
        <v>9</v>
      </c>
      <c r="O1274" s="7" t="str">
        <f ca="1">getCodigoBackend(N1274,A1274,VLOOKUP(N1274,setup!$A$8:$H$58,2),VLOOKUP(N1274,setup!$A$8:$H$58,3),VLOOKUP(N1274,setup!$A$8:$H$58,4),VLOOKUP(N1274,setup!$A$8:$H$58,5),VLOOKUP(N1274,setup!$A$8:$H$58,6),VLOOKUP(N1274,setup!$A$8:$H$58,7), VLOOKUP(0,setup!$A$8:$H$58,2),VLOOKUP(0,setup!$A$8:$H$58,5),VLOOKUP(N1274,setup!$A$8:$H$58,8))</f>
        <v xml:space="preserve">            </v>
      </c>
    </row>
    <row r="1275" spans="1:15" x14ac:dyDescent="0.25">
      <c r="A1275" s="29" t="s">
        <v>735</v>
      </c>
      <c r="N1275">
        <f t="shared" si="6"/>
        <v>9</v>
      </c>
      <c r="O1275" s="7" t="str">
        <f ca="1">getCodigoBackend(N1275,A1275,VLOOKUP(N1275,setup!$A$8:$H$58,2),VLOOKUP(N1275,setup!$A$8:$H$58,3),VLOOKUP(N1275,setup!$A$8:$H$58,4),VLOOKUP(N1275,setup!$A$8:$H$58,5),VLOOKUP(N1275,setup!$A$8:$H$58,6),VLOOKUP(N1275,setup!$A$8:$H$58,7), VLOOKUP(0,setup!$A$8:$H$58,2),VLOOKUP(0,setup!$A$8:$H$58,5),VLOOKUP(N1275,setup!$A$8:$H$58,8))</f>
        <v xml:space="preserve">        } catch (Exception $e) {</v>
      </c>
    </row>
    <row r="1276" spans="1:15" x14ac:dyDescent="0.25">
      <c r="A1276" s="29" t="s">
        <v>736</v>
      </c>
      <c r="N1276">
        <f t="shared" si="6"/>
        <v>9</v>
      </c>
      <c r="O1276" s="7" t="str">
        <f ca="1">getCodigoBackend(N1276,A1276,VLOOKUP(N1276,setup!$A$8:$H$58,2),VLOOKUP(N1276,setup!$A$8:$H$58,3),VLOOKUP(N1276,setup!$A$8:$H$58,4),VLOOKUP(N1276,setup!$A$8:$H$58,5),VLOOKUP(N1276,setup!$A$8:$H$58,6),VLOOKUP(N1276,setup!$A$8:$H$58,7), VLOOKUP(0,setup!$A$8:$H$58,2),VLOOKUP(0,setup!$A$8:$H$58,5),VLOOKUP(N1276,setup!$A$8:$H$58,8))</f>
        <v xml:space="preserve">            // rollback na transação</v>
      </c>
    </row>
    <row r="1277" spans="1:15" x14ac:dyDescent="0.25">
      <c r="A1277" s="29" t="s">
        <v>737</v>
      </c>
      <c r="N1277">
        <f t="shared" si="6"/>
        <v>9</v>
      </c>
      <c r="O1277" s="7" t="str">
        <f ca="1">getCodigoBackend(N1277,A1277,VLOOKUP(N1277,setup!$A$8:$H$58,2),VLOOKUP(N1277,setup!$A$8:$H$58,3),VLOOKUP(N1277,setup!$A$8:$H$58,4),VLOOKUP(N1277,setup!$A$8:$H$58,5),VLOOKUP(N1277,setup!$A$8:$H$58,6),VLOOKUP(N1277,setup!$A$8:$H$58,7), VLOOKUP(0,setup!$A$8:$H$58,2),VLOOKUP(0,setup!$A$8:$H$58,5),VLOOKUP(N1277,setup!$A$8:$H$58,8))</f>
        <v xml:space="preserve">            $daofactory-&gt;rollback();</v>
      </c>
    </row>
    <row r="1278" spans="1:15" x14ac:dyDescent="0.25">
      <c r="A1278" s="29"/>
      <c r="N1278">
        <f t="shared" si="6"/>
        <v>9</v>
      </c>
      <c r="O1278" s="7" t="str">
        <f ca="1">getCodigoBackend(N1278,A1278,VLOOKUP(N1278,setup!$A$8:$H$58,2),VLOOKUP(N1278,setup!$A$8:$H$58,3),VLOOKUP(N1278,setup!$A$8:$H$58,4),VLOOKUP(N1278,setup!$A$8:$H$58,5),VLOOKUP(N1278,setup!$A$8:$H$58,6),VLOOKUP(N1278,setup!$A$8:$H$58,7), VLOOKUP(0,setup!$A$8:$H$58,2),VLOOKUP(0,setup!$A$8:$H$58,5),VLOOKUP(N1278,setup!$A$8:$H$58,8))</f>
        <v/>
      </c>
    </row>
    <row r="1279" spans="1:15" x14ac:dyDescent="0.25">
      <c r="A1279" s="29" t="s">
        <v>738</v>
      </c>
      <c r="N1279">
        <f t="shared" si="6"/>
        <v>9</v>
      </c>
      <c r="O1279" s="7" t="str">
        <f ca="1">getCodigoBackend(N1279,A1279,VLOOKUP(N1279,setup!$A$8:$H$58,2),VLOOKUP(N1279,setup!$A$8:$H$58,3),VLOOKUP(N1279,setup!$A$8:$H$58,4),VLOOKUP(N1279,setup!$A$8:$H$58,5),VLOOKUP(N1279,setup!$A$8:$H$58,6),VLOOKUP(N1279,setup!$A$8:$H$58,7), VLOOKUP(0,setup!$A$8:$H$58,2),VLOOKUP(0,setup!$A$8:$H$58,5),VLOOKUP(N1279,setup!$A$8:$H$58,8))</f>
        <v xml:space="preserve">        } finally {</v>
      </c>
    </row>
    <row r="1280" spans="1:15" x14ac:dyDescent="0.25">
      <c r="A1280" s="29" t="s">
        <v>739</v>
      </c>
      <c r="N1280">
        <f t="shared" si="6"/>
        <v>9</v>
      </c>
      <c r="O1280" s="7" t="str">
        <f ca="1">getCodigoBackend(N1280,A1280,VLOOKUP(N1280,setup!$A$8:$H$58,2),VLOOKUP(N1280,setup!$A$8:$H$58,3),VLOOKUP(N1280,setup!$A$8:$H$58,4),VLOOKUP(N1280,setup!$A$8:$H$58,5),VLOOKUP(N1280,setup!$A$8:$H$58,6),VLOOKUP(N1280,setup!$A$8:$H$58,7), VLOOKUP(0,setup!$A$8:$H$58,2),VLOOKUP(0,setup!$A$8:$H$58,5),VLOOKUP(N1280,setup!$A$8:$H$58,8))</f>
        <v xml:space="preserve">            try {</v>
      </c>
    </row>
    <row r="1281" spans="1:15" x14ac:dyDescent="0.25">
      <c r="A1281" s="29" t="s">
        <v>740</v>
      </c>
      <c r="N1281">
        <f t="shared" si="6"/>
        <v>9</v>
      </c>
      <c r="O1281" s="7" t="str">
        <f ca="1">getCodigoBackend(N1281,A1281,VLOOKUP(N1281,setup!$A$8:$H$58,2),VLOOKUP(N1281,setup!$A$8:$H$58,3),VLOOKUP(N1281,setup!$A$8:$H$58,4),VLOOKUP(N1281,setup!$A$8:$H$58,5),VLOOKUP(N1281,setup!$A$8:$H$58,6),VLOOKUP(N1281,setup!$A$8:$H$58,7), VLOOKUP(0,setup!$A$8:$H$58,2),VLOOKUP(0,setup!$A$8:$H$58,5),VLOOKUP(N1281,setup!$A$8:$H$58,8))</f>
        <v xml:space="preserve">                $daofactory-&gt;close();</v>
      </c>
    </row>
    <row r="1282" spans="1:15" x14ac:dyDescent="0.25">
      <c r="A1282" s="29" t="s">
        <v>741</v>
      </c>
      <c r="N1282">
        <f t="shared" si="6"/>
        <v>9</v>
      </c>
      <c r="O1282" s="7" t="str">
        <f ca="1">getCodigoBackend(N1282,A1282,VLOOKUP(N1282,setup!$A$8:$H$58,2),VLOOKUP(N1282,setup!$A$8:$H$58,3),VLOOKUP(N1282,setup!$A$8:$H$58,4),VLOOKUP(N1282,setup!$A$8:$H$58,5),VLOOKUP(N1282,setup!$A$8:$H$58,6),VLOOKUP(N1282,setup!$A$8:$H$58,7), VLOOKUP(0,setup!$A$8:$H$58,2),VLOOKUP(0,setup!$A$8:$H$58,5),VLOOKUP(N1282,setup!$A$8:$H$58,8))</f>
        <v xml:space="preserve">            } catch (Exception $e) {</v>
      </c>
    </row>
    <row r="1283" spans="1:15" x14ac:dyDescent="0.25">
      <c r="A1283" s="29" t="s">
        <v>742</v>
      </c>
      <c r="N1283">
        <f t="shared" si="6"/>
        <v>9</v>
      </c>
      <c r="O1283" s="7" t="str">
        <f ca="1">getCodigoBackend(N1283,A1283,VLOOKUP(N1283,setup!$A$8:$H$58,2),VLOOKUP(N1283,setup!$A$8:$H$58,3),VLOOKUP(N1283,setup!$A$8:$H$58,4),VLOOKUP(N1283,setup!$A$8:$H$58,5),VLOOKUP(N1283,setup!$A$8:$H$58,6),VLOOKUP(N1283,setup!$A$8:$H$58,7), VLOOKUP(0,setup!$A$8:$H$58,2),VLOOKUP(0,setup!$A$8:$H$58,5),VLOOKUP(N1283,setup!$A$8:$H$58,8))</f>
        <v xml:space="preserve">                // faz algo</v>
      </c>
    </row>
    <row r="1284" spans="1:15" x14ac:dyDescent="0.25">
      <c r="A1284" s="29" t="s">
        <v>505</v>
      </c>
      <c r="N1284">
        <f t="shared" si="6"/>
        <v>9</v>
      </c>
      <c r="O1284" s="7" t="str">
        <f ca="1">getCodigoBackend(N1284,A1284,VLOOKUP(N1284,setup!$A$8:$H$58,2),VLOOKUP(N1284,setup!$A$8:$H$58,3),VLOOKUP(N1284,setup!$A$8:$H$58,4),VLOOKUP(N1284,setup!$A$8:$H$58,5),VLOOKUP(N1284,setup!$A$8:$H$58,6),VLOOKUP(N1284,setup!$A$8:$H$58,7), VLOOKUP(0,setup!$A$8:$H$58,2),VLOOKUP(0,setup!$A$8:$H$58,5),VLOOKUP(N1284,setup!$A$8:$H$58,8))</f>
        <v xml:space="preserve">            }</v>
      </c>
    </row>
    <row r="1285" spans="1:15" x14ac:dyDescent="0.25">
      <c r="A1285" s="29" t="s">
        <v>157</v>
      </c>
      <c r="N1285">
        <f t="shared" si="6"/>
        <v>9</v>
      </c>
      <c r="O1285" s="7" t="str">
        <f ca="1">getCodigoBackend(N1285,A1285,VLOOKUP(N1285,setup!$A$8:$H$58,2),VLOOKUP(N1285,setup!$A$8:$H$58,3),VLOOKUP(N1285,setup!$A$8:$H$58,4),VLOOKUP(N1285,setup!$A$8:$H$58,5),VLOOKUP(N1285,setup!$A$8:$H$58,6),VLOOKUP(N1285,setup!$A$8:$H$58,7), VLOOKUP(0,setup!$A$8:$H$58,2),VLOOKUP(0,setup!$A$8:$H$58,5),VLOOKUP(N1285,setup!$A$8:$H$58,8))</f>
        <v xml:space="preserve">        }</v>
      </c>
    </row>
    <row r="1286" spans="1:15" x14ac:dyDescent="0.25">
      <c r="A1286" s="29"/>
      <c r="N1286">
        <f t="shared" si="6"/>
        <v>9</v>
      </c>
      <c r="O1286" s="7" t="str">
        <f ca="1">getCodigoBackend(N1286,A1286,VLOOKUP(N1286,setup!$A$8:$H$58,2),VLOOKUP(N1286,setup!$A$8:$H$58,3),VLOOKUP(N1286,setup!$A$8:$H$58,4),VLOOKUP(N1286,setup!$A$8:$H$58,5),VLOOKUP(N1286,setup!$A$8:$H$58,6),VLOOKUP(N1286,setup!$A$8:$H$58,7), VLOOKUP(0,setup!$A$8:$H$58,2),VLOOKUP(0,setup!$A$8:$H$58,5),VLOOKUP(N1286,setup!$A$8:$H$58,8))</f>
        <v/>
      </c>
    </row>
    <row r="1287" spans="1:15" x14ac:dyDescent="0.25">
      <c r="A1287" s="29" t="s">
        <v>743</v>
      </c>
      <c r="N1287">
        <f t="shared" si="6"/>
        <v>9</v>
      </c>
      <c r="O1287" s="7" t="str">
        <f ca="1">getCodigoBackend(N1287,A1287,VLOOKUP(N1287,setup!$A$8:$H$58,2),VLOOKUP(N1287,setup!$A$8:$H$58,3),VLOOKUP(N1287,setup!$A$8:$H$58,4),VLOOKUP(N1287,setup!$A$8:$H$58,5),VLOOKUP(N1287,setup!$A$8:$H$58,6),VLOOKUP(N1287,setup!$A$8:$H$58,7), VLOOKUP(0,setup!$A$8:$H$58,2),VLOOKUP(0,setup!$A$8:$H$58,5),VLOOKUP(N1287,setup!$A$8:$H$58,8))</f>
        <v xml:space="preserve">        return $retorno;</v>
      </c>
    </row>
    <row r="1288" spans="1:15" x14ac:dyDescent="0.25">
      <c r="A1288" s="29" t="s">
        <v>406</v>
      </c>
      <c r="N1288">
        <f t="shared" si="6"/>
        <v>9</v>
      </c>
      <c r="O1288" s="7" t="str">
        <f ca="1">getCodigoBackend(N1288,A1288,VLOOKUP(N1288,setup!$A$8:$H$58,2),VLOOKUP(N1288,setup!$A$8:$H$58,3),VLOOKUP(N1288,setup!$A$8:$H$58,4),VLOOKUP(N1288,setup!$A$8:$H$58,5),VLOOKUP(N1288,setup!$A$8:$H$58,6),VLOOKUP(N1288,setup!$A$8:$H$58,7), VLOOKUP(0,setup!$A$8:$H$58,2),VLOOKUP(0,setup!$A$8:$H$58,5),VLOOKUP(N1288,setup!$A$8:$H$58,8))</f>
        <v xml:space="preserve">    }</v>
      </c>
    </row>
    <row r="1289" spans="1:15" x14ac:dyDescent="0.25">
      <c r="A1289" s="6"/>
      <c r="O1289" s="7"/>
    </row>
    <row r="1290" spans="1:15" x14ac:dyDescent="0.25">
      <c r="A1290" s="4" t="s">
        <v>19</v>
      </c>
      <c r="N1290">
        <f>N1288+1</f>
        <v>10</v>
      </c>
      <c r="O1290" s="7" t="str">
        <f ca="1">getCodigoBackend(N1290,A1290,VLOOKUP(N1290,setup!$A$8:$H$58,2),VLOOKUP(N1290,setup!$A$8:$H$58,3),VLOOKUP(N1290,setup!$A$8:$H$58,4),VLOOKUP(N1290,setup!$A$8:$H$58,5),VLOOKUP(N1290,setup!$A$8:$H$58,6),VLOOKUP(N1290,setup!$A$8:$H$58,7), VLOOKUP(0,setup!$A$8:$H$58,2),VLOOKUP(0,setup!$A$8:$H$58,5),VLOOKUP(N1290,setup!$A$8:$H$58,8))</f>
        <v>/**</v>
      </c>
    </row>
    <row r="1291" spans="1:15" x14ac:dyDescent="0.25">
      <c r="A1291" s="4" t="s">
        <v>20</v>
      </c>
      <c r="N1291">
        <f>N1290</f>
        <v>10</v>
      </c>
      <c r="O1291" s="7" t="str">
        <f ca="1">getCodigoBackend(N1291,A1291,VLOOKUP(N1291,setup!$A$8:$H$58,2),VLOOKUP(N1291,setup!$A$8:$H$58,3),VLOOKUP(N1291,setup!$A$8:$H$58,4),VLOOKUP(N1291,setup!$A$8:$H$58,5),VLOOKUP(N1291,setup!$A$8:$H$58,6),VLOOKUP(N1291,setup!$A$8:$H$58,7), VLOOKUP(0,setup!$A$8:$H$58,2),VLOOKUP(0,setup!$A$8:$H$58,5),VLOOKUP(N1291,setup!$A$8:$H$58,8))</f>
        <v>*</v>
      </c>
    </row>
    <row r="1292" spans="1:15" x14ac:dyDescent="0.25">
      <c r="A1292" s="4" t="s">
        <v>744</v>
      </c>
      <c r="N1292">
        <f t="shared" ref="N1292:N1333" si="7">N1291</f>
        <v>10</v>
      </c>
      <c r="O1292" s="7" t="str">
        <f ca="1">getCodigoBackend(N1292,A1292,VLOOKUP(N1292,setup!$A$8:$H$58,2),VLOOKUP(N1292,setup!$A$8:$H$58,3),VLOOKUP(N1292,setup!$A$8:$H$58,4),VLOOKUP(N1292,setup!$A$8:$H$58,5),VLOOKUP(N1292,setup!$A$8:$H$58,6),VLOOKUP(N1292,setup!$A$8:$H$58,7), VLOOKUP(0,setup!$A$8:$H$58,2),VLOOKUP(0,setup!$A$8:$H$58,5),VLOOKUP(N1292,setup!$A$8:$H$58,8))</f>
        <v>* atualizarDtestagioerroPorPK() - Usado para invocar a classe de negócio CampanhaCashbackResgatePixBusinessImpl de forma geral</v>
      </c>
    </row>
    <row r="1293" spans="1:15" x14ac:dyDescent="0.25">
      <c r="A1293" s="4" t="s">
        <v>745</v>
      </c>
      <c r="N1293">
        <f t="shared" si="7"/>
        <v>10</v>
      </c>
      <c r="O1293" s="7" t="str">
        <f ca="1">getCodigoBackend(N1293,A1293,VLOOKUP(N1293,setup!$A$8:$H$58,2),VLOOKUP(N1293,setup!$A$8:$H$58,3),VLOOKUP(N1293,setup!$A$8:$H$58,4),VLOOKUP(N1293,setup!$A$8:$H$58,5),VLOOKUP(N1293,setup!$A$8:$H$58,6),VLOOKUP(N1293,setup!$A$8:$H$58,7), VLOOKUP(0,setup!$A$8:$H$58,2),VLOOKUP(0,setup!$A$8:$H$58,5),VLOOKUP(N1293,setup!$A$8:$H$58,8))</f>
        <v>* realizar uma atualização de Data Registro Estágio Erro diretamente na tabela CAMPANHA_CASHBACK_RESGATE_PIX campo CCRP_DT_ESTAGIO_ERRO</v>
      </c>
    </row>
    <row r="1294" spans="1:15" x14ac:dyDescent="0.25">
      <c r="A1294" s="4" t="s">
        <v>346</v>
      </c>
      <c r="N1294">
        <f t="shared" si="7"/>
        <v>10</v>
      </c>
      <c r="O1294" s="7" t="str">
        <f ca="1">getCodigoBackend(N1294,A1294,VLOOKUP(N1294,setup!$A$8:$H$58,2),VLOOKUP(N1294,setup!$A$8:$H$58,3),VLOOKUP(N1294,setup!$A$8:$H$58,4),VLOOKUP(N1294,setup!$A$8:$H$58,5),VLOOKUP(N1294,setup!$A$8:$H$58,6),VLOOKUP(N1294,setup!$A$8:$H$58,7), VLOOKUP(0,setup!$A$8:$H$58,2),VLOOKUP(0,setup!$A$8:$H$58,5),VLOOKUP(N1294,setup!$A$8:$H$58,8))</f>
        <v>* @param $id</v>
      </c>
    </row>
    <row r="1295" spans="1:15" x14ac:dyDescent="0.25">
      <c r="A1295" s="4" t="s">
        <v>723</v>
      </c>
      <c r="N1295">
        <f t="shared" si="7"/>
        <v>10</v>
      </c>
      <c r="O1295" s="7" t="str">
        <f ca="1">getCodigoBackend(N1295,A1295,VLOOKUP(N1295,setup!$A$8:$H$58,2),VLOOKUP(N1295,setup!$A$8:$H$58,3),VLOOKUP(N1295,setup!$A$8:$H$58,4),VLOOKUP(N1295,setup!$A$8:$H$58,5),VLOOKUP(N1295,setup!$A$8:$H$58,6),VLOOKUP(N1295,setup!$A$8:$H$58,7), VLOOKUP(0,setup!$A$8:$H$58,2),VLOOKUP(0,setup!$A$8:$H$58,5),VLOOKUP(N1295,setup!$A$8:$H$58,8))</f>
        <v>* @param $dtEstagioErro</v>
      </c>
    </row>
    <row r="1296" spans="1:15" x14ac:dyDescent="0.25">
      <c r="A1296" s="4" t="s">
        <v>347</v>
      </c>
      <c r="N1296">
        <f t="shared" si="7"/>
        <v>10</v>
      </c>
      <c r="O1296" s="7" t="str">
        <f ca="1">getCodigoBackend(N1296,A1296,VLOOKUP(N1296,setup!$A$8:$H$58,2),VLOOKUP(N1296,setup!$A$8:$H$58,3),VLOOKUP(N1296,setup!$A$8:$H$58,4),VLOOKUP(N1296,setup!$A$8:$H$58,5),VLOOKUP(N1296,setup!$A$8:$H$58,6),VLOOKUP(N1296,setup!$A$8:$H$58,7), VLOOKUP(0,setup!$A$8:$H$58,2),VLOOKUP(0,setup!$A$8:$H$58,5),VLOOKUP(N1296,setup!$A$8:$H$58,8))</f>
        <v>* @return CampanhaCashbackResgatePixDTO</v>
      </c>
    </row>
    <row r="1297" spans="1:15" x14ac:dyDescent="0.25">
      <c r="A1297" s="4" t="s">
        <v>20</v>
      </c>
      <c r="N1297">
        <f t="shared" si="7"/>
        <v>10</v>
      </c>
      <c r="O1297" s="7" t="str">
        <f ca="1">getCodigoBackend(N1297,A1297,VLOOKUP(N1297,setup!$A$8:$H$58,2),VLOOKUP(N1297,setup!$A$8:$H$58,3),VLOOKUP(N1297,setup!$A$8:$H$58,4),VLOOKUP(N1297,setup!$A$8:$H$58,5),VLOOKUP(N1297,setup!$A$8:$H$58,6),VLOOKUP(N1297,setup!$A$8:$H$58,7), VLOOKUP(0,setup!$A$8:$H$58,2),VLOOKUP(0,setup!$A$8:$H$58,5),VLOOKUP(N1297,setup!$A$8:$H$58,8))</f>
        <v>*</v>
      </c>
    </row>
    <row r="1298" spans="1:15" x14ac:dyDescent="0.25">
      <c r="A1298" s="4" t="s">
        <v>75</v>
      </c>
      <c r="N1298">
        <f t="shared" si="7"/>
        <v>10</v>
      </c>
      <c r="O1298" s="7" t="str">
        <f ca="1">getCodigoBackend(N1298,A1298,VLOOKUP(N1298,setup!$A$8:$H$58,2),VLOOKUP(N1298,setup!$A$8:$H$58,3),VLOOKUP(N1298,setup!$A$8:$H$58,4),VLOOKUP(N1298,setup!$A$8:$H$58,5),VLOOKUP(N1298,setup!$A$8:$H$58,6),VLOOKUP(N1298,setup!$A$8:$H$58,7), VLOOKUP(0,setup!$A$8:$H$58,2),VLOOKUP(0,setup!$A$8:$H$58,5),VLOOKUP(N1298,setup!$A$8:$H$58,8))</f>
        <v xml:space="preserve">* </v>
      </c>
    </row>
    <row r="1299" spans="1:15" x14ac:dyDescent="0.25">
      <c r="A1299" s="4" t="s">
        <v>21</v>
      </c>
      <c r="N1299">
        <f t="shared" si="7"/>
        <v>10</v>
      </c>
      <c r="O1299" s="7" t="str">
        <f ca="1">getCodigoBackend(N1299,A1299,VLOOKUP(N1299,setup!$A$8:$H$58,2),VLOOKUP(N1299,setup!$A$8:$H$58,3),VLOOKUP(N1299,setup!$A$8:$H$58,4),VLOOKUP(N1299,setup!$A$8:$H$58,5),VLOOKUP(N1299,setup!$A$8:$H$58,6),VLOOKUP(N1299,setup!$A$8:$H$58,7), VLOOKUP(0,setup!$A$8:$H$58,2),VLOOKUP(0,setup!$A$8:$H$58,5),VLOOKUP(N1299,setup!$A$8:$H$58,8))</f>
        <v>*/</v>
      </c>
    </row>
    <row r="1300" spans="1:15" x14ac:dyDescent="0.25">
      <c r="A1300" s="6"/>
      <c r="N1300">
        <f t="shared" si="7"/>
        <v>10</v>
      </c>
      <c r="O1300" s="7" t="str">
        <f ca="1">getCodigoBackend(N1300,A1300,VLOOKUP(N1300,setup!$A$8:$H$58,2),VLOOKUP(N1300,setup!$A$8:$H$58,3),VLOOKUP(N1300,setup!$A$8:$H$58,4),VLOOKUP(N1300,setup!$A$8:$H$58,5),VLOOKUP(N1300,setup!$A$8:$H$58,6),VLOOKUP(N1300,setup!$A$8:$H$58,7), VLOOKUP(0,setup!$A$8:$H$58,2),VLOOKUP(0,setup!$A$8:$H$58,5),VLOOKUP(N1300,setup!$A$8:$H$58,8))</f>
        <v/>
      </c>
    </row>
    <row r="1301" spans="1:15" x14ac:dyDescent="0.25">
      <c r="A1301" s="29" t="s">
        <v>782</v>
      </c>
      <c r="N1301">
        <f t="shared" si="7"/>
        <v>10</v>
      </c>
      <c r="O1301" s="7" t="str">
        <f ca="1">getCodigoBackend(N1301,A1301,VLOOKUP(N1301,setup!$A$8:$H$58,2),VLOOKUP(N1301,setup!$A$8:$H$58,3),VLOOKUP(N1301,setup!$A$8:$H$58,4),VLOOKUP(N1301,setup!$A$8:$H$58,5),VLOOKUP(N1301,setup!$A$8:$H$58,6),VLOOKUP(N1301,setup!$A$8:$H$58,7), VLOOKUP(0,setup!$A$8:$H$58,2),VLOOKUP(0,setup!$A$8:$H$58,5),VLOOKUP(N1301,setup!$A$8:$H$58,8))</f>
        <v xml:space="preserve">    public function atualizarDtestagioerroPorPK($dtEstagioErro,$id)</v>
      </c>
    </row>
    <row r="1302" spans="1:15" x14ac:dyDescent="0.25">
      <c r="A1302" s="29" t="s">
        <v>379</v>
      </c>
      <c r="N1302">
        <f t="shared" si="7"/>
        <v>10</v>
      </c>
      <c r="O1302" s="7" t="str">
        <f ca="1">getCodigoBackend(N1302,A1302,VLOOKUP(N1302,setup!$A$8:$H$58,2),VLOOKUP(N1302,setup!$A$8:$H$58,3),VLOOKUP(N1302,setup!$A$8:$H$58,4),VLOOKUP(N1302,setup!$A$8:$H$58,5),VLOOKUP(N1302,setup!$A$8:$H$58,6),VLOOKUP(N1302,setup!$A$8:$H$58,7), VLOOKUP(0,setup!$A$8:$H$58,2),VLOOKUP(0,setup!$A$8:$H$58,5),VLOOKUP(N1302,setup!$A$8:$H$58,8))</f>
        <v xml:space="preserve">    {</v>
      </c>
    </row>
    <row r="1303" spans="1:15" x14ac:dyDescent="0.25">
      <c r="A1303" s="29" t="s">
        <v>724</v>
      </c>
      <c r="N1303">
        <f t="shared" si="7"/>
        <v>10</v>
      </c>
      <c r="O1303" s="7" t="str">
        <f ca="1">getCodigoBackend(N1303,A1303,VLOOKUP(N1303,setup!$A$8:$H$58,2),VLOOKUP(N1303,setup!$A$8:$H$58,3),VLOOKUP(N1303,setup!$A$8:$H$58,4),VLOOKUP(N1303,setup!$A$8:$H$58,5),VLOOKUP(N1303,setup!$A$8:$H$58,6),VLOOKUP(N1303,setup!$A$8:$H$58,7), VLOOKUP(0,setup!$A$8:$H$58,2),VLOOKUP(0,setup!$A$8:$H$58,5),VLOOKUP(N1303,setup!$A$8:$H$58,8))</f>
        <v xml:space="preserve">        $daofactory = NULL;</v>
      </c>
    </row>
    <row r="1304" spans="1:15" x14ac:dyDescent="0.25">
      <c r="A1304" s="29" t="s">
        <v>725</v>
      </c>
      <c r="N1304">
        <f t="shared" si="7"/>
        <v>10</v>
      </c>
      <c r="O1304" s="7" t="str">
        <f ca="1">getCodigoBackend(N1304,A1304,VLOOKUP(N1304,setup!$A$8:$H$58,2),VLOOKUP(N1304,setup!$A$8:$H$58,3),VLOOKUP(N1304,setup!$A$8:$H$58,4),VLOOKUP(N1304,setup!$A$8:$H$58,5),VLOOKUP(N1304,setup!$A$8:$H$58,6),VLOOKUP(N1304,setup!$A$8:$H$58,7), VLOOKUP(0,setup!$A$8:$H$58,2),VLOOKUP(0,setup!$A$8:$H$58,5),VLOOKUP(N1304,setup!$A$8:$H$58,8))</f>
        <v xml:space="preserve">        $retorno = NULL;</v>
      </c>
    </row>
    <row r="1305" spans="1:15" x14ac:dyDescent="0.25">
      <c r="A1305" s="29" t="s">
        <v>726</v>
      </c>
      <c r="N1305">
        <f t="shared" si="7"/>
        <v>10</v>
      </c>
      <c r="O1305" s="7" t="str">
        <f ca="1">getCodigoBackend(N1305,A1305,VLOOKUP(N1305,setup!$A$8:$H$58,2),VLOOKUP(N1305,setup!$A$8:$H$58,3),VLOOKUP(N1305,setup!$A$8:$H$58,4),VLOOKUP(N1305,setup!$A$8:$H$58,5),VLOOKUP(N1305,setup!$A$8:$H$58,6),VLOOKUP(N1305,setup!$A$8:$H$58,7), VLOOKUP(0,setup!$A$8:$H$58,2),VLOOKUP(0,setup!$A$8:$H$58,5),VLOOKUP(N1305,setup!$A$8:$H$58,8))</f>
        <v xml:space="preserve">        try {</v>
      </c>
    </row>
    <row r="1306" spans="1:15" x14ac:dyDescent="0.25">
      <c r="A1306" s="29" t="s">
        <v>727</v>
      </c>
      <c r="N1306">
        <f t="shared" si="7"/>
        <v>10</v>
      </c>
      <c r="O1306" s="7" t="str">
        <f ca="1">getCodigoBackend(N1306,A1306,VLOOKUP(N1306,setup!$A$8:$H$58,2),VLOOKUP(N1306,setup!$A$8:$H$58,3),VLOOKUP(N1306,setup!$A$8:$H$58,4),VLOOKUP(N1306,setup!$A$8:$H$58,5),VLOOKUP(N1306,setup!$A$8:$H$58,6),VLOOKUP(N1306,setup!$A$8:$H$58,7), VLOOKUP(0,setup!$A$8:$H$58,2),VLOOKUP(0,setup!$A$8:$H$58,5),VLOOKUP(N1306,setup!$A$8:$H$58,8))</f>
        <v xml:space="preserve">            $daofactory = DAOFactory::getDAOFactory();</v>
      </c>
    </row>
    <row r="1307" spans="1:15" x14ac:dyDescent="0.25">
      <c r="A1307" s="29" t="s">
        <v>728</v>
      </c>
      <c r="N1307">
        <f t="shared" si="7"/>
        <v>10</v>
      </c>
      <c r="O1307" s="7" t="str">
        <f ca="1">getCodigoBackend(N1307,A1307,VLOOKUP(N1307,setup!$A$8:$H$58,2),VLOOKUP(N1307,setup!$A$8:$H$58,3),VLOOKUP(N1307,setup!$A$8:$H$58,4),VLOOKUP(N1307,setup!$A$8:$H$58,5),VLOOKUP(N1307,setup!$A$8:$H$58,6),VLOOKUP(N1307,setup!$A$8:$H$58,7), VLOOKUP(0,setup!$A$8:$H$58,2),VLOOKUP(0,setup!$A$8:$H$58,5),VLOOKUP(N1307,setup!$A$8:$H$58,8))</f>
        <v xml:space="preserve">            $daofactory-&gt;open();</v>
      </c>
    </row>
    <row r="1308" spans="1:15" x14ac:dyDescent="0.25">
      <c r="A1308" s="29" t="s">
        <v>729</v>
      </c>
      <c r="N1308">
        <f t="shared" si="7"/>
        <v>10</v>
      </c>
      <c r="O1308" s="7" t="str">
        <f ca="1">getCodigoBackend(N1308,A1308,VLOOKUP(N1308,setup!$A$8:$H$58,2),VLOOKUP(N1308,setup!$A$8:$H$58,3),VLOOKUP(N1308,setup!$A$8:$H$58,4),VLOOKUP(N1308,setup!$A$8:$H$58,5),VLOOKUP(N1308,setup!$A$8:$H$58,6),VLOOKUP(N1308,setup!$A$8:$H$58,7), VLOOKUP(0,setup!$A$8:$H$58,2),VLOOKUP(0,setup!$A$8:$H$58,5),VLOOKUP(N1308,setup!$A$8:$H$58,8))</f>
        <v xml:space="preserve">            $daofactory-&gt;beginTransaction();</v>
      </c>
    </row>
    <row r="1309" spans="1:15" x14ac:dyDescent="0.25">
      <c r="A1309" s="29" t="s">
        <v>730</v>
      </c>
      <c r="N1309">
        <f t="shared" si="7"/>
        <v>10</v>
      </c>
      <c r="O1309" s="7" t="str">
        <f ca="1">getCodigoBackend(N1309,A1309,VLOOKUP(N1309,setup!$A$8:$H$58,2),VLOOKUP(N1309,setup!$A$8:$H$58,3),VLOOKUP(N1309,setup!$A$8:$H$58,4),VLOOKUP(N1309,setup!$A$8:$H$58,5),VLOOKUP(N1309,setup!$A$8:$H$58,6),VLOOKUP(N1309,setup!$A$8:$H$58,7), VLOOKUP(0,setup!$A$8:$H$58,2),VLOOKUP(0,setup!$A$8:$H$58,5),VLOOKUP(N1309,setup!$A$8:$H$58,8))</f>
        <v xml:space="preserve">            </v>
      </c>
    </row>
    <row r="1310" spans="1:15" x14ac:dyDescent="0.25">
      <c r="A1310" s="29" t="s">
        <v>746</v>
      </c>
      <c r="N1310">
        <f t="shared" si="7"/>
        <v>10</v>
      </c>
      <c r="O1310" s="7" t="str">
        <f ca="1">getCodigoBackend(N1310,A1310,VLOOKUP(N1310,setup!$A$8:$H$58,2),VLOOKUP(N1310,setup!$A$8:$H$58,3),VLOOKUP(N1310,setup!$A$8:$H$58,4),VLOOKUP(N1310,setup!$A$8:$H$58,5),VLOOKUP(N1310,setup!$A$8:$H$58,6),VLOOKUP(N1310,setup!$A$8:$H$58,7), VLOOKUP(0,setup!$A$8:$H$58,2),VLOOKUP(0,setup!$A$8:$H$58,5),VLOOKUP(N1310,setup!$A$8:$H$58,8))</f>
        <v xml:space="preserve">            // atualizar registro por meio do método CampanhaCashbackResgatePixBusinessImpl::atualizarDtestagioerroPorPK($dtEstagioErro,$id)</v>
      </c>
    </row>
    <row r="1311" spans="1:15" x14ac:dyDescent="0.25">
      <c r="A1311" s="29" t="s">
        <v>747</v>
      </c>
      <c r="N1311">
        <f t="shared" si="7"/>
        <v>10</v>
      </c>
      <c r="O1311" s="7" t="str">
        <f ca="1">getCodigoBackend(N1311,A1311,VLOOKUP(N1311,setup!$A$8:$H$58,2),VLOOKUP(N1311,setup!$A$8:$H$58,3),VLOOKUP(N1311,setup!$A$8:$H$58,4),VLOOKUP(N1311,setup!$A$8:$H$58,5),VLOOKUP(N1311,setup!$A$8:$H$58,6),VLOOKUP(N1311,setup!$A$8:$H$58,7), VLOOKUP(0,setup!$A$8:$H$58,2),VLOOKUP(0,setup!$A$8:$H$58,5),VLOOKUP(N1311,setup!$A$8:$H$58,8))</f>
        <v xml:space="preserve">           $bo = new CampanhaCashbackResgatePixBusinessImpl();</v>
      </c>
    </row>
    <row r="1312" spans="1:15" x14ac:dyDescent="0.25">
      <c r="A1312" s="29" t="s">
        <v>748</v>
      </c>
      <c r="N1312">
        <f t="shared" si="7"/>
        <v>10</v>
      </c>
      <c r="O1312" s="7" t="str">
        <f ca="1">getCodigoBackend(N1312,A1312,VLOOKUP(N1312,setup!$A$8:$H$58,2),VLOOKUP(N1312,setup!$A$8:$H$58,3),VLOOKUP(N1312,setup!$A$8:$H$58,4),VLOOKUP(N1312,setup!$A$8:$H$58,5),VLOOKUP(N1312,setup!$A$8:$H$58,6),VLOOKUP(N1312,setup!$A$8:$H$58,7), VLOOKUP(0,setup!$A$8:$H$58,2),VLOOKUP(0,setup!$A$8:$H$58,5),VLOOKUP(N1312,setup!$A$8:$H$58,8))</f>
        <v xml:space="preserve">           $retorno = $bo-&gt;atualizarDtestagioerroPorPK($daofactory,$dtEstagioErro,$id);</v>
      </c>
    </row>
    <row r="1313" spans="1:15" x14ac:dyDescent="0.25">
      <c r="A1313" s="29"/>
      <c r="N1313">
        <f t="shared" si="7"/>
        <v>10</v>
      </c>
      <c r="O1313" s="7" t="str">
        <f ca="1">getCodigoBackend(N1313,A1313,VLOOKUP(N1313,setup!$A$8:$H$58,2),VLOOKUP(N1313,setup!$A$8:$H$58,3),VLOOKUP(N1313,setup!$A$8:$H$58,4),VLOOKUP(N1313,setup!$A$8:$H$58,5),VLOOKUP(N1313,setup!$A$8:$H$58,6),VLOOKUP(N1313,setup!$A$8:$H$58,7), VLOOKUP(0,setup!$A$8:$H$58,2),VLOOKUP(0,setup!$A$8:$H$58,5),VLOOKUP(N1313,setup!$A$8:$H$58,8))</f>
        <v/>
      </c>
    </row>
    <row r="1314" spans="1:15" x14ac:dyDescent="0.25">
      <c r="A1314" s="29" t="s">
        <v>731</v>
      </c>
      <c r="N1314">
        <f t="shared" si="7"/>
        <v>10</v>
      </c>
      <c r="O1314" s="7" t="str">
        <f ca="1">getCodigoBackend(N1314,A1314,VLOOKUP(N1314,setup!$A$8:$H$58,2),VLOOKUP(N1314,setup!$A$8:$H$58,3),VLOOKUP(N1314,setup!$A$8:$H$58,4),VLOOKUP(N1314,setup!$A$8:$H$58,5),VLOOKUP(N1314,setup!$A$8:$H$58,6),VLOOKUP(N1314,setup!$A$8:$H$58,7), VLOOKUP(0,setup!$A$8:$H$58,2),VLOOKUP(0,setup!$A$8:$H$58,5),VLOOKUP(N1314,setup!$A$8:$H$58,8))</f>
        <v xml:space="preserve">           if ($retorno-&gt;msgcode == ConstantesMensagem::COMANDO_REALIZADO_COM_SUCESSO){</v>
      </c>
    </row>
    <row r="1315" spans="1:15" x14ac:dyDescent="0.25">
      <c r="A1315" s="29" t="s">
        <v>732</v>
      </c>
      <c r="N1315">
        <f t="shared" si="7"/>
        <v>10</v>
      </c>
      <c r="O1315" s="7" t="str">
        <f ca="1">getCodigoBackend(N1315,A1315,VLOOKUP(N1315,setup!$A$8:$H$58,2),VLOOKUP(N1315,setup!$A$8:$H$58,3),VLOOKUP(N1315,setup!$A$8:$H$58,4),VLOOKUP(N1315,setup!$A$8:$H$58,5),VLOOKUP(N1315,setup!$A$8:$H$58,6),VLOOKUP(N1315,setup!$A$8:$H$58,7), VLOOKUP(0,setup!$A$8:$H$58,2),VLOOKUP(0,setup!$A$8:$H$58,5),VLOOKUP(N1315,setup!$A$8:$H$58,8))</f>
        <v xml:space="preserve">                $daofactory-&gt;commit();</v>
      </c>
    </row>
    <row r="1316" spans="1:15" x14ac:dyDescent="0.25">
      <c r="A1316" s="29" t="s">
        <v>733</v>
      </c>
      <c r="N1316">
        <f t="shared" si="7"/>
        <v>10</v>
      </c>
      <c r="O1316" s="7" t="str">
        <f ca="1">getCodigoBackend(N1316,A1316,VLOOKUP(N1316,setup!$A$8:$H$58,2),VLOOKUP(N1316,setup!$A$8:$H$58,3),VLOOKUP(N1316,setup!$A$8:$H$58,4),VLOOKUP(N1316,setup!$A$8:$H$58,5),VLOOKUP(N1316,setup!$A$8:$H$58,6),VLOOKUP(N1316,setup!$A$8:$H$58,7), VLOOKUP(0,setup!$A$8:$H$58,2),VLOOKUP(0,setup!$A$8:$H$58,5),VLOOKUP(N1316,setup!$A$8:$H$58,8))</f>
        <v xml:space="preserve">            } else {</v>
      </c>
    </row>
    <row r="1317" spans="1:15" x14ac:dyDescent="0.25">
      <c r="A1317" s="29" t="s">
        <v>734</v>
      </c>
      <c r="N1317">
        <f t="shared" si="7"/>
        <v>10</v>
      </c>
      <c r="O1317" s="7" t="str">
        <f ca="1">getCodigoBackend(N1317,A1317,VLOOKUP(N1317,setup!$A$8:$H$58,2),VLOOKUP(N1317,setup!$A$8:$H$58,3),VLOOKUP(N1317,setup!$A$8:$H$58,4),VLOOKUP(N1317,setup!$A$8:$H$58,5),VLOOKUP(N1317,setup!$A$8:$H$58,6),VLOOKUP(N1317,setup!$A$8:$H$58,7), VLOOKUP(0,setup!$A$8:$H$58,2),VLOOKUP(0,setup!$A$8:$H$58,5),VLOOKUP(N1317,setup!$A$8:$H$58,8))</f>
        <v xml:space="preserve">                $daofactory-&gt;rollback();</v>
      </c>
    </row>
    <row r="1318" spans="1:15" x14ac:dyDescent="0.25">
      <c r="A1318" s="29" t="s">
        <v>505</v>
      </c>
      <c r="N1318">
        <f t="shared" si="7"/>
        <v>10</v>
      </c>
      <c r="O1318" s="7" t="str">
        <f ca="1">getCodigoBackend(N1318,A1318,VLOOKUP(N1318,setup!$A$8:$H$58,2),VLOOKUP(N1318,setup!$A$8:$H$58,3),VLOOKUP(N1318,setup!$A$8:$H$58,4),VLOOKUP(N1318,setup!$A$8:$H$58,5),VLOOKUP(N1318,setup!$A$8:$H$58,6),VLOOKUP(N1318,setup!$A$8:$H$58,7), VLOOKUP(0,setup!$A$8:$H$58,2),VLOOKUP(0,setup!$A$8:$H$58,5),VLOOKUP(N1318,setup!$A$8:$H$58,8))</f>
        <v xml:space="preserve">            }</v>
      </c>
    </row>
    <row r="1319" spans="1:15" x14ac:dyDescent="0.25">
      <c r="A1319" s="29" t="s">
        <v>730</v>
      </c>
      <c r="N1319">
        <f t="shared" si="7"/>
        <v>10</v>
      </c>
      <c r="O1319" s="7" t="str">
        <f ca="1">getCodigoBackend(N1319,A1319,VLOOKUP(N1319,setup!$A$8:$H$58,2),VLOOKUP(N1319,setup!$A$8:$H$58,3),VLOOKUP(N1319,setup!$A$8:$H$58,4),VLOOKUP(N1319,setup!$A$8:$H$58,5),VLOOKUP(N1319,setup!$A$8:$H$58,6),VLOOKUP(N1319,setup!$A$8:$H$58,7), VLOOKUP(0,setup!$A$8:$H$58,2),VLOOKUP(0,setup!$A$8:$H$58,5),VLOOKUP(N1319,setup!$A$8:$H$58,8))</f>
        <v xml:space="preserve">            </v>
      </c>
    </row>
    <row r="1320" spans="1:15" x14ac:dyDescent="0.25">
      <c r="A1320" s="29" t="s">
        <v>735</v>
      </c>
      <c r="N1320">
        <f t="shared" si="7"/>
        <v>10</v>
      </c>
      <c r="O1320" s="7" t="str">
        <f ca="1">getCodigoBackend(N1320,A1320,VLOOKUP(N1320,setup!$A$8:$H$58,2),VLOOKUP(N1320,setup!$A$8:$H$58,3),VLOOKUP(N1320,setup!$A$8:$H$58,4),VLOOKUP(N1320,setup!$A$8:$H$58,5),VLOOKUP(N1320,setup!$A$8:$H$58,6),VLOOKUP(N1320,setup!$A$8:$H$58,7), VLOOKUP(0,setup!$A$8:$H$58,2),VLOOKUP(0,setup!$A$8:$H$58,5),VLOOKUP(N1320,setup!$A$8:$H$58,8))</f>
        <v xml:space="preserve">        } catch (Exception $e) {</v>
      </c>
    </row>
    <row r="1321" spans="1:15" x14ac:dyDescent="0.25">
      <c r="A1321" s="29" t="s">
        <v>736</v>
      </c>
      <c r="N1321">
        <f t="shared" si="7"/>
        <v>10</v>
      </c>
      <c r="O1321" s="7" t="str">
        <f ca="1">getCodigoBackend(N1321,A1321,VLOOKUP(N1321,setup!$A$8:$H$58,2),VLOOKUP(N1321,setup!$A$8:$H$58,3),VLOOKUP(N1321,setup!$A$8:$H$58,4),VLOOKUP(N1321,setup!$A$8:$H$58,5),VLOOKUP(N1321,setup!$A$8:$H$58,6),VLOOKUP(N1321,setup!$A$8:$H$58,7), VLOOKUP(0,setup!$A$8:$H$58,2),VLOOKUP(0,setup!$A$8:$H$58,5),VLOOKUP(N1321,setup!$A$8:$H$58,8))</f>
        <v xml:space="preserve">            // rollback na transação</v>
      </c>
    </row>
    <row r="1322" spans="1:15" x14ac:dyDescent="0.25">
      <c r="A1322" s="29" t="s">
        <v>737</v>
      </c>
      <c r="N1322">
        <f t="shared" si="7"/>
        <v>10</v>
      </c>
      <c r="O1322" s="7" t="str">
        <f ca="1">getCodigoBackend(N1322,A1322,VLOOKUP(N1322,setup!$A$8:$H$58,2),VLOOKUP(N1322,setup!$A$8:$H$58,3),VLOOKUP(N1322,setup!$A$8:$H$58,4),VLOOKUP(N1322,setup!$A$8:$H$58,5),VLOOKUP(N1322,setup!$A$8:$H$58,6),VLOOKUP(N1322,setup!$A$8:$H$58,7), VLOOKUP(0,setup!$A$8:$H$58,2),VLOOKUP(0,setup!$A$8:$H$58,5),VLOOKUP(N1322,setup!$A$8:$H$58,8))</f>
        <v xml:space="preserve">            $daofactory-&gt;rollback();</v>
      </c>
    </row>
    <row r="1323" spans="1:15" x14ac:dyDescent="0.25">
      <c r="A1323" s="29"/>
      <c r="N1323">
        <f t="shared" si="7"/>
        <v>10</v>
      </c>
      <c r="O1323" s="7" t="str">
        <f ca="1">getCodigoBackend(N1323,A1323,VLOOKUP(N1323,setup!$A$8:$H$58,2),VLOOKUP(N1323,setup!$A$8:$H$58,3),VLOOKUP(N1323,setup!$A$8:$H$58,4),VLOOKUP(N1323,setup!$A$8:$H$58,5),VLOOKUP(N1323,setup!$A$8:$H$58,6),VLOOKUP(N1323,setup!$A$8:$H$58,7), VLOOKUP(0,setup!$A$8:$H$58,2),VLOOKUP(0,setup!$A$8:$H$58,5),VLOOKUP(N1323,setup!$A$8:$H$58,8))</f>
        <v/>
      </c>
    </row>
    <row r="1324" spans="1:15" x14ac:dyDescent="0.25">
      <c r="A1324" s="29" t="s">
        <v>738</v>
      </c>
      <c r="N1324">
        <f t="shared" si="7"/>
        <v>10</v>
      </c>
      <c r="O1324" s="7" t="str">
        <f ca="1">getCodigoBackend(N1324,A1324,VLOOKUP(N1324,setup!$A$8:$H$58,2),VLOOKUP(N1324,setup!$A$8:$H$58,3),VLOOKUP(N1324,setup!$A$8:$H$58,4),VLOOKUP(N1324,setup!$A$8:$H$58,5),VLOOKUP(N1324,setup!$A$8:$H$58,6),VLOOKUP(N1324,setup!$A$8:$H$58,7), VLOOKUP(0,setup!$A$8:$H$58,2),VLOOKUP(0,setup!$A$8:$H$58,5),VLOOKUP(N1324,setup!$A$8:$H$58,8))</f>
        <v xml:space="preserve">        } finally {</v>
      </c>
    </row>
    <row r="1325" spans="1:15" x14ac:dyDescent="0.25">
      <c r="A1325" s="29" t="s">
        <v>739</v>
      </c>
      <c r="N1325">
        <f t="shared" si="7"/>
        <v>10</v>
      </c>
      <c r="O1325" s="7" t="str">
        <f ca="1">getCodigoBackend(N1325,A1325,VLOOKUP(N1325,setup!$A$8:$H$58,2),VLOOKUP(N1325,setup!$A$8:$H$58,3),VLOOKUP(N1325,setup!$A$8:$H$58,4),VLOOKUP(N1325,setup!$A$8:$H$58,5),VLOOKUP(N1325,setup!$A$8:$H$58,6),VLOOKUP(N1325,setup!$A$8:$H$58,7), VLOOKUP(0,setup!$A$8:$H$58,2),VLOOKUP(0,setup!$A$8:$H$58,5),VLOOKUP(N1325,setup!$A$8:$H$58,8))</f>
        <v xml:space="preserve">            try {</v>
      </c>
    </row>
    <row r="1326" spans="1:15" x14ac:dyDescent="0.25">
      <c r="A1326" s="29" t="s">
        <v>740</v>
      </c>
      <c r="N1326">
        <f t="shared" si="7"/>
        <v>10</v>
      </c>
      <c r="O1326" s="7" t="str">
        <f ca="1">getCodigoBackend(N1326,A1326,VLOOKUP(N1326,setup!$A$8:$H$58,2),VLOOKUP(N1326,setup!$A$8:$H$58,3),VLOOKUP(N1326,setup!$A$8:$H$58,4),VLOOKUP(N1326,setup!$A$8:$H$58,5),VLOOKUP(N1326,setup!$A$8:$H$58,6),VLOOKUP(N1326,setup!$A$8:$H$58,7), VLOOKUP(0,setup!$A$8:$H$58,2),VLOOKUP(0,setup!$A$8:$H$58,5),VLOOKUP(N1326,setup!$A$8:$H$58,8))</f>
        <v xml:space="preserve">                $daofactory-&gt;close();</v>
      </c>
    </row>
    <row r="1327" spans="1:15" x14ac:dyDescent="0.25">
      <c r="A1327" s="29" t="s">
        <v>741</v>
      </c>
      <c r="N1327">
        <f t="shared" si="7"/>
        <v>10</v>
      </c>
      <c r="O1327" s="7" t="str">
        <f ca="1">getCodigoBackend(N1327,A1327,VLOOKUP(N1327,setup!$A$8:$H$58,2),VLOOKUP(N1327,setup!$A$8:$H$58,3),VLOOKUP(N1327,setup!$A$8:$H$58,4),VLOOKUP(N1327,setup!$A$8:$H$58,5),VLOOKUP(N1327,setup!$A$8:$H$58,6),VLOOKUP(N1327,setup!$A$8:$H$58,7), VLOOKUP(0,setup!$A$8:$H$58,2),VLOOKUP(0,setup!$A$8:$H$58,5),VLOOKUP(N1327,setup!$A$8:$H$58,8))</f>
        <v xml:space="preserve">            } catch (Exception $e) {</v>
      </c>
    </row>
    <row r="1328" spans="1:15" x14ac:dyDescent="0.25">
      <c r="A1328" s="29" t="s">
        <v>742</v>
      </c>
      <c r="N1328">
        <f t="shared" si="7"/>
        <v>10</v>
      </c>
      <c r="O1328" s="7" t="str">
        <f ca="1">getCodigoBackend(N1328,A1328,VLOOKUP(N1328,setup!$A$8:$H$58,2),VLOOKUP(N1328,setup!$A$8:$H$58,3),VLOOKUP(N1328,setup!$A$8:$H$58,4),VLOOKUP(N1328,setup!$A$8:$H$58,5),VLOOKUP(N1328,setup!$A$8:$H$58,6),VLOOKUP(N1328,setup!$A$8:$H$58,7), VLOOKUP(0,setup!$A$8:$H$58,2),VLOOKUP(0,setup!$A$8:$H$58,5),VLOOKUP(N1328,setup!$A$8:$H$58,8))</f>
        <v xml:space="preserve">                // faz algo</v>
      </c>
    </row>
    <row r="1329" spans="1:15" x14ac:dyDescent="0.25">
      <c r="A1329" s="29" t="s">
        <v>505</v>
      </c>
      <c r="N1329">
        <f t="shared" si="7"/>
        <v>10</v>
      </c>
      <c r="O1329" s="7" t="str">
        <f ca="1">getCodigoBackend(N1329,A1329,VLOOKUP(N1329,setup!$A$8:$H$58,2),VLOOKUP(N1329,setup!$A$8:$H$58,3),VLOOKUP(N1329,setup!$A$8:$H$58,4),VLOOKUP(N1329,setup!$A$8:$H$58,5),VLOOKUP(N1329,setup!$A$8:$H$58,6),VLOOKUP(N1329,setup!$A$8:$H$58,7), VLOOKUP(0,setup!$A$8:$H$58,2),VLOOKUP(0,setup!$A$8:$H$58,5),VLOOKUP(N1329,setup!$A$8:$H$58,8))</f>
        <v xml:space="preserve">            }</v>
      </c>
    </row>
    <row r="1330" spans="1:15" x14ac:dyDescent="0.25">
      <c r="A1330" s="29" t="s">
        <v>157</v>
      </c>
      <c r="N1330">
        <f t="shared" si="7"/>
        <v>10</v>
      </c>
      <c r="O1330" s="7" t="str">
        <f ca="1">getCodigoBackend(N1330,A1330,VLOOKUP(N1330,setup!$A$8:$H$58,2),VLOOKUP(N1330,setup!$A$8:$H$58,3),VLOOKUP(N1330,setup!$A$8:$H$58,4),VLOOKUP(N1330,setup!$A$8:$H$58,5),VLOOKUP(N1330,setup!$A$8:$H$58,6),VLOOKUP(N1330,setup!$A$8:$H$58,7), VLOOKUP(0,setup!$A$8:$H$58,2),VLOOKUP(0,setup!$A$8:$H$58,5),VLOOKUP(N1330,setup!$A$8:$H$58,8))</f>
        <v xml:space="preserve">        }</v>
      </c>
    </row>
    <row r="1331" spans="1:15" x14ac:dyDescent="0.25">
      <c r="A1331" s="29"/>
      <c r="N1331">
        <f t="shared" si="7"/>
        <v>10</v>
      </c>
      <c r="O1331" s="7" t="str">
        <f ca="1">getCodigoBackend(N1331,A1331,VLOOKUP(N1331,setup!$A$8:$H$58,2),VLOOKUP(N1331,setup!$A$8:$H$58,3),VLOOKUP(N1331,setup!$A$8:$H$58,4),VLOOKUP(N1331,setup!$A$8:$H$58,5),VLOOKUP(N1331,setup!$A$8:$H$58,6),VLOOKUP(N1331,setup!$A$8:$H$58,7), VLOOKUP(0,setup!$A$8:$H$58,2),VLOOKUP(0,setup!$A$8:$H$58,5),VLOOKUP(N1331,setup!$A$8:$H$58,8))</f>
        <v/>
      </c>
    </row>
    <row r="1332" spans="1:15" x14ac:dyDescent="0.25">
      <c r="A1332" s="29" t="s">
        <v>743</v>
      </c>
      <c r="N1332">
        <f t="shared" si="7"/>
        <v>10</v>
      </c>
      <c r="O1332" s="7" t="str">
        <f ca="1">getCodigoBackend(N1332,A1332,VLOOKUP(N1332,setup!$A$8:$H$58,2),VLOOKUP(N1332,setup!$A$8:$H$58,3),VLOOKUP(N1332,setup!$A$8:$H$58,4),VLOOKUP(N1332,setup!$A$8:$H$58,5),VLOOKUP(N1332,setup!$A$8:$H$58,6),VLOOKUP(N1332,setup!$A$8:$H$58,7), VLOOKUP(0,setup!$A$8:$H$58,2),VLOOKUP(0,setup!$A$8:$H$58,5),VLOOKUP(N1332,setup!$A$8:$H$58,8))</f>
        <v xml:space="preserve">        return $retorno;</v>
      </c>
    </row>
    <row r="1333" spans="1:15" x14ac:dyDescent="0.25">
      <c r="A1333" s="29" t="s">
        <v>406</v>
      </c>
      <c r="N1333">
        <f t="shared" si="7"/>
        <v>10</v>
      </c>
      <c r="O1333" s="7" t="str">
        <f ca="1">getCodigoBackend(N1333,A1333,VLOOKUP(N1333,setup!$A$8:$H$58,2),VLOOKUP(N1333,setup!$A$8:$H$58,3),VLOOKUP(N1333,setup!$A$8:$H$58,4),VLOOKUP(N1333,setup!$A$8:$H$58,5),VLOOKUP(N1333,setup!$A$8:$H$58,6),VLOOKUP(N1333,setup!$A$8:$H$58,7), VLOOKUP(0,setup!$A$8:$H$58,2),VLOOKUP(0,setup!$A$8:$H$58,5),VLOOKUP(N1333,setup!$A$8:$H$58,8))</f>
        <v xml:space="preserve">    }</v>
      </c>
    </row>
    <row r="1334" spans="1:15" x14ac:dyDescent="0.25">
      <c r="A1334" s="6"/>
      <c r="O1334" s="7"/>
    </row>
    <row r="1335" spans="1:15" x14ac:dyDescent="0.25">
      <c r="A1335" s="6"/>
      <c r="O1335" s="7"/>
    </row>
    <row r="1336" spans="1:15" x14ac:dyDescent="0.25">
      <c r="A1336" s="6"/>
      <c r="O1336" s="7"/>
    </row>
    <row r="1337" spans="1:15" x14ac:dyDescent="0.25">
      <c r="A1337" s="6"/>
      <c r="O1337" s="7"/>
    </row>
    <row r="1338" spans="1:15" x14ac:dyDescent="0.25">
      <c r="A1338" s="6"/>
      <c r="O1338" s="7"/>
    </row>
    <row r="1339" spans="1:15" x14ac:dyDescent="0.25">
      <c r="A1339" s="6"/>
      <c r="O1339" s="7"/>
    </row>
    <row r="1340" spans="1:15" x14ac:dyDescent="0.25">
      <c r="A1340" s="6"/>
      <c r="O1340" s="7"/>
    </row>
    <row r="1341" spans="1:15" x14ac:dyDescent="0.25">
      <c r="A1341" s="6"/>
      <c r="O1341" s="7"/>
    </row>
    <row r="1342" spans="1:15" x14ac:dyDescent="0.25">
      <c r="A1342" s="6"/>
      <c r="O1342" s="7"/>
    </row>
    <row r="1343" spans="1:15" x14ac:dyDescent="0.25">
      <c r="A1343" s="6"/>
      <c r="O1343" s="7"/>
    </row>
    <row r="1344" spans="1:15" x14ac:dyDescent="0.25">
      <c r="A1344" s="6"/>
      <c r="O1344" s="7"/>
    </row>
    <row r="1345" spans="1:15" x14ac:dyDescent="0.25">
      <c r="A1345" s="6"/>
      <c r="O1345" s="7"/>
    </row>
    <row r="1346" spans="1:15" x14ac:dyDescent="0.25">
      <c r="A1346" s="6"/>
      <c r="O1346" s="7"/>
    </row>
    <row r="1347" spans="1:15" x14ac:dyDescent="0.25">
      <c r="A1347" s="6"/>
      <c r="O1347" s="7"/>
    </row>
    <row r="1348" spans="1:15" x14ac:dyDescent="0.25">
      <c r="A1348" s="6"/>
      <c r="O1348" s="7"/>
    </row>
    <row r="1349" spans="1:15" x14ac:dyDescent="0.25">
      <c r="A1349" s="6"/>
      <c r="O1349" s="7"/>
    </row>
    <row r="1350" spans="1:15" x14ac:dyDescent="0.25">
      <c r="A1350" s="4" t="s">
        <v>19</v>
      </c>
      <c r="O1350" s="7" t="str">
        <f ca="1">getCodigoBackend(N1350,A1350,VLOOKUP(N1350,setup!$A$8:$H$58,2),VLOOKUP(N1350,setup!$A$8:$H$58,3),VLOOKUP(N1350,setup!$A$8:$H$58,4),VLOOKUP(N1350,setup!$A$8:$H$58,5),VLOOKUP(N1350,setup!$A$8:$H$58,6),VLOOKUP(N1350,setup!$A$8:$H$58,7), VLOOKUP(0,setup!$A$8:$H$58,2),VLOOKUP(0,setup!$A$8:$H$58,5),VLOOKUP(N1350,setup!$A$8:$H$58,8))</f>
        <v>/**</v>
      </c>
    </row>
    <row r="1351" spans="1:15" x14ac:dyDescent="0.25">
      <c r="A1351" s="4" t="s">
        <v>20</v>
      </c>
      <c r="O1351" s="7" t="str">
        <f ca="1">getCodigoBackend(N1351,A1351,VLOOKUP(N1351,setup!$A$8:$H$58,2),VLOOKUP(N1351,setup!$A$8:$H$58,3),VLOOKUP(N1351,setup!$A$8:$H$58,4),VLOOKUP(N1351,setup!$A$8:$H$58,5),VLOOKUP(N1351,setup!$A$8:$H$58,6),VLOOKUP(N1351,setup!$A$8:$H$58,7), VLOOKUP(0,setup!$A$8:$H$58,2),VLOOKUP(0,setup!$A$8:$H$58,5),VLOOKUP(N1351,setup!$A$8:$H$58,8))</f>
        <v>*</v>
      </c>
    </row>
    <row r="1352" spans="1:15" x14ac:dyDescent="0.25">
      <c r="A1352" s="4" t="s">
        <v>649</v>
      </c>
      <c r="O1352" s="7" t="str">
        <f ca="1">getCodigoBackend(N1352,A1352,VLOOKUP(N1352,setup!$A$8:$H$58,2),VLOOKUP(N1352,setup!$A$8:$H$58,3),VLOOKUP(N1352,setup!$A$8:$H$58,4),VLOOKUP(N1352,setup!$A$8:$H$58,5),VLOOKUP(N1352,setup!$A$8:$H$58,6),VLOOKUP(N1352,setup!$A$8:$H$58,7), VLOOKUP(0,setup!$A$8:$H$58,2),VLOOKUP(0,setup!$A$8:$H$58,5),VLOOKUP(N1352,setup!$A$8:$H$58,8))</f>
        <v>* listarCampanhaCashbackResgatePixPorUsuaIdStatus() - Usado para invocar a classe de negócio TipoEmpreendimentoBusinessImpl de forma geral</v>
      </c>
    </row>
    <row r="1353" spans="1:15" x14ac:dyDescent="0.25">
      <c r="A1353" s="4" t="s">
        <v>650</v>
      </c>
      <c r="O1353" s="7" t="str">
        <f ca="1">getCodigoBackend(N1353,A1353,VLOOKUP(N1353,setup!$A$8:$H$58,2),VLOOKUP(N1353,setup!$A$8:$H$58,3),VLOOKUP(N1353,setup!$A$8:$H$58,4),VLOOKUP(N1353,setup!$A$8:$H$58,5),VLOOKUP(N1353,setup!$A$8:$H$58,6),VLOOKUP(N1353,setup!$A$8:$H$58,7), VLOOKUP(0,setup!$A$8:$H$58,2),VLOOKUP(0,setup!$A$8:$H$58,5),VLOOKUP(N1353,setup!$A$8:$H$58,8))</f>
        <v>* realizar lista paginada de registros tendo como referência os registros do usuário logado com uma instância de PaginacaoDTO</v>
      </c>
    </row>
    <row r="1354" spans="1:15" x14ac:dyDescent="0.25">
      <c r="A1354" s="4" t="s">
        <v>20</v>
      </c>
      <c r="O1354" s="7" t="str">
        <f ca="1">getCodigoBackend(N1354,A1354,VLOOKUP(N1354,setup!$A$8:$H$58,2),VLOOKUP(N1354,setup!$A$8:$H$58,3),VLOOKUP(N1354,setup!$A$8:$H$58,4),VLOOKUP(N1354,setup!$A$8:$H$58,5),VLOOKUP(N1354,setup!$A$8:$H$58,6),VLOOKUP(N1354,setup!$A$8:$H$58,7), VLOOKUP(0,setup!$A$8:$H$58,2),VLOOKUP(0,setup!$A$8:$H$58,5),VLOOKUP(N1354,setup!$A$8:$H$58,8))</f>
        <v>*</v>
      </c>
    </row>
    <row r="1355" spans="1:15" x14ac:dyDescent="0.25">
      <c r="A1355" s="4" t="s">
        <v>651</v>
      </c>
      <c r="O1355" s="7" t="str">
        <f ca="1">getCodigoBackend(N1355,A1355,VLOOKUP(N1355,setup!$A$8:$H$58,2),VLOOKUP(N1355,setup!$A$8:$H$58,3),VLOOKUP(N1355,setup!$A$8:$H$58,4),VLOOKUP(N1355,setup!$A$8:$H$58,5),VLOOKUP(N1355,setup!$A$8:$H$58,6),VLOOKUP(N1355,setup!$A$8:$H$58,7), VLOOKUP(0,setup!$A$8:$H$58,2),VLOOKUP(0,setup!$A$8:$H$58,5),VLOOKUP(N1355,setup!$A$8:$H$58,8))</f>
        <v>* @param $usuaid</v>
      </c>
    </row>
    <row r="1356" spans="1:15" x14ac:dyDescent="0.25">
      <c r="A1356" s="4" t="s">
        <v>350</v>
      </c>
      <c r="O1356" s="7" t="str">
        <f ca="1">getCodigoBackend(N1356,A1356,VLOOKUP(N1356,setup!$A$8:$H$58,2),VLOOKUP(N1356,setup!$A$8:$H$58,3),VLOOKUP(N1356,setup!$A$8:$H$58,4),VLOOKUP(N1356,setup!$A$8:$H$58,5),VLOOKUP(N1356,setup!$A$8:$H$58,6),VLOOKUP(N1356,setup!$A$8:$H$58,7), VLOOKUP(0,setup!$A$8:$H$58,2),VLOOKUP(0,setup!$A$8:$H$58,5),VLOOKUP(N1356,setup!$A$8:$H$58,8))</f>
        <v>* @param $status</v>
      </c>
    </row>
    <row r="1357" spans="1:15" x14ac:dyDescent="0.25">
      <c r="A1357" s="4" t="s">
        <v>342</v>
      </c>
      <c r="O1357" s="7" t="str">
        <f ca="1">getCodigoBackend(N1357,A1357,VLOOKUP(N1357,setup!$A$8:$H$58,2),VLOOKUP(N1357,setup!$A$8:$H$58,3),VLOOKUP(N1357,setup!$A$8:$H$58,4),VLOOKUP(N1357,setup!$A$8:$H$58,5),VLOOKUP(N1357,setup!$A$8:$H$58,6),VLOOKUP(N1357,setup!$A$8:$H$58,7), VLOOKUP(0,setup!$A$8:$H$58,2),VLOOKUP(0,setup!$A$8:$H$58,5),VLOOKUP(N1357,setup!$A$8:$H$58,8))</f>
        <v>* @param $pag</v>
      </c>
    </row>
    <row r="1358" spans="1:15" x14ac:dyDescent="0.25">
      <c r="A1358" s="4" t="s">
        <v>343</v>
      </c>
      <c r="O1358" s="7" t="str">
        <f ca="1">getCodigoBackend(N1358,A1358,VLOOKUP(N1358,setup!$A$8:$H$58,2),VLOOKUP(N1358,setup!$A$8:$H$58,3),VLOOKUP(N1358,setup!$A$8:$H$58,4),VLOOKUP(N1358,setup!$A$8:$H$58,5),VLOOKUP(N1358,setup!$A$8:$H$58,6),VLOOKUP(N1358,setup!$A$8:$H$58,7), VLOOKUP(0,setup!$A$8:$H$58,2),VLOOKUP(0,setup!$A$8:$H$58,5),VLOOKUP(N1358,setup!$A$8:$H$58,8))</f>
        <v>* @param $qtde</v>
      </c>
    </row>
    <row r="1359" spans="1:15" x14ac:dyDescent="0.25">
      <c r="A1359" s="4" t="s">
        <v>351</v>
      </c>
      <c r="O1359" s="7" t="str">
        <f ca="1">getCodigoBackend(N1359,A1359,VLOOKUP(N1359,setup!$A$8:$H$58,2),VLOOKUP(N1359,setup!$A$8:$H$58,3),VLOOKUP(N1359,setup!$A$8:$H$58,4),VLOOKUP(N1359,setup!$A$8:$H$58,5),VLOOKUP(N1359,setup!$A$8:$H$58,6),VLOOKUP(N1359,setup!$A$8:$H$58,7), VLOOKUP(0,setup!$A$8:$H$58,2),VLOOKUP(0,setup!$A$8:$H$58,5),VLOOKUP(N1359,setup!$A$8:$H$58,8))</f>
        <v>* @param $coluna</v>
      </c>
    </row>
    <row r="1360" spans="1:15" x14ac:dyDescent="0.25">
      <c r="A1360" s="4" t="s">
        <v>352</v>
      </c>
      <c r="O1360" s="7" t="str">
        <f ca="1">getCodigoBackend(N1360,A1360,VLOOKUP(N1360,setup!$A$8:$H$58,2),VLOOKUP(N1360,setup!$A$8:$H$58,3),VLOOKUP(N1360,setup!$A$8:$H$58,4),VLOOKUP(N1360,setup!$A$8:$H$58,5),VLOOKUP(N1360,setup!$A$8:$H$58,6),VLOOKUP(N1360,setup!$A$8:$H$58,7), VLOOKUP(0,setup!$A$8:$H$58,2),VLOOKUP(0,setup!$A$8:$H$58,5),VLOOKUP(N1360,setup!$A$8:$H$58,8))</f>
        <v>* @param $ordem</v>
      </c>
    </row>
    <row r="1361" spans="1:15" x14ac:dyDescent="0.25">
      <c r="A1361" s="4" t="s">
        <v>353</v>
      </c>
      <c r="O1361" s="7" t="str">
        <f ca="1">getCodigoBackend(N1361,A1361,VLOOKUP(N1361,setup!$A$8:$H$58,2),VLOOKUP(N1361,setup!$A$8:$H$58,3),VLOOKUP(N1361,setup!$A$8:$H$58,4),VLOOKUP(N1361,setup!$A$8:$H$58,5),VLOOKUP(N1361,setup!$A$8:$H$58,6),VLOOKUP(N1361,setup!$A$8:$H$58,7), VLOOKUP(0,setup!$A$8:$H$58,2),VLOOKUP(0,setup!$A$8:$H$58,5),VLOOKUP(N1361,setup!$A$8:$H$58,8))</f>
        <v>* @return $PaginacaoDTO</v>
      </c>
    </row>
    <row r="1362" spans="1:15" x14ac:dyDescent="0.25">
      <c r="A1362" s="4" t="s">
        <v>21</v>
      </c>
      <c r="O1362" s="7" t="str">
        <f ca="1">getCodigoBackend(N1362,A1362,VLOOKUP(N1362,setup!$A$8:$H$58,2),VLOOKUP(N1362,setup!$A$8:$H$58,3),VLOOKUP(N1362,setup!$A$8:$H$58,4),VLOOKUP(N1362,setup!$A$8:$H$58,5),VLOOKUP(N1362,setup!$A$8:$H$58,6),VLOOKUP(N1362,setup!$A$8:$H$58,7), VLOOKUP(0,setup!$A$8:$H$58,2),VLOOKUP(0,setup!$A$8:$H$58,5),VLOOKUP(N1362,setup!$A$8:$H$58,8))</f>
        <v>*/</v>
      </c>
    </row>
    <row r="1363" spans="1:15" x14ac:dyDescent="0.25">
      <c r="A1363" s="6"/>
      <c r="O1363" s="7" t="str">
        <f ca="1">getCodigoBackend(N1363,A1363,VLOOKUP(N1363,setup!$A$8:$H$58,2),VLOOKUP(N1363,setup!$A$8:$H$58,3),VLOOKUP(N1363,setup!$A$8:$H$58,4),VLOOKUP(N1363,setup!$A$8:$H$58,5),VLOOKUP(N1363,setup!$A$8:$H$58,6),VLOOKUP(N1363,setup!$A$8:$H$58,7), VLOOKUP(0,setup!$A$8:$H$58,2),VLOOKUP(0,setup!$A$8:$H$58,5),VLOOKUP(N1363,setup!$A$8:$H$58,8))</f>
        <v/>
      </c>
    </row>
    <row r="1364" spans="1:15" x14ac:dyDescent="0.25">
      <c r="A1364" s="2" t="s">
        <v>713</v>
      </c>
      <c r="O1364" s="7" t="str">
        <f ca="1">getCodigoBackend(N1364,A1364,VLOOKUP(N1364,setup!$A$8:$H$58,2),VLOOKUP(N1364,setup!$A$8:$H$58,3),VLOOKUP(N1364,setup!$A$8:$H$58,4),VLOOKUP(N1364,setup!$A$8:$H$58,5),VLOOKUP(N1364,setup!$A$8:$H$58,6),VLOOKUP(N1364,setup!$A$8:$H$58,7), VLOOKUP(0,setup!$A$8:$H$58,2),VLOOKUP(0,setup!$A$8:$H$58,5),VLOOKUP(N1364,setup!$A$8:$H$58,8))</f>
        <v xml:space="preserve">   public function listarCampanhaCashbackResgatePixPorUsuaIdStatus($usuaid, $status='A', $pag=1, $qtde=0, $coluna=1, $ordem=0) </v>
      </c>
    </row>
    <row r="1365" spans="1:15" x14ac:dyDescent="0.25">
      <c r="A1365" s="6" t="s">
        <v>159</v>
      </c>
      <c r="O1365" s="7" t="str">
        <f ca="1">getCodigoBackend(N1365,A1365,VLOOKUP(N1365,setup!$A$8:$H$58,2),VLOOKUP(N1365,setup!$A$8:$H$58,3),VLOOKUP(N1365,setup!$A$8:$H$58,4),VLOOKUP(N1365,setup!$A$8:$H$58,5),VLOOKUP(N1365,setup!$A$8:$H$58,6),VLOOKUP(N1365,setup!$A$8:$H$58,7), VLOOKUP(0,setup!$A$8:$H$58,2),VLOOKUP(0,setup!$A$8:$H$58,5),VLOOKUP(N1365,setup!$A$8:$H$58,8))</f>
        <v xml:space="preserve">   {</v>
      </c>
    </row>
    <row r="1366" spans="1:15" x14ac:dyDescent="0.25">
      <c r="A1366" s="8" t="s">
        <v>160</v>
      </c>
      <c r="O1366" s="7" t="str">
        <f ca="1">getCodigoBackend(N1366,A1366,VLOOKUP(N1366,setup!$A$8:$H$58,2),VLOOKUP(N1366,setup!$A$8:$H$58,3),VLOOKUP(N1366,setup!$A$8:$H$58,4),VLOOKUP(N1366,setup!$A$8:$H$58,5),VLOOKUP(N1366,setup!$A$8:$H$58,6),VLOOKUP(N1366,setup!$A$8:$H$58,7), VLOOKUP(0,setup!$A$8:$H$58,2),VLOOKUP(0,setup!$A$8:$H$58,5),VLOOKUP(N1366,setup!$A$8:$H$58,8))</f>
        <v xml:space="preserve">       $daofactory = NULL;</v>
      </c>
    </row>
    <row r="1367" spans="1:15" x14ac:dyDescent="0.25">
      <c r="A1367" s="8" t="s">
        <v>161</v>
      </c>
      <c r="O1367" s="7" t="str">
        <f ca="1">getCodigoBackend(N1367,A1367,VLOOKUP(N1367,setup!$A$8:$H$58,2),VLOOKUP(N1367,setup!$A$8:$H$58,3),VLOOKUP(N1367,setup!$A$8:$H$58,4),VLOOKUP(N1367,setup!$A$8:$H$58,5),VLOOKUP(N1367,setup!$A$8:$H$58,6),VLOOKUP(N1367,setup!$A$8:$H$58,7), VLOOKUP(0,setup!$A$8:$H$58,2),VLOOKUP(0,setup!$A$8:$H$58,5),VLOOKUP(N1367,setup!$A$8:$H$58,8))</f>
        <v xml:space="preserve">       $retorno = NULL;</v>
      </c>
    </row>
    <row r="1368" spans="1:15" x14ac:dyDescent="0.25">
      <c r="A1368" s="5" t="s">
        <v>164</v>
      </c>
      <c r="O1368" s="7" t="str">
        <f ca="1">getCodigoBackend(N1368,A1368,VLOOKUP(N1368,setup!$A$8:$H$58,2),VLOOKUP(N1368,setup!$A$8:$H$58,3),VLOOKUP(N1368,setup!$A$8:$H$58,4),VLOOKUP(N1368,setup!$A$8:$H$58,5),VLOOKUP(N1368,setup!$A$8:$H$58,6),VLOOKUP(N1368,setup!$A$8:$H$58,7), VLOOKUP(0,setup!$A$8:$H$58,2),VLOOKUP(0,setup!$A$8:$H$58,5),VLOOKUP(N1368,setup!$A$8:$H$58,8))</f>
        <v xml:space="preserve">       try {</v>
      </c>
    </row>
    <row r="1369" spans="1:15" x14ac:dyDescent="0.25">
      <c r="A1369" s="8" t="s">
        <v>165</v>
      </c>
      <c r="O1369" s="7" t="str">
        <f ca="1">getCodigoBackend(N1369,A1369,VLOOKUP(N1369,setup!$A$8:$H$58,2),VLOOKUP(N1369,setup!$A$8:$H$58,3),VLOOKUP(N1369,setup!$A$8:$H$58,4),VLOOKUP(N1369,setup!$A$8:$H$58,5),VLOOKUP(N1369,setup!$A$8:$H$58,6),VLOOKUP(N1369,setup!$A$8:$H$58,7), VLOOKUP(0,setup!$A$8:$H$58,2),VLOOKUP(0,setup!$A$8:$H$58,5),VLOOKUP(N1369,setup!$A$8:$H$58,8))</f>
        <v xml:space="preserve">           $daofactory = DAOFactory::getDAOFactory();</v>
      </c>
    </row>
    <row r="1370" spans="1:15" x14ac:dyDescent="0.25">
      <c r="A1370" s="8" t="s">
        <v>166</v>
      </c>
      <c r="O1370" s="7" t="str">
        <f ca="1">getCodigoBackend(N1370,A1370,VLOOKUP(N1370,setup!$A$8:$H$58,2),VLOOKUP(N1370,setup!$A$8:$H$58,3),VLOOKUP(N1370,setup!$A$8:$H$58,4),VLOOKUP(N1370,setup!$A$8:$H$58,5),VLOOKUP(N1370,setup!$A$8:$H$58,6),VLOOKUP(N1370,setup!$A$8:$H$58,7), VLOOKUP(0,setup!$A$8:$H$58,2),VLOOKUP(0,setup!$A$8:$H$58,5),VLOOKUP(N1370,setup!$A$8:$H$58,8))</f>
        <v xml:space="preserve">           $daofactory-&gt;open();</v>
      </c>
    </row>
    <row r="1371" spans="1:15" x14ac:dyDescent="0.25">
      <c r="A1371" s="8" t="s">
        <v>167</v>
      </c>
      <c r="O1371" s="7" t="str">
        <f ca="1">getCodigoBackend(N1371,A1371,VLOOKUP(N1371,setup!$A$8:$H$58,2),VLOOKUP(N1371,setup!$A$8:$H$58,3),VLOOKUP(N1371,setup!$A$8:$H$58,4),VLOOKUP(N1371,setup!$A$8:$H$58,5),VLOOKUP(N1371,setup!$A$8:$H$58,6),VLOOKUP(N1371,setup!$A$8:$H$58,7), VLOOKUP(0,setup!$A$8:$H$58,2),VLOOKUP(0,setup!$A$8:$H$58,5),VLOOKUP(N1371,setup!$A$8:$H$58,8))</f>
        <v xml:space="preserve">           $daofactory-&gt;beginTransaction();</v>
      </c>
    </row>
    <row r="1372" spans="1:15" x14ac:dyDescent="0.25">
      <c r="O1372" s="7" t="str">
        <f ca="1">getCodigoBackend(N1372,A1372,VLOOKUP(N1372,setup!$A$8:$H$58,2),VLOOKUP(N1372,setup!$A$8:$H$58,3),VLOOKUP(N1372,setup!$A$8:$H$58,4),VLOOKUP(N1372,setup!$A$8:$H$58,5),VLOOKUP(N1372,setup!$A$8:$H$58,6),VLOOKUP(N1372,setup!$A$8:$H$58,7), VLOOKUP(0,setup!$A$8:$H$58,2),VLOOKUP(0,setup!$A$8:$H$58,5),VLOOKUP(N1372,setup!$A$8:$H$58,8))</f>
        <v/>
      </c>
    </row>
    <row r="1373" spans="1:15" x14ac:dyDescent="0.25">
      <c r="A1373" s="4" t="s">
        <v>168</v>
      </c>
      <c r="O1373" s="7" t="str">
        <f ca="1">getCodigoBackend(N1373,A1373,VLOOKUP(N1373,setup!$A$8:$H$58,2),VLOOKUP(N1373,setup!$A$8:$H$58,3),VLOOKUP(N1373,setup!$A$8:$H$58,4),VLOOKUP(N1373,setup!$A$8:$H$58,5),VLOOKUP(N1373,setup!$A$8:$H$58,6),VLOOKUP(N1373,setup!$A$8:$H$58,7), VLOOKUP(0,setup!$A$8:$H$58,2),VLOOKUP(0,setup!$A$8:$H$58,5),VLOOKUP(N1373,setup!$A$8:$H$58,8))</f>
        <v xml:space="preserve">           //Se qtde por página é indefinido (=0) busca valor default do variavel</v>
      </c>
    </row>
    <row r="1374" spans="1:15" x14ac:dyDescent="0.25">
      <c r="A1374" s="5" t="s">
        <v>169</v>
      </c>
      <c r="O1374" s="7" t="str">
        <f ca="1">getCodigoBackend(N1374,A1374,VLOOKUP(N1374,setup!$A$8:$H$58,2),VLOOKUP(N1374,setup!$A$8:$H$58,3),VLOOKUP(N1374,setup!$A$8:$H$58,4),VLOOKUP(N1374,setup!$A$8:$H$58,5),VLOOKUP(N1374,setup!$A$8:$H$58,6),VLOOKUP(N1374,setup!$A$8:$H$58,7), VLOOKUP(0,setup!$A$8:$H$58,2),VLOOKUP(0,setup!$A$8:$H$58,5),VLOOKUP(N1374,setup!$A$8:$H$58,8))</f>
        <v xml:space="preserve">           if($qtde == 0){</v>
      </c>
    </row>
    <row r="1375" spans="1:15" x14ac:dyDescent="0.25">
      <c r="A1375" s="8" t="s">
        <v>170</v>
      </c>
      <c r="O1375" s="7" t="str">
        <f ca="1">getCodigoBackend(N1375,A1375,VLOOKUP(N1375,setup!$A$8:$H$58,2),VLOOKUP(N1375,setup!$A$8:$H$58,3),VLOOKUP(N1375,setup!$A$8:$H$58,4),VLOOKUP(N1375,setup!$A$8:$H$58,5),VLOOKUP(N1375,setup!$A$8:$H$58,6),VLOOKUP(N1375,setup!$A$8:$H$58,7), VLOOKUP(0,setup!$A$8:$H$58,2),VLOOKUP(0,setup!$A$8:$H$58,5),VLOOKUP(N1375,setup!$A$8:$H$58,8))</f>
        <v xml:space="preserve">               $qtde = (int) VariavelCache::getInstance()-&gt;getVariavel(ConstantesVariavel::MAXIMO_LINHAS_POR_PAGINA_DEFAULT);</v>
      </c>
    </row>
    <row r="1376" spans="1:15" x14ac:dyDescent="0.25">
      <c r="A1376" s="6" t="s">
        <v>171</v>
      </c>
      <c r="O1376" s="7" t="str">
        <f ca="1">getCodigoBackend(N1376,A1376,VLOOKUP(N1376,setup!$A$8:$H$58,2),VLOOKUP(N1376,setup!$A$8:$H$58,3),VLOOKUP(N1376,setup!$A$8:$H$58,4),VLOOKUP(N1376,setup!$A$8:$H$58,5),VLOOKUP(N1376,setup!$A$8:$H$58,6),VLOOKUP(N1376,setup!$A$8:$H$58,7), VLOOKUP(0,setup!$A$8:$H$58,2),VLOOKUP(0,setup!$A$8:$H$58,5),VLOOKUP(N1376,setup!$A$8:$H$58,8))</f>
        <v xml:space="preserve">           }</v>
      </c>
    </row>
    <row r="1377" spans="1:15" x14ac:dyDescent="0.25">
      <c r="A1377" s="4" t="s">
        <v>270</v>
      </c>
      <c r="O1377" s="7" t="str">
        <f ca="1">getCodigoBackend(N1377,A1377,VLOOKUP(N1377,setup!$A$8:$H$58,2),VLOOKUP(N1377,setup!$A$8:$H$58,3),VLOOKUP(N1377,setup!$A$8:$H$58,4),VLOOKUP(N1377,setup!$A$8:$H$58,5),VLOOKUP(N1377,setup!$A$8:$H$58,6),VLOOKUP(N1377,setup!$A$8:$H$58,7), VLOOKUP(0,setup!$A$8:$H$58,2),VLOOKUP(0,setup!$A$8:$H$58,5),VLOOKUP(N1377,setup!$A$8:$H$58,8))</f>
        <v xml:space="preserve">           // listar paginado CampanhaCashbackResgatePix</v>
      </c>
    </row>
    <row r="1378" spans="1:15" x14ac:dyDescent="0.25">
      <c r="A1378" s="8" t="s">
        <v>271</v>
      </c>
      <c r="O1378" s="7" t="str">
        <f ca="1">getCodigoBackend(N1378,A1378,VLOOKUP(N1378,setup!$A$8:$H$58,2),VLOOKUP(N1378,setup!$A$8:$H$58,3),VLOOKUP(N1378,setup!$A$8:$H$58,4),VLOOKUP(N1378,setup!$A$8:$H$58,5),VLOOKUP(N1378,setup!$A$8:$H$58,6),VLOOKUP(N1378,setup!$A$8:$H$58,7), VLOOKUP(0,setup!$A$8:$H$58,2),VLOOKUP(0,setup!$A$8:$H$58,5),VLOOKUP(N1378,setup!$A$8:$H$58,8))</f>
        <v xml:space="preserve">           $bo = new CampanhaCashbackResgatePixBusinessImpl();</v>
      </c>
    </row>
    <row r="1379" spans="1:15" x14ac:dyDescent="0.25">
      <c r="A1379" s="8" t="s">
        <v>652</v>
      </c>
      <c r="O1379" s="7" t="str">
        <f ca="1">getCodigoBackend(N1379,A1379,VLOOKUP(N1379,setup!$A$8:$H$58,2),VLOOKUP(N1379,setup!$A$8:$H$58,3),VLOOKUP(N1379,setup!$A$8:$H$58,4),VLOOKUP(N1379,setup!$A$8:$H$58,5),VLOOKUP(N1379,setup!$A$8:$H$58,6),VLOOKUP(N1379,setup!$A$8:$H$58,7), VLOOKUP(0,setup!$A$8:$H$58,2),VLOOKUP(0,setup!$A$8:$H$58,5),VLOOKUP(N1379,setup!$A$8:$H$58,8))</f>
        <v xml:space="preserve">           $retorno = $bo-&gt;listarCampanhaCashbackResgatePixPorUsuaIdStatus($daofactory, $usuaid, $status, $pag, $qtde, $coluna, $ordem);</v>
      </c>
    </row>
    <row r="1380" spans="1:15" x14ac:dyDescent="0.25">
      <c r="A1380" s="8" t="s">
        <v>172</v>
      </c>
      <c r="O1380" s="7" t="str">
        <f ca="1">getCodigoBackend(N1380,A1380,VLOOKUP(N1380,setup!$A$8:$H$58,2),VLOOKUP(N1380,setup!$A$8:$H$58,3),VLOOKUP(N1380,setup!$A$8:$H$58,4),VLOOKUP(N1380,setup!$A$8:$H$58,5),VLOOKUP(N1380,setup!$A$8:$H$58,6),VLOOKUP(N1380,setup!$A$8:$H$58,7), VLOOKUP(0,setup!$A$8:$H$58,2),VLOOKUP(0,setup!$A$8:$H$58,5),VLOOKUP(N1380,setup!$A$8:$H$58,8))</f>
        <v xml:space="preserve">           $daofactory-&gt;commit();</v>
      </c>
    </row>
    <row r="1381" spans="1:15" x14ac:dyDescent="0.25">
      <c r="A1381" s="6" t="s">
        <v>173</v>
      </c>
      <c r="O1381" s="7" t="str">
        <f ca="1">getCodigoBackend(N1381,A1381,VLOOKUP(N1381,setup!$A$8:$H$58,2),VLOOKUP(N1381,setup!$A$8:$H$58,3),VLOOKUP(N1381,setup!$A$8:$H$58,4),VLOOKUP(N1381,setup!$A$8:$H$58,5),VLOOKUP(N1381,setup!$A$8:$H$58,6),VLOOKUP(N1381,setup!$A$8:$H$58,7), VLOOKUP(0,setup!$A$8:$H$58,2),VLOOKUP(0,setup!$A$8:$H$58,5),VLOOKUP(N1381,setup!$A$8:$H$58,8))</f>
        <v xml:space="preserve">       } catch (Exception $e) {</v>
      </c>
    </row>
    <row r="1382" spans="1:15" x14ac:dyDescent="0.25">
      <c r="A1382" s="4" t="s">
        <v>174</v>
      </c>
      <c r="O1382" s="7" t="str">
        <f ca="1">getCodigoBackend(N1382,A1382,VLOOKUP(N1382,setup!$A$8:$H$58,2),VLOOKUP(N1382,setup!$A$8:$H$58,3),VLOOKUP(N1382,setup!$A$8:$H$58,4),VLOOKUP(N1382,setup!$A$8:$H$58,5),VLOOKUP(N1382,setup!$A$8:$H$58,6),VLOOKUP(N1382,setup!$A$8:$H$58,7), VLOOKUP(0,setup!$A$8:$H$58,2),VLOOKUP(0,setup!$A$8:$H$58,5),VLOOKUP(N1382,setup!$A$8:$H$58,8))</f>
        <v xml:space="preserve">           // rollback na transação</v>
      </c>
    </row>
    <row r="1383" spans="1:15" x14ac:dyDescent="0.25">
      <c r="A1383" t="s">
        <v>158</v>
      </c>
      <c r="O1383" s="7" t="str">
        <f ca="1">getCodigoBackend(N1383,A1383,VLOOKUP(N1383,setup!$A$8:$H$58,2),VLOOKUP(N1383,setup!$A$8:$H$58,3),VLOOKUP(N1383,setup!$A$8:$H$58,4),VLOOKUP(N1383,setup!$A$8:$H$58,5),VLOOKUP(N1383,setup!$A$8:$H$58,6),VLOOKUP(N1383,setup!$A$8:$H$58,7), VLOOKUP(0,setup!$A$8:$H$58,2),VLOOKUP(0,setup!$A$8:$H$58,5),VLOOKUP(N1383,setup!$A$8:$H$58,8))</f>
        <v xml:space="preserve">        </v>
      </c>
    </row>
    <row r="1384" spans="1:15" x14ac:dyDescent="0.25">
      <c r="A1384" s="6" t="s">
        <v>175</v>
      </c>
      <c r="O1384" s="7" t="str">
        <f ca="1">getCodigoBackend(N1384,A1384,VLOOKUP(N1384,setup!$A$8:$H$58,2),VLOOKUP(N1384,setup!$A$8:$H$58,3),VLOOKUP(N1384,setup!$A$8:$H$58,4),VLOOKUP(N1384,setup!$A$8:$H$58,5),VLOOKUP(N1384,setup!$A$8:$H$58,6),VLOOKUP(N1384,setup!$A$8:$H$58,7), VLOOKUP(0,setup!$A$8:$H$58,2),VLOOKUP(0,setup!$A$8:$H$58,5),VLOOKUP(N1384,setup!$A$8:$H$58,8))</f>
        <v xml:space="preserve">       } finally {</v>
      </c>
    </row>
    <row r="1385" spans="1:15" x14ac:dyDescent="0.25">
      <c r="A1385" s="5" t="s">
        <v>176</v>
      </c>
      <c r="O1385" s="7" t="str">
        <f ca="1">getCodigoBackend(N1385,A1385,VLOOKUP(N1385,setup!$A$8:$H$58,2),VLOOKUP(N1385,setup!$A$8:$H$58,3),VLOOKUP(N1385,setup!$A$8:$H$58,4),VLOOKUP(N1385,setup!$A$8:$H$58,5),VLOOKUP(N1385,setup!$A$8:$H$58,6),VLOOKUP(N1385,setup!$A$8:$H$58,7), VLOOKUP(0,setup!$A$8:$H$58,2),VLOOKUP(0,setup!$A$8:$H$58,5),VLOOKUP(N1385,setup!$A$8:$H$58,8))</f>
        <v xml:space="preserve">           try {</v>
      </c>
    </row>
    <row r="1386" spans="1:15" x14ac:dyDescent="0.25">
      <c r="A1386" s="8" t="s">
        <v>177</v>
      </c>
      <c r="O1386" s="7" t="str">
        <f ca="1">getCodigoBackend(N1386,A1386,VLOOKUP(N1386,setup!$A$8:$H$58,2),VLOOKUP(N1386,setup!$A$8:$H$58,3),VLOOKUP(N1386,setup!$A$8:$H$58,4),VLOOKUP(N1386,setup!$A$8:$H$58,5),VLOOKUP(N1386,setup!$A$8:$H$58,6),VLOOKUP(N1386,setup!$A$8:$H$58,7), VLOOKUP(0,setup!$A$8:$H$58,2),VLOOKUP(0,setup!$A$8:$H$58,5),VLOOKUP(N1386,setup!$A$8:$H$58,8))</f>
        <v xml:space="preserve">               $daofactory-&gt;close();</v>
      </c>
    </row>
    <row r="1387" spans="1:15" x14ac:dyDescent="0.25">
      <c r="A1387" s="6" t="s">
        <v>178</v>
      </c>
      <c r="O1387" s="7" t="str">
        <f ca="1">getCodigoBackend(N1387,A1387,VLOOKUP(N1387,setup!$A$8:$H$58,2),VLOOKUP(N1387,setup!$A$8:$H$58,3),VLOOKUP(N1387,setup!$A$8:$H$58,4),VLOOKUP(N1387,setup!$A$8:$H$58,5),VLOOKUP(N1387,setup!$A$8:$H$58,6),VLOOKUP(N1387,setup!$A$8:$H$58,7), VLOOKUP(0,setup!$A$8:$H$58,2),VLOOKUP(0,setup!$A$8:$H$58,5),VLOOKUP(N1387,setup!$A$8:$H$58,8))</f>
        <v xml:space="preserve">           } catch (Exception $e) {</v>
      </c>
    </row>
    <row r="1388" spans="1:15" x14ac:dyDescent="0.25">
      <c r="A1388" s="4" t="s">
        <v>179</v>
      </c>
      <c r="O1388" s="7" t="str">
        <f ca="1">getCodigoBackend(N1388,A1388,VLOOKUP(N1388,setup!$A$8:$H$58,2),VLOOKUP(N1388,setup!$A$8:$H$58,3),VLOOKUP(N1388,setup!$A$8:$H$58,4),VLOOKUP(N1388,setup!$A$8:$H$58,5),VLOOKUP(N1388,setup!$A$8:$H$58,6),VLOOKUP(N1388,setup!$A$8:$H$58,7), VLOOKUP(0,setup!$A$8:$H$58,2),VLOOKUP(0,setup!$A$8:$H$58,5),VLOOKUP(N1388,setup!$A$8:$H$58,8))</f>
        <v xml:space="preserve">               // faz algo</v>
      </c>
    </row>
    <row r="1389" spans="1:15" x14ac:dyDescent="0.25">
      <c r="A1389" s="6" t="s">
        <v>171</v>
      </c>
      <c r="O1389" s="7" t="str">
        <f ca="1">getCodigoBackend(N1389,A1389,VLOOKUP(N1389,setup!$A$8:$H$58,2),VLOOKUP(N1389,setup!$A$8:$H$58,3),VLOOKUP(N1389,setup!$A$8:$H$58,4),VLOOKUP(N1389,setup!$A$8:$H$58,5),VLOOKUP(N1389,setup!$A$8:$H$58,6),VLOOKUP(N1389,setup!$A$8:$H$58,7), VLOOKUP(0,setup!$A$8:$H$58,2),VLOOKUP(0,setup!$A$8:$H$58,5),VLOOKUP(N1389,setup!$A$8:$H$58,8))</f>
        <v xml:space="preserve">           }</v>
      </c>
    </row>
    <row r="1390" spans="1:15" x14ac:dyDescent="0.25">
      <c r="A1390" s="6" t="s">
        <v>180</v>
      </c>
      <c r="O1390" s="7" t="str">
        <f ca="1">getCodigoBackend(N1390,A1390,VLOOKUP(N1390,setup!$A$8:$H$58,2),VLOOKUP(N1390,setup!$A$8:$H$58,3),VLOOKUP(N1390,setup!$A$8:$H$58,4),VLOOKUP(N1390,setup!$A$8:$H$58,5),VLOOKUP(N1390,setup!$A$8:$H$58,6),VLOOKUP(N1390,setup!$A$8:$H$58,7), VLOOKUP(0,setup!$A$8:$H$58,2),VLOOKUP(0,setup!$A$8:$H$58,5),VLOOKUP(N1390,setup!$A$8:$H$58,8))</f>
        <v xml:space="preserve">       }</v>
      </c>
    </row>
    <row r="1391" spans="1:15" x14ac:dyDescent="0.25">
      <c r="O1391" s="7" t="str">
        <f ca="1">getCodigoBackend(N1391,A1391,VLOOKUP(N1391,setup!$A$8:$H$58,2),VLOOKUP(N1391,setup!$A$8:$H$58,3),VLOOKUP(N1391,setup!$A$8:$H$58,4),VLOOKUP(N1391,setup!$A$8:$H$58,5),VLOOKUP(N1391,setup!$A$8:$H$58,6),VLOOKUP(N1391,setup!$A$8:$H$58,7), VLOOKUP(0,setup!$A$8:$H$58,2),VLOOKUP(0,setup!$A$8:$H$58,5),VLOOKUP(N1391,setup!$A$8:$H$58,8))</f>
        <v/>
      </c>
    </row>
    <row r="1392" spans="1:15" x14ac:dyDescent="0.25">
      <c r="A1392" s="5" t="s">
        <v>163</v>
      </c>
      <c r="O1392" s="7" t="str">
        <f ca="1">getCodigoBackend(N1392,A1392,VLOOKUP(N1392,setup!$A$8:$H$58,2),VLOOKUP(N1392,setup!$A$8:$H$58,3),VLOOKUP(N1392,setup!$A$8:$H$58,4),VLOOKUP(N1392,setup!$A$8:$H$58,5),VLOOKUP(N1392,setup!$A$8:$H$58,6),VLOOKUP(N1392,setup!$A$8:$H$58,7), VLOOKUP(0,setup!$A$8:$H$58,2),VLOOKUP(0,setup!$A$8:$H$58,5),VLOOKUP(N1392,setup!$A$8:$H$58,8))</f>
        <v xml:space="preserve">       return $retorno;</v>
      </c>
    </row>
    <row r="1393" spans="1:15" x14ac:dyDescent="0.25">
      <c r="A1393" s="6" t="s">
        <v>162</v>
      </c>
      <c r="O1393" s="7" t="str">
        <f ca="1">getCodigoBackend(N1393,A1393,VLOOKUP(N1393,setup!$A$8:$H$58,2),VLOOKUP(N1393,setup!$A$8:$H$58,3),VLOOKUP(N1393,setup!$A$8:$H$58,4),VLOOKUP(N1393,setup!$A$8:$H$58,5),VLOOKUP(N1393,setup!$A$8:$H$58,6),VLOOKUP(N1393,setup!$A$8:$H$58,7), VLOOKUP(0,setup!$A$8:$H$58,2),VLOOKUP(0,setup!$A$8:$H$58,5),VLOOKUP(N1393,setup!$A$8:$H$58,8))</f>
        <v xml:space="preserve">   }</v>
      </c>
    </row>
    <row r="1394" spans="1:15" x14ac:dyDescent="0.25">
      <c r="A1394" s="6"/>
      <c r="O1394" s="7" t="str">
        <f ca="1">getCodigoBackend(N1394,A1394,VLOOKUP(N1394,setup!$A$8:$H$58,2),VLOOKUP(N1394,setup!$A$8:$H$58,3),VLOOKUP(N1394,setup!$A$8:$H$58,4),VLOOKUP(N1394,setup!$A$8:$H$58,5),VLOOKUP(N1394,setup!$A$8:$H$58,6),VLOOKUP(N1394,setup!$A$8:$H$58,7), VLOOKUP(0,setup!$A$8:$H$58,2),VLOOKUP(0,setup!$A$8:$H$58,5),VLOOKUP(N1394,setup!$A$8:$H$58,8))</f>
        <v/>
      </c>
    </row>
    <row r="1395" spans="1:15" x14ac:dyDescent="0.25">
      <c r="O1395" s="7" t="str">
        <f ca="1">getCodigoBackend(N1395,A1395,VLOOKUP(N1395,setup!$A$8:$H$58,2),VLOOKUP(N1395,setup!$A$8:$H$58,3),VLOOKUP(N1395,setup!$A$8:$H$58,4),VLOOKUP(N1395,setup!$A$8:$H$58,5),VLOOKUP(N1395,setup!$A$8:$H$58,6),VLOOKUP(N1395,setup!$A$8:$H$58,7), VLOOKUP(0,setup!$A$8:$H$58,2),VLOOKUP(0,setup!$A$8:$H$58,5),VLOOKUP(N1395,setup!$A$8:$H$58,8))</f>
        <v/>
      </c>
    </row>
    <row r="1396" spans="1:15" x14ac:dyDescent="0.25">
      <c r="A1396" s="6" t="s">
        <v>28</v>
      </c>
      <c r="O1396" s="7" t="str">
        <f ca="1">getCodigoBackend(N1396,A1396,VLOOKUP(N1396,setup!$A$8:$H$58,2),VLOOKUP(N1396,setup!$A$8:$H$58,3),VLOOKUP(N1396,setup!$A$8:$H$58,4),VLOOKUP(N1396,setup!$A$8:$H$58,5),VLOOKUP(N1396,setup!$A$8:$H$58,6),VLOOKUP(N1396,setup!$A$8:$H$58,7), VLOOKUP(0,setup!$A$8:$H$58,2),VLOOKUP(0,setup!$A$8:$H$58,5),VLOOKUP(N1396,setup!$A$8:$H$58,8))</f>
        <v>}</v>
      </c>
    </row>
    <row r="1397" spans="1:15" x14ac:dyDescent="0.25">
      <c r="O1397" s="7" t="str">
        <f ca="1">getCodigoBackend(N1397,A1397,VLOOKUP(N1397,setup!$A$8:$H$58,2),VLOOKUP(N1397,setup!$A$8:$H$58,3),VLOOKUP(N1397,setup!$A$8:$H$58,4),VLOOKUP(N1397,setup!$A$8:$H$58,5),VLOOKUP(N1397,setup!$A$8:$H$58,6),VLOOKUP(N1397,setup!$A$8:$H$58,7), VLOOKUP(0,setup!$A$8:$H$58,2),VLOOKUP(0,setup!$A$8:$H$58,5),VLOOKUP(N1397,setup!$A$8:$H$58,8))</f>
        <v/>
      </c>
    </row>
    <row r="1398" spans="1:15" x14ac:dyDescent="0.25">
      <c r="A1398" s="2" t="s">
        <v>29</v>
      </c>
      <c r="O1398" s="7" t="str">
        <f ca="1">getCodigoBackend(N1398,A1398,VLOOKUP(N1398,setup!$A$8:$H$58,2),VLOOKUP(N1398,setup!$A$8:$H$58,3),VLOOKUP(N1398,setup!$A$8:$H$58,4),VLOOKUP(N1398,setup!$A$8:$H$58,5),VLOOKUP(N1398,setup!$A$8:$H$58,6),VLOOKUP(N1398,setup!$A$8:$H$58,7), VLOOKUP(0,setup!$A$8:$H$58,2),VLOOKUP(0,setup!$A$8:$H$58,5),VLOOKUP(N1398,setup!$A$8:$H$58,8))</f>
        <v>?&gt;</v>
      </c>
    </row>
    <row r="1399" spans="1:15" x14ac:dyDescent="0.25">
      <c r="O1399" s="7" t="str">
        <f ca="1">getCodigoBackend(N1399,A1399,VLOOKUP(N1399,setup!$A$8:$H$58,2),VLOOKUP(N1399,setup!$A$8:$H$58,3),VLOOKUP(N1399,setup!$A$8:$H$58,4),VLOOKUP(N1399,setup!$A$8:$H$58,5),VLOOKUP(N1399,setup!$A$8:$H$58,6),VLOOKUP(N1399,setup!$A$8:$H$58,7), VLOOKUP(0,setup!$A$8:$H$58,2),VLOOKUP(0,setup!$A$8:$H$58,5),VLOOKUP(N1399,setup!$A$8:$H$58,8))</f>
        <v/>
      </c>
    </row>
    <row r="1400" spans="1:15" x14ac:dyDescent="0.25">
      <c r="O1400" s="7" t="str">
        <f ca="1">getCodigoBackend(N1400,A1400,VLOOKUP(N1400,setup!$A$8:$H$58,2),VLOOKUP(N1400,setup!$A$8:$H$58,3),VLOOKUP(N1400,setup!$A$8:$H$58,4),VLOOKUP(N1400,setup!$A$8:$H$58,5),VLOOKUP(N1400,setup!$A$8:$H$58,6),VLOOKUP(N1400,setup!$A$8:$H$58,7), VLOOKUP(0,setup!$A$8:$H$58,2),VLOOKUP(0,setup!$A$8:$H$58,5),VLOOKUP(N1400,setup!$A$8:$H$58,8))</f>
        <v/>
      </c>
    </row>
    <row r="1401" spans="1:15" x14ac:dyDescent="0.25">
      <c r="O1401" s="7" t="str">
        <f ca="1">getCodigoBackend(N1401,A1401,VLOOKUP(N1401,setup!$A$8:$H$58,2),VLOOKUP(N1401,setup!$A$8:$H$58,3),VLOOKUP(N1401,setup!$A$8:$H$58,4),VLOOKUP(N1401,setup!$A$8:$H$58,5),VLOOKUP(N1401,setup!$A$8:$H$58,6),VLOOKUP(N1401,setup!$A$8:$H$58,7), VLOOKUP(0,setup!$A$8:$H$58,2),VLOOKUP(0,setup!$A$8:$H$58,5),VLOOKUP(N1401,setup!$A$8:$H$58,8))</f>
        <v/>
      </c>
    </row>
    <row r="1402" spans="1:15" x14ac:dyDescent="0.25">
      <c r="O1402" s="7" t="str">
        <f ca="1">getCodigoBackend(N1402,A1402,VLOOKUP(N1402,setup!$A$8:$H$58,2),VLOOKUP(N1402,setup!$A$8:$H$58,3),VLOOKUP(N1402,setup!$A$8:$H$58,4),VLOOKUP(N1402,setup!$A$8:$H$58,5),VLOOKUP(N1402,setup!$A$8:$H$58,6),VLOOKUP(N1402,setup!$A$8:$H$58,7), VLOOKUP(0,setup!$A$8:$H$58,2),VLOOKUP(0,setup!$A$8:$H$58,5),VLOOKUP(N1402,setup!$A$8:$H$58,8))</f>
        <v/>
      </c>
    </row>
    <row r="1403" spans="1:15" x14ac:dyDescent="0.25">
      <c r="O1403" s="7" t="str">
        <f ca="1">getCodigoBackend(N1403,A1403,VLOOKUP(N1403,setup!$A$8:$H$58,2),VLOOKUP(N1403,setup!$A$8:$H$58,3),VLOOKUP(N1403,setup!$A$8:$H$58,4),VLOOKUP(N1403,setup!$A$8:$H$58,5),VLOOKUP(N1403,setup!$A$8:$H$58,6),VLOOKUP(N1403,setup!$A$8:$H$58,7), VLOOKUP(0,setup!$A$8:$H$58,2),VLOOKUP(0,setup!$A$8:$H$58,5),VLOOKUP(N1403,setup!$A$8:$H$58,8))</f>
        <v/>
      </c>
    </row>
    <row r="1404" spans="1:15" x14ac:dyDescent="0.25">
      <c r="O1404" s="7" t="str">
        <f ca="1">getCodigoBackend(N1404,A1404,VLOOKUP(N1404,setup!$A$8:$H$58,2),VLOOKUP(N1404,setup!$A$8:$H$58,3),VLOOKUP(N1404,setup!$A$8:$H$58,4),VLOOKUP(N1404,setup!$A$8:$H$58,5),VLOOKUP(N1404,setup!$A$8:$H$58,6),VLOOKUP(N1404,setup!$A$8:$H$58,7), VLOOKUP(0,setup!$A$8:$H$58,2),VLOOKUP(0,setup!$A$8:$H$58,5),VLOOKUP(N1404,setup!$A$8:$H$58,8))</f>
        <v/>
      </c>
    </row>
    <row r="1405" spans="1:15" x14ac:dyDescent="0.25">
      <c r="O1405" s="7" t="str">
        <f ca="1">getCodigoBackend(N1405,A1405,VLOOKUP(N1405,setup!$A$8:$H$58,2),VLOOKUP(N1405,setup!$A$8:$H$58,3),VLOOKUP(N1405,setup!$A$8:$H$58,4),VLOOKUP(N1405,setup!$A$8:$H$58,5),VLOOKUP(N1405,setup!$A$8:$H$58,6),VLOOKUP(N1405,setup!$A$8:$H$58,7), VLOOKUP(0,setup!$A$8:$H$58,2),VLOOKUP(0,setup!$A$8:$H$58,5),VLOOKUP(N1405,setup!$A$8:$H$58,8))</f>
        <v/>
      </c>
    </row>
    <row r="1406" spans="1:15" x14ac:dyDescent="0.25">
      <c r="O1406" s="7" t="str">
        <f ca="1">getCodigoBackend(N1406,A1406,VLOOKUP(N1406,setup!$A$8:$H$58,2),VLOOKUP(N1406,setup!$A$8:$H$58,3),VLOOKUP(N1406,setup!$A$8:$H$58,4),VLOOKUP(N1406,setup!$A$8:$H$58,5),VLOOKUP(N1406,setup!$A$8:$H$58,6),VLOOKUP(N1406,setup!$A$8:$H$58,7), VLOOKUP(0,setup!$A$8:$H$58,2),VLOOKUP(0,setup!$A$8:$H$58,5),VLOOKUP(N1406,setup!$A$8:$H$58,8))</f>
        <v/>
      </c>
    </row>
    <row r="1407" spans="1:15" x14ac:dyDescent="0.25">
      <c r="O1407" s="7" t="str">
        <f ca="1">getCodigoBackend(N1407,A1407,VLOOKUP(N1407,setup!$A$8:$H$58,2),VLOOKUP(N1407,setup!$A$8:$H$58,3),VLOOKUP(N1407,setup!$A$8:$H$58,4),VLOOKUP(N1407,setup!$A$8:$H$58,5),VLOOKUP(N1407,setup!$A$8:$H$58,6),VLOOKUP(N1407,setup!$A$8:$H$58,7), VLOOKUP(0,setup!$A$8:$H$58,2),VLOOKUP(0,setup!$A$8:$H$58,5),VLOOKUP(N1407,setup!$A$8:$H$58,8))</f>
        <v/>
      </c>
    </row>
    <row r="1408" spans="1:15" x14ac:dyDescent="0.25">
      <c r="O1408" s="7" t="str">
        <f ca="1">getCodigoBackend(N1408,A1408,VLOOKUP(N1408,setup!$A$8:$H$58,2),VLOOKUP(N1408,setup!$A$8:$H$58,3),VLOOKUP(N1408,setup!$A$8:$H$58,4),VLOOKUP(N1408,setup!$A$8:$H$58,5),VLOOKUP(N1408,setup!$A$8:$H$58,6),VLOOKUP(N1408,setup!$A$8:$H$58,7), VLOOKUP(0,setup!$A$8:$H$58,2),VLOOKUP(0,setup!$A$8:$H$58,5),VLOOKUP(N1408,setup!$A$8:$H$58,8))</f>
        <v/>
      </c>
    </row>
    <row r="1409" spans="15:15" x14ac:dyDescent="0.25">
      <c r="O1409" s="7" t="str">
        <f ca="1">getCodigoBackend(N1409,A1409,VLOOKUP(N1409,setup!$A$8:$H$58,2),VLOOKUP(N1409,setup!$A$8:$H$58,3),VLOOKUP(N1409,setup!$A$8:$H$58,4),VLOOKUP(N1409,setup!$A$8:$H$58,5),VLOOKUP(N1409,setup!$A$8:$H$58,6),VLOOKUP(N1409,setup!$A$8:$H$58,7), VLOOKUP(0,setup!$A$8:$H$58,2),VLOOKUP(0,setup!$A$8:$H$58,5),VLOOKUP(N1409,setup!$A$8:$H$58,8))</f>
        <v/>
      </c>
    </row>
    <row r="1410" spans="15:15" x14ac:dyDescent="0.25">
      <c r="O1410" s="7" t="str">
        <f ca="1">getCodigoBackend(N1410,A1410,VLOOKUP(N1410,setup!$A$8:$H$58,2),VLOOKUP(N1410,setup!$A$8:$H$58,3),VLOOKUP(N1410,setup!$A$8:$H$58,4),VLOOKUP(N1410,setup!$A$8:$H$58,5),VLOOKUP(N1410,setup!$A$8:$H$58,6),VLOOKUP(N1410,setup!$A$8:$H$58,7), VLOOKUP(0,setup!$A$8:$H$58,2),VLOOKUP(0,setup!$A$8:$H$58,5),VLOOKUP(N1410,setup!$A$8:$H$58,8))</f>
        <v/>
      </c>
    </row>
    <row r="1411" spans="15:15" x14ac:dyDescent="0.25">
      <c r="O1411" s="7" t="str">
        <f ca="1">getCodigoBackend(N1411,A1411,VLOOKUP(N1411,setup!$A$8:$H$58,2),VLOOKUP(N1411,setup!$A$8:$H$58,3),VLOOKUP(N1411,setup!$A$8:$H$58,4),VLOOKUP(N1411,setup!$A$8:$H$58,5),VLOOKUP(N1411,setup!$A$8:$H$58,6),VLOOKUP(N1411,setup!$A$8:$H$58,7), VLOOKUP(0,setup!$A$8:$H$58,2),VLOOKUP(0,setup!$A$8:$H$58,5),VLOOKUP(N1411,setup!$A$8:$H$58,8))</f>
        <v/>
      </c>
    </row>
    <row r="1412" spans="15:15" x14ac:dyDescent="0.25">
      <c r="O1412" s="7" t="str">
        <f ca="1">getCodigoBackend(N1412,A1412,VLOOKUP(N1412,setup!$A$8:$H$58,2),VLOOKUP(N1412,setup!$A$8:$H$58,3),VLOOKUP(N1412,setup!$A$8:$H$58,4),VLOOKUP(N1412,setup!$A$8:$H$58,5),VLOOKUP(N1412,setup!$A$8:$H$58,6),VLOOKUP(N1412,setup!$A$8:$H$58,7), VLOOKUP(0,setup!$A$8:$H$58,2),VLOOKUP(0,setup!$A$8:$H$58,5),VLOOKUP(N1412,setup!$A$8:$H$58,8))</f>
        <v/>
      </c>
    </row>
    <row r="1413" spans="15:15" x14ac:dyDescent="0.25">
      <c r="O1413" s="7" t="str">
        <f ca="1">getCodigoBackend(N1413,A1413,VLOOKUP(N1413,setup!$A$8:$H$58,2),VLOOKUP(N1413,setup!$A$8:$H$58,3),VLOOKUP(N1413,setup!$A$8:$H$58,4),VLOOKUP(N1413,setup!$A$8:$H$58,5),VLOOKUP(N1413,setup!$A$8:$H$58,6),VLOOKUP(N1413,setup!$A$8:$H$58,7), VLOOKUP(0,setup!$A$8:$H$58,2),VLOOKUP(0,setup!$A$8:$H$58,5),VLOOKUP(N1413,setup!$A$8:$H$58,8))</f>
        <v/>
      </c>
    </row>
    <row r="1414" spans="15:15" x14ac:dyDescent="0.25">
      <c r="O1414" s="7" t="str">
        <f ca="1">getCodigoBackend(N1414,A1414,VLOOKUP(N1414,setup!$A$8:$H$58,2),VLOOKUP(N1414,setup!$A$8:$H$58,3),VLOOKUP(N1414,setup!$A$8:$H$58,4),VLOOKUP(N1414,setup!$A$8:$H$58,5),VLOOKUP(N1414,setup!$A$8:$H$58,6),VLOOKUP(N1414,setup!$A$8:$H$58,7), VLOOKUP(0,setup!$A$8:$H$58,2),VLOOKUP(0,setup!$A$8:$H$58,5),VLOOKUP(N1414,setup!$A$8:$H$58,8))</f>
        <v/>
      </c>
    </row>
    <row r="1415" spans="15:15" x14ac:dyDescent="0.25">
      <c r="O1415" s="7" t="str">
        <f ca="1">getCodigoBackend(N1415,A1415,VLOOKUP(N1415,setup!$A$8:$H$58,2),VLOOKUP(N1415,setup!$A$8:$H$58,3),VLOOKUP(N1415,setup!$A$8:$H$58,4),VLOOKUP(N1415,setup!$A$8:$H$58,5),VLOOKUP(N1415,setup!$A$8:$H$58,6),VLOOKUP(N1415,setup!$A$8:$H$58,7), VLOOKUP(0,setup!$A$8:$H$58,2),VLOOKUP(0,setup!$A$8:$H$58,5),VLOOKUP(N1415,setup!$A$8:$H$58,8))</f>
        <v/>
      </c>
    </row>
    <row r="1416" spans="15:15" x14ac:dyDescent="0.25">
      <c r="O1416" s="7" t="str">
        <f ca="1">getCodigoBackend(N1416,A1416,VLOOKUP(N1416,setup!$A$8:$H$58,2),VLOOKUP(N1416,setup!$A$8:$H$58,3),VLOOKUP(N1416,setup!$A$8:$H$58,4),VLOOKUP(N1416,setup!$A$8:$H$58,5),VLOOKUP(N1416,setup!$A$8:$H$58,6),VLOOKUP(N1416,setup!$A$8:$H$58,7), VLOOKUP(0,setup!$A$8:$H$58,2),VLOOKUP(0,setup!$A$8:$H$58,5),VLOOKUP(N1416,setup!$A$8:$H$58,8))</f>
        <v/>
      </c>
    </row>
    <row r="1417" spans="15:15" x14ac:dyDescent="0.25">
      <c r="O1417" s="7" t="str">
        <f ca="1">getCodigoBackend(N1417,A1417,VLOOKUP(N1417,setup!$A$8:$H$58,2),VLOOKUP(N1417,setup!$A$8:$H$58,3),VLOOKUP(N1417,setup!$A$8:$H$58,4),VLOOKUP(N1417,setup!$A$8:$H$58,5),VLOOKUP(N1417,setup!$A$8:$H$58,6),VLOOKUP(N1417,setup!$A$8:$H$58,7), VLOOKUP(0,setup!$A$8:$H$58,2),VLOOKUP(0,setup!$A$8:$H$58,5),VLOOKUP(N1417,setup!$A$8:$H$58,8))</f>
        <v/>
      </c>
    </row>
    <row r="1418" spans="15:15" x14ac:dyDescent="0.25">
      <c r="O1418" s="7" t="str">
        <f ca="1">getCodigoBackend(N1418,A1418,VLOOKUP(N1418,setup!$A$8:$H$58,2),VLOOKUP(N1418,setup!$A$8:$H$58,3),VLOOKUP(N1418,setup!$A$8:$H$58,4),VLOOKUP(N1418,setup!$A$8:$H$58,5),VLOOKUP(N1418,setup!$A$8:$H$58,6),VLOOKUP(N1418,setup!$A$8:$H$58,7), VLOOKUP(0,setup!$A$8:$H$58,2),VLOOKUP(0,setup!$A$8:$H$58,5),VLOOKUP(N1418,setup!$A$8:$H$58,8))</f>
        <v/>
      </c>
    </row>
    <row r="1419" spans="15:15" x14ac:dyDescent="0.25">
      <c r="O1419" s="7" t="str">
        <f ca="1">getCodigoBackend(N1419,A1419,VLOOKUP(N1419,setup!$A$8:$H$58,2),VLOOKUP(N1419,setup!$A$8:$H$58,3),VLOOKUP(N1419,setup!$A$8:$H$58,4),VLOOKUP(N1419,setup!$A$8:$H$58,5),VLOOKUP(N1419,setup!$A$8:$H$58,6),VLOOKUP(N1419,setup!$A$8:$H$58,7), VLOOKUP(0,setup!$A$8:$H$58,2),VLOOKUP(0,setup!$A$8:$H$58,5),VLOOKUP(N1419,setup!$A$8:$H$58,8))</f>
        <v/>
      </c>
    </row>
    <row r="1420" spans="15:15" x14ac:dyDescent="0.25">
      <c r="O1420" s="7" t="str">
        <f ca="1">getCodigoBackend(N1420,A1420,VLOOKUP(N1420,setup!$A$8:$H$58,2),VLOOKUP(N1420,setup!$A$8:$H$58,3),VLOOKUP(N1420,setup!$A$8:$H$58,4),VLOOKUP(N1420,setup!$A$8:$H$58,5),VLOOKUP(N1420,setup!$A$8:$H$58,6),VLOOKUP(N1420,setup!$A$8:$H$58,7), VLOOKUP(0,setup!$A$8:$H$58,2),VLOOKUP(0,setup!$A$8:$H$58,5),VLOOKUP(N1420,setup!$A$8:$H$58,8))</f>
        <v/>
      </c>
    </row>
    <row r="1421" spans="15:15" x14ac:dyDescent="0.25">
      <c r="O1421" s="7" t="str">
        <f ca="1">getCodigoBackend(N1421,A1421,VLOOKUP(N1421,setup!$A$8:$H$58,2),VLOOKUP(N1421,setup!$A$8:$H$58,3),VLOOKUP(N1421,setup!$A$8:$H$58,4),VLOOKUP(N1421,setup!$A$8:$H$58,5),VLOOKUP(N1421,setup!$A$8:$H$58,6),VLOOKUP(N1421,setup!$A$8:$H$58,7), VLOOKUP(0,setup!$A$8:$H$58,2),VLOOKUP(0,setup!$A$8:$H$58,5),VLOOKUP(N1421,setup!$A$8:$H$58,8))</f>
        <v/>
      </c>
    </row>
    <row r="1422" spans="15:15" x14ac:dyDescent="0.25">
      <c r="O1422" s="7" t="str">
        <f ca="1">getCodigoBackend(N1422,A1422,VLOOKUP(N1422,setup!$A$8:$H$58,2),VLOOKUP(N1422,setup!$A$8:$H$58,3),VLOOKUP(N1422,setup!$A$8:$H$58,4),VLOOKUP(N1422,setup!$A$8:$H$58,5),VLOOKUP(N1422,setup!$A$8:$H$58,6),VLOOKUP(N1422,setup!$A$8:$H$58,7), VLOOKUP(0,setup!$A$8:$H$58,2),VLOOKUP(0,setup!$A$8:$H$58,5),VLOOKUP(N1422,setup!$A$8:$H$58,8))</f>
        <v/>
      </c>
    </row>
    <row r="1423" spans="15:15" x14ac:dyDescent="0.25">
      <c r="O1423" s="7" t="str">
        <f ca="1">getCodigoBackend(N1423,A1423,VLOOKUP(N1423,setup!$A$8:$H$58,2),VLOOKUP(N1423,setup!$A$8:$H$58,3),VLOOKUP(N1423,setup!$A$8:$H$58,4),VLOOKUP(N1423,setup!$A$8:$H$58,5),VLOOKUP(N1423,setup!$A$8:$H$58,6),VLOOKUP(N1423,setup!$A$8:$H$58,7), VLOOKUP(0,setup!$A$8:$H$58,2),VLOOKUP(0,setup!$A$8:$H$58,5),VLOOKUP(N1423,setup!$A$8:$H$58,8))</f>
        <v/>
      </c>
    </row>
    <row r="1424" spans="15:15" x14ac:dyDescent="0.25">
      <c r="O1424" s="7" t="str">
        <f ca="1">getCodigoBackend(N1424,A1424,VLOOKUP(N1424,setup!$A$8:$H$58,2),VLOOKUP(N1424,setup!$A$8:$H$58,3),VLOOKUP(N1424,setup!$A$8:$H$58,4),VLOOKUP(N1424,setup!$A$8:$H$58,5),VLOOKUP(N1424,setup!$A$8:$H$58,6),VLOOKUP(N1424,setup!$A$8:$H$58,7), VLOOKUP(0,setup!$A$8:$H$58,2),VLOOKUP(0,setup!$A$8:$H$58,5),VLOOKUP(N1424,setup!$A$8:$H$58,8))</f>
        <v/>
      </c>
    </row>
    <row r="1425" spans="15:15" x14ac:dyDescent="0.25">
      <c r="O1425" s="7" t="str">
        <f ca="1">getCodigoBackend(N1425,A1425,VLOOKUP(N1425,setup!$A$8:$H$58,2),VLOOKUP(N1425,setup!$A$8:$H$58,3),VLOOKUP(N1425,setup!$A$8:$H$58,4),VLOOKUP(N1425,setup!$A$8:$H$58,5),VLOOKUP(N1425,setup!$A$8:$H$58,6),VLOOKUP(N1425,setup!$A$8:$H$58,7), VLOOKUP(0,setup!$A$8:$H$58,2),VLOOKUP(0,setup!$A$8:$H$58,5),VLOOKUP(N1425,setup!$A$8:$H$58,8))</f>
        <v/>
      </c>
    </row>
    <row r="1426" spans="15:15" x14ac:dyDescent="0.25">
      <c r="O1426" s="7" t="str">
        <f ca="1">getCodigoBackend(N1426,A1426,VLOOKUP(N1426,setup!$A$8:$H$58,2),VLOOKUP(N1426,setup!$A$8:$H$58,3),VLOOKUP(N1426,setup!$A$8:$H$58,4),VLOOKUP(N1426,setup!$A$8:$H$58,5),VLOOKUP(N1426,setup!$A$8:$H$58,6),VLOOKUP(N1426,setup!$A$8:$H$58,7), VLOOKUP(0,setup!$A$8:$H$58,2),VLOOKUP(0,setup!$A$8:$H$58,5),VLOOKUP(N1426,setup!$A$8:$H$58,8))</f>
        <v/>
      </c>
    </row>
    <row r="1427" spans="15:15" x14ac:dyDescent="0.25">
      <c r="O1427" s="7" t="str">
        <f ca="1">getCodigoBackend(N1427,A1427,VLOOKUP(N1427,setup!$A$8:$H$58,2),VLOOKUP(N1427,setup!$A$8:$H$58,3),VLOOKUP(N1427,setup!$A$8:$H$58,4),VLOOKUP(N1427,setup!$A$8:$H$58,5),VLOOKUP(N1427,setup!$A$8:$H$58,6),VLOOKUP(N1427,setup!$A$8:$H$58,7), VLOOKUP(0,setup!$A$8:$H$58,2),VLOOKUP(0,setup!$A$8:$H$58,5),VLOOKUP(N1427,setup!$A$8:$H$58,8))</f>
        <v/>
      </c>
    </row>
    <row r="1428" spans="15:15" x14ac:dyDescent="0.25">
      <c r="O1428" s="7" t="str">
        <f ca="1">getCodigoBackend(N1428,A1428,VLOOKUP(N1428,setup!$A$8:$H$58,2),VLOOKUP(N1428,setup!$A$8:$H$58,3),VLOOKUP(N1428,setup!$A$8:$H$58,4),VLOOKUP(N1428,setup!$A$8:$H$58,5),VLOOKUP(N1428,setup!$A$8:$H$58,6),VLOOKUP(N1428,setup!$A$8:$H$58,7), VLOOKUP(0,setup!$A$8:$H$58,2),VLOOKUP(0,setup!$A$8:$H$58,5),VLOOKUP(N1428,setup!$A$8:$H$58,8))</f>
        <v/>
      </c>
    </row>
    <row r="1429" spans="15:15" x14ac:dyDescent="0.25">
      <c r="O1429" s="7" t="str">
        <f ca="1">getCodigoBackend(N1429,A1429,VLOOKUP(N1429,setup!$A$8:$H$58,2),VLOOKUP(N1429,setup!$A$8:$H$58,3),VLOOKUP(N1429,setup!$A$8:$H$58,4),VLOOKUP(N1429,setup!$A$8:$H$58,5),VLOOKUP(N1429,setup!$A$8:$H$58,6),VLOOKUP(N1429,setup!$A$8:$H$58,7), VLOOKUP(0,setup!$A$8:$H$58,2),VLOOKUP(0,setup!$A$8:$H$58,5),VLOOKUP(N1429,setup!$A$8:$H$58,8))</f>
        <v/>
      </c>
    </row>
    <row r="1430" spans="15:15" x14ac:dyDescent="0.25">
      <c r="O1430" s="7" t="str">
        <f ca="1">getCodigoBackend(N1430,A1430,VLOOKUP(N1430,setup!$A$8:$H$58,2),VLOOKUP(N1430,setup!$A$8:$H$58,3),VLOOKUP(N1430,setup!$A$8:$H$58,4),VLOOKUP(N1430,setup!$A$8:$H$58,5),VLOOKUP(N1430,setup!$A$8:$H$58,6),VLOOKUP(N1430,setup!$A$8:$H$58,7), VLOOKUP(0,setup!$A$8:$H$58,2),VLOOKUP(0,setup!$A$8:$H$58,5),VLOOKUP(N1430,setup!$A$8:$H$58,8))</f>
        <v/>
      </c>
    </row>
    <row r="1431" spans="15:15" x14ac:dyDescent="0.25">
      <c r="O1431" s="7" t="str">
        <f ca="1">getCodigoBackend(N1431,A1431,VLOOKUP(N1431,setup!$A$8:$H$58,2),VLOOKUP(N1431,setup!$A$8:$H$58,3),VLOOKUP(N1431,setup!$A$8:$H$58,4),VLOOKUP(N1431,setup!$A$8:$H$58,5),VLOOKUP(N1431,setup!$A$8:$H$58,6),VLOOKUP(N1431,setup!$A$8:$H$58,7), VLOOKUP(0,setup!$A$8:$H$58,2),VLOOKUP(0,setup!$A$8:$H$58,5),VLOOKUP(N1431,setup!$A$8:$H$58,8))</f>
        <v/>
      </c>
    </row>
    <row r="1432" spans="15:15" x14ac:dyDescent="0.25">
      <c r="O1432" s="7" t="str">
        <f ca="1">getCodigoBackend(N1432,A1432,VLOOKUP(N1432,setup!$A$8:$H$58,2),VLOOKUP(N1432,setup!$A$8:$H$58,3),VLOOKUP(N1432,setup!$A$8:$H$58,4),VLOOKUP(N1432,setup!$A$8:$H$58,5),VLOOKUP(N1432,setup!$A$8:$H$58,6),VLOOKUP(N1432,setup!$A$8:$H$58,7), VLOOKUP(0,setup!$A$8:$H$58,2),VLOOKUP(0,setup!$A$8:$H$58,5),VLOOKUP(N1432,setup!$A$8:$H$58,8))</f>
        <v/>
      </c>
    </row>
    <row r="1433" spans="15:15" x14ac:dyDescent="0.25">
      <c r="O1433" s="7" t="str">
        <f ca="1">getCodigoBackend(N1433,A1433,VLOOKUP(N1433,setup!$A$8:$H$58,2),VLOOKUP(N1433,setup!$A$8:$H$58,3),VLOOKUP(N1433,setup!$A$8:$H$58,4),VLOOKUP(N1433,setup!$A$8:$H$58,5),VLOOKUP(N1433,setup!$A$8:$H$58,6),VLOOKUP(N1433,setup!$A$8:$H$58,7), VLOOKUP(0,setup!$A$8:$H$58,2),VLOOKUP(0,setup!$A$8:$H$58,5),VLOOKUP(N1433,setup!$A$8:$H$58,8))</f>
        <v/>
      </c>
    </row>
    <row r="1434" spans="15:15" x14ac:dyDescent="0.25">
      <c r="O1434" s="7" t="str">
        <f ca="1">getCodigoBackend(N1434,A1434,VLOOKUP(N1434,setup!$A$8:$H$58,2),VLOOKUP(N1434,setup!$A$8:$H$58,3),VLOOKUP(N1434,setup!$A$8:$H$58,4),VLOOKUP(N1434,setup!$A$8:$H$58,5),VLOOKUP(N1434,setup!$A$8:$H$58,6),VLOOKUP(N1434,setup!$A$8:$H$58,7), VLOOKUP(0,setup!$A$8:$H$58,2),VLOOKUP(0,setup!$A$8:$H$58,5),VLOOKUP(N1434,setup!$A$8:$H$58,8))</f>
        <v/>
      </c>
    </row>
    <row r="1435" spans="15:15" x14ac:dyDescent="0.25">
      <c r="O1435" s="7" t="str">
        <f ca="1">getCodigoBackend(N1435,A1435,VLOOKUP(N1435,setup!$A$8:$H$58,2),VLOOKUP(N1435,setup!$A$8:$H$58,3),VLOOKUP(N1435,setup!$A$8:$H$58,4),VLOOKUP(N1435,setup!$A$8:$H$58,5),VLOOKUP(N1435,setup!$A$8:$H$58,6),VLOOKUP(N1435,setup!$A$8:$H$58,7), VLOOKUP(0,setup!$A$8:$H$58,2),VLOOKUP(0,setup!$A$8:$H$58,5),VLOOKUP(N1435,setup!$A$8:$H$58,8))</f>
        <v/>
      </c>
    </row>
    <row r="1436" spans="15:15" x14ac:dyDescent="0.25">
      <c r="O1436" s="7" t="str">
        <f ca="1">getCodigoBackend(N1436,A1436,VLOOKUP(N1436,setup!$A$8:$H$58,2),VLOOKUP(N1436,setup!$A$8:$H$58,3),VLOOKUP(N1436,setup!$A$8:$H$58,4),VLOOKUP(N1436,setup!$A$8:$H$58,5),VLOOKUP(N1436,setup!$A$8:$H$58,6),VLOOKUP(N1436,setup!$A$8:$H$58,7), VLOOKUP(0,setup!$A$8:$H$58,2),VLOOKUP(0,setup!$A$8:$H$58,5),VLOOKUP(N1436,setup!$A$8:$H$58,8))</f>
        <v/>
      </c>
    </row>
    <row r="1437" spans="15:15" x14ac:dyDescent="0.25">
      <c r="O1437" s="7" t="str">
        <f ca="1">getCodigoBackend(N1437,A1437,VLOOKUP(N1437,setup!$A$8:$H$58,2),VLOOKUP(N1437,setup!$A$8:$H$58,3),VLOOKUP(N1437,setup!$A$8:$H$58,4),VLOOKUP(N1437,setup!$A$8:$H$58,5),VLOOKUP(N1437,setup!$A$8:$H$58,6),VLOOKUP(N1437,setup!$A$8:$H$58,7), VLOOKUP(0,setup!$A$8:$H$58,2),VLOOKUP(0,setup!$A$8:$H$58,5),VLOOKUP(N1437,setup!$A$8:$H$58,8))</f>
        <v/>
      </c>
    </row>
    <row r="1438" spans="15:15" x14ac:dyDescent="0.25">
      <c r="O1438" s="7" t="str">
        <f ca="1">getCodigoBackend(N1438,A1438,VLOOKUP(N1438,setup!$A$8:$H$58,2),VLOOKUP(N1438,setup!$A$8:$H$58,3),VLOOKUP(N1438,setup!$A$8:$H$58,4),VLOOKUP(N1438,setup!$A$8:$H$58,5),VLOOKUP(N1438,setup!$A$8:$H$58,6),VLOOKUP(N1438,setup!$A$8:$H$58,7), VLOOKUP(0,setup!$A$8:$H$58,2),VLOOKUP(0,setup!$A$8:$H$58,5),VLOOKUP(N1438,setup!$A$8:$H$58,8))</f>
        <v/>
      </c>
    </row>
    <row r="1439" spans="15:15" x14ac:dyDescent="0.25">
      <c r="O1439" s="7" t="str">
        <f ca="1">getCodigoBackend(N1439,A1439,VLOOKUP(N1439,setup!$A$8:$H$58,2),VLOOKUP(N1439,setup!$A$8:$H$58,3),VLOOKUP(N1439,setup!$A$8:$H$58,4),VLOOKUP(N1439,setup!$A$8:$H$58,5),VLOOKUP(N1439,setup!$A$8:$H$58,6),VLOOKUP(N1439,setup!$A$8:$H$58,7), VLOOKUP(0,setup!$A$8:$H$58,2),VLOOKUP(0,setup!$A$8:$H$58,5),VLOOKUP(N1439,setup!$A$8:$H$58,8))</f>
        <v/>
      </c>
    </row>
    <row r="1440" spans="15:15" x14ac:dyDescent="0.25">
      <c r="O1440" s="7" t="str">
        <f ca="1">getCodigoBackend(N1440,A1440,VLOOKUP(N1440,setup!$A$8:$H$58,2),VLOOKUP(N1440,setup!$A$8:$H$58,3),VLOOKUP(N1440,setup!$A$8:$H$58,4),VLOOKUP(N1440,setup!$A$8:$H$58,5),VLOOKUP(N1440,setup!$A$8:$H$58,6),VLOOKUP(N1440,setup!$A$8:$H$58,7), VLOOKUP(0,setup!$A$8:$H$58,2),VLOOKUP(0,setup!$A$8:$H$58,5),VLOOKUP(N1440,setup!$A$8:$H$58,8))</f>
        <v/>
      </c>
    </row>
    <row r="1441" spans="15:15" x14ac:dyDescent="0.25">
      <c r="O1441" s="7" t="str">
        <f ca="1">getCodigoBackend(N1441,A1441,VLOOKUP(N1441,setup!$A$8:$H$58,2),VLOOKUP(N1441,setup!$A$8:$H$58,3),VLOOKUP(N1441,setup!$A$8:$H$58,4),VLOOKUP(N1441,setup!$A$8:$H$58,5),VLOOKUP(N1441,setup!$A$8:$H$58,6),VLOOKUP(N1441,setup!$A$8:$H$58,7), VLOOKUP(0,setup!$A$8:$H$58,2),VLOOKUP(0,setup!$A$8:$H$58,5),VLOOKUP(N1441,setup!$A$8:$H$58,8))</f>
        <v/>
      </c>
    </row>
    <row r="1442" spans="15:15" x14ac:dyDescent="0.25">
      <c r="O1442" s="7" t="str">
        <f ca="1">getCodigoBackend(N1442,A1442,VLOOKUP(N1442,setup!$A$8:$H$58,2),VLOOKUP(N1442,setup!$A$8:$H$58,3),VLOOKUP(N1442,setup!$A$8:$H$58,4),VLOOKUP(N1442,setup!$A$8:$H$58,5),VLOOKUP(N1442,setup!$A$8:$H$58,6),VLOOKUP(N1442,setup!$A$8:$H$58,7), VLOOKUP(0,setup!$A$8:$H$58,2),VLOOKUP(0,setup!$A$8:$H$58,5),VLOOKUP(N1442,setup!$A$8:$H$58,8))</f>
        <v/>
      </c>
    </row>
    <row r="1443" spans="15:15" x14ac:dyDescent="0.25">
      <c r="O1443" s="7" t="str">
        <f ca="1">getCodigoBackend(N1443,A1443,VLOOKUP(N1443,setup!$A$8:$H$58,2),VLOOKUP(N1443,setup!$A$8:$H$58,3),VLOOKUP(N1443,setup!$A$8:$H$58,4),VLOOKUP(N1443,setup!$A$8:$H$58,5),VLOOKUP(N1443,setup!$A$8:$H$58,6),VLOOKUP(N1443,setup!$A$8:$H$58,7), VLOOKUP(0,setup!$A$8:$H$58,2),VLOOKUP(0,setup!$A$8:$H$58,5),VLOOKUP(N1443,setup!$A$8:$H$58,8))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7E35B-76DC-495C-8FB7-10E1F6D41B53}">
  <sheetPr codeName="Sheet5"/>
  <dimension ref="A3:O147"/>
  <sheetViews>
    <sheetView topLeftCell="A25" workbookViewId="0">
      <selection activeCell="O25" sqref="O1:O1048576"/>
    </sheetView>
  </sheetViews>
  <sheetFormatPr defaultRowHeight="15" x14ac:dyDescent="0.25"/>
  <sheetData>
    <row r="3" spans="1:15" x14ac:dyDescent="0.25">
      <c r="A3" s="2" t="s">
        <v>16</v>
      </c>
      <c r="O3" s="7" t="str">
        <f ca="1">getCodigoBackend(N3,A3,VLOOKUP(N3,setup!$A$8:$H$58,2),VLOOKUP(N3,setup!$A$8:$H$58,3),VLOOKUP(N3,setup!$A$8:$H$58,4),VLOOKUP(N3,setup!$A$8:$H$58,5),VLOOKUP(N3,setup!$A$8:$H$58,6),VLOOKUP(N3,setup!$A$8:$H$58,7), VLOOKUP(0,setup!$A$8:$H$58,2),VLOOKUP(0,setup!$A$8:$H$58,5),VLOOKUP(N3,setup!$A$8:$H$58,8))</f>
        <v>&lt;?php</v>
      </c>
    </row>
    <row r="4" spans="1:15" x14ac:dyDescent="0.25">
      <c r="A4" s="3"/>
      <c r="O4" s="7" t="str">
        <f ca="1">getCodigoBackend(N4,A4,VLOOKUP(N4,setup!$A$8:$H$58,2),VLOOKUP(N4,setup!$A$8:$H$58,3),VLOOKUP(N4,setup!$A$8:$H$58,4),VLOOKUP(N4,setup!$A$8:$H$58,5),VLOOKUP(N4,setup!$A$8:$H$58,6),VLOOKUP(N4,setup!$A$8:$H$58,7), VLOOKUP(0,setup!$A$8:$H$58,2),VLOOKUP(0,setup!$A$8:$H$58,5),VLOOKUP(N4,setup!$A$8:$H$58,8))</f>
        <v/>
      </c>
    </row>
    <row r="5" spans="1:15" x14ac:dyDescent="0.25">
      <c r="A5" s="4" t="s">
        <v>19</v>
      </c>
      <c r="O5" s="7" t="str">
        <f ca="1">getCodigoBackend(N5,A5,VLOOKUP(N5,setup!$A$8:$H$58,2),VLOOKUP(N5,setup!$A$8:$H$58,3),VLOOKUP(N5,setup!$A$8:$H$58,4),VLOOKUP(N5,setup!$A$8:$H$58,5),VLOOKUP(N5,setup!$A$8:$H$58,6),VLOOKUP(N5,setup!$A$8:$H$58,7), VLOOKUP(0,setup!$A$8:$H$58,2),VLOOKUP(0,setup!$A$8:$H$58,5),VLOOKUP(N5,setup!$A$8:$H$58,8))</f>
        <v>/**</v>
      </c>
    </row>
    <row r="6" spans="1:15" x14ac:dyDescent="0.25">
      <c r="A6" s="4" t="s">
        <v>20</v>
      </c>
      <c r="O6" s="7" t="str">
        <f ca="1">getCodigoBackend(N6,A6,VLOOKUP(N6,setup!$A$8:$H$58,2),VLOOKUP(N6,setup!$A$8:$H$58,3),VLOOKUP(N6,setup!$A$8:$H$58,4),VLOOKUP(N6,setup!$A$8:$H$58,5),VLOOKUP(N6,setup!$A$8:$H$58,6),VLOOKUP(N6,setup!$A$8:$H$58,7), VLOOKUP(0,setup!$A$8:$H$58,2),VLOOKUP(0,setup!$A$8:$H$58,5),VLOOKUP(N6,setup!$A$8:$H$58,8))</f>
        <v>*</v>
      </c>
    </row>
    <row r="7" spans="1:15" x14ac:dyDescent="0.25">
      <c r="A7" s="4" t="s">
        <v>281</v>
      </c>
      <c r="O7" s="7" t="str">
        <f ca="1">getCodigoBackend(N7,A7,VLOOKUP(N7,setup!$A$8:$H$58,2),VLOOKUP(N7,setup!$A$8:$H$58,3),VLOOKUP(N7,setup!$A$8:$H$58,4),VLOOKUP(N7,setup!$A$8:$H$58,5),VLOOKUP(N7,setup!$A$8:$H$58,6),VLOOKUP(N7,setup!$A$8:$H$58,7), VLOOKUP(0,setup!$A$8:$H$58,2),VLOOKUP(0,setup!$A$8:$H$58,5),VLOOKUP(N7,setup!$A$8:$H$58,8))</f>
        <v>* CampanhaCashbackResgatePixBusiness - Interface dos métodos de negócio para classe CampanhaCashbackResgatePix</v>
      </c>
    </row>
    <row r="8" spans="1:15" x14ac:dyDescent="0.25">
      <c r="A8" s="4" t="s">
        <v>282</v>
      </c>
      <c r="O8" s="7" t="str">
        <f ca="1">getCodigoBackend(N8,A8,VLOOKUP(N8,setup!$A$8:$H$58,2),VLOOKUP(N8,setup!$A$8:$H$58,3),VLOOKUP(N8,setup!$A$8:$H$58,4),VLOOKUP(N8,setup!$A$8:$H$58,5),VLOOKUP(N8,setup!$A$8:$H$58,6),VLOOKUP(N8,setup!$A$8:$H$58,7), VLOOKUP(0,setup!$A$8:$H$58,2),VLOOKUP(0,setup!$A$8:$H$58,5),VLOOKUP(N8,setup!$A$8:$H$58,8))</f>
        <v xml:space="preserve">* Camada de negócio CampanhaCashbackResgatePix - camada responsável pela lógica de negócios de CampanhaCashbackResgatePix do sistema. </v>
      </c>
    </row>
    <row r="9" spans="1:15" x14ac:dyDescent="0.25">
      <c r="A9" s="4" t="s">
        <v>255</v>
      </c>
      <c r="O9" s="7" t="str">
        <f ca="1">getCodigoBackend(N9,A9,VLOOKUP(N9,setup!$A$8:$H$58,2),VLOOKUP(N9,setup!$A$8:$H$58,3),VLOOKUP(N9,setup!$A$8:$H$58,4),VLOOKUP(N9,setup!$A$8:$H$58,5),VLOOKUP(N9,setup!$A$8:$H$58,6),VLOOKUP(N9,setup!$A$8:$H$58,7), VLOOKUP(0,setup!$A$8:$H$58,2),VLOOKUP(0,setup!$A$8:$H$58,5),VLOOKUP(N9,setup!$A$8:$H$58,8))</f>
        <v xml:space="preserve">* Não é uma camada visível para outros dispositivos, como as camadas de apresentação e aplicação. </v>
      </c>
    </row>
    <row r="10" spans="1:15" x14ac:dyDescent="0.25">
      <c r="A10" s="4" t="s">
        <v>20</v>
      </c>
      <c r="O10" s="7" t="str">
        <f ca="1">getCodigoBackend(N10,A10,VLOOKUP(N10,setup!$A$8:$H$58,2),VLOOKUP(N10,setup!$A$8:$H$58,3),VLOOKUP(N10,setup!$A$8:$H$58,4),VLOOKUP(N10,setup!$A$8:$H$58,5),VLOOKUP(N10,setup!$A$8:$H$58,6),VLOOKUP(N10,setup!$A$8:$H$58,7), VLOOKUP(0,setup!$A$8:$H$58,2),VLOOKUP(0,setup!$A$8:$H$58,5),VLOOKUP(N10,setup!$A$8:$H$58,8))</f>
        <v>*</v>
      </c>
    </row>
    <row r="11" spans="1:15" x14ac:dyDescent="0.25">
      <c r="A11" s="4" t="s">
        <v>20</v>
      </c>
      <c r="O11" s="7" t="str">
        <f ca="1">getCodigoBackend(N11,A11,VLOOKUP(N11,setup!$A$8:$H$58,2),VLOOKUP(N11,setup!$A$8:$H$58,3),VLOOKUP(N11,setup!$A$8:$H$58,4),VLOOKUP(N11,setup!$A$8:$H$58,5),VLOOKUP(N11,setup!$A$8:$H$58,6),VLOOKUP(N11,setup!$A$8:$H$58,7), VLOOKUP(0,setup!$A$8:$H$58,2),VLOOKUP(0,setup!$A$8:$H$58,5),VLOOKUP(N11,setup!$A$8:$H$58,8))</f>
        <v>*</v>
      </c>
    </row>
    <row r="12" spans="1:15" x14ac:dyDescent="0.25">
      <c r="A12" s="4" t="s">
        <v>256</v>
      </c>
      <c r="O12" s="7" t="str">
        <f ca="1">getCodigoBackend(N12,A12,VLOOKUP(N12,setup!$A$8:$H$58,2),VLOOKUP(N12,setup!$A$8:$H$58,3),VLOOKUP(N12,setup!$A$8:$H$58,4),VLOOKUP(N12,setup!$A$8:$H$58,5),VLOOKUP(N12,setup!$A$8:$H$58,6),VLOOKUP(N12,setup!$A$8:$H$58,7), VLOOKUP(0,setup!$A$8:$H$58,2),VLOOKUP(0,setup!$A$8:$H$58,5),VLOOKUP(N12,setup!$A$8:$H$58,8))</f>
        <v>* Responsabilidades dessa classe</v>
      </c>
    </row>
    <row r="13" spans="1:15" x14ac:dyDescent="0.25">
      <c r="A13" s="4" t="s">
        <v>20</v>
      </c>
      <c r="O13" s="7" t="str">
        <f ca="1">getCodigoBackend(N13,A13,VLOOKUP(N13,setup!$A$8:$H$58,2),VLOOKUP(N13,setup!$A$8:$H$58,3),VLOOKUP(N13,setup!$A$8:$H$58,4),VLOOKUP(N13,setup!$A$8:$H$58,5),VLOOKUP(N13,setup!$A$8:$H$58,6),VLOOKUP(N13,setup!$A$8:$H$58,7), VLOOKUP(0,setup!$A$8:$H$58,2),VLOOKUP(0,setup!$A$8:$H$58,5),VLOOKUP(N13,setup!$A$8:$H$58,8))</f>
        <v>*</v>
      </c>
    </row>
    <row r="14" spans="1:15" x14ac:dyDescent="0.25">
      <c r="A14" s="4" t="s">
        <v>283</v>
      </c>
      <c r="O14" s="7" t="str">
        <f ca="1">getCodigoBackend(N14,A14,VLOOKUP(N14,setup!$A$8:$H$58,2),VLOOKUP(N14,setup!$A$8:$H$58,3),VLOOKUP(N14,setup!$A$8:$H$58,4),VLOOKUP(N14,setup!$A$8:$H$58,5),VLOOKUP(N14,setup!$A$8:$H$58,6),VLOOKUP(N14,setup!$A$8:$H$58,7), VLOOKUP(0,setup!$A$8:$H$58,2),VLOOKUP(0,setup!$A$8:$H$58,5),VLOOKUP(N14,setup!$A$8:$H$58,8))</f>
        <v>* 1) Receber o pedido de uma classe de negócio do sistema</v>
      </c>
    </row>
    <row r="15" spans="1:15" x14ac:dyDescent="0.25">
      <c r="A15" s="4" t="s">
        <v>284</v>
      </c>
      <c r="O15" s="7" t="str">
        <f ca="1">getCodigoBackend(N15,A15,VLOOKUP(N15,setup!$A$8:$H$58,2),VLOOKUP(N15,setup!$A$8:$H$58,3),VLOOKUP(N15,setup!$A$8:$H$58,4),VLOOKUP(N15,setup!$A$8:$H$58,5),VLOOKUP(N15,setup!$A$8:$H$58,6),VLOOKUP(N15,setup!$A$8:$H$58,7), VLOOKUP(0,setup!$A$8:$H$58,2),VLOOKUP(0,setup!$A$8:$H$58,5),VLOOKUP(N15,setup!$A$8:$H$58,8))</f>
        <v>* 2) Produzir a regra de negócio de acordo com cada método</v>
      </c>
    </row>
    <row r="16" spans="1:15" x14ac:dyDescent="0.25">
      <c r="A16" s="4" t="s">
        <v>285</v>
      </c>
      <c r="O16" s="7" t="str">
        <f ca="1">getCodigoBackend(N16,A16,VLOOKUP(N16,setup!$A$8:$H$58,2),VLOOKUP(N16,setup!$A$8:$H$58,3),VLOOKUP(N16,setup!$A$8:$H$58,4),VLOOKUP(N16,setup!$A$8:$H$58,5),VLOOKUP(N16,setup!$A$8:$H$58,6),VLOOKUP(N16,setup!$A$8:$H$58,7), VLOOKUP(0,setup!$A$8:$H$58,2),VLOOKUP(0,setup!$A$8:$H$58,5),VLOOKUP(N16,setup!$A$8:$H$58,8))</f>
        <v>* 3) Acessar o banco de dados através das interfaces DAOs</v>
      </c>
    </row>
    <row r="17" spans="1:15" x14ac:dyDescent="0.25">
      <c r="A17" s="4" t="s">
        <v>286</v>
      </c>
      <c r="O17" s="7" t="str">
        <f ca="1">getCodigoBackend(N17,A17,VLOOKUP(N17,setup!$A$8:$H$58,2),VLOOKUP(N17,setup!$A$8:$H$58,3),VLOOKUP(N17,setup!$A$8:$H$58,4),VLOOKUP(N17,setup!$A$8:$H$58,5),VLOOKUP(N17,setup!$A$8:$H$58,6),VLOOKUP(N17,setup!$A$8:$H$58,7), VLOOKUP(0,setup!$A$8:$H$58,2),VLOOKUP(0,setup!$A$8:$H$58,5),VLOOKUP(N17,setup!$A$8:$H$58,8))</f>
        <v>* 4) Verificar o resultado e retornar um objeto e uma mensagem de alto nível para a camada de serviço</v>
      </c>
    </row>
    <row r="18" spans="1:15" x14ac:dyDescent="0.25">
      <c r="A18" s="4" t="s">
        <v>20</v>
      </c>
      <c r="O18" s="7" t="str">
        <f ca="1">getCodigoBackend(N18,A18,VLOOKUP(N18,setup!$A$8:$H$58,2),VLOOKUP(N18,setup!$A$8:$H$58,3),VLOOKUP(N18,setup!$A$8:$H$58,4),VLOOKUP(N18,setup!$A$8:$H$58,5),VLOOKUP(N18,setup!$A$8:$H$58,6),VLOOKUP(N18,setup!$A$8:$H$58,7), VLOOKUP(0,setup!$A$8:$H$58,2),VLOOKUP(0,setup!$A$8:$H$58,5),VLOOKUP(N18,setup!$A$8:$H$58,8))</f>
        <v>*</v>
      </c>
    </row>
    <row r="19" spans="1:15" x14ac:dyDescent="0.25">
      <c r="A19" s="4" t="s">
        <v>260</v>
      </c>
      <c r="O19" s="7" t="str">
        <f ca="1">getCodigoBackend(N19,A19,VLOOKUP(N19,setup!$A$8:$H$58,2),VLOOKUP(N19,setup!$A$8:$H$58,3),VLOOKUP(N19,setup!$A$8:$H$58,4),VLOOKUP(N19,setup!$A$8:$H$58,5),VLOOKUP(N19,setup!$A$8:$H$58,6),VLOOKUP(N19,setup!$A$8:$H$58,7), VLOOKUP(0,setup!$A$8:$H$58,2),VLOOKUP(0,setup!$A$8:$H$58,5),VLOOKUP(N19,setup!$A$8:$H$58,8))</f>
        <v>* Changelog:</v>
      </c>
    </row>
    <row r="20" spans="1:15" x14ac:dyDescent="0.25">
      <c r="A20" s="4" t="s">
        <v>20</v>
      </c>
      <c r="O20" s="7" t="str">
        <f ca="1">getCodigoBackend(N20,A20,VLOOKUP(N20,setup!$A$8:$H$58,2),VLOOKUP(N20,setup!$A$8:$H$58,3),VLOOKUP(N20,setup!$A$8:$H$58,4),VLOOKUP(N20,setup!$A$8:$H$58,5),VLOOKUP(N20,setup!$A$8:$H$58,6),VLOOKUP(N20,setup!$A$8:$H$58,7), VLOOKUP(0,setup!$A$8:$H$58,2),VLOOKUP(0,setup!$A$8:$H$58,5),VLOOKUP(N20,setup!$A$8:$H$58,8))</f>
        <v>*</v>
      </c>
    </row>
    <row r="21" spans="1:15" x14ac:dyDescent="0.25">
      <c r="A21" s="4" t="s">
        <v>75</v>
      </c>
      <c r="O21" s="7" t="str">
        <f ca="1">getCodigoBackend(N21,A21,VLOOKUP(N21,setup!$A$8:$H$58,2),VLOOKUP(N21,setup!$A$8:$H$58,3),VLOOKUP(N21,setup!$A$8:$H$58,4),VLOOKUP(N21,setup!$A$8:$H$58,5),VLOOKUP(N21,setup!$A$8:$H$58,6),VLOOKUP(N21,setup!$A$8:$H$58,7), VLOOKUP(0,setup!$A$8:$H$58,2),VLOOKUP(0,setup!$A$8:$H$58,5),VLOOKUP(N21,setup!$A$8:$H$58,8))</f>
        <v xml:space="preserve">* </v>
      </c>
    </row>
    <row r="22" spans="1:15" x14ac:dyDescent="0.25">
      <c r="A22" s="4" t="s">
        <v>254</v>
      </c>
      <c r="O22" s="7" t="str">
        <f ca="1">getCodigoBackend(N22,A22,VLOOKUP(N22,setup!$A$8:$H$58,2),VLOOKUP(N22,setup!$A$8:$H$58,3),VLOOKUP(N22,setup!$A$8:$H$58,4),VLOOKUP(N22,setup!$A$8:$H$58,5),VLOOKUP(N22,setup!$A$8:$H$58,6),VLOOKUP(N22,setup!$A$8:$H$58,7), VLOOKUP(0,setup!$A$8:$H$58,2),VLOOKUP(0,setup!$A$8:$H$58,5),VLOOKUP(N22,setup!$A$8:$H$58,8))</f>
        <v>* @autor Julio Cesar Vitorino</v>
      </c>
    </row>
    <row r="23" spans="1:15" x14ac:dyDescent="0.25">
      <c r="A23" s="4" t="s">
        <v>240</v>
      </c>
      <c r="O23" s="7" t="str">
        <f ca="1">getCodigoBackend(N23,A23,VLOOKUP(N23,setup!$A$8:$H$58,2),VLOOKUP(N23,setup!$A$8:$H$58,3),VLOOKUP(N23,setup!$A$8:$H$58,4),VLOOKUP(N23,setup!$A$8:$H$58,5),VLOOKUP(N23,setup!$A$8:$H$58,6),VLOOKUP(N23,setup!$A$8:$H$58,7), VLOOKUP(0,setup!$A$8:$H$58,2),VLOOKUP(0,setup!$A$8:$H$58,5),VLOOKUP(N23,setup!$A$8:$H$58,8))</f>
        <v>* @since 26/07/2021 15:11:48</v>
      </c>
    </row>
    <row r="24" spans="1:15" x14ac:dyDescent="0.25">
      <c r="A24" s="4" t="s">
        <v>20</v>
      </c>
      <c r="O24" s="7" t="str">
        <f ca="1">getCodigoBackend(N24,A24,VLOOKUP(N24,setup!$A$8:$H$58,2),VLOOKUP(N24,setup!$A$8:$H$58,3),VLOOKUP(N24,setup!$A$8:$H$58,4),VLOOKUP(N24,setup!$A$8:$H$58,5),VLOOKUP(N24,setup!$A$8:$H$58,6),VLOOKUP(N24,setup!$A$8:$H$58,7), VLOOKUP(0,setup!$A$8:$H$58,2),VLOOKUP(0,setup!$A$8:$H$58,5),VLOOKUP(N24,setup!$A$8:$H$58,8))</f>
        <v>*</v>
      </c>
    </row>
    <row r="25" spans="1:15" x14ac:dyDescent="0.25">
      <c r="A25" s="4" t="s">
        <v>21</v>
      </c>
      <c r="O25" s="7" t="str">
        <f ca="1">getCodigoBackend(N25,A25,VLOOKUP(N25,setup!$A$8:$H$58,2),VLOOKUP(N25,setup!$A$8:$H$58,3),VLOOKUP(N25,setup!$A$8:$H$58,4),VLOOKUP(N25,setup!$A$8:$H$58,5),VLOOKUP(N25,setup!$A$8:$H$58,6),VLOOKUP(N25,setup!$A$8:$H$58,7), VLOOKUP(0,setup!$A$8:$H$58,2),VLOOKUP(0,setup!$A$8:$H$58,5),VLOOKUP(N25,setup!$A$8:$H$58,8))</f>
        <v>*/</v>
      </c>
    </row>
    <row r="26" spans="1:15" x14ac:dyDescent="0.25">
      <c r="A26" s="4"/>
      <c r="O26" s="7" t="str">
        <f ca="1">getCodigoBackend(N26,A26,VLOOKUP(N26,setup!$A$8:$H$58,2),VLOOKUP(N26,setup!$A$8:$H$58,3),VLOOKUP(N26,setup!$A$8:$H$58,4),VLOOKUP(N26,setup!$A$8:$H$58,5),VLOOKUP(N26,setup!$A$8:$H$58,6),VLOOKUP(N26,setup!$A$8:$H$58,7), VLOOKUP(0,setup!$A$8:$H$58,2),VLOOKUP(0,setup!$A$8:$H$58,5),VLOOKUP(N26,setup!$A$8:$H$58,8))</f>
        <v/>
      </c>
    </row>
    <row r="27" spans="1:15" x14ac:dyDescent="0.25">
      <c r="A27" s="3"/>
      <c r="O27" s="7" t="str">
        <f ca="1">getCodigoBackend(N27,A27,VLOOKUP(N27,setup!$A$8:$H$58,2),VLOOKUP(N27,setup!$A$8:$H$58,3),VLOOKUP(N27,setup!$A$8:$H$58,4),VLOOKUP(N27,setup!$A$8:$H$58,5),VLOOKUP(N27,setup!$A$8:$H$58,6),VLOOKUP(N27,setup!$A$8:$H$58,7), VLOOKUP(0,setup!$A$8:$H$58,2),VLOOKUP(0,setup!$A$8:$H$58,5),VLOOKUP(N27,setup!$A$8:$H$58,8))</f>
        <v/>
      </c>
    </row>
    <row r="28" spans="1:15" x14ac:dyDescent="0.25">
      <c r="A28" s="4" t="s">
        <v>76</v>
      </c>
      <c r="O28" s="7" t="str">
        <f ca="1">getCodigoBackend(N28,A28,VLOOKUP(N28,setup!$A$8:$H$58,2),VLOOKUP(N28,setup!$A$8:$H$58,3),VLOOKUP(N28,setup!$A$8:$H$58,4),VLOOKUP(N28,setup!$A$8:$H$58,5),VLOOKUP(N28,setup!$A$8:$H$58,6),VLOOKUP(N28,setup!$A$8:$H$58,7), VLOOKUP(0,setup!$A$8:$H$58,2),VLOOKUP(0,setup!$A$8:$H$58,5),VLOOKUP(N28,setup!$A$8:$H$58,8))</f>
        <v>// importar dependências</v>
      </c>
    </row>
    <row r="29" spans="1:15" x14ac:dyDescent="0.25">
      <c r="A29" s="5" t="s">
        <v>79</v>
      </c>
      <c r="O29" s="7" t="str">
        <f ca="1">getCodigoBackend(N29,A29,VLOOKUP(N29,setup!$A$8:$H$58,2),VLOOKUP(N29,setup!$A$8:$H$58,3),VLOOKUP(N29,setup!$A$8:$H$58,4),VLOOKUP(N29,setup!$A$8:$H$58,5),VLOOKUP(N29,setup!$A$8:$H$58,6),VLOOKUP(N29,setup!$A$8:$H$58,7), VLOOKUP(0,setup!$A$8:$H$58,2),VLOOKUP(0,setup!$A$8:$H$58,5),VLOOKUP(N29,setup!$A$8:$H$58,8))</f>
        <v>require_once '../interfaces/BusinessObject.php';</v>
      </c>
    </row>
    <row r="30" spans="1:15" x14ac:dyDescent="0.25">
      <c r="A30" s="3"/>
      <c r="O30" s="7" t="str">
        <f ca="1">getCodigoBackend(N30,A30,VLOOKUP(N30,setup!$A$8:$H$58,2),VLOOKUP(N30,setup!$A$8:$H$58,3),VLOOKUP(N30,setup!$A$8:$H$58,4),VLOOKUP(N30,setup!$A$8:$H$58,5),VLOOKUP(N30,setup!$A$8:$H$58,6),VLOOKUP(N30,setup!$A$8:$H$58,7), VLOOKUP(0,setup!$A$8:$H$58,2),VLOOKUP(0,setup!$A$8:$H$58,5),VLOOKUP(N30,setup!$A$8:$H$58,8))</f>
        <v/>
      </c>
    </row>
    <row r="31" spans="1:15" x14ac:dyDescent="0.25">
      <c r="A31" s="2" t="s">
        <v>419</v>
      </c>
      <c r="O31" s="7" t="str">
        <f ca="1">getCodigoBackend(N31,A31,VLOOKUP(N31,setup!$A$8:$H$58,2),VLOOKUP(N31,setup!$A$8:$H$58,3),VLOOKUP(N31,setup!$A$8:$H$58,4),VLOOKUP(N31,setup!$A$8:$H$58,5),VLOOKUP(N31,setup!$A$8:$H$58,6),VLOOKUP(N31,setup!$A$8:$H$58,7), VLOOKUP(0,setup!$A$8:$H$58,2),VLOOKUP(0,setup!$A$8:$H$58,5),VLOOKUP(N31,setup!$A$8:$H$58,8))</f>
        <v>interface CampanhaCashbackResgatePixBusiness extends BusinessObject</v>
      </c>
    </row>
    <row r="32" spans="1:15" x14ac:dyDescent="0.25">
      <c r="A32" s="6" t="s">
        <v>22</v>
      </c>
      <c r="O32" s="7" t="str">
        <f ca="1">getCodigoBackend(N32,A32,VLOOKUP(N32,setup!$A$8:$H$58,2),VLOOKUP(N32,setup!$A$8:$H$58,3),VLOOKUP(N32,setup!$A$8:$H$58,4),VLOOKUP(N32,setup!$A$8:$H$58,5),VLOOKUP(N32,setup!$A$8:$H$58,6),VLOOKUP(N32,setup!$A$8:$H$58,7), VLOOKUP(0,setup!$A$8:$H$58,2),VLOOKUP(0,setup!$A$8:$H$58,5),VLOOKUP(N32,setup!$A$8:$H$58,8))</f>
        <v>{</v>
      </c>
    </row>
    <row r="33" spans="1:15" x14ac:dyDescent="0.25">
      <c r="A33" s="29" t="s">
        <v>287</v>
      </c>
      <c r="O33" s="7" t="str">
        <f ca="1">getCodigoBackend(N33,A33,VLOOKUP(N33,setup!$A$8:$H$58,2),VLOOKUP(N33,setup!$A$8:$H$58,3),VLOOKUP(N33,setup!$A$8:$H$58,4),VLOOKUP(N33,setup!$A$8:$H$58,5),VLOOKUP(N33,setup!$A$8:$H$58,6),VLOOKUP(N33,setup!$A$8:$H$58,7), VLOOKUP(0,setup!$A$8:$H$58,2),VLOOKUP(0,setup!$A$8:$H$58,5),VLOOKUP(N33,setup!$A$8:$H$58,8))</f>
        <v>    public function atualizarStatus($daofactory, $id, $status);</v>
      </c>
    </row>
    <row r="34" spans="1:15" x14ac:dyDescent="0.25">
      <c r="A34" s="29" t="s">
        <v>288</v>
      </c>
      <c r="O34" s="7" t="str">
        <f ca="1">getCodigoBackend(N34,A34,VLOOKUP(N34,setup!$A$8:$H$58,2),VLOOKUP(N34,setup!$A$8:$H$58,3),VLOOKUP(N34,setup!$A$8:$H$58,4),VLOOKUP(N34,setup!$A$8:$H$58,5),VLOOKUP(N34,setup!$A$8:$H$58,6),VLOOKUP(N34,setup!$A$8:$H$58,7), VLOOKUP(0,setup!$A$8:$H$58,2),VLOOKUP(0,setup!$A$8:$H$58,5),VLOOKUP(N34,setup!$A$8:$H$58,8))</f>
        <v xml:space="preserve">    public function listarCampanhaCashbackResgatePixPorStatus($daofactory, $status, $pag, $qtde, $coluna, $ordem);</v>
      </c>
    </row>
    <row r="35" spans="1:15" x14ac:dyDescent="0.25">
      <c r="A35" s="29" t="s">
        <v>420</v>
      </c>
      <c r="N35" s="7"/>
      <c r="O35" s="7" t="str">
        <f ca="1">getCodigoBackend(N35,A35,VLOOKUP(N35,setup!$A$8:$H$58,2),VLOOKUP(N35,setup!$A$8:$H$58,3),VLOOKUP(N35,setup!$A$8:$H$58,4),VLOOKUP(N35,setup!$A$8:$H$58,5),VLOOKUP(N35,setup!$A$8:$H$58,6),VLOOKUP(N35,setup!$A$8:$H$58,7), VLOOKUP(0,setup!$A$8:$H$58,2),VLOOKUP(0,setup!$A$8:$H$58,5),VLOOKUP(N35,setup!$A$8:$H$58,8))</f>
        <v xml:space="preserve">    public function validarTamanhoCampo($campo, $tamanho, $coment);</v>
      </c>
    </row>
    <row r="36" spans="1:15" x14ac:dyDescent="0.25">
      <c r="A36" s="29" t="s">
        <v>653</v>
      </c>
      <c r="O36" s="7" t="str">
        <f ca="1">getCodigoBackend(N36,A36,VLOOKUP(N36,setup!$A$8:$H$58,2),VLOOKUP(N36,setup!$A$8:$H$58,3),VLOOKUP(N36,setup!$A$8:$H$58,4),VLOOKUP(N36,setup!$A$8:$H$58,5),VLOOKUP(N36,setup!$A$8:$H$58,6),VLOOKUP(N36,setup!$A$8:$H$58,7), VLOOKUP(0,setup!$A$8:$H$58,2),VLOOKUP(0,setup!$A$8:$H$58,5),VLOOKUP(N36,setup!$A$8:$H$58,8))</f>
        <v xml:space="preserve">    public function listarCampanhaCashbackResgatePixPorUsuaIdStatus($daofactory, $usuaid, $status, $pag, $qtde, $coluna, $ordem);</v>
      </c>
    </row>
    <row r="37" spans="1:15" x14ac:dyDescent="0.25">
      <c r="A37" s="29"/>
      <c r="O37" s="7" t="str">
        <f ca="1">getCodigoBackend(N37,A37,VLOOKUP(N37,setup!$A$8:$H$58,2),VLOOKUP(N37,setup!$A$8:$H$58,3),VLOOKUP(N37,setup!$A$8:$H$58,4),VLOOKUP(N37,setup!$A$8:$H$58,5),VLOOKUP(N37,setup!$A$8:$H$58,6),VLOOKUP(N37,setup!$A$8:$H$58,7), VLOOKUP(0,setup!$A$8:$H$58,2),VLOOKUP(0,setup!$A$8:$H$58,5),VLOOKUP(N37,setup!$A$8:$H$58,8))</f>
        <v/>
      </c>
    </row>
    <row r="38" spans="1:15" x14ac:dyDescent="0.25">
      <c r="A38" s="29" t="s">
        <v>926</v>
      </c>
      <c r="N38">
        <v>1</v>
      </c>
      <c r="O38" s="7" t="str">
        <f ca="1">getCodigoBackend(N38,A38,VLOOKUP(N38,setup!$A$8:$H$58,2),VLOOKUP(N38,setup!$A$8:$H$58,3),VLOOKUP(N38,setup!$A$8:$H$58,4),VLOOKUP(N38,setup!$A$8:$H$58,5),VLOOKUP(N38,setup!$A$8:$H$58,6),VLOOKUP(N38,setup!$A$8:$H$58,7), VLOOKUP(0,setup!$A$8:$H$58,2),VLOOKUP(0,setup!$A$8:$H$58,5),VLOOKUP(N38,setup!$A$8:$H$58,8))</f>
        <v xml:space="preserve">    public function pesquisarMaxPKAtivoIdcampanhacashbackPorStatus($daofactory, $idCampanhaCashback, $status);</v>
      </c>
    </row>
    <row r="39" spans="1:15" x14ac:dyDescent="0.25">
      <c r="A39" s="29"/>
      <c r="O39" s="7" t="str">
        <f ca="1">getCodigoBackend(N39,A39,VLOOKUP(N39,setup!$A$8:$H$58,2),VLOOKUP(N39,setup!$A$8:$H$58,3),VLOOKUP(N39,setup!$A$8:$H$58,4),VLOOKUP(N39,setup!$A$8:$H$58,5),VLOOKUP(N39,setup!$A$8:$H$58,6),VLOOKUP(N39,setup!$A$8:$H$58,7), VLOOKUP(0,setup!$A$8:$H$58,2),VLOOKUP(0,setup!$A$8:$H$58,5),VLOOKUP(N39,setup!$A$8:$H$58,8))</f>
        <v/>
      </c>
    </row>
    <row r="40" spans="1:15" x14ac:dyDescent="0.25">
      <c r="A40" s="29"/>
      <c r="O40" s="7" t="str">
        <f ca="1">getCodigoBackend(N40,A40,VLOOKUP(N40,setup!$A$8:$H$58,2),VLOOKUP(N40,setup!$A$8:$H$58,3),VLOOKUP(N40,setup!$A$8:$H$58,4),VLOOKUP(N40,setup!$A$8:$H$58,5),VLOOKUP(N40,setup!$A$8:$H$58,6),VLOOKUP(N40,setup!$A$8:$H$58,7), VLOOKUP(0,setup!$A$8:$H$58,2),VLOOKUP(0,setup!$A$8:$H$58,5),VLOOKUP(N40,setup!$A$8:$H$58,8))</f>
        <v/>
      </c>
    </row>
    <row r="41" spans="1:15" x14ac:dyDescent="0.25">
      <c r="A41" s="29" t="s">
        <v>785</v>
      </c>
      <c r="N41">
        <v>1</v>
      </c>
      <c r="O41" s="7" t="str">
        <f ca="1">getCodigoBackend(N41,A41,VLOOKUP(N41,setup!$A$8:$H$58,2),VLOOKUP(N41,setup!$A$8:$H$58,3),VLOOKUP(N41,setup!$A$8:$H$58,4),VLOOKUP(N41,setup!$A$8:$H$58,5),VLOOKUP(N41,setup!$A$8:$H$58,6),VLOOKUP(N41,setup!$A$8:$H$58,7), VLOOKUP(0,setup!$A$8:$H$58,2),VLOOKUP(0,setup!$A$8:$H$58,5),VLOOKUP(N41,setup!$A$8:$H$58,8))</f>
        <v xml:space="preserve">    public function pesquisarPorIdcampanhacashback($daofactory, $idCampanhaCashback);</v>
      </c>
    </row>
    <row r="42" spans="1:15" x14ac:dyDescent="0.25">
      <c r="A42" s="29" t="s">
        <v>785</v>
      </c>
      <c r="N42">
        <f>N41+1</f>
        <v>2</v>
      </c>
      <c r="O42" s="7" t="str">
        <f ca="1">getCodigoBackend(N42,A42,VLOOKUP(N42,setup!$A$8:$H$58,2),VLOOKUP(N42,setup!$A$8:$H$58,3),VLOOKUP(N42,setup!$A$8:$H$58,4),VLOOKUP(N42,setup!$A$8:$H$58,5),VLOOKUP(N42,setup!$A$8:$H$58,6),VLOOKUP(N42,setup!$A$8:$H$58,7), VLOOKUP(0,setup!$A$8:$H$58,2),VLOOKUP(0,setup!$A$8:$H$58,5),VLOOKUP(N42,setup!$A$8:$H$58,8))</f>
        <v xml:space="preserve">    public function pesquisarPorIdusuariosolicitante($daofactory, $idUsuarioSolicitante);</v>
      </c>
    </row>
    <row r="43" spans="1:15" x14ac:dyDescent="0.25">
      <c r="A43" s="29" t="s">
        <v>785</v>
      </c>
      <c r="N43">
        <f t="shared" ref="N43:N88" si="0">N42+1</f>
        <v>3</v>
      </c>
      <c r="O43" s="7" t="str">
        <f ca="1">getCodigoBackend(N43,A43,VLOOKUP(N43,setup!$A$8:$H$58,2),VLOOKUP(N43,setup!$A$8:$H$58,3),VLOOKUP(N43,setup!$A$8:$H$58,4),VLOOKUP(N43,setup!$A$8:$H$58,5),VLOOKUP(N43,setup!$A$8:$H$58,6),VLOOKUP(N43,setup!$A$8:$H$58,7), VLOOKUP(0,setup!$A$8:$H$58,2),VLOOKUP(0,setup!$A$8:$H$58,5),VLOOKUP(N43,setup!$A$8:$H$58,8))</f>
        <v xml:space="preserve">    public function pesquisarPorTipochavepix($daofactory, $tipoChavePix);</v>
      </c>
    </row>
    <row r="44" spans="1:15" x14ac:dyDescent="0.25">
      <c r="A44" s="29" t="s">
        <v>785</v>
      </c>
      <c r="N44">
        <f t="shared" si="0"/>
        <v>4</v>
      </c>
      <c r="O44" s="7" t="str">
        <f ca="1">getCodigoBackend(N44,A44,VLOOKUP(N44,setup!$A$8:$H$58,2),VLOOKUP(N44,setup!$A$8:$H$58,3),VLOOKUP(N44,setup!$A$8:$H$58,4),VLOOKUP(N44,setup!$A$8:$H$58,5),VLOOKUP(N44,setup!$A$8:$H$58,6),VLOOKUP(N44,setup!$A$8:$H$58,7), VLOOKUP(0,setup!$A$8:$H$58,2),VLOOKUP(0,setup!$A$8:$H$58,5),VLOOKUP(N44,setup!$A$8:$H$58,8))</f>
        <v xml:space="preserve">    public function pesquisarPorChavepix($daofactory, $chavePix);</v>
      </c>
    </row>
    <row r="45" spans="1:15" x14ac:dyDescent="0.25">
      <c r="A45" s="29" t="s">
        <v>785</v>
      </c>
      <c r="N45">
        <f t="shared" si="0"/>
        <v>5</v>
      </c>
      <c r="O45" s="7" t="str">
        <f ca="1">getCodigoBackend(N45,A45,VLOOKUP(N45,setup!$A$8:$H$58,2),VLOOKUP(N45,setup!$A$8:$H$58,3),VLOOKUP(N45,setup!$A$8:$H$58,4),VLOOKUP(N45,setup!$A$8:$H$58,5),VLOOKUP(N45,setup!$A$8:$H$58,6),VLOOKUP(N45,setup!$A$8:$H$58,7), VLOOKUP(0,setup!$A$8:$H$58,2),VLOOKUP(0,setup!$A$8:$H$58,5),VLOOKUP(N45,setup!$A$8:$H$58,8))</f>
        <v xml:space="preserve">    public function pesquisarPorValorresgate($daofactory, $valorResgate);</v>
      </c>
    </row>
    <row r="46" spans="1:15" x14ac:dyDescent="0.25">
      <c r="A46" s="29" t="s">
        <v>785</v>
      </c>
      <c r="N46">
        <f t="shared" si="0"/>
        <v>6</v>
      </c>
      <c r="O46" s="7" t="str">
        <f ca="1">getCodigoBackend(N46,A46,VLOOKUP(N46,setup!$A$8:$H$58,2),VLOOKUP(N46,setup!$A$8:$H$58,3),VLOOKUP(N46,setup!$A$8:$H$58,4),VLOOKUP(N46,setup!$A$8:$H$58,5),VLOOKUP(N46,setup!$A$8:$H$58,6),VLOOKUP(N46,setup!$A$8:$H$58,7), VLOOKUP(0,setup!$A$8:$H$58,2),VLOOKUP(0,setup!$A$8:$H$58,5),VLOOKUP(N46,setup!$A$8:$H$58,8))</f>
        <v xml:space="preserve">    public function pesquisarPorAutenticacaobco($daofactory, $autenticacaoBco);</v>
      </c>
    </row>
    <row r="47" spans="1:15" x14ac:dyDescent="0.25">
      <c r="A47" s="29" t="s">
        <v>785</v>
      </c>
      <c r="N47">
        <f t="shared" si="0"/>
        <v>7</v>
      </c>
      <c r="O47" s="7" t="str">
        <f ca="1">getCodigoBackend(N47,A47,VLOOKUP(N47,setup!$A$8:$H$58,2),VLOOKUP(N47,setup!$A$8:$H$58,3),VLOOKUP(N47,setup!$A$8:$H$58,4),VLOOKUP(N47,setup!$A$8:$H$58,5),VLOOKUP(N47,setup!$A$8:$H$58,6),VLOOKUP(N47,setup!$A$8:$H$58,7), VLOOKUP(0,setup!$A$8:$H$58,2),VLOOKUP(0,setup!$A$8:$H$58,5),VLOOKUP(N47,setup!$A$8:$H$58,8))</f>
        <v xml:space="preserve">    public function pesquisarPorEstagiorealtime($daofactory, $estagioRealTime);</v>
      </c>
    </row>
    <row r="48" spans="1:15" x14ac:dyDescent="0.25">
      <c r="A48" s="29" t="s">
        <v>785</v>
      </c>
      <c r="N48">
        <f t="shared" si="0"/>
        <v>8</v>
      </c>
      <c r="O48" s="7" t="str">
        <f ca="1">getCodigoBackend(N48,A48,VLOOKUP(N48,setup!$A$8:$H$58,2),VLOOKUP(N48,setup!$A$8:$H$58,3),VLOOKUP(N48,setup!$A$8:$H$58,4),VLOOKUP(N48,setup!$A$8:$H$58,5),VLOOKUP(N48,setup!$A$8:$H$58,6),VLOOKUP(N48,setup!$A$8:$H$58,7), VLOOKUP(0,setup!$A$8:$H$58,2),VLOOKUP(0,setup!$A$8:$H$58,5),VLOOKUP(N48,setup!$A$8:$H$58,8))</f>
        <v xml:space="preserve">    public function pesquisarPorDtestagioanalise($daofactory, $dtEstagioAnalise);</v>
      </c>
    </row>
    <row r="49" spans="1:15" x14ac:dyDescent="0.25">
      <c r="A49" s="29" t="s">
        <v>785</v>
      </c>
      <c r="N49">
        <f t="shared" si="0"/>
        <v>9</v>
      </c>
      <c r="O49" s="7" t="str">
        <f ca="1">getCodigoBackend(N49,A49,VLOOKUP(N49,setup!$A$8:$H$58,2),VLOOKUP(N49,setup!$A$8:$H$58,3),VLOOKUP(N49,setup!$A$8:$H$58,4),VLOOKUP(N49,setup!$A$8:$H$58,5),VLOOKUP(N49,setup!$A$8:$H$58,6),VLOOKUP(N49,setup!$A$8:$H$58,7), VLOOKUP(0,setup!$A$8:$H$58,2),VLOOKUP(0,setup!$A$8:$H$58,5),VLOOKUP(N49,setup!$A$8:$H$58,8))</f>
        <v xml:space="preserve">    public function pesquisarPorDtestagiofinanceiro($daofactory, $dtEstagioFinanceiro);</v>
      </c>
    </row>
    <row r="50" spans="1:15" x14ac:dyDescent="0.25">
      <c r="A50" s="29" t="s">
        <v>785</v>
      </c>
      <c r="N50">
        <f t="shared" si="0"/>
        <v>10</v>
      </c>
      <c r="O50" s="7" t="str">
        <f ca="1">getCodigoBackend(N50,A50,VLOOKUP(N50,setup!$A$8:$H$58,2),VLOOKUP(N50,setup!$A$8:$H$58,3),VLOOKUP(N50,setup!$A$8:$H$58,4),VLOOKUP(N50,setup!$A$8:$H$58,5),VLOOKUP(N50,setup!$A$8:$H$58,6),VLOOKUP(N50,setup!$A$8:$H$58,7), VLOOKUP(0,setup!$A$8:$H$58,2),VLOOKUP(0,setup!$A$8:$H$58,5),VLOOKUP(N50,setup!$A$8:$H$58,8))</f>
        <v xml:space="preserve">    public function pesquisarPorDtestagioerro($daofactory, $dtEstagioErro);</v>
      </c>
    </row>
    <row r="51" spans="1:15" x14ac:dyDescent="0.25">
      <c r="A51" s="29" t="s">
        <v>785</v>
      </c>
      <c r="N51">
        <f t="shared" si="0"/>
        <v>11</v>
      </c>
      <c r="O51" s="7" t="str">
        <f ca="1">getCodigoBackend(N51,A51,VLOOKUP(N51,setup!$A$8:$H$58,2),VLOOKUP(N51,setup!$A$8:$H$58,3),VLOOKUP(N51,setup!$A$8:$H$58,4),VLOOKUP(N51,setup!$A$8:$H$58,5),VLOOKUP(N51,setup!$A$8:$H$58,6),VLOOKUP(N51,setup!$A$8:$H$58,7), VLOOKUP(0,setup!$A$8:$H$58,2),VLOOKUP(0,setup!$A$8:$H$58,5),VLOOKUP(N51,setup!$A$8:$H$58,8))</f>
        <v xml:space="preserve">    public function pesquisarPorDtestagiotranfbco($daofactory, $dtEstagioTranfBco);</v>
      </c>
    </row>
    <row r="52" spans="1:15" x14ac:dyDescent="0.25">
      <c r="A52" s="29" t="s">
        <v>785</v>
      </c>
      <c r="N52">
        <f t="shared" si="0"/>
        <v>12</v>
      </c>
      <c r="O52" s="7" t="str">
        <f ca="1">getCodigoBackend(N52,A52,VLOOKUP(N52,setup!$A$8:$H$58,2),VLOOKUP(N52,setup!$A$8:$H$58,3),VLOOKUP(N52,setup!$A$8:$H$58,4),VLOOKUP(N52,setup!$A$8:$H$58,5),VLOOKUP(N52,setup!$A$8:$H$58,6),VLOOKUP(N52,setup!$A$8:$H$58,7), VLOOKUP(0,setup!$A$8:$H$58,2),VLOOKUP(0,setup!$A$8:$H$58,5),VLOOKUP(N52,setup!$A$8:$H$58,8))</f>
        <v xml:space="preserve">    public function pesquisarPorTxtlivreestagiort($daofactory, $txtLivreEstagioRT);</v>
      </c>
    </row>
    <row r="53" spans="1:15" x14ac:dyDescent="0.25">
      <c r="A53" s="29" t="s">
        <v>785</v>
      </c>
      <c r="N53">
        <f t="shared" si="0"/>
        <v>13</v>
      </c>
      <c r="O53" s="7" t="e">
        <f>getCodigoBackend(N53,A53,VLOOKUP(N53,setup!$A$8:$H$58,2),VLOOKUP(N53,setup!$A$8:$H$58,3),VLOOKUP(N53,setup!$A$8:$H$58,4),VLOOKUP(N53,setup!$A$8:$H$58,5),VLOOKUP(N53,setup!$A$8:$H$58,6),VLOOKUP(N53,setup!$A$8:$H$58,7), VLOOKUP(0,setup!$A$8:$H$58,2),VLOOKUP(0,setup!$A$8:$H$58,5),VLOOKUP(N53,setup!$A$8:$H$58,8))</f>
        <v>#VALUE!</v>
      </c>
    </row>
    <row r="54" spans="1:15" x14ac:dyDescent="0.25">
      <c r="A54" s="29" t="s">
        <v>785</v>
      </c>
      <c r="N54">
        <f t="shared" si="0"/>
        <v>14</v>
      </c>
      <c r="O54" s="7" t="e">
        <f>getCodigoBackend(N54,A54,VLOOKUP(N54,setup!$A$8:$H$58,2),VLOOKUP(N54,setup!$A$8:$H$58,3),VLOOKUP(N54,setup!$A$8:$H$58,4),VLOOKUP(N54,setup!$A$8:$H$58,5),VLOOKUP(N54,setup!$A$8:$H$58,6),VLOOKUP(N54,setup!$A$8:$H$58,7), VLOOKUP(0,setup!$A$8:$H$58,2),VLOOKUP(0,setup!$A$8:$H$58,5),VLOOKUP(N54,setup!$A$8:$H$58,8))</f>
        <v>#VALUE!</v>
      </c>
    </row>
    <row r="55" spans="1:15" x14ac:dyDescent="0.25">
      <c r="A55" s="29" t="s">
        <v>785</v>
      </c>
      <c r="N55">
        <f t="shared" si="0"/>
        <v>15</v>
      </c>
      <c r="O55" s="7" t="e">
        <f>getCodigoBackend(N55,A55,VLOOKUP(N55,setup!$A$8:$H$58,2),VLOOKUP(N55,setup!$A$8:$H$58,3),VLOOKUP(N55,setup!$A$8:$H$58,4),VLOOKUP(N55,setup!$A$8:$H$58,5),VLOOKUP(N55,setup!$A$8:$H$58,6),VLOOKUP(N55,setup!$A$8:$H$58,7), VLOOKUP(0,setup!$A$8:$H$58,2),VLOOKUP(0,setup!$A$8:$H$58,5),VLOOKUP(N55,setup!$A$8:$H$58,8))</f>
        <v>#VALUE!</v>
      </c>
    </row>
    <row r="56" spans="1:15" x14ac:dyDescent="0.25">
      <c r="A56" s="29" t="s">
        <v>785</v>
      </c>
      <c r="N56">
        <f t="shared" si="0"/>
        <v>16</v>
      </c>
      <c r="O56" s="7" t="e">
        <f>getCodigoBackend(N56,A56,VLOOKUP(N56,setup!$A$8:$H$58,2),VLOOKUP(N56,setup!$A$8:$H$58,3),VLOOKUP(N56,setup!$A$8:$H$58,4),VLOOKUP(N56,setup!$A$8:$H$58,5),VLOOKUP(N56,setup!$A$8:$H$58,6),VLOOKUP(N56,setup!$A$8:$H$58,7), VLOOKUP(0,setup!$A$8:$H$58,2),VLOOKUP(0,setup!$A$8:$H$58,5),VLOOKUP(N56,setup!$A$8:$H$58,8))</f>
        <v>#VALUE!</v>
      </c>
    </row>
    <row r="57" spans="1:15" x14ac:dyDescent="0.25">
      <c r="A57" s="29" t="s">
        <v>785</v>
      </c>
      <c r="N57">
        <f t="shared" si="0"/>
        <v>17</v>
      </c>
      <c r="O57" s="7" t="e">
        <f>getCodigoBackend(N57,A57,VLOOKUP(N57,setup!$A$8:$H$58,2),VLOOKUP(N57,setup!$A$8:$H$58,3),VLOOKUP(N57,setup!$A$8:$H$58,4),VLOOKUP(N57,setup!$A$8:$H$58,5),VLOOKUP(N57,setup!$A$8:$H$58,6),VLOOKUP(N57,setup!$A$8:$H$58,7), VLOOKUP(0,setup!$A$8:$H$58,2),VLOOKUP(0,setup!$A$8:$H$58,5),VLOOKUP(N57,setup!$A$8:$H$58,8))</f>
        <v>#VALUE!</v>
      </c>
    </row>
    <row r="58" spans="1:15" x14ac:dyDescent="0.25">
      <c r="A58" s="29" t="s">
        <v>785</v>
      </c>
      <c r="N58">
        <f t="shared" si="0"/>
        <v>18</v>
      </c>
      <c r="O58" s="7" t="e">
        <f>getCodigoBackend(N58,A58,VLOOKUP(N58,setup!$A$8:$H$58,2),VLOOKUP(N58,setup!$A$8:$H$58,3),VLOOKUP(N58,setup!$A$8:$H$58,4),VLOOKUP(N58,setup!$A$8:$H$58,5),VLOOKUP(N58,setup!$A$8:$H$58,6),VLOOKUP(N58,setup!$A$8:$H$58,7), VLOOKUP(0,setup!$A$8:$H$58,2),VLOOKUP(0,setup!$A$8:$H$58,5),VLOOKUP(N58,setup!$A$8:$H$58,8))</f>
        <v>#VALUE!</v>
      </c>
    </row>
    <row r="59" spans="1:15" x14ac:dyDescent="0.25">
      <c r="A59" s="29" t="s">
        <v>785</v>
      </c>
      <c r="N59">
        <f t="shared" si="0"/>
        <v>19</v>
      </c>
      <c r="O59" s="7" t="e">
        <f>getCodigoBackend(N59,A59,VLOOKUP(N59,setup!$A$8:$H$58,2),VLOOKUP(N59,setup!$A$8:$H$58,3),VLOOKUP(N59,setup!$A$8:$H$58,4),VLOOKUP(N59,setup!$A$8:$H$58,5),VLOOKUP(N59,setup!$A$8:$H$58,6),VLOOKUP(N59,setup!$A$8:$H$58,7), VLOOKUP(0,setup!$A$8:$H$58,2),VLOOKUP(0,setup!$A$8:$H$58,5),VLOOKUP(N59,setup!$A$8:$H$58,8))</f>
        <v>#VALUE!</v>
      </c>
    </row>
    <row r="60" spans="1:15" x14ac:dyDescent="0.25">
      <c r="A60" s="29" t="s">
        <v>785</v>
      </c>
      <c r="N60">
        <f t="shared" si="0"/>
        <v>20</v>
      </c>
      <c r="O60" s="7" t="e">
        <f>getCodigoBackend(N60,A60,VLOOKUP(N60,setup!$A$8:$H$58,2),VLOOKUP(N60,setup!$A$8:$H$58,3),VLOOKUP(N60,setup!$A$8:$H$58,4),VLOOKUP(N60,setup!$A$8:$H$58,5),VLOOKUP(N60,setup!$A$8:$H$58,6),VLOOKUP(N60,setup!$A$8:$H$58,7), VLOOKUP(0,setup!$A$8:$H$58,2),VLOOKUP(0,setup!$A$8:$H$58,5),VLOOKUP(N60,setup!$A$8:$H$58,8))</f>
        <v>#VALUE!</v>
      </c>
    </row>
    <row r="61" spans="1:15" x14ac:dyDescent="0.25">
      <c r="A61" s="29" t="s">
        <v>785</v>
      </c>
      <c r="N61">
        <f t="shared" si="0"/>
        <v>21</v>
      </c>
      <c r="O61" s="7" t="e">
        <f>getCodigoBackend(N61,A61,VLOOKUP(N61,setup!$A$8:$H$58,2),VLOOKUP(N61,setup!$A$8:$H$58,3),VLOOKUP(N61,setup!$A$8:$H$58,4),VLOOKUP(N61,setup!$A$8:$H$58,5),VLOOKUP(N61,setup!$A$8:$H$58,6),VLOOKUP(N61,setup!$A$8:$H$58,7), VLOOKUP(0,setup!$A$8:$H$58,2),VLOOKUP(0,setup!$A$8:$H$58,5),VLOOKUP(N61,setup!$A$8:$H$58,8))</f>
        <v>#VALUE!</v>
      </c>
    </row>
    <row r="62" spans="1:15" x14ac:dyDescent="0.25">
      <c r="A62" s="29" t="s">
        <v>785</v>
      </c>
      <c r="N62">
        <f t="shared" si="0"/>
        <v>22</v>
      </c>
      <c r="O62" s="7" t="e">
        <f>getCodigoBackend(N62,A62,VLOOKUP(N62,setup!$A$8:$H$58,2),VLOOKUP(N62,setup!$A$8:$H$58,3),VLOOKUP(N62,setup!$A$8:$H$58,4),VLOOKUP(N62,setup!$A$8:$H$58,5),VLOOKUP(N62,setup!$A$8:$H$58,6),VLOOKUP(N62,setup!$A$8:$H$58,7), VLOOKUP(0,setup!$A$8:$H$58,2),VLOOKUP(0,setup!$A$8:$H$58,5),VLOOKUP(N62,setup!$A$8:$H$58,8))</f>
        <v>#VALUE!</v>
      </c>
    </row>
    <row r="63" spans="1:15" x14ac:dyDescent="0.25">
      <c r="A63" s="29" t="s">
        <v>785</v>
      </c>
      <c r="N63">
        <f t="shared" si="0"/>
        <v>23</v>
      </c>
      <c r="O63" s="7" t="e">
        <f>getCodigoBackend(N63,A63,VLOOKUP(N63,setup!$A$8:$H$58,2),VLOOKUP(N63,setup!$A$8:$H$58,3),VLOOKUP(N63,setup!$A$8:$H$58,4),VLOOKUP(N63,setup!$A$8:$H$58,5),VLOOKUP(N63,setup!$A$8:$H$58,6),VLOOKUP(N63,setup!$A$8:$H$58,7), VLOOKUP(0,setup!$A$8:$H$58,2),VLOOKUP(0,setup!$A$8:$H$58,5),VLOOKUP(N63,setup!$A$8:$H$58,8))</f>
        <v>#VALUE!</v>
      </c>
    </row>
    <row r="64" spans="1:15" x14ac:dyDescent="0.25">
      <c r="A64" s="29" t="s">
        <v>785</v>
      </c>
      <c r="N64">
        <f t="shared" si="0"/>
        <v>24</v>
      </c>
      <c r="O64" s="7" t="e">
        <f>getCodigoBackend(N64,A64,VLOOKUP(N64,setup!$A$8:$H$58,2),VLOOKUP(N64,setup!$A$8:$H$58,3),VLOOKUP(N64,setup!$A$8:$H$58,4),VLOOKUP(N64,setup!$A$8:$H$58,5),VLOOKUP(N64,setup!$A$8:$H$58,6),VLOOKUP(N64,setup!$A$8:$H$58,7), VLOOKUP(0,setup!$A$8:$H$58,2),VLOOKUP(0,setup!$A$8:$H$58,5),VLOOKUP(N64,setup!$A$8:$H$58,8))</f>
        <v>#VALUE!</v>
      </c>
    </row>
    <row r="65" spans="1:15" x14ac:dyDescent="0.25">
      <c r="A65" s="29" t="s">
        <v>785</v>
      </c>
      <c r="N65">
        <f t="shared" si="0"/>
        <v>25</v>
      </c>
      <c r="O65" s="7" t="e">
        <f>getCodigoBackend(N65,A65,VLOOKUP(N65,setup!$A$8:$H$58,2),VLOOKUP(N65,setup!$A$8:$H$58,3),VLOOKUP(N65,setup!$A$8:$H$58,4),VLOOKUP(N65,setup!$A$8:$H$58,5),VLOOKUP(N65,setup!$A$8:$H$58,6),VLOOKUP(N65,setup!$A$8:$H$58,7), VLOOKUP(0,setup!$A$8:$H$58,2),VLOOKUP(0,setup!$A$8:$H$58,5),VLOOKUP(N65,setup!$A$8:$H$58,8))</f>
        <v>#VALUE!</v>
      </c>
    </row>
    <row r="66" spans="1:15" x14ac:dyDescent="0.25">
      <c r="A66" s="29" t="s">
        <v>785</v>
      </c>
      <c r="N66">
        <f t="shared" si="0"/>
        <v>26</v>
      </c>
      <c r="O66" s="7" t="e">
        <f>getCodigoBackend(N66,A66,VLOOKUP(N66,setup!$A$8:$H$58,2),VLOOKUP(N66,setup!$A$8:$H$58,3),VLOOKUP(N66,setup!$A$8:$H$58,4),VLOOKUP(N66,setup!$A$8:$H$58,5),VLOOKUP(N66,setup!$A$8:$H$58,6),VLOOKUP(N66,setup!$A$8:$H$58,7), VLOOKUP(0,setup!$A$8:$H$58,2),VLOOKUP(0,setup!$A$8:$H$58,5),VLOOKUP(N66,setup!$A$8:$H$58,8))</f>
        <v>#VALUE!</v>
      </c>
    </row>
    <row r="67" spans="1:15" x14ac:dyDescent="0.25">
      <c r="A67" s="29" t="s">
        <v>785</v>
      </c>
      <c r="N67">
        <f t="shared" si="0"/>
        <v>27</v>
      </c>
      <c r="O67" s="7" t="e">
        <f>getCodigoBackend(N67,A67,VLOOKUP(N67,setup!$A$8:$H$58,2),VLOOKUP(N67,setup!$A$8:$H$58,3),VLOOKUP(N67,setup!$A$8:$H$58,4),VLOOKUP(N67,setup!$A$8:$H$58,5),VLOOKUP(N67,setup!$A$8:$H$58,6),VLOOKUP(N67,setup!$A$8:$H$58,7), VLOOKUP(0,setup!$A$8:$H$58,2),VLOOKUP(0,setup!$A$8:$H$58,5),VLOOKUP(N67,setup!$A$8:$H$58,8))</f>
        <v>#VALUE!</v>
      </c>
    </row>
    <row r="68" spans="1:15" x14ac:dyDescent="0.25">
      <c r="A68" s="29" t="s">
        <v>785</v>
      </c>
      <c r="N68">
        <f t="shared" si="0"/>
        <v>28</v>
      </c>
      <c r="O68" s="7" t="e">
        <f>getCodigoBackend(N68,A68,VLOOKUP(N68,setup!$A$8:$H$58,2),VLOOKUP(N68,setup!$A$8:$H$58,3),VLOOKUP(N68,setup!$A$8:$H$58,4),VLOOKUP(N68,setup!$A$8:$H$58,5),VLOOKUP(N68,setup!$A$8:$H$58,6),VLOOKUP(N68,setup!$A$8:$H$58,7), VLOOKUP(0,setup!$A$8:$H$58,2),VLOOKUP(0,setup!$A$8:$H$58,5),VLOOKUP(N68,setup!$A$8:$H$58,8))</f>
        <v>#VALUE!</v>
      </c>
    </row>
    <row r="69" spans="1:15" x14ac:dyDescent="0.25">
      <c r="A69" s="29" t="s">
        <v>785</v>
      </c>
      <c r="N69">
        <f t="shared" si="0"/>
        <v>29</v>
      </c>
      <c r="O69" s="7" t="e">
        <f>getCodigoBackend(N69,A69,VLOOKUP(N69,setup!$A$8:$H$58,2),VLOOKUP(N69,setup!$A$8:$H$58,3),VLOOKUP(N69,setup!$A$8:$H$58,4),VLOOKUP(N69,setup!$A$8:$H$58,5),VLOOKUP(N69,setup!$A$8:$H$58,6),VLOOKUP(N69,setup!$A$8:$H$58,7), VLOOKUP(0,setup!$A$8:$H$58,2),VLOOKUP(0,setup!$A$8:$H$58,5),VLOOKUP(N69,setup!$A$8:$H$58,8))</f>
        <v>#VALUE!</v>
      </c>
    </row>
    <row r="70" spans="1:15" x14ac:dyDescent="0.25">
      <c r="A70" s="29" t="s">
        <v>785</v>
      </c>
      <c r="N70">
        <f t="shared" si="0"/>
        <v>30</v>
      </c>
      <c r="O70" s="7" t="e">
        <f>getCodigoBackend(N70,A70,VLOOKUP(N70,setup!$A$8:$H$58,2),VLOOKUP(N70,setup!$A$8:$H$58,3),VLOOKUP(N70,setup!$A$8:$H$58,4),VLOOKUP(N70,setup!$A$8:$H$58,5),VLOOKUP(N70,setup!$A$8:$H$58,6),VLOOKUP(N70,setup!$A$8:$H$58,7), VLOOKUP(0,setup!$A$8:$H$58,2),VLOOKUP(0,setup!$A$8:$H$58,5),VLOOKUP(N70,setup!$A$8:$H$58,8))</f>
        <v>#VALUE!</v>
      </c>
    </row>
    <row r="71" spans="1:15" x14ac:dyDescent="0.25">
      <c r="A71" s="29" t="s">
        <v>785</v>
      </c>
      <c r="N71">
        <f t="shared" si="0"/>
        <v>31</v>
      </c>
      <c r="O71" s="7" t="e">
        <f>getCodigoBackend(N71,A71,VLOOKUP(N71,setup!$A$8:$H$58,2),VLOOKUP(N71,setup!$A$8:$H$58,3),VLOOKUP(N71,setup!$A$8:$H$58,4),VLOOKUP(N71,setup!$A$8:$H$58,5),VLOOKUP(N71,setup!$A$8:$H$58,6),VLOOKUP(N71,setup!$A$8:$H$58,7), VLOOKUP(0,setup!$A$8:$H$58,2),VLOOKUP(0,setup!$A$8:$H$58,5),VLOOKUP(N71,setup!$A$8:$H$58,8))</f>
        <v>#VALUE!</v>
      </c>
    </row>
    <row r="72" spans="1:15" x14ac:dyDescent="0.25">
      <c r="A72" s="29" t="s">
        <v>785</v>
      </c>
      <c r="N72">
        <f t="shared" si="0"/>
        <v>32</v>
      </c>
      <c r="O72" s="7" t="e">
        <f>getCodigoBackend(N72,A72,VLOOKUP(N72,setup!$A$8:$H$58,2),VLOOKUP(N72,setup!$A$8:$H$58,3),VLOOKUP(N72,setup!$A$8:$H$58,4),VLOOKUP(N72,setup!$A$8:$H$58,5),VLOOKUP(N72,setup!$A$8:$H$58,6),VLOOKUP(N72,setup!$A$8:$H$58,7), VLOOKUP(0,setup!$A$8:$H$58,2),VLOOKUP(0,setup!$A$8:$H$58,5),VLOOKUP(N72,setup!$A$8:$H$58,8))</f>
        <v>#VALUE!</v>
      </c>
    </row>
    <row r="73" spans="1:15" x14ac:dyDescent="0.25">
      <c r="A73" s="29" t="s">
        <v>785</v>
      </c>
      <c r="N73">
        <f t="shared" si="0"/>
        <v>33</v>
      </c>
      <c r="O73" s="7" t="e">
        <f>getCodigoBackend(N73,A73,VLOOKUP(N73,setup!$A$8:$H$58,2),VLOOKUP(N73,setup!$A$8:$H$58,3),VLOOKUP(N73,setup!$A$8:$H$58,4),VLOOKUP(N73,setup!$A$8:$H$58,5),VLOOKUP(N73,setup!$A$8:$H$58,6),VLOOKUP(N73,setup!$A$8:$H$58,7), VLOOKUP(0,setup!$A$8:$H$58,2),VLOOKUP(0,setup!$A$8:$H$58,5),VLOOKUP(N73,setup!$A$8:$H$58,8))</f>
        <v>#VALUE!</v>
      </c>
    </row>
    <row r="74" spans="1:15" x14ac:dyDescent="0.25">
      <c r="A74" s="29" t="s">
        <v>785</v>
      </c>
      <c r="N74">
        <f t="shared" si="0"/>
        <v>34</v>
      </c>
      <c r="O74" s="7" t="e">
        <f>getCodigoBackend(N74,A74,VLOOKUP(N74,setup!$A$8:$H$58,2),VLOOKUP(N74,setup!$A$8:$H$58,3),VLOOKUP(N74,setup!$A$8:$H$58,4),VLOOKUP(N74,setup!$A$8:$H$58,5),VLOOKUP(N74,setup!$A$8:$H$58,6),VLOOKUP(N74,setup!$A$8:$H$58,7), VLOOKUP(0,setup!$A$8:$H$58,2),VLOOKUP(0,setup!$A$8:$H$58,5),VLOOKUP(N74,setup!$A$8:$H$58,8))</f>
        <v>#VALUE!</v>
      </c>
    </row>
    <row r="75" spans="1:15" x14ac:dyDescent="0.25">
      <c r="A75" s="29" t="s">
        <v>785</v>
      </c>
      <c r="N75">
        <f t="shared" si="0"/>
        <v>35</v>
      </c>
      <c r="O75" s="7" t="e">
        <f>getCodigoBackend(N75,A75,VLOOKUP(N75,setup!$A$8:$H$58,2),VLOOKUP(N75,setup!$A$8:$H$58,3),VLOOKUP(N75,setup!$A$8:$H$58,4),VLOOKUP(N75,setup!$A$8:$H$58,5),VLOOKUP(N75,setup!$A$8:$H$58,6),VLOOKUP(N75,setup!$A$8:$H$58,7), VLOOKUP(0,setup!$A$8:$H$58,2),VLOOKUP(0,setup!$A$8:$H$58,5),VLOOKUP(N75,setup!$A$8:$H$58,8))</f>
        <v>#VALUE!</v>
      </c>
    </row>
    <row r="76" spans="1:15" x14ac:dyDescent="0.25">
      <c r="A76" s="29" t="s">
        <v>785</v>
      </c>
      <c r="N76">
        <f t="shared" si="0"/>
        <v>36</v>
      </c>
      <c r="O76" s="7" t="e">
        <f>getCodigoBackend(N76,A76,VLOOKUP(N76,setup!$A$8:$H$58,2),VLOOKUP(N76,setup!$A$8:$H$58,3),VLOOKUP(N76,setup!$A$8:$H$58,4),VLOOKUP(N76,setup!$A$8:$H$58,5),VLOOKUP(N76,setup!$A$8:$H$58,6),VLOOKUP(N76,setup!$A$8:$H$58,7), VLOOKUP(0,setup!$A$8:$H$58,2),VLOOKUP(0,setup!$A$8:$H$58,5),VLOOKUP(N76,setup!$A$8:$H$58,8))</f>
        <v>#VALUE!</v>
      </c>
    </row>
    <row r="77" spans="1:15" x14ac:dyDescent="0.25">
      <c r="A77" s="29" t="s">
        <v>785</v>
      </c>
      <c r="N77">
        <f t="shared" si="0"/>
        <v>37</v>
      </c>
      <c r="O77" s="7" t="e">
        <f>getCodigoBackend(N77,A77,VLOOKUP(N77,setup!$A$8:$H$58,2),VLOOKUP(N77,setup!$A$8:$H$58,3),VLOOKUP(N77,setup!$A$8:$H$58,4),VLOOKUP(N77,setup!$A$8:$H$58,5),VLOOKUP(N77,setup!$A$8:$H$58,6),VLOOKUP(N77,setup!$A$8:$H$58,7), VLOOKUP(0,setup!$A$8:$H$58,2),VLOOKUP(0,setup!$A$8:$H$58,5),VLOOKUP(N77,setup!$A$8:$H$58,8))</f>
        <v>#VALUE!</v>
      </c>
    </row>
    <row r="78" spans="1:15" x14ac:dyDescent="0.25">
      <c r="A78" s="29" t="s">
        <v>785</v>
      </c>
      <c r="N78">
        <f t="shared" si="0"/>
        <v>38</v>
      </c>
      <c r="O78" s="7" t="e">
        <f>getCodigoBackend(N78,A78,VLOOKUP(N78,setup!$A$8:$H$58,2),VLOOKUP(N78,setup!$A$8:$H$58,3),VLOOKUP(N78,setup!$A$8:$H$58,4),VLOOKUP(N78,setup!$A$8:$H$58,5),VLOOKUP(N78,setup!$A$8:$H$58,6),VLOOKUP(N78,setup!$A$8:$H$58,7), VLOOKUP(0,setup!$A$8:$H$58,2),VLOOKUP(0,setup!$A$8:$H$58,5),VLOOKUP(N78,setup!$A$8:$H$58,8))</f>
        <v>#VALUE!</v>
      </c>
    </row>
    <row r="79" spans="1:15" x14ac:dyDescent="0.25">
      <c r="A79" s="29" t="s">
        <v>785</v>
      </c>
      <c r="N79">
        <f t="shared" si="0"/>
        <v>39</v>
      </c>
      <c r="O79" s="7" t="e">
        <f>getCodigoBackend(N79,A79,VLOOKUP(N79,setup!$A$8:$H$58,2),VLOOKUP(N79,setup!$A$8:$H$58,3),VLOOKUP(N79,setup!$A$8:$H$58,4),VLOOKUP(N79,setup!$A$8:$H$58,5),VLOOKUP(N79,setup!$A$8:$H$58,6),VLOOKUP(N79,setup!$A$8:$H$58,7), VLOOKUP(0,setup!$A$8:$H$58,2),VLOOKUP(0,setup!$A$8:$H$58,5),VLOOKUP(N79,setup!$A$8:$H$58,8))</f>
        <v>#VALUE!</v>
      </c>
    </row>
    <row r="80" spans="1:15" x14ac:dyDescent="0.25">
      <c r="A80" s="29" t="s">
        <v>785</v>
      </c>
      <c r="N80">
        <f t="shared" si="0"/>
        <v>40</v>
      </c>
      <c r="O80" s="7" t="e">
        <f>getCodigoBackend(N80,A80,VLOOKUP(N80,setup!$A$8:$H$58,2),VLOOKUP(N80,setup!$A$8:$H$58,3),VLOOKUP(N80,setup!$A$8:$H$58,4),VLOOKUP(N80,setup!$A$8:$H$58,5),VLOOKUP(N80,setup!$A$8:$H$58,6),VLOOKUP(N80,setup!$A$8:$H$58,7), VLOOKUP(0,setup!$A$8:$H$58,2),VLOOKUP(0,setup!$A$8:$H$58,5),VLOOKUP(N80,setup!$A$8:$H$58,8))</f>
        <v>#VALUE!</v>
      </c>
    </row>
    <row r="81" spans="1:15" x14ac:dyDescent="0.25">
      <c r="A81" s="29" t="s">
        <v>785</v>
      </c>
      <c r="N81">
        <f t="shared" si="0"/>
        <v>41</v>
      </c>
      <c r="O81" s="7" t="e">
        <f>getCodigoBackend(N81,A81,VLOOKUP(N81,setup!$A$8:$H$58,2),VLOOKUP(N81,setup!$A$8:$H$58,3),VLOOKUP(N81,setup!$A$8:$H$58,4),VLOOKUP(N81,setup!$A$8:$H$58,5),VLOOKUP(N81,setup!$A$8:$H$58,6),VLOOKUP(N81,setup!$A$8:$H$58,7), VLOOKUP(0,setup!$A$8:$H$58,2),VLOOKUP(0,setup!$A$8:$H$58,5),VLOOKUP(N81,setup!$A$8:$H$58,8))</f>
        <v>#VALUE!</v>
      </c>
    </row>
    <row r="82" spans="1:15" x14ac:dyDescent="0.25">
      <c r="A82" s="29" t="s">
        <v>785</v>
      </c>
      <c r="N82">
        <f t="shared" si="0"/>
        <v>42</v>
      </c>
      <c r="O82" s="7" t="e">
        <f>getCodigoBackend(N82,A82,VLOOKUP(N82,setup!$A$8:$H$58,2),VLOOKUP(N82,setup!$A$8:$H$58,3),VLOOKUP(N82,setup!$A$8:$H$58,4),VLOOKUP(N82,setup!$A$8:$H$58,5),VLOOKUP(N82,setup!$A$8:$H$58,6),VLOOKUP(N82,setup!$A$8:$H$58,7), VLOOKUP(0,setup!$A$8:$H$58,2),VLOOKUP(0,setup!$A$8:$H$58,5),VLOOKUP(N82,setup!$A$8:$H$58,8))</f>
        <v>#VALUE!</v>
      </c>
    </row>
    <row r="83" spans="1:15" x14ac:dyDescent="0.25">
      <c r="A83" s="29" t="s">
        <v>785</v>
      </c>
      <c r="N83">
        <f t="shared" si="0"/>
        <v>43</v>
      </c>
      <c r="O83" s="7" t="e">
        <f>getCodigoBackend(N83,A83,VLOOKUP(N83,setup!$A$8:$H$58,2),VLOOKUP(N83,setup!$A$8:$H$58,3),VLOOKUP(N83,setup!$A$8:$H$58,4),VLOOKUP(N83,setup!$A$8:$H$58,5),VLOOKUP(N83,setup!$A$8:$H$58,6),VLOOKUP(N83,setup!$A$8:$H$58,7), VLOOKUP(0,setup!$A$8:$H$58,2),VLOOKUP(0,setup!$A$8:$H$58,5),VLOOKUP(N83,setup!$A$8:$H$58,8))</f>
        <v>#VALUE!</v>
      </c>
    </row>
    <row r="84" spans="1:15" x14ac:dyDescent="0.25">
      <c r="A84" s="29" t="s">
        <v>785</v>
      </c>
      <c r="N84">
        <f t="shared" si="0"/>
        <v>44</v>
      </c>
      <c r="O84" s="7" t="e">
        <f>getCodigoBackend(N84,A84,VLOOKUP(N84,setup!$A$8:$H$58,2),VLOOKUP(N84,setup!$A$8:$H$58,3),VLOOKUP(N84,setup!$A$8:$H$58,4),VLOOKUP(N84,setup!$A$8:$H$58,5),VLOOKUP(N84,setup!$A$8:$H$58,6),VLOOKUP(N84,setup!$A$8:$H$58,7), VLOOKUP(0,setup!$A$8:$H$58,2),VLOOKUP(0,setup!$A$8:$H$58,5),VLOOKUP(N84,setup!$A$8:$H$58,8))</f>
        <v>#VALUE!</v>
      </c>
    </row>
    <row r="85" spans="1:15" x14ac:dyDescent="0.25">
      <c r="A85" s="29" t="s">
        <v>785</v>
      </c>
      <c r="N85">
        <f t="shared" si="0"/>
        <v>45</v>
      </c>
      <c r="O85" s="7" t="e">
        <f>getCodigoBackend(N85,A85,VLOOKUP(N85,setup!$A$8:$H$58,2),VLOOKUP(N85,setup!$A$8:$H$58,3),VLOOKUP(N85,setup!$A$8:$H$58,4),VLOOKUP(N85,setup!$A$8:$H$58,5),VLOOKUP(N85,setup!$A$8:$H$58,6),VLOOKUP(N85,setup!$A$8:$H$58,7), VLOOKUP(0,setup!$A$8:$H$58,2),VLOOKUP(0,setup!$A$8:$H$58,5),VLOOKUP(N85,setup!$A$8:$H$58,8))</f>
        <v>#VALUE!</v>
      </c>
    </row>
    <row r="86" spans="1:15" x14ac:dyDescent="0.25">
      <c r="A86" s="29" t="s">
        <v>785</v>
      </c>
      <c r="N86">
        <f t="shared" si="0"/>
        <v>46</v>
      </c>
      <c r="O86" s="7" t="e">
        <f>getCodigoBackend(N86,A86,VLOOKUP(N86,setup!$A$8:$H$58,2),VLOOKUP(N86,setup!$A$8:$H$58,3),VLOOKUP(N86,setup!$A$8:$H$58,4),VLOOKUP(N86,setup!$A$8:$H$58,5),VLOOKUP(N86,setup!$A$8:$H$58,6),VLOOKUP(N86,setup!$A$8:$H$58,7), VLOOKUP(0,setup!$A$8:$H$58,2),VLOOKUP(0,setup!$A$8:$H$58,5),VLOOKUP(N86,setup!$A$8:$H$58,8))</f>
        <v>#VALUE!</v>
      </c>
    </row>
    <row r="87" spans="1:15" x14ac:dyDescent="0.25">
      <c r="A87" s="29" t="s">
        <v>785</v>
      </c>
      <c r="N87">
        <f t="shared" si="0"/>
        <v>47</v>
      </c>
      <c r="O87" s="7" t="e">
        <f>getCodigoBackend(N87,A87,VLOOKUP(N87,setup!$A$8:$H$58,2),VLOOKUP(N87,setup!$A$8:$H$58,3),VLOOKUP(N87,setup!$A$8:$H$58,4),VLOOKUP(N87,setup!$A$8:$H$58,5),VLOOKUP(N87,setup!$A$8:$H$58,6),VLOOKUP(N87,setup!$A$8:$H$58,7), VLOOKUP(0,setup!$A$8:$H$58,2),VLOOKUP(0,setup!$A$8:$H$58,5),VLOOKUP(N87,setup!$A$8:$H$58,8))</f>
        <v>#VALUE!</v>
      </c>
    </row>
    <row r="88" spans="1:15" x14ac:dyDescent="0.25">
      <c r="A88" s="29" t="s">
        <v>785</v>
      </c>
      <c r="N88">
        <f t="shared" si="0"/>
        <v>48</v>
      </c>
      <c r="O88" s="7" t="str">
        <f ca="1">getCodigoBackend(N88,A88,VLOOKUP(N88,setup!$A$8:$H$58,2),VLOOKUP(N88,setup!$A$8:$H$58,3),VLOOKUP(N88,setup!$A$8:$H$58,4),VLOOKUP(N88,setup!$A$8:$H$58,5),VLOOKUP(N88,setup!$A$8:$H$58,6),VLOOKUP(N88,setup!$A$8:$H$58,7), VLOOKUP(0,setup!$A$8:$H$58,2),VLOOKUP(0,setup!$A$8:$H$58,5),VLOOKUP(N88,setup!$A$8:$H$58,8))</f>
        <v xml:space="preserve">    public function pesquisarPorStatus($daofactory, $status);</v>
      </c>
    </row>
    <row r="89" spans="1:15" x14ac:dyDescent="0.25">
      <c r="A89" s="29"/>
      <c r="O89" s="7" t="str">
        <f ca="1">getCodigoBackend(N89,A89,VLOOKUP(N89,setup!$A$8:$H$58,2),VLOOKUP(N89,setup!$A$8:$H$58,3),VLOOKUP(N89,setup!$A$8:$H$58,4),VLOOKUP(N89,setup!$A$8:$H$58,5),VLOOKUP(N89,setup!$A$8:$H$58,6),VLOOKUP(N89,setup!$A$8:$H$58,7), VLOOKUP(0,setup!$A$8:$H$58,2),VLOOKUP(0,setup!$A$8:$H$58,5),VLOOKUP(N89,setup!$A$8:$H$58,8))</f>
        <v/>
      </c>
    </row>
    <row r="90" spans="1:15" x14ac:dyDescent="0.25">
      <c r="A90" s="29"/>
      <c r="O90" s="7"/>
    </row>
    <row r="91" spans="1:15" x14ac:dyDescent="0.25">
      <c r="A91" s="29"/>
      <c r="O91" s="7"/>
    </row>
    <row r="92" spans="1:15" x14ac:dyDescent="0.25">
      <c r="A92" s="29" t="s">
        <v>749</v>
      </c>
      <c r="N92">
        <v>1</v>
      </c>
      <c r="O92" s="7" t="str">
        <f ca="1">getCodigoBackend(N92,A92,VLOOKUP(N92,setup!$A$8:$H$58,2),VLOOKUP(N92,setup!$A$8:$H$58,3),VLOOKUP(N92,setup!$A$8:$H$58,4),VLOOKUP(N92,setup!$A$8:$H$58,5),VLOOKUP(N92,setup!$A$8:$H$58,6),VLOOKUP(N92,setup!$A$8:$H$58,7), VLOOKUP(0,setup!$A$8:$H$58,2),VLOOKUP(0,setup!$A$8:$H$58,5),VLOOKUP(N92,setup!$A$8:$H$58,8))</f>
        <v xml:space="preserve">    public function atualizarIdcampanhacashbackPorPK($daofactory,$idCampanhaCashback,$id);</v>
      </c>
    </row>
    <row r="93" spans="1:15" x14ac:dyDescent="0.25">
      <c r="A93" s="29" t="s">
        <v>749</v>
      </c>
      <c r="N93">
        <f>N92+1</f>
        <v>2</v>
      </c>
      <c r="O93" s="7" t="str">
        <f ca="1">getCodigoBackend(N93,A93,VLOOKUP(N93,setup!$A$8:$H$58,2),VLOOKUP(N93,setup!$A$8:$H$58,3),VLOOKUP(N93,setup!$A$8:$H$58,4),VLOOKUP(N93,setup!$A$8:$H$58,5),VLOOKUP(N93,setup!$A$8:$H$58,6),VLOOKUP(N93,setup!$A$8:$H$58,7), VLOOKUP(0,setup!$A$8:$H$58,2),VLOOKUP(0,setup!$A$8:$H$58,5),VLOOKUP(N93,setup!$A$8:$H$58,8))</f>
        <v xml:space="preserve">    public function atualizarIdusuariosolicitantePorPK($daofactory,$idUsuarioSolicitante,$id);</v>
      </c>
    </row>
    <row r="94" spans="1:15" x14ac:dyDescent="0.25">
      <c r="A94" s="29" t="s">
        <v>749</v>
      </c>
      <c r="N94">
        <f t="shared" ref="N94:N139" si="1">N93+1</f>
        <v>3</v>
      </c>
      <c r="O94" s="7" t="str">
        <f ca="1">getCodigoBackend(N94,A94,VLOOKUP(N94,setup!$A$8:$H$58,2),VLOOKUP(N94,setup!$A$8:$H$58,3),VLOOKUP(N94,setup!$A$8:$H$58,4),VLOOKUP(N94,setup!$A$8:$H$58,5),VLOOKUP(N94,setup!$A$8:$H$58,6),VLOOKUP(N94,setup!$A$8:$H$58,7), VLOOKUP(0,setup!$A$8:$H$58,2),VLOOKUP(0,setup!$A$8:$H$58,5),VLOOKUP(N94,setup!$A$8:$H$58,8))</f>
        <v xml:space="preserve">    public function atualizarTipochavepixPorPK($daofactory,$tipoChavePix,$id);</v>
      </c>
    </row>
    <row r="95" spans="1:15" x14ac:dyDescent="0.25">
      <c r="A95" s="29" t="s">
        <v>749</v>
      </c>
      <c r="N95">
        <f t="shared" si="1"/>
        <v>4</v>
      </c>
      <c r="O95" s="7" t="str">
        <f ca="1">getCodigoBackend(N95,A95,VLOOKUP(N95,setup!$A$8:$H$58,2),VLOOKUP(N95,setup!$A$8:$H$58,3),VLOOKUP(N95,setup!$A$8:$H$58,4),VLOOKUP(N95,setup!$A$8:$H$58,5),VLOOKUP(N95,setup!$A$8:$H$58,6),VLOOKUP(N95,setup!$A$8:$H$58,7), VLOOKUP(0,setup!$A$8:$H$58,2),VLOOKUP(0,setup!$A$8:$H$58,5),VLOOKUP(N95,setup!$A$8:$H$58,8))</f>
        <v xml:space="preserve">    public function atualizarChavepixPorPK($daofactory,$chavePix,$id);</v>
      </c>
    </row>
    <row r="96" spans="1:15" x14ac:dyDescent="0.25">
      <c r="A96" s="29" t="s">
        <v>749</v>
      </c>
      <c r="N96">
        <f t="shared" si="1"/>
        <v>5</v>
      </c>
      <c r="O96" s="7" t="str">
        <f ca="1">getCodigoBackend(N96,A96,VLOOKUP(N96,setup!$A$8:$H$58,2),VLOOKUP(N96,setup!$A$8:$H$58,3),VLOOKUP(N96,setup!$A$8:$H$58,4),VLOOKUP(N96,setup!$A$8:$H$58,5),VLOOKUP(N96,setup!$A$8:$H$58,6),VLOOKUP(N96,setup!$A$8:$H$58,7), VLOOKUP(0,setup!$A$8:$H$58,2),VLOOKUP(0,setup!$A$8:$H$58,5),VLOOKUP(N96,setup!$A$8:$H$58,8))</f>
        <v xml:space="preserve">    public function atualizarValorresgatePorPK($daofactory,$valorResgate,$id);</v>
      </c>
    </row>
    <row r="97" spans="1:15" x14ac:dyDescent="0.25">
      <c r="A97" s="29" t="s">
        <v>749</v>
      </c>
      <c r="N97">
        <f t="shared" si="1"/>
        <v>6</v>
      </c>
      <c r="O97" s="7" t="str">
        <f ca="1">getCodigoBackend(N97,A97,VLOOKUP(N97,setup!$A$8:$H$58,2),VLOOKUP(N97,setup!$A$8:$H$58,3),VLOOKUP(N97,setup!$A$8:$H$58,4),VLOOKUP(N97,setup!$A$8:$H$58,5),VLOOKUP(N97,setup!$A$8:$H$58,6),VLOOKUP(N97,setup!$A$8:$H$58,7), VLOOKUP(0,setup!$A$8:$H$58,2),VLOOKUP(0,setup!$A$8:$H$58,5),VLOOKUP(N97,setup!$A$8:$H$58,8))</f>
        <v xml:space="preserve">    public function atualizarAutenticacaobcoPorPK($daofactory,$autenticacaoBco,$id);</v>
      </c>
    </row>
    <row r="98" spans="1:15" x14ac:dyDescent="0.25">
      <c r="A98" s="29" t="s">
        <v>749</v>
      </c>
      <c r="N98">
        <f t="shared" si="1"/>
        <v>7</v>
      </c>
      <c r="O98" s="7" t="str">
        <f ca="1">getCodigoBackend(N98,A98,VLOOKUP(N98,setup!$A$8:$H$58,2),VLOOKUP(N98,setup!$A$8:$H$58,3),VLOOKUP(N98,setup!$A$8:$H$58,4),VLOOKUP(N98,setup!$A$8:$H$58,5),VLOOKUP(N98,setup!$A$8:$H$58,6),VLOOKUP(N98,setup!$A$8:$H$58,7), VLOOKUP(0,setup!$A$8:$H$58,2),VLOOKUP(0,setup!$A$8:$H$58,5),VLOOKUP(N98,setup!$A$8:$H$58,8))</f>
        <v xml:space="preserve">    public function atualizarEstagiorealtimePorPK($daofactory,$estagioRealTime,$id);</v>
      </c>
    </row>
    <row r="99" spans="1:15" x14ac:dyDescent="0.25">
      <c r="A99" s="29" t="s">
        <v>749</v>
      </c>
      <c r="N99">
        <f t="shared" si="1"/>
        <v>8</v>
      </c>
      <c r="O99" s="7" t="str">
        <f ca="1">getCodigoBackend(N99,A99,VLOOKUP(N99,setup!$A$8:$H$58,2),VLOOKUP(N99,setup!$A$8:$H$58,3),VLOOKUP(N99,setup!$A$8:$H$58,4),VLOOKUP(N99,setup!$A$8:$H$58,5),VLOOKUP(N99,setup!$A$8:$H$58,6),VLOOKUP(N99,setup!$A$8:$H$58,7), VLOOKUP(0,setup!$A$8:$H$58,2),VLOOKUP(0,setup!$A$8:$H$58,5),VLOOKUP(N99,setup!$A$8:$H$58,8))</f>
        <v xml:space="preserve">    public function atualizarDtestagioanalisePorPK($daofactory,$dtEstagioAnalise,$id);</v>
      </c>
    </row>
    <row r="100" spans="1:15" x14ac:dyDescent="0.25">
      <c r="A100" s="29" t="s">
        <v>749</v>
      </c>
      <c r="N100">
        <f t="shared" si="1"/>
        <v>9</v>
      </c>
      <c r="O100" s="7" t="str">
        <f ca="1">getCodigoBackend(N100,A100,VLOOKUP(N100,setup!$A$8:$H$58,2),VLOOKUP(N100,setup!$A$8:$H$58,3),VLOOKUP(N100,setup!$A$8:$H$58,4),VLOOKUP(N100,setup!$A$8:$H$58,5),VLOOKUP(N100,setup!$A$8:$H$58,6),VLOOKUP(N100,setup!$A$8:$H$58,7), VLOOKUP(0,setup!$A$8:$H$58,2),VLOOKUP(0,setup!$A$8:$H$58,5),VLOOKUP(N100,setup!$A$8:$H$58,8))</f>
        <v xml:space="preserve">    public function atualizarDtestagiofinanceiroPorPK($daofactory,$dtEstagioFinanceiro,$id);</v>
      </c>
    </row>
    <row r="101" spans="1:15" x14ac:dyDescent="0.25">
      <c r="A101" s="29" t="s">
        <v>749</v>
      </c>
      <c r="N101">
        <f t="shared" si="1"/>
        <v>10</v>
      </c>
      <c r="O101" s="7" t="str">
        <f ca="1">getCodigoBackend(N101,A101,VLOOKUP(N101,setup!$A$8:$H$58,2),VLOOKUP(N101,setup!$A$8:$H$58,3),VLOOKUP(N101,setup!$A$8:$H$58,4),VLOOKUP(N101,setup!$A$8:$H$58,5),VLOOKUP(N101,setup!$A$8:$H$58,6),VLOOKUP(N101,setup!$A$8:$H$58,7), VLOOKUP(0,setup!$A$8:$H$58,2),VLOOKUP(0,setup!$A$8:$H$58,5),VLOOKUP(N101,setup!$A$8:$H$58,8))</f>
        <v xml:space="preserve">    public function atualizarDtestagioerroPorPK($daofactory,$dtEstagioErro,$id);</v>
      </c>
    </row>
    <row r="102" spans="1:15" x14ac:dyDescent="0.25">
      <c r="A102" s="29" t="s">
        <v>749</v>
      </c>
      <c r="N102">
        <f t="shared" si="1"/>
        <v>11</v>
      </c>
      <c r="O102" s="7" t="str">
        <f ca="1">getCodigoBackend(N102,A102,VLOOKUP(N102,setup!$A$8:$H$58,2),VLOOKUP(N102,setup!$A$8:$H$58,3),VLOOKUP(N102,setup!$A$8:$H$58,4),VLOOKUP(N102,setup!$A$8:$H$58,5),VLOOKUP(N102,setup!$A$8:$H$58,6),VLOOKUP(N102,setup!$A$8:$H$58,7), VLOOKUP(0,setup!$A$8:$H$58,2),VLOOKUP(0,setup!$A$8:$H$58,5),VLOOKUP(N102,setup!$A$8:$H$58,8))</f>
        <v xml:space="preserve">    public function atualizarDtestagiotranfbcoPorPK($daofactory,$dtEstagioTranfBco,$id);</v>
      </c>
    </row>
    <row r="103" spans="1:15" x14ac:dyDescent="0.25">
      <c r="A103" s="29" t="s">
        <v>749</v>
      </c>
      <c r="N103">
        <f t="shared" si="1"/>
        <v>12</v>
      </c>
      <c r="O103" s="7" t="str">
        <f ca="1">getCodigoBackend(N103,A103,VLOOKUP(N103,setup!$A$8:$H$58,2),VLOOKUP(N103,setup!$A$8:$H$58,3),VLOOKUP(N103,setup!$A$8:$H$58,4),VLOOKUP(N103,setup!$A$8:$H$58,5),VLOOKUP(N103,setup!$A$8:$H$58,6),VLOOKUP(N103,setup!$A$8:$H$58,7), VLOOKUP(0,setup!$A$8:$H$58,2),VLOOKUP(0,setup!$A$8:$H$58,5),VLOOKUP(N103,setup!$A$8:$H$58,8))</f>
        <v xml:space="preserve">    public function atualizarTxtlivreestagiortPorPK($daofactory,$txtLivreEstagioRT,$id);</v>
      </c>
    </row>
    <row r="104" spans="1:15" x14ac:dyDescent="0.25">
      <c r="A104" s="29" t="s">
        <v>749</v>
      </c>
      <c r="N104">
        <f t="shared" si="1"/>
        <v>13</v>
      </c>
      <c r="O104" s="7" t="e">
        <f>getCodigoBackend(N104,A104,VLOOKUP(N104,setup!$A$8:$H$58,2),VLOOKUP(N104,setup!$A$8:$H$58,3),VLOOKUP(N104,setup!$A$8:$H$58,4),VLOOKUP(N104,setup!$A$8:$H$58,5),VLOOKUP(N104,setup!$A$8:$H$58,6),VLOOKUP(N104,setup!$A$8:$H$58,7), VLOOKUP(0,setup!$A$8:$H$58,2),VLOOKUP(0,setup!$A$8:$H$58,5),VLOOKUP(N104,setup!$A$8:$H$58,8))</f>
        <v>#VALUE!</v>
      </c>
    </row>
    <row r="105" spans="1:15" x14ac:dyDescent="0.25">
      <c r="A105" s="29" t="s">
        <v>749</v>
      </c>
      <c r="N105">
        <f t="shared" si="1"/>
        <v>14</v>
      </c>
      <c r="O105" s="7" t="e">
        <f>getCodigoBackend(N105,A105,VLOOKUP(N105,setup!$A$8:$H$58,2),VLOOKUP(N105,setup!$A$8:$H$58,3),VLOOKUP(N105,setup!$A$8:$H$58,4),VLOOKUP(N105,setup!$A$8:$H$58,5),VLOOKUP(N105,setup!$A$8:$H$58,6),VLOOKUP(N105,setup!$A$8:$H$58,7), VLOOKUP(0,setup!$A$8:$H$58,2),VLOOKUP(0,setup!$A$8:$H$58,5),VLOOKUP(N105,setup!$A$8:$H$58,8))</f>
        <v>#VALUE!</v>
      </c>
    </row>
    <row r="106" spans="1:15" x14ac:dyDescent="0.25">
      <c r="A106" s="29" t="s">
        <v>749</v>
      </c>
      <c r="N106">
        <f t="shared" si="1"/>
        <v>15</v>
      </c>
      <c r="O106" s="7" t="e">
        <f>getCodigoBackend(N106,A106,VLOOKUP(N106,setup!$A$8:$H$58,2),VLOOKUP(N106,setup!$A$8:$H$58,3),VLOOKUP(N106,setup!$A$8:$H$58,4),VLOOKUP(N106,setup!$A$8:$H$58,5),VLOOKUP(N106,setup!$A$8:$H$58,6),VLOOKUP(N106,setup!$A$8:$H$58,7), VLOOKUP(0,setup!$A$8:$H$58,2),VLOOKUP(0,setup!$A$8:$H$58,5),VLOOKUP(N106,setup!$A$8:$H$58,8))</f>
        <v>#VALUE!</v>
      </c>
    </row>
    <row r="107" spans="1:15" x14ac:dyDescent="0.25">
      <c r="A107" s="29" t="s">
        <v>749</v>
      </c>
      <c r="N107">
        <f t="shared" si="1"/>
        <v>16</v>
      </c>
      <c r="O107" s="7" t="e">
        <f>getCodigoBackend(N107,A107,VLOOKUP(N107,setup!$A$8:$H$58,2),VLOOKUP(N107,setup!$A$8:$H$58,3),VLOOKUP(N107,setup!$A$8:$H$58,4),VLOOKUP(N107,setup!$A$8:$H$58,5),VLOOKUP(N107,setup!$A$8:$H$58,6),VLOOKUP(N107,setup!$A$8:$H$58,7), VLOOKUP(0,setup!$A$8:$H$58,2),VLOOKUP(0,setup!$A$8:$H$58,5),VLOOKUP(N107,setup!$A$8:$H$58,8))</f>
        <v>#VALUE!</v>
      </c>
    </row>
    <row r="108" spans="1:15" x14ac:dyDescent="0.25">
      <c r="A108" s="29" t="s">
        <v>749</v>
      </c>
      <c r="N108">
        <f t="shared" si="1"/>
        <v>17</v>
      </c>
      <c r="O108" s="7" t="e">
        <f>getCodigoBackend(N108,A108,VLOOKUP(N108,setup!$A$8:$H$58,2),VLOOKUP(N108,setup!$A$8:$H$58,3),VLOOKUP(N108,setup!$A$8:$H$58,4),VLOOKUP(N108,setup!$A$8:$H$58,5),VLOOKUP(N108,setup!$A$8:$H$58,6),VLOOKUP(N108,setup!$A$8:$H$58,7), VLOOKUP(0,setup!$A$8:$H$58,2),VLOOKUP(0,setup!$A$8:$H$58,5),VLOOKUP(N108,setup!$A$8:$H$58,8))</f>
        <v>#VALUE!</v>
      </c>
    </row>
    <row r="109" spans="1:15" x14ac:dyDescent="0.25">
      <c r="A109" s="29" t="s">
        <v>749</v>
      </c>
      <c r="N109">
        <f t="shared" si="1"/>
        <v>18</v>
      </c>
      <c r="O109" s="7" t="e">
        <f>getCodigoBackend(N109,A109,VLOOKUP(N109,setup!$A$8:$H$58,2),VLOOKUP(N109,setup!$A$8:$H$58,3),VLOOKUP(N109,setup!$A$8:$H$58,4),VLOOKUP(N109,setup!$A$8:$H$58,5),VLOOKUP(N109,setup!$A$8:$H$58,6),VLOOKUP(N109,setup!$A$8:$H$58,7), VLOOKUP(0,setup!$A$8:$H$58,2),VLOOKUP(0,setup!$A$8:$H$58,5),VLOOKUP(N109,setup!$A$8:$H$58,8))</f>
        <v>#VALUE!</v>
      </c>
    </row>
    <row r="110" spans="1:15" x14ac:dyDescent="0.25">
      <c r="A110" s="29" t="s">
        <v>749</v>
      </c>
      <c r="N110">
        <f t="shared" si="1"/>
        <v>19</v>
      </c>
      <c r="O110" s="7" t="e">
        <f>getCodigoBackend(N110,A110,VLOOKUP(N110,setup!$A$8:$H$58,2),VLOOKUP(N110,setup!$A$8:$H$58,3),VLOOKUP(N110,setup!$A$8:$H$58,4),VLOOKUP(N110,setup!$A$8:$H$58,5),VLOOKUP(N110,setup!$A$8:$H$58,6),VLOOKUP(N110,setup!$A$8:$H$58,7), VLOOKUP(0,setup!$A$8:$H$58,2),VLOOKUP(0,setup!$A$8:$H$58,5),VLOOKUP(N110,setup!$A$8:$H$58,8))</f>
        <v>#VALUE!</v>
      </c>
    </row>
    <row r="111" spans="1:15" x14ac:dyDescent="0.25">
      <c r="A111" s="29" t="s">
        <v>749</v>
      </c>
      <c r="N111">
        <f t="shared" si="1"/>
        <v>20</v>
      </c>
      <c r="O111" s="7" t="e">
        <f>getCodigoBackend(N111,A111,VLOOKUP(N111,setup!$A$8:$H$58,2),VLOOKUP(N111,setup!$A$8:$H$58,3),VLOOKUP(N111,setup!$A$8:$H$58,4),VLOOKUP(N111,setup!$A$8:$H$58,5),VLOOKUP(N111,setup!$A$8:$H$58,6),VLOOKUP(N111,setup!$A$8:$H$58,7), VLOOKUP(0,setup!$A$8:$H$58,2),VLOOKUP(0,setup!$A$8:$H$58,5),VLOOKUP(N111,setup!$A$8:$H$58,8))</f>
        <v>#VALUE!</v>
      </c>
    </row>
    <row r="112" spans="1:15" x14ac:dyDescent="0.25">
      <c r="A112" s="29" t="s">
        <v>749</v>
      </c>
      <c r="N112">
        <f t="shared" si="1"/>
        <v>21</v>
      </c>
      <c r="O112" s="7" t="e">
        <f>getCodigoBackend(N112,A112,VLOOKUP(N112,setup!$A$8:$H$58,2),VLOOKUP(N112,setup!$A$8:$H$58,3),VLOOKUP(N112,setup!$A$8:$H$58,4),VLOOKUP(N112,setup!$A$8:$H$58,5),VLOOKUP(N112,setup!$A$8:$H$58,6),VLOOKUP(N112,setup!$A$8:$H$58,7), VLOOKUP(0,setup!$A$8:$H$58,2),VLOOKUP(0,setup!$A$8:$H$58,5),VLOOKUP(N112,setup!$A$8:$H$58,8))</f>
        <v>#VALUE!</v>
      </c>
    </row>
    <row r="113" spans="1:15" x14ac:dyDescent="0.25">
      <c r="A113" s="29" t="s">
        <v>749</v>
      </c>
      <c r="N113">
        <f t="shared" si="1"/>
        <v>22</v>
      </c>
      <c r="O113" s="7" t="e">
        <f>getCodigoBackend(N113,A113,VLOOKUP(N113,setup!$A$8:$H$58,2),VLOOKUP(N113,setup!$A$8:$H$58,3),VLOOKUP(N113,setup!$A$8:$H$58,4),VLOOKUP(N113,setup!$A$8:$H$58,5),VLOOKUP(N113,setup!$A$8:$H$58,6),VLOOKUP(N113,setup!$A$8:$H$58,7), VLOOKUP(0,setup!$A$8:$H$58,2),VLOOKUP(0,setup!$A$8:$H$58,5),VLOOKUP(N113,setup!$A$8:$H$58,8))</f>
        <v>#VALUE!</v>
      </c>
    </row>
    <row r="114" spans="1:15" x14ac:dyDescent="0.25">
      <c r="A114" s="29" t="s">
        <v>749</v>
      </c>
      <c r="N114">
        <f t="shared" si="1"/>
        <v>23</v>
      </c>
      <c r="O114" s="7" t="e">
        <f>getCodigoBackend(N114,A114,VLOOKUP(N114,setup!$A$8:$H$58,2),VLOOKUP(N114,setup!$A$8:$H$58,3),VLOOKUP(N114,setup!$A$8:$H$58,4),VLOOKUP(N114,setup!$A$8:$H$58,5),VLOOKUP(N114,setup!$A$8:$H$58,6),VLOOKUP(N114,setup!$A$8:$H$58,7), VLOOKUP(0,setup!$A$8:$H$58,2),VLOOKUP(0,setup!$A$8:$H$58,5),VLOOKUP(N114,setup!$A$8:$H$58,8))</f>
        <v>#VALUE!</v>
      </c>
    </row>
    <row r="115" spans="1:15" x14ac:dyDescent="0.25">
      <c r="A115" s="29" t="s">
        <v>749</v>
      </c>
      <c r="N115">
        <f t="shared" si="1"/>
        <v>24</v>
      </c>
      <c r="O115" s="7" t="e">
        <f>getCodigoBackend(N115,A115,VLOOKUP(N115,setup!$A$8:$H$58,2),VLOOKUP(N115,setup!$A$8:$H$58,3),VLOOKUP(N115,setup!$A$8:$H$58,4),VLOOKUP(N115,setup!$A$8:$H$58,5),VLOOKUP(N115,setup!$A$8:$H$58,6),VLOOKUP(N115,setup!$A$8:$H$58,7), VLOOKUP(0,setup!$A$8:$H$58,2),VLOOKUP(0,setup!$A$8:$H$58,5),VLOOKUP(N115,setup!$A$8:$H$58,8))</f>
        <v>#VALUE!</v>
      </c>
    </row>
    <row r="116" spans="1:15" x14ac:dyDescent="0.25">
      <c r="A116" s="29" t="s">
        <v>749</v>
      </c>
      <c r="N116">
        <f t="shared" si="1"/>
        <v>25</v>
      </c>
      <c r="O116" s="7" t="e">
        <f>getCodigoBackend(N116,A116,VLOOKUP(N116,setup!$A$8:$H$58,2),VLOOKUP(N116,setup!$A$8:$H$58,3),VLOOKUP(N116,setup!$A$8:$H$58,4),VLOOKUP(N116,setup!$A$8:$H$58,5),VLOOKUP(N116,setup!$A$8:$H$58,6),VLOOKUP(N116,setup!$A$8:$H$58,7), VLOOKUP(0,setup!$A$8:$H$58,2),VLOOKUP(0,setup!$A$8:$H$58,5),VLOOKUP(N116,setup!$A$8:$H$58,8))</f>
        <v>#VALUE!</v>
      </c>
    </row>
    <row r="117" spans="1:15" x14ac:dyDescent="0.25">
      <c r="A117" s="29" t="s">
        <v>749</v>
      </c>
      <c r="N117">
        <f t="shared" si="1"/>
        <v>26</v>
      </c>
      <c r="O117" s="7" t="e">
        <f>getCodigoBackend(N117,A117,VLOOKUP(N117,setup!$A$8:$H$58,2),VLOOKUP(N117,setup!$A$8:$H$58,3),VLOOKUP(N117,setup!$A$8:$H$58,4),VLOOKUP(N117,setup!$A$8:$H$58,5),VLOOKUP(N117,setup!$A$8:$H$58,6),VLOOKUP(N117,setup!$A$8:$H$58,7), VLOOKUP(0,setup!$A$8:$H$58,2),VLOOKUP(0,setup!$A$8:$H$58,5),VLOOKUP(N117,setup!$A$8:$H$58,8))</f>
        <v>#VALUE!</v>
      </c>
    </row>
    <row r="118" spans="1:15" x14ac:dyDescent="0.25">
      <c r="A118" s="29" t="s">
        <v>749</v>
      </c>
      <c r="N118">
        <f t="shared" si="1"/>
        <v>27</v>
      </c>
      <c r="O118" s="7" t="e">
        <f>getCodigoBackend(N118,A118,VLOOKUP(N118,setup!$A$8:$H$58,2),VLOOKUP(N118,setup!$A$8:$H$58,3),VLOOKUP(N118,setup!$A$8:$H$58,4),VLOOKUP(N118,setup!$A$8:$H$58,5),VLOOKUP(N118,setup!$A$8:$H$58,6),VLOOKUP(N118,setup!$A$8:$H$58,7), VLOOKUP(0,setup!$A$8:$H$58,2),VLOOKUP(0,setup!$A$8:$H$58,5),VLOOKUP(N118,setup!$A$8:$H$58,8))</f>
        <v>#VALUE!</v>
      </c>
    </row>
    <row r="119" spans="1:15" x14ac:dyDescent="0.25">
      <c r="A119" s="29" t="s">
        <v>749</v>
      </c>
      <c r="N119">
        <f t="shared" si="1"/>
        <v>28</v>
      </c>
      <c r="O119" s="7" t="e">
        <f>getCodigoBackend(N119,A119,VLOOKUP(N119,setup!$A$8:$H$58,2),VLOOKUP(N119,setup!$A$8:$H$58,3),VLOOKUP(N119,setup!$A$8:$H$58,4),VLOOKUP(N119,setup!$A$8:$H$58,5),VLOOKUP(N119,setup!$A$8:$H$58,6),VLOOKUP(N119,setup!$A$8:$H$58,7), VLOOKUP(0,setup!$A$8:$H$58,2),VLOOKUP(0,setup!$A$8:$H$58,5),VLOOKUP(N119,setup!$A$8:$H$58,8))</f>
        <v>#VALUE!</v>
      </c>
    </row>
    <row r="120" spans="1:15" x14ac:dyDescent="0.25">
      <c r="A120" s="29" t="s">
        <v>749</v>
      </c>
      <c r="N120">
        <f t="shared" si="1"/>
        <v>29</v>
      </c>
      <c r="O120" s="7" t="e">
        <f>getCodigoBackend(N120,A120,VLOOKUP(N120,setup!$A$8:$H$58,2),VLOOKUP(N120,setup!$A$8:$H$58,3),VLOOKUP(N120,setup!$A$8:$H$58,4),VLOOKUP(N120,setup!$A$8:$H$58,5),VLOOKUP(N120,setup!$A$8:$H$58,6),VLOOKUP(N120,setup!$A$8:$H$58,7), VLOOKUP(0,setup!$A$8:$H$58,2),VLOOKUP(0,setup!$A$8:$H$58,5),VLOOKUP(N120,setup!$A$8:$H$58,8))</f>
        <v>#VALUE!</v>
      </c>
    </row>
    <row r="121" spans="1:15" x14ac:dyDescent="0.25">
      <c r="A121" s="29" t="s">
        <v>749</v>
      </c>
      <c r="N121">
        <f t="shared" si="1"/>
        <v>30</v>
      </c>
      <c r="O121" s="7" t="e">
        <f>getCodigoBackend(N121,A121,VLOOKUP(N121,setup!$A$8:$H$58,2),VLOOKUP(N121,setup!$A$8:$H$58,3),VLOOKUP(N121,setup!$A$8:$H$58,4),VLOOKUP(N121,setup!$A$8:$H$58,5),VLOOKUP(N121,setup!$A$8:$H$58,6),VLOOKUP(N121,setup!$A$8:$H$58,7), VLOOKUP(0,setup!$A$8:$H$58,2),VLOOKUP(0,setup!$A$8:$H$58,5),VLOOKUP(N121,setup!$A$8:$H$58,8))</f>
        <v>#VALUE!</v>
      </c>
    </row>
    <row r="122" spans="1:15" x14ac:dyDescent="0.25">
      <c r="A122" s="29" t="s">
        <v>749</v>
      </c>
      <c r="N122">
        <f t="shared" si="1"/>
        <v>31</v>
      </c>
      <c r="O122" s="7" t="e">
        <f>getCodigoBackend(N122,A122,VLOOKUP(N122,setup!$A$8:$H$58,2),VLOOKUP(N122,setup!$A$8:$H$58,3),VLOOKUP(N122,setup!$A$8:$H$58,4),VLOOKUP(N122,setup!$A$8:$H$58,5),VLOOKUP(N122,setup!$A$8:$H$58,6),VLOOKUP(N122,setup!$A$8:$H$58,7), VLOOKUP(0,setup!$A$8:$H$58,2),VLOOKUP(0,setup!$A$8:$H$58,5),VLOOKUP(N122,setup!$A$8:$H$58,8))</f>
        <v>#VALUE!</v>
      </c>
    </row>
    <row r="123" spans="1:15" x14ac:dyDescent="0.25">
      <c r="A123" s="29" t="s">
        <v>749</v>
      </c>
      <c r="N123">
        <f t="shared" si="1"/>
        <v>32</v>
      </c>
      <c r="O123" s="7" t="e">
        <f>getCodigoBackend(N123,A123,VLOOKUP(N123,setup!$A$8:$H$58,2),VLOOKUP(N123,setup!$A$8:$H$58,3),VLOOKUP(N123,setup!$A$8:$H$58,4),VLOOKUP(N123,setup!$A$8:$H$58,5),VLOOKUP(N123,setup!$A$8:$H$58,6),VLOOKUP(N123,setup!$A$8:$H$58,7), VLOOKUP(0,setup!$A$8:$H$58,2),VLOOKUP(0,setup!$A$8:$H$58,5),VLOOKUP(N123,setup!$A$8:$H$58,8))</f>
        <v>#VALUE!</v>
      </c>
    </row>
    <row r="124" spans="1:15" x14ac:dyDescent="0.25">
      <c r="A124" s="29" t="s">
        <v>749</v>
      </c>
      <c r="N124">
        <f t="shared" si="1"/>
        <v>33</v>
      </c>
      <c r="O124" s="7" t="e">
        <f>getCodigoBackend(N124,A124,VLOOKUP(N124,setup!$A$8:$H$58,2),VLOOKUP(N124,setup!$A$8:$H$58,3),VLOOKUP(N124,setup!$A$8:$H$58,4),VLOOKUP(N124,setup!$A$8:$H$58,5),VLOOKUP(N124,setup!$A$8:$H$58,6),VLOOKUP(N124,setup!$A$8:$H$58,7), VLOOKUP(0,setup!$A$8:$H$58,2),VLOOKUP(0,setup!$A$8:$H$58,5),VLOOKUP(N124,setup!$A$8:$H$58,8))</f>
        <v>#VALUE!</v>
      </c>
    </row>
    <row r="125" spans="1:15" x14ac:dyDescent="0.25">
      <c r="A125" s="29" t="s">
        <v>749</v>
      </c>
      <c r="N125">
        <f t="shared" si="1"/>
        <v>34</v>
      </c>
      <c r="O125" s="7" t="e">
        <f>getCodigoBackend(N125,A125,VLOOKUP(N125,setup!$A$8:$H$58,2),VLOOKUP(N125,setup!$A$8:$H$58,3),VLOOKUP(N125,setup!$A$8:$H$58,4),VLOOKUP(N125,setup!$A$8:$H$58,5),VLOOKUP(N125,setup!$A$8:$H$58,6),VLOOKUP(N125,setup!$A$8:$H$58,7), VLOOKUP(0,setup!$A$8:$H$58,2),VLOOKUP(0,setup!$A$8:$H$58,5),VLOOKUP(N125,setup!$A$8:$H$58,8))</f>
        <v>#VALUE!</v>
      </c>
    </row>
    <row r="126" spans="1:15" x14ac:dyDescent="0.25">
      <c r="A126" s="29" t="s">
        <v>749</v>
      </c>
      <c r="N126">
        <f t="shared" si="1"/>
        <v>35</v>
      </c>
      <c r="O126" s="7" t="e">
        <f>getCodigoBackend(N126,A126,VLOOKUP(N126,setup!$A$8:$H$58,2),VLOOKUP(N126,setup!$A$8:$H$58,3),VLOOKUP(N126,setup!$A$8:$H$58,4),VLOOKUP(N126,setup!$A$8:$H$58,5),VLOOKUP(N126,setup!$A$8:$H$58,6),VLOOKUP(N126,setup!$A$8:$H$58,7), VLOOKUP(0,setup!$A$8:$H$58,2),VLOOKUP(0,setup!$A$8:$H$58,5),VLOOKUP(N126,setup!$A$8:$H$58,8))</f>
        <v>#VALUE!</v>
      </c>
    </row>
    <row r="127" spans="1:15" x14ac:dyDescent="0.25">
      <c r="A127" s="29" t="s">
        <v>749</v>
      </c>
      <c r="N127">
        <f t="shared" si="1"/>
        <v>36</v>
      </c>
      <c r="O127" s="7" t="e">
        <f>getCodigoBackend(N127,A127,VLOOKUP(N127,setup!$A$8:$H$58,2),VLOOKUP(N127,setup!$A$8:$H$58,3),VLOOKUP(N127,setup!$A$8:$H$58,4),VLOOKUP(N127,setup!$A$8:$H$58,5),VLOOKUP(N127,setup!$A$8:$H$58,6),VLOOKUP(N127,setup!$A$8:$H$58,7), VLOOKUP(0,setup!$A$8:$H$58,2),VLOOKUP(0,setup!$A$8:$H$58,5),VLOOKUP(N127,setup!$A$8:$H$58,8))</f>
        <v>#VALUE!</v>
      </c>
    </row>
    <row r="128" spans="1:15" x14ac:dyDescent="0.25">
      <c r="A128" s="29" t="s">
        <v>749</v>
      </c>
      <c r="N128">
        <f t="shared" si="1"/>
        <v>37</v>
      </c>
      <c r="O128" s="7" t="e">
        <f>getCodigoBackend(N128,A128,VLOOKUP(N128,setup!$A$8:$H$58,2),VLOOKUP(N128,setup!$A$8:$H$58,3),VLOOKUP(N128,setup!$A$8:$H$58,4),VLOOKUP(N128,setup!$A$8:$H$58,5),VLOOKUP(N128,setup!$A$8:$H$58,6),VLOOKUP(N128,setup!$A$8:$H$58,7), VLOOKUP(0,setup!$A$8:$H$58,2),VLOOKUP(0,setup!$A$8:$H$58,5),VLOOKUP(N128,setup!$A$8:$H$58,8))</f>
        <v>#VALUE!</v>
      </c>
    </row>
    <row r="129" spans="1:15" x14ac:dyDescent="0.25">
      <c r="A129" s="29" t="s">
        <v>749</v>
      </c>
      <c r="N129">
        <f t="shared" si="1"/>
        <v>38</v>
      </c>
      <c r="O129" s="7" t="e">
        <f>getCodigoBackend(N129,A129,VLOOKUP(N129,setup!$A$8:$H$58,2),VLOOKUP(N129,setup!$A$8:$H$58,3),VLOOKUP(N129,setup!$A$8:$H$58,4),VLOOKUP(N129,setup!$A$8:$H$58,5),VLOOKUP(N129,setup!$A$8:$H$58,6),VLOOKUP(N129,setup!$A$8:$H$58,7), VLOOKUP(0,setup!$A$8:$H$58,2),VLOOKUP(0,setup!$A$8:$H$58,5),VLOOKUP(N129,setup!$A$8:$H$58,8))</f>
        <v>#VALUE!</v>
      </c>
    </row>
    <row r="130" spans="1:15" x14ac:dyDescent="0.25">
      <c r="A130" s="29" t="s">
        <v>749</v>
      </c>
      <c r="N130">
        <f t="shared" si="1"/>
        <v>39</v>
      </c>
      <c r="O130" s="7" t="e">
        <f>getCodigoBackend(N130,A130,VLOOKUP(N130,setup!$A$8:$H$58,2),VLOOKUP(N130,setup!$A$8:$H$58,3),VLOOKUP(N130,setup!$A$8:$H$58,4),VLOOKUP(N130,setup!$A$8:$H$58,5),VLOOKUP(N130,setup!$A$8:$H$58,6),VLOOKUP(N130,setup!$A$8:$H$58,7), VLOOKUP(0,setup!$A$8:$H$58,2),VLOOKUP(0,setup!$A$8:$H$58,5),VLOOKUP(N130,setup!$A$8:$H$58,8))</f>
        <v>#VALUE!</v>
      </c>
    </row>
    <row r="131" spans="1:15" x14ac:dyDescent="0.25">
      <c r="A131" s="29" t="s">
        <v>749</v>
      </c>
      <c r="N131">
        <f t="shared" si="1"/>
        <v>40</v>
      </c>
      <c r="O131" s="7" t="e">
        <f>getCodigoBackend(N131,A131,VLOOKUP(N131,setup!$A$8:$H$58,2),VLOOKUP(N131,setup!$A$8:$H$58,3),VLOOKUP(N131,setup!$A$8:$H$58,4),VLOOKUP(N131,setup!$A$8:$H$58,5),VLOOKUP(N131,setup!$A$8:$H$58,6),VLOOKUP(N131,setup!$A$8:$H$58,7), VLOOKUP(0,setup!$A$8:$H$58,2),VLOOKUP(0,setup!$A$8:$H$58,5),VLOOKUP(N131,setup!$A$8:$H$58,8))</f>
        <v>#VALUE!</v>
      </c>
    </row>
    <row r="132" spans="1:15" x14ac:dyDescent="0.25">
      <c r="A132" s="29" t="s">
        <v>749</v>
      </c>
      <c r="N132">
        <f t="shared" si="1"/>
        <v>41</v>
      </c>
      <c r="O132" s="7" t="e">
        <f>getCodigoBackend(N132,A132,VLOOKUP(N132,setup!$A$8:$H$58,2),VLOOKUP(N132,setup!$A$8:$H$58,3),VLOOKUP(N132,setup!$A$8:$H$58,4),VLOOKUP(N132,setup!$A$8:$H$58,5),VLOOKUP(N132,setup!$A$8:$H$58,6),VLOOKUP(N132,setup!$A$8:$H$58,7), VLOOKUP(0,setup!$A$8:$H$58,2),VLOOKUP(0,setup!$A$8:$H$58,5),VLOOKUP(N132,setup!$A$8:$H$58,8))</f>
        <v>#VALUE!</v>
      </c>
    </row>
    <row r="133" spans="1:15" x14ac:dyDescent="0.25">
      <c r="A133" s="29" t="s">
        <v>749</v>
      </c>
      <c r="N133">
        <f t="shared" si="1"/>
        <v>42</v>
      </c>
      <c r="O133" s="7" t="e">
        <f>getCodigoBackend(N133,A133,VLOOKUP(N133,setup!$A$8:$H$58,2),VLOOKUP(N133,setup!$A$8:$H$58,3),VLOOKUP(N133,setup!$A$8:$H$58,4),VLOOKUP(N133,setup!$A$8:$H$58,5),VLOOKUP(N133,setup!$A$8:$H$58,6),VLOOKUP(N133,setup!$A$8:$H$58,7), VLOOKUP(0,setup!$A$8:$H$58,2),VLOOKUP(0,setup!$A$8:$H$58,5),VLOOKUP(N133,setup!$A$8:$H$58,8))</f>
        <v>#VALUE!</v>
      </c>
    </row>
    <row r="134" spans="1:15" x14ac:dyDescent="0.25">
      <c r="A134" s="29" t="s">
        <v>749</v>
      </c>
      <c r="N134">
        <f t="shared" si="1"/>
        <v>43</v>
      </c>
      <c r="O134" s="7" t="e">
        <f>getCodigoBackend(N134,A134,VLOOKUP(N134,setup!$A$8:$H$58,2),VLOOKUP(N134,setup!$A$8:$H$58,3),VLOOKUP(N134,setup!$A$8:$H$58,4),VLOOKUP(N134,setup!$A$8:$H$58,5),VLOOKUP(N134,setup!$A$8:$H$58,6),VLOOKUP(N134,setup!$A$8:$H$58,7), VLOOKUP(0,setup!$A$8:$H$58,2),VLOOKUP(0,setup!$A$8:$H$58,5),VLOOKUP(N134,setup!$A$8:$H$58,8))</f>
        <v>#VALUE!</v>
      </c>
    </row>
    <row r="135" spans="1:15" x14ac:dyDescent="0.25">
      <c r="A135" s="29" t="s">
        <v>749</v>
      </c>
      <c r="N135">
        <f t="shared" si="1"/>
        <v>44</v>
      </c>
      <c r="O135" s="7" t="e">
        <f>getCodigoBackend(N135,A135,VLOOKUP(N135,setup!$A$8:$H$58,2),VLOOKUP(N135,setup!$A$8:$H$58,3),VLOOKUP(N135,setup!$A$8:$H$58,4),VLOOKUP(N135,setup!$A$8:$H$58,5),VLOOKUP(N135,setup!$A$8:$H$58,6),VLOOKUP(N135,setup!$A$8:$H$58,7), VLOOKUP(0,setup!$A$8:$H$58,2),VLOOKUP(0,setup!$A$8:$H$58,5),VLOOKUP(N135,setup!$A$8:$H$58,8))</f>
        <v>#VALUE!</v>
      </c>
    </row>
    <row r="136" spans="1:15" x14ac:dyDescent="0.25">
      <c r="A136" s="29" t="s">
        <v>749</v>
      </c>
      <c r="N136">
        <f t="shared" si="1"/>
        <v>45</v>
      </c>
      <c r="O136" s="7" t="e">
        <f>getCodigoBackend(N136,A136,VLOOKUP(N136,setup!$A$8:$H$58,2),VLOOKUP(N136,setup!$A$8:$H$58,3),VLOOKUP(N136,setup!$A$8:$H$58,4),VLOOKUP(N136,setup!$A$8:$H$58,5),VLOOKUP(N136,setup!$A$8:$H$58,6),VLOOKUP(N136,setup!$A$8:$H$58,7), VLOOKUP(0,setup!$A$8:$H$58,2),VLOOKUP(0,setup!$A$8:$H$58,5),VLOOKUP(N136,setup!$A$8:$H$58,8))</f>
        <v>#VALUE!</v>
      </c>
    </row>
    <row r="137" spans="1:15" x14ac:dyDescent="0.25">
      <c r="A137" s="29" t="s">
        <v>749</v>
      </c>
      <c r="N137">
        <f t="shared" si="1"/>
        <v>46</v>
      </c>
      <c r="O137" s="7" t="e">
        <f>getCodigoBackend(N137,A137,VLOOKUP(N137,setup!$A$8:$H$58,2),VLOOKUP(N137,setup!$A$8:$H$58,3),VLOOKUP(N137,setup!$A$8:$H$58,4),VLOOKUP(N137,setup!$A$8:$H$58,5),VLOOKUP(N137,setup!$A$8:$H$58,6),VLOOKUP(N137,setup!$A$8:$H$58,7), VLOOKUP(0,setup!$A$8:$H$58,2),VLOOKUP(0,setup!$A$8:$H$58,5),VLOOKUP(N137,setup!$A$8:$H$58,8))</f>
        <v>#VALUE!</v>
      </c>
    </row>
    <row r="138" spans="1:15" x14ac:dyDescent="0.25">
      <c r="A138" s="29" t="s">
        <v>749</v>
      </c>
      <c r="N138">
        <f t="shared" si="1"/>
        <v>47</v>
      </c>
      <c r="O138" s="7" t="e">
        <f>getCodigoBackend(N138,A138,VLOOKUP(N138,setup!$A$8:$H$58,2),VLOOKUP(N138,setup!$A$8:$H$58,3),VLOOKUP(N138,setup!$A$8:$H$58,4),VLOOKUP(N138,setup!$A$8:$H$58,5),VLOOKUP(N138,setup!$A$8:$H$58,6),VLOOKUP(N138,setup!$A$8:$H$58,7), VLOOKUP(0,setup!$A$8:$H$58,2),VLOOKUP(0,setup!$A$8:$H$58,5),VLOOKUP(N138,setup!$A$8:$H$58,8))</f>
        <v>#VALUE!</v>
      </c>
    </row>
    <row r="139" spans="1:15" x14ac:dyDescent="0.25">
      <c r="A139" s="29" t="s">
        <v>749</v>
      </c>
      <c r="N139">
        <f t="shared" si="1"/>
        <v>48</v>
      </c>
      <c r="O139" s="7" t="str">
        <f ca="1">getCodigoBackend(N139,A139,VLOOKUP(N139,setup!$A$8:$H$58,2),VLOOKUP(N139,setup!$A$8:$H$58,3),VLOOKUP(N139,setup!$A$8:$H$58,4),VLOOKUP(N139,setup!$A$8:$H$58,5),VLOOKUP(N139,setup!$A$8:$H$58,6),VLOOKUP(N139,setup!$A$8:$H$58,7), VLOOKUP(0,setup!$A$8:$H$58,2),VLOOKUP(0,setup!$A$8:$H$58,5),VLOOKUP(N139,setup!$A$8:$H$58,8))</f>
        <v xml:space="preserve">    public function atualizarStatusPorPK($daofactory,$status,$id);</v>
      </c>
    </row>
    <row r="140" spans="1:15" x14ac:dyDescent="0.25">
      <c r="A140" s="29"/>
      <c r="O140" s="7"/>
    </row>
    <row r="141" spans="1:15" x14ac:dyDescent="0.25">
      <c r="A141" s="6" t="s">
        <v>28</v>
      </c>
      <c r="O141" s="7" t="str">
        <f ca="1">getCodigoBackend(N141,A141,VLOOKUP(N141,setup!$A$8:$H$58,2),VLOOKUP(N141,setup!$A$8:$H$58,3),VLOOKUP(N141,setup!$A$8:$H$58,4),VLOOKUP(N141,setup!$A$8:$H$58,5),VLOOKUP(N141,setup!$A$8:$H$58,6),VLOOKUP(N141,setup!$A$8:$H$58,7), VLOOKUP(0,setup!$A$8:$H$58,2),VLOOKUP(0,setup!$A$8:$H$58,5),VLOOKUP(N141,setup!$A$8:$H$58,8))</f>
        <v>}</v>
      </c>
    </row>
    <row r="142" spans="1:15" x14ac:dyDescent="0.25">
      <c r="A142" s="6"/>
      <c r="O142" s="7" t="str">
        <f ca="1">getCodigoBackend(N142,A142,VLOOKUP(N142,setup!$A$8:$H$58,2),VLOOKUP(N142,setup!$A$8:$H$58,3),VLOOKUP(N142,setup!$A$8:$H$58,4),VLOOKUP(N142,setup!$A$8:$H$58,5),VLOOKUP(N142,setup!$A$8:$H$58,6),VLOOKUP(N142,setup!$A$8:$H$58,7), VLOOKUP(0,setup!$A$8:$H$58,2),VLOOKUP(0,setup!$A$8:$H$58,5),VLOOKUP(N142,setup!$A$8:$H$58,8))</f>
        <v/>
      </c>
    </row>
    <row r="143" spans="1:15" x14ac:dyDescent="0.25">
      <c r="A143" s="2" t="s">
        <v>29</v>
      </c>
      <c r="O143" s="7" t="str">
        <f ca="1">getCodigoBackend(N143,A143,VLOOKUP(N143,setup!$A$8:$H$58,2),VLOOKUP(N143,setup!$A$8:$H$58,3),VLOOKUP(N143,setup!$A$8:$H$58,4),VLOOKUP(N143,setup!$A$8:$H$58,5),VLOOKUP(N143,setup!$A$8:$H$58,6),VLOOKUP(N143,setup!$A$8:$H$58,7), VLOOKUP(0,setup!$A$8:$H$58,2),VLOOKUP(0,setup!$A$8:$H$58,5),VLOOKUP(N143,setup!$A$8:$H$58,8))</f>
        <v>?&gt;</v>
      </c>
    </row>
    <row r="144" spans="1:15" x14ac:dyDescent="0.25">
      <c r="A144" s="6"/>
      <c r="O144" s="7"/>
    </row>
    <row r="145" spans="1:15" x14ac:dyDescent="0.25">
      <c r="A145" s="6"/>
      <c r="O145" s="7" t="str">
        <f ca="1">getCodigoBackend(N145,A145,VLOOKUP(N145,setup!$A$8:$H$58,2),VLOOKUP(N145,setup!$A$8:$H$58,3),VLOOKUP(N145,setup!$A$8:$H$58,4),VLOOKUP(N145,setup!$A$8:$H$58,5),VLOOKUP(N145,setup!$A$8:$H$58,6),VLOOKUP(N145,setup!$A$8:$H$58,7), VLOOKUP(0,setup!$A$8:$H$58,2),VLOOKUP(0,setup!$A$8:$H$58,5),VLOOKUP(N145,setup!$A$8:$H$58,8))</f>
        <v/>
      </c>
    </row>
    <row r="146" spans="1:15" x14ac:dyDescent="0.25">
      <c r="A146" s="6"/>
      <c r="O146" s="7"/>
    </row>
    <row r="147" spans="1:15" x14ac:dyDescent="0.25">
      <c r="O147" s="7" t="str">
        <f ca="1">getCodigoBackend(N147,A147,VLOOKUP(N147,setup!$A$8:$H$58,2),VLOOKUP(N147,setup!$A$8:$H$58,3),VLOOKUP(N147,setup!$A$8:$H$58,4),VLOOKUP(N147,setup!$A$8:$H$58,5),VLOOKUP(N147,setup!$A$8:$H$58,6),VLOOKUP(N147,setup!$A$8:$H$58,7), VLOOKUP(0,setup!$A$8:$H$58,2),VLOOKUP(0,setup!$A$8:$H$58,5),VLOOKUP(N147,setup!$A$8:$H$58,8))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8D6B6-3896-4DE5-94AD-E870574FC9BF}">
  <sheetPr codeName="Sheet6"/>
  <dimension ref="A1:O1414"/>
  <sheetViews>
    <sheetView workbookViewId="0">
      <selection activeCell="O1" sqref="O1:O1048576"/>
    </sheetView>
  </sheetViews>
  <sheetFormatPr defaultRowHeight="15" x14ac:dyDescent="0.25"/>
  <cols>
    <col min="3" max="12" width="9.140625" customWidth="1"/>
    <col min="15" max="15" width="8.85546875" customWidth="1"/>
  </cols>
  <sheetData>
    <row r="1" spans="1:15" x14ac:dyDescent="0.25">
      <c r="N1" t="s">
        <v>219</v>
      </c>
    </row>
    <row r="3" spans="1:15" x14ac:dyDescent="0.25">
      <c r="A3" s="2" t="s">
        <v>80</v>
      </c>
      <c r="O3" s="7" t="str">
        <f ca="1">getCodigoBackend(N3,A3,VLOOKUP(N3,setup!$A$8:$H$58,2),VLOOKUP(N3,setup!$A$8:$H$58,3),VLOOKUP(N3,setup!$A$8:$H$58,4),VLOOKUP(N3,setup!$A$8:$H$58,5),VLOOKUP(N3,setup!$A$8:$H$58,6),VLOOKUP(N3,setup!$A$8:$H$58,7), VLOOKUP(0,setup!$A$8:$H$58,2),VLOOKUP(0,setup!$A$8:$H$58,5),VLOOKUP(N3,setup!$A$8:$H$58,8))</f>
        <v xml:space="preserve">&lt;?php </v>
      </c>
    </row>
    <row r="4" spans="1:15" x14ac:dyDescent="0.25">
      <c r="A4" s="3"/>
      <c r="O4" s="7" t="str">
        <f ca="1">getCodigoBackend(N4,A4,VLOOKUP(N4,setup!$A$8:$H$58,2),VLOOKUP(N4,setup!$A$8:$H$58,3),VLOOKUP(N4,setup!$A$8:$H$58,4),VLOOKUP(N4,setup!$A$8:$H$58,5),VLOOKUP(N4,setup!$A$8:$H$58,6),VLOOKUP(N4,setup!$A$8:$H$58,7), VLOOKUP(0,setup!$A$8:$H$58,2),VLOOKUP(0,setup!$A$8:$H$58,5),VLOOKUP(N4,setup!$A$8:$H$58,8))</f>
        <v/>
      </c>
    </row>
    <row r="5" spans="1:15" x14ac:dyDescent="0.25">
      <c r="A5" s="4" t="s">
        <v>17</v>
      </c>
      <c r="O5" s="7" t="str">
        <f ca="1">getCodigoBackend(N5,A5,VLOOKUP(N5,setup!$A$8:$H$58,2),VLOOKUP(N5,setup!$A$8:$H$58,3),VLOOKUP(N5,setup!$A$8:$H$58,4),VLOOKUP(N5,setup!$A$8:$H$58,5),VLOOKUP(N5,setup!$A$8:$H$58,6),VLOOKUP(N5,setup!$A$8:$H$58,7), VLOOKUP(0,setup!$A$8:$H$58,2),VLOOKUP(0,setup!$A$8:$H$58,5),VLOOKUP(N5,setup!$A$8:$H$58,8))</f>
        <v>// importar dependencias</v>
      </c>
    </row>
    <row r="6" spans="1:15" x14ac:dyDescent="0.25">
      <c r="A6" s="5" t="s">
        <v>223</v>
      </c>
      <c r="O6" s="7" t="str">
        <f ca="1">getCodigoBackend(N6,A6,VLOOKUP(N6,setup!$A$8:$H$58,2),VLOOKUP(N6,setup!$A$8:$H$58,3),VLOOKUP(N6,setup!$A$8:$H$58,4),VLOOKUP(N6,setup!$A$8:$H$58,5),VLOOKUP(N6,setup!$A$8:$H$58,6),VLOOKUP(N6,setup!$A$8:$H$58,7), VLOOKUP(0,setup!$A$8:$H$58,2),VLOOKUP(0,setup!$A$8:$H$58,5),VLOOKUP(N6,setup!$A$8:$H$58,8))</f>
        <v>require_once 'CampanhaCashbackResgatePixBusiness.php';</v>
      </c>
    </row>
    <row r="7" spans="1:15" x14ac:dyDescent="0.25">
      <c r="A7" s="5" t="s">
        <v>919</v>
      </c>
      <c r="O7" s="7" t="str">
        <f ca="1">getCodigoBackend(N7,A7,VLOOKUP(N7,setup!$A$8:$H$58,2),VLOOKUP(N7,setup!$A$8:$H$58,3),VLOOKUP(N7,setup!$A$8:$H$58,4),VLOOKUP(N7,setup!$A$8:$H$58,5),VLOOKUP(N7,setup!$A$8:$H$58,6),VLOOKUP(N7,setup!$A$8:$H$58,7), VLOOKUP(0,setup!$A$8:$H$58,2),VLOOKUP(0,setup!$A$8:$H$58,5),VLOOKUP(N7,setup!$A$8:$H$58,8))</f>
        <v>require_once 'CampanhaCashbackResgatePixConstantes.php';</v>
      </c>
    </row>
    <row r="8" spans="1:15" x14ac:dyDescent="0.25">
      <c r="A8" s="5" t="s">
        <v>940</v>
      </c>
      <c r="O8" s="7" t="str">
        <f ca="1">getCodigoBackend(N8,A8,VLOOKUP(N8,setup!$A$8:$H$58,2),VLOOKUP(N8,setup!$A$8:$H$58,3),VLOOKUP(N8,setup!$A$8:$H$58,4),VLOOKUP(N8,setup!$A$8:$H$58,5),VLOOKUP(N8,setup!$A$8:$H$58,6),VLOOKUP(N8,setup!$A$8:$H$58,7), VLOOKUP(0,setup!$A$8:$H$58,2),VLOOKUP(0,setup!$A$8:$H$58,5),VLOOKUP(N8,setup!$A$8:$H$58,8))</f>
        <v>require_once 'CampanhaCashbackResgatePixHelper.php';</v>
      </c>
    </row>
    <row r="9" spans="1:15" x14ac:dyDescent="0.25">
      <c r="A9" s="5" t="s">
        <v>81</v>
      </c>
      <c r="O9" s="7" t="str">
        <f ca="1">getCodigoBackend(N9,A9,VLOOKUP(N9,setup!$A$8:$H$58,2),VLOOKUP(N9,setup!$A$8:$H$58,3),VLOOKUP(N9,setup!$A$8:$H$58,4),VLOOKUP(N9,setup!$A$8:$H$58,5),VLOOKUP(N9,setup!$A$8:$H$58,6),VLOOKUP(N9,setup!$A$8:$H$58,7), VLOOKUP(0,setup!$A$8:$H$58,2),VLOOKUP(0,setup!$A$8:$H$58,5),VLOOKUP(N9,setup!$A$8:$H$58,8))</f>
        <v>require_once '../dto/DTOPadrao.php';</v>
      </c>
    </row>
    <row r="10" spans="1:15" x14ac:dyDescent="0.25">
      <c r="A10" s="5" t="s">
        <v>82</v>
      </c>
      <c r="O10" s="7" t="str">
        <f ca="1">getCodigoBackend(N10,A10,VLOOKUP(N10,setup!$A$8:$H$58,2),VLOOKUP(N10,setup!$A$8:$H$58,3),VLOOKUP(N10,setup!$A$8:$H$58,4),VLOOKUP(N10,setup!$A$8:$H$58,5),VLOOKUP(N10,setup!$A$8:$H$58,6),VLOOKUP(N10,setup!$A$8:$H$58,7), VLOOKUP(0,setup!$A$8:$H$58,2),VLOOKUP(0,setup!$A$8:$H$58,5),VLOOKUP(N10,setup!$A$8:$H$58,8))</f>
        <v>require_once '../dto/DTOPaginacao.php';</v>
      </c>
    </row>
    <row r="11" spans="1:15" x14ac:dyDescent="0.25">
      <c r="A11" s="5"/>
      <c r="O11" s="7" t="str">
        <f ca="1">getCodigoBackend(N11,A11,VLOOKUP(N11,setup!$A$8:$H$58,2),VLOOKUP(N11,setup!$A$8:$H$58,3),VLOOKUP(N11,setup!$A$8:$H$58,4),VLOOKUP(N11,setup!$A$8:$H$58,5),VLOOKUP(N11,setup!$A$8:$H$58,6),VLOOKUP(N11,setup!$A$8:$H$58,7), VLOOKUP(0,setup!$A$8:$H$58,2),VLOOKUP(0,setup!$A$8:$H$58,5),VLOOKUP(N11,setup!$A$8:$H$58,8))</f>
        <v/>
      </c>
    </row>
    <row r="12" spans="1:15" x14ac:dyDescent="0.25">
      <c r="A12" s="5" t="s">
        <v>83</v>
      </c>
      <c r="O12" s="7" t="str">
        <f ca="1">getCodigoBackend(N12,A12,VLOOKUP(N12,setup!$A$8:$H$58,2),VLOOKUP(N12,setup!$A$8:$H$58,3),VLOOKUP(N12,setup!$A$8:$H$58,4),VLOOKUP(N12,setup!$A$8:$H$58,5),VLOOKUP(N12,setup!$A$8:$H$58,6),VLOOKUP(N12,setup!$A$8:$H$58,7), VLOOKUP(0,setup!$A$8:$H$58,2),VLOOKUP(0,setup!$A$8:$H$58,5),VLOOKUP(N12,setup!$A$8:$H$58,8))</f>
        <v>require_once '../variavel/ConstantesVariavel.php';</v>
      </c>
    </row>
    <row r="13" spans="1:15" x14ac:dyDescent="0.25">
      <c r="A13" s="5" t="s">
        <v>84</v>
      </c>
      <c r="O13" s="7" t="str">
        <f ca="1">getCodigoBackend(N13,A13,VLOOKUP(N13,setup!$A$8:$H$58,2),VLOOKUP(N13,setup!$A$8:$H$58,3),VLOOKUP(N13,setup!$A$8:$H$58,4),VLOOKUP(N13,setup!$A$8:$H$58,5),VLOOKUP(N13,setup!$A$8:$H$58,6),VLOOKUP(N13,setup!$A$8:$H$58,7), VLOOKUP(0,setup!$A$8:$H$58,2),VLOOKUP(0,setup!$A$8:$H$58,5),VLOOKUP(N13,setup!$A$8:$H$58,8))</f>
        <v>require_once '../variavel/VariavelCache.php';</v>
      </c>
    </row>
    <row r="14" spans="1:15" x14ac:dyDescent="0.25">
      <c r="O14" s="7" t="str">
        <f ca="1">getCodigoBackend(N14,A14,VLOOKUP(N14,setup!$A$8:$H$58,2),VLOOKUP(N14,setup!$A$8:$H$58,3),VLOOKUP(N14,setup!$A$8:$H$58,4),VLOOKUP(N14,setup!$A$8:$H$58,5),VLOOKUP(N14,setup!$A$8:$H$58,6),VLOOKUP(N14,setup!$A$8:$H$58,7), VLOOKUP(0,setup!$A$8:$H$58,2),VLOOKUP(0,setup!$A$8:$H$58,5),VLOOKUP(N14,setup!$A$8:$H$58,8))</f>
        <v/>
      </c>
    </row>
    <row r="15" spans="1:15" x14ac:dyDescent="0.25">
      <c r="A15" s="4" t="s">
        <v>19</v>
      </c>
      <c r="O15" s="7" t="str">
        <f ca="1">getCodigoBackend(N15,A15,VLOOKUP(N15,setup!$A$8:$H$58,2),VLOOKUP(N15,setup!$A$8:$H$58,3),VLOOKUP(N15,setup!$A$8:$H$58,4),VLOOKUP(N15,setup!$A$8:$H$58,5),VLOOKUP(N15,setup!$A$8:$H$58,6),VLOOKUP(N15,setup!$A$8:$H$58,7), VLOOKUP(0,setup!$A$8:$H$58,2),VLOOKUP(0,setup!$A$8:$H$58,5),VLOOKUP(N15,setup!$A$8:$H$58,8))</f>
        <v>/**</v>
      </c>
    </row>
    <row r="16" spans="1:15" x14ac:dyDescent="0.25">
      <c r="A16" s="4" t="s">
        <v>20</v>
      </c>
      <c r="O16" s="7" t="str">
        <f ca="1">getCodigoBackend(N16,A16,VLOOKUP(N16,setup!$A$8:$H$58,2),VLOOKUP(N16,setup!$A$8:$H$58,3),VLOOKUP(N16,setup!$A$8:$H$58,4),VLOOKUP(N16,setup!$A$8:$H$58,5),VLOOKUP(N16,setup!$A$8:$H$58,6),VLOOKUP(N16,setup!$A$8:$H$58,7), VLOOKUP(0,setup!$A$8:$H$58,2),VLOOKUP(0,setup!$A$8:$H$58,5),VLOOKUP(N16,setup!$A$8:$H$58,8))</f>
        <v>*</v>
      </c>
    </row>
    <row r="17" spans="1:15" x14ac:dyDescent="0.25">
      <c r="A17" s="4" t="s">
        <v>291</v>
      </c>
      <c r="O17" s="7" t="str">
        <f ca="1">getCodigoBackend(N17,A17,VLOOKUP(N17,setup!$A$8:$H$58,2),VLOOKUP(N17,setup!$A$8:$H$58,3),VLOOKUP(N17,setup!$A$8:$H$58,4),VLOOKUP(N17,setup!$A$8:$H$58,5),VLOOKUP(N17,setup!$A$8:$H$58,6),VLOOKUP(N17,setup!$A$8:$H$58,7), VLOOKUP(0,setup!$A$8:$H$58,2),VLOOKUP(0,setup!$A$8:$H$58,5),VLOOKUP(N17,setup!$A$8:$H$58,8))</f>
        <v>* CampanhaCashbackResgatePixBusinessImpl - Classe de implementação dos métodos de negócio para a interface CampanhaCashbackResgatePixBusiness</v>
      </c>
    </row>
    <row r="18" spans="1:15" x14ac:dyDescent="0.25">
      <c r="A18" s="4" t="s">
        <v>282</v>
      </c>
      <c r="O18" s="7" t="str">
        <f ca="1">getCodigoBackend(N18,A18,VLOOKUP(N18,setup!$A$8:$H$58,2),VLOOKUP(N18,setup!$A$8:$H$58,3),VLOOKUP(N18,setup!$A$8:$H$58,4),VLOOKUP(N18,setup!$A$8:$H$58,5),VLOOKUP(N18,setup!$A$8:$H$58,6),VLOOKUP(N18,setup!$A$8:$H$58,7), VLOOKUP(0,setup!$A$8:$H$58,2),VLOOKUP(0,setup!$A$8:$H$58,5),VLOOKUP(N18,setup!$A$8:$H$58,8))</f>
        <v xml:space="preserve">* Camada de negócio CampanhaCashbackResgatePix - camada responsável pela lógica de negócios de CampanhaCashbackResgatePix do sistema. </v>
      </c>
    </row>
    <row r="19" spans="1:15" x14ac:dyDescent="0.25">
      <c r="A19" s="4" t="s">
        <v>255</v>
      </c>
      <c r="O19" s="7" t="str">
        <f ca="1">getCodigoBackend(N19,A19,VLOOKUP(N19,setup!$A$8:$H$58,2),VLOOKUP(N19,setup!$A$8:$H$58,3),VLOOKUP(N19,setup!$A$8:$H$58,4),VLOOKUP(N19,setup!$A$8:$H$58,5),VLOOKUP(N19,setup!$A$8:$H$58,6),VLOOKUP(N19,setup!$A$8:$H$58,7), VLOOKUP(0,setup!$A$8:$H$58,2),VLOOKUP(0,setup!$A$8:$H$58,5),VLOOKUP(N19,setup!$A$8:$H$58,8))</f>
        <v xml:space="preserve">* Não é uma camada visível para outros dispositivos, como as camadas de apresentação e aplicação. </v>
      </c>
    </row>
    <row r="20" spans="1:15" x14ac:dyDescent="0.25">
      <c r="A20" s="4" t="s">
        <v>20</v>
      </c>
      <c r="O20" s="7" t="str">
        <f ca="1">getCodigoBackend(N20,A20,VLOOKUP(N20,setup!$A$8:$H$58,2),VLOOKUP(N20,setup!$A$8:$H$58,3),VLOOKUP(N20,setup!$A$8:$H$58,4),VLOOKUP(N20,setup!$A$8:$H$58,5),VLOOKUP(N20,setup!$A$8:$H$58,6),VLOOKUP(N20,setup!$A$8:$H$58,7), VLOOKUP(0,setup!$A$8:$H$58,2),VLOOKUP(0,setup!$A$8:$H$58,5),VLOOKUP(N20,setup!$A$8:$H$58,8))</f>
        <v>*</v>
      </c>
    </row>
    <row r="21" spans="1:15" x14ac:dyDescent="0.25">
      <c r="A21" s="4" t="s">
        <v>20</v>
      </c>
      <c r="O21" s="7" t="str">
        <f ca="1">getCodigoBackend(N21,A21,VLOOKUP(N21,setup!$A$8:$H$58,2),VLOOKUP(N21,setup!$A$8:$H$58,3),VLOOKUP(N21,setup!$A$8:$H$58,4),VLOOKUP(N21,setup!$A$8:$H$58,5),VLOOKUP(N21,setup!$A$8:$H$58,6),VLOOKUP(N21,setup!$A$8:$H$58,7), VLOOKUP(0,setup!$A$8:$H$58,2),VLOOKUP(0,setup!$A$8:$H$58,5),VLOOKUP(N21,setup!$A$8:$H$58,8))</f>
        <v>*</v>
      </c>
    </row>
    <row r="22" spans="1:15" x14ac:dyDescent="0.25">
      <c r="A22" s="4" t="s">
        <v>256</v>
      </c>
      <c r="O22" s="7" t="str">
        <f ca="1">getCodigoBackend(N22,A22,VLOOKUP(N22,setup!$A$8:$H$58,2),VLOOKUP(N22,setup!$A$8:$H$58,3),VLOOKUP(N22,setup!$A$8:$H$58,4),VLOOKUP(N22,setup!$A$8:$H$58,5),VLOOKUP(N22,setup!$A$8:$H$58,6),VLOOKUP(N22,setup!$A$8:$H$58,7), VLOOKUP(0,setup!$A$8:$H$58,2),VLOOKUP(0,setup!$A$8:$H$58,5),VLOOKUP(N22,setup!$A$8:$H$58,8))</f>
        <v>* Responsabilidades dessa classe</v>
      </c>
    </row>
    <row r="23" spans="1:15" x14ac:dyDescent="0.25">
      <c r="A23" s="4" t="s">
        <v>20</v>
      </c>
      <c r="O23" s="7" t="str">
        <f ca="1">getCodigoBackend(N23,A23,VLOOKUP(N23,setup!$A$8:$H$58,2),VLOOKUP(N23,setup!$A$8:$H$58,3),VLOOKUP(N23,setup!$A$8:$H$58,4),VLOOKUP(N23,setup!$A$8:$H$58,5),VLOOKUP(N23,setup!$A$8:$H$58,6),VLOOKUP(N23,setup!$A$8:$H$58,7), VLOOKUP(0,setup!$A$8:$H$58,2),VLOOKUP(0,setup!$A$8:$H$58,5),VLOOKUP(N23,setup!$A$8:$H$58,8))</f>
        <v>*</v>
      </c>
    </row>
    <row r="24" spans="1:15" x14ac:dyDescent="0.25">
      <c r="A24" s="4" t="s">
        <v>283</v>
      </c>
      <c r="O24" s="7" t="str">
        <f ca="1">getCodigoBackend(N24,A24,VLOOKUP(N24,setup!$A$8:$H$58,2),VLOOKUP(N24,setup!$A$8:$H$58,3),VLOOKUP(N24,setup!$A$8:$H$58,4),VLOOKUP(N24,setup!$A$8:$H$58,5),VLOOKUP(N24,setup!$A$8:$H$58,6),VLOOKUP(N24,setup!$A$8:$H$58,7), VLOOKUP(0,setup!$A$8:$H$58,2),VLOOKUP(0,setup!$A$8:$H$58,5),VLOOKUP(N24,setup!$A$8:$H$58,8))</f>
        <v>* 1) Receber o pedido de uma classe de negócio do sistema</v>
      </c>
    </row>
    <row r="25" spans="1:15" x14ac:dyDescent="0.25">
      <c r="A25" s="4" t="s">
        <v>284</v>
      </c>
      <c r="O25" s="7" t="str">
        <f ca="1">getCodigoBackend(N25,A25,VLOOKUP(N25,setup!$A$8:$H$58,2),VLOOKUP(N25,setup!$A$8:$H$58,3),VLOOKUP(N25,setup!$A$8:$H$58,4),VLOOKUP(N25,setup!$A$8:$H$58,5),VLOOKUP(N25,setup!$A$8:$H$58,6),VLOOKUP(N25,setup!$A$8:$H$58,7), VLOOKUP(0,setup!$A$8:$H$58,2),VLOOKUP(0,setup!$A$8:$H$58,5),VLOOKUP(N25,setup!$A$8:$H$58,8))</f>
        <v>* 2) Produzir a regra de negócio de acordo com cada método</v>
      </c>
    </row>
    <row r="26" spans="1:15" x14ac:dyDescent="0.25">
      <c r="A26" s="4" t="s">
        <v>285</v>
      </c>
      <c r="O26" s="7" t="str">
        <f ca="1">getCodigoBackend(N26,A26,VLOOKUP(N26,setup!$A$8:$H$58,2),VLOOKUP(N26,setup!$A$8:$H$58,3),VLOOKUP(N26,setup!$A$8:$H$58,4),VLOOKUP(N26,setup!$A$8:$H$58,5),VLOOKUP(N26,setup!$A$8:$H$58,6),VLOOKUP(N26,setup!$A$8:$H$58,7), VLOOKUP(0,setup!$A$8:$H$58,2),VLOOKUP(0,setup!$A$8:$H$58,5),VLOOKUP(N26,setup!$A$8:$H$58,8))</f>
        <v>* 3) Acessar o banco de dados através das interfaces DAOs</v>
      </c>
    </row>
    <row r="27" spans="1:15" x14ac:dyDescent="0.25">
      <c r="A27" s="4" t="s">
        <v>286</v>
      </c>
      <c r="O27" s="7" t="str">
        <f ca="1">getCodigoBackend(N27,A27,VLOOKUP(N27,setup!$A$8:$H$58,2),VLOOKUP(N27,setup!$A$8:$H$58,3),VLOOKUP(N27,setup!$A$8:$H$58,4),VLOOKUP(N27,setup!$A$8:$H$58,5),VLOOKUP(N27,setup!$A$8:$H$58,6),VLOOKUP(N27,setup!$A$8:$H$58,7), VLOOKUP(0,setup!$A$8:$H$58,2),VLOOKUP(0,setup!$A$8:$H$58,5),VLOOKUP(N27,setup!$A$8:$H$58,8))</f>
        <v>* 4) Verificar o resultado e retornar um objeto e uma mensagem de alto nível para a camada de serviço</v>
      </c>
    </row>
    <row r="28" spans="1:15" x14ac:dyDescent="0.25">
      <c r="A28" s="4" t="s">
        <v>20</v>
      </c>
      <c r="O28" s="7" t="str">
        <f ca="1">getCodigoBackend(N28,A28,VLOOKUP(N28,setup!$A$8:$H$58,2),VLOOKUP(N28,setup!$A$8:$H$58,3),VLOOKUP(N28,setup!$A$8:$H$58,4),VLOOKUP(N28,setup!$A$8:$H$58,5),VLOOKUP(N28,setup!$A$8:$H$58,6),VLOOKUP(N28,setup!$A$8:$H$58,7), VLOOKUP(0,setup!$A$8:$H$58,2),VLOOKUP(0,setup!$A$8:$H$58,5),VLOOKUP(N28,setup!$A$8:$H$58,8))</f>
        <v>*</v>
      </c>
    </row>
    <row r="29" spans="1:15" x14ac:dyDescent="0.25">
      <c r="A29" s="4" t="s">
        <v>260</v>
      </c>
      <c r="O29" s="7" t="str">
        <f ca="1">getCodigoBackend(N29,A29,VLOOKUP(N29,setup!$A$8:$H$58,2),VLOOKUP(N29,setup!$A$8:$H$58,3),VLOOKUP(N29,setup!$A$8:$H$58,4),VLOOKUP(N29,setup!$A$8:$H$58,5),VLOOKUP(N29,setup!$A$8:$H$58,6),VLOOKUP(N29,setup!$A$8:$H$58,7), VLOOKUP(0,setup!$A$8:$H$58,2),VLOOKUP(0,setup!$A$8:$H$58,5),VLOOKUP(N29,setup!$A$8:$H$58,8))</f>
        <v>* Changelog:</v>
      </c>
    </row>
    <row r="30" spans="1:15" x14ac:dyDescent="0.25">
      <c r="A30" s="4" t="s">
        <v>20</v>
      </c>
      <c r="O30" s="7" t="str">
        <f ca="1">getCodigoBackend(N30,A30,VLOOKUP(N30,setup!$A$8:$H$58,2),VLOOKUP(N30,setup!$A$8:$H$58,3),VLOOKUP(N30,setup!$A$8:$H$58,4),VLOOKUP(N30,setup!$A$8:$H$58,5),VLOOKUP(N30,setup!$A$8:$H$58,6),VLOOKUP(N30,setup!$A$8:$H$58,7), VLOOKUP(0,setup!$A$8:$H$58,2),VLOOKUP(0,setup!$A$8:$H$58,5),VLOOKUP(N30,setup!$A$8:$H$58,8))</f>
        <v>*</v>
      </c>
    </row>
    <row r="31" spans="1:15" x14ac:dyDescent="0.25">
      <c r="A31" s="4" t="s">
        <v>75</v>
      </c>
      <c r="O31" s="7" t="str">
        <f ca="1">getCodigoBackend(N31,A31,VLOOKUP(N31,setup!$A$8:$H$58,2),VLOOKUP(N31,setup!$A$8:$H$58,3),VLOOKUP(N31,setup!$A$8:$H$58,4),VLOOKUP(N31,setup!$A$8:$H$58,5),VLOOKUP(N31,setup!$A$8:$H$58,6),VLOOKUP(N31,setup!$A$8:$H$58,7), VLOOKUP(0,setup!$A$8:$H$58,2),VLOOKUP(0,setup!$A$8:$H$58,5),VLOOKUP(N31,setup!$A$8:$H$58,8))</f>
        <v xml:space="preserve">* </v>
      </c>
    </row>
    <row r="32" spans="1:15" x14ac:dyDescent="0.25">
      <c r="A32" s="4" t="s">
        <v>254</v>
      </c>
      <c r="O32" s="7" t="str">
        <f ca="1">getCodigoBackend(N32,A32,VLOOKUP(N32,setup!$A$8:$H$58,2),VLOOKUP(N32,setup!$A$8:$H$58,3),VLOOKUP(N32,setup!$A$8:$H$58,4),VLOOKUP(N32,setup!$A$8:$H$58,5),VLOOKUP(N32,setup!$A$8:$H$58,6),VLOOKUP(N32,setup!$A$8:$H$58,7), VLOOKUP(0,setup!$A$8:$H$58,2),VLOOKUP(0,setup!$A$8:$H$58,5),VLOOKUP(N32,setup!$A$8:$H$58,8))</f>
        <v>* @autor Julio Cesar Vitorino</v>
      </c>
    </row>
    <row r="33" spans="1:15" x14ac:dyDescent="0.25">
      <c r="A33" s="4" t="s">
        <v>240</v>
      </c>
      <c r="O33" s="7" t="str">
        <f ca="1">getCodigoBackend(N33,A33,VLOOKUP(N33,setup!$A$8:$H$58,2),VLOOKUP(N33,setup!$A$8:$H$58,3),VLOOKUP(N33,setup!$A$8:$H$58,4),VLOOKUP(N33,setup!$A$8:$H$58,5),VLOOKUP(N33,setup!$A$8:$H$58,6),VLOOKUP(N33,setup!$A$8:$H$58,7), VLOOKUP(0,setup!$A$8:$H$58,2),VLOOKUP(0,setup!$A$8:$H$58,5),VLOOKUP(N33,setup!$A$8:$H$58,8))</f>
        <v>* @since 26/07/2021 15:11:48</v>
      </c>
    </row>
    <row r="34" spans="1:15" x14ac:dyDescent="0.25">
      <c r="A34" s="4" t="s">
        <v>20</v>
      </c>
      <c r="O34" s="7" t="str">
        <f ca="1">getCodigoBackend(N34,A34,VLOOKUP(N34,setup!$A$8:$H$58,2),VLOOKUP(N34,setup!$A$8:$H$58,3),VLOOKUP(N34,setup!$A$8:$H$58,4),VLOOKUP(N34,setup!$A$8:$H$58,5),VLOOKUP(N34,setup!$A$8:$H$58,6),VLOOKUP(N34,setup!$A$8:$H$58,7), VLOOKUP(0,setup!$A$8:$H$58,2),VLOOKUP(0,setup!$A$8:$H$58,5),VLOOKUP(N34,setup!$A$8:$H$58,8))</f>
        <v>*</v>
      </c>
    </row>
    <row r="35" spans="1:15" x14ac:dyDescent="0.25">
      <c r="A35" s="4" t="s">
        <v>21</v>
      </c>
      <c r="O35" s="7" t="str">
        <f ca="1">getCodigoBackend(N35,A35,VLOOKUP(N35,setup!$A$8:$H$58,2),VLOOKUP(N35,setup!$A$8:$H$58,3),VLOOKUP(N35,setup!$A$8:$H$58,4),VLOOKUP(N35,setup!$A$8:$H$58,5),VLOOKUP(N35,setup!$A$8:$H$58,6),VLOOKUP(N35,setup!$A$8:$H$58,7), VLOOKUP(0,setup!$A$8:$H$58,2),VLOOKUP(0,setup!$A$8:$H$58,5),VLOOKUP(N35,setup!$A$8:$H$58,8))</f>
        <v>*/</v>
      </c>
    </row>
    <row r="36" spans="1:15" x14ac:dyDescent="0.25">
      <c r="A36" s="4"/>
      <c r="O36" s="7" t="str">
        <f ca="1">getCodigoBackend(N36,A36,VLOOKUP(N36,setup!$A$8:$H$58,2),VLOOKUP(N36,setup!$A$8:$H$58,3),VLOOKUP(N36,setup!$A$8:$H$58,4),VLOOKUP(N36,setup!$A$8:$H$58,5),VLOOKUP(N36,setup!$A$8:$H$58,6),VLOOKUP(N36,setup!$A$8:$H$58,7), VLOOKUP(0,setup!$A$8:$H$58,2),VLOOKUP(0,setup!$A$8:$H$58,5),VLOOKUP(N36,setup!$A$8:$H$58,8))</f>
        <v/>
      </c>
    </row>
    <row r="37" spans="1:15" x14ac:dyDescent="0.25">
      <c r="A37" s="4"/>
      <c r="O37" s="7" t="str">
        <f ca="1">getCodigoBackend(N37,A37,VLOOKUP(N37,setup!$A$8:$H$58,2),VLOOKUP(N37,setup!$A$8:$H$58,3),VLOOKUP(N37,setup!$A$8:$H$58,4),VLOOKUP(N37,setup!$A$8:$H$58,5),VLOOKUP(N37,setup!$A$8:$H$58,6),VLOOKUP(N37,setup!$A$8:$H$58,7), VLOOKUP(0,setup!$A$8:$H$58,2),VLOOKUP(0,setup!$A$8:$H$58,5),VLOOKUP(N37,setup!$A$8:$H$58,8))</f>
        <v/>
      </c>
    </row>
    <row r="38" spans="1:15" x14ac:dyDescent="0.25">
      <c r="A38" s="2" t="s">
        <v>224</v>
      </c>
      <c r="O38" s="7" t="str">
        <f ca="1">getCodigoBackend(N38,A38,VLOOKUP(N38,setup!$A$8:$H$58,2),VLOOKUP(N38,setup!$A$8:$H$58,3),VLOOKUP(N38,setup!$A$8:$H$58,4),VLOOKUP(N38,setup!$A$8:$H$58,5),VLOOKUP(N38,setup!$A$8:$H$58,6),VLOOKUP(N38,setup!$A$8:$H$58,7), VLOOKUP(0,setup!$A$8:$H$58,2),VLOOKUP(0,setup!$A$8:$H$58,5),VLOOKUP(N38,setup!$A$8:$H$58,8))</f>
        <v>class CampanhaCashbackResgatePixBusinessImpl implements CampanhaCashbackResgatePixBusiness</v>
      </c>
    </row>
    <row r="39" spans="1:15" x14ac:dyDescent="0.25">
      <c r="A39" s="6" t="s">
        <v>22</v>
      </c>
      <c r="O39" s="7" t="str">
        <f ca="1">getCodigoBackend(N39,A39,VLOOKUP(N39,setup!$A$8:$H$58,2),VLOOKUP(N39,setup!$A$8:$H$58,3),VLOOKUP(N39,setup!$A$8:$H$58,4),VLOOKUP(N39,setup!$A$8:$H$58,5),VLOOKUP(N39,setup!$A$8:$H$58,6),VLOOKUP(N39,setup!$A$8:$H$58,7), VLOOKUP(0,setup!$A$8:$H$58,2),VLOOKUP(0,setup!$A$8:$H$58,5),VLOOKUP(N39,setup!$A$8:$H$58,8))</f>
        <v>{</v>
      </c>
    </row>
    <row r="40" spans="1:15" x14ac:dyDescent="0.25">
      <c r="A40" s="6" t="s">
        <v>35</v>
      </c>
      <c r="O40" s="7" t="str">
        <f ca="1">getCodigoBackend(N40,A40,VLOOKUP(N40,setup!$A$8:$H$58,2),VLOOKUP(N40,setup!$A$8:$H$58,3),VLOOKUP(N40,setup!$A$8:$H$58,4),VLOOKUP(N40,setup!$A$8:$H$58,5),VLOOKUP(N40,setup!$A$8:$H$58,6),VLOOKUP(N40,setup!$A$8:$H$58,7), VLOOKUP(0,setup!$A$8:$H$58,2),VLOOKUP(0,setup!$A$8:$H$58,5),VLOOKUP(N40,setup!$A$8:$H$58,8))</f>
        <v>    </v>
      </c>
    </row>
    <row r="41" spans="1:15" x14ac:dyDescent="0.25">
      <c r="A41" s="6" t="s">
        <v>85</v>
      </c>
      <c r="O41" s="7" t="str">
        <f ca="1">getCodigoBackend(N41,A41,VLOOKUP(N41,setup!$A$8:$H$58,2),VLOOKUP(N41,setup!$A$8:$H$58,3),VLOOKUP(N41,setup!$A$8:$H$58,4),VLOOKUP(N41,setup!$A$8:$H$58,5),VLOOKUP(N41,setup!$A$8:$H$58,6),VLOOKUP(N41,setup!$A$8:$H$58,7), VLOOKUP(0,setup!$A$8:$H$58,2),VLOOKUP(0,setup!$A$8:$H$58,5),VLOOKUP(N41,setup!$A$8:$H$58,8))</f>
        <v>    function __construct()  {   }</v>
      </c>
    </row>
    <row r="42" spans="1:15" x14ac:dyDescent="0.25">
      <c r="O42" s="7" t="str">
        <f ca="1">getCodigoBackend(N42,A42,VLOOKUP(N42,setup!$A$8:$H$58,2),VLOOKUP(N42,setup!$A$8:$H$58,3),VLOOKUP(N42,setup!$A$8:$H$58,4),VLOOKUP(N42,setup!$A$8:$H$58,5),VLOOKUP(N42,setup!$A$8:$H$58,6),VLOOKUP(N42,setup!$A$8:$H$58,7), VLOOKUP(0,setup!$A$8:$H$58,2),VLOOKUP(0,setup!$A$8:$H$58,5),VLOOKUP(N42,setup!$A$8:$H$58,8))</f>
        <v/>
      </c>
    </row>
    <row r="43" spans="1:15" x14ac:dyDescent="0.25">
      <c r="A43" s="4" t="s">
        <v>19</v>
      </c>
      <c r="O43" s="7" t="str">
        <f ca="1">getCodigoBackend(N43,A43,VLOOKUP(N43,setup!$A$8:$H$58,2),VLOOKUP(N43,setup!$A$8:$H$58,3),VLOOKUP(N43,setup!$A$8:$H$58,4),VLOOKUP(N43,setup!$A$8:$H$58,5),VLOOKUP(N43,setup!$A$8:$H$58,6),VLOOKUP(N43,setup!$A$8:$H$58,7), VLOOKUP(0,setup!$A$8:$H$58,2),VLOOKUP(0,setup!$A$8:$H$58,5),VLOOKUP(N43,setup!$A$8:$H$58,8))</f>
        <v>/**</v>
      </c>
    </row>
    <row r="44" spans="1:15" x14ac:dyDescent="0.25">
      <c r="A44" s="4" t="s">
        <v>356</v>
      </c>
      <c r="O44" s="7" t="str">
        <f ca="1">getCodigoBackend(N44,A44,VLOOKUP(N44,setup!$A$8:$H$58,2),VLOOKUP(N44,setup!$A$8:$H$58,3),VLOOKUP(N44,setup!$A$8:$H$58,4),VLOOKUP(N44,setup!$A$8:$H$58,5),VLOOKUP(N44,setup!$A$8:$H$58,6),VLOOKUP(N44,setup!$A$8:$H$58,7), VLOOKUP(0,setup!$A$8:$H$58,2),VLOOKUP(0,setup!$A$8:$H$58,5),VLOOKUP(N44,setup!$A$8:$H$58,8))</f>
        <v>* carregar() - Carrega apenas um registro com base no campo id = (CAMPANHA_CASHBACK_RESGATE_PIX::CCRP_ID)</v>
      </c>
    </row>
    <row r="45" spans="1:15" x14ac:dyDescent="0.25">
      <c r="A45" s="4" t="s">
        <v>357</v>
      </c>
      <c r="O45" s="7" t="str">
        <f ca="1">getCodigoBackend(N45,A45,VLOOKUP(N45,setup!$A$8:$H$58,2),VLOOKUP(N45,setup!$A$8:$H$58,3),VLOOKUP(N45,setup!$A$8:$H$58,4),VLOOKUP(N45,setup!$A$8:$H$58,5),VLOOKUP(N45,setup!$A$8:$H$58,6),VLOOKUP(N45,setup!$A$8:$H$58,7), VLOOKUP(0,setup!$A$8:$H$58,2),VLOOKUP(0,setup!$A$8:$H$58,5),VLOOKUP(N45,setup!$A$8:$H$58,8))</f>
        <v>* @param $daofactory</v>
      </c>
    </row>
    <row r="46" spans="1:15" x14ac:dyDescent="0.25">
      <c r="A46" s="4" t="s">
        <v>358</v>
      </c>
      <c r="O46" s="7" t="str">
        <f ca="1">getCodigoBackend(N46,A46,VLOOKUP(N46,setup!$A$8:$H$58,2),VLOOKUP(N46,setup!$A$8:$H$58,3),VLOOKUP(N46,setup!$A$8:$H$58,4),VLOOKUP(N46,setup!$A$8:$H$58,5),VLOOKUP(N46,setup!$A$8:$H$58,6),VLOOKUP(N46,setup!$A$8:$H$58,7), VLOOKUP(0,setup!$A$8:$H$58,2),VLOOKUP(0,setup!$A$8:$H$58,5),VLOOKUP(N46,setup!$A$8:$H$58,8))</f>
        <v>* @param $dto</v>
      </c>
    </row>
    <row r="47" spans="1:15" x14ac:dyDescent="0.25">
      <c r="A47" s="4" t="s">
        <v>359</v>
      </c>
      <c r="O47" s="7" t="str">
        <f ca="1">getCodigoBackend(N47,A47,VLOOKUP(N47,setup!$A$8:$H$58,2),VLOOKUP(N47,setup!$A$8:$H$58,3),VLOOKUP(N47,setup!$A$8:$H$58,4),VLOOKUP(N47,setup!$A$8:$H$58,5),VLOOKUP(N47,setup!$A$8:$H$58,6),VLOOKUP(N47,setup!$A$8:$H$58,7), VLOOKUP(0,setup!$A$8:$H$58,2),VLOOKUP(0,setup!$A$8:$H$58,5),VLOOKUP(N47,setup!$A$8:$H$58,8))</f>
        <v>* @return $dto</v>
      </c>
    </row>
    <row r="48" spans="1:15" x14ac:dyDescent="0.25">
      <c r="A48" s="4" t="s">
        <v>360</v>
      </c>
      <c r="O48" s="7" t="str">
        <f ca="1">getCodigoBackend(N48,A48,VLOOKUP(N48,setup!$A$8:$H$58,2),VLOOKUP(N48,setup!$A$8:$H$58,3),VLOOKUP(N48,setup!$A$8:$H$58,4),VLOOKUP(N48,setup!$A$8:$H$58,5),VLOOKUP(N48,setup!$A$8:$H$58,6),VLOOKUP(N48,setup!$A$8:$H$58,7), VLOOKUP(0,setup!$A$8:$H$58,2),VLOOKUP(0,setup!$A$8:$H$58,5),VLOOKUP(N48,setup!$A$8:$H$58,8))</f>
        <v xml:space="preserve">*/ </v>
      </c>
    </row>
    <row r="49" spans="1:15" x14ac:dyDescent="0.25">
      <c r="A49" s="6" t="s">
        <v>86</v>
      </c>
      <c r="O49" s="7" t="str">
        <f ca="1">getCodigoBackend(N49,A49,VLOOKUP(N49,setup!$A$8:$H$58,2),VLOOKUP(N49,setup!$A$8:$H$58,3),VLOOKUP(N49,setup!$A$8:$H$58,4),VLOOKUP(N49,setup!$A$8:$H$58,5),VLOOKUP(N49,setup!$A$8:$H$58,6),VLOOKUP(N49,setup!$A$8:$H$58,7), VLOOKUP(0,setup!$A$8:$H$58,2),VLOOKUP(0,setup!$A$8:$H$58,5),VLOOKUP(N49,setup!$A$8:$H$58,8))</f>
        <v>    public function carregar($daofactory, $dto) {   }</v>
      </c>
    </row>
    <row r="50" spans="1:15" x14ac:dyDescent="0.25">
      <c r="A50" s="6"/>
      <c r="O50" s="7" t="str">
        <f ca="1">getCodigoBackend(N50,A50,VLOOKUP(N50,setup!$A$8:$H$58,2),VLOOKUP(N50,setup!$A$8:$H$58,3),VLOOKUP(N50,setup!$A$8:$H$58,4),VLOOKUP(N50,setup!$A$8:$H$58,5),VLOOKUP(N50,setup!$A$8:$H$58,6),VLOOKUP(N50,setup!$A$8:$H$58,7), VLOOKUP(0,setup!$A$8:$H$58,2),VLOOKUP(0,setup!$A$8:$H$58,5),VLOOKUP(N50,setup!$A$8:$H$58,8))</f>
        <v/>
      </c>
    </row>
    <row r="51" spans="1:15" x14ac:dyDescent="0.25">
      <c r="A51" s="4" t="s">
        <v>19</v>
      </c>
      <c r="O51" s="7" t="str">
        <f ca="1">getCodigoBackend(N51,A51,VLOOKUP(N51,setup!$A$8:$H$58,2),VLOOKUP(N51,setup!$A$8:$H$58,3),VLOOKUP(N51,setup!$A$8:$H$58,4),VLOOKUP(N51,setup!$A$8:$H$58,5),VLOOKUP(N51,setup!$A$8:$H$58,6),VLOOKUP(N51,setup!$A$8:$H$58,7), VLOOKUP(0,setup!$A$8:$H$58,2),VLOOKUP(0,setup!$A$8:$H$58,5),VLOOKUP(N51,setup!$A$8:$H$58,8))</f>
        <v>/**</v>
      </c>
    </row>
    <row r="52" spans="1:15" x14ac:dyDescent="0.25">
      <c r="A52" s="4" t="s">
        <v>367</v>
      </c>
      <c r="O52" s="7" t="str">
        <f ca="1">getCodigoBackend(N52,A52,VLOOKUP(N52,setup!$A$8:$H$58,2),VLOOKUP(N52,setup!$A$8:$H$58,3),VLOOKUP(N52,setup!$A$8:$H$58,4),VLOOKUP(N52,setup!$A$8:$H$58,5),VLOOKUP(N52,setup!$A$8:$H$58,6),VLOOKUP(N52,setup!$A$8:$H$58,7), VLOOKUP(0,setup!$A$8:$H$58,2),VLOOKUP(0,setup!$A$8:$H$58,5),VLOOKUP(N52,setup!$A$8:$H$58,8))</f>
        <v>* listarTudo() - Lista todos os registros provenientes de CAMPANHA_CASHBACK_RESGATE_PIX sem critério de paginação</v>
      </c>
    </row>
    <row r="53" spans="1:15" x14ac:dyDescent="0.25">
      <c r="A53" s="4" t="s">
        <v>361</v>
      </c>
      <c r="O53" s="7" t="str">
        <f ca="1">getCodigoBackend(N53,A53,VLOOKUP(N53,setup!$A$8:$H$58,2),VLOOKUP(N53,setup!$A$8:$H$58,3),VLOOKUP(N53,setup!$A$8:$H$58,4),VLOOKUP(N53,setup!$A$8:$H$58,5),VLOOKUP(N53,setup!$A$8:$H$58,6),VLOOKUP(N53,setup!$A$8:$H$58,7), VLOOKUP(0,setup!$A$8:$H$58,2),VLOOKUP(0,setup!$A$8:$H$58,5),VLOOKUP(N53,setup!$A$8:$H$58,8))</f>
        <v>* @param $daofactory</v>
      </c>
    </row>
    <row r="54" spans="1:15" x14ac:dyDescent="0.25">
      <c r="A54" s="4" t="s">
        <v>368</v>
      </c>
      <c r="O54" s="7" t="str">
        <f ca="1">getCodigoBackend(N54,A54,VLOOKUP(N54,setup!$A$8:$H$58,2),VLOOKUP(N54,setup!$A$8:$H$58,3),VLOOKUP(N54,setup!$A$8:$H$58,4),VLOOKUP(N54,setup!$A$8:$H$58,5),VLOOKUP(N54,setup!$A$8:$H$58,6),VLOOKUP(N54,setup!$A$8:$H$58,7), VLOOKUP(0,setup!$A$8:$H$58,2),VLOOKUP(0,setup!$A$8:$H$58,5),VLOOKUP(N54,setup!$A$8:$H$58,8))</f>
        <v>* @return List&lt;CampanhaCashbackResgatePixDTO&gt;[]</v>
      </c>
    </row>
    <row r="55" spans="1:15" x14ac:dyDescent="0.25">
      <c r="A55" s="4" t="s">
        <v>363</v>
      </c>
      <c r="O55" s="7" t="str">
        <f ca="1">getCodigoBackend(N55,A55,VLOOKUP(N55,setup!$A$8:$H$58,2),VLOOKUP(N55,setup!$A$8:$H$58,3),VLOOKUP(N55,setup!$A$8:$H$58,4),VLOOKUP(N55,setup!$A$8:$H$58,5),VLOOKUP(N55,setup!$A$8:$H$58,6),VLOOKUP(N55,setup!$A$8:$H$58,7), VLOOKUP(0,setup!$A$8:$H$58,2),VLOOKUP(0,setup!$A$8:$H$58,5),VLOOKUP(N55,setup!$A$8:$H$58,8))</f>
        <v xml:space="preserve">*/ </v>
      </c>
    </row>
    <row r="56" spans="1:15" x14ac:dyDescent="0.25">
      <c r="A56" s="6" t="s">
        <v>87</v>
      </c>
      <c r="O56" s="7" t="str">
        <f ca="1">getCodigoBackend(N56,A56,VLOOKUP(N56,setup!$A$8:$H$58,2),VLOOKUP(N56,setup!$A$8:$H$58,3),VLOOKUP(N56,setup!$A$8:$H$58,4),VLOOKUP(N56,setup!$A$8:$H$58,5),VLOOKUP(N56,setup!$A$8:$H$58,6),VLOOKUP(N56,setup!$A$8:$H$58,7), VLOOKUP(0,setup!$A$8:$H$58,2),VLOOKUP(0,setup!$A$8:$H$58,5),VLOOKUP(N56,setup!$A$8:$H$58,8))</f>
        <v>    public function listarTudo($daofactory) {   }</v>
      </c>
    </row>
    <row r="57" spans="1:15" x14ac:dyDescent="0.25">
      <c r="A57" s="6"/>
      <c r="O57" s="7" t="str">
        <f ca="1">getCodigoBackend(N57,A57,VLOOKUP(N57,setup!$A$8:$H$58,2),VLOOKUP(N57,setup!$A$8:$H$58,3),VLOOKUP(N57,setup!$A$8:$H$58,4),VLOOKUP(N57,setup!$A$8:$H$58,5),VLOOKUP(N57,setup!$A$8:$H$58,6),VLOOKUP(N57,setup!$A$8:$H$58,7), VLOOKUP(0,setup!$A$8:$H$58,2),VLOOKUP(0,setup!$A$8:$H$58,5),VLOOKUP(N57,setup!$A$8:$H$58,8))</f>
        <v/>
      </c>
    </row>
    <row r="58" spans="1:15" x14ac:dyDescent="0.25">
      <c r="A58" s="29" t="s">
        <v>19</v>
      </c>
      <c r="N58">
        <v>1</v>
      </c>
      <c r="O58" s="7" t="str">
        <f ca="1">getCodigoBackend(N58,A58,VLOOKUP(N58,setup!$A$8:$H$58,2),VLOOKUP(N58,setup!$A$8:$H$58,3),VLOOKUP(N58,setup!$A$8:$H$58,4),VLOOKUP(N58,setup!$A$8:$H$58,5),VLOOKUP(N58,setup!$A$8:$H$58,6),VLOOKUP(N58,setup!$A$8:$H$58,7), VLOOKUP(0,setup!$A$8:$H$58,2),VLOOKUP(0,setup!$A$8:$H$58,5),VLOOKUP(N58,setup!$A$8:$H$58,8))</f>
        <v>/**</v>
      </c>
    </row>
    <row r="59" spans="1:15" x14ac:dyDescent="0.25">
      <c r="A59" s="29" t="s">
        <v>927</v>
      </c>
      <c r="N59">
        <v>1</v>
      </c>
      <c r="O59" s="7" t="str">
        <f ca="1">getCodigoBackend(N59,A59,VLOOKUP(N59,setup!$A$8:$H$58,2),VLOOKUP(N59,setup!$A$8:$H$58,3),VLOOKUP(N59,setup!$A$8:$H$58,4),VLOOKUP(N59,setup!$A$8:$H$58,5),VLOOKUP(N59,setup!$A$8:$H$58,6),VLOOKUP(N59,setup!$A$8:$H$58,7), VLOOKUP(0,setup!$A$8:$H$58,2),VLOOKUP(0,setup!$A$8:$H$58,5),VLOOKUP(N59,setup!$A$8:$H$58,8))</f>
        <v>* pesquisarMaxPKAtivoIdcampanhacashbackPorStatus() - Carrega apenas um registro com base no idCampanhaCashback  e status para buscar a MAIOR PK</v>
      </c>
    </row>
    <row r="60" spans="1:15" x14ac:dyDescent="0.25">
      <c r="A60" s="29" t="s">
        <v>357</v>
      </c>
      <c r="N60">
        <v>1</v>
      </c>
      <c r="O60" s="7" t="str">
        <f ca="1">getCodigoBackend(N60,A60,VLOOKUP(N60,setup!$A$8:$H$58,2),VLOOKUP(N60,setup!$A$8:$H$58,3),VLOOKUP(N60,setup!$A$8:$H$58,4),VLOOKUP(N60,setup!$A$8:$H$58,5),VLOOKUP(N60,setup!$A$8:$H$58,6),VLOOKUP(N60,setup!$A$8:$H$58,7), VLOOKUP(0,setup!$A$8:$H$58,2),VLOOKUP(0,setup!$A$8:$H$58,5),VLOOKUP(N60,setup!$A$8:$H$58,8))</f>
        <v>* @param $daofactory</v>
      </c>
    </row>
    <row r="61" spans="1:15" x14ac:dyDescent="0.25">
      <c r="A61" s="29" t="s">
        <v>275</v>
      </c>
      <c r="N61">
        <v>1</v>
      </c>
      <c r="O61" s="7" t="str">
        <f ca="1">getCodigoBackend(N61,A61,VLOOKUP(N61,setup!$A$8:$H$58,2),VLOOKUP(N61,setup!$A$8:$H$58,3),VLOOKUP(N61,setup!$A$8:$H$58,4),VLOOKUP(N61,setup!$A$8:$H$58,5),VLOOKUP(N61,setup!$A$8:$H$58,6),VLOOKUP(N61,setup!$A$8:$H$58,7), VLOOKUP(0,setup!$A$8:$H$58,2),VLOOKUP(0,setup!$A$8:$H$58,5),VLOOKUP(N61,setup!$A$8:$H$58,8))</f>
        <v>* @param $status</v>
      </c>
    </row>
    <row r="62" spans="1:15" x14ac:dyDescent="0.25">
      <c r="A62" s="29" t="s">
        <v>757</v>
      </c>
      <c r="N62">
        <v>1</v>
      </c>
      <c r="O62" s="7" t="str">
        <f ca="1">getCodigoBackend(N62,A62,VLOOKUP(N62,setup!$A$8:$H$58,2),VLOOKUP(N62,setup!$A$8:$H$58,3),VLOOKUP(N62,setup!$A$8:$H$58,4),VLOOKUP(N62,setup!$A$8:$H$58,5),VLOOKUP(N62,setup!$A$8:$H$58,6),VLOOKUP(N62,setup!$A$8:$H$58,7), VLOOKUP(0,setup!$A$8:$H$58,2),VLOOKUP(0,setup!$A$8:$H$58,5),VLOOKUP(N62,setup!$A$8:$H$58,8))</f>
        <v>* @return CampanhaCashbackResgatePixDTO</v>
      </c>
    </row>
    <row r="63" spans="1:15" x14ac:dyDescent="0.25">
      <c r="A63" s="29" t="s">
        <v>360</v>
      </c>
      <c r="N63">
        <v>1</v>
      </c>
      <c r="O63" s="7" t="str">
        <f ca="1">getCodigoBackend(N63,A63,VLOOKUP(N63,setup!$A$8:$H$58,2),VLOOKUP(N63,setup!$A$8:$H$58,3),VLOOKUP(N63,setup!$A$8:$H$58,4),VLOOKUP(N63,setup!$A$8:$H$58,5),VLOOKUP(N63,setup!$A$8:$H$58,6),VLOOKUP(N63,setup!$A$8:$H$58,7), VLOOKUP(0,setup!$A$8:$H$58,2),VLOOKUP(0,setup!$A$8:$H$58,5),VLOOKUP(N63,setup!$A$8:$H$58,8))</f>
        <v xml:space="preserve">*/ </v>
      </c>
    </row>
    <row r="64" spans="1:15" x14ac:dyDescent="0.25">
      <c r="A64" s="29" t="s">
        <v>928</v>
      </c>
      <c r="N64">
        <v>1</v>
      </c>
      <c r="O64" s="7" t="str">
        <f ca="1">getCodigoBackend(N64,A64,VLOOKUP(N64,setup!$A$8:$H$58,2),VLOOKUP(N64,setup!$A$8:$H$58,3),VLOOKUP(N64,setup!$A$8:$H$58,4),VLOOKUP(N64,setup!$A$8:$H$58,5),VLOOKUP(N64,setup!$A$8:$H$58,6),VLOOKUP(N64,setup!$A$8:$H$58,7), VLOOKUP(0,setup!$A$8:$H$58,2),VLOOKUP(0,setup!$A$8:$H$58,5),VLOOKUP(N64,setup!$A$8:$H$58,8))</f>
        <v xml:space="preserve">    public function pesquisarMaxPKAtivoIdcampanhacashbackPorStatus($daofactory, $idCampanhaCashback,$status)</v>
      </c>
    </row>
    <row r="65" spans="1:15" x14ac:dyDescent="0.25">
      <c r="A65" s="29" t="s">
        <v>758</v>
      </c>
      <c r="N65">
        <v>1</v>
      </c>
      <c r="O65" s="7" t="str">
        <f ca="1">getCodigoBackend(N65,A65,VLOOKUP(N65,setup!$A$8:$H$58,2),VLOOKUP(N65,setup!$A$8:$H$58,3),VLOOKUP(N65,setup!$A$8:$H$58,4),VLOOKUP(N65,setup!$A$8:$H$58,5),VLOOKUP(N65,setup!$A$8:$H$58,6),VLOOKUP(N65,setup!$A$8:$H$58,7), VLOOKUP(0,setup!$A$8:$H$58,2),VLOOKUP(0,setup!$A$8:$H$58,5),VLOOKUP(N65,setup!$A$8:$H$58,8))</f>
        <v xml:space="preserve">    { </v>
      </c>
    </row>
    <row r="66" spans="1:15" x14ac:dyDescent="0.25">
      <c r="A66" s="29" t="s">
        <v>754</v>
      </c>
      <c r="N66">
        <v>1</v>
      </c>
      <c r="O66" s="7" t="str">
        <f ca="1">getCodigoBackend(N66,A66,VLOOKUP(N66,setup!$A$8:$H$58,2),VLOOKUP(N66,setup!$A$8:$H$58,3),VLOOKUP(N66,setup!$A$8:$H$58,4),VLOOKUP(N66,setup!$A$8:$H$58,5),VLOOKUP(N66,setup!$A$8:$H$58,6),VLOOKUP(N66,setup!$A$8:$H$58,7), VLOOKUP(0,setup!$A$8:$H$58,2),VLOOKUP(0,setup!$A$8:$H$58,5),VLOOKUP(N66,setup!$A$8:$H$58,8))</f>
        <v xml:space="preserve">        $dao = $daofactory-&gt;getCampanhaCashbackResgatePixDAO($daofactory);</v>
      </c>
    </row>
    <row r="67" spans="1:15" x14ac:dyDescent="0.25">
      <c r="A67" s="29" t="s">
        <v>805</v>
      </c>
      <c r="N67">
        <v>1</v>
      </c>
      <c r="O67" s="7" t="str">
        <f ca="1">getCodigoBackend(N67,A67,VLOOKUP(N67,setup!$A$8:$H$58,2),VLOOKUP(N67,setup!$A$8:$H$58,3),VLOOKUP(N67,setup!$A$8:$H$58,4),VLOOKUP(N67,setup!$A$8:$H$58,5),VLOOKUP(N67,setup!$A$8:$H$58,6),VLOOKUP(N67,setup!$A$8:$H$58,7), VLOOKUP(0,setup!$A$8:$H$58,2),VLOOKUP(0,setup!$A$8:$H$58,5),VLOOKUP(N67,setup!$A$8:$H$58,8))</f>
        <v xml:space="preserve">        $maxid = $dao-&gt;loadMaxIdcampanhacashbackPK($idCampanhaCashback,$status);</v>
      </c>
    </row>
    <row r="68" spans="1:15" x14ac:dyDescent="0.25">
      <c r="A68" s="29" t="s">
        <v>803</v>
      </c>
      <c r="N68">
        <v>1</v>
      </c>
      <c r="O68" s="7" t="str">
        <f ca="1">getCodigoBackend(N68,A68,VLOOKUP(N68,setup!$A$8:$H$58,2),VLOOKUP(N68,setup!$A$8:$H$58,3),VLOOKUP(N68,setup!$A$8:$H$58,4),VLOOKUP(N68,setup!$A$8:$H$58,5),VLOOKUP(N68,setup!$A$8:$H$58,6),VLOOKUP(N68,setup!$A$8:$H$58,7), VLOOKUP(0,setup!$A$8:$H$58,2),VLOOKUP(0,setup!$A$8:$H$58,5),VLOOKUP(N68,setup!$A$8:$H$58,8))</f>
        <v xml:space="preserve">        return $this-&gt;carregarPorID($daofactory, $maxid);</v>
      </c>
    </row>
    <row r="69" spans="1:15" x14ac:dyDescent="0.25">
      <c r="A69" s="29" t="s">
        <v>406</v>
      </c>
      <c r="N69">
        <v>1</v>
      </c>
      <c r="O69" s="7" t="str">
        <f ca="1">getCodigoBackend(N69,A69,VLOOKUP(N69,setup!$A$8:$H$58,2),VLOOKUP(N69,setup!$A$8:$H$58,3),VLOOKUP(N69,setup!$A$8:$H$58,4),VLOOKUP(N69,setup!$A$8:$H$58,5),VLOOKUP(N69,setup!$A$8:$H$58,6),VLOOKUP(N69,setup!$A$8:$H$58,7), VLOOKUP(0,setup!$A$8:$H$58,2),VLOOKUP(0,setup!$A$8:$H$58,5),VLOOKUP(N69,setup!$A$8:$H$58,8))</f>
        <v xml:space="preserve">    }</v>
      </c>
    </row>
    <row r="70" spans="1:15" x14ac:dyDescent="0.25">
      <c r="A70" s="6"/>
      <c r="O70" s="7" t="str">
        <f ca="1">getCodigoBackend(N70,A70,VLOOKUP(N70,setup!$A$8:$H$58,2),VLOOKUP(N70,setup!$A$8:$H$58,3),VLOOKUP(N70,setup!$A$8:$H$58,4),VLOOKUP(N70,setup!$A$8:$H$58,5),VLOOKUP(N70,setup!$A$8:$H$58,6),VLOOKUP(N70,setup!$A$8:$H$58,7), VLOOKUP(0,setup!$A$8:$H$58,2),VLOOKUP(0,setup!$A$8:$H$58,5),VLOOKUP(N70,setup!$A$8:$H$58,8))</f>
        <v/>
      </c>
    </row>
    <row r="71" spans="1:15" x14ac:dyDescent="0.25">
      <c r="A71" s="4" t="s">
        <v>19</v>
      </c>
      <c r="O71" s="7" t="str">
        <f ca="1">getCodigoBackend(N71,A71,VLOOKUP(N71,setup!$A$8:$H$58,2),VLOOKUP(N71,setup!$A$8:$H$58,3),VLOOKUP(N71,setup!$A$8:$H$58,4),VLOOKUP(N71,setup!$A$8:$H$58,5),VLOOKUP(N71,setup!$A$8:$H$58,6),VLOOKUP(N71,setup!$A$8:$H$58,7), VLOOKUP(0,setup!$A$8:$H$58,2),VLOOKUP(0,setup!$A$8:$H$58,5),VLOOKUP(N71,setup!$A$8:$H$58,8))</f>
        <v>/**</v>
      </c>
    </row>
    <row r="72" spans="1:15" x14ac:dyDescent="0.25">
      <c r="A72" s="4" t="s">
        <v>364</v>
      </c>
      <c r="O72" s="7" t="str">
        <f ca="1">getCodigoBackend(N72,A72,VLOOKUP(N72,setup!$A$8:$H$58,2),VLOOKUP(N72,setup!$A$8:$H$58,3),VLOOKUP(N72,setup!$A$8:$H$58,4),VLOOKUP(N72,setup!$A$8:$H$58,5),VLOOKUP(N72,setup!$A$8:$H$58,6),VLOOKUP(N72,setup!$A$8:$H$58,7), VLOOKUP(0,setup!$A$8:$H$58,2),VLOOKUP(0,setup!$A$8:$H$58,5),VLOOKUP(N72,setup!$A$8:$H$58,8))</f>
        <v>* atualizar() - atualiza apenas um registro com base no dto CampanhaCashbackResgatePixDTO-&gt;id</v>
      </c>
    </row>
    <row r="73" spans="1:15" x14ac:dyDescent="0.25">
      <c r="A73" s="4" t="s">
        <v>361</v>
      </c>
      <c r="O73" s="7" t="str">
        <f ca="1">getCodigoBackend(N73,A73,VLOOKUP(N73,setup!$A$8:$H$58,2),VLOOKUP(N73,setup!$A$8:$H$58,3),VLOOKUP(N73,setup!$A$8:$H$58,4),VLOOKUP(N73,setup!$A$8:$H$58,5),VLOOKUP(N73,setup!$A$8:$H$58,6),VLOOKUP(N73,setup!$A$8:$H$58,7), VLOOKUP(0,setup!$A$8:$H$58,2),VLOOKUP(0,setup!$A$8:$H$58,5),VLOOKUP(N73,setup!$A$8:$H$58,8))</f>
        <v>* @param $daofactory</v>
      </c>
    </row>
    <row r="74" spans="1:15" x14ac:dyDescent="0.25">
      <c r="A74" s="4" t="s">
        <v>20</v>
      </c>
      <c r="O74" s="7" t="str">
        <f ca="1">getCodigoBackend(N74,A74,VLOOKUP(N74,setup!$A$8:$H$58,2),VLOOKUP(N74,setup!$A$8:$H$58,3),VLOOKUP(N74,setup!$A$8:$H$58,4),VLOOKUP(N74,setup!$A$8:$H$58,5),VLOOKUP(N74,setup!$A$8:$H$58,6),VLOOKUP(N74,setup!$A$8:$H$58,7), VLOOKUP(0,setup!$A$8:$H$58,2),VLOOKUP(0,setup!$A$8:$H$58,5),VLOOKUP(N74,setup!$A$8:$H$58,8))</f>
        <v>*</v>
      </c>
    </row>
    <row r="75" spans="1:15" x14ac:dyDescent="0.25">
      <c r="A75" s="4" t="s">
        <v>362</v>
      </c>
      <c r="O75" s="7" t="str">
        <f ca="1">getCodigoBackend(N75,A75,VLOOKUP(N75,setup!$A$8:$H$58,2),VLOOKUP(N75,setup!$A$8:$H$58,3),VLOOKUP(N75,setup!$A$8:$H$58,4),VLOOKUP(N75,setup!$A$8:$H$58,5),VLOOKUP(N75,setup!$A$8:$H$58,6),VLOOKUP(N75,setup!$A$8:$H$58,7), VLOOKUP(0,setup!$A$8:$H$58,2),VLOOKUP(0,setup!$A$8:$H$58,5),VLOOKUP(N75,setup!$A$8:$H$58,8))</f>
        <v>* @return $dto</v>
      </c>
    </row>
    <row r="76" spans="1:15" x14ac:dyDescent="0.25">
      <c r="A76" s="4" t="s">
        <v>365</v>
      </c>
      <c r="O76" s="7" t="str">
        <f ca="1">getCodigoBackend(N76,A76,VLOOKUP(N76,setup!$A$8:$H$58,2),VLOOKUP(N76,setup!$A$8:$H$58,3),VLOOKUP(N76,setup!$A$8:$H$58,4),VLOOKUP(N76,setup!$A$8:$H$58,5),VLOOKUP(N76,setup!$A$8:$H$58,6),VLOOKUP(N76,setup!$A$8:$H$58,7), VLOOKUP(0,setup!$A$8:$H$58,2),VLOOKUP(0,setup!$A$8:$H$58,5),VLOOKUP(N76,setup!$A$8:$H$58,8))</f>
        <v>* @see ConstantesMensagem::COMANDO_REALIZADO_COM_SUCESSO</v>
      </c>
    </row>
    <row r="77" spans="1:15" x14ac:dyDescent="0.25">
      <c r="A77" s="4" t="s">
        <v>366</v>
      </c>
      <c r="O77" s="7" t="str">
        <f ca="1">getCodigoBackend(N77,A77,VLOOKUP(N77,setup!$A$8:$H$58,2),VLOOKUP(N77,setup!$A$8:$H$58,3),VLOOKUP(N77,setup!$A$8:$H$58,4),VLOOKUP(N77,setup!$A$8:$H$58,5),VLOOKUP(N77,setup!$A$8:$H$58,6),VLOOKUP(N77,setup!$A$8:$H$58,7), VLOOKUP(0,setup!$A$8:$H$58,2),VLOOKUP(0,setup!$A$8:$H$58,5),VLOOKUP(N77,setup!$A$8:$H$58,8))</f>
        <v>* @see ConstantesMensagem::ERRO_CRUD_ATUALIZAR_REGISTRO</v>
      </c>
    </row>
    <row r="78" spans="1:15" x14ac:dyDescent="0.25">
      <c r="A78" s="4" t="s">
        <v>363</v>
      </c>
      <c r="O78" s="7" t="str">
        <f ca="1">getCodigoBackend(N78,A78,VLOOKUP(N78,setup!$A$8:$H$58,2),VLOOKUP(N78,setup!$A$8:$H$58,3),VLOOKUP(N78,setup!$A$8:$H$58,4),VLOOKUP(N78,setup!$A$8:$H$58,5),VLOOKUP(N78,setup!$A$8:$H$58,6),VLOOKUP(N78,setup!$A$8:$H$58,7), VLOOKUP(0,setup!$A$8:$H$58,2),VLOOKUP(0,setup!$A$8:$H$58,5),VLOOKUP(N78,setup!$A$8:$H$58,8))</f>
        <v xml:space="preserve">*/ </v>
      </c>
    </row>
    <row r="79" spans="1:15" x14ac:dyDescent="0.25">
      <c r="O79" s="7" t="str">
        <f ca="1">getCodigoBackend(N79,A79,VLOOKUP(N79,setup!$A$8:$H$58,2),VLOOKUP(N79,setup!$A$8:$H$58,3),VLOOKUP(N79,setup!$A$8:$H$58,4),VLOOKUP(N79,setup!$A$8:$H$58,5),VLOOKUP(N79,setup!$A$8:$H$58,6),VLOOKUP(N79,setup!$A$8:$H$58,7), VLOOKUP(0,setup!$A$8:$H$58,2),VLOOKUP(0,setup!$A$8:$H$58,5),VLOOKUP(N79,setup!$A$8:$H$58,8))</f>
        <v/>
      </c>
    </row>
    <row r="80" spans="1:15" x14ac:dyDescent="0.25">
      <c r="A80" s="6" t="s">
        <v>89</v>
      </c>
      <c r="O80" s="7" t="str">
        <f ca="1">getCodigoBackend(N80,A80,VLOOKUP(N80,setup!$A$8:$H$58,2),VLOOKUP(N80,setup!$A$8:$H$58,3),VLOOKUP(N80,setup!$A$8:$H$58,4),VLOOKUP(N80,setup!$A$8:$H$58,5),VLOOKUP(N80,setup!$A$8:$H$58,6),VLOOKUP(N80,setup!$A$8:$H$58,7), VLOOKUP(0,setup!$A$8:$H$58,2),VLOOKUP(0,setup!$A$8:$H$58,5),VLOOKUP(N80,setup!$A$8:$H$58,8))</f>
        <v>    public function atualizar($daofactory, $dto)    </v>
      </c>
    </row>
    <row r="81" spans="1:15" x14ac:dyDescent="0.25">
      <c r="A81" s="6" t="s">
        <v>90</v>
      </c>
      <c r="O81" s="7" t="str">
        <f ca="1">getCodigoBackend(N81,A81,VLOOKUP(N81,setup!$A$8:$H$58,2),VLOOKUP(N81,setup!$A$8:$H$58,3),VLOOKUP(N81,setup!$A$8:$H$58,4),VLOOKUP(N81,setup!$A$8:$H$58,5),VLOOKUP(N81,setup!$A$8:$H$58,6),VLOOKUP(N81,setup!$A$8:$H$58,7), VLOOKUP(0,setup!$A$8:$H$58,2),VLOOKUP(0,setup!$A$8:$H$58,5),VLOOKUP(N81,setup!$A$8:$H$58,8))</f>
        <v>    {   </v>
      </c>
    </row>
    <row r="82" spans="1:15" x14ac:dyDescent="0.25">
      <c r="A82" s="6" t="s">
        <v>91</v>
      </c>
      <c r="O82" s="7" t="str">
        <f ca="1">getCodigoBackend(N82,A82,VLOOKUP(N82,setup!$A$8:$H$58,2),VLOOKUP(N82,setup!$A$8:$H$58,3),VLOOKUP(N82,setup!$A$8:$H$58,4),VLOOKUP(N82,setup!$A$8:$H$58,5),VLOOKUP(N82,setup!$A$8:$H$58,6),VLOOKUP(N82,setup!$A$8:$H$58,7), VLOOKUP(0,setup!$A$8:$H$58,2),VLOOKUP(0,setup!$A$8:$H$58,5),VLOOKUP(N82,setup!$A$8:$H$58,8))</f>
        <v>        // retorno default</v>
      </c>
    </row>
    <row r="83" spans="1:15" x14ac:dyDescent="0.25">
      <c r="A83" s="6" t="s">
        <v>71</v>
      </c>
      <c r="O83" s="7" t="str">
        <f ca="1">getCodigoBackend(N83,A83,VLOOKUP(N83,setup!$A$8:$H$58,2),VLOOKUP(N83,setup!$A$8:$H$58,3),VLOOKUP(N83,setup!$A$8:$H$58,4),VLOOKUP(N83,setup!$A$8:$H$58,5),VLOOKUP(N83,setup!$A$8:$H$58,6),VLOOKUP(N83,setup!$A$8:$H$58,7), VLOOKUP(0,setup!$A$8:$H$58,2),VLOOKUP(0,setup!$A$8:$H$58,5),VLOOKUP(N83,setup!$A$8:$H$58,8))</f>
        <v>        $retorno = new DTOPadrao();</v>
      </c>
    </row>
    <row r="84" spans="1:15" x14ac:dyDescent="0.25">
      <c r="A84" s="6" t="s">
        <v>72</v>
      </c>
      <c r="O84" s="7" t="str">
        <f ca="1">getCodigoBackend(N84,A84,VLOOKUP(N84,setup!$A$8:$H$58,2),VLOOKUP(N84,setup!$A$8:$H$58,3),VLOOKUP(N84,setup!$A$8:$H$58,4),VLOOKUP(N84,setup!$A$8:$H$58,5),VLOOKUP(N84,setup!$A$8:$H$58,6),VLOOKUP(N84,setup!$A$8:$H$58,7), VLOOKUP(0,setup!$A$8:$H$58,2),VLOOKUP(0,setup!$A$8:$H$58,5),VLOOKUP(N84,setup!$A$8:$H$58,8))</f>
        <v>        $retorno-&gt;msgcode = ConstantesMensagem::COMANDO_REALIZADO_COM_SUCESSO;</v>
      </c>
    </row>
    <row r="85" spans="1:15" x14ac:dyDescent="0.25">
      <c r="A85" s="6" t="s">
        <v>73</v>
      </c>
      <c r="O85" s="7" t="str">
        <f ca="1">getCodigoBackend(N85,A85,VLOOKUP(N85,setup!$A$8:$H$58,2),VLOOKUP(N85,setup!$A$8:$H$58,3),VLOOKUP(N85,setup!$A$8:$H$58,4),VLOOKUP(N85,setup!$A$8:$H$58,5),VLOOKUP(N85,setup!$A$8:$H$58,6),VLOOKUP(N85,setup!$A$8:$H$58,7), VLOOKUP(0,setup!$A$8:$H$58,2),VLOOKUP(0,setup!$A$8:$H$58,5),VLOOKUP(N85,setup!$A$8:$H$58,8))</f>
        <v>        $retorno-&gt;msgcodeString = MensagemCache::getInstance()-&gt;getMensagem($retorno-&gt;msgcode);</v>
      </c>
    </row>
    <row r="86" spans="1:15" x14ac:dyDescent="0.25">
      <c r="A86" s="6"/>
      <c r="O86" s="7" t="str">
        <f ca="1">getCodigoBackend(N86,A86,VLOOKUP(N86,setup!$A$8:$H$58,2),VLOOKUP(N86,setup!$A$8:$H$58,3),VLOOKUP(N86,setup!$A$8:$H$58,4),VLOOKUP(N86,setup!$A$8:$H$58,5),VLOOKUP(N86,setup!$A$8:$H$58,6),VLOOKUP(N86,setup!$A$8:$H$58,7), VLOOKUP(0,setup!$A$8:$H$58,2),VLOOKUP(0,setup!$A$8:$H$58,5),VLOOKUP(N86,setup!$A$8:$H$58,8))</f>
        <v/>
      </c>
    </row>
    <row r="87" spans="1:15" x14ac:dyDescent="0.25">
      <c r="A87" s="6"/>
      <c r="O87" s="7" t="str">
        <f ca="1">getCodigoBackend(N87,A87,VLOOKUP(N87,setup!$A$8:$H$58,2),VLOOKUP(N87,setup!$A$8:$H$58,3),VLOOKUP(N87,setup!$A$8:$H$58,4),VLOOKUP(N87,setup!$A$8:$H$58,5),VLOOKUP(N87,setup!$A$8:$H$58,6),VLOOKUP(N87,setup!$A$8:$H$58,7), VLOOKUP(0,setup!$A$8:$H$58,2),VLOOKUP(0,setup!$A$8:$H$58,5),VLOOKUP(N87,setup!$A$8:$H$58,8))</f>
        <v/>
      </c>
    </row>
    <row r="88" spans="1:15" x14ac:dyDescent="0.25">
      <c r="A88" s="6" t="s">
        <v>228</v>
      </c>
      <c r="O88" s="7" t="str">
        <f ca="1">getCodigoBackend(N88,A88,VLOOKUP(N88,setup!$A$8:$H$58,2),VLOOKUP(N88,setup!$A$8:$H$58,3),VLOOKUP(N88,setup!$A$8:$H$58,4),VLOOKUP(N88,setup!$A$8:$H$58,5),VLOOKUP(N88,setup!$A$8:$H$58,6),VLOOKUP(N88,setup!$A$8:$H$58,7), VLOOKUP(0,setup!$A$8:$H$58,2),VLOOKUP(0,setup!$A$8:$H$58,5),VLOOKUP(N88,setup!$A$8:$H$58,8))</f>
        <v>        $dao = $daofactory-&gt;getCampanhaCashbackResgatePixDAO($daofactory);</v>
      </c>
    </row>
    <row r="89" spans="1:15" x14ac:dyDescent="0.25">
      <c r="A89" s="6" t="s">
        <v>200</v>
      </c>
      <c r="O89" s="7" t="str">
        <f ca="1">getCodigoBackend(N89,A89,VLOOKUP(N89,setup!$A$8:$H$58,2),VLOOKUP(N89,setup!$A$8:$H$58,3),VLOOKUP(N89,setup!$A$8:$H$58,4),VLOOKUP(N89,setup!$A$8:$H$58,5),VLOOKUP(N89,setup!$A$8:$H$58,6),VLOOKUP(N89,setup!$A$8:$H$58,7), VLOOKUP(0,setup!$A$8:$H$58,2),VLOOKUP(0,setup!$A$8:$H$58,5),VLOOKUP(N89,setup!$A$8:$H$58,8))</f>
        <v>        if(!$dao-&gt;update($dto)){</v>
      </c>
    </row>
    <row r="90" spans="1:15" x14ac:dyDescent="0.25">
      <c r="A90" s="6" t="s">
        <v>201</v>
      </c>
      <c r="O90" s="7" t="str">
        <f ca="1">getCodigoBackend(N90,A90,VLOOKUP(N90,setup!$A$8:$H$58,2),VLOOKUP(N90,setup!$A$8:$H$58,3),VLOOKUP(N90,setup!$A$8:$H$58,4),VLOOKUP(N90,setup!$A$8:$H$58,5),VLOOKUP(N90,setup!$A$8:$H$58,6),VLOOKUP(N90,setup!$A$8:$H$58,7), VLOOKUP(0,setup!$A$8:$H$58,2),VLOOKUP(0,setup!$A$8:$H$58,5),VLOOKUP(N90,setup!$A$8:$H$58,8))</f>
        <v>           $retorno-&gt;msgcode = ConstantesMensagem::ERRO_CRUD_ATUALIZAR_REGISTRO;</v>
      </c>
    </row>
    <row r="91" spans="1:15" x14ac:dyDescent="0.25">
      <c r="A91" s="6" t="s">
        <v>202</v>
      </c>
      <c r="O91" s="7" t="str">
        <f ca="1">getCodigoBackend(N91,A91,VLOOKUP(N91,setup!$A$8:$H$58,2),VLOOKUP(N91,setup!$A$8:$H$58,3),VLOOKUP(N91,setup!$A$8:$H$58,4),VLOOKUP(N91,setup!$A$8:$H$58,5),VLOOKUP(N91,setup!$A$8:$H$58,6),VLOOKUP(N91,setup!$A$8:$H$58,7), VLOOKUP(0,setup!$A$8:$H$58,2),VLOOKUP(0,setup!$A$8:$H$58,5),VLOOKUP(N91,setup!$A$8:$H$58,8))</f>
        <v>           $retorno-&gt;msgcodeString = MensagemCache::getInstance()-&gt;getMensagem($retorno-&gt;msgcode);</v>
      </c>
    </row>
    <row r="92" spans="1:15" x14ac:dyDescent="0.25">
      <c r="A92" s="6" t="s">
        <v>35</v>
      </c>
      <c r="O92" s="7" t="str">
        <f ca="1">getCodigoBackend(N92,A92,VLOOKUP(N92,setup!$A$8:$H$58,2),VLOOKUP(N92,setup!$A$8:$H$58,3),VLOOKUP(N92,setup!$A$8:$H$58,4),VLOOKUP(N92,setup!$A$8:$H$58,5),VLOOKUP(N92,setup!$A$8:$H$58,6),VLOOKUP(N92,setup!$A$8:$H$58,7), VLOOKUP(0,setup!$A$8:$H$58,2),VLOOKUP(0,setup!$A$8:$H$58,5),VLOOKUP(N92,setup!$A$8:$H$58,8))</f>
        <v>    </v>
      </c>
    </row>
    <row r="93" spans="1:15" x14ac:dyDescent="0.25">
      <c r="A93" s="6" t="s">
        <v>60</v>
      </c>
      <c r="O93" s="7" t="str">
        <f ca="1">getCodigoBackend(N93,A93,VLOOKUP(N93,setup!$A$8:$H$58,2),VLOOKUP(N93,setup!$A$8:$H$58,3),VLOOKUP(N93,setup!$A$8:$H$58,4),VLOOKUP(N93,setup!$A$8:$H$58,5),VLOOKUP(N93,setup!$A$8:$H$58,6),VLOOKUP(N93,setup!$A$8:$H$58,7), VLOOKUP(0,setup!$A$8:$H$58,2),VLOOKUP(0,setup!$A$8:$H$58,5),VLOOKUP(N93,setup!$A$8:$H$58,8))</f>
        <v>        }</v>
      </c>
    </row>
    <row r="94" spans="1:15" x14ac:dyDescent="0.25">
      <c r="A94" s="6" t="s">
        <v>92</v>
      </c>
      <c r="O94" s="7" t="str">
        <f ca="1">getCodigoBackend(N94,A94,VLOOKUP(N94,setup!$A$8:$H$58,2),VLOOKUP(N94,setup!$A$8:$H$58,3),VLOOKUP(N94,setup!$A$8:$H$58,4),VLOOKUP(N94,setup!$A$8:$H$58,5),VLOOKUP(N94,setup!$A$8:$H$58,6),VLOOKUP(N94,setup!$A$8:$H$58,7), VLOOKUP(0,setup!$A$8:$H$58,2),VLOOKUP(0,setup!$A$8:$H$58,5),VLOOKUP(N94,setup!$A$8:$H$58,8))</f>
        <v>        // retorna situação</v>
      </c>
    </row>
    <row r="95" spans="1:15" x14ac:dyDescent="0.25">
      <c r="A95" s="6" t="s">
        <v>61</v>
      </c>
      <c r="O95" s="7" t="str">
        <f ca="1">getCodigoBackend(N95,A95,VLOOKUP(N95,setup!$A$8:$H$58,2),VLOOKUP(N95,setup!$A$8:$H$58,3),VLOOKUP(N95,setup!$A$8:$H$58,4),VLOOKUP(N95,setup!$A$8:$H$58,5),VLOOKUP(N95,setup!$A$8:$H$58,6),VLOOKUP(N95,setup!$A$8:$H$58,7), VLOOKUP(0,setup!$A$8:$H$58,2),VLOOKUP(0,setup!$A$8:$H$58,5),VLOOKUP(N95,setup!$A$8:$H$58,8))</f>
        <v>        return $retorno;</v>
      </c>
    </row>
    <row r="96" spans="1:15" x14ac:dyDescent="0.25">
      <c r="O96" s="7" t="str">
        <f ca="1">getCodigoBackend(N96,A96,VLOOKUP(N96,setup!$A$8:$H$58,2),VLOOKUP(N96,setup!$A$8:$H$58,3),VLOOKUP(N96,setup!$A$8:$H$58,4),VLOOKUP(N96,setup!$A$8:$H$58,5),VLOOKUP(N96,setup!$A$8:$H$58,6),VLOOKUP(N96,setup!$A$8:$H$58,7), VLOOKUP(0,setup!$A$8:$H$58,2),VLOOKUP(0,setup!$A$8:$H$58,5),VLOOKUP(N96,setup!$A$8:$H$58,8))</f>
        <v/>
      </c>
    </row>
    <row r="97" spans="1:15" x14ac:dyDescent="0.25">
      <c r="A97" s="6" t="s">
        <v>62</v>
      </c>
      <c r="O97" s="7" t="str">
        <f ca="1">getCodigoBackend(N97,A97,VLOOKUP(N97,setup!$A$8:$H$58,2),VLOOKUP(N97,setup!$A$8:$H$58,3),VLOOKUP(N97,setup!$A$8:$H$58,4),VLOOKUP(N97,setup!$A$8:$H$58,5),VLOOKUP(N97,setup!$A$8:$H$58,6),VLOOKUP(N97,setup!$A$8:$H$58,7), VLOOKUP(0,setup!$A$8:$H$58,2),VLOOKUP(0,setup!$A$8:$H$58,5),VLOOKUP(N97,setup!$A$8:$H$58,8))</f>
        <v>    }</v>
      </c>
    </row>
    <row r="98" spans="1:15" x14ac:dyDescent="0.25">
      <c r="A98" s="6"/>
      <c r="O98" s="7" t="str">
        <f ca="1">getCodigoBackend(N98,A98,VLOOKUP(N98,setup!$A$8:$H$58,2),VLOOKUP(N98,setup!$A$8:$H$58,3),VLOOKUP(N98,setup!$A$8:$H$58,4),VLOOKUP(N98,setup!$A$8:$H$58,5),VLOOKUP(N98,setup!$A$8:$H$58,6),VLOOKUP(N98,setup!$A$8:$H$58,7), VLOOKUP(0,setup!$A$8:$H$58,2),VLOOKUP(0,setup!$A$8:$H$58,5),VLOOKUP(N98,setup!$A$8:$H$58,8))</f>
        <v/>
      </c>
    </row>
    <row r="99" spans="1:15" x14ac:dyDescent="0.25">
      <c r="A99" s="4" t="s">
        <v>19</v>
      </c>
      <c r="O99" s="7" t="str">
        <f ca="1">getCodigoBackend(N99,A99,VLOOKUP(N99,setup!$A$8:$H$58,2),VLOOKUP(N99,setup!$A$8:$H$58,3),VLOOKUP(N99,setup!$A$8:$H$58,4),VLOOKUP(N99,setup!$A$8:$H$58,5),VLOOKUP(N99,setup!$A$8:$H$58,6),VLOOKUP(N99,setup!$A$8:$H$58,7), VLOOKUP(0,setup!$A$8:$H$58,2),VLOOKUP(0,setup!$A$8:$H$58,5),VLOOKUP(N99,setup!$A$8:$H$58,8))</f>
        <v>/**</v>
      </c>
    </row>
    <row r="100" spans="1:15" x14ac:dyDescent="0.25">
      <c r="A100" s="4" t="s">
        <v>376</v>
      </c>
      <c r="O100" s="7" t="str">
        <f ca="1">getCodigoBackend(N100,A100,VLOOKUP(N100,setup!$A$8:$H$58,2),VLOOKUP(N100,setup!$A$8:$H$58,3),VLOOKUP(N100,setup!$A$8:$H$58,4),VLOOKUP(N100,setup!$A$8:$H$58,5),VLOOKUP(N100,setup!$A$8:$H$58,6),VLOOKUP(N100,setup!$A$8:$H$58,7), VLOOKUP(0,setup!$A$8:$H$58,2),VLOOKUP(0,setup!$A$8:$H$58,5),VLOOKUP(N100,setup!$A$8:$H$58,8))</f>
        <v>* deletar() - excluir fisicamente um registro com base no dto CampanhaCashbackResgatePixDTO-&gt;id</v>
      </c>
    </row>
    <row r="101" spans="1:15" x14ac:dyDescent="0.25">
      <c r="A101" s="4" t="s">
        <v>361</v>
      </c>
      <c r="O101" s="7" t="str">
        <f ca="1">getCodigoBackend(N101,A101,VLOOKUP(N101,setup!$A$8:$H$58,2),VLOOKUP(N101,setup!$A$8:$H$58,3),VLOOKUP(N101,setup!$A$8:$H$58,4),VLOOKUP(N101,setup!$A$8:$H$58,5),VLOOKUP(N101,setup!$A$8:$H$58,6),VLOOKUP(N101,setup!$A$8:$H$58,7), VLOOKUP(0,setup!$A$8:$H$58,2),VLOOKUP(0,setup!$A$8:$H$58,5),VLOOKUP(N101,setup!$A$8:$H$58,8))</f>
        <v>* @param $daofactory</v>
      </c>
    </row>
    <row r="102" spans="1:15" x14ac:dyDescent="0.25">
      <c r="A102" s="4" t="s">
        <v>20</v>
      </c>
      <c r="O102" s="7" t="str">
        <f ca="1">getCodigoBackend(N102,A102,VLOOKUP(N102,setup!$A$8:$H$58,2),VLOOKUP(N102,setup!$A$8:$H$58,3),VLOOKUP(N102,setup!$A$8:$H$58,4),VLOOKUP(N102,setup!$A$8:$H$58,5),VLOOKUP(N102,setup!$A$8:$H$58,6),VLOOKUP(N102,setup!$A$8:$H$58,7), VLOOKUP(0,setup!$A$8:$H$58,2),VLOOKUP(0,setup!$A$8:$H$58,5),VLOOKUP(N102,setup!$A$8:$H$58,8))</f>
        <v>*</v>
      </c>
    </row>
    <row r="103" spans="1:15" x14ac:dyDescent="0.25">
      <c r="A103" s="4" t="s">
        <v>362</v>
      </c>
      <c r="O103" s="7" t="str">
        <f ca="1">getCodigoBackend(N103,A103,VLOOKUP(N103,setup!$A$8:$H$58,2),VLOOKUP(N103,setup!$A$8:$H$58,3),VLOOKUP(N103,setup!$A$8:$H$58,4),VLOOKUP(N103,setup!$A$8:$H$58,5),VLOOKUP(N103,setup!$A$8:$H$58,6),VLOOKUP(N103,setup!$A$8:$H$58,7), VLOOKUP(0,setup!$A$8:$H$58,2),VLOOKUP(0,setup!$A$8:$H$58,5),VLOOKUP(N103,setup!$A$8:$H$58,8))</f>
        <v>* @return $dto</v>
      </c>
    </row>
    <row r="104" spans="1:15" x14ac:dyDescent="0.25">
      <c r="A104" s="4" t="s">
        <v>365</v>
      </c>
      <c r="O104" s="7" t="str">
        <f ca="1">getCodigoBackend(N104,A104,VLOOKUP(N104,setup!$A$8:$H$58,2),VLOOKUP(N104,setup!$A$8:$H$58,3),VLOOKUP(N104,setup!$A$8:$H$58,4),VLOOKUP(N104,setup!$A$8:$H$58,5),VLOOKUP(N104,setup!$A$8:$H$58,6),VLOOKUP(N104,setup!$A$8:$H$58,7), VLOOKUP(0,setup!$A$8:$H$58,2),VLOOKUP(0,setup!$A$8:$H$58,5),VLOOKUP(N104,setup!$A$8:$H$58,8))</f>
        <v>* @see ConstantesMensagem::COMANDO_REALIZADO_COM_SUCESSO</v>
      </c>
    </row>
    <row r="105" spans="1:15" x14ac:dyDescent="0.25">
      <c r="A105" s="4" t="s">
        <v>377</v>
      </c>
      <c r="O105" s="7" t="str">
        <f ca="1">getCodigoBackend(N105,A105,VLOOKUP(N105,setup!$A$8:$H$58,2),VLOOKUP(N105,setup!$A$8:$H$58,3),VLOOKUP(N105,setup!$A$8:$H$58,4),VLOOKUP(N105,setup!$A$8:$H$58,5),VLOOKUP(N105,setup!$A$8:$H$58,6),VLOOKUP(N105,setup!$A$8:$H$58,7), VLOOKUP(0,setup!$A$8:$H$58,2),VLOOKUP(0,setup!$A$8:$H$58,5),VLOOKUP(N105,setup!$A$8:$H$58,8))</f>
        <v>* @see ConstantesMensagem::ERRO_CRUD_EXCLUIR_REGISTRO</v>
      </c>
    </row>
    <row r="106" spans="1:15" x14ac:dyDescent="0.25">
      <c r="A106" s="4" t="s">
        <v>363</v>
      </c>
      <c r="O106" s="7" t="str">
        <f ca="1">getCodigoBackend(N106,A106,VLOOKUP(N106,setup!$A$8:$H$58,2),VLOOKUP(N106,setup!$A$8:$H$58,3),VLOOKUP(N106,setup!$A$8:$H$58,4),VLOOKUP(N106,setup!$A$8:$H$58,5),VLOOKUP(N106,setup!$A$8:$H$58,6),VLOOKUP(N106,setup!$A$8:$H$58,7), VLOOKUP(0,setup!$A$8:$H$58,2),VLOOKUP(0,setup!$A$8:$H$58,5),VLOOKUP(N106,setup!$A$8:$H$58,8))</f>
        <v xml:space="preserve">*/ </v>
      </c>
    </row>
    <row r="107" spans="1:15" x14ac:dyDescent="0.25">
      <c r="A107" s="6" t="s">
        <v>35</v>
      </c>
      <c r="O107" s="7" t="str">
        <f ca="1">getCodigoBackend(N107,A107,VLOOKUP(N107,setup!$A$8:$H$58,2),VLOOKUP(N107,setup!$A$8:$H$58,3),VLOOKUP(N107,setup!$A$8:$H$58,4),VLOOKUP(N107,setup!$A$8:$H$58,5),VLOOKUP(N107,setup!$A$8:$H$58,6),VLOOKUP(N107,setup!$A$8:$H$58,7), VLOOKUP(0,setup!$A$8:$H$58,2),VLOOKUP(0,setup!$A$8:$H$58,5),VLOOKUP(N107,setup!$A$8:$H$58,8))</f>
        <v>    </v>
      </c>
    </row>
    <row r="108" spans="1:15" x14ac:dyDescent="0.25">
      <c r="A108" s="6" t="s">
        <v>93</v>
      </c>
      <c r="O108" s="7" t="str">
        <f ca="1">getCodigoBackend(N108,A108,VLOOKUP(N108,setup!$A$8:$H$58,2),VLOOKUP(N108,setup!$A$8:$H$58,3),VLOOKUP(N108,setup!$A$8:$H$58,4),VLOOKUP(N108,setup!$A$8:$H$58,5),VLOOKUP(N108,setup!$A$8:$H$58,6),VLOOKUP(N108,setup!$A$8:$H$58,7), VLOOKUP(0,setup!$A$8:$H$58,2),VLOOKUP(0,setup!$A$8:$H$58,5),VLOOKUP(N108,setup!$A$8:$H$58,8))</f>
        <v>    public function deletar($daofactory, $dto)  </v>
      </c>
    </row>
    <row r="109" spans="1:15" x14ac:dyDescent="0.25">
      <c r="A109" s="6" t="s">
        <v>90</v>
      </c>
      <c r="O109" s="7" t="str">
        <f ca="1">getCodigoBackend(N109,A109,VLOOKUP(N109,setup!$A$8:$H$58,2),VLOOKUP(N109,setup!$A$8:$H$58,3),VLOOKUP(N109,setup!$A$8:$H$58,4),VLOOKUP(N109,setup!$A$8:$H$58,5),VLOOKUP(N109,setup!$A$8:$H$58,6),VLOOKUP(N109,setup!$A$8:$H$58,7), VLOOKUP(0,setup!$A$8:$H$58,2),VLOOKUP(0,setup!$A$8:$H$58,5),VLOOKUP(N109,setup!$A$8:$H$58,8))</f>
        <v>    {   </v>
      </c>
    </row>
    <row r="110" spans="1:15" x14ac:dyDescent="0.25">
      <c r="A110" s="4" t="s">
        <v>371</v>
      </c>
      <c r="O110" s="7" t="str">
        <f ca="1">getCodigoBackend(N110,A110,VLOOKUP(N110,setup!$A$8:$H$58,2),VLOOKUP(N110,setup!$A$8:$H$58,3),VLOOKUP(N110,setup!$A$8:$H$58,4),VLOOKUP(N110,setup!$A$8:$H$58,5),VLOOKUP(N110,setup!$A$8:$H$58,6),VLOOKUP(N110,setup!$A$8:$H$58,7), VLOOKUP(0,setup!$A$8:$H$58,2),VLOOKUP(0,setup!$A$8:$H$58,5),VLOOKUP(N110,setup!$A$8:$H$58,8))</f>
        <v xml:space="preserve">        // retorno default</v>
      </c>
    </row>
    <row r="111" spans="1:15" x14ac:dyDescent="0.25">
      <c r="A111" s="8" t="s">
        <v>372</v>
      </c>
      <c r="O111" s="7" t="str">
        <f ca="1">getCodigoBackend(N111,A111,VLOOKUP(N111,setup!$A$8:$H$58,2),VLOOKUP(N111,setup!$A$8:$H$58,3),VLOOKUP(N111,setup!$A$8:$H$58,4),VLOOKUP(N111,setup!$A$8:$H$58,5),VLOOKUP(N111,setup!$A$8:$H$58,6),VLOOKUP(N111,setup!$A$8:$H$58,7), VLOOKUP(0,setup!$A$8:$H$58,2),VLOOKUP(0,setup!$A$8:$H$58,5),VLOOKUP(N111,setup!$A$8:$H$58,8))</f>
        <v xml:space="preserve">        $retorno = new DTOPadrao();</v>
      </c>
    </row>
    <row r="112" spans="1:15" x14ac:dyDescent="0.25">
      <c r="A112" s="8" t="s">
        <v>373</v>
      </c>
      <c r="O112" s="7" t="str">
        <f ca="1">getCodigoBackend(N112,A112,VLOOKUP(N112,setup!$A$8:$H$58,2),VLOOKUP(N112,setup!$A$8:$H$58,3),VLOOKUP(N112,setup!$A$8:$H$58,4),VLOOKUP(N112,setup!$A$8:$H$58,5),VLOOKUP(N112,setup!$A$8:$H$58,6),VLOOKUP(N112,setup!$A$8:$H$58,7), VLOOKUP(0,setup!$A$8:$H$58,2),VLOOKUP(0,setup!$A$8:$H$58,5),VLOOKUP(N112,setup!$A$8:$H$58,8))</f>
        <v xml:space="preserve">        $retorno-&gt;msgcode = ConstantesMensagem::COMANDO_REALIZADO_COM_SUCESSO;</v>
      </c>
    </row>
    <row r="113" spans="1:15" x14ac:dyDescent="0.25">
      <c r="A113" s="8" t="s">
        <v>370</v>
      </c>
      <c r="O113" s="7" t="str">
        <f ca="1">getCodigoBackend(N113,A113,VLOOKUP(N113,setup!$A$8:$H$58,2),VLOOKUP(N113,setup!$A$8:$H$58,3),VLOOKUP(N113,setup!$A$8:$H$58,4),VLOOKUP(N113,setup!$A$8:$H$58,5),VLOOKUP(N113,setup!$A$8:$H$58,6),VLOOKUP(N113,setup!$A$8:$H$58,7), VLOOKUP(0,setup!$A$8:$H$58,2),VLOOKUP(0,setup!$A$8:$H$58,5),VLOOKUP(N113,setup!$A$8:$H$58,8))</f>
        <v xml:space="preserve">        $retorno-&gt;msgcodeString = MensagemCache::getInstance()-&gt;getMensagem($retorno-&gt;msgcode);</v>
      </c>
    </row>
    <row r="114" spans="1:15" x14ac:dyDescent="0.25">
      <c r="A114" s="6" t="s">
        <v>228</v>
      </c>
      <c r="O114" s="7" t="str">
        <f ca="1">getCodigoBackend(N114,A114,VLOOKUP(N114,setup!$A$8:$H$58,2),VLOOKUP(N114,setup!$A$8:$H$58,3),VLOOKUP(N114,setup!$A$8:$H$58,4),VLOOKUP(N114,setup!$A$8:$H$58,5),VLOOKUP(N114,setup!$A$8:$H$58,6),VLOOKUP(N114,setup!$A$8:$H$58,7), VLOOKUP(0,setup!$A$8:$H$58,2),VLOOKUP(0,setup!$A$8:$H$58,5),VLOOKUP(N114,setup!$A$8:$H$58,8))</f>
        <v>        $dao = $daofactory-&gt;getCampanhaCashbackResgatePixDAO($daofactory);</v>
      </c>
    </row>
    <row r="115" spans="1:15" x14ac:dyDescent="0.25">
      <c r="A115" s="6"/>
      <c r="O115" s="7" t="str">
        <f ca="1">getCodigoBackend(N115,A115,VLOOKUP(N115,setup!$A$8:$H$58,2),VLOOKUP(N115,setup!$A$8:$H$58,3),VLOOKUP(N115,setup!$A$8:$H$58,4),VLOOKUP(N115,setup!$A$8:$H$58,5),VLOOKUP(N115,setup!$A$8:$H$58,6),VLOOKUP(N115,setup!$A$8:$H$58,7), VLOOKUP(0,setup!$A$8:$H$58,2),VLOOKUP(0,setup!$A$8:$H$58,5),VLOOKUP(N115,setup!$A$8:$H$58,8))</f>
        <v/>
      </c>
    </row>
    <row r="116" spans="1:15" x14ac:dyDescent="0.25">
      <c r="A116" s="6" t="s">
        <v>374</v>
      </c>
      <c r="O116" s="7" t="str">
        <f ca="1">getCodigoBackend(N116,A116,VLOOKUP(N116,setup!$A$8:$H$58,2),VLOOKUP(N116,setup!$A$8:$H$58,3),VLOOKUP(N116,setup!$A$8:$H$58,4),VLOOKUP(N116,setup!$A$8:$H$58,5),VLOOKUP(N116,setup!$A$8:$H$58,6),VLOOKUP(N116,setup!$A$8:$H$58,7), VLOOKUP(0,setup!$A$8:$H$58,2),VLOOKUP(0,setup!$A$8:$H$58,5),VLOOKUP(N116,setup!$A$8:$H$58,8))</f>
        <v xml:space="preserve">        if(!$dao-&gt;delete($dto)){</v>
      </c>
    </row>
    <row r="117" spans="1:15" x14ac:dyDescent="0.25">
      <c r="A117" s="6" t="s">
        <v>375</v>
      </c>
      <c r="O117" s="7" t="str">
        <f ca="1">getCodigoBackend(N117,A117,VLOOKUP(N117,setup!$A$8:$H$58,2),VLOOKUP(N117,setup!$A$8:$H$58,3),VLOOKUP(N117,setup!$A$8:$H$58,4),VLOOKUP(N117,setup!$A$8:$H$58,5),VLOOKUP(N117,setup!$A$8:$H$58,6),VLOOKUP(N117,setup!$A$8:$H$58,7), VLOOKUP(0,setup!$A$8:$H$58,2),VLOOKUP(0,setup!$A$8:$H$58,5),VLOOKUP(N117,setup!$A$8:$H$58,8))</f>
        <v xml:space="preserve">           $retorno-&gt;msgcode = ConstantesMensagem::ERRO_CRUD_EXCLUIR_REGISTRO;</v>
      </c>
    </row>
    <row r="118" spans="1:15" x14ac:dyDescent="0.25">
      <c r="A118" s="6" t="s">
        <v>369</v>
      </c>
      <c r="O118" s="7" t="str">
        <f ca="1">getCodigoBackend(N118,A118,VLOOKUP(N118,setup!$A$8:$H$58,2),VLOOKUP(N118,setup!$A$8:$H$58,3),VLOOKUP(N118,setup!$A$8:$H$58,4),VLOOKUP(N118,setup!$A$8:$H$58,5),VLOOKUP(N118,setup!$A$8:$H$58,6),VLOOKUP(N118,setup!$A$8:$H$58,7), VLOOKUP(0,setup!$A$8:$H$58,2),VLOOKUP(0,setup!$A$8:$H$58,5),VLOOKUP(N118,setup!$A$8:$H$58,8))</f>
        <v xml:space="preserve">           $retorno-&gt;msgcodeString = MensagemCache::getInstance()-&gt;getMensagem($retorno-&gt;msgcode);</v>
      </c>
    </row>
    <row r="119" spans="1:15" x14ac:dyDescent="0.25">
      <c r="A119" s="6" t="s">
        <v>157</v>
      </c>
      <c r="O119" s="7" t="str">
        <f ca="1">getCodigoBackend(N119,A119,VLOOKUP(N119,setup!$A$8:$H$58,2),VLOOKUP(N119,setup!$A$8:$H$58,3),VLOOKUP(N119,setup!$A$8:$H$58,4),VLOOKUP(N119,setup!$A$8:$H$58,5),VLOOKUP(N119,setup!$A$8:$H$58,6),VLOOKUP(N119,setup!$A$8:$H$58,7), VLOOKUP(0,setup!$A$8:$H$58,2),VLOOKUP(0,setup!$A$8:$H$58,5),VLOOKUP(N119,setup!$A$8:$H$58,8))</f>
        <v xml:space="preserve">        }</v>
      </c>
    </row>
    <row r="120" spans="1:15" x14ac:dyDescent="0.25">
      <c r="A120" s="6"/>
      <c r="O120" s="7" t="str">
        <f ca="1">getCodigoBackend(N120,A120,VLOOKUP(N120,setup!$A$8:$H$58,2),VLOOKUP(N120,setup!$A$8:$H$58,3),VLOOKUP(N120,setup!$A$8:$H$58,4),VLOOKUP(N120,setup!$A$8:$H$58,5),VLOOKUP(N120,setup!$A$8:$H$58,6),VLOOKUP(N120,setup!$A$8:$H$58,7), VLOOKUP(0,setup!$A$8:$H$58,2),VLOOKUP(0,setup!$A$8:$H$58,5),VLOOKUP(N120,setup!$A$8:$H$58,8))</f>
        <v/>
      </c>
    </row>
    <row r="121" spans="1:15" x14ac:dyDescent="0.25">
      <c r="A121" s="6" t="s">
        <v>61</v>
      </c>
      <c r="O121" s="7" t="str">
        <f ca="1">getCodigoBackend(N121,A121,VLOOKUP(N121,setup!$A$8:$H$58,2),VLOOKUP(N121,setup!$A$8:$H$58,3),VLOOKUP(N121,setup!$A$8:$H$58,4),VLOOKUP(N121,setup!$A$8:$H$58,5),VLOOKUP(N121,setup!$A$8:$H$58,6),VLOOKUP(N121,setup!$A$8:$H$58,7), VLOOKUP(0,setup!$A$8:$H$58,2),VLOOKUP(0,setup!$A$8:$H$58,5),VLOOKUP(N121,setup!$A$8:$H$58,8))</f>
        <v>        return $retorno;</v>
      </c>
    </row>
    <row r="122" spans="1:15" x14ac:dyDescent="0.25">
      <c r="A122" s="6" t="s">
        <v>62</v>
      </c>
      <c r="O122" s="7" t="str">
        <f ca="1">getCodigoBackend(N122,A122,VLOOKUP(N122,setup!$A$8:$H$58,2),VLOOKUP(N122,setup!$A$8:$H$58,3),VLOOKUP(N122,setup!$A$8:$H$58,4),VLOOKUP(N122,setup!$A$8:$H$58,5),VLOOKUP(N122,setup!$A$8:$H$58,6),VLOOKUP(N122,setup!$A$8:$H$58,7), VLOOKUP(0,setup!$A$8:$H$58,2),VLOOKUP(0,setup!$A$8:$H$58,5),VLOOKUP(N122,setup!$A$8:$H$58,8))</f>
        <v>    }</v>
      </c>
    </row>
    <row r="123" spans="1:15" x14ac:dyDescent="0.25">
      <c r="A123" s="6"/>
      <c r="O123" s="7" t="str">
        <f ca="1">getCodigoBackend(N123,A123,VLOOKUP(N123,setup!$A$8:$H$58,2),VLOOKUP(N123,setup!$A$8:$H$58,3),VLOOKUP(N123,setup!$A$8:$H$58,4),VLOOKUP(N123,setup!$A$8:$H$58,5),VLOOKUP(N123,setup!$A$8:$H$58,6),VLOOKUP(N123,setup!$A$8:$H$58,7), VLOOKUP(0,setup!$A$8:$H$58,2),VLOOKUP(0,setup!$A$8:$H$58,5),VLOOKUP(N123,setup!$A$8:$H$58,8))</f>
        <v/>
      </c>
    </row>
    <row r="124" spans="1:15" x14ac:dyDescent="0.25">
      <c r="A124" s="4" t="s">
        <v>19</v>
      </c>
      <c r="O124" s="7" t="str">
        <f ca="1">getCodigoBackend(N124,A124,VLOOKUP(N124,setup!$A$8:$H$58,2),VLOOKUP(N124,setup!$A$8:$H$58,3),VLOOKUP(N124,setup!$A$8:$H$58,4),VLOOKUP(N124,setup!$A$8:$H$58,5),VLOOKUP(N124,setup!$A$8:$H$58,6),VLOOKUP(N124,setup!$A$8:$H$58,7), VLOOKUP(0,setup!$A$8:$H$58,2),VLOOKUP(0,setup!$A$8:$H$58,5),VLOOKUP(N124,setup!$A$8:$H$58,8))</f>
        <v>/**</v>
      </c>
    </row>
    <row r="125" spans="1:15" x14ac:dyDescent="0.25">
      <c r="A125" s="4" t="s">
        <v>380</v>
      </c>
      <c r="O125" s="7" t="str">
        <f ca="1">getCodigoBackend(N125,A125,VLOOKUP(N125,setup!$A$8:$H$58,2),VLOOKUP(N125,setup!$A$8:$H$58,3),VLOOKUP(N125,setup!$A$8:$H$58,4),VLOOKUP(N125,setup!$A$8:$H$58,5),VLOOKUP(N125,setup!$A$8:$H$58,6),VLOOKUP(N125,setup!$A$8:$H$58,7), VLOOKUP(0,setup!$A$8:$H$58,2),VLOOKUP(0,setup!$A$8:$H$58,5),VLOOKUP(N125,setup!$A$8:$H$58,8))</f>
        <v>* listarPagina() - listar registros de forma paginada</v>
      </c>
    </row>
    <row r="126" spans="1:15" x14ac:dyDescent="0.25">
      <c r="A126" s="4" t="s">
        <v>361</v>
      </c>
      <c r="O126" s="7" t="str">
        <f ca="1">getCodigoBackend(N126,A126,VLOOKUP(N126,setup!$A$8:$H$58,2),VLOOKUP(N126,setup!$A$8:$H$58,3),VLOOKUP(N126,setup!$A$8:$H$58,4),VLOOKUP(N126,setup!$A$8:$H$58,5),VLOOKUP(N126,setup!$A$8:$H$58,6),VLOOKUP(N126,setup!$A$8:$H$58,7), VLOOKUP(0,setup!$A$8:$H$58,2),VLOOKUP(0,setup!$A$8:$H$58,5),VLOOKUP(N126,setup!$A$8:$H$58,8))</f>
        <v>* @param $daofactory</v>
      </c>
    </row>
    <row r="127" spans="1:15" x14ac:dyDescent="0.25">
      <c r="A127" s="4" t="s">
        <v>342</v>
      </c>
      <c r="O127" s="7" t="str">
        <f ca="1">getCodigoBackend(N127,A127,VLOOKUP(N127,setup!$A$8:$H$58,2),VLOOKUP(N127,setup!$A$8:$H$58,3),VLOOKUP(N127,setup!$A$8:$H$58,4),VLOOKUP(N127,setup!$A$8:$H$58,5),VLOOKUP(N127,setup!$A$8:$H$58,6),VLOOKUP(N127,setup!$A$8:$H$58,7), VLOOKUP(0,setup!$A$8:$H$58,2),VLOOKUP(0,setup!$A$8:$H$58,5),VLOOKUP(N127,setup!$A$8:$H$58,8))</f>
        <v>* @param $pag</v>
      </c>
    </row>
    <row r="128" spans="1:15" x14ac:dyDescent="0.25">
      <c r="A128" s="4" t="s">
        <v>343</v>
      </c>
      <c r="O128" s="7" t="str">
        <f ca="1">getCodigoBackend(N128,A128,VLOOKUP(N128,setup!$A$8:$H$58,2),VLOOKUP(N128,setup!$A$8:$H$58,3),VLOOKUP(N128,setup!$A$8:$H$58,4),VLOOKUP(N128,setup!$A$8:$H$58,5),VLOOKUP(N128,setup!$A$8:$H$58,6),VLOOKUP(N128,setup!$A$8:$H$58,7), VLOOKUP(0,setup!$A$8:$H$58,2),VLOOKUP(0,setup!$A$8:$H$58,5),VLOOKUP(N128,setup!$A$8:$H$58,8))</f>
        <v>* @param $qtde</v>
      </c>
    </row>
    <row r="129" spans="1:15" x14ac:dyDescent="0.25">
      <c r="A129" s="4" t="s">
        <v>20</v>
      </c>
      <c r="O129" s="7" t="str">
        <f ca="1">getCodigoBackend(N129,A129,VLOOKUP(N129,setup!$A$8:$H$58,2),VLOOKUP(N129,setup!$A$8:$H$58,3),VLOOKUP(N129,setup!$A$8:$H$58,4),VLOOKUP(N129,setup!$A$8:$H$58,5),VLOOKUP(N129,setup!$A$8:$H$58,6),VLOOKUP(N129,setup!$A$8:$H$58,7), VLOOKUP(0,setup!$A$8:$H$58,2),VLOOKUP(0,setup!$A$8:$H$58,5),VLOOKUP(N129,setup!$A$8:$H$58,8))</f>
        <v>*</v>
      </c>
    </row>
    <row r="130" spans="1:15" x14ac:dyDescent="0.25">
      <c r="A130" s="4" t="s">
        <v>421</v>
      </c>
      <c r="O130" s="7" t="str">
        <f ca="1">getCodigoBackend(N130,A130,VLOOKUP(N130,setup!$A$8:$H$58,2),VLOOKUP(N130,setup!$A$8:$H$58,3),VLOOKUP(N130,setup!$A$8:$H$58,4),VLOOKUP(N130,setup!$A$8:$H$58,5),VLOOKUP(N130,setup!$A$8:$H$58,6),VLOOKUP(N130,setup!$A$8:$H$58,7), VLOOKUP(0,setup!$A$8:$H$58,2),VLOOKUP(0,setup!$A$8:$H$58,5),VLOOKUP(N130,setup!$A$8:$H$58,8))</f>
        <v>* @return List&lt;CampanhaCashbackResgatePixDTO&gt;[]</v>
      </c>
    </row>
    <row r="131" spans="1:15" x14ac:dyDescent="0.25">
      <c r="A131" s="4" t="s">
        <v>381</v>
      </c>
      <c r="O131" s="7" t="str">
        <f ca="1">getCodigoBackend(N131,A131,VLOOKUP(N131,setup!$A$8:$H$58,2),VLOOKUP(N131,setup!$A$8:$H$58,3),VLOOKUP(N131,setup!$A$8:$H$58,4),VLOOKUP(N131,setup!$A$8:$H$58,5),VLOOKUP(N131,setup!$A$8:$H$58,6),VLOOKUP(N131,setup!$A$8:$H$58,7), VLOOKUP(0,setup!$A$8:$H$58,2),VLOOKUP(0,setup!$A$8:$H$58,5),VLOOKUP(N131,setup!$A$8:$H$58,8))</f>
        <v>* @deprecated</v>
      </c>
    </row>
    <row r="132" spans="1:15" x14ac:dyDescent="0.25">
      <c r="A132" s="4" t="s">
        <v>363</v>
      </c>
      <c r="O132" s="7" t="str">
        <f ca="1">getCodigoBackend(N132,A132,VLOOKUP(N132,setup!$A$8:$H$58,2),VLOOKUP(N132,setup!$A$8:$H$58,3),VLOOKUP(N132,setup!$A$8:$H$58,4),VLOOKUP(N132,setup!$A$8:$H$58,5),VLOOKUP(N132,setup!$A$8:$H$58,6),VLOOKUP(N132,setup!$A$8:$H$58,7), VLOOKUP(0,setup!$A$8:$H$58,2),VLOOKUP(0,setup!$A$8:$H$58,5),VLOOKUP(N132,setup!$A$8:$H$58,8))</f>
        <v xml:space="preserve">*/ </v>
      </c>
    </row>
    <row r="133" spans="1:15" x14ac:dyDescent="0.25">
      <c r="O133" s="7" t="str">
        <f ca="1">getCodigoBackend(N133,A133,VLOOKUP(N133,setup!$A$8:$H$58,2),VLOOKUP(N133,setup!$A$8:$H$58,3),VLOOKUP(N133,setup!$A$8:$H$58,4),VLOOKUP(N133,setup!$A$8:$H$58,5),VLOOKUP(N133,setup!$A$8:$H$58,6),VLOOKUP(N133,setup!$A$8:$H$58,7), VLOOKUP(0,setup!$A$8:$H$58,2),VLOOKUP(0,setup!$A$8:$H$58,5),VLOOKUP(N133,setup!$A$8:$H$58,8))</f>
        <v/>
      </c>
    </row>
    <row r="134" spans="1:15" x14ac:dyDescent="0.25">
      <c r="A134" s="6" t="s">
        <v>94</v>
      </c>
      <c r="O134" s="7" t="str">
        <f ca="1">getCodigoBackend(N134,A134,VLOOKUP(N134,setup!$A$8:$H$58,2),VLOOKUP(N134,setup!$A$8:$H$58,3),VLOOKUP(N134,setup!$A$8:$H$58,4),VLOOKUP(N134,setup!$A$8:$H$58,5),VLOOKUP(N134,setup!$A$8:$H$58,6),VLOOKUP(N134,setup!$A$8:$H$58,7), VLOOKUP(0,setup!$A$8:$H$58,2),VLOOKUP(0,setup!$A$8:$H$58,5),VLOOKUP(N134,setup!$A$8:$H$58,8))</f>
        <v>    public function listarPagina($daofactory, $pag, $qtde)  </v>
      </c>
    </row>
    <row r="135" spans="1:15" x14ac:dyDescent="0.25">
      <c r="A135" s="6" t="s">
        <v>90</v>
      </c>
      <c r="O135" s="7" t="str">
        <f ca="1">getCodigoBackend(N135,A135,VLOOKUP(N135,setup!$A$8:$H$58,2),VLOOKUP(N135,setup!$A$8:$H$58,3),VLOOKUP(N135,setup!$A$8:$H$58,4),VLOOKUP(N135,setup!$A$8:$H$58,5),VLOOKUP(N135,setup!$A$8:$H$58,6),VLOOKUP(N135,setup!$A$8:$H$58,7), VLOOKUP(0,setup!$A$8:$H$58,2),VLOOKUP(0,setup!$A$8:$H$58,5),VLOOKUP(N135,setup!$A$8:$H$58,8))</f>
        <v>    {   </v>
      </c>
    </row>
    <row r="136" spans="1:15" x14ac:dyDescent="0.25">
      <c r="A136" s="6" t="s">
        <v>228</v>
      </c>
      <c r="O136" s="7" t="str">
        <f ca="1">getCodigoBackend(N136,A136,VLOOKUP(N136,setup!$A$8:$H$58,2),VLOOKUP(N136,setup!$A$8:$H$58,3),VLOOKUP(N136,setup!$A$8:$H$58,4),VLOOKUP(N136,setup!$A$8:$H$58,5),VLOOKUP(N136,setup!$A$8:$H$58,6),VLOOKUP(N136,setup!$A$8:$H$58,7), VLOOKUP(0,setup!$A$8:$H$58,2),VLOOKUP(0,setup!$A$8:$H$58,5),VLOOKUP(N136,setup!$A$8:$H$58,8))</f>
        <v>        $dao = $daofactory-&gt;getCampanhaCashbackResgatePixDAO($daofactory);</v>
      </c>
    </row>
    <row r="137" spans="1:15" x14ac:dyDescent="0.25">
      <c r="A137" s="6" t="s">
        <v>95</v>
      </c>
      <c r="O137" s="7" t="str">
        <f ca="1">getCodigoBackend(N137,A137,VLOOKUP(N137,setup!$A$8:$H$58,2),VLOOKUP(N137,setup!$A$8:$H$58,3),VLOOKUP(N137,setup!$A$8:$H$58,4),VLOOKUP(N137,setup!$A$8:$H$58,5),VLOOKUP(N137,setup!$A$8:$H$58,6),VLOOKUP(N137,setup!$A$8:$H$58,7), VLOOKUP(0,setup!$A$8:$H$58,2),VLOOKUP(0,setup!$A$8:$H$58,5),VLOOKUP(N137,setup!$A$8:$H$58,8))</f>
        <v>        return $dao-&gt;listPagina($pag, $qtde);</v>
      </c>
    </row>
    <row r="138" spans="1:15" x14ac:dyDescent="0.25">
      <c r="A138" s="6" t="s">
        <v>62</v>
      </c>
      <c r="O138" s="7" t="str">
        <f ca="1">getCodigoBackend(N138,A138,VLOOKUP(N138,setup!$A$8:$H$58,2),VLOOKUP(N138,setup!$A$8:$H$58,3),VLOOKUP(N138,setup!$A$8:$H$58,4),VLOOKUP(N138,setup!$A$8:$H$58,5),VLOOKUP(N138,setup!$A$8:$H$58,6),VLOOKUP(N138,setup!$A$8:$H$58,7), VLOOKUP(0,setup!$A$8:$H$58,2),VLOOKUP(0,setup!$A$8:$H$58,5),VLOOKUP(N138,setup!$A$8:$H$58,8))</f>
        <v>    }</v>
      </c>
    </row>
    <row r="139" spans="1:15" x14ac:dyDescent="0.25">
      <c r="O139" s="7" t="str">
        <f ca="1">getCodigoBackend(N139,A139,VLOOKUP(N139,setup!$A$8:$H$58,2),VLOOKUP(N139,setup!$A$8:$H$58,3),VLOOKUP(N139,setup!$A$8:$H$58,4),VLOOKUP(N139,setup!$A$8:$H$58,5),VLOOKUP(N139,setup!$A$8:$H$58,6),VLOOKUP(N139,setup!$A$8:$H$58,7), VLOOKUP(0,setup!$A$8:$H$58,2),VLOOKUP(0,setup!$A$8:$H$58,5),VLOOKUP(N139,setup!$A$8:$H$58,8))</f>
        <v/>
      </c>
    </row>
    <row r="140" spans="1:15" x14ac:dyDescent="0.25">
      <c r="A140" s="4" t="s">
        <v>19</v>
      </c>
      <c r="O140" s="7" t="str">
        <f ca="1">getCodigoBackend(N140,A140,VLOOKUP(N140,setup!$A$8:$H$58,2),VLOOKUP(N140,setup!$A$8:$H$58,3),VLOOKUP(N140,setup!$A$8:$H$58,4),VLOOKUP(N140,setup!$A$8:$H$58,5),VLOOKUP(N140,setup!$A$8:$H$58,6),VLOOKUP(N140,setup!$A$8:$H$58,7), VLOOKUP(0,setup!$A$8:$H$58,2),VLOOKUP(0,setup!$A$8:$H$58,5),VLOOKUP(N140,setup!$A$8:$H$58,8))</f>
        <v>/**</v>
      </c>
    </row>
    <row r="141" spans="1:15" x14ac:dyDescent="0.25">
      <c r="A141" s="4" t="s">
        <v>382</v>
      </c>
      <c r="O141" s="7" t="str">
        <f ca="1">getCodigoBackend(N141,A141,VLOOKUP(N141,setup!$A$8:$H$58,2),VLOOKUP(N141,setup!$A$8:$H$58,3),VLOOKUP(N141,setup!$A$8:$H$58,4),VLOOKUP(N141,setup!$A$8:$H$58,5),VLOOKUP(N141,setup!$A$8:$H$58,6),VLOOKUP(N141,setup!$A$8:$H$58,7), VLOOKUP(0,setup!$A$8:$H$58,2),VLOOKUP(0,setup!$A$8:$H$58,5),VLOOKUP(N141,setup!$A$8:$H$58,8))</f>
        <v>* carregarPorID() - Carrega APENAS um registro usando a id como item de busca</v>
      </c>
    </row>
    <row r="142" spans="1:15" x14ac:dyDescent="0.25">
      <c r="A142" s="4" t="s">
        <v>383</v>
      </c>
      <c r="O142" s="7" t="str">
        <f ca="1">getCodigoBackend(N142,A142,VLOOKUP(N142,setup!$A$8:$H$58,2),VLOOKUP(N142,setup!$A$8:$H$58,3),VLOOKUP(N142,setup!$A$8:$H$58,4),VLOOKUP(N142,setup!$A$8:$H$58,5),VLOOKUP(N142,setup!$A$8:$H$58,6),VLOOKUP(N142,setup!$A$8:$H$58,7), VLOOKUP(0,setup!$A$8:$H$58,2),VLOOKUP(0,setup!$A$8:$H$58,5),VLOOKUP(N142,setup!$A$8:$H$58,8))</f>
        <v>* na tabela CAMPANHA_CASHBACK_RESGATE_PIX usando a Primary Key CCRP_ID</v>
      </c>
    </row>
    <row r="143" spans="1:15" x14ac:dyDescent="0.25">
      <c r="A143" s="4" t="s">
        <v>20</v>
      </c>
      <c r="O143" s="7" t="str">
        <f ca="1">getCodigoBackend(N143,A143,VLOOKUP(N143,setup!$A$8:$H$58,2),VLOOKUP(N143,setup!$A$8:$H$58,3),VLOOKUP(N143,setup!$A$8:$H$58,4),VLOOKUP(N143,setup!$A$8:$H$58,5),VLOOKUP(N143,setup!$A$8:$H$58,6),VLOOKUP(N143,setup!$A$8:$H$58,7), VLOOKUP(0,setup!$A$8:$H$58,2),VLOOKUP(0,setup!$A$8:$H$58,5),VLOOKUP(N143,setup!$A$8:$H$58,8))</f>
        <v>*</v>
      </c>
    </row>
    <row r="144" spans="1:15" x14ac:dyDescent="0.25">
      <c r="A144" s="4" t="s">
        <v>361</v>
      </c>
      <c r="O144" s="7" t="str">
        <f ca="1">getCodigoBackend(N144,A144,VLOOKUP(N144,setup!$A$8:$H$58,2),VLOOKUP(N144,setup!$A$8:$H$58,3),VLOOKUP(N144,setup!$A$8:$H$58,4),VLOOKUP(N144,setup!$A$8:$H$58,5),VLOOKUP(N144,setup!$A$8:$H$58,6),VLOOKUP(N144,setup!$A$8:$H$58,7), VLOOKUP(0,setup!$A$8:$H$58,2),VLOOKUP(0,setup!$A$8:$H$58,5),VLOOKUP(N144,setup!$A$8:$H$58,8))</f>
        <v>* @param $daofactory</v>
      </c>
    </row>
    <row r="145" spans="1:15" x14ac:dyDescent="0.25">
      <c r="A145" s="4" t="s">
        <v>346</v>
      </c>
      <c r="O145" s="7" t="str">
        <f ca="1">getCodigoBackend(N145,A145,VLOOKUP(N145,setup!$A$8:$H$58,2),VLOOKUP(N145,setup!$A$8:$H$58,3),VLOOKUP(N145,setup!$A$8:$H$58,4),VLOOKUP(N145,setup!$A$8:$H$58,5),VLOOKUP(N145,setup!$A$8:$H$58,6),VLOOKUP(N145,setup!$A$8:$H$58,7), VLOOKUP(0,setup!$A$8:$H$58,2),VLOOKUP(0,setup!$A$8:$H$58,5),VLOOKUP(N145,setup!$A$8:$H$58,8))</f>
        <v>* @param $id</v>
      </c>
    </row>
    <row r="146" spans="1:15" x14ac:dyDescent="0.25">
      <c r="A146" s="4" t="s">
        <v>343</v>
      </c>
      <c r="O146" s="7" t="str">
        <f ca="1">getCodigoBackend(N146,A146,VLOOKUP(N146,setup!$A$8:$H$58,2),VLOOKUP(N146,setup!$A$8:$H$58,3),VLOOKUP(N146,setup!$A$8:$H$58,4),VLOOKUP(N146,setup!$A$8:$H$58,5),VLOOKUP(N146,setup!$A$8:$H$58,6),VLOOKUP(N146,setup!$A$8:$H$58,7), VLOOKUP(0,setup!$A$8:$H$58,2),VLOOKUP(0,setup!$A$8:$H$58,5),VLOOKUP(N146,setup!$A$8:$H$58,8))</f>
        <v>* @param $qtde</v>
      </c>
    </row>
    <row r="147" spans="1:15" x14ac:dyDescent="0.25">
      <c r="A147" s="4" t="s">
        <v>20</v>
      </c>
      <c r="O147" s="7" t="str">
        <f ca="1">getCodigoBackend(N147,A147,VLOOKUP(N147,setup!$A$8:$H$58,2),VLOOKUP(N147,setup!$A$8:$H$58,3),VLOOKUP(N147,setup!$A$8:$H$58,4),VLOOKUP(N147,setup!$A$8:$H$58,5),VLOOKUP(N147,setup!$A$8:$H$58,6),VLOOKUP(N147,setup!$A$8:$H$58,7), VLOOKUP(0,setup!$A$8:$H$58,2),VLOOKUP(0,setup!$A$8:$H$58,5),VLOOKUP(N147,setup!$A$8:$H$58,8))</f>
        <v>*</v>
      </c>
    </row>
    <row r="148" spans="1:15" x14ac:dyDescent="0.25">
      <c r="A148" s="4" t="s">
        <v>384</v>
      </c>
      <c r="O148" s="7" t="str">
        <f ca="1">getCodigoBackend(N148,A148,VLOOKUP(N148,setup!$A$8:$H$58,2),VLOOKUP(N148,setup!$A$8:$H$58,3),VLOOKUP(N148,setup!$A$8:$H$58,4),VLOOKUP(N148,setup!$A$8:$H$58,5),VLOOKUP(N148,setup!$A$8:$H$58,6),VLOOKUP(N148,setup!$A$8:$H$58,7), VLOOKUP(0,setup!$A$8:$H$58,2),VLOOKUP(0,setup!$A$8:$H$58,5),VLOOKUP(N148,setup!$A$8:$H$58,8))</f>
        <v>* @return CampanhaCashbackResgatePixDTO</v>
      </c>
    </row>
    <row r="149" spans="1:15" x14ac:dyDescent="0.25">
      <c r="A149" s="4" t="s">
        <v>363</v>
      </c>
      <c r="O149" s="7" t="str">
        <f ca="1">getCodigoBackend(N149,A149,VLOOKUP(N149,setup!$A$8:$H$58,2),VLOOKUP(N149,setup!$A$8:$H$58,3),VLOOKUP(N149,setup!$A$8:$H$58,4),VLOOKUP(N149,setup!$A$8:$H$58,5),VLOOKUP(N149,setup!$A$8:$H$58,6),VLOOKUP(N149,setup!$A$8:$H$58,7), VLOOKUP(0,setup!$A$8:$H$58,2),VLOOKUP(0,setup!$A$8:$H$58,5),VLOOKUP(N149,setup!$A$8:$H$58,8))</f>
        <v xml:space="preserve">*/ </v>
      </c>
    </row>
    <row r="150" spans="1:15" x14ac:dyDescent="0.25">
      <c r="A150" s="6" t="s">
        <v>230</v>
      </c>
      <c r="O150" s="7" t="str">
        <f ca="1">getCodigoBackend(N150,A150,VLOOKUP(N150,setup!$A$8:$H$58,2),VLOOKUP(N150,setup!$A$8:$H$58,3),VLOOKUP(N150,setup!$A$8:$H$58,4),VLOOKUP(N150,setup!$A$8:$H$58,5),VLOOKUP(N150,setup!$A$8:$H$58,6),VLOOKUP(N150,setup!$A$8:$H$58,7), VLOOKUP(0,setup!$A$8:$H$58,2),VLOOKUP(0,setup!$A$8:$H$58,5),VLOOKUP(N150,setup!$A$8:$H$58,8))</f>
        <v>    public function carregarPorID($daofactory, $id)</v>
      </c>
    </row>
    <row r="151" spans="1:15" x14ac:dyDescent="0.25">
      <c r="A151" s="6" t="s">
        <v>96</v>
      </c>
      <c r="O151" s="7" t="str">
        <f ca="1">getCodigoBackend(N151,A151,VLOOKUP(N151,setup!$A$8:$H$58,2),VLOOKUP(N151,setup!$A$8:$H$58,3),VLOOKUP(N151,setup!$A$8:$H$58,4),VLOOKUP(N151,setup!$A$8:$H$58,5),VLOOKUP(N151,setup!$A$8:$H$58,6),VLOOKUP(N151,setup!$A$8:$H$58,7), VLOOKUP(0,setup!$A$8:$H$58,2),VLOOKUP(0,setup!$A$8:$H$58,5),VLOOKUP(N151,setup!$A$8:$H$58,8))</f>
        <v xml:space="preserve">    { </v>
      </c>
    </row>
    <row r="152" spans="1:15" x14ac:dyDescent="0.25">
      <c r="A152" s="6" t="s">
        <v>228</v>
      </c>
      <c r="O152" s="7" t="str">
        <f ca="1">getCodigoBackend(N152,A152,VLOOKUP(N152,setup!$A$8:$H$58,2),VLOOKUP(N152,setup!$A$8:$H$58,3),VLOOKUP(N152,setup!$A$8:$H$58,4),VLOOKUP(N152,setup!$A$8:$H$58,5),VLOOKUP(N152,setup!$A$8:$H$58,6),VLOOKUP(N152,setup!$A$8:$H$58,7), VLOOKUP(0,setup!$A$8:$H$58,2),VLOOKUP(0,setup!$A$8:$H$58,5),VLOOKUP(N152,setup!$A$8:$H$58,8))</f>
        <v>        $dao = $daofactory-&gt;getCampanhaCashbackResgatePixDAO($daofactory);</v>
      </c>
    </row>
    <row r="153" spans="1:15" x14ac:dyDescent="0.25">
      <c r="A153" s="6" t="s">
        <v>231</v>
      </c>
      <c r="O153" s="7" t="str">
        <f ca="1">getCodigoBackend(N153,A153,VLOOKUP(N153,setup!$A$8:$H$58,2),VLOOKUP(N153,setup!$A$8:$H$58,3),VLOOKUP(N153,setup!$A$8:$H$58,4),VLOOKUP(N153,setup!$A$8:$H$58,5),VLOOKUP(N153,setup!$A$8:$H$58,6),VLOOKUP(N153,setup!$A$8:$H$58,7), VLOOKUP(0,setup!$A$8:$H$58,2),VLOOKUP(0,setup!$A$8:$H$58,5),VLOOKUP(N153,setup!$A$8:$H$58,8))</f>
        <v>        return $dao-&gt;loadPK($id);</v>
      </c>
    </row>
    <row r="154" spans="1:15" x14ac:dyDescent="0.25">
      <c r="A154" s="6" t="s">
        <v>62</v>
      </c>
      <c r="O154" s="7" t="str">
        <f ca="1">getCodigoBackend(N154,A154,VLOOKUP(N154,setup!$A$8:$H$58,2),VLOOKUP(N154,setup!$A$8:$H$58,3),VLOOKUP(N154,setup!$A$8:$H$58,4),VLOOKUP(N154,setup!$A$8:$H$58,5),VLOOKUP(N154,setup!$A$8:$H$58,6),VLOOKUP(N154,setup!$A$8:$H$58,7), VLOOKUP(0,setup!$A$8:$H$58,2),VLOOKUP(0,setup!$A$8:$H$58,5),VLOOKUP(N154,setup!$A$8:$H$58,8))</f>
        <v>    }</v>
      </c>
    </row>
    <row r="155" spans="1:15" x14ac:dyDescent="0.25">
      <c r="A155" s="6"/>
      <c r="O155" s="7" t="str">
        <f ca="1">getCodigoBackend(N155,A155,VLOOKUP(N155,setup!$A$8:$H$58,2),VLOOKUP(N155,setup!$A$8:$H$58,3),VLOOKUP(N155,setup!$A$8:$H$58,4),VLOOKUP(N155,setup!$A$8:$H$58,5),VLOOKUP(N155,setup!$A$8:$H$58,6),VLOOKUP(N155,setup!$A$8:$H$58,7), VLOOKUP(0,setup!$A$8:$H$58,2),VLOOKUP(0,setup!$A$8:$H$58,5),VLOOKUP(N155,setup!$A$8:$H$58,8))</f>
        <v/>
      </c>
    </row>
    <row r="156" spans="1:15" x14ac:dyDescent="0.25">
      <c r="A156" s="4" t="s">
        <v>19</v>
      </c>
      <c r="O156" s="7" t="str">
        <f ca="1">getCodigoBackend(N156,A156,VLOOKUP(N156,setup!$A$8:$H$58,2),VLOOKUP(N156,setup!$A$8:$H$58,3),VLOOKUP(N156,setup!$A$8:$H$58,4),VLOOKUP(N156,setup!$A$8:$H$58,5),VLOOKUP(N156,setup!$A$8:$H$58,6),VLOOKUP(N156,setup!$A$8:$H$58,7), VLOOKUP(0,setup!$A$8:$H$58,2),VLOOKUP(0,setup!$A$8:$H$58,5),VLOOKUP(N156,setup!$A$8:$H$58,8))</f>
        <v>/**</v>
      </c>
    </row>
    <row r="157" spans="1:15" x14ac:dyDescent="0.25">
      <c r="A157" s="4" t="s">
        <v>385</v>
      </c>
      <c r="O157" s="7" t="str">
        <f ca="1">getCodigoBackend(N157,A157,VLOOKUP(N157,setup!$A$8:$H$58,2),VLOOKUP(N157,setup!$A$8:$H$58,3),VLOOKUP(N157,setup!$A$8:$H$58,4),VLOOKUP(N157,setup!$A$8:$H$58,5),VLOOKUP(N157,setup!$A$8:$H$58,6),VLOOKUP(N157,setup!$A$8:$H$58,7), VLOOKUP(0,setup!$A$8:$H$58,2),VLOOKUP(0,setup!$A$8:$H$58,5),VLOOKUP(N157,setup!$A$8:$H$58,8))</f>
        <v>* atualizarStatus() - atualizar o campo de STATUS utilizando a id como item de busca</v>
      </c>
    </row>
    <row r="158" spans="1:15" x14ac:dyDescent="0.25">
      <c r="A158" s="4" t="s">
        <v>383</v>
      </c>
      <c r="O158" s="7" t="str">
        <f ca="1">getCodigoBackend(N158,A158,VLOOKUP(N158,setup!$A$8:$H$58,2),VLOOKUP(N158,setup!$A$8:$H$58,3),VLOOKUP(N158,setup!$A$8:$H$58,4),VLOOKUP(N158,setup!$A$8:$H$58,5),VLOOKUP(N158,setup!$A$8:$H$58,6),VLOOKUP(N158,setup!$A$8:$H$58,7), VLOOKUP(0,setup!$A$8:$H$58,2),VLOOKUP(0,setup!$A$8:$H$58,5),VLOOKUP(N158,setup!$A$8:$H$58,8))</f>
        <v>* na tabela CAMPANHA_CASHBACK_RESGATE_PIX usando a Primary Key CCRP_ID</v>
      </c>
    </row>
    <row r="159" spans="1:15" x14ac:dyDescent="0.25">
      <c r="A159" s="4" t="s">
        <v>20</v>
      </c>
      <c r="O159" s="7" t="str">
        <f ca="1">getCodigoBackend(N159,A159,VLOOKUP(N159,setup!$A$8:$H$58,2),VLOOKUP(N159,setup!$A$8:$H$58,3),VLOOKUP(N159,setup!$A$8:$H$58,4),VLOOKUP(N159,setup!$A$8:$H$58,5),VLOOKUP(N159,setup!$A$8:$H$58,6),VLOOKUP(N159,setup!$A$8:$H$58,7), VLOOKUP(0,setup!$A$8:$H$58,2),VLOOKUP(0,setup!$A$8:$H$58,5),VLOOKUP(N159,setup!$A$8:$H$58,8))</f>
        <v>*</v>
      </c>
    </row>
    <row r="160" spans="1:15" x14ac:dyDescent="0.25">
      <c r="A160" s="4" t="s">
        <v>361</v>
      </c>
      <c r="O160" s="7" t="str">
        <f ca="1">getCodigoBackend(N160,A160,VLOOKUP(N160,setup!$A$8:$H$58,2),VLOOKUP(N160,setup!$A$8:$H$58,3),VLOOKUP(N160,setup!$A$8:$H$58,4),VLOOKUP(N160,setup!$A$8:$H$58,5),VLOOKUP(N160,setup!$A$8:$H$58,6),VLOOKUP(N160,setup!$A$8:$H$58,7), VLOOKUP(0,setup!$A$8:$H$58,2),VLOOKUP(0,setup!$A$8:$H$58,5),VLOOKUP(N160,setup!$A$8:$H$58,8))</f>
        <v>* @param $daofactory</v>
      </c>
    </row>
    <row r="161" spans="1:15" x14ac:dyDescent="0.25">
      <c r="A161" s="4" t="s">
        <v>346</v>
      </c>
      <c r="O161" s="7" t="str">
        <f ca="1">getCodigoBackend(N161,A161,VLOOKUP(N161,setup!$A$8:$H$58,2),VLOOKUP(N161,setup!$A$8:$H$58,3),VLOOKUP(N161,setup!$A$8:$H$58,4),VLOOKUP(N161,setup!$A$8:$H$58,5),VLOOKUP(N161,setup!$A$8:$H$58,6),VLOOKUP(N161,setup!$A$8:$H$58,7), VLOOKUP(0,setup!$A$8:$H$58,2),VLOOKUP(0,setup!$A$8:$H$58,5),VLOOKUP(N161,setup!$A$8:$H$58,8))</f>
        <v>* @param $id</v>
      </c>
    </row>
    <row r="162" spans="1:15" x14ac:dyDescent="0.25">
      <c r="A162" s="4" t="s">
        <v>350</v>
      </c>
      <c r="O162" s="7" t="str">
        <f ca="1">getCodigoBackend(N162,A162,VLOOKUP(N162,setup!$A$8:$H$58,2),VLOOKUP(N162,setup!$A$8:$H$58,3),VLOOKUP(N162,setup!$A$8:$H$58,4),VLOOKUP(N162,setup!$A$8:$H$58,5),VLOOKUP(N162,setup!$A$8:$H$58,6),VLOOKUP(N162,setup!$A$8:$H$58,7), VLOOKUP(0,setup!$A$8:$H$58,2),VLOOKUP(0,setup!$A$8:$H$58,5),VLOOKUP(N162,setup!$A$8:$H$58,8))</f>
        <v>* @param $status</v>
      </c>
    </row>
    <row r="163" spans="1:15" x14ac:dyDescent="0.25">
      <c r="A163" s="4" t="s">
        <v>20</v>
      </c>
      <c r="O163" s="7" t="str">
        <f ca="1">getCodigoBackend(N163,A163,VLOOKUP(N163,setup!$A$8:$H$58,2),VLOOKUP(N163,setup!$A$8:$H$58,3),VLOOKUP(N163,setup!$A$8:$H$58,4),VLOOKUP(N163,setup!$A$8:$H$58,5),VLOOKUP(N163,setup!$A$8:$H$58,6),VLOOKUP(N163,setup!$A$8:$H$58,7), VLOOKUP(0,setup!$A$8:$H$58,2),VLOOKUP(0,setup!$A$8:$H$58,5),VLOOKUP(N163,setup!$A$8:$H$58,8))</f>
        <v>*</v>
      </c>
    </row>
    <row r="164" spans="1:15" x14ac:dyDescent="0.25">
      <c r="A164" s="4" t="s">
        <v>384</v>
      </c>
      <c r="O164" s="7" t="str">
        <f ca="1">getCodigoBackend(N164,A164,VLOOKUP(N164,setup!$A$8:$H$58,2),VLOOKUP(N164,setup!$A$8:$H$58,3),VLOOKUP(N164,setup!$A$8:$H$58,4),VLOOKUP(N164,setup!$A$8:$H$58,5),VLOOKUP(N164,setup!$A$8:$H$58,6),VLOOKUP(N164,setup!$A$8:$H$58,7), VLOOKUP(0,setup!$A$8:$H$58,2),VLOOKUP(0,setup!$A$8:$H$58,5),VLOOKUP(N164,setup!$A$8:$H$58,8))</f>
        <v>* @return CampanhaCashbackResgatePixDTO</v>
      </c>
    </row>
    <row r="165" spans="1:15" x14ac:dyDescent="0.25">
      <c r="A165" s="4" t="s">
        <v>363</v>
      </c>
      <c r="O165" s="7" t="str">
        <f ca="1">getCodigoBackend(N165,A165,VLOOKUP(N165,setup!$A$8:$H$58,2),VLOOKUP(N165,setup!$A$8:$H$58,3),VLOOKUP(N165,setup!$A$8:$H$58,4),VLOOKUP(N165,setup!$A$8:$H$58,5),VLOOKUP(N165,setup!$A$8:$H$58,6),VLOOKUP(N165,setup!$A$8:$H$58,7), VLOOKUP(0,setup!$A$8:$H$58,2),VLOOKUP(0,setup!$A$8:$H$58,5),VLOOKUP(N165,setup!$A$8:$H$58,8))</f>
        <v xml:space="preserve">*/ </v>
      </c>
    </row>
    <row r="166" spans="1:15" x14ac:dyDescent="0.25">
      <c r="A166" s="6" t="s">
        <v>229</v>
      </c>
      <c r="O166" s="7" t="str">
        <f ca="1">getCodigoBackend(N166,A166,VLOOKUP(N166,setup!$A$8:$H$58,2),VLOOKUP(N166,setup!$A$8:$H$58,3),VLOOKUP(N166,setup!$A$8:$H$58,4),VLOOKUP(N166,setup!$A$8:$H$58,5),VLOOKUP(N166,setup!$A$8:$H$58,6),VLOOKUP(N166,setup!$A$8:$H$58,7), VLOOKUP(0,setup!$A$8:$H$58,2),VLOOKUP(0,setup!$A$8:$H$58,5),VLOOKUP(N166,setup!$A$8:$H$58,8))</f>
        <v>    public function atualizarStatus($daofactory, $id, $status)</v>
      </c>
    </row>
    <row r="167" spans="1:15" x14ac:dyDescent="0.25">
      <c r="A167" s="6" t="s">
        <v>38</v>
      </c>
      <c r="O167" s="7" t="str">
        <f ca="1">getCodigoBackend(N167,A167,VLOOKUP(N167,setup!$A$8:$H$58,2),VLOOKUP(N167,setup!$A$8:$H$58,3),VLOOKUP(N167,setup!$A$8:$H$58,4),VLOOKUP(N167,setup!$A$8:$H$58,5),VLOOKUP(N167,setup!$A$8:$H$58,6),VLOOKUP(N167,setup!$A$8:$H$58,7), VLOOKUP(0,setup!$A$8:$H$58,2),VLOOKUP(0,setup!$A$8:$H$58,5),VLOOKUP(N167,setup!$A$8:$H$58,8))</f>
        <v>    {</v>
      </c>
    </row>
    <row r="168" spans="1:15" x14ac:dyDescent="0.25">
      <c r="A168" s="6" t="s">
        <v>228</v>
      </c>
      <c r="O168" s="7" t="str">
        <f ca="1">getCodigoBackend(N168,A168,VLOOKUP(N168,setup!$A$8:$H$58,2),VLOOKUP(N168,setup!$A$8:$H$58,3),VLOOKUP(N168,setup!$A$8:$H$58,4),VLOOKUP(N168,setup!$A$8:$H$58,5),VLOOKUP(N168,setup!$A$8:$H$58,6),VLOOKUP(N168,setup!$A$8:$H$58,7), VLOOKUP(0,setup!$A$8:$H$58,2),VLOOKUP(0,setup!$A$8:$H$58,5),VLOOKUP(N168,setup!$A$8:$H$58,8))</f>
        <v>        $dao = $daofactory-&gt;getCampanhaCashbackResgatePixDAO($daofactory);</v>
      </c>
    </row>
    <row r="169" spans="1:15" x14ac:dyDescent="0.25">
      <c r="O169" s="7" t="str">
        <f ca="1">getCodigoBackend(N169,A169,VLOOKUP(N169,setup!$A$8:$H$58,2),VLOOKUP(N169,setup!$A$8:$H$58,3),VLOOKUP(N169,setup!$A$8:$H$58,4),VLOOKUP(N169,setup!$A$8:$H$58,5),VLOOKUP(N169,setup!$A$8:$H$58,6),VLOOKUP(N169,setup!$A$8:$H$58,7), VLOOKUP(0,setup!$A$8:$H$58,2),VLOOKUP(0,setup!$A$8:$H$58,5),VLOOKUP(N169,setup!$A$8:$H$58,8))</f>
        <v/>
      </c>
    </row>
    <row r="170" spans="1:15" x14ac:dyDescent="0.25">
      <c r="A170" s="6" t="s">
        <v>99</v>
      </c>
      <c r="O170" s="7" t="str">
        <f ca="1">getCodigoBackend(N170,A170,VLOOKUP(N170,setup!$A$8:$H$58,2),VLOOKUP(N170,setup!$A$8:$H$58,3),VLOOKUP(N170,setup!$A$8:$H$58,4),VLOOKUP(N170,setup!$A$8:$H$58,5),VLOOKUP(N170,setup!$A$8:$H$58,6),VLOOKUP(N170,setup!$A$8:$H$58,7), VLOOKUP(0,setup!$A$8:$H$58,2),VLOOKUP(0,setup!$A$8:$H$58,5),VLOOKUP(N170,setup!$A$8:$H$58,8))</f>
        <v>        // resposta padrão</v>
      </c>
    </row>
    <row r="171" spans="1:15" x14ac:dyDescent="0.25">
      <c r="A171" s="6" t="s">
        <v>71</v>
      </c>
      <c r="O171" s="7" t="str">
        <f ca="1">getCodigoBackend(N171,A171,VLOOKUP(N171,setup!$A$8:$H$58,2),VLOOKUP(N171,setup!$A$8:$H$58,3),VLOOKUP(N171,setup!$A$8:$H$58,4),VLOOKUP(N171,setup!$A$8:$H$58,5),VLOOKUP(N171,setup!$A$8:$H$58,6),VLOOKUP(N171,setup!$A$8:$H$58,7), VLOOKUP(0,setup!$A$8:$H$58,2),VLOOKUP(0,setup!$A$8:$H$58,5),VLOOKUP(N171,setup!$A$8:$H$58,8))</f>
        <v>        $retorno = new DTOPadrao();</v>
      </c>
    </row>
    <row r="172" spans="1:15" x14ac:dyDescent="0.25">
      <c r="O172" s="7" t="str">
        <f ca="1">getCodigoBackend(N172,A172,VLOOKUP(N172,setup!$A$8:$H$58,2),VLOOKUP(N172,setup!$A$8:$H$58,3),VLOOKUP(N172,setup!$A$8:$H$58,4),VLOOKUP(N172,setup!$A$8:$H$58,5),VLOOKUP(N172,setup!$A$8:$H$58,6),VLOOKUP(N172,setup!$A$8:$H$58,7), VLOOKUP(0,setup!$A$8:$H$58,2),VLOOKUP(0,setup!$A$8:$H$58,5),VLOOKUP(N172,setup!$A$8:$H$58,8))</f>
        <v/>
      </c>
    </row>
    <row r="173" spans="1:15" x14ac:dyDescent="0.25">
      <c r="A173" s="6" t="s">
        <v>101</v>
      </c>
      <c r="O173" s="7" t="str">
        <f ca="1">getCodigoBackend(N173,A173,VLOOKUP(N173,setup!$A$8:$H$58,2),VLOOKUP(N173,setup!$A$8:$H$58,3),VLOOKUP(N173,setup!$A$8:$H$58,4),VLOOKUP(N173,setup!$A$8:$H$58,5),VLOOKUP(N173,setup!$A$8:$H$58,6),VLOOKUP(N173,setup!$A$8:$H$58,7), VLOOKUP(0,setup!$A$8:$H$58,2),VLOOKUP(0,setup!$A$8:$H$58,5),VLOOKUP(N173,setup!$A$8:$H$58,8))</f>
        <v>        // obtem o status atual da campanha</v>
      </c>
    </row>
    <row r="174" spans="1:15" x14ac:dyDescent="0.25">
      <c r="A174" s="6" t="s">
        <v>232</v>
      </c>
      <c r="O174" s="7" t="str">
        <f ca="1">getCodigoBackend(N174,A174,VLOOKUP(N174,setup!$A$8:$H$58,2),VLOOKUP(N174,setup!$A$8:$H$58,3),VLOOKUP(N174,setup!$A$8:$H$58,4),VLOOKUP(N174,setup!$A$8:$H$58,5),VLOOKUP(N174,setup!$A$8:$H$58,6),VLOOKUP(N174,setup!$A$8:$H$58,7), VLOOKUP(0,setup!$A$8:$H$58,2),VLOOKUP(0,setup!$A$8:$H$58,5),VLOOKUP(N174,setup!$A$8:$H$58,8))</f>
        <v>        $dto = $this-&gt;carregarPorID($daofactory, $id);</v>
      </c>
    </row>
    <row r="175" spans="1:15" x14ac:dyDescent="0.25">
      <c r="A175" s="6"/>
      <c r="O175" s="7" t="str">
        <f ca="1">getCodigoBackend(N175,A175,VLOOKUP(N175,setup!$A$8:$H$58,2),VLOOKUP(N175,setup!$A$8:$H$58,3),VLOOKUP(N175,setup!$A$8:$H$58,4),VLOOKUP(N175,setup!$A$8:$H$58,5),VLOOKUP(N175,setup!$A$8:$H$58,6),VLOOKUP(N175,setup!$A$8:$H$58,7), VLOOKUP(0,setup!$A$8:$H$58,2),VLOOKUP(0,setup!$A$8:$H$58,5),VLOOKUP(N175,setup!$A$8:$H$58,8))</f>
        <v/>
      </c>
    </row>
    <row r="176" spans="1:15" x14ac:dyDescent="0.25">
      <c r="A176" s="6" t="s">
        <v>233</v>
      </c>
      <c r="O176" s="7" t="str">
        <f ca="1">getCodigoBackend(N176,A176,VLOOKUP(N176,setup!$A$8:$H$58,2),VLOOKUP(N176,setup!$A$8:$H$58,3),VLOOKUP(N176,setup!$A$8:$H$58,4),VLOOKUP(N176,setup!$A$8:$H$58,5),VLOOKUP(N176,setup!$A$8:$H$58,6),VLOOKUP(N176,setup!$A$8:$H$58,7), VLOOKUP(0,setup!$A$8:$H$58,2),VLOOKUP(0,setup!$A$8:$H$58,5),VLOOKUP(N176,setup!$A$8:$H$58,8))</f>
        <v>            if($dao-&gt;updateStatus($id, $status)){   </v>
      </c>
    </row>
    <row r="177" spans="1:15" x14ac:dyDescent="0.25">
      <c r="A177" s="6" t="s">
        <v>97</v>
      </c>
      <c r="O177" s="7" t="str">
        <f ca="1">getCodigoBackend(N177,A177,VLOOKUP(N177,setup!$A$8:$H$58,2),VLOOKUP(N177,setup!$A$8:$H$58,3),VLOOKUP(N177,setup!$A$8:$H$58,4),VLOOKUP(N177,setup!$A$8:$H$58,5),VLOOKUP(N177,setup!$A$8:$H$58,6),VLOOKUP(N177,setup!$A$8:$H$58,7), VLOOKUP(0,setup!$A$8:$H$58,2),VLOOKUP(0,setup!$A$8:$H$58,5),VLOOKUP(N177,setup!$A$8:$H$58,8))</f>
        <v>                $retorno-&gt;msgcode = ConstantesMensagem::COMANDO_REALIZADO_COM_SUCESSO;</v>
      </c>
    </row>
    <row r="178" spans="1:15" x14ac:dyDescent="0.25">
      <c r="A178" s="6" t="s">
        <v>98</v>
      </c>
      <c r="O178" s="7" t="str">
        <f ca="1">getCodigoBackend(N178,A178,VLOOKUP(N178,setup!$A$8:$H$58,2),VLOOKUP(N178,setup!$A$8:$H$58,3),VLOOKUP(N178,setup!$A$8:$H$58,4),VLOOKUP(N178,setup!$A$8:$H$58,5),VLOOKUP(N178,setup!$A$8:$H$58,6),VLOOKUP(N178,setup!$A$8:$H$58,7), VLOOKUP(0,setup!$A$8:$H$58,2),VLOOKUP(0,setup!$A$8:$H$58,5),VLOOKUP(N178,setup!$A$8:$H$58,8))</f>
        <v>            }       </v>
      </c>
    </row>
    <row r="179" spans="1:15" x14ac:dyDescent="0.25">
      <c r="A179" s="6"/>
      <c r="O179" s="7" t="str">
        <f ca="1">getCodigoBackend(N179,A179,VLOOKUP(N179,setup!$A$8:$H$58,2),VLOOKUP(N179,setup!$A$8:$H$58,3),VLOOKUP(N179,setup!$A$8:$H$58,4),VLOOKUP(N179,setup!$A$8:$H$58,5),VLOOKUP(N179,setup!$A$8:$H$58,6),VLOOKUP(N179,setup!$A$8:$H$58,7), VLOOKUP(0,setup!$A$8:$H$58,2),VLOOKUP(0,setup!$A$8:$H$58,5),VLOOKUP(N179,setup!$A$8:$H$58,8))</f>
        <v/>
      </c>
    </row>
    <row r="180" spans="1:15" x14ac:dyDescent="0.25">
      <c r="A180" s="6" t="s">
        <v>100</v>
      </c>
      <c r="O180" s="7" t="str">
        <f ca="1">getCodigoBackend(N180,A180,VLOOKUP(N180,setup!$A$8:$H$58,2),VLOOKUP(N180,setup!$A$8:$H$58,3),VLOOKUP(N180,setup!$A$8:$H$58,4),VLOOKUP(N180,setup!$A$8:$H$58,5),VLOOKUP(N180,setup!$A$8:$H$58,6),VLOOKUP(N180,setup!$A$8:$H$58,7), VLOOKUP(0,setup!$A$8:$H$58,2),VLOOKUP(0,setup!$A$8:$H$58,5),VLOOKUP(N180,setup!$A$8:$H$58,8))</f>
        <v>        // Obtem o texto da mensagem em razão do código de retorno</v>
      </c>
    </row>
    <row r="181" spans="1:15" x14ac:dyDescent="0.25">
      <c r="A181" s="6" t="s">
        <v>73</v>
      </c>
      <c r="O181" s="7" t="str">
        <f ca="1">getCodigoBackend(N181,A181,VLOOKUP(N181,setup!$A$8:$H$58,2),VLOOKUP(N181,setup!$A$8:$H$58,3),VLOOKUP(N181,setup!$A$8:$H$58,4),VLOOKUP(N181,setup!$A$8:$H$58,5),VLOOKUP(N181,setup!$A$8:$H$58,6),VLOOKUP(N181,setup!$A$8:$H$58,7), VLOOKUP(0,setup!$A$8:$H$58,2),VLOOKUP(0,setup!$A$8:$H$58,5),VLOOKUP(N181,setup!$A$8:$H$58,8))</f>
        <v>        $retorno-&gt;msgcodeString = MensagemCache::getInstance()-&gt;getMensagem($retorno-&gt;msgcode);</v>
      </c>
    </row>
    <row r="182" spans="1:15" x14ac:dyDescent="0.25">
      <c r="O182" s="7" t="str">
        <f ca="1">getCodigoBackend(N182,A182,VLOOKUP(N182,setup!$A$8:$H$58,2),VLOOKUP(N182,setup!$A$8:$H$58,3),VLOOKUP(N182,setup!$A$8:$H$58,4),VLOOKUP(N182,setup!$A$8:$H$58,5),VLOOKUP(N182,setup!$A$8:$H$58,6),VLOOKUP(N182,setup!$A$8:$H$58,7), VLOOKUP(0,setup!$A$8:$H$58,2),VLOOKUP(0,setup!$A$8:$H$58,5),VLOOKUP(N182,setup!$A$8:$H$58,8))</f>
        <v/>
      </c>
    </row>
    <row r="183" spans="1:15" x14ac:dyDescent="0.25">
      <c r="A183" s="6" t="s">
        <v>61</v>
      </c>
      <c r="O183" s="7" t="str">
        <f ca="1">getCodigoBackend(N183,A183,VLOOKUP(N183,setup!$A$8:$H$58,2),VLOOKUP(N183,setup!$A$8:$H$58,3),VLOOKUP(N183,setup!$A$8:$H$58,4),VLOOKUP(N183,setup!$A$8:$H$58,5),VLOOKUP(N183,setup!$A$8:$H$58,6),VLOOKUP(N183,setup!$A$8:$H$58,7), VLOOKUP(0,setup!$A$8:$H$58,2),VLOOKUP(0,setup!$A$8:$H$58,5),VLOOKUP(N183,setup!$A$8:$H$58,8))</f>
        <v>        return $retorno;</v>
      </c>
    </row>
    <row r="184" spans="1:15" x14ac:dyDescent="0.25">
      <c r="A184" s="6" t="s">
        <v>62</v>
      </c>
      <c r="O184" s="7" t="str">
        <f ca="1">getCodigoBackend(N184,A184,VLOOKUP(N184,setup!$A$8:$H$58,2),VLOOKUP(N184,setup!$A$8:$H$58,3),VLOOKUP(N184,setup!$A$8:$H$58,4),VLOOKUP(N184,setup!$A$8:$H$58,5),VLOOKUP(N184,setup!$A$8:$H$58,6),VLOOKUP(N184,setup!$A$8:$H$58,7), VLOOKUP(0,setup!$A$8:$H$58,2),VLOOKUP(0,setup!$A$8:$H$58,5),VLOOKUP(N184,setup!$A$8:$H$58,8))</f>
        <v>    }</v>
      </c>
    </row>
    <row r="185" spans="1:15" x14ac:dyDescent="0.25">
      <c r="A185" s="6"/>
      <c r="O185" s="7" t="str">
        <f ca="1">getCodigoBackend(N185,A185,VLOOKUP(N185,setup!$A$8:$H$58,2),VLOOKUP(N185,setup!$A$8:$H$58,3),VLOOKUP(N185,setup!$A$8:$H$58,4),VLOOKUP(N185,setup!$A$8:$H$58,5),VLOOKUP(N185,setup!$A$8:$H$58,6),VLOOKUP(N185,setup!$A$8:$H$58,7), VLOOKUP(0,setup!$A$8:$H$58,2),VLOOKUP(0,setup!$A$8:$H$58,5),VLOOKUP(N185,setup!$A$8:$H$58,8))</f>
        <v/>
      </c>
    </row>
    <row r="186" spans="1:15" x14ac:dyDescent="0.25">
      <c r="A186" s="4" t="s">
        <v>19</v>
      </c>
      <c r="O186" s="7" t="str">
        <f ca="1">getCodigoBackend(N186,A186,VLOOKUP(N186,setup!$A$8:$H$58,2),VLOOKUP(N186,setup!$A$8:$H$58,3),VLOOKUP(N186,setup!$A$8:$H$58,4),VLOOKUP(N186,setup!$A$8:$H$58,5),VLOOKUP(N186,setup!$A$8:$H$58,6),VLOOKUP(N186,setup!$A$8:$H$58,7), VLOOKUP(0,setup!$A$8:$H$58,2),VLOOKUP(0,setup!$A$8:$H$58,5),VLOOKUP(N186,setup!$A$8:$H$58,8))</f>
        <v>/**</v>
      </c>
    </row>
    <row r="187" spans="1:15" x14ac:dyDescent="0.25">
      <c r="A187" s="4" t="s">
        <v>386</v>
      </c>
      <c r="O187" s="7" t="str">
        <f ca="1">getCodigoBackend(N187,A187,VLOOKUP(N187,setup!$A$8:$H$58,2),VLOOKUP(N187,setup!$A$8:$H$58,3),VLOOKUP(N187,setup!$A$8:$H$58,4),VLOOKUP(N187,setup!$A$8:$H$58,5),VLOOKUP(N187,setup!$A$8:$H$58,6),VLOOKUP(N187,setup!$A$8:$H$58,7), VLOOKUP(0,setup!$A$8:$H$58,2),VLOOKUP(0,setup!$A$8:$H$58,5),VLOOKUP(N187,setup!$A$8:$H$58,8))</f>
        <v>* inserir() - inserir um registro com base no CampanhaCashbackResgatePixDTO. Alguns atributos dentro do DTO</v>
      </c>
    </row>
    <row r="188" spans="1:15" x14ac:dyDescent="0.25">
      <c r="A188" s="4" t="s">
        <v>387</v>
      </c>
      <c r="O188" s="7" t="str">
        <f ca="1">getCodigoBackend(N188,A188,VLOOKUP(N188,setup!$A$8:$H$58,2),VLOOKUP(N188,setup!$A$8:$H$58,3),VLOOKUP(N188,setup!$A$8:$H$58,4),VLOOKUP(N188,setup!$A$8:$H$58,5),VLOOKUP(N188,setup!$A$8:$H$58,6),VLOOKUP(N188,setup!$A$8:$H$58,7), VLOOKUP(0,setup!$A$8:$H$58,2),VLOOKUP(0,setup!$A$8:$H$58,5),VLOOKUP(N188,setup!$A$8:$H$58,8))</f>
        <v>* serão ignorados caso estejam populados.</v>
      </c>
    </row>
    <row r="189" spans="1:15" x14ac:dyDescent="0.25">
      <c r="A189" s="4" t="s">
        <v>20</v>
      </c>
      <c r="O189" s="7" t="str">
        <f ca="1">getCodigoBackend(N189,A189,VLOOKUP(N189,setup!$A$8:$H$58,2),VLOOKUP(N189,setup!$A$8:$H$58,3),VLOOKUP(N189,setup!$A$8:$H$58,4),VLOOKUP(N189,setup!$A$8:$H$58,5),VLOOKUP(N189,setup!$A$8:$H$58,6),VLOOKUP(N189,setup!$A$8:$H$58,7), VLOOKUP(0,setup!$A$8:$H$58,2),VLOOKUP(0,setup!$A$8:$H$58,5),VLOOKUP(N189,setup!$A$8:$H$58,8))</f>
        <v>*</v>
      </c>
    </row>
    <row r="190" spans="1:15" x14ac:dyDescent="0.25">
      <c r="A190" s="4" t="s">
        <v>393</v>
      </c>
      <c r="O190" s="7" t="str">
        <f ca="1">getCodigoBackend(N190,A190,VLOOKUP(N190,setup!$A$8:$H$58,2),VLOOKUP(N190,setup!$A$8:$H$58,3),VLOOKUP(N190,setup!$A$8:$H$58,4),VLOOKUP(N190,setup!$A$8:$H$58,5),VLOOKUP(N190,setup!$A$8:$H$58,6),VLOOKUP(N190,setup!$A$8:$H$58,7), VLOOKUP(0,setup!$A$8:$H$58,2),VLOOKUP(0,setup!$A$8:$H$58,5),VLOOKUP(N190,setup!$A$8:$H$58,8))</f>
        <v>* Atributos da classe CampanhaCashbackResgatePixDTO sumariamente IGNORADOS por este método MESMO que estejam preenchidos:</v>
      </c>
    </row>
    <row r="191" spans="1:15" x14ac:dyDescent="0.25">
      <c r="A191" s="4" t="s">
        <v>392</v>
      </c>
      <c r="O191" s="7" t="str">
        <f ca="1">getCodigoBackend(N191,A191,VLOOKUP(N191,setup!$A$8:$H$58,2),VLOOKUP(N191,setup!$A$8:$H$58,3),VLOOKUP(N191,setup!$A$8:$H$58,4),VLOOKUP(N191,setup!$A$8:$H$58,5),VLOOKUP(N191,setup!$A$8:$H$58,6),VLOOKUP(N191,setup!$A$8:$H$58,7), VLOOKUP(0,setup!$A$8:$H$58,2),VLOOKUP(0,setup!$A$8:$H$58,5),VLOOKUP(N191,setup!$A$8:$H$58,8))</f>
        <v>* id</v>
      </c>
    </row>
    <row r="192" spans="1:15" x14ac:dyDescent="0.25">
      <c r="A192" s="4" t="s">
        <v>388</v>
      </c>
      <c r="O192" s="7" t="str">
        <f ca="1">getCodigoBackend(N192,A192,VLOOKUP(N192,setup!$A$8:$H$58,2),VLOOKUP(N192,setup!$A$8:$H$58,3),VLOOKUP(N192,setup!$A$8:$H$58,4),VLOOKUP(N192,setup!$A$8:$H$58,5),VLOOKUP(N192,setup!$A$8:$H$58,6),VLOOKUP(N192,setup!$A$8:$H$58,7), VLOOKUP(0,setup!$A$8:$H$58,2),VLOOKUP(0,setup!$A$8:$H$58,5),VLOOKUP(N192,setup!$A$8:$H$58,8))</f>
        <v>* status</v>
      </c>
    </row>
    <row r="193" spans="1:15" x14ac:dyDescent="0.25">
      <c r="A193" s="4" t="s">
        <v>389</v>
      </c>
      <c r="O193" s="7" t="str">
        <f ca="1">getCodigoBackend(N193,A193,VLOOKUP(N193,setup!$A$8:$H$58,2),VLOOKUP(N193,setup!$A$8:$H$58,3),VLOOKUP(N193,setup!$A$8:$H$58,4),VLOOKUP(N193,setup!$A$8:$H$58,5),VLOOKUP(N193,setup!$A$8:$H$58,6),VLOOKUP(N193,setup!$A$8:$H$58,7), VLOOKUP(0,setup!$A$8:$H$58,2),VLOOKUP(0,setup!$A$8:$H$58,5),VLOOKUP(N193,setup!$A$8:$H$58,8))</f>
        <v>* dataCadastro</v>
      </c>
    </row>
    <row r="194" spans="1:15" x14ac:dyDescent="0.25">
      <c r="A194" s="4" t="s">
        <v>390</v>
      </c>
      <c r="O194" s="7" t="str">
        <f ca="1">getCodigoBackend(N194,A194,VLOOKUP(N194,setup!$A$8:$H$58,2),VLOOKUP(N194,setup!$A$8:$H$58,3),VLOOKUP(N194,setup!$A$8:$H$58,4),VLOOKUP(N194,setup!$A$8:$H$58,5),VLOOKUP(N194,setup!$A$8:$H$58,6),VLOOKUP(N194,setup!$A$8:$H$58,7), VLOOKUP(0,setup!$A$8:$H$58,2),VLOOKUP(0,setup!$A$8:$H$58,5),VLOOKUP(N194,setup!$A$8:$H$58,8))</f>
        <v>* dataAtualizacao</v>
      </c>
    </row>
    <row r="195" spans="1:15" x14ac:dyDescent="0.25">
      <c r="A195" s="4" t="s">
        <v>20</v>
      </c>
      <c r="O195" s="7" t="str">
        <f ca="1">getCodigoBackend(N195,A195,VLOOKUP(N195,setup!$A$8:$H$58,2),VLOOKUP(N195,setup!$A$8:$H$58,3),VLOOKUP(N195,setup!$A$8:$H$58,4),VLOOKUP(N195,setup!$A$8:$H$58,5),VLOOKUP(N195,setup!$A$8:$H$58,6),VLOOKUP(N195,setup!$A$8:$H$58,7), VLOOKUP(0,setup!$A$8:$H$58,2),VLOOKUP(0,setup!$A$8:$H$58,5),VLOOKUP(N195,setup!$A$8:$H$58,8))</f>
        <v>*</v>
      </c>
    </row>
    <row r="196" spans="1:15" x14ac:dyDescent="0.25">
      <c r="A196" s="4" t="s">
        <v>361</v>
      </c>
      <c r="O196" s="7" t="str">
        <f ca="1">getCodigoBackend(N196,A196,VLOOKUP(N196,setup!$A$8:$H$58,2),VLOOKUP(N196,setup!$A$8:$H$58,3),VLOOKUP(N196,setup!$A$8:$H$58,4),VLOOKUP(N196,setup!$A$8:$H$58,5),VLOOKUP(N196,setup!$A$8:$H$58,6),VLOOKUP(N196,setup!$A$8:$H$58,7), VLOOKUP(0,setup!$A$8:$H$58,2),VLOOKUP(0,setup!$A$8:$H$58,5),VLOOKUP(N196,setup!$A$8:$H$58,8))</f>
        <v>* @param $daofactory</v>
      </c>
    </row>
    <row r="197" spans="1:15" x14ac:dyDescent="0.25">
      <c r="A197" s="4" t="s">
        <v>20</v>
      </c>
      <c r="O197" s="7" t="str">
        <f ca="1">getCodigoBackend(N197,A197,VLOOKUP(N197,setup!$A$8:$H$58,2),VLOOKUP(N197,setup!$A$8:$H$58,3),VLOOKUP(N197,setup!$A$8:$H$58,4),VLOOKUP(N197,setup!$A$8:$H$58,5),VLOOKUP(N197,setup!$A$8:$H$58,6),VLOOKUP(N197,setup!$A$8:$H$58,7), VLOOKUP(0,setup!$A$8:$H$58,2),VLOOKUP(0,setup!$A$8:$H$58,5),VLOOKUP(N197,setup!$A$8:$H$58,8))</f>
        <v>*</v>
      </c>
    </row>
    <row r="198" spans="1:15" x14ac:dyDescent="0.25">
      <c r="A198" s="4" t="s">
        <v>391</v>
      </c>
      <c r="O198" s="7" t="str">
        <f ca="1">getCodigoBackend(N198,A198,VLOOKUP(N198,setup!$A$8:$H$58,2),VLOOKUP(N198,setup!$A$8:$H$58,3),VLOOKUP(N198,setup!$A$8:$H$58,4),VLOOKUP(N198,setup!$A$8:$H$58,5),VLOOKUP(N198,setup!$A$8:$H$58,6),VLOOKUP(N198,setup!$A$8:$H$58,7), VLOOKUP(0,setup!$A$8:$H$58,2),VLOOKUP(0,setup!$A$8:$H$58,5),VLOOKUP(N198,setup!$A$8:$H$58,8))</f>
        <v>* @return DTOPadrao</v>
      </c>
    </row>
    <row r="199" spans="1:15" x14ac:dyDescent="0.25">
      <c r="A199" s="4" t="s">
        <v>363</v>
      </c>
      <c r="O199" s="7" t="str">
        <f ca="1">getCodigoBackend(N199,A199,VLOOKUP(N199,setup!$A$8:$H$58,2),VLOOKUP(N199,setup!$A$8:$H$58,3),VLOOKUP(N199,setup!$A$8:$H$58,4),VLOOKUP(N199,setup!$A$8:$H$58,5),VLOOKUP(N199,setup!$A$8:$H$58,6),VLOOKUP(N199,setup!$A$8:$H$58,7), VLOOKUP(0,setup!$A$8:$H$58,2),VLOOKUP(0,setup!$A$8:$H$58,5),VLOOKUP(N199,setup!$A$8:$H$58,8))</f>
        <v xml:space="preserve">*/ </v>
      </c>
    </row>
    <row r="200" spans="1:15" x14ac:dyDescent="0.25">
      <c r="A200" s="6" t="s">
        <v>407</v>
      </c>
      <c r="O200" s="7" t="str">
        <f ca="1">getCodigoBackend(N200,A200,VLOOKUP(N200,setup!$A$8:$H$58,2),VLOOKUP(N200,setup!$A$8:$H$58,3),VLOOKUP(N200,setup!$A$8:$H$58,4),VLOOKUP(N200,setup!$A$8:$H$58,5),VLOOKUP(N200,setup!$A$8:$H$58,6),VLOOKUP(N200,setup!$A$8:$H$58,7), VLOOKUP(0,setup!$A$8:$H$58,2),VLOOKUP(0,setup!$A$8:$H$58,5),VLOOKUP(N200,setup!$A$8:$H$58,8))</f>
        <v>public function inserir($daofactory, $dto)</v>
      </c>
    </row>
    <row r="201" spans="1:15" x14ac:dyDescent="0.25">
      <c r="A201" s="6" t="s">
        <v>408</v>
      </c>
      <c r="O201" s="7" t="str">
        <f ca="1">getCodigoBackend(N201,A201,VLOOKUP(N201,setup!$A$8:$H$58,2),VLOOKUP(N201,setup!$A$8:$H$58,3),VLOOKUP(N201,setup!$A$8:$H$58,4),VLOOKUP(N201,setup!$A$8:$H$58,5),VLOOKUP(N201,setup!$A$8:$H$58,6),VLOOKUP(N201,setup!$A$8:$H$58,7), VLOOKUP(0,setup!$A$8:$H$58,2),VLOOKUP(0,setup!$A$8:$H$58,5),VLOOKUP(N201,setup!$A$8:$H$58,8))</f>
        <v xml:space="preserve">{ </v>
      </c>
    </row>
    <row r="202" spans="1:15" x14ac:dyDescent="0.25">
      <c r="A202" s="6" t="s">
        <v>409</v>
      </c>
      <c r="O202" s="7" t="str">
        <f ca="1">getCodigoBackend(N202,A202,VLOOKUP(N202,setup!$A$8:$H$58,2),VLOOKUP(N202,setup!$A$8:$H$58,3),VLOOKUP(N202,setup!$A$8:$H$58,4),VLOOKUP(N202,setup!$A$8:$H$58,5),VLOOKUP(N202,setup!$A$8:$H$58,6),VLOOKUP(N202,setup!$A$8:$H$58,7), VLOOKUP(0,setup!$A$8:$H$58,2),VLOOKUP(0,setup!$A$8:$H$58,5),VLOOKUP(N202,setup!$A$8:$H$58,8))</f>
        <v xml:space="preserve">    $retorno = new DTOPadrao();</v>
      </c>
    </row>
    <row r="203" spans="1:15" x14ac:dyDescent="0.25">
      <c r="A203" t="s">
        <v>410</v>
      </c>
      <c r="O203" s="7" t="str">
        <f ca="1">getCodigoBackend(N203,A203,VLOOKUP(N203,setup!$A$8:$H$58,2),VLOOKUP(N203,setup!$A$8:$H$58,3),VLOOKUP(N203,setup!$A$8:$H$58,4),VLOOKUP(N203,setup!$A$8:$H$58,5),VLOOKUP(N203,setup!$A$8:$H$58,6),VLOOKUP(N203,setup!$A$8:$H$58,7), VLOOKUP(0,setup!$A$8:$H$58,2),VLOOKUP(0,setup!$A$8:$H$58,5),VLOOKUP(N203,setup!$A$8:$H$58,8))</f>
        <v xml:space="preserve">    $retorno-&gt;msgcode = ConstantesMensagem::COMANDO_REALIZADO_COM_SUCESSO;</v>
      </c>
    </row>
    <row r="204" spans="1:15" x14ac:dyDescent="0.25">
      <c r="A204" s="6" t="s">
        <v>411</v>
      </c>
      <c r="O204" s="7" t="str">
        <f ca="1">getCodigoBackend(N204,A204,VLOOKUP(N204,setup!$A$8:$H$58,2),VLOOKUP(N204,setup!$A$8:$H$58,3),VLOOKUP(N204,setup!$A$8:$H$58,4),VLOOKUP(N204,setup!$A$8:$H$58,5),VLOOKUP(N204,setup!$A$8:$H$58,6),VLOOKUP(N204,setup!$A$8:$H$58,7), VLOOKUP(0,setup!$A$8:$H$58,2),VLOOKUP(0,setup!$A$8:$H$58,5),VLOOKUP(N204,setup!$A$8:$H$58,8))</f>
        <v xml:space="preserve">    $retorno-&gt;msgcodeString = MensagemCache::getInstance()-&gt;getMensagem($retorno-&gt;msgcode);</v>
      </c>
    </row>
    <row r="205" spans="1:15" x14ac:dyDescent="0.25">
      <c r="A205" s="6"/>
      <c r="O205" s="7" t="str">
        <f ca="1">getCodigoBackend(N205,A205,VLOOKUP(N205,setup!$A$8:$H$58,2),VLOOKUP(N205,setup!$A$8:$H$58,3),VLOOKUP(N205,setup!$A$8:$H$58,4),VLOOKUP(N205,setup!$A$8:$H$58,5),VLOOKUP(N205,setup!$A$8:$H$58,6),VLOOKUP(N205,setup!$A$8:$H$58,7), VLOOKUP(0,setup!$A$8:$H$58,2),VLOOKUP(0,setup!$A$8:$H$58,5),VLOOKUP(N205,setup!$A$8:$H$58,8))</f>
        <v/>
      </c>
    </row>
    <row r="206" spans="1:15" x14ac:dyDescent="0.25">
      <c r="A206" s="6" t="s">
        <v>920</v>
      </c>
      <c r="N206">
        <v>0</v>
      </c>
      <c r="O206" s="7" t="str">
        <f ca="1">getCodigoBackend(N206,A206,VLOOKUP(N206,setup!$A$8:$H$58,2),VLOOKUP(N206,setup!$A$8:$H$58,3),VLOOKUP(N206,setup!$A$8:$H$58,4),VLOOKUP(N206,setup!$A$8:$H$58,5),VLOOKUP(N206,setup!$A$8:$H$58,6),VLOOKUP(N206,setup!$A$8:$H$58,7), VLOOKUP(0,setup!$A$8:$H$58,2),VLOOKUP(0,setup!$A$8:$H$58,5),VLOOKUP(N206,setup!$A$8:$H$58,8))</f>
        <v xml:space="preserve">    // Efetua validações no campo $dto-&gt;id com tamanho CampanhaCashbackResgatePixConstantes::LEN_ID</v>
      </c>
    </row>
    <row r="207" spans="1:15" x14ac:dyDescent="0.25">
      <c r="A207" s="6" t="s">
        <v>921</v>
      </c>
      <c r="N207">
        <v>0</v>
      </c>
      <c r="O207" s="7" t="str">
        <f ca="1">getCodigoBackend(N207,A207,VLOOKUP(N207,setup!$A$8:$H$58,2),VLOOKUP(N207,setup!$A$8:$H$58,3),VLOOKUP(N207,setup!$A$8:$H$58,4),VLOOKUP(N207,setup!$A$8:$H$58,5),VLOOKUP(N207,setup!$A$8:$H$58,6),VLOOKUP(N207,setup!$A$8:$H$58,7), VLOOKUP(0,setup!$A$8:$H$58,2),VLOOKUP(0,setup!$A$8:$H$58,5),VLOOKUP(N207,setup!$A$8:$H$58,8))</f>
        <v xml:space="preserve">    $ok = $this-&gt;validarTamanhoCampo($dto-&gt;id, CampanhaCashbackResgatePixConstantes::LEN_ID, CampanhaCashbackResgatePixConstantes::DESC_ID);</v>
      </c>
    </row>
    <row r="208" spans="1:15" x14ac:dyDescent="0.25">
      <c r="A208" s="6" t="s">
        <v>416</v>
      </c>
      <c r="N208">
        <v>0</v>
      </c>
      <c r="O208" s="7" t="str">
        <f ca="1">getCodigoBackend(N208,A208,VLOOKUP(N208,setup!$A$8:$H$58,2),VLOOKUP(N208,setup!$A$8:$H$58,3),VLOOKUP(N208,setup!$A$8:$H$58,4),VLOOKUP(N208,setup!$A$8:$H$58,5),VLOOKUP(N208,setup!$A$8:$H$58,6),VLOOKUP(N208,setup!$A$8:$H$58,7), VLOOKUP(0,setup!$A$8:$H$58,2),VLOOKUP(0,setup!$A$8:$H$58,5),VLOOKUP(N208,setup!$A$8:$H$58,8))</f>
        <v xml:space="preserve">    if($ok-&gt;msgcode != ConstantesMensagem::COMANDO_REALIZADO_COM_SUCESSO){</v>
      </c>
    </row>
    <row r="209" spans="1:15" x14ac:dyDescent="0.25">
      <c r="A209" s="6" t="s">
        <v>417</v>
      </c>
      <c r="N209">
        <v>0</v>
      </c>
      <c r="O209" s="7" t="str">
        <f ca="1">getCodigoBackend(N209,A209,VLOOKUP(N209,setup!$A$8:$H$58,2),VLOOKUP(N209,setup!$A$8:$H$58,3),VLOOKUP(N209,setup!$A$8:$H$58,4),VLOOKUP(N209,setup!$A$8:$H$58,5),VLOOKUP(N209,setup!$A$8:$H$58,6),VLOOKUP(N209,setup!$A$8:$H$58,7), VLOOKUP(0,setup!$A$8:$H$58,2),VLOOKUP(0,setup!$A$8:$H$58,5),VLOOKUP(N209,setup!$A$8:$H$58,8))</f>
        <v xml:space="preserve">        return $ok;</v>
      </c>
    </row>
    <row r="210" spans="1:15" x14ac:dyDescent="0.25">
      <c r="A210" s="6" t="s">
        <v>406</v>
      </c>
      <c r="N210">
        <v>0</v>
      </c>
      <c r="O210" s="7" t="str">
        <f ca="1">getCodigoBackend(N210,A210,VLOOKUP(N210,setup!$A$8:$H$58,2),VLOOKUP(N210,setup!$A$8:$H$58,3),VLOOKUP(N210,setup!$A$8:$H$58,4),VLOOKUP(N210,setup!$A$8:$H$58,5),VLOOKUP(N210,setup!$A$8:$H$58,6),VLOOKUP(N210,setup!$A$8:$H$58,7), VLOOKUP(0,setup!$A$8:$H$58,2),VLOOKUP(0,setup!$A$8:$H$58,5),VLOOKUP(N210,setup!$A$8:$H$58,8))</f>
        <v xml:space="preserve">    }</v>
      </c>
    </row>
    <row r="211" spans="1:15" x14ac:dyDescent="0.25">
      <c r="A211" s="6"/>
      <c r="O211" s="7" t="str">
        <f ca="1">getCodigoBackend(N211,A211,VLOOKUP(N211,setup!$A$8:$H$58,2),VLOOKUP(N211,setup!$A$8:$H$58,3),VLOOKUP(N211,setup!$A$8:$H$58,4),VLOOKUP(N211,setup!$A$8:$H$58,5),VLOOKUP(N211,setup!$A$8:$H$58,6),VLOOKUP(N211,setup!$A$8:$H$58,7), VLOOKUP(0,setup!$A$8:$H$58,2),VLOOKUP(0,setup!$A$8:$H$58,5),VLOOKUP(N211,setup!$A$8:$H$58,8))</f>
        <v/>
      </c>
    </row>
    <row r="212" spans="1:15" x14ac:dyDescent="0.25">
      <c r="A212" s="6" t="s">
        <v>920</v>
      </c>
      <c r="N212">
        <v>1</v>
      </c>
      <c r="O212" s="7" t="str">
        <f ca="1">getCodigoBackend(N212,A212,VLOOKUP(N212,setup!$A$8:$H$58,2),VLOOKUP(N212,setup!$A$8:$H$58,3),VLOOKUP(N212,setup!$A$8:$H$58,4),VLOOKUP(N212,setup!$A$8:$H$58,5),VLOOKUP(N212,setup!$A$8:$H$58,6),VLOOKUP(N212,setup!$A$8:$H$58,7), VLOOKUP(0,setup!$A$8:$H$58,2),VLOOKUP(0,setup!$A$8:$H$58,5),VLOOKUP(N212,setup!$A$8:$H$58,8))</f>
        <v xml:space="preserve">    // Efetua validações no campo $dto-&gt;idCampanhaCashback com tamanho CampanhaCashbackResgatePixConstantes::LEN_IDCAMPANHACASHBACK</v>
      </c>
    </row>
    <row r="213" spans="1:15" x14ac:dyDescent="0.25">
      <c r="A213" s="6" t="s">
        <v>921</v>
      </c>
      <c r="N213">
        <v>1</v>
      </c>
      <c r="O213" s="7" t="str">
        <f ca="1">getCodigoBackend(N213,A213,VLOOKUP(N213,setup!$A$8:$H$58,2),VLOOKUP(N213,setup!$A$8:$H$58,3),VLOOKUP(N213,setup!$A$8:$H$58,4),VLOOKUP(N213,setup!$A$8:$H$58,5),VLOOKUP(N213,setup!$A$8:$H$58,6),VLOOKUP(N213,setup!$A$8:$H$58,7), VLOOKUP(0,setup!$A$8:$H$58,2),VLOOKUP(0,setup!$A$8:$H$58,5),VLOOKUP(N213,setup!$A$8:$H$58,8))</f>
        <v xml:space="preserve">    $ok = $this-&gt;validarTamanhoCampo($dto-&gt;idCampanhaCashback, CampanhaCashbackResgatePixConstantes::LEN_IDCAMPANHACASHBACK, CampanhaCashbackResgatePixConstantes::DESC_IDCAMPANHACASHBACK);</v>
      </c>
    </row>
    <row r="214" spans="1:15" x14ac:dyDescent="0.25">
      <c r="A214" s="6" t="s">
        <v>416</v>
      </c>
      <c r="N214">
        <v>1</v>
      </c>
      <c r="O214" s="7" t="str">
        <f ca="1">getCodigoBackend(N214,A214,VLOOKUP(N214,setup!$A$8:$H$58,2),VLOOKUP(N214,setup!$A$8:$H$58,3),VLOOKUP(N214,setup!$A$8:$H$58,4),VLOOKUP(N214,setup!$A$8:$H$58,5),VLOOKUP(N214,setup!$A$8:$H$58,6),VLOOKUP(N214,setup!$A$8:$H$58,7), VLOOKUP(0,setup!$A$8:$H$58,2),VLOOKUP(0,setup!$A$8:$H$58,5),VLOOKUP(N214,setup!$A$8:$H$58,8))</f>
        <v xml:space="preserve">    if($ok-&gt;msgcode != ConstantesMensagem::COMANDO_REALIZADO_COM_SUCESSO){</v>
      </c>
    </row>
    <row r="215" spans="1:15" x14ac:dyDescent="0.25">
      <c r="A215" s="6" t="s">
        <v>417</v>
      </c>
      <c r="N215">
        <v>1</v>
      </c>
      <c r="O215" s="7" t="str">
        <f ca="1">getCodigoBackend(N215,A215,VLOOKUP(N215,setup!$A$8:$H$58,2),VLOOKUP(N215,setup!$A$8:$H$58,3),VLOOKUP(N215,setup!$A$8:$H$58,4),VLOOKUP(N215,setup!$A$8:$H$58,5),VLOOKUP(N215,setup!$A$8:$H$58,6),VLOOKUP(N215,setup!$A$8:$H$58,7), VLOOKUP(0,setup!$A$8:$H$58,2),VLOOKUP(0,setup!$A$8:$H$58,5),VLOOKUP(N215,setup!$A$8:$H$58,8))</f>
        <v xml:space="preserve">        return $ok;</v>
      </c>
    </row>
    <row r="216" spans="1:15" x14ac:dyDescent="0.25">
      <c r="A216" s="6" t="s">
        <v>406</v>
      </c>
      <c r="N216">
        <v>1</v>
      </c>
      <c r="O216" s="7" t="str">
        <f ca="1">getCodigoBackend(N216,A216,VLOOKUP(N216,setup!$A$8:$H$58,2),VLOOKUP(N216,setup!$A$8:$H$58,3),VLOOKUP(N216,setup!$A$8:$H$58,4),VLOOKUP(N216,setup!$A$8:$H$58,5),VLOOKUP(N216,setup!$A$8:$H$58,6),VLOOKUP(N216,setup!$A$8:$H$58,7), VLOOKUP(0,setup!$A$8:$H$58,2),VLOOKUP(0,setup!$A$8:$H$58,5),VLOOKUP(N216,setup!$A$8:$H$58,8))</f>
        <v xml:space="preserve">    }</v>
      </c>
    </row>
    <row r="217" spans="1:15" x14ac:dyDescent="0.25">
      <c r="A217" s="6"/>
      <c r="O217" s="7" t="str">
        <f ca="1">getCodigoBackend(N217,A217,VLOOKUP(N217,setup!$A$8:$H$58,2),VLOOKUP(N217,setup!$A$8:$H$58,3),VLOOKUP(N217,setup!$A$8:$H$58,4),VLOOKUP(N217,setup!$A$8:$H$58,5),VLOOKUP(N217,setup!$A$8:$H$58,6),VLOOKUP(N217,setup!$A$8:$H$58,7), VLOOKUP(0,setup!$A$8:$H$58,2),VLOOKUP(0,setup!$A$8:$H$58,5),VLOOKUP(N217,setup!$A$8:$H$58,8))</f>
        <v/>
      </c>
    </row>
    <row r="218" spans="1:15" x14ac:dyDescent="0.25">
      <c r="A218" s="6" t="s">
        <v>920</v>
      </c>
      <c r="N218">
        <v>2</v>
      </c>
      <c r="O218" s="7" t="str">
        <f ca="1">getCodigoBackend(N218,A218,VLOOKUP(N218,setup!$A$8:$H$58,2),VLOOKUP(N218,setup!$A$8:$H$58,3),VLOOKUP(N218,setup!$A$8:$H$58,4),VLOOKUP(N218,setup!$A$8:$H$58,5),VLOOKUP(N218,setup!$A$8:$H$58,6),VLOOKUP(N218,setup!$A$8:$H$58,7), VLOOKUP(0,setup!$A$8:$H$58,2),VLOOKUP(0,setup!$A$8:$H$58,5),VLOOKUP(N218,setup!$A$8:$H$58,8))</f>
        <v xml:space="preserve">    // Efetua validações no campo $dto-&gt;idUsuarioSolicitante com tamanho CampanhaCashbackResgatePixConstantes::LEN_IDUSUARIOSOLICITANTE</v>
      </c>
    </row>
    <row r="219" spans="1:15" x14ac:dyDescent="0.25">
      <c r="A219" s="6" t="s">
        <v>921</v>
      </c>
      <c r="N219">
        <v>2</v>
      </c>
      <c r="O219" s="7" t="str">
        <f ca="1">getCodigoBackend(N219,A219,VLOOKUP(N219,setup!$A$8:$H$58,2),VLOOKUP(N219,setup!$A$8:$H$58,3),VLOOKUP(N219,setup!$A$8:$H$58,4),VLOOKUP(N219,setup!$A$8:$H$58,5),VLOOKUP(N219,setup!$A$8:$H$58,6),VLOOKUP(N219,setup!$A$8:$H$58,7), VLOOKUP(0,setup!$A$8:$H$58,2),VLOOKUP(0,setup!$A$8:$H$58,5),VLOOKUP(N219,setup!$A$8:$H$58,8))</f>
        <v xml:space="preserve">    $ok = $this-&gt;validarTamanhoCampo($dto-&gt;idUsuarioSolicitante, CampanhaCashbackResgatePixConstantes::LEN_IDUSUARIOSOLICITANTE, CampanhaCashbackResgatePixConstantes::DESC_IDUSUARIOSOLICITANTE);</v>
      </c>
    </row>
    <row r="220" spans="1:15" x14ac:dyDescent="0.25">
      <c r="A220" s="6" t="s">
        <v>416</v>
      </c>
      <c r="N220">
        <v>2</v>
      </c>
      <c r="O220" s="7" t="str">
        <f ca="1">getCodigoBackend(N220,A220,VLOOKUP(N220,setup!$A$8:$H$58,2),VLOOKUP(N220,setup!$A$8:$H$58,3),VLOOKUP(N220,setup!$A$8:$H$58,4),VLOOKUP(N220,setup!$A$8:$H$58,5),VLOOKUP(N220,setup!$A$8:$H$58,6),VLOOKUP(N220,setup!$A$8:$H$58,7), VLOOKUP(0,setup!$A$8:$H$58,2),VLOOKUP(0,setup!$A$8:$H$58,5),VLOOKUP(N220,setup!$A$8:$H$58,8))</f>
        <v xml:space="preserve">    if($ok-&gt;msgcode != ConstantesMensagem::COMANDO_REALIZADO_COM_SUCESSO){</v>
      </c>
    </row>
    <row r="221" spans="1:15" x14ac:dyDescent="0.25">
      <c r="A221" s="6" t="s">
        <v>417</v>
      </c>
      <c r="N221">
        <v>2</v>
      </c>
      <c r="O221" s="7" t="str">
        <f ca="1">getCodigoBackend(N221,A221,VLOOKUP(N221,setup!$A$8:$H$58,2),VLOOKUP(N221,setup!$A$8:$H$58,3),VLOOKUP(N221,setup!$A$8:$H$58,4),VLOOKUP(N221,setup!$A$8:$H$58,5),VLOOKUP(N221,setup!$A$8:$H$58,6),VLOOKUP(N221,setup!$A$8:$H$58,7), VLOOKUP(0,setup!$A$8:$H$58,2),VLOOKUP(0,setup!$A$8:$H$58,5),VLOOKUP(N221,setup!$A$8:$H$58,8))</f>
        <v xml:space="preserve">        return $ok;</v>
      </c>
    </row>
    <row r="222" spans="1:15" x14ac:dyDescent="0.25">
      <c r="A222" s="6" t="s">
        <v>406</v>
      </c>
      <c r="N222">
        <v>2</v>
      </c>
      <c r="O222" s="7" t="str">
        <f ca="1">getCodigoBackend(N222,A222,VLOOKUP(N222,setup!$A$8:$H$58,2),VLOOKUP(N222,setup!$A$8:$H$58,3),VLOOKUP(N222,setup!$A$8:$H$58,4),VLOOKUP(N222,setup!$A$8:$H$58,5),VLOOKUP(N222,setup!$A$8:$H$58,6),VLOOKUP(N222,setup!$A$8:$H$58,7), VLOOKUP(0,setup!$A$8:$H$58,2),VLOOKUP(0,setup!$A$8:$H$58,5),VLOOKUP(N222,setup!$A$8:$H$58,8))</f>
        <v xml:space="preserve">    }</v>
      </c>
    </row>
    <row r="223" spans="1:15" x14ac:dyDescent="0.25">
      <c r="A223" s="6"/>
      <c r="O223" s="7" t="str">
        <f ca="1">getCodigoBackend(N223,A223,VLOOKUP(N223,setup!$A$8:$H$58,2),VLOOKUP(N223,setup!$A$8:$H$58,3),VLOOKUP(N223,setup!$A$8:$H$58,4),VLOOKUP(N223,setup!$A$8:$H$58,5),VLOOKUP(N223,setup!$A$8:$H$58,6),VLOOKUP(N223,setup!$A$8:$H$58,7), VLOOKUP(0,setup!$A$8:$H$58,2),VLOOKUP(0,setup!$A$8:$H$58,5),VLOOKUP(N223,setup!$A$8:$H$58,8))</f>
        <v/>
      </c>
    </row>
    <row r="224" spans="1:15" x14ac:dyDescent="0.25">
      <c r="A224" s="6" t="s">
        <v>920</v>
      </c>
      <c r="N224">
        <v>3</v>
      </c>
      <c r="O224" s="7" t="str">
        <f ca="1">getCodigoBackend(N224,A224,VLOOKUP(N224,setup!$A$8:$H$58,2),VLOOKUP(N224,setup!$A$8:$H$58,3),VLOOKUP(N224,setup!$A$8:$H$58,4),VLOOKUP(N224,setup!$A$8:$H$58,5),VLOOKUP(N224,setup!$A$8:$H$58,6),VLOOKUP(N224,setup!$A$8:$H$58,7), VLOOKUP(0,setup!$A$8:$H$58,2),VLOOKUP(0,setup!$A$8:$H$58,5),VLOOKUP(N224,setup!$A$8:$H$58,8))</f>
        <v xml:space="preserve">    // Efetua validações no campo $dto-&gt;tipoChavePix com tamanho CampanhaCashbackResgatePixConstantes::LEN_TIPOCHAVEPIX</v>
      </c>
    </row>
    <row r="225" spans="1:15" x14ac:dyDescent="0.25">
      <c r="A225" s="6" t="s">
        <v>921</v>
      </c>
      <c r="N225">
        <v>3</v>
      </c>
      <c r="O225" s="7" t="str">
        <f ca="1">getCodigoBackend(N225,A225,VLOOKUP(N225,setup!$A$8:$H$58,2),VLOOKUP(N225,setup!$A$8:$H$58,3),VLOOKUP(N225,setup!$A$8:$H$58,4),VLOOKUP(N225,setup!$A$8:$H$58,5),VLOOKUP(N225,setup!$A$8:$H$58,6),VLOOKUP(N225,setup!$A$8:$H$58,7), VLOOKUP(0,setup!$A$8:$H$58,2),VLOOKUP(0,setup!$A$8:$H$58,5),VLOOKUP(N225,setup!$A$8:$H$58,8))</f>
        <v xml:space="preserve">    $ok = $this-&gt;validarTamanhoCampo($dto-&gt;tipoChavePix, CampanhaCashbackResgatePixConstantes::LEN_TIPOCHAVEPIX, CampanhaCashbackResgatePixConstantes::DESC_TIPOCHAVEPIX);</v>
      </c>
    </row>
    <row r="226" spans="1:15" x14ac:dyDescent="0.25">
      <c r="A226" s="6" t="s">
        <v>416</v>
      </c>
      <c r="N226">
        <v>3</v>
      </c>
      <c r="O226" s="7" t="str">
        <f ca="1">getCodigoBackend(N226,A226,VLOOKUP(N226,setup!$A$8:$H$58,2),VLOOKUP(N226,setup!$A$8:$H$58,3),VLOOKUP(N226,setup!$A$8:$H$58,4),VLOOKUP(N226,setup!$A$8:$H$58,5),VLOOKUP(N226,setup!$A$8:$H$58,6),VLOOKUP(N226,setup!$A$8:$H$58,7), VLOOKUP(0,setup!$A$8:$H$58,2),VLOOKUP(0,setup!$A$8:$H$58,5),VLOOKUP(N226,setup!$A$8:$H$58,8))</f>
        <v xml:space="preserve">    if($ok-&gt;msgcode != ConstantesMensagem::COMANDO_REALIZADO_COM_SUCESSO){</v>
      </c>
    </row>
    <row r="227" spans="1:15" x14ac:dyDescent="0.25">
      <c r="A227" s="6" t="s">
        <v>417</v>
      </c>
      <c r="N227">
        <v>3</v>
      </c>
      <c r="O227" s="7" t="str">
        <f ca="1">getCodigoBackend(N227,A227,VLOOKUP(N227,setup!$A$8:$H$58,2),VLOOKUP(N227,setup!$A$8:$H$58,3),VLOOKUP(N227,setup!$A$8:$H$58,4),VLOOKUP(N227,setup!$A$8:$H$58,5),VLOOKUP(N227,setup!$A$8:$H$58,6),VLOOKUP(N227,setup!$A$8:$H$58,7), VLOOKUP(0,setup!$A$8:$H$58,2),VLOOKUP(0,setup!$A$8:$H$58,5),VLOOKUP(N227,setup!$A$8:$H$58,8))</f>
        <v xml:space="preserve">        return $ok;</v>
      </c>
    </row>
    <row r="228" spans="1:15" x14ac:dyDescent="0.25">
      <c r="A228" s="6" t="s">
        <v>406</v>
      </c>
      <c r="N228">
        <v>3</v>
      </c>
      <c r="O228" s="7" t="str">
        <f ca="1">getCodigoBackend(N228,A228,VLOOKUP(N228,setup!$A$8:$H$58,2),VLOOKUP(N228,setup!$A$8:$H$58,3),VLOOKUP(N228,setup!$A$8:$H$58,4),VLOOKUP(N228,setup!$A$8:$H$58,5),VLOOKUP(N228,setup!$A$8:$H$58,6),VLOOKUP(N228,setup!$A$8:$H$58,7), VLOOKUP(0,setup!$A$8:$H$58,2),VLOOKUP(0,setup!$A$8:$H$58,5),VLOOKUP(N228,setup!$A$8:$H$58,8))</f>
        <v xml:space="preserve">    }</v>
      </c>
    </row>
    <row r="229" spans="1:15" x14ac:dyDescent="0.25">
      <c r="A229" s="6"/>
      <c r="O229" s="7" t="str">
        <f ca="1">getCodigoBackend(N229,A229,VLOOKUP(N229,setup!$A$8:$H$58,2),VLOOKUP(N229,setup!$A$8:$H$58,3),VLOOKUP(N229,setup!$A$8:$H$58,4),VLOOKUP(N229,setup!$A$8:$H$58,5),VLOOKUP(N229,setup!$A$8:$H$58,6),VLOOKUP(N229,setup!$A$8:$H$58,7), VLOOKUP(0,setup!$A$8:$H$58,2),VLOOKUP(0,setup!$A$8:$H$58,5),VLOOKUP(N229,setup!$A$8:$H$58,8))</f>
        <v/>
      </c>
    </row>
    <row r="230" spans="1:15" x14ac:dyDescent="0.25">
      <c r="A230" s="6" t="s">
        <v>920</v>
      </c>
      <c r="N230">
        <v>4</v>
      </c>
      <c r="O230" s="7" t="str">
        <f ca="1">getCodigoBackend(N230,A230,VLOOKUP(N230,setup!$A$8:$H$58,2),VLOOKUP(N230,setup!$A$8:$H$58,3),VLOOKUP(N230,setup!$A$8:$H$58,4),VLOOKUP(N230,setup!$A$8:$H$58,5),VLOOKUP(N230,setup!$A$8:$H$58,6),VLOOKUP(N230,setup!$A$8:$H$58,7), VLOOKUP(0,setup!$A$8:$H$58,2),VLOOKUP(0,setup!$A$8:$H$58,5),VLOOKUP(N230,setup!$A$8:$H$58,8))</f>
        <v xml:space="preserve">    // Efetua validações no campo $dto-&gt;chavePix com tamanho CampanhaCashbackResgatePixConstantes::LEN_CHAVEPIX</v>
      </c>
    </row>
    <row r="231" spans="1:15" x14ac:dyDescent="0.25">
      <c r="A231" s="6" t="s">
        <v>921</v>
      </c>
      <c r="N231">
        <v>4</v>
      </c>
      <c r="O231" s="7" t="str">
        <f ca="1">getCodigoBackend(N231,A231,VLOOKUP(N231,setup!$A$8:$H$58,2),VLOOKUP(N231,setup!$A$8:$H$58,3),VLOOKUP(N231,setup!$A$8:$H$58,4),VLOOKUP(N231,setup!$A$8:$H$58,5),VLOOKUP(N231,setup!$A$8:$H$58,6),VLOOKUP(N231,setup!$A$8:$H$58,7), VLOOKUP(0,setup!$A$8:$H$58,2),VLOOKUP(0,setup!$A$8:$H$58,5),VLOOKUP(N231,setup!$A$8:$H$58,8))</f>
        <v xml:space="preserve">    $ok = $this-&gt;validarTamanhoCampo($dto-&gt;chavePix, CampanhaCashbackResgatePixConstantes::LEN_CHAVEPIX, CampanhaCashbackResgatePixConstantes::DESC_CHAVEPIX);</v>
      </c>
    </row>
    <row r="232" spans="1:15" x14ac:dyDescent="0.25">
      <c r="A232" s="6" t="s">
        <v>416</v>
      </c>
      <c r="N232">
        <v>4</v>
      </c>
      <c r="O232" s="7" t="str">
        <f ca="1">getCodigoBackend(N232,A232,VLOOKUP(N232,setup!$A$8:$H$58,2),VLOOKUP(N232,setup!$A$8:$H$58,3),VLOOKUP(N232,setup!$A$8:$H$58,4),VLOOKUP(N232,setup!$A$8:$H$58,5),VLOOKUP(N232,setup!$A$8:$H$58,6),VLOOKUP(N232,setup!$A$8:$H$58,7), VLOOKUP(0,setup!$A$8:$H$58,2),VLOOKUP(0,setup!$A$8:$H$58,5),VLOOKUP(N232,setup!$A$8:$H$58,8))</f>
        <v xml:space="preserve">    if($ok-&gt;msgcode != ConstantesMensagem::COMANDO_REALIZADO_COM_SUCESSO){</v>
      </c>
    </row>
    <row r="233" spans="1:15" x14ac:dyDescent="0.25">
      <c r="A233" s="6" t="s">
        <v>417</v>
      </c>
      <c r="N233">
        <v>4</v>
      </c>
      <c r="O233" s="7" t="str">
        <f ca="1">getCodigoBackend(N233,A233,VLOOKUP(N233,setup!$A$8:$H$58,2),VLOOKUP(N233,setup!$A$8:$H$58,3),VLOOKUP(N233,setup!$A$8:$H$58,4),VLOOKUP(N233,setup!$A$8:$H$58,5),VLOOKUP(N233,setup!$A$8:$H$58,6),VLOOKUP(N233,setup!$A$8:$H$58,7), VLOOKUP(0,setup!$A$8:$H$58,2),VLOOKUP(0,setup!$A$8:$H$58,5),VLOOKUP(N233,setup!$A$8:$H$58,8))</f>
        <v xml:space="preserve">        return $ok;</v>
      </c>
    </row>
    <row r="234" spans="1:15" x14ac:dyDescent="0.25">
      <c r="A234" s="6" t="s">
        <v>406</v>
      </c>
      <c r="N234">
        <v>4</v>
      </c>
      <c r="O234" s="7" t="str">
        <f ca="1">getCodigoBackend(N234,A234,VLOOKUP(N234,setup!$A$8:$H$58,2),VLOOKUP(N234,setup!$A$8:$H$58,3),VLOOKUP(N234,setup!$A$8:$H$58,4),VLOOKUP(N234,setup!$A$8:$H$58,5),VLOOKUP(N234,setup!$A$8:$H$58,6),VLOOKUP(N234,setup!$A$8:$H$58,7), VLOOKUP(0,setup!$A$8:$H$58,2),VLOOKUP(0,setup!$A$8:$H$58,5),VLOOKUP(N234,setup!$A$8:$H$58,8))</f>
        <v xml:space="preserve">    }</v>
      </c>
    </row>
    <row r="235" spans="1:15" x14ac:dyDescent="0.25">
      <c r="A235" s="6"/>
      <c r="O235" s="7" t="str">
        <f ca="1">getCodigoBackend(N235,A235,VLOOKUP(N235,setup!$A$8:$H$58,2),VLOOKUP(N235,setup!$A$8:$H$58,3),VLOOKUP(N235,setup!$A$8:$H$58,4),VLOOKUP(N235,setup!$A$8:$H$58,5),VLOOKUP(N235,setup!$A$8:$H$58,6),VLOOKUP(N235,setup!$A$8:$H$58,7), VLOOKUP(0,setup!$A$8:$H$58,2),VLOOKUP(0,setup!$A$8:$H$58,5),VLOOKUP(N235,setup!$A$8:$H$58,8))</f>
        <v/>
      </c>
    </row>
    <row r="236" spans="1:15" x14ac:dyDescent="0.25">
      <c r="A236" s="6" t="s">
        <v>920</v>
      </c>
      <c r="N236">
        <v>5</v>
      </c>
      <c r="O236" s="7" t="str">
        <f ca="1">getCodigoBackend(N236,A236,VLOOKUP(N236,setup!$A$8:$H$58,2),VLOOKUP(N236,setup!$A$8:$H$58,3),VLOOKUP(N236,setup!$A$8:$H$58,4),VLOOKUP(N236,setup!$A$8:$H$58,5),VLOOKUP(N236,setup!$A$8:$H$58,6),VLOOKUP(N236,setup!$A$8:$H$58,7), VLOOKUP(0,setup!$A$8:$H$58,2),VLOOKUP(0,setup!$A$8:$H$58,5),VLOOKUP(N236,setup!$A$8:$H$58,8))</f>
        <v xml:space="preserve">    // Efetua validações no campo $dto-&gt;valorResgate com tamanho CampanhaCashbackResgatePixConstantes::LEN_VALORRESGATE</v>
      </c>
    </row>
    <row r="237" spans="1:15" x14ac:dyDescent="0.25">
      <c r="A237" s="6" t="s">
        <v>921</v>
      </c>
      <c r="N237">
        <v>5</v>
      </c>
      <c r="O237" s="7" t="str">
        <f ca="1">getCodigoBackend(N237,A237,VLOOKUP(N237,setup!$A$8:$H$58,2),VLOOKUP(N237,setup!$A$8:$H$58,3),VLOOKUP(N237,setup!$A$8:$H$58,4),VLOOKUP(N237,setup!$A$8:$H$58,5),VLOOKUP(N237,setup!$A$8:$H$58,6),VLOOKUP(N237,setup!$A$8:$H$58,7), VLOOKUP(0,setup!$A$8:$H$58,2),VLOOKUP(0,setup!$A$8:$H$58,5),VLOOKUP(N237,setup!$A$8:$H$58,8))</f>
        <v xml:space="preserve">    $ok = $this-&gt;validarTamanhoCampo($dto-&gt;valorResgate, CampanhaCashbackResgatePixConstantes::LEN_VALORRESGATE, CampanhaCashbackResgatePixConstantes::DESC_VALORRESGATE);</v>
      </c>
    </row>
    <row r="238" spans="1:15" x14ac:dyDescent="0.25">
      <c r="A238" s="6" t="s">
        <v>416</v>
      </c>
      <c r="N238">
        <v>5</v>
      </c>
      <c r="O238" s="7" t="str">
        <f ca="1">getCodigoBackend(N238,A238,VLOOKUP(N238,setup!$A$8:$H$58,2),VLOOKUP(N238,setup!$A$8:$H$58,3),VLOOKUP(N238,setup!$A$8:$H$58,4),VLOOKUP(N238,setup!$A$8:$H$58,5),VLOOKUP(N238,setup!$A$8:$H$58,6),VLOOKUP(N238,setup!$A$8:$H$58,7), VLOOKUP(0,setup!$A$8:$H$58,2),VLOOKUP(0,setup!$A$8:$H$58,5),VLOOKUP(N238,setup!$A$8:$H$58,8))</f>
        <v xml:space="preserve">    if($ok-&gt;msgcode != ConstantesMensagem::COMANDO_REALIZADO_COM_SUCESSO){</v>
      </c>
    </row>
    <row r="239" spans="1:15" x14ac:dyDescent="0.25">
      <c r="A239" s="6" t="s">
        <v>417</v>
      </c>
      <c r="N239">
        <v>5</v>
      </c>
      <c r="O239" s="7" t="str">
        <f ca="1">getCodigoBackend(N239,A239,VLOOKUP(N239,setup!$A$8:$H$58,2),VLOOKUP(N239,setup!$A$8:$H$58,3),VLOOKUP(N239,setup!$A$8:$H$58,4),VLOOKUP(N239,setup!$A$8:$H$58,5),VLOOKUP(N239,setup!$A$8:$H$58,6),VLOOKUP(N239,setup!$A$8:$H$58,7), VLOOKUP(0,setup!$A$8:$H$58,2),VLOOKUP(0,setup!$A$8:$H$58,5),VLOOKUP(N239,setup!$A$8:$H$58,8))</f>
        <v xml:space="preserve">        return $ok;</v>
      </c>
    </row>
    <row r="240" spans="1:15" x14ac:dyDescent="0.25">
      <c r="A240" s="6" t="s">
        <v>406</v>
      </c>
      <c r="N240">
        <v>5</v>
      </c>
      <c r="O240" s="7" t="str">
        <f ca="1">getCodigoBackend(N240,A240,VLOOKUP(N240,setup!$A$8:$H$58,2),VLOOKUP(N240,setup!$A$8:$H$58,3),VLOOKUP(N240,setup!$A$8:$H$58,4),VLOOKUP(N240,setup!$A$8:$H$58,5),VLOOKUP(N240,setup!$A$8:$H$58,6),VLOOKUP(N240,setup!$A$8:$H$58,7), VLOOKUP(0,setup!$A$8:$H$58,2),VLOOKUP(0,setup!$A$8:$H$58,5),VLOOKUP(N240,setup!$A$8:$H$58,8))</f>
        <v xml:space="preserve">    }</v>
      </c>
    </row>
    <row r="241" spans="1:15" x14ac:dyDescent="0.25">
      <c r="A241" s="6"/>
      <c r="O241" s="7" t="str">
        <f ca="1">getCodigoBackend(N241,A241,VLOOKUP(N241,setup!$A$8:$H$58,2),VLOOKUP(N241,setup!$A$8:$H$58,3),VLOOKUP(N241,setup!$A$8:$H$58,4),VLOOKUP(N241,setup!$A$8:$H$58,5),VLOOKUP(N241,setup!$A$8:$H$58,6),VLOOKUP(N241,setup!$A$8:$H$58,7), VLOOKUP(0,setup!$A$8:$H$58,2),VLOOKUP(0,setup!$A$8:$H$58,5),VLOOKUP(N241,setup!$A$8:$H$58,8))</f>
        <v/>
      </c>
    </row>
    <row r="242" spans="1:15" x14ac:dyDescent="0.25">
      <c r="A242" s="6" t="s">
        <v>920</v>
      </c>
      <c r="N242">
        <v>6</v>
      </c>
      <c r="O242" s="7" t="str">
        <f ca="1">getCodigoBackend(N242,A242,VLOOKUP(N242,setup!$A$8:$H$58,2),VLOOKUP(N242,setup!$A$8:$H$58,3),VLOOKUP(N242,setup!$A$8:$H$58,4),VLOOKUP(N242,setup!$A$8:$H$58,5),VLOOKUP(N242,setup!$A$8:$H$58,6),VLOOKUP(N242,setup!$A$8:$H$58,7), VLOOKUP(0,setup!$A$8:$H$58,2),VLOOKUP(0,setup!$A$8:$H$58,5),VLOOKUP(N242,setup!$A$8:$H$58,8))</f>
        <v xml:space="preserve">    // Efetua validações no campo $dto-&gt;autenticacaoBco com tamanho CampanhaCashbackResgatePixConstantes::LEN_AUTENTICACAOBCO</v>
      </c>
    </row>
    <row r="243" spans="1:15" x14ac:dyDescent="0.25">
      <c r="A243" s="6" t="s">
        <v>921</v>
      </c>
      <c r="N243">
        <v>6</v>
      </c>
      <c r="O243" s="7" t="str">
        <f ca="1">getCodigoBackend(N243,A243,VLOOKUP(N243,setup!$A$8:$H$58,2),VLOOKUP(N243,setup!$A$8:$H$58,3),VLOOKUP(N243,setup!$A$8:$H$58,4),VLOOKUP(N243,setup!$A$8:$H$58,5),VLOOKUP(N243,setup!$A$8:$H$58,6),VLOOKUP(N243,setup!$A$8:$H$58,7), VLOOKUP(0,setup!$A$8:$H$58,2),VLOOKUP(0,setup!$A$8:$H$58,5),VLOOKUP(N243,setup!$A$8:$H$58,8))</f>
        <v xml:space="preserve">    $ok = $this-&gt;validarTamanhoCampo($dto-&gt;autenticacaoBco, CampanhaCashbackResgatePixConstantes::LEN_AUTENTICACAOBCO, CampanhaCashbackResgatePixConstantes::DESC_AUTENTICACAOBCO);</v>
      </c>
    </row>
    <row r="244" spans="1:15" x14ac:dyDescent="0.25">
      <c r="A244" s="6" t="s">
        <v>416</v>
      </c>
      <c r="N244">
        <v>6</v>
      </c>
      <c r="O244" s="7" t="str">
        <f ca="1">getCodigoBackend(N244,A244,VLOOKUP(N244,setup!$A$8:$H$58,2),VLOOKUP(N244,setup!$A$8:$H$58,3),VLOOKUP(N244,setup!$A$8:$H$58,4),VLOOKUP(N244,setup!$A$8:$H$58,5),VLOOKUP(N244,setup!$A$8:$H$58,6),VLOOKUP(N244,setup!$A$8:$H$58,7), VLOOKUP(0,setup!$A$8:$H$58,2),VLOOKUP(0,setup!$A$8:$H$58,5),VLOOKUP(N244,setup!$A$8:$H$58,8))</f>
        <v xml:space="preserve">    if($ok-&gt;msgcode != ConstantesMensagem::COMANDO_REALIZADO_COM_SUCESSO){</v>
      </c>
    </row>
    <row r="245" spans="1:15" x14ac:dyDescent="0.25">
      <c r="A245" s="6" t="s">
        <v>417</v>
      </c>
      <c r="N245">
        <v>6</v>
      </c>
      <c r="O245" s="7" t="str">
        <f ca="1">getCodigoBackend(N245,A245,VLOOKUP(N245,setup!$A$8:$H$58,2),VLOOKUP(N245,setup!$A$8:$H$58,3),VLOOKUP(N245,setup!$A$8:$H$58,4),VLOOKUP(N245,setup!$A$8:$H$58,5),VLOOKUP(N245,setup!$A$8:$H$58,6),VLOOKUP(N245,setup!$A$8:$H$58,7), VLOOKUP(0,setup!$A$8:$H$58,2),VLOOKUP(0,setup!$A$8:$H$58,5),VLOOKUP(N245,setup!$A$8:$H$58,8))</f>
        <v xml:space="preserve">        return $ok;</v>
      </c>
    </row>
    <row r="246" spans="1:15" x14ac:dyDescent="0.25">
      <c r="A246" s="6" t="s">
        <v>406</v>
      </c>
      <c r="N246">
        <v>6</v>
      </c>
      <c r="O246" s="7" t="str">
        <f ca="1">getCodigoBackend(N246,A246,VLOOKUP(N246,setup!$A$8:$H$58,2),VLOOKUP(N246,setup!$A$8:$H$58,3),VLOOKUP(N246,setup!$A$8:$H$58,4),VLOOKUP(N246,setup!$A$8:$H$58,5),VLOOKUP(N246,setup!$A$8:$H$58,6),VLOOKUP(N246,setup!$A$8:$H$58,7), VLOOKUP(0,setup!$A$8:$H$58,2),VLOOKUP(0,setup!$A$8:$H$58,5),VLOOKUP(N246,setup!$A$8:$H$58,8))</f>
        <v xml:space="preserve">    }</v>
      </c>
    </row>
    <row r="247" spans="1:15" x14ac:dyDescent="0.25">
      <c r="A247" s="6"/>
      <c r="O247" s="7" t="str">
        <f ca="1">getCodigoBackend(N247,A247,VLOOKUP(N247,setup!$A$8:$H$58,2),VLOOKUP(N247,setup!$A$8:$H$58,3),VLOOKUP(N247,setup!$A$8:$H$58,4),VLOOKUP(N247,setup!$A$8:$H$58,5),VLOOKUP(N247,setup!$A$8:$H$58,6),VLOOKUP(N247,setup!$A$8:$H$58,7), VLOOKUP(0,setup!$A$8:$H$58,2),VLOOKUP(0,setup!$A$8:$H$58,5),VLOOKUP(N247,setup!$A$8:$H$58,8))</f>
        <v/>
      </c>
    </row>
    <row r="248" spans="1:15" x14ac:dyDescent="0.25">
      <c r="A248" s="6" t="s">
        <v>920</v>
      </c>
      <c r="N248">
        <v>7</v>
      </c>
      <c r="O248" s="7" t="str">
        <f ca="1">getCodigoBackend(N248,A248,VLOOKUP(N248,setup!$A$8:$H$58,2),VLOOKUP(N248,setup!$A$8:$H$58,3),VLOOKUP(N248,setup!$A$8:$H$58,4),VLOOKUP(N248,setup!$A$8:$H$58,5),VLOOKUP(N248,setup!$A$8:$H$58,6),VLOOKUP(N248,setup!$A$8:$H$58,7), VLOOKUP(0,setup!$A$8:$H$58,2),VLOOKUP(0,setup!$A$8:$H$58,5),VLOOKUP(N248,setup!$A$8:$H$58,8))</f>
        <v xml:space="preserve">    // Efetua validações no campo $dto-&gt;estagioRealTime com tamanho CampanhaCashbackResgatePixConstantes::LEN_ESTAGIOREALTIME</v>
      </c>
    </row>
    <row r="249" spans="1:15" x14ac:dyDescent="0.25">
      <c r="A249" s="6" t="s">
        <v>921</v>
      </c>
      <c r="N249">
        <v>7</v>
      </c>
      <c r="O249" s="7" t="str">
        <f ca="1">getCodigoBackend(N249,A249,VLOOKUP(N249,setup!$A$8:$H$58,2),VLOOKUP(N249,setup!$A$8:$H$58,3),VLOOKUP(N249,setup!$A$8:$H$58,4),VLOOKUP(N249,setup!$A$8:$H$58,5),VLOOKUP(N249,setup!$A$8:$H$58,6),VLOOKUP(N249,setup!$A$8:$H$58,7), VLOOKUP(0,setup!$A$8:$H$58,2),VLOOKUP(0,setup!$A$8:$H$58,5),VLOOKUP(N249,setup!$A$8:$H$58,8))</f>
        <v xml:space="preserve">    $ok = $this-&gt;validarTamanhoCampo($dto-&gt;estagioRealTime, CampanhaCashbackResgatePixConstantes::LEN_ESTAGIOREALTIME, CampanhaCashbackResgatePixConstantes::DESC_ESTAGIOREALTIME);</v>
      </c>
    </row>
    <row r="250" spans="1:15" x14ac:dyDescent="0.25">
      <c r="A250" s="6" t="s">
        <v>416</v>
      </c>
      <c r="N250">
        <v>7</v>
      </c>
      <c r="O250" s="7" t="str">
        <f ca="1">getCodigoBackend(N250,A250,VLOOKUP(N250,setup!$A$8:$H$58,2),VLOOKUP(N250,setup!$A$8:$H$58,3),VLOOKUP(N250,setup!$A$8:$H$58,4),VLOOKUP(N250,setup!$A$8:$H$58,5),VLOOKUP(N250,setup!$A$8:$H$58,6),VLOOKUP(N250,setup!$A$8:$H$58,7), VLOOKUP(0,setup!$A$8:$H$58,2),VLOOKUP(0,setup!$A$8:$H$58,5),VLOOKUP(N250,setup!$A$8:$H$58,8))</f>
        <v xml:space="preserve">    if($ok-&gt;msgcode != ConstantesMensagem::COMANDO_REALIZADO_COM_SUCESSO){</v>
      </c>
    </row>
    <row r="251" spans="1:15" x14ac:dyDescent="0.25">
      <c r="A251" s="6" t="s">
        <v>417</v>
      </c>
      <c r="N251">
        <v>7</v>
      </c>
      <c r="O251" s="7" t="str">
        <f ca="1">getCodigoBackend(N251,A251,VLOOKUP(N251,setup!$A$8:$H$58,2),VLOOKUP(N251,setup!$A$8:$H$58,3),VLOOKUP(N251,setup!$A$8:$H$58,4),VLOOKUP(N251,setup!$A$8:$H$58,5),VLOOKUP(N251,setup!$A$8:$H$58,6),VLOOKUP(N251,setup!$A$8:$H$58,7), VLOOKUP(0,setup!$A$8:$H$58,2),VLOOKUP(0,setup!$A$8:$H$58,5),VLOOKUP(N251,setup!$A$8:$H$58,8))</f>
        <v xml:space="preserve">        return $ok;</v>
      </c>
    </row>
    <row r="252" spans="1:15" x14ac:dyDescent="0.25">
      <c r="A252" s="6" t="s">
        <v>406</v>
      </c>
      <c r="N252">
        <v>7</v>
      </c>
      <c r="O252" s="7" t="str">
        <f ca="1">getCodigoBackend(N252,A252,VLOOKUP(N252,setup!$A$8:$H$58,2),VLOOKUP(N252,setup!$A$8:$H$58,3),VLOOKUP(N252,setup!$A$8:$H$58,4),VLOOKUP(N252,setup!$A$8:$H$58,5),VLOOKUP(N252,setup!$A$8:$H$58,6),VLOOKUP(N252,setup!$A$8:$H$58,7), VLOOKUP(0,setup!$A$8:$H$58,2),VLOOKUP(0,setup!$A$8:$H$58,5),VLOOKUP(N252,setup!$A$8:$H$58,8))</f>
        <v xml:space="preserve">    }</v>
      </c>
    </row>
    <row r="253" spans="1:15" x14ac:dyDescent="0.25">
      <c r="A253" s="6"/>
      <c r="O253" s="7" t="str">
        <f ca="1">getCodigoBackend(N253,A253,VLOOKUP(N253,setup!$A$8:$H$58,2),VLOOKUP(N253,setup!$A$8:$H$58,3),VLOOKUP(N253,setup!$A$8:$H$58,4),VLOOKUP(N253,setup!$A$8:$H$58,5),VLOOKUP(N253,setup!$A$8:$H$58,6),VLOOKUP(N253,setup!$A$8:$H$58,7), VLOOKUP(0,setup!$A$8:$H$58,2),VLOOKUP(0,setup!$A$8:$H$58,5),VLOOKUP(N253,setup!$A$8:$H$58,8))</f>
        <v/>
      </c>
    </row>
    <row r="254" spans="1:15" x14ac:dyDescent="0.25">
      <c r="A254" s="6" t="s">
        <v>920</v>
      </c>
      <c r="N254">
        <v>8</v>
      </c>
      <c r="O254" s="7" t="str">
        <f ca="1">getCodigoBackend(N254,A254,VLOOKUP(N254,setup!$A$8:$H$58,2),VLOOKUP(N254,setup!$A$8:$H$58,3),VLOOKUP(N254,setup!$A$8:$H$58,4),VLOOKUP(N254,setup!$A$8:$H$58,5),VLOOKUP(N254,setup!$A$8:$H$58,6),VLOOKUP(N254,setup!$A$8:$H$58,7), VLOOKUP(0,setup!$A$8:$H$58,2),VLOOKUP(0,setup!$A$8:$H$58,5),VLOOKUP(N254,setup!$A$8:$H$58,8))</f>
        <v xml:space="preserve">    // Efetua validações no campo $dto-&gt;dtEstagioAnalise com tamanho CampanhaCashbackResgatePixConstantes::LEN_DTESTAGIOANALISE</v>
      </c>
    </row>
    <row r="255" spans="1:15" x14ac:dyDescent="0.25">
      <c r="A255" s="6" t="s">
        <v>921</v>
      </c>
      <c r="N255">
        <v>8</v>
      </c>
      <c r="O255" s="7" t="str">
        <f ca="1">getCodigoBackend(N255,A255,VLOOKUP(N255,setup!$A$8:$H$58,2),VLOOKUP(N255,setup!$A$8:$H$58,3),VLOOKUP(N255,setup!$A$8:$H$58,4),VLOOKUP(N255,setup!$A$8:$H$58,5),VLOOKUP(N255,setup!$A$8:$H$58,6),VLOOKUP(N255,setup!$A$8:$H$58,7), VLOOKUP(0,setup!$A$8:$H$58,2),VLOOKUP(0,setup!$A$8:$H$58,5),VLOOKUP(N255,setup!$A$8:$H$58,8))</f>
        <v xml:space="preserve">    $ok = $this-&gt;validarTamanhoCampo($dto-&gt;dtEstagioAnalise, CampanhaCashbackResgatePixConstantes::LEN_DTESTAGIOANALISE, CampanhaCashbackResgatePixConstantes::DESC_DTESTAGIOANALISE);</v>
      </c>
    </row>
    <row r="256" spans="1:15" x14ac:dyDescent="0.25">
      <c r="A256" s="6" t="s">
        <v>416</v>
      </c>
      <c r="N256">
        <v>8</v>
      </c>
      <c r="O256" s="7" t="str">
        <f ca="1">getCodigoBackend(N256,A256,VLOOKUP(N256,setup!$A$8:$H$58,2),VLOOKUP(N256,setup!$A$8:$H$58,3),VLOOKUP(N256,setup!$A$8:$H$58,4),VLOOKUP(N256,setup!$A$8:$H$58,5),VLOOKUP(N256,setup!$A$8:$H$58,6),VLOOKUP(N256,setup!$A$8:$H$58,7), VLOOKUP(0,setup!$A$8:$H$58,2),VLOOKUP(0,setup!$A$8:$H$58,5),VLOOKUP(N256,setup!$A$8:$H$58,8))</f>
        <v xml:space="preserve">    if($ok-&gt;msgcode != ConstantesMensagem::COMANDO_REALIZADO_COM_SUCESSO){</v>
      </c>
    </row>
    <row r="257" spans="1:15" x14ac:dyDescent="0.25">
      <c r="A257" s="6" t="s">
        <v>417</v>
      </c>
      <c r="N257">
        <v>8</v>
      </c>
      <c r="O257" s="7" t="str">
        <f ca="1">getCodigoBackend(N257,A257,VLOOKUP(N257,setup!$A$8:$H$58,2),VLOOKUP(N257,setup!$A$8:$H$58,3),VLOOKUP(N257,setup!$A$8:$H$58,4),VLOOKUP(N257,setup!$A$8:$H$58,5),VLOOKUP(N257,setup!$A$8:$H$58,6),VLOOKUP(N257,setup!$A$8:$H$58,7), VLOOKUP(0,setup!$A$8:$H$58,2),VLOOKUP(0,setup!$A$8:$H$58,5),VLOOKUP(N257,setup!$A$8:$H$58,8))</f>
        <v xml:space="preserve">        return $ok;</v>
      </c>
    </row>
    <row r="258" spans="1:15" x14ac:dyDescent="0.25">
      <c r="A258" s="6" t="s">
        <v>406</v>
      </c>
      <c r="N258">
        <v>8</v>
      </c>
      <c r="O258" s="7" t="str">
        <f ca="1">getCodigoBackend(N258,A258,VLOOKUP(N258,setup!$A$8:$H$58,2),VLOOKUP(N258,setup!$A$8:$H$58,3),VLOOKUP(N258,setup!$A$8:$H$58,4),VLOOKUP(N258,setup!$A$8:$H$58,5),VLOOKUP(N258,setup!$A$8:$H$58,6),VLOOKUP(N258,setup!$A$8:$H$58,7), VLOOKUP(0,setup!$A$8:$H$58,2),VLOOKUP(0,setup!$A$8:$H$58,5),VLOOKUP(N258,setup!$A$8:$H$58,8))</f>
        <v xml:space="preserve">    }</v>
      </c>
    </row>
    <row r="259" spans="1:15" x14ac:dyDescent="0.25">
      <c r="A259" s="6"/>
      <c r="O259" s="7" t="str">
        <f ca="1">getCodigoBackend(N259,A259,VLOOKUP(N259,setup!$A$8:$H$58,2),VLOOKUP(N259,setup!$A$8:$H$58,3),VLOOKUP(N259,setup!$A$8:$H$58,4),VLOOKUP(N259,setup!$A$8:$H$58,5),VLOOKUP(N259,setup!$A$8:$H$58,6),VLOOKUP(N259,setup!$A$8:$H$58,7), VLOOKUP(0,setup!$A$8:$H$58,2),VLOOKUP(0,setup!$A$8:$H$58,5),VLOOKUP(N259,setup!$A$8:$H$58,8))</f>
        <v/>
      </c>
    </row>
    <row r="260" spans="1:15" x14ac:dyDescent="0.25">
      <c r="A260" s="6" t="s">
        <v>920</v>
      </c>
      <c r="N260">
        <v>9</v>
      </c>
      <c r="O260" s="7" t="str">
        <f ca="1">getCodigoBackend(N260,A260,VLOOKUP(N260,setup!$A$8:$H$58,2),VLOOKUP(N260,setup!$A$8:$H$58,3),VLOOKUP(N260,setup!$A$8:$H$58,4),VLOOKUP(N260,setup!$A$8:$H$58,5),VLOOKUP(N260,setup!$A$8:$H$58,6),VLOOKUP(N260,setup!$A$8:$H$58,7), VLOOKUP(0,setup!$A$8:$H$58,2),VLOOKUP(0,setup!$A$8:$H$58,5),VLOOKUP(N260,setup!$A$8:$H$58,8))</f>
        <v xml:space="preserve">    // Efetua validações no campo $dto-&gt;dtEstagioFinanceiro com tamanho CampanhaCashbackResgatePixConstantes::LEN_DTESTAGIOFINANCEIRO</v>
      </c>
    </row>
    <row r="261" spans="1:15" x14ac:dyDescent="0.25">
      <c r="A261" s="6" t="s">
        <v>921</v>
      </c>
      <c r="N261">
        <v>9</v>
      </c>
      <c r="O261" s="7" t="str">
        <f ca="1">getCodigoBackend(N261,A261,VLOOKUP(N261,setup!$A$8:$H$58,2),VLOOKUP(N261,setup!$A$8:$H$58,3),VLOOKUP(N261,setup!$A$8:$H$58,4),VLOOKUP(N261,setup!$A$8:$H$58,5),VLOOKUP(N261,setup!$A$8:$H$58,6),VLOOKUP(N261,setup!$A$8:$H$58,7), VLOOKUP(0,setup!$A$8:$H$58,2),VLOOKUP(0,setup!$A$8:$H$58,5),VLOOKUP(N261,setup!$A$8:$H$58,8))</f>
        <v xml:space="preserve">    $ok = $this-&gt;validarTamanhoCampo($dto-&gt;dtEstagioFinanceiro, CampanhaCashbackResgatePixConstantes::LEN_DTESTAGIOFINANCEIRO, CampanhaCashbackResgatePixConstantes::DESC_DTESTAGIOFINANCEIRO);</v>
      </c>
    </row>
    <row r="262" spans="1:15" x14ac:dyDescent="0.25">
      <c r="A262" s="6" t="s">
        <v>416</v>
      </c>
      <c r="N262">
        <v>9</v>
      </c>
      <c r="O262" s="7" t="str">
        <f ca="1">getCodigoBackend(N262,A262,VLOOKUP(N262,setup!$A$8:$H$58,2),VLOOKUP(N262,setup!$A$8:$H$58,3),VLOOKUP(N262,setup!$A$8:$H$58,4),VLOOKUP(N262,setup!$A$8:$H$58,5),VLOOKUP(N262,setup!$A$8:$H$58,6),VLOOKUP(N262,setup!$A$8:$H$58,7), VLOOKUP(0,setup!$A$8:$H$58,2),VLOOKUP(0,setup!$A$8:$H$58,5),VLOOKUP(N262,setup!$A$8:$H$58,8))</f>
        <v xml:space="preserve">    if($ok-&gt;msgcode != ConstantesMensagem::COMANDO_REALIZADO_COM_SUCESSO){</v>
      </c>
    </row>
    <row r="263" spans="1:15" x14ac:dyDescent="0.25">
      <c r="A263" s="6" t="s">
        <v>417</v>
      </c>
      <c r="N263">
        <v>9</v>
      </c>
      <c r="O263" s="7" t="str">
        <f ca="1">getCodigoBackend(N263,A263,VLOOKUP(N263,setup!$A$8:$H$58,2),VLOOKUP(N263,setup!$A$8:$H$58,3),VLOOKUP(N263,setup!$A$8:$H$58,4),VLOOKUP(N263,setup!$A$8:$H$58,5),VLOOKUP(N263,setup!$A$8:$H$58,6),VLOOKUP(N263,setup!$A$8:$H$58,7), VLOOKUP(0,setup!$A$8:$H$58,2),VLOOKUP(0,setup!$A$8:$H$58,5),VLOOKUP(N263,setup!$A$8:$H$58,8))</f>
        <v xml:space="preserve">        return $ok;</v>
      </c>
    </row>
    <row r="264" spans="1:15" x14ac:dyDescent="0.25">
      <c r="A264" s="6" t="s">
        <v>406</v>
      </c>
      <c r="N264">
        <v>9</v>
      </c>
      <c r="O264" s="7" t="str">
        <f ca="1">getCodigoBackend(N264,A264,VLOOKUP(N264,setup!$A$8:$H$58,2),VLOOKUP(N264,setup!$A$8:$H$58,3),VLOOKUP(N264,setup!$A$8:$H$58,4),VLOOKUP(N264,setup!$A$8:$H$58,5),VLOOKUP(N264,setup!$A$8:$H$58,6),VLOOKUP(N264,setup!$A$8:$H$58,7), VLOOKUP(0,setup!$A$8:$H$58,2),VLOOKUP(0,setup!$A$8:$H$58,5),VLOOKUP(N264,setup!$A$8:$H$58,8))</f>
        <v xml:space="preserve">    }</v>
      </c>
    </row>
    <row r="265" spans="1:15" x14ac:dyDescent="0.25">
      <c r="A265" s="6"/>
      <c r="O265" s="7" t="str">
        <f ca="1">getCodigoBackend(N265,A265,VLOOKUP(N265,setup!$A$8:$H$58,2),VLOOKUP(N265,setup!$A$8:$H$58,3),VLOOKUP(N265,setup!$A$8:$H$58,4),VLOOKUP(N265,setup!$A$8:$H$58,5),VLOOKUP(N265,setup!$A$8:$H$58,6),VLOOKUP(N265,setup!$A$8:$H$58,7), VLOOKUP(0,setup!$A$8:$H$58,2),VLOOKUP(0,setup!$A$8:$H$58,5),VLOOKUP(N265,setup!$A$8:$H$58,8))</f>
        <v/>
      </c>
    </row>
    <row r="266" spans="1:15" x14ac:dyDescent="0.25">
      <c r="A266" s="6" t="s">
        <v>920</v>
      </c>
      <c r="N266">
        <v>10</v>
      </c>
      <c r="O266" s="7" t="str">
        <f ca="1">getCodigoBackend(N266,A266,VLOOKUP(N266,setup!$A$8:$H$58,2),VLOOKUP(N266,setup!$A$8:$H$58,3),VLOOKUP(N266,setup!$A$8:$H$58,4),VLOOKUP(N266,setup!$A$8:$H$58,5),VLOOKUP(N266,setup!$A$8:$H$58,6),VLOOKUP(N266,setup!$A$8:$H$58,7), VLOOKUP(0,setup!$A$8:$H$58,2),VLOOKUP(0,setup!$A$8:$H$58,5),VLOOKUP(N266,setup!$A$8:$H$58,8))</f>
        <v xml:space="preserve">    // Efetua validações no campo $dto-&gt;dtEstagioErro com tamanho CampanhaCashbackResgatePixConstantes::LEN_DTESTAGIOERRO</v>
      </c>
    </row>
    <row r="267" spans="1:15" x14ac:dyDescent="0.25">
      <c r="A267" s="6" t="s">
        <v>921</v>
      </c>
      <c r="N267">
        <v>10</v>
      </c>
      <c r="O267" s="7" t="str">
        <f ca="1">getCodigoBackend(N267,A267,VLOOKUP(N267,setup!$A$8:$H$58,2),VLOOKUP(N267,setup!$A$8:$H$58,3),VLOOKUP(N267,setup!$A$8:$H$58,4),VLOOKUP(N267,setup!$A$8:$H$58,5),VLOOKUP(N267,setup!$A$8:$H$58,6),VLOOKUP(N267,setup!$A$8:$H$58,7), VLOOKUP(0,setup!$A$8:$H$58,2),VLOOKUP(0,setup!$A$8:$H$58,5),VLOOKUP(N267,setup!$A$8:$H$58,8))</f>
        <v xml:space="preserve">    $ok = $this-&gt;validarTamanhoCampo($dto-&gt;dtEstagioErro, CampanhaCashbackResgatePixConstantes::LEN_DTESTAGIOERRO, CampanhaCashbackResgatePixConstantes::DESC_DTESTAGIOERRO);</v>
      </c>
    </row>
    <row r="268" spans="1:15" x14ac:dyDescent="0.25">
      <c r="A268" s="6" t="s">
        <v>416</v>
      </c>
      <c r="N268">
        <v>10</v>
      </c>
      <c r="O268" s="7" t="str">
        <f ca="1">getCodigoBackend(N268,A268,VLOOKUP(N268,setup!$A$8:$H$58,2),VLOOKUP(N268,setup!$A$8:$H$58,3),VLOOKUP(N268,setup!$A$8:$H$58,4),VLOOKUP(N268,setup!$A$8:$H$58,5),VLOOKUP(N268,setup!$A$8:$H$58,6),VLOOKUP(N268,setup!$A$8:$H$58,7), VLOOKUP(0,setup!$A$8:$H$58,2),VLOOKUP(0,setup!$A$8:$H$58,5),VLOOKUP(N268,setup!$A$8:$H$58,8))</f>
        <v xml:space="preserve">    if($ok-&gt;msgcode != ConstantesMensagem::COMANDO_REALIZADO_COM_SUCESSO){</v>
      </c>
    </row>
    <row r="269" spans="1:15" x14ac:dyDescent="0.25">
      <c r="A269" s="6" t="s">
        <v>417</v>
      </c>
      <c r="N269">
        <v>10</v>
      </c>
      <c r="O269" s="7" t="str">
        <f ca="1">getCodigoBackend(N269,A269,VLOOKUP(N269,setup!$A$8:$H$58,2),VLOOKUP(N269,setup!$A$8:$H$58,3),VLOOKUP(N269,setup!$A$8:$H$58,4),VLOOKUP(N269,setup!$A$8:$H$58,5),VLOOKUP(N269,setup!$A$8:$H$58,6),VLOOKUP(N269,setup!$A$8:$H$58,7), VLOOKUP(0,setup!$A$8:$H$58,2),VLOOKUP(0,setup!$A$8:$H$58,5),VLOOKUP(N269,setup!$A$8:$H$58,8))</f>
        <v xml:space="preserve">        return $ok;</v>
      </c>
    </row>
    <row r="270" spans="1:15" x14ac:dyDescent="0.25">
      <c r="A270" s="6" t="s">
        <v>406</v>
      </c>
      <c r="N270">
        <v>10</v>
      </c>
      <c r="O270" s="7" t="str">
        <f ca="1">getCodigoBackend(N270,A270,VLOOKUP(N270,setup!$A$8:$H$58,2),VLOOKUP(N270,setup!$A$8:$H$58,3),VLOOKUP(N270,setup!$A$8:$H$58,4),VLOOKUP(N270,setup!$A$8:$H$58,5),VLOOKUP(N270,setup!$A$8:$H$58,6),VLOOKUP(N270,setup!$A$8:$H$58,7), VLOOKUP(0,setup!$A$8:$H$58,2),VLOOKUP(0,setup!$A$8:$H$58,5),VLOOKUP(N270,setup!$A$8:$H$58,8))</f>
        <v xml:space="preserve">    }</v>
      </c>
    </row>
    <row r="271" spans="1:15" x14ac:dyDescent="0.25">
      <c r="A271" s="6"/>
      <c r="O271" s="7" t="str">
        <f ca="1">getCodigoBackend(N271,A271,VLOOKUP(N271,setup!$A$8:$H$58,2),VLOOKUP(N271,setup!$A$8:$H$58,3),VLOOKUP(N271,setup!$A$8:$H$58,4),VLOOKUP(N271,setup!$A$8:$H$58,5),VLOOKUP(N271,setup!$A$8:$H$58,6),VLOOKUP(N271,setup!$A$8:$H$58,7), VLOOKUP(0,setup!$A$8:$H$58,2),VLOOKUP(0,setup!$A$8:$H$58,5),VLOOKUP(N271,setup!$A$8:$H$58,8))</f>
        <v/>
      </c>
    </row>
    <row r="272" spans="1:15" x14ac:dyDescent="0.25">
      <c r="A272" s="6" t="s">
        <v>920</v>
      </c>
      <c r="N272">
        <v>11</v>
      </c>
      <c r="O272" s="7" t="str">
        <f ca="1">getCodigoBackend(N272,A272,VLOOKUP(N272,setup!$A$8:$H$58,2),VLOOKUP(N272,setup!$A$8:$H$58,3),VLOOKUP(N272,setup!$A$8:$H$58,4),VLOOKUP(N272,setup!$A$8:$H$58,5),VLOOKUP(N272,setup!$A$8:$H$58,6),VLOOKUP(N272,setup!$A$8:$H$58,7), VLOOKUP(0,setup!$A$8:$H$58,2),VLOOKUP(0,setup!$A$8:$H$58,5),VLOOKUP(N272,setup!$A$8:$H$58,8))</f>
        <v xml:space="preserve">    // Efetua validações no campo $dto-&gt;dtEstagioTranfBco com tamanho CampanhaCashbackResgatePixConstantes::LEN_DTESTAGIOTRANFBCO</v>
      </c>
    </row>
    <row r="273" spans="1:15" x14ac:dyDescent="0.25">
      <c r="A273" s="6" t="s">
        <v>921</v>
      </c>
      <c r="N273">
        <v>11</v>
      </c>
      <c r="O273" s="7" t="str">
        <f ca="1">getCodigoBackend(N273,A273,VLOOKUP(N273,setup!$A$8:$H$58,2),VLOOKUP(N273,setup!$A$8:$H$58,3),VLOOKUP(N273,setup!$A$8:$H$58,4),VLOOKUP(N273,setup!$A$8:$H$58,5),VLOOKUP(N273,setup!$A$8:$H$58,6),VLOOKUP(N273,setup!$A$8:$H$58,7), VLOOKUP(0,setup!$A$8:$H$58,2),VLOOKUP(0,setup!$A$8:$H$58,5),VLOOKUP(N273,setup!$A$8:$H$58,8))</f>
        <v xml:space="preserve">    $ok = $this-&gt;validarTamanhoCampo($dto-&gt;dtEstagioTranfBco, CampanhaCashbackResgatePixConstantes::LEN_DTESTAGIOTRANFBCO, CampanhaCashbackResgatePixConstantes::DESC_DTESTAGIOTRANFBCO);</v>
      </c>
    </row>
    <row r="274" spans="1:15" x14ac:dyDescent="0.25">
      <c r="A274" s="6" t="s">
        <v>416</v>
      </c>
      <c r="N274">
        <v>11</v>
      </c>
      <c r="O274" s="7" t="str">
        <f ca="1">getCodigoBackend(N274,A274,VLOOKUP(N274,setup!$A$8:$H$58,2),VLOOKUP(N274,setup!$A$8:$H$58,3),VLOOKUP(N274,setup!$A$8:$H$58,4),VLOOKUP(N274,setup!$A$8:$H$58,5),VLOOKUP(N274,setup!$A$8:$H$58,6),VLOOKUP(N274,setup!$A$8:$H$58,7), VLOOKUP(0,setup!$A$8:$H$58,2),VLOOKUP(0,setup!$A$8:$H$58,5),VLOOKUP(N274,setup!$A$8:$H$58,8))</f>
        <v xml:space="preserve">    if($ok-&gt;msgcode != ConstantesMensagem::COMANDO_REALIZADO_COM_SUCESSO){</v>
      </c>
    </row>
    <row r="275" spans="1:15" x14ac:dyDescent="0.25">
      <c r="A275" s="6" t="s">
        <v>417</v>
      </c>
      <c r="N275">
        <v>11</v>
      </c>
      <c r="O275" s="7" t="str">
        <f ca="1">getCodigoBackend(N275,A275,VLOOKUP(N275,setup!$A$8:$H$58,2),VLOOKUP(N275,setup!$A$8:$H$58,3),VLOOKUP(N275,setup!$A$8:$H$58,4),VLOOKUP(N275,setup!$A$8:$H$58,5),VLOOKUP(N275,setup!$A$8:$H$58,6),VLOOKUP(N275,setup!$A$8:$H$58,7), VLOOKUP(0,setup!$A$8:$H$58,2),VLOOKUP(0,setup!$A$8:$H$58,5),VLOOKUP(N275,setup!$A$8:$H$58,8))</f>
        <v xml:space="preserve">        return $ok;</v>
      </c>
    </row>
    <row r="276" spans="1:15" x14ac:dyDescent="0.25">
      <c r="A276" s="6" t="s">
        <v>406</v>
      </c>
      <c r="N276">
        <v>11</v>
      </c>
      <c r="O276" s="7" t="str">
        <f ca="1">getCodigoBackend(N276,A276,VLOOKUP(N276,setup!$A$8:$H$58,2),VLOOKUP(N276,setup!$A$8:$H$58,3),VLOOKUP(N276,setup!$A$8:$H$58,4),VLOOKUP(N276,setup!$A$8:$H$58,5),VLOOKUP(N276,setup!$A$8:$H$58,6),VLOOKUP(N276,setup!$A$8:$H$58,7), VLOOKUP(0,setup!$A$8:$H$58,2),VLOOKUP(0,setup!$A$8:$H$58,5),VLOOKUP(N276,setup!$A$8:$H$58,8))</f>
        <v xml:space="preserve">    }</v>
      </c>
    </row>
    <row r="277" spans="1:15" x14ac:dyDescent="0.25">
      <c r="A277" s="6"/>
      <c r="O277" s="7" t="str">
        <f ca="1">getCodigoBackend(N277,A277,VLOOKUP(N277,setup!$A$8:$H$58,2),VLOOKUP(N277,setup!$A$8:$H$58,3),VLOOKUP(N277,setup!$A$8:$H$58,4),VLOOKUP(N277,setup!$A$8:$H$58,5),VLOOKUP(N277,setup!$A$8:$H$58,6),VLOOKUP(N277,setup!$A$8:$H$58,7), VLOOKUP(0,setup!$A$8:$H$58,2),VLOOKUP(0,setup!$A$8:$H$58,5),VLOOKUP(N277,setup!$A$8:$H$58,8))</f>
        <v/>
      </c>
    </row>
    <row r="278" spans="1:15" x14ac:dyDescent="0.25">
      <c r="A278" s="6" t="s">
        <v>920</v>
      </c>
      <c r="N278">
        <v>12</v>
      </c>
      <c r="O278" s="7" t="str">
        <f ca="1">getCodigoBackend(N278,A278,VLOOKUP(N278,setup!$A$8:$H$58,2),VLOOKUP(N278,setup!$A$8:$H$58,3),VLOOKUP(N278,setup!$A$8:$H$58,4),VLOOKUP(N278,setup!$A$8:$H$58,5),VLOOKUP(N278,setup!$A$8:$H$58,6),VLOOKUP(N278,setup!$A$8:$H$58,7), VLOOKUP(0,setup!$A$8:$H$58,2),VLOOKUP(0,setup!$A$8:$H$58,5),VLOOKUP(N278,setup!$A$8:$H$58,8))</f>
        <v xml:space="preserve">    // Efetua validações no campo $dto-&gt;txtLivreEstagioRT com tamanho CampanhaCashbackResgatePixConstantes::LEN_TXTLIVREESTAGIORT</v>
      </c>
    </row>
    <row r="279" spans="1:15" x14ac:dyDescent="0.25">
      <c r="A279" s="6" t="s">
        <v>921</v>
      </c>
      <c r="N279">
        <v>12</v>
      </c>
      <c r="O279" s="7" t="str">
        <f ca="1">getCodigoBackend(N279,A279,VLOOKUP(N279,setup!$A$8:$H$58,2),VLOOKUP(N279,setup!$A$8:$H$58,3),VLOOKUP(N279,setup!$A$8:$H$58,4),VLOOKUP(N279,setup!$A$8:$H$58,5),VLOOKUP(N279,setup!$A$8:$H$58,6),VLOOKUP(N279,setup!$A$8:$H$58,7), VLOOKUP(0,setup!$A$8:$H$58,2),VLOOKUP(0,setup!$A$8:$H$58,5),VLOOKUP(N279,setup!$A$8:$H$58,8))</f>
        <v xml:space="preserve">    $ok = $this-&gt;validarTamanhoCampo($dto-&gt;txtLivreEstagioRT, CampanhaCashbackResgatePixConstantes::LEN_TXTLIVREESTAGIORT, CampanhaCashbackResgatePixConstantes::DESC_TXTLIVREESTAGIORT);</v>
      </c>
    </row>
    <row r="280" spans="1:15" x14ac:dyDescent="0.25">
      <c r="A280" s="6" t="s">
        <v>416</v>
      </c>
      <c r="N280">
        <v>12</v>
      </c>
      <c r="O280" s="7" t="str">
        <f ca="1">getCodigoBackend(N280,A280,VLOOKUP(N280,setup!$A$8:$H$58,2),VLOOKUP(N280,setup!$A$8:$H$58,3),VLOOKUP(N280,setup!$A$8:$H$58,4),VLOOKUP(N280,setup!$A$8:$H$58,5),VLOOKUP(N280,setup!$A$8:$H$58,6),VLOOKUP(N280,setup!$A$8:$H$58,7), VLOOKUP(0,setup!$A$8:$H$58,2),VLOOKUP(0,setup!$A$8:$H$58,5),VLOOKUP(N280,setup!$A$8:$H$58,8))</f>
        <v xml:space="preserve">    if($ok-&gt;msgcode != ConstantesMensagem::COMANDO_REALIZADO_COM_SUCESSO){</v>
      </c>
    </row>
    <row r="281" spans="1:15" x14ac:dyDescent="0.25">
      <c r="A281" s="6" t="s">
        <v>417</v>
      </c>
      <c r="N281">
        <v>12</v>
      </c>
      <c r="O281" s="7" t="str">
        <f ca="1">getCodigoBackend(N281,A281,VLOOKUP(N281,setup!$A$8:$H$58,2),VLOOKUP(N281,setup!$A$8:$H$58,3),VLOOKUP(N281,setup!$A$8:$H$58,4),VLOOKUP(N281,setup!$A$8:$H$58,5),VLOOKUP(N281,setup!$A$8:$H$58,6),VLOOKUP(N281,setup!$A$8:$H$58,7), VLOOKUP(0,setup!$A$8:$H$58,2),VLOOKUP(0,setup!$A$8:$H$58,5),VLOOKUP(N281,setup!$A$8:$H$58,8))</f>
        <v xml:space="preserve">        return $ok;</v>
      </c>
    </row>
    <row r="282" spans="1:15" x14ac:dyDescent="0.25">
      <c r="A282" s="6" t="s">
        <v>406</v>
      </c>
      <c r="N282">
        <v>12</v>
      </c>
      <c r="O282" s="7" t="str">
        <f ca="1">getCodigoBackend(N282,A282,VLOOKUP(N282,setup!$A$8:$H$58,2),VLOOKUP(N282,setup!$A$8:$H$58,3),VLOOKUP(N282,setup!$A$8:$H$58,4),VLOOKUP(N282,setup!$A$8:$H$58,5),VLOOKUP(N282,setup!$A$8:$H$58,6),VLOOKUP(N282,setup!$A$8:$H$58,7), VLOOKUP(0,setup!$A$8:$H$58,2),VLOOKUP(0,setup!$A$8:$H$58,5),VLOOKUP(N282,setup!$A$8:$H$58,8))</f>
        <v xml:space="preserve">    }</v>
      </c>
    </row>
    <row r="283" spans="1:15" x14ac:dyDescent="0.25">
      <c r="A283" s="6"/>
      <c r="O283" s="7" t="str">
        <f ca="1">getCodigoBackend(N283,A283,VLOOKUP(N283,setup!$A$8:$H$58,2),VLOOKUP(N283,setup!$A$8:$H$58,3),VLOOKUP(N283,setup!$A$8:$H$58,4),VLOOKUP(N283,setup!$A$8:$H$58,5),VLOOKUP(N283,setup!$A$8:$H$58,6),VLOOKUP(N283,setup!$A$8:$H$58,7), VLOOKUP(0,setup!$A$8:$H$58,2),VLOOKUP(0,setup!$A$8:$H$58,5),VLOOKUP(N283,setup!$A$8:$H$58,8))</f>
        <v/>
      </c>
    </row>
    <row r="284" spans="1:15" x14ac:dyDescent="0.25">
      <c r="A284" s="6" t="s">
        <v>920</v>
      </c>
      <c r="N284">
        <v>13</v>
      </c>
      <c r="O284" s="7" t="e">
        <f>getCodigoBackend(N284,A284,VLOOKUP(N284,setup!$A$8:$H$58,2),VLOOKUP(N284,setup!$A$8:$H$58,3),VLOOKUP(N284,setup!$A$8:$H$58,4),VLOOKUP(N284,setup!$A$8:$H$58,5),VLOOKUP(N284,setup!$A$8:$H$58,6),VLOOKUP(N284,setup!$A$8:$H$58,7), VLOOKUP(0,setup!$A$8:$H$58,2),VLOOKUP(0,setup!$A$8:$H$58,5),VLOOKUP(N284,setup!$A$8:$H$58,8))</f>
        <v>#VALUE!</v>
      </c>
    </row>
    <row r="285" spans="1:15" x14ac:dyDescent="0.25">
      <c r="A285" s="6" t="s">
        <v>921</v>
      </c>
      <c r="N285">
        <v>13</v>
      </c>
      <c r="O285" s="7" t="e">
        <f>getCodigoBackend(N285,A285,VLOOKUP(N285,setup!$A$8:$H$58,2),VLOOKUP(N285,setup!$A$8:$H$58,3),VLOOKUP(N285,setup!$A$8:$H$58,4),VLOOKUP(N285,setup!$A$8:$H$58,5),VLOOKUP(N285,setup!$A$8:$H$58,6),VLOOKUP(N285,setup!$A$8:$H$58,7), VLOOKUP(0,setup!$A$8:$H$58,2),VLOOKUP(0,setup!$A$8:$H$58,5),VLOOKUP(N285,setup!$A$8:$H$58,8))</f>
        <v>#VALUE!</v>
      </c>
    </row>
    <row r="286" spans="1:15" x14ac:dyDescent="0.25">
      <c r="A286" s="6" t="s">
        <v>416</v>
      </c>
      <c r="N286">
        <v>13</v>
      </c>
      <c r="O286" s="7" t="e">
        <f>getCodigoBackend(N286,A286,VLOOKUP(N286,setup!$A$8:$H$58,2),VLOOKUP(N286,setup!$A$8:$H$58,3),VLOOKUP(N286,setup!$A$8:$H$58,4),VLOOKUP(N286,setup!$A$8:$H$58,5),VLOOKUP(N286,setup!$A$8:$H$58,6),VLOOKUP(N286,setup!$A$8:$H$58,7), VLOOKUP(0,setup!$A$8:$H$58,2),VLOOKUP(0,setup!$A$8:$H$58,5),VLOOKUP(N286,setup!$A$8:$H$58,8))</f>
        <v>#VALUE!</v>
      </c>
    </row>
    <row r="287" spans="1:15" x14ac:dyDescent="0.25">
      <c r="A287" s="6" t="s">
        <v>417</v>
      </c>
      <c r="N287">
        <v>13</v>
      </c>
      <c r="O287" s="7" t="e">
        <f>getCodigoBackend(N287,A287,VLOOKUP(N287,setup!$A$8:$H$58,2),VLOOKUP(N287,setup!$A$8:$H$58,3),VLOOKUP(N287,setup!$A$8:$H$58,4),VLOOKUP(N287,setup!$A$8:$H$58,5),VLOOKUP(N287,setup!$A$8:$H$58,6),VLOOKUP(N287,setup!$A$8:$H$58,7), VLOOKUP(0,setup!$A$8:$H$58,2),VLOOKUP(0,setup!$A$8:$H$58,5),VLOOKUP(N287,setup!$A$8:$H$58,8))</f>
        <v>#VALUE!</v>
      </c>
    </row>
    <row r="288" spans="1:15" x14ac:dyDescent="0.25">
      <c r="A288" s="6" t="s">
        <v>406</v>
      </c>
      <c r="N288">
        <v>13</v>
      </c>
      <c r="O288" s="7" t="e">
        <f>getCodigoBackend(N288,A288,VLOOKUP(N288,setup!$A$8:$H$58,2),VLOOKUP(N288,setup!$A$8:$H$58,3),VLOOKUP(N288,setup!$A$8:$H$58,4),VLOOKUP(N288,setup!$A$8:$H$58,5),VLOOKUP(N288,setup!$A$8:$H$58,6),VLOOKUP(N288,setup!$A$8:$H$58,7), VLOOKUP(0,setup!$A$8:$H$58,2),VLOOKUP(0,setup!$A$8:$H$58,5),VLOOKUP(N288,setup!$A$8:$H$58,8))</f>
        <v>#VALUE!</v>
      </c>
    </row>
    <row r="289" spans="1:15" x14ac:dyDescent="0.25">
      <c r="A289" s="6"/>
      <c r="O289" s="7" t="str">
        <f ca="1">getCodigoBackend(N289,A289,VLOOKUP(N289,setup!$A$8:$H$58,2),VLOOKUP(N289,setup!$A$8:$H$58,3),VLOOKUP(N289,setup!$A$8:$H$58,4),VLOOKUP(N289,setup!$A$8:$H$58,5),VLOOKUP(N289,setup!$A$8:$H$58,6),VLOOKUP(N289,setup!$A$8:$H$58,7), VLOOKUP(0,setup!$A$8:$H$58,2),VLOOKUP(0,setup!$A$8:$H$58,5),VLOOKUP(N289,setup!$A$8:$H$58,8))</f>
        <v/>
      </c>
    </row>
    <row r="290" spans="1:15" x14ac:dyDescent="0.25">
      <c r="A290" s="6" t="s">
        <v>920</v>
      </c>
      <c r="N290">
        <v>14</v>
      </c>
      <c r="O290" s="7" t="e">
        <f>getCodigoBackend(N290,A290,VLOOKUP(N290,setup!$A$8:$H$58,2),VLOOKUP(N290,setup!$A$8:$H$58,3),VLOOKUP(N290,setup!$A$8:$H$58,4),VLOOKUP(N290,setup!$A$8:$H$58,5),VLOOKUP(N290,setup!$A$8:$H$58,6),VLOOKUP(N290,setup!$A$8:$H$58,7), VLOOKUP(0,setup!$A$8:$H$58,2),VLOOKUP(0,setup!$A$8:$H$58,5),VLOOKUP(N290,setup!$A$8:$H$58,8))</f>
        <v>#VALUE!</v>
      </c>
    </row>
    <row r="291" spans="1:15" x14ac:dyDescent="0.25">
      <c r="A291" s="6" t="s">
        <v>921</v>
      </c>
      <c r="N291">
        <v>14</v>
      </c>
      <c r="O291" s="7" t="e">
        <f>getCodigoBackend(N291,A291,VLOOKUP(N291,setup!$A$8:$H$58,2),VLOOKUP(N291,setup!$A$8:$H$58,3),VLOOKUP(N291,setup!$A$8:$H$58,4),VLOOKUP(N291,setup!$A$8:$H$58,5),VLOOKUP(N291,setup!$A$8:$H$58,6),VLOOKUP(N291,setup!$A$8:$H$58,7), VLOOKUP(0,setup!$A$8:$H$58,2),VLOOKUP(0,setup!$A$8:$H$58,5),VLOOKUP(N291,setup!$A$8:$H$58,8))</f>
        <v>#VALUE!</v>
      </c>
    </row>
    <row r="292" spans="1:15" x14ac:dyDescent="0.25">
      <c r="A292" s="6" t="s">
        <v>416</v>
      </c>
      <c r="N292">
        <v>14</v>
      </c>
      <c r="O292" s="7" t="e">
        <f>getCodigoBackend(N292,A292,VLOOKUP(N292,setup!$A$8:$H$58,2),VLOOKUP(N292,setup!$A$8:$H$58,3),VLOOKUP(N292,setup!$A$8:$H$58,4),VLOOKUP(N292,setup!$A$8:$H$58,5),VLOOKUP(N292,setup!$A$8:$H$58,6),VLOOKUP(N292,setup!$A$8:$H$58,7), VLOOKUP(0,setup!$A$8:$H$58,2),VLOOKUP(0,setup!$A$8:$H$58,5),VLOOKUP(N292,setup!$A$8:$H$58,8))</f>
        <v>#VALUE!</v>
      </c>
    </row>
    <row r="293" spans="1:15" x14ac:dyDescent="0.25">
      <c r="A293" s="6" t="s">
        <v>417</v>
      </c>
      <c r="N293">
        <v>14</v>
      </c>
      <c r="O293" s="7" t="e">
        <f>getCodigoBackend(N293,A293,VLOOKUP(N293,setup!$A$8:$H$58,2),VLOOKUP(N293,setup!$A$8:$H$58,3),VLOOKUP(N293,setup!$A$8:$H$58,4),VLOOKUP(N293,setup!$A$8:$H$58,5),VLOOKUP(N293,setup!$A$8:$H$58,6),VLOOKUP(N293,setup!$A$8:$H$58,7), VLOOKUP(0,setup!$A$8:$H$58,2),VLOOKUP(0,setup!$A$8:$H$58,5),VLOOKUP(N293,setup!$A$8:$H$58,8))</f>
        <v>#VALUE!</v>
      </c>
    </row>
    <row r="294" spans="1:15" x14ac:dyDescent="0.25">
      <c r="A294" s="6" t="s">
        <v>406</v>
      </c>
      <c r="N294">
        <v>14</v>
      </c>
      <c r="O294" s="7" t="e">
        <f>getCodigoBackend(N294,A294,VLOOKUP(N294,setup!$A$8:$H$58,2),VLOOKUP(N294,setup!$A$8:$H$58,3),VLOOKUP(N294,setup!$A$8:$H$58,4),VLOOKUP(N294,setup!$A$8:$H$58,5),VLOOKUP(N294,setup!$A$8:$H$58,6),VLOOKUP(N294,setup!$A$8:$H$58,7), VLOOKUP(0,setup!$A$8:$H$58,2),VLOOKUP(0,setup!$A$8:$H$58,5),VLOOKUP(N294,setup!$A$8:$H$58,8))</f>
        <v>#VALUE!</v>
      </c>
    </row>
    <row r="295" spans="1:15" x14ac:dyDescent="0.25">
      <c r="A295" s="6"/>
      <c r="O295" s="7" t="str">
        <f ca="1">getCodigoBackend(N295,A295,VLOOKUP(N295,setup!$A$8:$H$58,2),VLOOKUP(N295,setup!$A$8:$H$58,3),VLOOKUP(N295,setup!$A$8:$H$58,4),VLOOKUP(N295,setup!$A$8:$H$58,5),VLOOKUP(N295,setup!$A$8:$H$58,6),VLOOKUP(N295,setup!$A$8:$H$58,7), VLOOKUP(0,setup!$A$8:$H$58,2),VLOOKUP(0,setup!$A$8:$H$58,5),VLOOKUP(N295,setup!$A$8:$H$58,8))</f>
        <v/>
      </c>
    </row>
    <row r="296" spans="1:15" x14ac:dyDescent="0.25">
      <c r="A296" s="6" t="s">
        <v>920</v>
      </c>
      <c r="N296">
        <v>15</v>
      </c>
      <c r="O296" s="7" t="e">
        <f>getCodigoBackend(N296,A296,VLOOKUP(N296,setup!$A$8:$H$58,2),VLOOKUP(N296,setup!$A$8:$H$58,3),VLOOKUP(N296,setup!$A$8:$H$58,4),VLOOKUP(N296,setup!$A$8:$H$58,5),VLOOKUP(N296,setup!$A$8:$H$58,6),VLOOKUP(N296,setup!$A$8:$H$58,7), VLOOKUP(0,setup!$A$8:$H$58,2),VLOOKUP(0,setup!$A$8:$H$58,5),VLOOKUP(N296,setup!$A$8:$H$58,8))</f>
        <v>#VALUE!</v>
      </c>
    </row>
    <row r="297" spans="1:15" x14ac:dyDescent="0.25">
      <c r="A297" s="6" t="s">
        <v>921</v>
      </c>
      <c r="N297">
        <v>15</v>
      </c>
      <c r="O297" s="7" t="e">
        <f>getCodigoBackend(N297,A297,VLOOKUP(N297,setup!$A$8:$H$58,2),VLOOKUP(N297,setup!$A$8:$H$58,3),VLOOKUP(N297,setup!$A$8:$H$58,4),VLOOKUP(N297,setup!$A$8:$H$58,5),VLOOKUP(N297,setup!$A$8:$H$58,6),VLOOKUP(N297,setup!$A$8:$H$58,7), VLOOKUP(0,setup!$A$8:$H$58,2),VLOOKUP(0,setup!$A$8:$H$58,5),VLOOKUP(N297,setup!$A$8:$H$58,8))</f>
        <v>#VALUE!</v>
      </c>
    </row>
    <row r="298" spans="1:15" x14ac:dyDescent="0.25">
      <c r="A298" s="6" t="s">
        <v>416</v>
      </c>
      <c r="N298">
        <v>15</v>
      </c>
      <c r="O298" s="7" t="e">
        <f>getCodigoBackend(N298,A298,VLOOKUP(N298,setup!$A$8:$H$58,2),VLOOKUP(N298,setup!$A$8:$H$58,3),VLOOKUP(N298,setup!$A$8:$H$58,4),VLOOKUP(N298,setup!$A$8:$H$58,5),VLOOKUP(N298,setup!$A$8:$H$58,6),VLOOKUP(N298,setup!$A$8:$H$58,7), VLOOKUP(0,setup!$A$8:$H$58,2),VLOOKUP(0,setup!$A$8:$H$58,5),VLOOKUP(N298,setup!$A$8:$H$58,8))</f>
        <v>#VALUE!</v>
      </c>
    </row>
    <row r="299" spans="1:15" x14ac:dyDescent="0.25">
      <c r="A299" s="6" t="s">
        <v>417</v>
      </c>
      <c r="N299">
        <v>15</v>
      </c>
      <c r="O299" s="7" t="e">
        <f>getCodigoBackend(N299,A299,VLOOKUP(N299,setup!$A$8:$H$58,2),VLOOKUP(N299,setup!$A$8:$H$58,3),VLOOKUP(N299,setup!$A$8:$H$58,4),VLOOKUP(N299,setup!$A$8:$H$58,5),VLOOKUP(N299,setup!$A$8:$H$58,6),VLOOKUP(N299,setup!$A$8:$H$58,7), VLOOKUP(0,setup!$A$8:$H$58,2),VLOOKUP(0,setup!$A$8:$H$58,5),VLOOKUP(N299,setup!$A$8:$H$58,8))</f>
        <v>#VALUE!</v>
      </c>
    </row>
    <row r="300" spans="1:15" x14ac:dyDescent="0.25">
      <c r="A300" s="6" t="s">
        <v>406</v>
      </c>
      <c r="N300">
        <v>15</v>
      </c>
      <c r="O300" s="7" t="e">
        <f>getCodigoBackend(N300,A300,VLOOKUP(N300,setup!$A$8:$H$58,2),VLOOKUP(N300,setup!$A$8:$H$58,3),VLOOKUP(N300,setup!$A$8:$H$58,4),VLOOKUP(N300,setup!$A$8:$H$58,5),VLOOKUP(N300,setup!$A$8:$H$58,6),VLOOKUP(N300,setup!$A$8:$H$58,7), VLOOKUP(0,setup!$A$8:$H$58,2),VLOOKUP(0,setup!$A$8:$H$58,5),VLOOKUP(N300,setup!$A$8:$H$58,8))</f>
        <v>#VALUE!</v>
      </c>
    </row>
    <row r="301" spans="1:15" x14ac:dyDescent="0.25">
      <c r="A301" s="6"/>
      <c r="O301" s="7" t="str">
        <f ca="1">getCodigoBackend(N301,A301,VLOOKUP(N301,setup!$A$8:$H$58,2),VLOOKUP(N301,setup!$A$8:$H$58,3),VLOOKUP(N301,setup!$A$8:$H$58,4),VLOOKUP(N301,setup!$A$8:$H$58,5),VLOOKUP(N301,setup!$A$8:$H$58,6),VLOOKUP(N301,setup!$A$8:$H$58,7), VLOOKUP(0,setup!$A$8:$H$58,2),VLOOKUP(0,setup!$A$8:$H$58,5),VLOOKUP(N301,setup!$A$8:$H$58,8))</f>
        <v/>
      </c>
    </row>
    <row r="302" spans="1:15" x14ac:dyDescent="0.25">
      <c r="A302" s="6" t="s">
        <v>920</v>
      </c>
      <c r="N302">
        <v>16</v>
      </c>
      <c r="O302" s="7" t="e">
        <f>getCodigoBackend(N302,A302,VLOOKUP(N302,setup!$A$8:$H$58,2),VLOOKUP(N302,setup!$A$8:$H$58,3),VLOOKUP(N302,setup!$A$8:$H$58,4),VLOOKUP(N302,setup!$A$8:$H$58,5),VLOOKUP(N302,setup!$A$8:$H$58,6),VLOOKUP(N302,setup!$A$8:$H$58,7), VLOOKUP(0,setup!$A$8:$H$58,2),VLOOKUP(0,setup!$A$8:$H$58,5),VLOOKUP(N302,setup!$A$8:$H$58,8))</f>
        <v>#VALUE!</v>
      </c>
    </row>
    <row r="303" spans="1:15" x14ac:dyDescent="0.25">
      <c r="A303" s="6" t="s">
        <v>921</v>
      </c>
      <c r="N303">
        <v>16</v>
      </c>
      <c r="O303" s="7" t="e">
        <f>getCodigoBackend(N303,A303,VLOOKUP(N303,setup!$A$8:$H$58,2),VLOOKUP(N303,setup!$A$8:$H$58,3),VLOOKUP(N303,setup!$A$8:$H$58,4),VLOOKUP(N303,setup!$A$8:$H$58,5),VLOOKUP(N303,setup!$A$8:$H$58,6),VLOOKUP(N303,setup!$A$8:$H$58,7), VLOOKUP(0,setup!$A$8:$H$58,2),VLOOKUP(0,setup!$A$8:$H$58,5),VLOOKUP(N303,setup!$A$8:$H$58,8))</f>
        <v>#VALUE!</v>
      </c>
    </row>
    <row r="304" spans="1:15" x14ac:dyDescent="0.25">
      <c r="A304" s="6" t="s">
        <v>416</v>
      </c>
      <c r="N304">
        <v>16</v>
      </c>
      <c r="O304" s="7" t="e">
        <f>getCodigoBackend(N304,A304,VLOOKUP(N304,setup!$A$8:$H$58,2),VLOOKUP(N304,setup!$A$8:$H$58,3),VLOOKUP(N304,setup!$A$8:$H$58,4),VLOOKUP(N304,setup!$A$8:$H$58,5),VLOOKUP(N304,setup!$A$8:$H$58,6),VLOOKUP(N304,setup!$A$8:$H$58,7), VLOOKUP(0,setup!$A$8:$H$58,2),VLOOKUP(0,setup!$A$8:$H$58,5),VLOOKUP(N304,setup!$A$8:$H$58,8))</f>
        <v>#VALUE!</v>
      </c>
    </row>
    <row r="305" spans="1:15" x14ac:dyDescent="0.25">
      <c r="A305" s="6" t="s">
        <v>417</v>
      </c>
      <c r="N305">
        <v>16</v>
      </c>
      <c r="O305" s="7" t="e">
        <f>getCodigoBackend(N305,A305,VLOOKUP(N305,setup!$A$8:$H$58,2),VLOOKUP(N305,setup!$A$8:$H$58,3),VLOOKUP(N305,setup!$A$8:$H$58,4),VLOOKUP(N305,setup!$A$8:$H$58,5),VLOOKUP(N305,setup!$A$8:$H$58,6),VLOOKUP(N305,setup!$A$8:$H$58,7), VLOOKUP(0,setup!$A$8:$H$58,2),VLOOKUP(0,setup!$A$8:$H$58,5),VLOOKUP(N305,setup!$A$8:$H$58,8))</f>
        <v>#VALUE!</v>
      </c>
    </row>
    <row r="306" spans="1:15" x14ac:dyDescent="0.25">
      <c r="A306" s="6" t="s">
        <v>406</v>
      </c>
      <c r="N306">
        <v>16</v>
      </c>
      <c r="O306" s="7" t="e">
        <f>getCodigoBackend(N306,A306,VLOOKUP(N306,setup!$A$8:$H$58,2),VLOOKUP(N306,setup!$A$8:$H$58,3),VLOOKUP(N306,setup!$A$8:$H$58,4),VLOOKUP(N306,setup!$A$8:$H$58,5),VLOOKUP(N306,setup!$A$8:$H$58,6),VLOOKUP(N306,setup!$A$8:$H$58,7), VLOOKUP(0,setup!$A$8:$H$58,2),VLOOKUP(0,setup!$A$8:$H$58,5),VLOOKUP(N306,setup!$A$8:$H$58,8))</f>
        <v>#VALUE!</v>
      </c>
    </row>
    <row r="307" spans="1:15" x14ac:dyDescent="0.25">
      <c r="A307" s="6"/>
      <c r="O307" s="7" t="str">
        <f ca="1">getCodigoBackend(N307,A307,VLOOKUP(N307,setup!$A$8:$H$58,2),VLOOKUP(N307,setup!$A$8:$H$58,3),VLOOKUP(N307,setup!$A$8:$H$58,4),VLOOKUP(N307,setup!$A$8:$H$58,5),VLOOKUP(N307,setup!$A$8:$H$58,6),VLOOKUP(N307,setup!$A$8:$H$58,7), VLOOKUP(0,setup!$A$8:$H$58,2),VLOOKUP(0,setup!$A$8:$H$58,5),VLOOKUP(N307,setup!$A$8:$H$58,8))</f>
        <v/>
      </c>
    </row>
    <row r="308" spans="1:15" x14ac:dyDescent="0.25">
      <c r="A308" s="6" t="s">
        <v>920</v>
      </c>
      <c r="N308">
        <v>17</v>
      </c>
      <c r="O308" s="7" t="e">
        <f>getCodigoBackend(N308,A308,VLOOKUP(N308,setup!$A$8:$H$58,2),VLOOKUP(N308,setup!$A$8:$H$58,3),VLOOKUP(N308,setup!$A$8:$H$58,4),VLOOKUP(N308,setup!$A$8:$H$58,5),VLOOKUP(N308,setup!$A$8:$H$58,6),VLOOKUP(N308,setup!$A$8:$H$58,7), VLOOKUP(0,setup!$A$8:$H$58,2),VLOOKUP(0,setup!$A$8:$H$58,5),VLOOKUP(N308,setup!$A$8:$H$58,8))</f>
        <v>#VALUE!</v>
      </c>
    </row>
    <row r="309" spans="1:15" x14ac:dyDescent="0.25">
      <c r="A309" s="6" t="s">
        <v>921</v>
      </c>
      <c r="N309">
        <v>17</v>
      </c>
      <c r="O309" s="7" t="e">
        <f>getCodigoBackend(N309,A309,VLOOKUP(N309,setup!$A$8:$H$58,2),VLOOKUP(N309,setup!$A$8:$H$58,3),VLOOKUP(N309,setup!$A$8:$H$58,4),VLOOKUP(N309,setup!$A$8:$H$58,5),VLOOKUP(N309,setup!$A$8:$H$58,6),VLOOKUP(N309,setup!$A$8:$H$58,7), VLOOKUP(0,setup!$A$8:$H$58,2),VLOOKUP(0,setup!$A$8:$H$58,5),VLOOKUP(N309,setup!$A$8:$H$58,8))</f>
        <v>#VALUE!</v>
      </c>
    </row>
    <row r="310" spans="1:15" x14ac:dyDescent="0.25">
      <c r="A310" s="6" t="s">
        <v>416</v>
      </c>
      <c r="N310">
        <v>17</v>
      </c>
      <c r="O310" s="7" t="e">
        <f>getCodigoBackend(N310,A310,VLOOKUP(N310,setup!$A$8:$H$58,2),VLOOKUP(N310,setup!$A$8:$H$58,3),VLOOKUP(N310,setup!$A$8:$H$58,4),VLOOKUP(N310,setup!$A$8:$H$58,5),VLOOKUP(N310,setup!$A$8:$H$58,6),VLOOKUP(N310,setup!$A$8:$H$58,7), VLOOKUP(0,setup!$A$8:$H$58,2),VLOOKUP(0,setup!$A$8:$H$58,5),VLOOKUP(N310,setup!$A$8:$H$58,8))</f>
        <v>#VALUE!</v>
      </c>
    </row>
    <row r="311" spans="1:15" x14ac:dyDescent="0.25">
      <c r="A311" s="6" t="s">
        <v>417</v>
      </c>
      <c r="N311">
        <v>17</v>
      </c>
      <c r="O311" s="7" t="e">
        <f>getCodigoBackend(N311,A311,VLOOKUP(N311,setup!$A$8:$H$58,2),VLOOKUP(N311,setup!$A$8:$H$58,3),VLOOKUP(N311,setup!$A$8:$H$58,4),VLOOKUP(N311,setup!$A$8:$H$58,5),VLOOKUP(N311,setup!$A$8:$H$58,6),VLOOKUP(N311,setup!$A$8:$H$58,7), VLOOKUP(0,setup!$A$8:$H$58,2),VLOOKUP(0,setup!$A$8:$H$58,5),VLOOKUP(N311,setup!$A$8:$H$58,8))</f>
        <v>#VALUE!</v>
      </c>
    </row>
    <row r="312" spans="1:15" x14ac:dyDescent="0.25">
      <c r="A312" s="6" t="s">
        <v>406</v>
      </c>
      <c r="N312">
        <v>17</v>
      </c>
      <c r="O312" s="7" t="e">
        <f>getCodigoBackend(N312,A312,VLOOKUP(N312,setup!$A$8:$H$58,2),VLOOKUP(N312,setup!$A$8:$H$58,3),VLOOKUP(N312,setup!$A$8:$H$58,4),VLOOKUP(N312,setup!$A$8:$H$58,5),VLOOKUP(N312,setup!$A$8:$H$58,6),VLOOKUP(N312,setup!$A$8:$H$58,7), VLOOKUP(0,setup!$A$8:$H$58,2),VLOOKUP(0,setup!$A$8:$H$58,5),VLOOKUP(N312,setup!$A$8:$H$58,8))</f>
        <v>#VALUE!</v>
      </c>
    </row>
    <row r="313" spans="1:15" x14ac:dyDescent="0.25">
      <c r="A313" s="6"/>
      <c r="O313" s="7" t="str">
        <f ca="1">getCodigoBackend(N313,A313,VLOOKUP(N313,setup!$A$8:$H$58,2),VLOOKUP(N313,setup!$A$8:$H$58,3),VLOOKUP(N313,setup!$A$8:$H$58,4),VLOOKUP(N313,setup!$A$8:$H$58,5),VLOOKUP(N313,setup!$A$8:$H$58,6),VLOOKUP(N313,setup!$A$8:$H$58,7), VLOOKUP(0,setup!$A$8:$H$58,2),VLOOKUP(0,setup!$A$8:$H$58,5),VLOOKUP(N313,setup!$A$8:$H$58,8))</f>
        <v/>
      </c>
    </row>
    <row r="314" spans="1:15" x14ac:dyDescent="0.25">
      <c r="A314" s="6" t="s">
        <v>920</v>
      </c>
      <c r="N314">
        <v>18</v>
      </c>
      <c r="O314" s="7" t="e">
        <f>getCodigoBackend(N314,A314,VLOOKUP(N314,setup!$A$8:$H$58,2),VLOOKUP(N314,setup!$A$8:$H$58,3),VLOOKUP(N314,setup!$A$8:$H$58,4),VLOOKUP(N314,setup!$A$8:$H$58,5),VLOOKUP(N314,setup!$A$8:$H$58,6),VLOOKUP(N314,setup!$A$8:$H$58,7), VLOOKUP(0,setup!$A$8:$H$58,2),VLOOKUP(0,setup!$A$8:$H$58,5),VLOOKUP(N314,setup!$A$8:$H$58,8))</f>
        <v>#VALUE!</v>
      </c>
    </row>
    <row r="315" spans="1:15" x14ac:dyDescent="0.25">
      <c r="A315" s="6" t="s">
        <v>921</v>
      </c>
      <c r="N315">
        <v>18</v>
      </c>
      <c r="O315" s="7" t="e">
        <f>getCodigoBackend(N315,A315,VLOOKUP(N315,setup!$A$8:$H$58,2),VLOOKUP(N315,setup!$A$8:$H$58,3),VLOOKUP(N315,setup!$A$8:$H$58,4),VLOOKUP(N315,setup!$A$8:$H$58,5),VLOOKUP(N315,setup!$A$8:$H$58,6),VLOOKUP(N315,setup!$A$8:$H$58,7), VLOOKUP(0,setup!$A$8:$H$58,2),VLOOKUP(0,setup!$A$8:$H$58,5),VLOOKUP(N315,setup!$A$8:$H$58,8))</f>
        <v>#VALUE!</v>
      </c>
    </row>
    <row r="316" spans="1:15" x14ac:dyDescent="0.25">
      <c r="A316" s="6" t="s">
        <v>416</v>
      </c>
      <c r="N316">
        <v>18</v>
      </c>
      <c r="O316" s="7" t="e">
        <f>getCodigoBackend(N316,A316,VLOOKUP(N316,setup!$A$8:$H$58,2),VLOOKUP(N316,setup!$A$8:$H$58,3),VLOOKUP(N316,setup!$A$8:$H$58,4),VLOOKUP(N316,setup!$A$8:$H$58,5),VLOOKUP(N316,setup!$A$8:$H$58,6),VLOOKUP(N316,setup!$A$8:$H$58,7), VLOOKUP(0,setup!$A$8:$H$58,2),VLOOKUP(0,setup!$A$8:$H$58,5),VLOOKUP(N316,setup!$A$8:$H$58,8))</f>
        <v>#VALUE!</v>
      </c>
    </row>
    <row r="317" spans="1:15" x14ac:dyDescent="0.25">
      <c r="A317" s="6" t="s">
        <v>417</v>
      </c>
      <c r="N317">
        <v>18</v>
      </c>
      <c r="O317" s="7" t="e">
        <f>getCodigoBackend(N317,A317,VLOOKUP(N317,setup!$A$8:$H$58,2),VLOOKUP(N317,setup!$A$8:$H$58,3),VLOOKUP(N317,setup!$A$8:$H$58,4),VLOOKUP(N317,setup!$A$8:$H$58,5),VLOOKUP(N317,setup!$A$8:$H$58,6),VLOOKUP(N317,setup!$A$8:$H$58,7), VLOOKUP(0,setup!$A$8:$H$58,2),VLOOKUP(0,setup!$A$8:$H$58,5),VLOOKUP(N317,setup!$A$8:$H$58,8))</f>
        <v>#VALUE!</v>
      </c>
    </row>
    <row r="318" spans="1:15" x14ac:dyDescent="0.25">
      <c r="A318" s="6" t="s">
        <v>406</v>
      </c>
      <c r="N318">
        <v>18</v>
      </c>
      <c r="O318" s="7" t="e">
        <f>getCodigoBackend(N318,A318,VLOOKUP(N318,setup!$A$8:$H$58,2),VLOOKUP(N318,setup!$A$8:$H$58,3),VLOOKUP(N318,setup!$A$8:$H$58,4),VLOOKUP(N318,setup!$A$8:$H$58,5),VLOOKUP(N318,setup!$A$8:$H$58,6),VLOOKUP(N318,setup!$A$8:$H$58,7), VLOOKUP(0,setup!$A$8:$H$58,2),VLOOKUP(0,setup!$A$8:$H$58,5),VLOOKUP(N318,setup!$A$8:$H$58,8))</f>
        <v>#VALUE!</v>
      </c>
    </row>
    <row r="319" spans="1:15" x14ac:dyDescent="0.25">
      <c r="A319" s="6"/>
      <c r="O319" s="7" t="str">
        <f ca="1">getCodigoBackend(N319,A319,VLOOKUP(N319,setup!$A$8:$H$58,2),VLOOKUP(N319,setup!$A$8:$H$58,3),VLOOKUP(N319,setup!$A$8:$H$58,4),VLOOKUP(N319,setup!$A$8:$H$58,5),VLOOKUP(N319,setup!$A$8:$H$58,6),VLOOKUP(N319,setup!$A$8:$H$58,7), VLOOKUP(0,setup!$A$8:$H$58,2),VLOOKUP(0,setup!$A$8:$H$58,5),VLOOKUP(N319,setup!$A$8:$H$58,8))</f>
        <v/>
      </c>
    </row>
    <row r="320" spans="1:15" x14ac:dyDescent="0.25">
      <c r="A320" s="6" t="s">
        <v>920</v>
      </c>
      <c r="N320">
        <v>19</v>
      </c>
      <c r="O320" s="7" t="e">
        <f>getCodigoBackend(N320,A320,VLOOKUP(N320,setup!$A$8:$H$58,2),VLOOKUP(N320,setup!$A$8:$H$58,3),VLOOKUP(N320,setup!$A$8:$H$58,4),VLOOKUP(N320,setup!$A$8:$H$58,5),VLOOKUP(N320,setup!$A$8:$H$58,6),VLOOKUP(N320,setup!$A$8:$H$58,7), VLOOKUP(0,setup!$A$8:$H$58,2),VLOOKUP(0,setup!$A$8:$H$58,5),VLOOKUP(N320,setup!$A$8:$H$58,8))</f>
        <v>#VALUE!</v>
      </c>
    </row>
    <row r="321" spans="1:15" x14ac:dyDescent="0.25">
      <c r="A321" s="6" t="s">
        <v>921</v>
      </c>
      <c r="N321">
        <v>19</v>
      </c>
      <c r="O321" s="7" t="e">
        <f>getCodigoBackend(N321,A321,VLOOKUP(N321,setup!$A$8:$H$58,2),VLOOKUP(N321,setup!$A$8:$H$58,3),VLOOKUP(N321,setup!$A$8:$H$58,4),VLOOKUP(N321,setup!$A$8:$H$58,5),VLOOKUP(N321,setup!$A$8:$H$58,6),VLOOKUP(N321,setup!$A$8:$H$58,7), VLOOKUP(0,setup!$A$8:$H$58,2),VLOOKUP(0,setup!$A$8:$H$58,5),VLOOKUP(N321,setup!$A$8:$H$58,8))</f>
        <v>#VALUE!</v>
      </c>
    </row>
    <row r="322" spans="1:15" x14ac:dyDescent="0.25">
      <c r="A322" s="6" t="s">
        <v>416</v>
      </c>
      <c r="N322">
        <v>19</v>
      </c>
      <c r="O322" s="7" t="e">
        <f>getCodigoBackend(N322,A322,VLOOKUP(N322,setup!$A$8:$H$58,2),VLOOKUP(N322,setup!$A$8:$H$58,3),VLOOKUP(N322,setup!$A$8:$H$58,4),VLOOKUP(N322,setup!$A$8:$H$58,5),VLOOKUP(N322,setup!$A$8:$H$58,6),VLOOKUP(N322,setup!$A$8:$H$58,7), VLOOKUP(0,setup!$A$8:$H$58,2),VLOOKUP(0,setup!$A$8:$H$58,5),VLOOKUP(N322,setup!$A$8:$H$58,8))</f>
        <v>#VALUE!</v>
      </c>
    </row>
    <row r="323" spans="1:15" x14ac:dyDescent="0.25">
      <c r="A323" s="6" t="s">
        <v>417</v>
      </c>
      <c r="N323">
        <v>19</v>
      </c>
      <c r="O323" s="7" t="e">
        <f>getCodigoBackend(N323,A323,VLOOKUP(N323,setup!$A$8:$H$58,2),VLOOKUP(N323,setup!$A$8:$H$58,3),VLOOKUP(N323,setup!$A$8:$H$58,4),VLOOKUP(N323,setup!$A$8:$H$58,5),VLOOKUP(N323,setup!$A$8:$H$58,6),VLOOKUP(N323,setup!$A$8:$H$58,7), VLOOKUP(0,setup!$A$8:$H$58,2),VLOOKUP(0,setup!$A$8:$H$58,5),VLOOKUP(N323,setup!$A$8:$H$58,8))</f>
        <v>#VALUE!</v>
      </c>
    </row>
    <row r="324" spans="1:15" x14ac:dyDescent="0.25">
      <c r="A324" s="6" t="s">
        <v>406</v>
      </c>
      <c r="N324">
        <v>19</v>
      </c>
      <c r="O324" s="7" t="e">
        <f>getCodigoBackend(N324,A324,VLOOKUP(N324,setup!$A$8:$H$58,2),VLOOKUP(N324,setup!$A$8:$H$58,3),VLOOKUP(N324,setup!$A$8:$H$58,4),VLOOKUP(N324,setup!$A$8:$H$58,5),VLOOKUP(N324,setup!$A$8:$H$58,6),VLOOKUP(N324,setup!$A$8:$H$58,7), VLOOKUP(0,setup!$A$8:$H$58,2),VLOOKUP(0,setup!$A$8:$H$58,5),VLOOKUP(N324,setup!$A$8:$H$58,8))</f>
        <v>#VALUE!</v>
      </c>
    </row>
    <row r="325" spans="1:15" x14ac:dyDescent="0.25">
      <c r="A325" s="6"/>
      <c r="O325" s="7" t="str">
        <f ca="1">getCodigoBackend(N325,A325,VLOOKUP(N325,setup!$A$8:$H$58,2),VLOOKUP(N325,setup!$A$8:$H$58,3),VLOOKUP(N325,setup!$A$8:$H$58,4),VLOOKUP(N325,setup!$A$8:$H$58,5),VLOOKUP(N325,setup!$A$8:$H$58,6),VLOOKUP(N325,setup!$A$8:$H$58,7), VLOOKUP(0,setup!$A$8:$H$58,2),VLOOKUP(0,setup!$A$8:$H$58,5),VLOOKUP(N325,setup!$A$8:$H$58,8))</f>
        <v/>
      </c>
    </row>
    <row r="326" spans="1:15" x14ac:dyDescent="0.25">
      <c r="A326" s="6" t="s">
        <v>920</v>
      </c>
      <c r="N326">
        <v>20</v>
      </c>
      <c r="O326" s="7" t="e">
        <f>getCodigoBackend(N326,A326,VLOOKUP(N326,setup!$A$8:$H$58,2),VLOOKUP(N326,setup!$A$8:$H$58,3),VLOOKUP(N326,setup!$A$8:$H$58,4),VLOOKUP(N326,setup!$A$8:$H$58,5),VLOOKUP(N326,setup!$A$8:$H$58,6),VLOOKUP(N326,setup!$A$8:$H$58,7), VLOOKUP(0,setup!$A$8:$H$58,2),VLOOKUP(0,setup!$A$8:$H$58,5),VLOOKUP(N326,setup!$A$8:$H$58,8))</f>
        <v>#VALUE!</v>
      </c>
    </row>
    <row r="327" spans="1:15" x14ac:dyDescent="0.25">
      <c r="A327" s="6" t="s">
        <v>921</v>
      </c>
      <c r="N327">
        <v>20</v>
      </c>
      <c r="O327" s="7" t="e">
        <f>getCodigoBackend(N327,A327,VLOOKUP(N327,setup!$A$8:$H$58,2),VLOOKUP(N327,setup!$A$8:$H$58,3),VLOOKUP(N327,setup!$A$8:$H$58,4),VLOOKUP(N327,setup!$A$8:$H$58,5),VLOOKUP(N327,setup!$A$8:$H$58,6),VLOOKUP(N327,setup!$A$8:$H$58,7), VLOOKUP(0,setup!$A$8:$H$58,2),VLOOKUP(0,setup!$A$8:$H$58,5),VLOOKUP(N327,setup!$A$8:$H$58,8))</f>
        <v>#VALUE!</v>
      </c>
    </row>
    <row r="328" spans="1:15" x14ac:dyDescent="0.25">
      <c r="A328" s="6" t="s">
        <v>416</v>
      </c>
      <c r="N328">
        <v>20</v>
      </c>
      <c r="O328" s="7" t="e">
        <f>getCodigoBackend(N328,A328,VLOOKUP(N328,setup!$A$8:$H$58,2),VLOOKUP(N328,setup!$A$8:$H$58,3),VLOOKUP(N328,setup!$A$8:$H$58,4),VLOOKUP(N328,setup!$A$8:$H$58,5),VLOOKUP(N328,setup!$A$8:$H$58,6),VLOOKUP(N328,setup!$A$8:$H$58,7), VLOOKUP(0,setup!$A$8:$H$58,2),VLOOKUP(0,setup!$A$8:$H$58,5),VLOOKUP(N328,setup!$A$8:$H$58,8))</f>
        <v>#VALUE!</v>
      </c>
    </row>
    <row r="329" spans="1:15" x14ac:dyDescent="0.25">
      <c r="A329" s="6" t="s">
        <v>417</v>
      </c>
      <c r="N329">
        <v>20</v>
      </c>
      <c r="O329" s="7" t="e">
        <f>getCodigoBackend(N329,A329,VLOOKUP(N329,setup!$A$8:$H$58,2),VLOOKUP(N329,setup!$A$8:$H$58,3),VLOOKUP(N329,setup!$A$8:$H$58,4),VLOOKUP(N329,setup!$A$8:$H$58,5),VLOOKUP(N329,setup!$A$8:$H$58,6),VLOOKUP(N329,setup!$A$8:$H$58,7), VLOOKUP(0,setup!$A$8:$H$58,2),VLOOKUP(0,setup!$A$8:$H$58,5),VLOOKUP(N329,setup!$A$8:$H$58,8))</f>
        <v>#VALUE!</v>
      </c>
    </row>
    <row r="330" spans="1:15" x14ac:dyDescent="0.25">
      <c r="A330" s="6" t="s">
        <v>406</v>
      </c>
      <c r="N330">
        <v>20</v>
      </c>
      <c r="O330" s="7" t="e">
        <f>getCodigoBackend(N330,A330,VLOOKUP(N330,setup!$A$8:$H$58,2),VLOOKUP(N330,setup!$A$8:$H$58,3),VLOOKUP(N330,setup!$A$8:$H$58,4),VLOOKUP(N330,setup!$A$8:$H$58,5),VLOOKUP(N330,setup!$A$8:$H$58,6),VLOOKUP(N330,setup!$A$8:$H$58,7), VLOOKUP(0,setup!$A$8:$H$58,2),VLOOKUP(0,setup!$A$8:$H$58,5),VLOOKUP(N330,setup!$A$8:$H$58,8))</f>
        <v>#VALUE!</v>
      </c>
    </row>
    <row r="331" spans="1:15" x14ac:dyDescent="0.25">
      <c r="A331" s="6"/>
      <c r="O331" s="7" t="str">
        <f ca="1">getCodigoBackend(N331,A331,VLOOKUP(N331,setup!$A$8:$H$58,2),VLOOKUP(N331,setup!$A$8:$H$58,3),VLOOKUP(N331,setup!$A$8:$H$58,4),VLOOKUP(N331,setup!$A$8:$H$58,5),VLOOKUP(N331,setup!$A$8:$H$58,6),VLOOKUP(N331,setup!$A$8:$H$58,7), VLOOKUP(0,setup!$A$8:$H$58,2),VLOOKUP(0,setup!$A$8:$H$58,5),VLOOKUP(N331,setup!$A$8:$H$58,8))</f>
        <v/>
      </c>
    </row>
    <row r="332" spans="1:15" x14ac:dyDescent="0.25">
      <c r="A332" s="6" t="s">
        <v>920</v>
      </c>
      <c r="N332">
        <v>21</v>
      </c>
      <c r="O332" s="7" t="e">
        <f>getCodigoBackend(N332,A332,VLOOKUP(N332,setup!$A$8:$H$58,2),VLOOKUP(N332,setup!$A$8:$H$58,3),VLOOKUP(N332,setup!$A$8:$H$58,4),VLOOKUP(N332,setup!$A$8:$H$58,5),VLOOKUP(N332,setup!$A$8:$H$58,6),VLOOKUP(N332,setup!$A$8:$H$58,7), VLOOKUP(0,setup!$A$8:$H$58,2),VLOOKUP(0,setup!$A$8:$H$58,5),VLOOKUP(N332,setup!$A$8:$H$58,8))</f>
        <v>#VALUE!</v>
      </c>
    </row>
    <row r="333" spans="1:15" x14ac:dyDescent="0.25">
      <c r="A333" s="6" t="s">
        <v>921</v>
      </c>
      <c r="N333">
        <v>21</v>
      </c>
      <c r="O333" s="7" t="e">
        <f>getCodigoBackend(N333,A333,VLOOKUP(N333,setup!$A$8:$H$58,2),VLOOKUP(N333,setup!$A$8:$H$58,3),VLOOKUP(N333,setup!$A$8:$H$58,4),VLOOKUP(N333,setup!$A$8:$H$58,5),VLOOKUP(N333,setup!$A$8:$H$58,6),VLOOKUP(N333,setup!$A$8:$H$58,7), VLOOKUP(0,setup!$A$8:$H$58,2),VLOOKUP(0,setup!$A$8:$H$58,5),VLOOKUP(N333,setup!$A$8:$H$58,8))</f>
        <v>#VALUE!</v>
      </c>
    </row>
    <row r="334" spans="1:15" x14ac:dyDescent="0.25">
      <c r="A334" s="6" t="s">
        <v>416</v>
      </c>
      <c r="N334">
        <v>21</v>
      </c>
      <c r="O334" s="7" t="e">
        <f>getCodigoBackend(N334,A334,VLOOKUP(N334,setup!$A$8:$H$58,2),VLOOKUP(N334,setup!$A$8:$H$58,3),VLOOKUP(N334,setup!$A$8:$H$58,4),VLOOKUP(N334,setup!$A$8:$H$58,5),VLOOKUP(N334,setup!$A$8:$H$58,6),VLOOKUP(N334,setup!$A$8:$H$58,7), VLOOKUP(0,setup!$A$8:$H$58,2),VLOOKUP(0,setup!$A$8:$H$58,5),VLOOKUP(N334,setup!$A$8:$H$58,8))</f>
        <v>#VALUE!</v>
      </c>
    </row>
    <row r="335" spans="1:15" x14ac:dyDescent="0.25">
      <c r="A335" s="6" t="s">
        <v>417</v>
      </c>
      <c r="N335">
        <v>21</v>
      </c>
      <c r="O335" s="7" t="e">
        <f>getCodigoBackend(N335,A335,VLOOKUP(N335,setup!$A$8:$H$58,2),VLOOKUP(N335,setup!$A$8:$H$58,3),VLOOKUP(N335,setup!$A$8:$H$58,4),VLOOKUP(N335,setup!$A$8:$H$58,5),VLOOKUP(N335,setup!$A$8:$H$58,6),VLOOKUP(N335,setup!$A$8:$H$58,7), VLOOKUP(0,setup!$A$8:$H$58,2),VLOOKUP(0,setup!$A$8:$H$58,5),VLOOKUP(N335,setup!$A$8:$H$58,8))</f>
        <v>#VALUE!</v>
      </c>
    </row>
    <row r="336" spans="1:15" x14ac:dyDescent="0.25">
      <c r="A336" s="6" t="s">
        <v>406</v>
      </c>
      <c r="N336">
        <v>21</v>
      </c>
      <c r="O336" s="7" t="e">
        <f>getCodigoBackend(N336,A336,VLOOKUP(N336,setup!$A$8:$H$58,2),VLOOKUP(N336,setup!$A$8:$H$58,3),VLOOKUP(N336,setup!$A$8:$H$58,4),VLOOKUP(N336,setup!$A$8:$H$58,5),VLOOKUP(N336,setup!$A$8:$H$58,6),VLOOKUP(N336,setup!$A$8:$H$58,7), VLOOKUP(0,setup!$A$8:$H$58,2),VLOOKUP(0,setup!$A$8:$H$58,5),VLOOKUP(N336,setup!$A$8:$H$58,8))</f>
        <v>#VALUE!</v>
      </c>
    </row>
    <row r="337" spans="1:15" x14ac:dyDescent="0.25">
      <c r="A337" s="6"/>
      <c r="O337" s="7" t="str">
        <f ca="1">getCodigoBackend(N337,A337,VLOOKUP(N337,setup!$A$8:$H$58,2),VLOOKUP(N337,setup!$A$8:$H$58,3),VLOOKUP(N337,setup!$A$8:$H$58,4),VLOOKUP(N337,setup!$A$8:$H$58,5),VLOOKUP(N337,setup!$A$8:$H$58,6),VLOOKUP(N337,setup!$A$8:$H$58,7), VLOOKUP(0,setup!$A$8:$H$58,2),VLOOKUP(0,setup!$A$8:$H$58,5),VLOOKUP(N337,setup!$A$8:$H$58,8))</f>
        <v/>
      </c>
    </row>
    <row r="338" spans="1:15" x14ac:dyDescent="0.25">
      <c r="A338" s="6" t="s">
        <v>920</v>
      </c>
      <c r="N338">
        <v>22</v>
      </c>
      <c r="O338" s="7" t="e">
        <f>getCodigoBackend(N338,A338,VLOOKUP(N338,setup!$A$8:$H$58,2),VLOOKUP(N338,setup!$A$8:$H$58,3),VLOOKUP(N338,setup!$A$8:$H$58,4),VLOOKUP(N338,setup!$A$8:$H$58,5),VLOOKUP(N338,setup!$A$8:$H$58,6),VLOOKUP(N338,setup!$A$8:$H$58,7), VLOOKUP(0,setup!$A$8:$H$58,2),VLOOKUP(0,setup!$A$8:$H$58,5),VLOOKUP(N338,setup!$A$8:$H$58,8))</f>
        <v>#VALUE!</v>
      </c>
    </row>
    <row r="339" spans="1:15" x14ac:dyDescent="0.25">
      <c r="A339" s="6" t="s">
        <v>921</v>
      </c>
      <c r="N339">
        <v>22</v>
      </c>
      <c r="O339" s="7" t="e">
        <f>getCodigoBackend(N339,A339,VLOOKUP(N339,setup!$A$8:$H$58,2),VLOOKUP(N339,setup!$A$8:$H$58,3),VLOOKUP(N339,setup!$A$8:$H$58,4),VLOOKUP(N339,setup!$A$8:$H$58,5),VLOOKUP(N339,setup!$A$8:$H$58,6),VLOOKUP(N339,setup!$A$8:$H$58,7), VLOOKUP(0,setup!$A$8:$H$58,2),VLOOKUP(0,setup!$A$8:$H$58,5),VLOOKUP(N339,setup!$A$8:$H$58,8))</f>
        <v>#VALUE!</v>
      </c>
    </row>
    <row r="340" spans="1:15" x14ac:dyDescent="0.25">
      <c r="A340" s="6" t="s">
        <v>416</v>
      </c>
      <c r="N340">
        <v>22</v>
      </c>
      <c r="O340" s="7" t="e">
        <f>getCodigoBackend(N340,A340,VLOOKUP(N340,setup!$A$8:$H$58,2),VLOOKUP(N340,setup!$A$8:$H$58,3),VLOOKUP(N340,setup!$A$8:$H$58,4),VLOOKUP(N340,setup!$A$8:$H$58,5),VLOOKUP(N340,setup!$A$8:$H$58,6),VLOOKUP(N340,setup!$A$8:$H$58,7), VLOOKUP(0,setup!$A$8:$H$58,2),VLOOKUP(0,setup!$A$8:$H$58,5),VLOOKUP(N340,setup!$A$8:$H$58,8))</f>
        <v>#VALUE!</v>
      </c>
    </row>
    <row r="341" spans="1:15" x14ac:dyDescent="0.25">
      <c r="A341" s="6" t="s">
        <v>417</v>
      </c>
      <c r="N341">
        <v>22</v>
      </c>
      <c r="O341" s="7" t="e">
        <f>getCodigoBackend(N341,A341,VLOOKUP(N341,setup!$A$8:$H$58,2),VLOOKUP(N341,setup!$A$8:$H$58,3),VLOOKUP(N341,setup!$A$8:$H$58,4),VLOOKUP(N341,setup!$A$8:$H$58,5),VLOOKUP(N341,setup!$A$8:$H$58,6),VLOOKUP(N341,setup!$A$8:$H$58,7), VLOOKUP(0,setup!$A$8:$H$58,2),VLOOKUP(0,setup!$A$8:$H$58,5),VLOOKUP(N341,setup!$A$8:$H$58,8))</f>
        <v>#VALUE!</v>
      </c>
    </row>
    <row r="342" spans="1:15" x14ac:dyDescent="0.25">
      <c r="A342" s="6" t="s">
        <v>406</v>
      </c>
      <c r="N342">
        <v>22</v>
      </c>
      <c r="O342" s="7" t="e">
        <f>getCodigoBackend(N342,A342,VLOOKUP(N342,setup!$A$8:$H$58,2),VLOOKUP(N342,setup!$A$8:$H$58,3),VLOOKUP(N342,setup!$A$8:$H$58,4),VLOOKUP(N342,setup!$A$8:$H$58,5),VLOOKUP(N342,setup!$A$8:$H$58,6),VLOOKUP(N342,setup!$A$8:$H$58,7), VLOOKUP(0,setup!$A$8:$H$58,2),VLOOKUP(0,setup!$A$8:$H$58,5),VLOOKUP(N342,setup!$A$8:$H$58,8))</f>
        <v>#VALUE!</v>
      </c>
    </row>
    <row r="343" spans="1:15" x14ac:dyDescent="0.25">
      <c r="A343" s="6"/>
      <c r="O343" s="7" t="str">
        <f ca="1">getCodigoBackend(N343,A343,VLOOKUP(N343,setup!$A$8:$H$58,2),VLOOKUP(N343,setup!$A$8:$H$58,3),VLOOKUP(N343,setup!$A$8:$H$58,4),VLOOKUP(N343,setup!$A$8:$H$58,5),VLOOKUP(N343,setup!$A$8:$H$58,6),VLOOKUP(N343,setup!$A$8:$H$58,7), VLOOKUP(0,setup!$A$8:$H$58,2),VLOOKUP(0,setup!$A$8:$H$58,5),VLOOKUP(N343,setup!$A$8:$H$58,8))</f>
        <v/>
      </c>
    </row>
    <row r="344" spans="1:15" x14ac:dyDescent="0.25">
      <c r="A344" s="6" t="s">
        <v>920</v>
      </c>
      <c r="N344">
        <v>23</v>
      </c>
      <c r="O344" s="7" t="e">
        <f>getCodigoBackend(N344,A344,VLOOKUP(N344,setup!$A$8:$H$58,2),VLOOKUP(N344,setup!$A$8:$H$58,3),VLOOKUP(N344,setup!$A$8:$H$58,4),VLOOKUP(N344,setup!$A$8:$H$58,5),VLOOKUP(N344,setup!$A$8:$H$58,6),VLOOKUP(N344,setup!$A$8:$H$58,7), VLOOKUP(0,setup!$A$8:$H$58,2),VLOOKUP(0,setup!$A$8:$H$58,5),VLOOKUP(N344,setup!$A$8:$H$58,8))</f>
        <v>#VALUE!</v>
      </c>
    </row>
    <row r="345" spans="1:15" x14ac:dyDescent="0.25">
      <c r="A345" s="6" t="s">
        <v>921</v>
      </c>
      <c r="N345">
        <v>23</v>
      </c>
      <c r="O345" s="7" t="e">
        <f>getCodigoBackend(N345,A345,VLOOKUP(N345,setup!$A$8:$H$58,2),VLOOKUP(N345,setup!$A$8:$H$58,3),VLOOKUP(N345,setup!$A$8:$H$58,4),VLOOKUP(N345,setup!$A$8:$H$58,5),VLOOKUP(N345,setup!$A$8:$H$58,6),VLOOKUP(N345,setup!$A$8:$H$58,7), VLOOKUP(0,setup!$A$8:$H$58,2),VLOOKUP(0,setup!$A$8:$H$58,5),VLOOKUP(N345,setup!$A$8:$H$58,8))</f>
        <v>#VALUE!</v>
      </c>
    </row>
    <row r="346" spans="1:15" x14ac:dyDescent="0.25">
      <c r="A346" s="6" t="s">
        <v>416</v>
      </c>
      <c r="N346">
        <v>23</v>
      </c>
      <c r="O346" s="7" t="e">
        <f>getCodigoBackend(N346,A346,VLOOKUP(N346,setup!$A$8:$H$58,2),VLOOKUP(N346,setup!$A$8:$H$58,3),VLOOKUP(N346,setup!$A$8:$H$58,4),VLOOKUP(N346,setup!$A$8:$H$58,5),VLOOKUP(N346,setup!$A$8:$H$58,6),VLOOKUP(N346,setup!$A$8:$H$58,7), VLOOKUP(0,setup!$A$8:$H$58,2),VLOOKUP(0,setup!$A$8:$H$58,5),VLOOKUP(N346,setup!$A$8:$H$58,8))</f>
        <v>#VALUE!</v>
      </c>
    </row>
    <row r="347" spans="1:15" x14ac:dyDescent="0.25">
      <c r="A347" s="6" t="s">
        <v>417</v>
      </c>
      <c r="N347">
        <v>23</v>
      </c>
      <c r="O347" s="7" t="e">
        <f>getCodigoBackend(N347,A347,VLOOKUP(N347,setup!$A$8:$H$58,2),VLOOKUP(N347,setup!$A$8:$H$58,3),VLOOKUP(N347,setup!$A$8:$H$58,4),VLOOKUP(N347,setup!$A$8:$H$58,5),VLOOKUP(N347,setup!$A$8:$H$58,6),VLOOKUP(N347,setup!$A$8:$H$58,7), VLOOKUP(0,setup!$A$8:$H$58,2),VLOOKUP(0,setup!$A$8:$H$58,5),VLOOKUP(N347,setup!$A$8:$H$58,8))</f>
        <v>#VALUE!</v>
      </c>
    </row>
    <row r="348" spans="1:15" x14ac:dyDescent="0.25">
      <c r="A348" s="6" t="s">
        <v>406</v>
      </c>
      <c r="N348">
        <v>23</v>
      </c>
      <c r="O348" s="7" t="e">
        <f>getCodigoBackend(N348,A348,VLOOKUP(N348,setup!$A$8:$H$58,2),VLOOKUP(N348,setup!$A$8:$H$58,3),VLOOKUP(N348,setup!$A$8:$H$58,4),VLOOKUP(N348,setup!$A$8:$H$58,5),VLOOKUP(N348,setup!$A$8:$H$58,6),VLOOKUP(N348,setup!$A$8:$H$58,7), VLOOKUP(0,setup!$A$8:$H$58,2),VLOOKUP(0,setup!$A$8:$H$58,5),VLOOKUP(N348,setup!$A$8:$H$58,8))</f>
        <v>#VALUE!</v>
      </c>
    </row>
    <row r="349" spans="1:15" x14ac:dyDescent="0.25">
      <c r="A349" s="6"/>
      <c r="O349" s="7" t="str">
        <f ca="1">getCodigoBackend(N349,A349,VLOOKUP(N349,setup!$A$8:$H$58,2),VLOOKUP(N349,setup!$A$8:$H$58,3),VLOOKUP(N349,setup!$A$8:$H$58,4),VLOOKUP(N349,setup!$A$8:$H$58,5),VLOOKUP(N349,setup!$A$8:$H$58,6),VLOOKUP(N349,setup!$A$8:$H$58,7), VLOOKUP(0,setup!$A$8:$H$58,2),VLOOKUP(0,setup!$A$8:$H$58,5),VLOOKUP(N349,setup!$A$8:$H$58,8))</f>
        <v/>
      </c>
    </row>
    <row r="350" spans="1:15" x14ac:dyDescent="0.25">
      <c r="A350" s="6" t="s">
        <v>920</v>
      </c>
      <c r="N350">
        <v>25</v>
      </c>
      <c r="O350" s="7" t="e">
        <f>getCodigoBackend(N350,A350,VLOOKUP(N350,setup!$A$8:$H$58,2),VLOOKUP(N350,setup!$A$8:$H$58,3),VLOOKUP(N350,setup!$A$8:$H$58,4),VLOOKUP(N350,setup!$A$8:$H$58,5),VLOOKUP(N350,setup!$A$8:$H$58,6),VLOOKUP(N350,setup!$A$8:$H$58,7), VLOOKUP(0,setup!$A$8:$H$58,2),VLOOKUP(0,setup!$A$8:$H$58,5),VLOOKUP(N350,setup!$A$8:$H$58,8))</f>
        <v>#VALUE!</v>
      </c>
    </row>
    <row r="351" spans="1:15" x14ac:dyDescent="0.25">
      <c r="A351" s="6" t="s">
        <v>921</v>
      </c>
      <c r="N351">
        <v>25</v>
      </c>
      <c r="O351" s="7" t="e">
        <f>getCodigoBackend(N351,A351,VLOOKUP(N351,setup!$A$8:$H$58,2),VLOOKUP(N351,setup!$A$8:$H$58,3),VLOOKUP(N351,setup!$A$8:$H$58,4),VLOOKUP(N351,setup!$A$8:$H$58,5),VLOOKUP(N351,setup!$A$8:$H$58,6),VLOOKUP(N351,setup!$A$8:$H$58,7), VLOOKUP(0,setup!$A$8:$H$58,2),VLOOKUP(0,setup!$A$8:$H$58,5),VLOOKUP(N351,setup!$A$8:$H$58,8))</f>
        <v>#VALUE!</v>
      </c>
    </row>
    <row r="352" spans="1:15" x14ac:dyDescent="0.25">
      <c r="A352" s="6" t="s">
        <v>416</v>
      </c>
      <c r="N352">
        <v>25</v>
      </c>
      <c r="O352" s="7" t="e">
        <f>getCodigoBackend(N352,A352,VLOOKUP(N352,setup!$A$8:$H$58,2),VLOOKUP(N352,setup!$A$8:$H$58,3),VLOOKUP(N352,setup!$A$8:$H$58,4),VLOOKUP(N352,setup!$A$8:$H$58,5),VLOOKUP(N352,setup!$A$8:$H$58,6),VLOOKUP(N352,setup!$A$8:$H$58,7), VLOOKUP(0,setup!$A$8:$H$58,2),VLOOKUP(0,setup!$A$8:$H$58,5),VLOOKUP(N352,setup!$A$8:$H$58,8))</f>
        <v>#VALUE!</v>
      </c>
    </row>
    <row r="353" spans="1:15" x14ac:dyDescent="0.25">
      <c r="A353" s="6" t="s">
        <v>417</v>
      </c>
      <c r="N353">
        <v>25</v>
      </c>
      <c r="O353" s="7" t="e">
        <f>getCodigoBackend(N353,A353,VLOOKUP(N353,setup!$A$8:$H$58,2),VLOOKUP(N353,setup!$A$8:$H$58,3),VLOOKUP(N353,setup!$A$8:$H$58,4),VLOOKUP(N353,setup!$A$8:$H$58,5),VLOOKUP(N353,setup!$A$8:$H$58,6),VLOOKUP(N353,setup!$A$8:$H$58,7), VLOOKUP(0,setup!$A$8:$H$58,2),VLOOKUP(0,setup!$A$8:$H$58,5),VLOOKUP(N353,setup!$A$8:$H$58,8))</f>
        <v>#VALUE!</v>
      </c>
    </row>
    <row r="354" spans="1:15" x14ac:dyDescent="0.25">
      <c r="A354" s="6" t="s">
        <v>406</v>
      </c>
      <c r="N354">
        <v>25</v>
      </c>
      <c r="O354" s="7" t="e">
        <f>getCodigoBackend(N354,A354,VLOOKUP(N354,setup!$A$8:$H$58,2),VLOOKUP(N354,setup!$A$8:$H$58,3),VLOOKUP(N354,setup!$A$8:$H$58,4),VLOOKUP(N354,setup!$A$8:$H$58,5),VLOOKUP(N354,setup!$A$8:$H$58,6),VLOOKUP(N354,setup!$A$8:$H$58,7), VLOOKUP(0,setup!$A$8:$H$58,2),VLOOKUP(0,setup!$A$8:$H$58,5),VLOOKUP(N354,setup!$A$8:$H$58,8))</f>
        <v>#VALUE!</v>
      </c>
    </row>
    <row r="355" spans="1:15" x14ac:dyDescent="0.25">
      <c r="A355" s="6"/>
      <c r="O355" s="7" t="str">
        <f ca="1">getCodigoBackend(N355,A355,VLOOKUP(N355,setup!$A$8:$H$58,2),VLOOKUP(N355,setup!$A$8:$H$58,3),VLOOKUP(N355,setup!$A$8:$H$58,4),VLOOKUP(N355,setup!$A$8:$H$58,5),VLOOKUP(N355,setup!$A$8:$H$58,6),VLOOKUP(N355,setup!$A$8:$H$58,7), VLOOKUP(0,setup!$A$8:$H$58,2),VLOOKUP(0,setup!$A$8:$H$58,5),VLOOKUP(N355,setup!$A$8:$H$58,8))</f>
        <v/>
      </c>
    </row>
    <row r="356" spans="1:15" x14ac:dyDescent="0.25">
      <c r="A356" s="6" t="s">
        <v>920</v>
      </c>
      <c r="N356">
        <v>26</v>
      </c>
      <c r="O356" s="7" t="e">
        <f>getCodigoBackend(N356,A356,VLOOKUP(N356,setup!$A$8:$H$58,2),VLOOKUP(N356,setup!$A$8:$H$58,3),VLOOKUP(N356,setup!$A$8:$H$58,4),VLOOKUP(N356,setup!$A$8:$H$58,5),VLOOKUP(N356,setup!$A$8:$H$58,6),VLOOKUP(N356,setup!$A$8:$H$58,7), VLOOKUP(0,setup!$A$8:$H$58,2),VLOOKUP(0,setup!$A$8:$H$58,5),VLOOKUP(N356,setup!$A$8:$H$58,8))</f>
        <v>#VALUE!</v>
      </c>
    </row>
    <row r="357" spans="1:15" x14ac:dyDescent="0.25">
      <c r="A357" s="6" t="s">
        <v>921</v>
      </c>
      <c r="N357">
        <v>26</v>
      </c>
      <c r="O357" s="7" t="e">
        <f>getCodigoBackend(N357,A357,VLOOKUP(N357,setup!$A$8:$H$58,2),VLOOKUP(N357,setup!$A$8:$H$58,3),VLOOKUP(N357,setup!$A$8:$H$58,4),VLOOKUP(N357,setup!$A$8:$H$58,5),VLOOKUP(N357,setup!$A$8:$H$58,6),VLOOKUP(N357,setup!$A$8:$H$58,7), VLOOKUP(0,setup!$A$8:$H$58,2),VLOOKUP(0,setup!$A$8:$H$58,5),VLOOKUP(N357,setup!$A$8:$H$58,8))</f>
        <v>#VALUE!</v>
      </c>
    </row>
    <row r="358" spans="1:15" x14ac:dyDescent="0.25">
      <c r="A358" s="6" t="s">
        <v>416</v>
      </c>
      <c r="N358">
        <v>26</v>
      </c>
      <c r="O358" s="7" t="e">
        <f>getCodigoBackend(N358,A358,VLOOKUP(N358,setup!$A$8:$H$58,2),VLOOKUP(N358,setup!$A$8:$H$58,3),VLOOKUP(N358,setup!$A$8:$H$58,4),VLOOKUP(N358,setup!$A$8:$H$58,5),VLOOKUP(N358,setup!$A$8:$H$58,6),VLOOKUP(N358,setup!$A$8:$H$58,7), VLOOKUP(0,setup!$A$8:$H$58,2),VLOOKUP(0,setup!$A$8:$H$58,5),VLOOKUP(N358,setup!$A$8:$H$58,8))</f>
        <v>#VALUE!</v>
      </c>
    </row>
    <row r="359" spans="1:15" x14ac:dyDescent="0.25">
      <c r="A359" s="6" t="s">
        <v>417</v>
      </c>
      <c r="N359">
        <v>26</v>
      </c>
      <c r="O359" s="7" t="e">
        <f>getCodigoBackend(N359,A359,VLOOKUP(N359,setup!$A$8:$H$58,2),VLOOKUP(N359,setup!$A$8:$H$58,3),VLOOKUP(N359,setup!$A$8:$H$58,4),VLOOKUP(N359,setup!$A$8:$H$58,5),VLOOKUP(N359,setup!$A$8:$H$58,6),VLOOKUP(N359,setup!$A$8:$H$58,7), VLOOKUP(0,setup!$A$8:$H$58,2),VLOOKUP(0,setup!$A$8:$H$58,5),VLOOKUP(N359,setup!$A$8:$H$58,8))</f>
        <v>#VALUE!</v>
      </c>
    </row>
    <row r="360" spans="1:15" x14ac:dyDescent="0.25">
      <c r="A360" s="6" t="s">
        <v>406</v>
      </c>
      <c r="N360">
        <v>26</v>
      </c>
      <c r="O360" s="7" t="e">
        <f>getCodigoBackend(N360,A360,VLOOKUP(N360,setup!$A$8:$H$58,2),VLOOKUP(N360,setup!$A$8:$H$58,3),VLOOKUP(N360,setup!$A$8:$H$58,4),VLOOKUP(N360,setup!$A$8:$H$58,5),VLOOKUP(N360,setup!$A$8:$H$58,6),VLOOKUP(N360,setup!$A$8:$H$58,7), VLOOKUP(0,setup!$A$8:$H$58,2),VLOOKUP(0,setup!$A$8:$H$58,5),VLOOKUP(N360,setup!$A$8:$H$58,8))</f>
        <v>#VALUE!</v>
      </c>
    </row>
    <row r="361" spans="1:15" x14ac:dyDescent="0.25">
      <c r="A361" s="6"/>
      <c r="O361" s="7" t="str">
        <f ca="1">getCodigoBackend(N361,A361,VLOOKUP(N361,setup!$A$8:$H$58,2),VLOOKUP(N361,setup!$A$8:$H$58,3),VLOOKUP(N361,setup!$A$8:$H$58,4),VLOOKUP(N361,setup!$A$8:$H$58,5),VLOOKUP(N361,setup!$A$8:$H$58,6),VLOOKUP(N361,setup!$A$8:$H$58,7), VLOOKUP(0,setup!$A$8:$H$58,2),VLOOKUP(0,setup!$A$8:$H$58,5),VLOOKUP(N361,setup!$A$8:$H$58,8))</f>
        <v/>
      </c>
    </row>
    <row r="362" spans="1:15" x14ac:dyDescent="0.25">
      <c r="A362" s="6" t="s">
        <v>920</v>
      </c>
      <c r="N362">
        <v>27</v>
      </c>
      <c r="O362" s="7" t="e">
        <f>getCodigoBackend(N362,A362,VLOOKUP(N362,setup!$A$8:$H$58,2),VLOOKUP(N362,setup!$A$8:$H$58,3),VLOOKUP(N362,setup!$A$8:$H$58,4),VLOOKUP(N362,setup!$A$8:$H$58,5),VLOOKUP(N362,setup!$A$8:$H$58,6),VLOOKUP(N362,setup!$A$8:$H$58,7), VLOOKUP(0,setup!$A$8:$H$58,2),VLOOKUP(0,setup!$A$8:$H$58,5),VLOOKUP(N362,setup!$A$8:$H$58,8))</f>
        <v>#VALUE!</v>
      </c>
    </row>
    <row r="363" spans="1:15" x14ac:dyDescent="0.25">
      <c r="A363" s="6" t="s">
        <v>921</v>
      </c>
      <c r="N363">
        <v>27</v>
      </c>
      <c r="O363" s="7" t="e">
        <f>getCodigoBackend(N363,A363,VLOOKUP(N363,setup!$A$8:$H$58,2),VLOOKUP(N363,setup!$A$8:$H$58,3),VLOOKUP(N363,setup!$A$8:$H$58,4),VLOOKUP(N363,setup!$A$8:$H$58,5),VLOOKUP(N363,setup!$A$8:$H$58,6),VLOOKUP(N363,setup!$A$8:$H$58,7), VLOOKUP(0,setup!$A$8:$H$58,2),VLOOKUP(0,setup!$A$8:$H$58,5),VLOOKUP(N363,setup!$A$8:$H$58,8))</f>
        <v>#VALUE!</v>
      </c>
    </row>
    <row r="364" spans="1:15" x14ac:dyDescent="0.25">
      <c r="A364" s="6" t="s">
        <v>416</v>
      </c>
      <c r="N364">
        <v>27</v>
      </c>
      <c r="O364" s="7" t="e">
        <f>getCodigoBackend(N364,A364,VLOOKUP(N364,setup!$A$8:$H$58,2),VLOOKUP(N364,setup!$A$8:$H$58,3),VLOOKUP(N364,setup!$A$8:$H$58,4),VLOOKUP(N364,setup!$A$8:$H$58,5),VLOOKUP(N364,setup!$A$8:$H$58,6),VLOOKUP(N364,setup!$A$8:$H$58,7), VLOOKUP(0,setup!$A$8:$H$58,2),VLOOKUP(0,setup!$A$8:$H$58,5),VLOOKUP(N364,setup!$A$8:$H$58,8))</f>
        <v>#VALUE!</v>
      </c>
    </row>
    <row r="365" spans="1:15" x14ac:dyDescent="0.25">
      <c r="A365" s="6" t="s">
        <v>417</v>
      </c>
      <c r="N365">
        <v>27</v>
      </c>
      <c r="O365" s="7" t="e">
        <f>getCodigoBackend(N365,A365,VLOOKUP(N365,setup!$A$8:$H$58,2),VLOOKUP(N365,setup!$A$8:$H$58,3),VLOOKUP(N365,setup!$A$8:$H$58,4),VLOOKUP(N365,setup!$A$8:$H$58,5),VLOOKUP(N365,setup!$A$8:$H$58,6),VLOOKUP(N365,setup!$A$8:$H$58,7), VLOOKUP(0,setup!$A$8:$H$58,2),VLOOKUP(0,setup!$A$8:$H$58,5),VLOOKUP(N365,setup!$A$8:$H$58,8))</f>
        <v>#VALUE!</v>
      </c>
    </row>
    <row r="366" spans="1:15" x14ac:dyDescent="0.25">
      <c r="A366" s="6" t="s">
        <v>406</v>
      </c>
      <c r="N366">
        <v>27</v>
      </c>
      <c r="O366" s="7" t="e">
        <f>getCodigoBackend(N366,A366,VLOOKUP(N366,setup!$A$8:$H$58,2),VLOOKUP(N366,setup!$A$8:$H$58,3),VLOOKUP(N366,setup!$A$8:$H$58,4),VLOOKUP(N366,setup!$A$8:$H$58,5),VLOOKUP(N366,setup!$A$8:$H$58,6),VLOOKUP(N366,setup!$A$8:$H$58,7), VLOOKUP(0,setup!$A$8:$H$58,2),VLOOKUP(0,setup!$A$8:$H$58,5),VLOOKUP(N366,setup!$A$8:$H$58,8))</f>
        <v>#VALUE!</v>
      </c>
    </row>
    <row r="367" spans="1:15" x14ac:dyDescent="0.25">
      <c r="A367" s="6"/>
      <c r="O367" s="7" t="str">
        <f ca="1">getCodigoBackend(N367,A367,VLOOKUP(N367,setup!$A$8:$H$58,2),VLOOKUP(N367,setup!$A$8:$H$58,3),VLOOKUP(N367,setup!$A$8:$H$58,4),VLOOKUP(N367,setup!$A$8:$H$58,5),VLOOKUP(N367,setup!$A$8:$H$58,6),VLOOKUP(N367,setup!$A$8:$H$58,7), VLOOKUP(0,setup!$A$8:$H$58,2),VLOOKUP(0,setup!$A$8:$H$58,5),VLOOKUP(N367,setup!$A$8:$H$58,8))</f>
        <v/>
      </c>
    </row>
    <row r="368" spans="1:15" x14ac:dyDescent="0.25">
      <c r="A368" s="6" t="s">
        <v>920</v>
      </c>
      <c r="N368">
        <v>28</v>
      </c>
      <c r="O368" s="7" t="e">
        <f>getCodigoBackend(N368,A368,VLOOKUP(N368,setup!$A$8:$H$58,2),VLOOKUP(N368,setup!$A$8:$H$58,3),VLOOKUP(N368,setup!$A$8:$H$58,4),VLOOKUP(N368,setup!$A$8:$H$58,5),VLOOKUP(N368,setup!$A$8:$H$58,6),VLOOKUP(N368,setup!$A$8:$H$58,7), VLOOKUP(0,setup!$A$8:$H$58,2),VLOOKUP(0,setup!$A$8:$H$58,5),VLOOKUP(N368,setup!$A$8:$H$58,8))</f>
        <v>#VALUE!</v>
      </c>
    </row>
    <row r="369" spans="1:15" x14ac:dyDescent="0.25">
      <c r="A369" s="6" t="s">
        <v>921</v>
      </c>
      <c r="N369">
        <v>28</v>
      </c>
      <c r="O369" s="7" t="e">
        <f>getCodigoBackend(N369,A369,VLOOKUP(N369,setup!$A$8:$H$58,2),VLOOKUP(N369,setup!$A$8:$H$58,3),VLOOKUP(N369,setup!$A$8:$H$58,4),VLOOKUP(N369,setup!$A$8:$H$58,5),VLOOKUP(N369,setup!$A$8:$H$58,6),VLOOKUP(N369,setup!$A$8:$H$58,7), VLOOKUP(0,setup!$A$8:$H$58,2),VLOOKUP(0,setup!$A$8:$H$58,5),VLOOKUP(N369,setup!$A$8:$H$58,8))</f>
        <v>#VALUE!</v>
      </c>
    </row>
    <row r="370" spans="1:15" x14ac:dyDescent="0.25">
      <c r="A370" s="6" t="s">
        <v>416</v>
      </c>
      <c r="N370">
        <v>28</v>
      </c>
      <c r="O370" s="7" t="e">
        <f>getCodigoBackend(N370,A370,VLOOKUP(N370,setup!$A$8:$H$58,2),VLOOKUP(N370,setup!$A$8:$H$58,3),VLOOKUP(N370,setup!$A$8:$H$58,4),VLOOKUP(N370,setup!$A$8:$H$58,5),VLOOKUP(N370,setup!$A$8:$H$58,6),VLOOKUP(N370,setup!$A$8:$H$58,7), VLOOKUP(0,setup!$A$8:$H$58,2),VLOOKUP(0,setup!$A$8:$H$58,5),VLOOKUP(N370,setup!$A$8:$H$58,8))</f>
        <v>#VALUE!</v>
      </c>
    </row>
    <row r="371" spans="1:15" x14ac:dyDescent="0.25">
      <c r="A371" s="6" t="s">
        <v>417</v>
      </c>
      <c r="N371">
        <v>28</v>
      </c>
      <c r="O371" s="7" t="e">
        <f>getCodigoBackend(N371,A371,VLOOKUP(N371,setup!$A$8:$H$58,2),VLOOKUP(N371,setup!$A$8:$H$58,3),VLOOKUP(N371,setup!$A$8:$H$58,4),VLOOKUP(N371,setup!$A$8:$H$58,5),VLOOKUP(N371,setup!$A$8:$H$58,6),VLOOKUP(N371,setup!$A$8:$H$58,7), VLOOKUP(0,setup!$A$8:$H$58,2),VLOOKUP(0,setup!$A$8:$H$58,5),VLOOKUP(N371,setup!$A$8:$H$58,8))</f>
        <v>#VALUE!</v>
      </c>
    </row>
    <row r="372" spans="1:15" x14ac:dyDescent="0.25">
      <c r="A372" s="6" t="s">
        <v>406</v>
      </c>
      <c r="N372">
        <v>28</v>
      </c>
      <c r="O372" s="7" t="e">
        <f>getCodigoBackend(N372,A372,VLOOKUP(N372,setup!$A$8:$H$58,2),VLOOKUP(N372,setup!$A$8:$H$58,3),VLOOKUP(N372,setup!$A$8:$H$58,4),VLOOKUP(N372,setup!$A$8:$H$58,5),VLOOKUP(N372,setup!$A$8:$H$58,6),VLOOKUP(N372,setup!$A$8:$H$58,7), VLOOKUP(0,setup!$A$8:$H$58,2),VLOOKUP(0,setup!$A$8:$H$58,5),VLOOKUP(N372,setup!$A$8:$H$58,8))</f>
        <v>#VALUE!</v>
      </c>
    </row>
    <row r="373" spans="1:15" x14ac:dyDescent="0.25">
      <c r="A373" s="6"/>
      <c r="O373" s="7" t="str">
        <f ca="1">getCodigoBackend(N373,A373,VLOOKUP(N373,setup!$A$8:$H$58,2),VLOOKUP(N373,setup!$A$8:$H$58,3),VLOOKUP(N373,setup!$A$8:$H$58,4),VLOOKUP(N373,setup!$A$8:$H$58,5),VLOOKUP(N373,setup!$A$8:$H$58,6),VLOOKUP(N373,setup!$A$8:$H$58,7), VLOOKUP(0,setup!$A$8:$H$58,2),VLOOKUP(0,setup!$A$8:$H$58,5),VLOOKUP(N373,setup!$A$8:$H$58,8))</f>
        <v/>
      </c>
    </row>
    <row r="374" spans="1:15" x14ac:dyDescent="0.25">
      <c r="A374" s="6" t="s">
        <v>920</v>
      </c>
      <c r="N374">
        <v>29</v>
      </c>
      <c r="O374" s="7" t="e">
        <f>getCodigoBackend(N374,A374,VLOOKUP(N374,setup!$A$8:$H$58,2),VLOOKUP(N374,setup!$A$8:$H$58,3),VLOOKUP(N374,setup!$A$8:$H$58,4),VLOOKUP(N374,setup!$A$8:$H$58,5),VLOOKUP(N374,setup!$A$8:$H$58,6),VLOOKUP(N374,setup!$A$8:$H$58,7), VLOOKUP(0,setup!$A$8:$H$58,2),VLOOKUP(0,setup!$A$8:$H$58,5),VLOOKUP(N374,setup!$A$8:$H$58,8))</f>
        <v>#VALUE!</v>
      </c>
    </row>
    <row r="375" spans="1:15" x14ac:dyDescent="0.25">
      <c r="A375" s="6" t="s">
        <v>921</v>
      </c>
      <c r="N375">
        <v>29</v>
      </c>
      <c r="O375" s="7" t="e">
        <f>getCodigoBackend(N375,A375,VLOOKUP(N375,setup!$A$8:$H$58,2),VLOOKUP(N375,setup!$A$8:$H$58,3),VLOOKUP(N375,setup!$A$8:$H$58,4),VLOOKUP(N375,setup!$A$8:$H$58,5),VLOOKUP(N375,setup!$A$8:$H$58,6),VLOOKUP(N375,setup!$A$8:$H$58,7), VLOOKUP(0,setup!$A$8:$H$58,2),VLOOKUP(0,setup!$A$8:$H$58,5),VLOOKUP(N375,setup!$A$8:$H$58,8))</f>
        <v>#VALUE!</v>
      </c>
    </row>
    <row r="376" spans="1:15" x14ac:dyDescent="0.25">
      <c r="A376" s="6" t="s">
        <v>416</v>
      </c>
      <c r="N376">
        <v>29</v>
      </c>
      <c r="O376" s="7" t="e">
        <f>getCodigoBackend(N376,A376,VLOOKUP(N376,setup!$A$8:$H$58,2),VLOOKUP(N376,setup!$A$8:$H$58,3),VLOOKUP(N376,setup!$A$8:$H$58,4),VLOOKUP(N376,setup!$A$8:$H$58,5),VLOOKUP(N376,setup!$A$8:$H$58,6),VLOOKUP(N376,setup!$A$8:$H$58,7), VLOOKUP(0,setup!$A$8:$H$58,2),VLOOKUP(0,setup!$A$8:$H$58,5),VLOOKUP(N376,setup!$A$8:$H$58,8))</f>
        <v>#VALUE!</v>
      </c>
    </row>
    <row r="377" spans="1:15" x14ac:dyDescent="0.25">
      <c r="A377" s="6" t="s">
        <v>417</v>
      </c>
      <c r="N377">
        <v>29</v>
      </c>
      <c r="O377" s="7" t="e">
        <f>getCodigoBackend(N377,A377,VLOOKUP(N377,setup!$A$8:$H$58,2),VLOOKUP(N377,setup!$A$8:$H$58,3),VLOOKUP(N377,setup!$A$8:$H$58,4),VLOOKUP(N377,setup!$A$8:$H$58,5),VLOOKUP(N377,setup!$A$8:$H$58,6),VLOOKUP(N377,setup!$A$8:$H$58,7), VLOOKUP(0,setup!$A$8:$H$58,2),VLOOKUP(0,setup!$A$8:$H$58,5),VLOOKUP(N377,setup!$A$8:$H$58,8))</f>
        <v>#VALUE!</v>
      </c>
    </row>
    <row r="378" spans="1:15" x14ac:dyDescent="0.25">
      <c r="A378" s="6" t="s">
        <v>406</v>
      </c>
      <c r="N378">
        <v>29</v>
      </c>
      <c r="O378" s="7" t="e">
        <f>getCodigoBackend(N378,A378,VLOOKUP(N378,setup!$A$8:$H$58,2),VLOOKUP(N378,setup!$A$8:$H$58,3),VLOOKUP(N378,setup!$A$8:$H$58,4),VLOOKUP(N378,setup!$A$8:$H$58,5),VLOOKUP(N378,setup!$A$8:$H$58,6),VLOOKUP(N378,setup!$A$8:$H$58,7), VLOOKUP(0,setup!$A$8:$H$58,2),VLOOKUP(0,setup!$A$8:$H$58,5),VLOOKUP(N378,setup!$A$8:$H$58,8))</f>
        <v>#VALUE!</v>
      </c>
    </row>
    <row r="379" spans="1:15" x14ac:dyDescent="0.25">
      <c r="A379" s="6"/>
      <c r="O379" s="7" t="str">
        <f ca="1">getCodigoBackend(N379,A379,VLOOKUP(N379,setup!$A$8:$H$58,2),VLOOKUP(N379,setup!$A$8:$H$58,3),VLOOKUP(N379,setup!$A$8:$H$58,4),VLOOKUP(N379,setup!$A$8:$H$58,5),VLOOKUP(N379,setup!$A$8:$H$58,6),VLOOKUP(N379,setup!$A$8:$H$58,7), VLOOKUP(0,setup!$A$8:$H$58,2),VLOOKUP(0,setup!$A$8:$H$58,5),VLOOKUP(N379,setup!$A$8:$H$58,8))</f>
        <v/>
      </c>
    </row>
    <row r="380" spans="1:15" x14ac:dyDescent="0.25">
      <c r="A380" s="6" t="s">
        <v>920</v>
      </c>
      <c r="N380">
        <v>30</v>
      </c>
      <c r="O380" s="7" t="e">
        <f>getCodigoBackend(N380,A380,VLOOKUP(N380,setup!$A$8:$H$58,2),VLOOKUP(N380,setup!$A$8:$H$58,3),VLOOKUP(N380,setup!$A$8:$H$58,4),VLOOKUP(N380,setup!$A$8:$H$58,5),VLOOKUP(N380,setup!$A$8:$H$58,6),VLOOKUP(N380,setup!$A$8:$H$58,7), VLOOKUP(0,setup!$A$8:$H$58,2),VLOOKUP(0,setup!$A$8:$H$58,5),VLOOKUP(N380,setup!$A$8:$H$58,8))</f>
        <v>#VALUE!</v>
      </c>
    </row>
    <row r="381" spans="1:15" x14ac:dyDescent="0.25">
      <c r="A381" s="6" t="s">
        <v>921</v>
      </c>
      <c r="N381">
        <v>30</v>
      </c>
      <c r="O381" s="7" t="e">
        <f>getCodigoBackend(N381,A381,VLOOKUP(N381,setup!$A$8:$H$58,2),VLOOKUP(N381,setup!$A$8:$H$58,3),VLOOKUP(N381,setup!$A$8:$H$58,4),VLOOKUP(N381,setup!$A$8:$H$58,5),VLOOKUP(N381,setup!$A$8:$H$58,6),VLOOKUP(N381,setup!$A$8:$H$58,7), VLOOKUP(0,setup!$A$8:$H$58,2),VLOOKUP(0,setup!$A$8:$H$58,5),VLOOKUP(N381,setup!$A$8:$H$58,8))</f>
        <v>#VALUE!</v>
      </c>
    </row>
    <row r="382" spans="1:15" x14ac:dyDescent="0.25">
      <c r="A382" s="6" t="s">
        <v>416</v>
      </c>
      <c r="N382">
        <v>30</v>
      </c>
      <c r="O382" s="7" t="e">
        <f>getCodigoBackend(N382,A382,VLOOKUP(N382,setup!$A$8:$H$58,2),VLOOKUP(N382,setup!$A$8:$H$58,3),VLOOKUP(N382,setup!$A$8:$H$58,4),VLOOKUP(N382,setup!$A$8:$H$58,5),VLOOKUP(N382,setup!$A$8:$H$58,6),VLOOKUP(N382,setup!$A$8:$H$58,7), VLOOKUP(0,setup!$A$8:$H$58,2),VLOOKUP(0,setup!$A$8:$H$58,5),VLOOKUP(N382,setup!$A$8:$H$58,8))</f>
        <v>#VALUE!</v>
      </c>
    </row>
    <row r="383" spans="1:15" x14ac:dyDescent="0.25">
      <c r="A383" s="6" t="s">
        <v>417</v>
      </c>
      <c r="N383">
        <v>30</v>
      </c>
      <c r="O383" s="7" t="e">
        <f>getCodigoBackend(N383,A383,VLOOKUP(N383,setup!$A$8:$H$58,2),VLOOKUP(N383,setup!$A$8:$H$58,3),VLOOKUP(N383,setup!$A$8:$H$58,4),VLOOKUP(N383,setup!$A$8:$H$58,5),VLOOKUP(N383,setup!$A$8:$H$58,6),VLOOKUP(N383,setup!$A$8:$H$58,7), VLOOKUP(0,setup!$A$8:$H$58,2),VLOOKUP(0,setup!$A$8:$H$58,5),VLOOKUP(N383,setup!$A$8:$H$58,8))</f>
        <v>#VALUE!</v>
      </c>
    </row>
    <row r="384" spans="1:15" x14ac:dyDescent="0.25">
      <c r="A384" s="6" t="s">
        <v>406</v>
      </c>
      <c r="N384">
        <v>30</v>
      </c>
      <c r="O384" s="7" t="e">
        <f>getCodigoBackend(N384,A384,VLOOKUP(N384,setup!$A$8:$H$58,2),VLOOKUP(N384,setup!$A$8:$H$58,3),VLOOKUP(N384,setup!$A$8:$H$58,4),VLOOKUP(N384,setup!$A$8:$H$58,5),VLOOKUP(N384,setup!$A$8:$H$58,6),VLOOKUP(N384,setup!$A$8:$H$58,7), VLOOKUP(0,setup!$A$8:$H$58,2),VLOOKUP(0,setup!$A$8:$H$58,5),VLOOKUP(N384,setup!$A$8:$H$58,8))</f>
        <v>#VALUE!</v>
      </c>
    </row>
    <row r="385" spans="1:15" x14ac:dyDescent="0.25">
      <c r="A385" s="6"/>
      <c r="O385" s="7" t="str">
        <f ca="1">getCodigoBackend(N385,A385,VLOOKUP(N385,setup!$A$8:$H$58,2),VLOOKUP(N385,setup!$A$8:$H$58,3),VLOOKUP(N385,setup!$A$8:$H$58,4),VLOOKUP(N385,setup!$A$8:$H$58,5),VLOOKUP(N385,setup!$A$8:$H$58,6),VLOOKUP(N385,setup!$A$8:$H$58,7), VLOOKUP(0,setup!$A$8:$H$58,2),VLOOKUP(0,setup!$A$8:$H$58,5),VLOOKUP(N385,setup!$A$8:$H$58,8))</f>
        <v/>
      </c>
    </row>
    <row r="386" spans="1:15" x14ac:dyDescent="0.25">
      <c r="A386" s="6" t="s">
        <v>920</v>
      </c>
      <c r="N386">
        <v>31</v>
      </c>
      <c r="O386" s="7" t="e">
        <f>getCodigoBackend(N386,A386,VLOOKUP(N386,setup!$A$8:$H$58,2),VLOOKUP(N386,setup!$A$8:$H$58,3),VLOOKUP(N386,setup!$A$8:$H$58,4),VLOOKUP(N386,setup!$A$8:$H$58,5),VLOOKUP(N386,setup!$A$8:$H$58,6),VLOOKUP(N386,setup!$A$8:$H$58,7), VLOOKUP(0,setup!$A$8:$H$58,2),VLOOKUP(0,setup!$A$8:$H$58,5),VLOOKUP(N386,setup!$A$8:$H$58,8))</f>
        <v>#VALUE!</v>
      </c>
    </row>
    <row r="387" spans="1:15" x14ac:dyDescent="0.25">
      <c r="A387" s="6" t="s">
        <v>921</v>
      </c>
      <c r="N387">
        <v>31</v>
      </c>
      <c r="O387" s="7" t="e">
        <f>getCodigoBackend(N387,A387,VLOOKUP(N387,setup!$A$8:$H$58,2),VLOOKUP(N387,setup!$A$8:$H$58,3),VLOOKUP(N387,setup!$A$8:$H$58,4),VLOOKUP(N387,setup!$A$8:$H$58,5),VLOOKUP(N387,setup!$A$8:$H$58,6),VLOOKUP(N387,setup!$A$8:$H$58,7), VLOOKUP(0,setup!$A$8:$H$58,2),VLOOKUP(0,setup!$A$8:$H$58,5),VLOOKUP(N387,setup!$A$8:$H$58,8))</f>
        <v>#VALUE!</v>
      </c>
    </row>
    <row r="388" spans="1:15" x14ac:dyDescent="0.25">
      <c r="A388" s="6" t="s">
        <v>416</v>
      </c>
      <c r="N388">
        <v>31</v>
      </c>
      <c r="O388" s="7" t="e">
        <f>getCodigoBackend(N388,A388,VLOOKUP(N388,setup!$A$8:$H$58,2),VLOOKUP(N388,setup!$A$8:$H$58,3),VLOOKUP(N388,setup!$A$8:$H$58,4),VLOOKUP(N388,setup!$A$8:$H$58,5),VLOOKUP(N388,setup!$A$8:$H$58,6),VLOOKUP(N388,setup!$A$8:$H$58,7), VLOOKUP(0,setup!$A$8:$H$58,2),VLOOKUP(0,setup!$A$8:$H$58,5),VLOOKUP(N388,setup!$A$8:$H$58,8))</f>
        <v>#VALUE!</v>
      </c>
    </row>
    <row r="389" spans="1:15" x14ac:dyDescent="0.25">
      <c r="A389" s="6" t="s">
        <v>417</v>
      </c>
      <c r="N389">
        <v>31</v>
      </c>
      <c r="O389" s="7" t="e">
        <f>getCodigoBackend(N389,A389,VLOOKUP(N389,setup!$A$8:$H$58,2),VLOOKUP(N389,setup!$A$8:$H$58,3),VLOOKUP(N389,setup!$A$8:$H$58,4),VLOOKUP(N389,setup!$A$8:$H$58,5),VLOOKUP(N389,setup!$A$8:$H$58,6),VLOOKUP(N389,setup!$A$8:$H$58,7), VLOOKUP(0,setup!$A$8:$H$58,2),VLOOKUP(0,setup!$A$8:$H$58,5),VLOOKUP(N389,setup!$A$8:$H$58,8))</f>
        <v>#VALUE!</v>
      </c>
    </row>
    <row r="390" spans="1:15" x14ac:dyDescent="0.25">
      <c r="A390" s="6" t="s">
        <v>406</v>
      </c>
      <c r="N390">
        <v>31</v>
      </c>
      <c r="O390" s="7" t="e">
        <f>getCodigoBackend(N390,A390,VLOOKUP(N390,setup!$A$8:$H$58,2),VLOOKUP(N390,setup!$A$8:$H$58,3),VLOOKUP(N390,setup!$A$8:$H$58,4),VLOOKUP(N390,setup!$A$8:$H$58,5),VLOOKUP(N390,setup!$A$8:$H$58,6),VLOOKUP(N390,setup!$A$8:$H$58,7), VLOOKUP(0,setup!$A$8:$H$58,2),VLOOKUP(0,setup!$A$8:$H$58,5),VLOOKUP(N390,setup!$A$8:$H$58,8))</f>
        <v>#VALUE!</v>
      </c>
    </row>
    <row r="391" spans="1:15" x14ac:dyDescent="0.25">
      <c r="A391" s="6"/>
      <c r="O391" s="7" t="str">
        <f ca="1">getCodigoBackend(N391,A391,VLOOKUP(N391,setup!$A$8:$H$58,2),VLOOKUP(N391,setup!$A$8:$H$58,3),VLOOKUP(N391,setup!$A$8:$H$58,4),VLOOKUP(N391,setup!$A$8:$H$58,5),VLOOKUP(N391,setup!$A$8:$H$58,6),VLOOKUP(N391,setup!$A$8:$H$58,7), VLOOKUP(0,setup!$A$8:$H$58,2),VLOOKUP(0,setup!$A$8:$H$58,5),VLOOKUP(N391,setup!$A$8:$H$58,8))</f>
        <v/>
      </c>
    </row>
    <row r="392" spans="1:15" x14ac:dyDescent="0.25">
      <c r="A392" s="6" t="s">
        <v>920</v>
      </c>
      <c r="N392">
        <v>32</v>
      </c>
      <c r="O392" s="7" t="e">
        <f>getCodigoBackend(N392,A392,VLOOKUP(N392,setup!$A$8:$H$58,2),VLOOKUP(N392,setup!$A$8:$H$58,3),VLOOKUP(N392,setup!$A$8:$H$58,4),VLOOKUP(N392,setup!$A$8:$H$58,5),VLOOKUP(N392,setup!$A$8:$H$58,6),VLOOKUP(N392,setup!$A$8:$H$58,7), VLOOKUP(0,setup!$A$8:$H$58,2),VLOOKUP(0,setup!$A$8:$H$58,5),VLOOKUP(N392,setup!$A$8:$H$58,8))</f>
        <v>#VALUE!</v>
      </c>
    </row>
    <row r="393" spans="1:15" x14ac:dyDescent="0.25">
      <c r="A393" s="6" t="s">
        <v>921</v>
      </c>
      <c r="N393">
        <v>32</v>
      </c>
      <c r="O393" s="7" t="e">
        <f>getCodigoBackend(N393,A393,VLOOKUP(N393,setup!$A$8:$H$58,2),VLOOKUP(N393,setup!$A$8:$H$58,3),VLOOKUP(N393,setup!$A$8:$H$58,4),VLOOKUP(N393,setup!$A$8:$H$58,5),VLOOKUP(N393,setup!$A$8:$H$58,6),VLOOKUP(N393,setup!$A$8:$H$58,7), VLOOKUP(0,setup!$A$8:$H$58,2),VLOOKUP(0,setup!$A$8:$H$58,5),VLOOKUP(N393,setup!$A$8:$H$58,8))</f>
        <v>#VALUE!</v>
      </c>
    </row>
    <row r="394" spans="1:15" x14ac:dyDescent="0.25">
      <c r="A394" s="6" t="s">
        <v>416</v>
      </c>
      <c r="N394">
        <v>32</v>
      </c>
      <c r="O394" s="7" t="e">
        <f>getCodigoBackend(N394,A394,VLOOKUP(N394,setup!$A$8:$H$58,2),VLOOKUP(N394,setup!$A$8:$H$58,3),VLOOKUP(N394,setup!$A$8:$H$58,4),VLOOKUP(N394,setup!$A$8:$H$58,5),VLOOKUP(N394,setup!$A$8:$H$58,6),VLOOKUP(N394,setup!$A$8:$H$58,7), VLOOKUP(0,setup!$A$8:$H$58,2),VLOOKUP(0,setup!$A$8:$H$58,5),VLOOKUP(N394,setup!$A$8:$H$58,8))</f>
        <v>#VALUE!</v>
      </c>
    </row>
    <row r="395" spans="1:15" x14ac:dyDescent="0.25">
      <c r="A395" s="6" t="s">
        <v>417</v>
      </c>
      <c r="N395">
        <v>32</v>
      </c>
      <c r="O395" s="7" t="e">
        <f>getCodigoBackend(N395,A395,VLOOKUP(N395,setup!$A$8:$H$58,2),VLOOKUP(N395,setup!$A$8:$H$58,3),VLOOKUP(N395,setup!$A$8:$H$58,4),VLOOKUP(N395,setup!$A$8:$H$58,5),VLOOKUP(N395,setup!$A$8:$H$58,6),VLOOKUP(N395,setup!$A$8:$H$58,7), VLOOKUP(0,setup!$A$8:$H$58,2),VLOOKUP(0,setup!$A$8:$H$58,5),VLOOKUP(N395,setup!$A$8:$H$58,8))</f>
        <v>#VALUE!</v>
      </c>
    </row>
    <row r="396" spans="1:15" x14ac:dyDescent="0.25">
      <c r="A396" s="6" t="s">
        <v>406</v>
      </c>
      <c r="N396">
        <v>32</v>
      </c>
      <c r="O396" s="7" t="e">
        <f>getCodigoBackend(N396,A396,VLOOKUP(N396,setup!$A$8:$H$58,2),VLOOKUP(N396,setup!$A$8:$H$58,3),VLOOKUP(N396,setup!$A$8:$H$58,4),VLOOKUP(N396,setup!$A$8:$H$58,5),VLOOKUP(N396,setup!$A$8:$H$58,6),VLOOKUP(N396,setup!$A$8:$H$58,7), VLOOKUP(0,setup!$A$8:$H$58,2),VLOOKUP(0,setup!$A$8:$H$58,5),VLOOKUP(N396,setup!$A$8:$H$58,8))</f>
        <v>#VALUE!</v>
      </c>
    </row>
    <row r="397" spans="1:15" x14ac:dyDescent="0.25">
      <c r="A397" s="6"/>
      <c r="O397" s="7" t="str">
        <f ca="1">getCodigoBackend(N397,A397,VLOOKUP(N397,setup!$A$8:$H$58,2),VLOOKUP(N397,setup!$A$8:$H$58,3),VLOOKUP(N397,setup!$A$8:$H$58,4),VLOOKUP(N397,setup!$A$8:$H$58,5),VLOOKUP(N397,setup!$A$8:$H$58,6),VLOOKUP(N397,setup!$A$8:$H$58,7), VLOOKUP(0,setup!$A$8:$H$58,2),VLOOKUP(0,setup!$A$8:$H$58,5),VLOOKUP(N397,setup!$A$8:$H$58,8))</f>
        <v/>
      </c>
    </row>
    <row r="398" spans="1:15" x14ac:dyDescent="0.25">
      <c r="A398" s="6" t="s">
        <v>920</v>
      </c>
      <c r="N398">
        <v>33</v>
      </c>
      <c r="O398" s="7" t="e">
        <f>getCodigoBackend(N398,A398,VLOOKUP(N398,setup!$A$8:$H$58,2),VLOOKUP(N398,setup!$A$8:$H$58,3),VLOOKUP(N398,setup!$A$8:$H$58,4),VLOOKUP(N398,setup!$A$8:$H$58,5),VLOOKUP(N398,setup!$A$8:$H$58,6),VLOOKUP(N398,setup!$A$8:$H$58,7), VLOOKUP(0,setup!$A$8:$H$58,2),VLOOKUP(0,setup!$A$8:$H$58,5),VLOOKUP(N398,setup!$A$8:$H$58,8))</f>
        <v>#VALUE!</v>
      </c>
    </row>
    <row r="399" spans="1:15" x14ac:dyDescent="0.25">
      <c r="A399" s="6" t="s">
        <v>921</v>
      </c>
      <c r="N399">
        <v>33</v>
      </c>
      <c r="O399" s="7" t="e">
        <f>getCodigoBackend(N399,A399,VLOOKUP(N399,setup!$A$8:$H$58,2),VLOOKUP(N399,setup!$A$8:$H$58,3),VLOOKUP(N399,setup!$A$8:$H$58,4),VLOOKUP(N399,setup!$A$8:$H$58,5),VLOOKUP(N399,setup!$A$8:$H$58,6),VLOOKUP(N399,setup!$A$8:$H$58,7), VLOOKUP(0,setup!$A$8:$H$58,2),VLOOKUP(0,setup!$A$8:$H$58,5),VLOOKUP(N399,setup!$A$8:$H$58,8))</f>
        <v>#VALUE!</v>
      </c>
    </row>
    <row r="400" spans="1:15" x14ac:dyDescent="0.25">
      <c r="A400" s="6" t="s">
        <v>416</v>
      </c>
      <c r="N400">
        <v>33</v>
      </c>
      <c r="O400" s="7" t="e">
        <f>getCodigoBackend(N400,A400,VLOOKUP(N400,setup!$A$8:$H$58,2),VLOOKUP(N400,setup!$A$8:$H$58,3),VLOOKUP(N400,setup!$A$8:$H$58,4),VLOOKUP(N400,setup!$A$8:$H$58,5),VLOOKUP(N400,setup!$A$8:$H$58,6),VLOOKUP(N400,setup!$A$8:$H$58,7), VLOOKUP(0,setup!$A$8:$H$58,2),VLOOKUP(0,setup!$A$8:$H$58,5),VLOOKUP(N400,setup!$A$8:$H$58,8))</f>
        <v>#VALUE!</v>
      </c>
    </row>
    <row r="401" spans="1:15" x14ac:dyDescent="0.25">
      <c r="A401" s="6" t="s">
        <v>417</v>
      </c>
      <c r="N401">
        <v>33</v>
      </c>
      <c r="O401" s="7" t="e">
        <f>getCodigoBackend(N401,A401,VLOOKUP(N401,setup!$A$8:$H$58,2),VLOOKUP(N401,setup!$A$8:$H$58,3),VLOOKUP(N401,setup!$A$8:$H$58,4),VLOOKUP(N401,setup!$A$8:$H$58,5),VLOOKUP(N401,setup!$A$8:$H$58,6),VLOOKUP(N401,setup!$A$8:$H$58,7), VLOOKUP(0,setup!$A$8:$H$58,2),VLOOKUP(0,setup!$A$8:$H$58,5),VLOOKUP(N401,setup!$A$8:$H$58,8))</f>
        <v>#VALUE!</v>
      </c>
    </row>
    <row r="402" spans="1:15" x14ac:dyDescent="0.25">
      <c r="A402" s="6" t="s">
        <v>406</v>
      </c>
      <c r="N402">
        <v>33</v>
      </c>
      <c r="O402" s="7" t="e">
        <f>getCodigoBackend(N402,A402,VLOOKUP(N402,setup!$A$8:$H$58,2),VLOOKUP(N402,setup!$A$8:$H$58,3),VLOOKUP(N402,setup!$A$8:$H$58,4),VLOOKUP(N402,setup!$A$8:$H$58,5),VLOOKUP(N402,setup!$A$8:$H$58,6),VLOOKUP(N402,setup!$A$8:$H$58,7), VLOOKUP(0,setup!$A$8:$H$58,2),VLOOKUP(0,setup!$A$8:$H$58,5),VLOOKUP(N402,setup!$A$8:$H$58,8))</f>
        <v>#VALUE!</v>
      </c>
    </row>
    <row r="403" spans="1:15" x14ac:dyDescent="0.25">
      <c r="A403" s="6"/>
      <c r="O403" s="7" t="str">
        <f ca="1">getCodigoBackend(N403,A403,VLOOKUP(N403,setup!$A$8:$H$58,2),VLOOKUP(N403,setup!$A$8:$H$58,3),VLOOKUP(N403,setup!$A$8:$H$58,4),VLOOKUP(N403,setup!$A$8:$H$58,5),VLOOKUP(N403,setup!$A$8:$H$58,6),VLOOKUP(N403,setup!$A$8:$H$58,7), VLOOKUP(0,setup!$A$8:$H$58,2),VLOOKUP(0,setup!$A$8:$H$58,5),VLOOKUP(N403,setup!$A$8:$H$58,8))</f>
        <v/>
      </c>
    </row>
    <row r="404" spans="1:15" x14ac:dyDescent="0.25">
      <c r="A404" s="6" t="s">
        <v>920</v>
      </c>
      <c r="N404">
        <v>34</v>
      </c>
      <c r="O404" s="7" t="e">
        <f>getCodigoBackend(N404,A404,VLOOKUP(N404,setup!$A$8:$H$58,2),VLOOKUP(N404,setup!$A$8:$H$58,3),VLOOKUP(N404,setup!$A$8:$H$58,4),VLOOKUP(N404,setup!$A$8:$H$58,5),VLOOKUP(N404,setup!$A$8:$H$58,6),VLOOKUP(N404,setup!$A$8:$H$58,7), VLOOKUP(0,setup!$A$8:$H$58,2),VLOOKUP(0,setup!$A$8:$H$58,5),VLOOKUP(N404,setup!$A$8:$H$58,8))</f>
        <v>#VALUE!</v>
      </c>
    </row>
    <row r="405" spans="1:15" x14ac:dyDescent="0.25">
      <c r="A405" s="6" t="s">
        <v>921</v>
      </c>
      <c r="N405">
        <v>34</v>
      </c>
      <c r="O405" s="7" t="e">
        <f>getCodigoBackend(N405,A405,VLOOKUP(N405,setup!$A$8:$H$58,2),VLOOKUP(N405,setup!$A$8:$H$58,3),VLOOKUP(N405,setup!$A$8:$H$58,4),VLOOKUP(N405,setup!$A$8:$H$58,5),VLOOKUP(N405,setup!$A$8:$H$58,6),VLOOKUP(N405,setup!$A$8:$H$58,7), VLOOKUP(0,setup!$A$8:$H$58,2),VLOOKUP(0,setup!$A$8:$H$58,5),VLOOKUP(N405,setup!$A$8:$H$58,8))</f>
        <v>#VALUE!</v>
      </c>
    </row>
    <row r="406" spans="1:15" x14ac:dyDescent="0.25">
      <c r="A406" s="6" t="s">
        <v>416</v>
      </c>
      <c r="N406">
        <v>34</v>
      </c>
      <c r="O406" s="7" t="e">
        <f>getCodigoBackend(N406,A406,VLOOKUP(N406,setup!$A$8:$H$58,2),VLOOKUP(N406,setup!$A$8:$H$58,3),VLOOKUP(N406,setup!$A$8:$H$58,4),VLOOKUP(N406,setup!$A$8:$H$58,5),VLOOKUP(N406,setup!$A$8:$H$58,6),VLOOKUP(N406,setup!$A$8:$H$58,7), VLOOKUP(0,setup!$A$8:$H$58,2),VLOOKUP(0,setup!$A$8:$H$58,5),VLOOKUP(N406,setup!$A$8:$H$58,8))</f>
        <v>#VALUE!</v>
      </c>
    </row>
    <row r="407" spans="1:15" x14ac:dyDescent="0.25">
      <c r="A407" s="6" t="s">
        <v>417</v>
      </c>
      <c r="N407">
        <v>34</v>
      </c>
      <c r="O407" s="7" t="e">
        <f>getCodigoBackend(N407,A407,VLOOKUP(N407,setup!$A$8:$H$58,2),VLOOKUP(N407,setup!$A$8:$H$58,3),VLOOKUP(N407,setup!$A$8:$H$58,4),VLOOKUP(N407,setup!$A$8:$H$58,5),VLOOKUP(N407,setup!$A$8:$H$58,6),VLOOKUP(N407,setup!$A$8:$H$58,7), VLOOKUP(0,setup!$A$8:$H$58,2),VLOOKUP(0,setup!$A$8:$H$58,5),VLOOKUP(N407,setup!$A$8:$H$58,8))</f>
        <v>#VALUE!</v>
      </c>
    </row>
    <row r="408" spans="1:15" x14ac:dyDescent="0.25">
      <c r="A408" s="6" t="s">
        <v>406</v>
      </c>
      <c r="N408">
        <v>34</v>
      </c>
      <c r="O408" s="7" t="e">
        <f>getCodigoBackend(N408,A408,VLOOKUP(N408,setup!$A$8:$H$58,2),VLOOKUP(N408,setup!$A$8:$H$58,3),VLOOKUP(N408,setup!$A$8:$H$58,4),VLOOKUP(N408,setup!$A$8:$H$58,5),VLOOKUP(N408,setup!$A$8:$H$58,6),VLOOKUP(N408,setup!$A$8:$H$58,7), VLOOKUP(0,setup!$A$8:$H$58,2),VLOOKUP(0,setup!$A$8:$H$58,5),VLOOKUP(N408,setup!$A$8:$H$58,8))</f>
        <v>#VALUE!</v>
      </c>
    </row>
    <row r="409" spans="1:15" x14ac:dyDescent="0.25">
      <c r="A409" s="6"/>
      <c r="O409" s="7" t="str">
        <f ca="1">getCodigoBackend(N409,A409,VLOOKUP(N409,setup!$A$8:$H$58,2),VLOOKUP(N409,setup!$A$8:$H$58,3),VLOOKUP(N409,setup!$A$8:$H$58,4),VLOOKUP(N409,setup!$A$8:$H$58,5),VLOOKUP(N409,setup!$A$8:$H$58,6),VLOOKUP(N409,setup!$A$8:$H$58,7), VLOOKUP(0,setup!$A$8:$H$58,2),VLOOKUP(0,setup!$A$8:$H$58,5),VLOOKUP(N409,setup!$A$8:$H$58,8))</f>
        <v/>
      </c>
    </row>
    <row r="410" spans="1:15" x14ac:dyDescent="0.25">
      <c r="A410" s="6" t="s">
        <v>920</v>
      </c>
      <c r="N410">
        <v>35</v>
      </c>
      <c r="O410" s="7" t="e">
        <f>getCodigoBackend(N410,A410,VLOOKUP(N410,setup!$A$8:$H$58,2),VLOOKUP(N410,setup!$A$8:$H$58,3),VLOOKUP(N410,setup!$A$8:$H$58,4),VLOOKUP(N410,setup!$A$8:$H$58,5),VLOOKUP(N410,setup!$A$8:$H$58,6),VLOOKUP(N410,setup!$A$8:$H$58,7), VLOOKUP(0,setup!$A$8:$H$58,2),VLOOKUP(0,setup!$A$8:$H$58,5),VLOOKUP(N410,setup!$A$8:$H$58,8))</f>
        <v>#VALUE!</v>
      </c>
    </row>
    <row r="411" spans="1:15" x14ac:dyDescent="0.25">
      <c r="A411" s="6" t="s">
        <v>921</v>
      </c>
      <c r="N411">
        <v>35</v>
      </c>
      <c r="O411" s="7" t="e">
        <f>getCodigoBackend(N411,A411,VLOOKUP(N411,setup!$A$8:$H$58,2),VLOOKUP(N411,setup!$A$8:$H$58,3),VLOOKUP(N411,setup!$A$8:$H$58,4),VLOOKUP(N411,setup!$A$8:$H$58,5),VLOOKUP(N411,setup!$A$8:$H$58,6),VLOOKUP(N411,setup!$A$8:$H$58,7), VLOOKUP(0,setup!$A$8:$H$58,2),VLOOKUP(0,setup!$A$8:$H$58,5),VLOOKUP(N411,setup!$A$8:$H$58,8))</f>
        <v>#VALUE!</v>
      </c>
    </row>
    <row r="412" spans="1:15" x14ac:dyDescent="0.25">
      <c r="A412" s="6" t="s">
        <v>416</v>
      </c>
      <c r="N412">
        <v>35</v>
      </c>
      <c r="O412" s="7" t="e">
        <f>getCodigoBackend(N412,A412,VLOOKUP(N412,setup!$A$8:$H$58,2),VLOOKUP(N412,setup!$A$8:$H$58,3),VLOOKUP(N412,setup!$A$8:$H$58,4),VLOOKUP(N412,setup!$A$8:$H$58,5),VLOOKUP(N412,setup!$A$8:$H$58,6),VLOOKUP(N412,setup!$A$8:$H$58,7), VLOOKUP(0,setup!$A$8:$H$58,2),VLOOKUP(0,setup!$A$8:$H$58,5),VLOOKUP(N412,setup!$A$8:$H$58,8))</f>
        <v>#VALUE!</v>
      </c>
    </row>
    <row r="413" spans="1:15" x14ac:dyDescent="0.25">
      <c r="A413" s="6" t="s">
        <v>417</v>
      </c>
      <c r="N413">
        <v>35</v>
      </c>
      <c r="O413" s="7" t="e">
        <f>getCodigoBackend(N413,A413,VLOOKUP(N413,setup!$A$8:$H$58,2),VLOOKUP(N413,setup!$A$8:$H$58,3),VLOOKUP(N413,setup!$A$8:$H$58,4),VLOOKUP(N413,setup!$A$8:$H$58,5),VLOOKUP(N413,setup!$A$8:$H$58,6),VLOOKUP(N413,setup!$A$8:$H$58,7), VLOOKUP(0,setup!$A$8:$H$58,2),VLOOKUP(0,setup!$A$8:$H$58,5),VLOOKUP(N413,setup!$A$8:$H$58,8))</f>
        <v>#VALUE!</v>
      </c>
    </row>
    <row r="414" spans="1:15" x14ac:dyDescent="0.25">
      <c r="A414" s="6" t="s">
        <v>406</v>
      </c>
      <c r="N414">
        <v>35</v>
      </c>
      <c r="O414" s="7" t="e">
        <f>getCodigoBackend(N414,A414,VLOOKUP(N414,setup!$A$8:$H$58,2),VLOOKUP(N414,setup!$A$8:$H$58,3),VLOOKUP(N414,setup!$A$8:$H$58,4),VLOOKUP(N414,setup!$A$8:$H$58,5),VLOOKUP(N414,setup!$A$8:$H$58,6),VLOOKUP(N414,setup!$A$8:$H$58,7), VLOOKUP(0,setup!$A$8:$H$58,2),VLOOKUP(0,setup!$A$8:$H$58,5),VLOOKUP(N414,setup!$A$8:$H$58,8))</f>
        <v>#VALUE!</v>
      </c>
    </row>
    <row r="415" spans="1:15" x14ac:dyDescent="0.25">
      <c r="A415" s="6"/>
      <c r="O415" s="7" t="str">
        <f ca="1">getCodigoBackend(N415,A415,VLOOKUP(N415,setup!$A$8:$H$58,2),VLOOKUP(N415,setup!$A$8:$H$58,3),VLOOKUP(N415,setup!$A$8:$H$58,4),VLOOKUP(N415,setup!$A$8:$H$58,5),VLOOKUP(N415,setup!$A$8:$H$58,6),VLOOKUP(N415,setup!$A$8:$H$58,7), VLOOKUP(0,setup!$A$8:$H$58,2),VLOOKUP(0,setup!$A$8:$H$58,5),VLOOKUP(N415,setup!$A$8:$H$58,8))</f>
        <v/>
      </c>
    </row>
    <row r="416" spans="1:15" x14ac:dyDescent="0.25">
      <c r="A416" s="6" t="s">
        <v>920</v>
      </c>
      <c r="N416">
        <v>36</v>
      </c>
      <c r="O416" s="7" t="e">
        <f>getCodigoBackend(N416,A416,VLOOKUP(N416,setup!$A$8:$H$58,2),VLOOKUP(N416,setup!$A$8:$H$58,3),VLOOKUP(N416,setup!$A$8:$H$58,4),VLOOKUP(N416,setup!$A$8:$H$58,5),VLOOKUP(N416,setup!$A$8:$H$58,6),VLOOKUP(N416,setup!$A$8:$H$58,7), VLOOKUP(0,setup!$A$8:$H$58,2),VLOOKUP(0,setup!$A$8:$H$58,5),VLOOKUP(N416,setup!$A$8:$H$58,8))</f>
        <v>#VALUE!</v>
      </c>
    </row>
    <row r="417" spans="1:15" x14ac:dyDescent="0.25">
      <c r="A417" s="6" t="s">
        <v>921</v>
      </c>
      <c r="N417">
        <v>36</v>
      </c>
      <c r="O417" s="7" t="e">
        <f>getCodigoBackend(N417,A417,VLOOKUP(N417,setup!$A$8:$H$58,2),VLOOKUP(N417,setup!$A$8:$H$58,3),VLOOKUP(N417,setup!$A$8:$H$58,4),VLOOKUP(N417,setup!$A$8:$H$58,5),VLOOKUP(N417,setup!$A$8:$H$58,6),VLOOKUP(N417,setup!$A$8:$H$58,7), VLOOKUP(0,setup!$A$8:$H$58,2),VLOOKUP(0,setup!$A$8:$H$58,5),VLOOKUP(N417,setup!$A$8:$H$58,8))</f>
        <v>#VALUE!</v>
      </c>
    </row>
    <row r="418" spans="1:15" x14ac:dyDescent="0.25">
      <c r="A418" s="6" t="s">
        <v>416</v>
      </c>
      <c r="N418">
        <v>36</v>
      </c>
      <c r="O418" s="7" t="e">
        <f>getCodigoBackend(N418,A418,VLOOKUP(N418,setup!$A$8:$H$58,2),VLOOKUP(N418,setup!$A$8:$H$58,3),VLOOKUP(N418,setup!$A$8:$H$58,4),VLOOKUP(N418,setup!$A$8:$H$58,5),VLOOKUP(N418,setup!$A$8:$H$58,6),VLOOKUP(N418,setup!$A$8:$H$58,7), VLOOKUP(0,setup!$A$8:$H$58,2),VLOOKUP(0,setup!$A$8:$H$58,5),VLOOKUP(N418,setup!$A$8:$H$58,8))</f>
        <v>#VALUE!</v>
      </c>
    </row>
    <row r="419" spans="1:15" x14ac:dyDescent="0.25">
      <c r="A419" s="6" t="s">
        <v>417</v>
      </c>
      <c r="N419">
        <v>36</v>
      </c>
      <c r="O419" s="7" t="e">
        <f>getCodigoBackend(N419,A419,VLOOKUP(N419,setup!$A$8:$H$58,2),VLOOKUP(N419,setup!$A$8:$H$58,3),VLOOKUP(N419,setup!$A$8:$H$58,4),VLOOKUP(N419,setup!$A$8:$H$58,5),VLOOKUP(N419,setup!$A$8:$H$58,6),VLOOKUP(N419,setup!$A$8:$H$58,7), VLOOKUP(0,setup!$A$8:$H$58,2),VLOOKUP(0,setup!$A$8:$H$58,5),VLOOKUP(N419,setup!$A$8:$H$58,8))</f>
        <v>#VALUE!</v>
      </c>
    </row>
    <row r="420" spans="1:15" x14ac:dyDescent="0.25">
      <c r="A420" s="6" t="s">
        <v>406</v>
      </c>
      <c r="N420">
        <v>36</v>
      </c>
      <c r="O420" s="7" t="e">
        <f>getCodigoBackend(N420,A420,VLOOKUP(N420,setup!$A$8:$H$58,2),VLOOKUP(N420,setup!$A$8:$H$58,3),VLOOKUP(N420,setup!$A$8:$H$58,4),VLOOKUP(N420,setup!$A$8:$H$58,5),VLOOKUP(N420,setup!$A$8:$H$58,6),VLOOKUP(N420,setup!$A$8:$H$58,7), VLOOKUP(0,setup!$A$8:$H$58,2),VLOOKUP(0,setup!$A$8:$H$58,5),VLOOKUP(N420,setup!$A$8:$H$58,8))</f>
        <v>#VALUE!</v>
      </c>
    </row>
    <row r="421" spans="1:15" x14ac:dyDescent="0.25">
      <c r="A421" s="6"/>
      <c r="O421" s="7" t="str">
        <f ca="1">getCodigoBackend(N421,A421,VLOOKUP(N421,setup!$A$8:$H$58,2),VLOOKUP(N421,setup!$A$8:$H$58,3),VLOOKUP(N421,setup!$A$8:$H$58,4),VLOOKUP(N421,setup!$A$8:$H$58,5),VLOOKUP(N421,setup!$A$8:$H$58,6),VLOOKUP(N421,setup!$A$8:$H$58,7), VLOOKUP(0,setup!$A$8:$H$58,2),VLOOKUP(0,setup!$A$8:$H$58,5),VLOOKUP(N421,setup!$A$8:$H$58,8))</f>
        <v/>
      </c>
    </row>
    <row r="422" spans="1:15" x14ac:dyDescent="0.25">
      <c r="A422" s="6" t="s">
        <v>920</v>
      </c>
      <c r="N422">
        <v>37</v>
      </c>
      <c r="O422" s="7" t="e">
        <f>getCodigoBackend(N422,A422,VLOOKUP(N422,setup!$A$8:$H$58,2),VLOOKUP(N422,setup!$A$8:$H$58,3),VLOOKUP(N422,setup!$A$8:$H$58,4),VLOOKUP(N422,setup!$A$8:$H$58,5),VLOOKUP(N422,setup!$A$8:$H$58,6),VLOOKUP(N422,setup!$A$8:$H$58,7), VLOOKUP(0,setup!$A$8:$H$58,2),VLOOKUP(0,setup!$A$8:$H$58,5),VLOOKUP(N422,setup!$A$8:$H$58,8))</f>
        <v>#VALUE!</v>
      </c>
    </row>
    <row r="423" spans="1:15" x14ac:dyDescent="0.25">
      <c r="A423" s="6" t="s">
        <v>921</v>
      </c>
      <c r="N423">
        <v>37</v>
      </c>
      <c r="O423" s="7" t="e">
        <f>getCodigoBackend(N423,A423,VLOOKUP(N423,setup!$A$8:$H$58,2),VLOOKUP(N423,setup!$A$8:$H$58,3),VLOOKUP(N423,setup!$A$8:$H$58,4),VLOOKUP(N423,setup!$A$8:$H$58,5),VLOOKUP(N423,setup!$A$8:$H$58,6),VLOOKUP(N423,setup!$A$8:$H$58,7), VLOOKUP(0,setup!$A$8:$H$58,2),VLOOKUP(0,setup!$A$8:$H$58,5),VLOOKUP(N423,setup!$A$8:$H$58,8))</f>
        <v>#VALUE!</v>
      </c>
    </row>
    <row r="424" spans="1:15" x14ac:dyDescent="0.25">
      <c r="A424" s="6" t="s">
        <v>416</v>
      </c>
      <c r="N424">
        <v>37</v>
      </c>
      <c r="O424" s="7" t="e">
        <f>getCodigoBackend(N424,A424,VLOOKUP(N424,setup!$A$8:$H$58,2),VLOOKUP(N424,setup!$A$8:$H$58,3),VLOOKUP(N424,setup!$A$8:$H$58,4),VLOOKUP(N424,setup!$A$8:$H$58,5),VLOOKUP(N424,setup!$A$8:$H$58,6),VLOOKUP(N424,setup!$A$8:$H$58,7), VLOOKUP(0,setup!$A$8:$H$58,2),VLOOKUP(0,setup!$A$8:$H$58,5),VLOOKUP(N424,setup!$A$8:$H$58,8))</f>
        <v>#VALUE!</v>
      </c>
    </row>
    <row r="425" spans="1:15" x14ac:dyDescent="0.25">
      <c r="A425" s="6" t="s">
        <v>417</v>
      </c>
      <c r="N425">
        <v>37</v>
      </c>
      <c r="O425" s="7" t="e">
        <f>getCodigoBackend(N425,A425,VLOOKUP(N425,setup!$A$8:$H$58,2),VLOOKUP(N425,setup!$A$8:$H$58,3),VLOOKUP(N425,setup!$A$8:$H$58,4),VLOOKUP(N425,setup!$A$8:$H$58,5),VLOOKUP(N425,setup!$A$8:$H$58,6),VLOOKUP(N425,setup!$A$8:$H$58,7), VLOOKUP(0,setup!$A$8:$H$58,2),VLOOKUP(0,setup!$A$8:$H$58,5),VLOOKUP(N425,setup!$A$8:$H$58,8))</f>
        <v>#VALUE!</v>
      </c>
    </row>
    <row r="426" spans="1:15" x14ac:dyDescent="0.25">
      <c r="A426" s="6" t="s">
        <v>406</v>
      </c>
      <c r="N426">
        <v>37</v>
      </c>
      <c r="O426" s="7" t="e">
        <f>getCodigoBackend(N426,A426,VLOOKUP(N426,setup!$A$8:$H$58,2),VLOOKUP(N426,setup!$A$8:$H$58,3),VLOOKUP(N426,setup!$A$8:$H$58,4),VLOOKUP(N426,setup!$A$8:$H$58,5),VLOOKUP(N426,setup!$A$8:$H$58,6),VLOOKUP(N426,setup!$A$8:$H$58,7), VLOOKUP(0,setup!$A$8:$H$58,2),VLOOKUP(0,setup!$A$8:$H$58,5),VLOOKUP(N426,setup!$A$8:$H$58,8))</f>
        <v>#VALUE!</v>
      </c>
    </row>
    <row r="427" spans="1:15" x14ac:dyDescent="0.25">
      <c r="A427" s="6"/>
      <c r="O427" s="7" t="str">
        <f ca="1">getCodigoBackend(N427,A427,VLOOKUP(N427,setup!$A$8:$H$58,2),VLOOKUP(N427,setup!$A$8:$H$58,3),VLOOKUP(N427,setup!$A$8:$H$58,4),VLOOKUP(N427,setup!$A$8:$H$58,5),VLOOKUP(N427,setup!$A$8:$H$58,6),VLOOKUP(N427,setup!$A$8:$H$58,7), VLOOKUP(0,setup!$A$8:$H$58,2),VLOOKUP(0,setup!$A$8:$H$58,5),VLOOKUP(N427,setup!$A$8:$H$58,8))</f>
        <v/>
      </c>
    </row>
    <row r="428" spans="1:15" x14ac:dyDescent="0.25">
      <c r="A428" s="6" t="s">
        <v>920</v>
      </c>
      <c r="N428">
        <v>38</v>
      </c>
      <c r="O428" s="7" t="e">
        <f>getCodigoBackend(N428,A428,VLOOKUP(N428,setup!$A$8:$H$58,2),VLOOKUP(N428,setup!$A$8:$H$58,3),VLOOKUP(N428,setup!$A$8:$H$58,4),VLOOKUP(N428,setup!$A$8:$H$58,5),VLOOKUP(N428,setup!$A$8:$H$58,6),VLOOKUP(N428,setup!$A$8:$H$58,7), VLOOKUP(0,setup!$A$8:$H$58,2),VLOOKUP(0,setup!$A$8:$H$58,5),VLOOKUP(N428,setup!$A$8:$H$58,8))</f>
        <v>#VALUE!</v>
      </c>
    </row>
    <row r="429" spans="1:15" x14ac:dyDescent="0.25">
      <c r="A429" s="6" t="s">
        <v>921</v>
      </c>
      <c r="N429">
        <v>38</v>
      </c>
      <c r="O429" s="7" t="e">
        <f>getCodigoBackend(N429,A429,VLOOKUP(N429,setup!$A$8:$H$58,2),VLOOKUP(N429,setup!$A$8:$H$58,3),VLOOKUP(N429,setup!$A$8:$H$58,4),VLOOKUP(N429,setup!$A$8:$H$58,5),VLOOKUP(N429,setup!$A$8:$H$58,6),VLOOKUP(N429,setup!$A$8:$H$58,7), VLOOKUP(0,setup!$A$8:$H$58,2),VLOOKUP(0,setup!$A$8:$H$58,5),VLOOKUP(N429,setup!$A$8:$H$58,8))</f>
        <v>#VALUE!</v>
      </c>
    </row>
    <row r="430" spans="1:15" x14ac:dyDescent="0.25">
      <c r="A430" s="6" t="s">
        <v>416</v>
      </c>
      <c r="N430">
        <v>38</v>
      </c>
      <c r="O430" s="7" t="e">
        <f>getCodigoBackend(N430,A430,VLOOKUP(N430,setup!$A$8:$H$58,2),VLOOKUP(N430,setup!$A$8:$H$58,3),VLOOKUP(N430,setup!$A$8:$H$58,4),VLOOKUP(N430,setup!$A$8:$H$58,5),VLOOKUP(N430,setup!$A$8:$H$58,6),VLOOKUP(N430,setup!$A$8:$H$58,7), VLOOKUP(0,setup!$A$8:$H$58,2),VLOOKUP(0,setup!$A$8:$H$58,5),VLOOKUP(N430,setup!$A$8:$H$58,8))</f>
        <v>#VALUE!</v>
      </c>
    </row>
    <row r="431" spans="1:15" x14ac:dyDescent="0.25">
      <c r="A431" s="6" t="s">
        <v>417</v>
      </c>
      <c r="N431">
        <v>38</v>
      </c>
      <c r="O431" s="7" t="e">
        <f>getCodigoBackend(N431,A431,VLOOKUP(N431,setup!$A$8:$H$58,2),VLOOKUP(N431,setup!$A$8:$H$58,3),VLOOKUP(N431,setup!$A$8:$H$58,4),VLOOKUP(N431,setup!$A$8:$H$58,5),VLOOKUP(N431,setup!$A$8:$H$58,6),VLOOKUP(N431,setup!$A$8:$H$58,7), VLOOKUP(0,setup!$A$8:$H$58,2),VLOOKUP(0,setup!$A$8:$H$58,5),VLOOKUP(N431,setup!$A$8:$H$58,8))</f>
        <v>#VALUE!</v>
      </c>
    </row>
    <row r="432" spans="1:15" x14ac:dyDescent="0.25">
      <c r="A432" s="6" t="s">
        <v>406</v>
      </c>
      <c r="N432">
        <v>38</v>
      </c>
      <c r="O432" s="7" t="e">
        <f>getCodigoBackend(N432,A432,VLOOKUP(N432,setup!$A$8:$H$58,2),VLOOKUP(N432,setup!$A$8:$H$58,3),VLOOKUP(N432,setup!$A$8:$H$58,4),VLOOKUP(N432,setup!$A$8:$H$58,5),VLOOKUP(N432,setup!$A$8:$H$58,6),VLOOKUP(N432,setup!$A$8:$H$58,7), VLOOKUP(0,setup!$A$8:$H$58,2),VLOOKUP(0,setup!$A$8:$H$58,5),VLOOKUP(N432,setup!$A$8:$H$58,8))</f>
        <v>#VALUE!</v>
      </c>
    </row>
    <row r="433" spans="1:15" x14ac:dyDescent="0.25">
      <c r="A433" s="6"/>
      <c r="O433" s="7" t="str">
        <f ca="1">getCodigoBackend(N433,A433,VLOOKUP(N433,setup!$A$8:$H$58,2),VLOOKUP(N433,setup!$A$8:$H$58,3),VLOOKUP(N433,setup!$A$8:$H$58,4),VLOOKUP(N433,setup!$A$8:$H$58,5),VLOOKUP(N433,setup!$A$8:$H$58,6),VLOOKUP(N433,setup!$A$8:$H$58,7), VLOOKUP(0,setup!$A$8:$H$58,2),VLOOKUP(0,setup!$A$8:$H$58,5),VLOOKUP(N433,setup!$A$8:$H$58,8))</f>
        <v/>
      </c>
    </row>
    <row r="434" spans="1:15" x14ac:dyDescent="0.25">
      <c r="A434" s="6" t="s">
        <v>920</v>
      </c>
      <c r="N434">
        <v>39</v>
      </c>
      <c r="O434" s="7" t="e">
        <f>getCodigoBackend(N434,A434,VLOOKUP(N434,setup!$A$8:$H$58,2),VLOOKUP(N434,setup!$A$8:$H$58,3),VLOOKUP(N434,setup!$A$8:$H$58,4),VLOOKUP(N434,setup!$A$8:$H$58,5),VLOOKUP(N434,setup!$A$8:$H$58,6),VLOOKUP(N434,setup!$A$8:$H$58,7), VLOOKUP(0,setup!$A$8:$H$58,2),VLOOKUP(0,setup!$A$8:$H$58,5),VLOOKUP(N434,setup!$A$8:$H$58,8))</f>
        <v>#VALUE!</v>
      </c>
    </row>
    <row r="435" spans="1:15" x14ac:dyDescent="0.25">
      <c r="A435" s="6" t="s">
        <v>921</v>
      </c>
      <c r="N435">
        <v>39</v>
      </c>
      <c r="O435" s="7" t="e">
        <f>getCodigoBackend(N435,A435,VLOOKUP(N435,setup!$A$8:$H$58,2),VLOOKUP(N435,setup!$A$8:$H$58,3),VLOOKUP(N435,setup!$A$8:$H$58,4),VLOOKUP(N435,setup!$A$8:$H$58,5),VLOOKUP(N435,setup!$A$8:$H$58,6),VLOOKUP(N435,setup!$A$8:$H$58,7), VLOOKUP(0,setup!$A$8:$H$58,2),VLOOKUP(0,setup!$A$8:$H$58,5),VLOOKUP(N435,setup!$A$8:$H$58,8))</f>
        <v>#VALUE!</v>
      </c>
    </row>
    <row r="436" spans="1:15" x14ac:dyDescent="0.25">
      <c r="A436" s="6" t="s">
        <v>416</v>
      </c>
      <c r="N436">
        <v>39</v>
      </c>
      <c r="O436" s="7" t="e">
        <f>getCodigoBackend(N436,A436,VLOOKUP(N436,setup!$A$8:$H$58,2),VLOOKUP(N436,setup!$A$8:$H$58,3),VLOOKUP(N436,setup!$A$8:$H$58,4),VLOOKUP(N436,setup!$A$8:$H$58,5),VLOOKUP(N436,setup!$A$8:$H$58,6),VLOOKUP(N436,setup!$A$8:$H$58,7), VLOOKUP(0,setup!$A$8:$H$58,2),VLOOKUP(0,setup!$A$8:$H$58,5),VLOOKUP(N436,setup!$A$8:$H$58,8))</f>
        <v>#VALUE!</v>
      </c>
    </row>
    <row r="437" spans="1:15" x14ac:dyDescent="0.25">
      <c r="A437" s="6" t="s">
        <v>417</v>
      </c>
      <c r="N437">
        <v>39</v>
      </c>
      <c r="O437" s="7" t="e">
        <f>getCodigoBackend(N437,A437,VLOOKUP(N437,setup!$A$8:$H$58,2),VLOOKUP(N437,setup!$A$8:$H$58,3),VLOOKUP(N437,setup!$A$8:$H$58,4),VLOOKUP(N437,setup!$A$8:$H$58,5),VLOOKUP(N437,setup!$A$8:$H$58,6),VLOOKUP(N437,setup!$A$8:$H$58,7), VLOOKUP(0,setup!$A$8:$H$58,2),VLOOKUP(0,setup!$A$8:$H$58,5),VLOOKUP(N437,setup!$A$8:$H$58,8))</f>
        <v>#VALUE!</v>
      </c>
    </row>
    <row r="438" spans="1:15" x14ac:dyDescent="0.25">
      <c r="A438" s="6" t="s">
        <v>406</v>
      </c>
      <c r="N438">
        <v>39</v>
      </c>
      <c r="O438" s="7" t="e">
        <f>getCodigoBackend(N438,A438,VLOOKUP(N438,setup!$A$8:$H$58,2),VLOOKUP(N438,setup!$A$8:$H$58,3),VLOOKUP(N438,setup!$A$8:$H$58,4),VLOOKUP(N438,setup!$A$8:$H$58,5),VLOOKUP(N438,setup!$A$8:$H$58,6),VLOOKUP(N438,setup!$A$8:$H$58,7), VLOOKUP(0,setup!$A$8:$H$58,2),VLOOKUP(0,setup!$A$8:$H$58,5),VLOOKUP(N438,setup!$A$8:$H$58,8))</f>
        <v>#VALUE!</v>
      </c>
    </row>
    <row r="439" spans="1:15" x14ac:dyDescent="0.25">
      <c r="A439" s="6"/>
      <c r="O439" s="7" t="str">
        <f ca="1">getCodigoBackend(N439,A439,VLOOKUP(N439,setup!$A$8:$H$58,2),VLOOKUP(N439,setup!$A$8:$H$58,3),VLOOKUP(N439,setup!$A$8:$H$58,4),VLOOKUP(N439,setup!$A$8:$H$58,5),VLOOKUP(N439,setup!$A$8:$H$58,6),VLOOKUP(N439,setup!$A$8:$H$58,7), VLOOKUP(0,setup!$A$8:$H$58,2),VLOOKUP(0,setup!$A$8:$H$58,5),VLOOKUP(N439,setup!$A$8:$H$58,8))</f>
        <v/>
      </c>
    </row>
    <row r="440" spans="1:15" x14ac:dyDescent="0.25">
      <c r="A440" s="6" t="s">
        <v>920</v>
      </c>
      <c r="N440">
        <v>40</v>
      </c>
      <c r="O440" s="7" t="e">
        <f>getCodigoBackend(N440,A440,VLOOKUP(N440,setup!$A$8:$H$58,2),VLOOKUP(N440,setup!$A$8:$H$58,3),VLOOKUP(N440,setup!$A$8:$H$58,4),VLOOKUP(N440,setup!$A$8:$H$58,5),VLOOKUP(N440,setup!$A$8:$H$58,6),VLOOKUP(N440,setup!$A$8:$H$58,7), VLOOKUP(0,setup!$A$8:$H$58,2),VLOOKUP(0,setup!$A$8:$H$58,5),VLOOKUP(N440,setup!$A$8:$H$58,8))</f>
        <v>#VALUE!</v>
      </c>
    </row>
    <row r="441" spans="1:15" x14ac:dyDescent="0.25">
      <c r="A441" s="6" t="s">
        <v>921</v>
      </c>
      <c r="N441">
        <v>40</v>
      </c>
      <c r="O441" s="7" t="e">
        <f>getCodigoBackend(N441,A441,VLOOKUP(N441,setup!$A$8:$H$58,2),VLOOKUP(N441,setup!$A$8:$H$58,3),VLOOKUP(N441,setup!$A$8:$H$58,4),VLOOKUP(N441,setup!$A$8:$H$58,5),VLOOKUP(N441,setup!$A$8:$H$58,6),VLOOKUP(N441,setup!$A$8:$H$58,7), VLOOKUP(0,setup!$A$8:$H$58,2),VLOOKUP(0,setup!$A$8:$H$58,5),VLOOKUP(N441,setup!$A$8:$H$58,8))</f>
        <v>#VALUE!</v>
      </c>
    </row>
    <row r="442" spans="1:15" x14ac:dyDescent="0.25">
      <c r="A442" s="6" t="s">
        <v>416</v>
      </c>
      <c r="N442">
        <v>40</v>
      </c>
      <c r="O442" s="7" t="e">
        <f>getCodigoBackend(N442,A442,VLOOKUP(N442,setup!$A$8:$H$58,2),VLOOKUP(N442,setup!$A$8:$H$58,3),VLOOKUP(N442,setup!$A$8:$H$58,4),VLOOKUP(N442,setup!$A$8:$H$58,5),VLOOKUP(N442,setup!$A$8:$H$58,6),VLOOKUP(N442,setup!$A$8:$H$58,7), VLOOKUP(0,setup!$A$8:$H$58,2),VLOOKUP(0,setup!$A$8:$H$58,5),VLOOKUP(N442,setup!$A$8:$H$58,8))</f>
        <v>#VALUE!</v>
      </c>
    </row>
    <row r="443" spans="1:15" x14ac:dyDescent="0.25">
      <c r="A443" s="6" t="s">
        <v>417</v>
      </c>
      <c r="N443">
        <v>40</v>
      </c>
      <c r="O443" s="7" t="e">
        <f>getCodigoBackend(N443,A443,VLOOKUP(N443,setup!$A$8:$H$58,2),VLOOKUP(N443,setup!$A$8:$H$58,3),VLOOKUP(N443,setup!$A$8:$H$58,4),VLOOKUP(N443,setup!$A$8:$H$58,5),VLOOKUP(N443,setup!$A$8:$H$58,6),VLOOKUP(N443,setup!$A$8:$H$58,7), VLOOKUP(0,setup!$A$8:$H$58,2),VLOOKUP(0,setup!$A$8:$H$58,5),VLOOKUP(N443,setup!$A$8:$H$58,8))</f>
        <v>#VALUE!</v>
      </c>
    </row>
    <row r="444" spans="1:15" x14ac:dyDescent="0.25">
      <c r="A444" s="6" t="s">
        <v>406</v>
      </c>
      <c r="N444">
        <v>40</v>
      </c>
      <c r="O444" s="7" t="e">
        <f>getCodigoBackend(N444,A444,VLOOKUP(N444,setup!$A$8:$H$58,2),VLOOKUP(N444,setup!$A$8:$H$58,3),VLOOKUP(N444,setup!$A$8:$H$58,4),VLOOKUP(N444,setup!$A$8:$H$58,5),VLOOKUP(N444,setup!$A$8:$H$58,6),VLOOKUP(N444,setup!$A$8:$H$58,7), VLOOKUP(0,setup!$A$8:$H$58,2),VLOOKUP(0,setup!$A$8:$H$58,5),VLOOKUP(N444,setup!$A$8:$H$58,8))</f>
        <v>#VALUE!</v>
      </c>
    </row>
    <row r="445" spans="1:15" x14ac:dyDescent="0.25">
      <c r="A445" s="6"/>
      <c r="O445" s="7" t="str">
        <f ca="1">getCodigoBackend(N445,A445,VLOOKUP(N445,setup!$A$8:$H$58,2),VLOOKUP(N445,setup!$A$8:$H$58,3),VLOOKUP(N445,setup!$A$8:$H$58,4),VLOOKUP(N445,setup!$A$8:$H$58,5),VLOOKUP(N445,setup!$A$8:$H$58,6),VLOOKUP(N445,setup!$A$8:$H$58,7), VLOOKUP(0,setup!$A$8:$H$58,2),VLOOKUP(0,setup!$A$8:$H$58,5),VLOOKUP(N445,setup!$A$8:$H$58,8))</f>
        <v/>
      </c>
    </row>
    <row r="446" spans="1:15" x14ac:dyDescent="0.25">
      <c r="A446" s="6" t="s">
        <v>920</v>
      </c>
      <c r="N446">
        <v>41</v>
      </c>
      <c r="O446" s="7" t="e">
        <f>getCodigoBackend(N446,A446,VLOOKUP(N446,setup!$A$8:$H$58,2),VLOOKUP(N446,setup!$A$8:$H$58,3),VLOOKUP(N446,setup!$A$8:$H$58,4),VLOOKUP(N446,setup!$A$8:$H$58,5),VLOOKUP(N446,setup!$A$8:$H$58,6),VLOOKUP(N446,setup!$A$8:$H$58,7), VLOOKUP(0,setup!$A$8:$H$58,2),VLOOKUP(0,setup!$A$8:$H$58,5),VLOOKUP(N446,setup!$A$8:$H$58,8))</f>
        <v>#VALUE!</v>
      </c>
    </row>
    <row r="447" spans="1:15" x14ac:dyDescent="0.25">
      <c r="A447" s="6" t="s">
        <v>921</v>
      </c>
      <c r="N447">
        <v>41</v>
      </c>
      <c r="O447" s="7" t="e">
        <f>getCodigoBackend(N447,A447,VLOOKUP(N447,setup!$A$8:$H$58,2),VLOOKUP(N447,setup!$A$8:$H$58,3),VLOOKUP(N447,setup!$A$8:$H$58,4),VLOOKUP(N447,setup!$A$8:$H$58,5),VLOOKUP(N447,setup!$A$8:$H$58,6),VLOOKUP(N447,setup!$A$8:$H$58,7), VLOOKUP(0,setup!$A$8:$H$58,2),VLOOKUP(0,setup!$A$8:$H$58,5),VLOOKUP(N447,setup!$A$8:$H$58,8))</f>
        <v>#VALUE!</v>
      </c>
    </row>
    <row r="448" spans="1:15" x14ac:dyDescent="0.25">
      <c r="A448" s="6" t="s">
        <v>416</v>
      </c>
      <c r="N448">
        <v>41</v>
      </c>
      <c r="O448" s="7" t="e">
        <f>getCodigoBackend(N448,A448,VLOOKUP(N448,setup!$A$8:$H$58,2),VLOOKUP(N448,setup!$A$8:$H$58,3),VLOOKUP(N448,setup!$A$8:$H$58,4),VLOOKUP(N448,setup!$A$8:$H$58,5),VLOOKUP(N448,setup!$A$8:$H$58,6),VLOOKUP(N448,setup!$A$8:$H$58,7), VLOOKUP(0,setup!$A$8:$H$58,2),VLOOKUP(0,setup!$A$8:$H$58,5),VLOOKUP(N448,setup!$A$8:$H$58,8))</f>
        <v>#VALUE!</v>
      </c>
    </row>
    <row r="449" spans="1:15" x14ac:dyDescent="0.25">
      <c r="A449" s="6" t="s">
        <v>417</v>
      </c>
      <c r="N449">
        <v>41</v>
      </c>
      <c r="O449" s="7" t="e">
        <f>getCodigoBackend(N449,A449,VLOOKUP(N449,setup!$A$8:$H$58,2),VLOOKUP(N449,setup!$A$8:$H$58,3),VLOOKUP(N449,setup!$A$8:$H$58,4),VLOOKUP(N449,setup!$A$8:$H$58,5),VLOOKUP(N449,setup!$A$8:$H$58,6),VLOOKUP(N449,setup!$A$8:$H$58,7), VLOOKUP(0,setup!$A$8:$H$58,2),VLOOKUP(0,setup!$A$8:$H$58,5),VLOOKUP(N449,setup!$A$8:$H$58,8))</f>
        <v>#VALUE!</v>
      </c>
    </row>
    <row r="450" spans="1:15" x14ac:dyDescent="0.25">
      <c r="A450" s="6" t="s">
        <v>406</v>
      </c>
      <c r="N450">
        <v>41</v>
      </c>
      <c r="O450" s="7" t="e">
        <f>getCodigoBackend(N450,A450,VLOOKUP(N450,setup!$A$8:$H$58,2),VLOOKUP(N450,setup!$A$8:$H$58,3),VLOOKUP(N450,setup!$A$8:$H$58,4),VLOOKUP(N450,setup!$A$8:$H$58,5),VLOOKUP(N450,setup!$A$8:$H$58,6),VLOOKUP(N450,setup!$A$8:$H$58,7), VLOOKUP(0,setup!$A$8:$H$58,2),VLOOKUP(0,setup!$A$8:$H$58,5),VLOOKUP(N450,setup!$A$8:$H$58,8))</f>
        <v>#VALUE!</v>
      </c>
    </row>
    <row r="451" spans="1:15" x14ac:dyDescent="0.25">
      <c r="A451" s="6"/>
      <c r="O451" s="7" t="str">
        <f ca="1">getCodigoBackend(N451,A451,VLOOKUP(N451,setup!$A$8:$H$58,2),VLOOKUP(N451,setup!$A$8:$H$58,3),VLOOKUP(N451,setup!$A$8:$H$58,4),VLOOKUP(N451,setup!$A$8:$H$58,5),VLOOKUP(N451,setup!$A$8:$H$58,6),VLOOKUP(N451,setup!$A$8:$H$58,7), VLOOKUP(0,setup!$A$8:$H$58,2),VLOOKUP(0,setup!$A$8:$H$58,5),VLOOKUP(N451,setup!$A$8:$H$58,8))</f>
        <v/>
      </c>
    </row>
    <row r="452" spans="1:15" x14ac:dyDescent="0.25">
      <c r="A452" s="6" t="s">
        <v>920</v>
      </c>
      <c r="N452">
        <v>42</v>
      </c>
      <c r="O452" s="7" t="e">
        <f>getCodigoBackend(N452,A452,VLOOKUP(N452,setup!$A$8:$H$58,2),VLOOKUP(N452,setup!$A$8:$H$58,3),VLOOKUP(N452,setup!$A$8:$H$58,4),VLOOKUP(N452,setup!$A$8:$H$58,5),VLOOKUP(N452,setup!$A$8:$H$58,6),VLOOKUP(N452,setup!$A$8:$H$58,7), VLOOKUP(0,setup!$A$8:$H$58,2),VLOOKUP(0,setup!$A$8:$H$58,5),VLOOKUP(N452,setup!$A$8:$H$58,8))</f>
        <v>#VALUE!</v>
      </c>
    </row>
    <row r="453" spans="1:15" x14ac:dyDescent="0.25">
      <c r="A453" s="6" t="s">
        <v>921</v>
      </c>
      <c r="N453">
        <v>42</v>
      </c>
      <c r="O453" s="7" t="e">
        <f>getCodigoBackend(N453,A453,VLOOKUP(N453,setup!$A$8:$H$58,2),VLOOKUP(N453,setup!$A$8:$H$58,3),VLOOKUP(N453,setup!$A$8:$H$58,4),VLOOKUP(N453,setup!$A$8:$H$58,5),VLOOKUP(N453,setup!$A$8:$H$58,6),VLOOKUP(N453,setup!$A$8:$H$58,7), VLOOKUP(0,setup!$A$8:$H$58,2),VLOOKUP(0,setup!$A$8:$H$58,5),VLOOKUP(N453,setup!$A$8:$H$58,8))</f>
        <v>#VALUE!</v>
      </c>
    </row>
    <row r="454" spans="1:15" x14ac:dyDescent="0.25">
      <c r="A454" s="6" t="s">
        <v>416</v>
      </c>
      <c r="N454">
        <v>42</v>
      </c>
      <c r="O454" s="7" t="e">
        <f>getCodigoBackend(N454,A454,VLOOKUP(N454,setup!$A$8:$H$58,2),VLOOKUP(N454,setup!$A$8:$H$58,3),VLOOKUP(N454,setup!$A$8:$H$58,4),VLOOKUP(N454,setup!$A$8:$H$58,5),VLOOKUP(N454,setup!$A$8:$H$58,6),VLOOKUP(N454,setup!$A$8:$H$58,7), VLOOKUP(0,setup!$A$8:$H$58,2),VLOOKUP(0,setup!$A$8:$H$58,5),VLOOKUP(N454,setup!$A$8:$H$58,8))</f>
        <v>#VALUE!</v>
      </c>
    </row>
    <row r="455" spans="1:15" x14ac:dyDescent="0.25">
      <c r="A455" s="6" t="s">
        <v>417</v>
      </c>
      <c r="N455">
        <v>42</v>
      </c>
      <c r="O455" s="7" t="e">
        <f>getCodigoBackend(N455,A455,VLOOKUP(N455,setup!$A$8:$H$58,2),VLOOKUP(N455,setup!$A$8:$H$58,3),VLOOKUP(N455,setup!$A$8:$H$58,4),VLOOKUP(N455,setup!$A$8:$H$58,5),VLOOKUP(N455,setup!$A$8:$H$58,6),VLOOKUP(N455,setup!$A$8:$H$58,7), VLOOKUP(0,setup!$A$8:$H$58,2),VLOOKUP(0,setup!$A$8:$H$58,5),VLOOKUP(N455,setup!$A$8:$H$58,8))</f>
        <v>#VALUE!</v>
      </c>
    </row>
    <row r="456" spans="1:15" x14ac:dyDescent="0.25">
      <c r="A456" s="6" t="s">
        <v>406</v>
      </c>
      <c r="N456">
        <v>42</v>
      </c>
      <c r="O456" s="7" t="e">
        <f>getCodigoBackend(N456,A456,VLOOKUP(N456,setup!$A$8:$H$58,2),VLOOKUP(N456,setup!$A$8:$H$58,3),VLOOKUP(N456,setup!$A$8:$H$58,4),VLOOKUP(N456,setup!$A$8:$H$58,5),VLOOKUP(N456,setup!$A$8:$H$58,6),VLOOKUP(N456,setup!$A$8:$H$58,7), VLOOKUP(0,setup!$A$8:$H$58,2),VLOOKUP(0,setup!$A$8:$H$58,5),VLOOKUP(N456,setup!$A$8:$H$58,8))</f>
        <v>#VALUE!</v>
      </c>
    </row>
    <row r="457" spans="1:15" x14ac:dyDescent="0.25">
      <c r="A457" s="6"/>
      <c r="O457" s="7" t="str">
        <f ca="1">getCodigoBackend(N457,A457,VLOOKUP(N457,setup!$A$8:$H$58,2),VLOOKUP(N457,setup!$A$8:$H$58,3),VLOOKUP(N457,setup!$A$8:$H$58,4),VLOOKUP(N457,setup!$A$8:$H$58,5),VLOOKUP(N457,setup!$A$8:$H$58,6),VLOOKUP(N457,setup!$A$8:$H$58,7), VLOOKUP(0,setup!$A$8:$H$58,2),VLOOKUP(0,setup!$A$8:$H$58,5),VLOOKUP(N457,setup!$A$8:$H$58,8))</f>
        <v/>
      </c>
    </row>
    <row r="458" spans="1:15" x14ac:dyDescent="0.25">
      <c r="A458" s="6" t="s">
        <v>920</v>
      </c>
      <c r="N458">
        <v>43</v>
      </c>
      <c r="O458" s="7" t="e">
        <f>getCodigoBackend(N458,A458,VLOOKUP(N458,setup!$A$8:$H$58,2),VLOOKUP(N458,setup!$A$8:$H$58,3),VLOOKUP(N458,setup!$A$8:$H$58,4),VLOOKUP(N458,setup!$A$8:$H$58,5),VLOOKUP(N458,setup!$A$8:$H$58,6),VLOOKUP(N458,setup!$A$8:$H$58,7), VLOOKUP(0,setup!$A$8:$H$58,2),VLOOKUP(0,setup!$A$8:$H$58,5),VLOOKUP(N458,setup!$A$8:$H$58,8))</f>
        <v>#VALUE!</v>
      </c>
    </row>
    <row r="459" spans="1:15" x14ac:dyDescent="0.25">
      <c r="A459" s="6" t="s">
        <v>921</v>
      </c>
      <c r="N459">
        <v>43</v>
      </c>
      <c r="O459" s="7" t="e">
        <f>getCodigoBackend(N459,A459,VLOOKUP(N459,setup!$A$8:$H$58,2),VLOOKUP(N459,setup!$A$8:$H$58,3),VLOOKUP(N459,setup!$A$8:$H$58,4),VLOOKUP(N459,setup!$A$8:$H$58,5),VLOOKUP(N459,setup!$A$8:$H$58,6),VLOOKUP(N459,setup!$A$8:$H$58,7), VLOOKUP(0,setup!$A$8:$H$58,2),VLOOKUP(0,setup!$A$8:$H$58,5),VLOOKUP(N459,setup!$A$8:$H$58,8))</f>
        <v>#VALUE!</v>
      </c>
    </row>
    <row r="460" spans="1:15" x14ac:dyDescent="0.25">
      <c r="A460" s="6" t="s">
        <v>416</v>
      </c>
      <c r="N460">
        <v>43</v>
      </c>
      <c r="O460" s="7" t="e">
        <f>getCodigoBackend(N460,A460,VLOOKUP(N460,setup!$A$8:$H$58,2),VLOOKUP(N460,setup!$A$8:$H$58,3),VLOOKUP(N460,setup!$A$8:$H$58,4),VLOOKUP(N460,setup!$A$8:$H$58,5),VLOOKUP(N460,setup!$A$8:$H$58,6),VLOOKUP(N460,setup!$A$8:$H$58,7), VLOOKUP(0,setup!$A$8:$H$58,2),VLOOKUP(0,setup!$A$8:$H$58,5),VLOOKUP(N460,setup!$A$8:$H$58,8))</f>
        <v>#VALUE!</v>
      </c>
    </row>
    <row r="461" spans="1:15" x14ac:dyDescent="0.25">
      <c r="A461" s="6" t="s">
        <v>417</v>
      </c>
      <c r="N461">
        <v>43</v>
      </c>
      <c r="O461" s="7" t="e">
        <f>getCodigoBackend(N461,A461,VLOOKUP(N461,setup!$A$8:$H$58,2),VLOOKUP(N461,setup!$A$8:$H$58,3),VLOOKUP(N461,setup!$A$8:$H$58,4),VLOOKUP(N461,setup!$A$8:$H$58,5),VLOOKUP(N461,setup!$A$8:$H$58,6),VLOOKUP(N461,setup!$A$8:$H$58,7), VLOOKUP(0,setup!$A$8:$H$58,2),VLOOKUP(0,setup!$A$8:$H$58,5),VLOOKUP(N461,setup!$A$8:$H$58,8))</f>
        <v>#VALUE!</v>
      </c>
    </row>
    <row r="462" spans="1:15" x14ac:dyDescent="0.25">
      <c r="A462" s="6" t="s">
        <v>406</v>
      </c>
      <c r="N462">
        <v>43</v>
      </c>
      <c r="O462" s="7" t="e">
        <f>getCodigoBackend(N462,A462,VLOOKUP(N462,setup!$A$8:$H$58,2),VLOOKUP(N462,setup!$A$8:$H$58,3),VLOOKUP(N462,setup!$A$8:$H$58,4),VLOOKUP(N462,setup!$A$8:$H$58,5),VLOOKUP(N462,setup!$A$8:$H$58,6),VLOOKUP(N462,setup!$A$8:$H$58,7), VLOOKUP(0,setup!$A$8:$H$58,2),VLOOKUP(0,setup!$A$8:$H$58,5),VLOOKUP(N462,setup!$A$8:$H$58,8))</f>
        <v>#VALUE!</v>
      </c>
    </row>
    <row r="463" spans="1:15" x14ac:dyDescent="0.25">
      <c r="A463" s="6"/>
      <c r="O463" s="7" t="str">
        <f ca="1">getCodigoBackend(N463,A463,VLOOKUP(N463,setup!$A$8:$H$58,2),VLOOKUP(N463,setup!$A$8:$H$58,3),VLOOKUP(N463,setup!$A$8:$H$58,4),VLOOKUP(N463,setup!$A$8:$H$58,5),VLOOKUP(N463,setup!$A$8:$H$58,6),VLOOKUP(N463,setup!$A$8:$H$58,7), VLOOKUP(0,setup!$A$8:$H$58,2),VLOOKUP(0,setup!$A$8:$H$58,5),VLOOKUP(N463,setup!$A$8:$H$58,8))</f>
        <v/>
      </c>
    </row>
    <row r="464" spans="1:15" x14ac:dyDescent="0.25">
      <c r="A464" s="6" t="s">
        <v>920</v>
      </c>
      <c r="N464">
        <v>45</v>
      </c>
      <c r="O464" s="7" t="e">
        <f>getCodigoBackend(N464,A464,VLOOKUP(N464,setup!$A$8:$H$58,2),VLOOKUP(N464,setup!$A$8:$H$58,3),VLOOKUP(N464,setup!$A$8:$H$58,4),VLOOKUP(N464,setup!$A$8:$H$58,5),VLOOKUP(N464,setup!$A$8:$H$58,6),VLOOKUP(N464,setup!$A$8:$H$58,7), VLOOKUP(0,setup!$A$8:$H$58,2),VLOOKUP(0,setup!$A$8:$H$58,5),VLOOKUP(N464,setup!$A$8:$H$58,8))</f>
        <v>#VALUE!</v>
      </c>
    </row>
    <row r="465" spans="1:15" x14ac:dyDescent="0.25">
      <c r="A465" s="6" t="s">
        <v>921</v>
      </c>
      <c r="N465">
        <v>45</v>
      </c>
      <c r="O465" s="7" t="e">
        <f>getCodigoBackend(N465,A465,VLOOKUP(N465,setup!$A$8:$H$58,2),VLOOKUP(N465,setup!$A$8:$H$58,3),VLOOKUP(N465,setup!$A$8:$H$58,4),VLOOKUP(N465,setup!$A$8:$H$58,5),VLOOKUP(N465,setup!$A$8:$H$58,6),VLOOKUP(N465,setup!$A$8:$H$58,7), VLOOKUP(0,setup!$A$8:$H$58,2),VLOOKUP(0,setup!$A$8:$H$58,5),VLOOKUP(N465,setup!$A$8:$H$58,8))</f>
        <v>#VALUE!</v>
      </c>
    </row>
    <row r="466" spans="1:15" x14ac:dyDescent="0.25">
      <c r="A466" s="6" t="s">
        <v>416</v>
      </c>
      <c r="N466">
        <v>45</v>
      </c>
      <c r="O466" s="7" t="e">
        <f>getCodigoBackend(N466,A466,VLOOKUP(N466,setup!$A$8:$H$58,2),VLOOKUP(N466,setup!$A$8:$H$58,3),VLOOKUP(N466,setup!$A$8:$H$58,4),VLOOKUP(N466,setup!$A$8:$H$58,5),VLOOKUP(N466,setup!$A$8:$H$58,6),VLOOKUP(N466,setup!$A$8:$H$58,7), VLOOKUP(0,setup!$A$8:$H$58,2),VLOOKUP(0,setup!$A$8:$H$58,5),VLOOKUP(N466,setup!$A$8:$H$58,8))</f>
        <v>#VALUE!</v>
      </c>
    </row>
    <row r="467" spans="1:15" x14ac:dyDescent="0.25">
      <c r="A467" s="6" t="s">
        <v>417</v>
      </c>
      <c r="N467">
        <v>45</v>
      </c>
      <c r="O467" s="7" t="e">
        <f>getCodigoBackend(N467,A467,VLOOKUP(N467,setup!$A$8:$H$58,2),VLOOKUP(N467,setup!$A$8:$H$58,3),VLOOKUP(N467,setup!$A$8:$H$58,4),VLOOKUP(N467,setup!$A$8:$H$58,5),VLOOKUP(N467,setup!$A$8:$H$58,6),VLOOKUP(N467,setup!$A$8:$H$58,7), VLOOKUP(0,setup!$A$8:$H$58,2),VLOOKUP(0,setup!$A$8:$H$58,5),VLOOKUP(N467,setup!$A$8:$H$58,8))</f>
        <v>#VALUE!</v>
      </c>
    </row>
    <row r="468" spans="1:15" x14ac:dyDescent="0.25">
      <c r="A468" s="6" t="s">
        <v>406</v>
      </c>
      <c r="N468">
        <v>45</v>
      </c>
      <c r="O468" s="7" t="e">
        <f>getCodigoBackend(N468,A468,VLOOKUP(N468,setup!$A$8:$H$58,2),VLOOKUP(N468,setup!$A$8:$H$58,3),VLOOKUP(N468,setup!$A$8:$H$58,4),VLOOKUP(N468,setup!$A$8:$H$58,5),VLOOKUP(N468,setup!$A$8:$H$58,6),VLOOKUP(N468,setup!$A$8:$H$58,7), VLOOKUP(0,setup!$A$8:$H$58,2),VLOOKUP(0,setup!$A$8:$H$58,5),VLOOKUP(N468,setup!$A$8:$H$58,8))</f>
        <v>#VALUE!</v>
      </c>
    </row>
    <row r="469" spans="1:15" x14ac:dyDescent="0.25">
      <c r="A469" s="6"/>
      <c r="O469" s="7" t="str">
        <f ca="1">getCodigoBackend(N469,A469,VLOOKUP(N469,setup!$A$8:$H$58,2),VLOOKUP(N469,setup!$A$8:$H$58,3),VLOOKUP(N469,setup!$A$8:$H$58,4),VLOOKUP(N469,setup!$A$8:$H$58,5),VLOOKUP(N469,setup!$A$8:$H$58,6),VLOOKUP(N469,setup!$A$8:$H$58,7), VLOOKUP(0,setup!$A$8:$H$58,2),VLOOKUP(0,setup!$A$8:$H$58,5),VLOOKUP(N469,setup!$A$8:$H$58,8))</f>
        <v/>
      </c>
    </row>
    <row r="470" spans="1:15" x14ac:dyDescent="0.25">
      <c r="A470" s="6" t="s">
        <v>920</v>
      </c>
      <c r="N470">
        <v>46</v>
      </c>
      <c r="O470" s="7" t="e">
        <f>getCodigoBackend(N470,A470,VLOOKUP(N470,setup!$A$8:$H$58,2),VLOOKUP(N470,setup!$A$8:$H$58,3),VLOOKUP(N470,setup!$A$8:$H$58,4),VLOOKUP(N470,setup!$A$8:$H$58,5),VLOOKUP(N470,setup!$A$8:$H$58,6),VLOOKUP(N470,setup!$A$8:$H$58,7), VLOOKUP(0,setup!$A$8:$H$58,2),VLOOKUP(0,setup!$A$8:$H$58,5),VLOOKUP(N470,setup!$A$8:$H$58,8))</f>
        <v>#VALUE!</v>
      </c>
    </row>
    <row r="471" spans="1:15" x14ac:dyDescent="0.25">
      <c r="A471" s="6" t="s">
        <v>921</v>
      </c>
      <c r="N471">
        <v>46</v>
      </c>
      <c r="O471" s="7" t="e">
        <f>getCodigoBackend(N471,A471,VLOOKUP(N471,setup!$A$8:$H$58,2),VLOOKUP(N471,setup!$A$8:$H$58,3),VLOOKUP(N471,setup!$A$8:$H$58,4),VLOOKUP(N471,setup!$A$8:$H$58,5),VLOOKUP(N471,setup!$A$8:$H$58,6),VLOOKUP(N471,setup!$A$8:$H$58,7), VLOOKUP(0,setup!$A$8:$H$58,2),VLOOKUP(0,setup!$A$8:$H$58,5),VLOOKUP(N471,setup!$A$8:$H$58,8))</f>
        <v>#VALUE!</v>
      </c>
    </row>
    <row r="472" spans="1:15" x14ac:dyDescent="0.25">
      <c r="A472" s="6" t="s">
        <v>416</v>
      </c>
      <c r="N472">
        <v>46</v>
      </c>
      <c r="O472" s="7" t="e">
        <f>getCodigoBackend(N472,A472,VLOOKUP(N472,setup!$A$8:$H$58,2),VLOOKUP(N472,setup!$A$8:$H$58,3),VLOOKUP(N472,setup!$A$8:$H$58,4),VLOOKUP(N472,setup!$A$8:$H$58,5),VLOOKUP(N472,setup!$A$8:$H$58,6),VLOOKUP(N472,setup!$A$8:$H$58,7), VLOOKUP(0,setup!$A$8:$H$58,2),VLOOKUP(0,setup!$A$8:$H$58,5),VLOOKUP(N472,setup!$A$8:$H$58,8))</f>
        <v>#VALUE!</v>
      </c>
    </row>
    <row r="473" spans="1:15" x14ac:dyDescent="0.25">
      <c r="A473" s="6" t="s">
        <v>417</v>
      </c>
      <c r="N473">
        <v>46</v>
      </c>
      <c r="O473" s="7" t="e">
        <f>getCodigoBackend(N473,A473,VLOOKUP(N473,setup!$A$8:$H$58,2),VLOOKUP(N473,setup!$A$8:$H$58,3),VLOOKUP(N473,setup!$A$8:$H$58,4),VLOOKUP(N473,setup!$A$8:$H$58,5),VLOOKUP(N473,setup!$A$8:$H$58,6),VLOOKUP(N473,setup!$A$8:$H$58,7), VLOOKUP(0,setup!$A$8:$H$58,2),VLOOKUP(0,setup!$A$8:$H$58,5),VLOOKUP(N473,setup!$A$8:$H$58,8))</f>
        <v>#VALUE!</v>
      </c>
    </row>
    <row r="474" spans="1:15" x14ac:dyDescent="0.25">
      <c r="A474" s="6" t="s">
        <v>406</v>
      </c>
      <c r="N474">
        <v>46</v>
      </c>
      <c r="O474" s="7" t="e">
        <f>getCodigoBackend(N474,A474,VLOOKUP(N474,setup!$A$8:$H$58,2),VLOOKUP(N474,setup!$A$8:$H$58,3),VLOOKUP(N474,setup!$A$8:$H$58,4),VLOOKUP(N474,setup!$A$8:$H$58,5),VLOOKUP(N474,setup!$A$8:$H$58,6),VLOOKUP(N474,setup!$A$8:$H$58,7), VLOOKUP(0,setup!$A$8:$H$58,2),VLOOKUP(0,setup!$A$8:$H$58,5),VLOOKUP(N474,setup!$A$8:$H$58,8))</f>
        <v>#VALUE!</v>
      </c>
    </row>
    <row r="475" spans="1:15" x14ac:dyDescent="0.25">
      <c r="A475" s="6"/>
      <c r="O475" s="7" t="str">
        <f ca="1">getCodigoBackend(N475,A475,VLOOKUP(N475,setup!$A$8:$H$58,2),VLOOKUP(N475,setup!$A$8:$H$58,3),VLOOKUP(N475,setup!$A$8:$H$58,4),VLOOKUP(N475,setup!$A$8:$H$58,5),VLOOKUP(N475,setup!$A$8:$H$58,6),VLOOKUP(N475,setup!$A$8:$H$58,7), VLOOKUP(0,setup!$A$8:$H$58,2),VLOOKUP(0,setup!$A$8:$H$58,5),VLOOKUP(N475,setup!$A$8:$H$58,8))</f>
        <v/>
      </c>
    </row>
    <row r="476" spans="1:15" x14ac:dyDescent="0.25">
      <c r="A476" s="6" t="s">
        <v>920</v>
      </c>
      <c r="N476">
        <v>47</v>
      </c>
      <c r="O476" s="7" t="e">
        <f>getCodigoBackend(N476,A476,VLOOKUP(N476,setup!$A$8:$H$58,2),VLOOKUP(N476,setup!$A$8:$H$58,3),VLOOKUP(N476,setup!$A$8:$H$58,4),VLOOKUP(N476,setup!$A$8:$H$58,5),VLOOKUP(N476,setup!$A$8:$H$58,6),VLOOKUP(N476,setup!$A$8:$H$58,7), VLOOKUP(0,setup!$A$8:$H$58,2),VLOOKUP(0,setup!$A$8:$H$58,5),VLOOKUP(N476,setup!$A$8:$H$58,8))</f>
        <v>#VALUE!</v>
      </c>
    </row>
    <row r="477" spans="1:15" x14ac:dyDescent="0.25">
      <c r="A477" s="6" t="s">
        <v>921</v>
      </c>
      <c r="N477">
        <v>47</v>
      </c>
      <c r="O477" s="7" t="e">
        <f>getCodigoBackend(N477,A477,VLOOKUP(N477,setup!$A$8:$H$58,2),VLOOKUP(N477,setup!$A$8:$H$58,3),VLOOKUP(N477,setup!$A$8:$H$58,4),VLOOKUP(N477,setup!$A$8:$H$58,5),VLOOKUP(N477,setup!$A$8:$H$58,6),VLOOKUP(N477,setup!$A$8:$H$58,7), VLOOKUP(0,setup!$A$8:$H$58,2),VLOOKUP(0,setup!$A$8:$H$58,5),VLOOKUP(N477,setup!$A$8:$H$58,8))</f>
        <v>#VALUE!</v>
      </c>
    </row>
    <row r="478" spans="1:15" x14ac:dyDescent="0.25">
      <c r="A478" s="6" t="s">
        <v>416</v>
      </c>
      <c r="N478">
        <v>47</v>
      </c>
      <c r="O478" s="7" t="e">
        <f>getCodigoBackend(N478,A478,VLOOKUP(N478,setup!$A$8:$H$58,2),VLOOKUP(N478,setup!$A$8:$H$58,3),VLOOKUP(N478,setup!$A$8:$H$58,4),VLOOKUP(N478,setup!$A$8:$H$58,5),VLOOKUP(N478,setup!$A$8:$H$58,6),VLOOKUP(N478,setup!$A$8:$H$58,7), VLOOKUP(0,setup!$A$8:$H$58,2),VLOOKUP(0,setup!$A$8:$H$58,5),VLOOKUP(N478,setup!$A$8:$H$58,8))</f>
        <v>#VALUE!</v>
      </c>
    </row>
    <row r="479" spans="1:15" x14ac:dyDescent="0.25">
      <c r="A479" s="6" t="s">
        <v>417</v>
      </c>
      <c r="N479">
        <v>47</v>
      </c>
      <c r="O479" s="7" t="e">
        <f>getCodigoBackend(N479,A479,VLOOKUP(N479,setup!$A$8:$H$58,2),VLOOKUP(N479,setup!$A$8:$H$58,3),VLOOKUP(N479,setup!$A$8:$H$58,4),VLOOKUP(N479,setup!$A$8:$H$58,5),VLOOKUP(N479,setup!$A$8:$H$58,6),VLOOKUP(N479,setup!$A$8:$H$58,7), VLOOKUP(0,setup!$A$8:$H$58,2),VLOOKUP(0,setup!$A$8:$H$58,5),VLOOKUP(N479,setup!$A$8:$H$58,8))</f>
        <v>#VALUE!</v>
      </c>
    </row>
    <row r="480" spans="1:15" x14ac:dyDescent="0.25">
      <c r="A480" s="6" t="s">
        <v>406</v>
      </c>
      <c r="N480">
        <v>47</v>
      </c>
      <c r="O480" s="7" t="e">
        <f>getCodigoBackend(N480,A480,VLOOKUP(N480,setup!$A$8:$H$58,2),VLOOKUP(N480,setup!$A$8:$H$58,3),VLOOKUP(N480,setup!$A$8:$H$58,4),VLOOKUP(N480,setup!$A$8:$H$58,5),VLOOKUP(N480,setup!$A$8:$H$58,6),VLOOKUP(N480,setup!$A$8:$H$58,7), VLOOKUP(0,setup!$A$8:$H$58,2),VLOOKUP(0,setup!$A$8:$H$58,5),VLOOKUP(N480,setup!$A$8:$H$58,8))</f>
        <v>#VALUE!</v>
      </c>
    </row>
    <row r="481" spans="1:15" x14ac:dyDescent="0.25">
      <c r="A481" s="6"/>
      <c r="O481" s="7" t="str">
        <f ca="1">getCodigoBackend(N481,A481,VLOOKUP(N481,setup!$A$8:$H$58,2),VLOOKUP(N481,setup!$A$8:$H$58,3),VLOOKUP(N481,setup!$A$8:$H$58,4),VLOOKUP(N481,setup!$A$8:$H$58,5),VLOOKUP(N481,setup!$A$8:$H$58,6),VLOOKUP(N481,setup!$A$8:$H$58,7), VLOOKUP(0,setup!$A$8:$H$58,2),VLOOKUP(0,setup!$A$8:$H$58,5),VLOOKUP(N481,setup!$A$8:$H$58,8))</f>
        <v/>
      </c>
    </row>
    <row r="482" spans="1:15" x14ac:dyDescent="0.25">
      <c r="A482" s="6" t="s">
        <v>920</v>
      </c>
      <c r="N482">
        <v>48</v>
      </c>
      <c r="O482" s="7" t="str">
        <f ca="1">getCodigoBackend(N482,A482,VLOOKUP(N482,setup!$A$8:$H$58,2),VLOOKUP(N482,setup!$A$8:$H$58,3),VLOOKUP(N482,setup!$A$8:$H$58,4),VLOOKUP(N482,setup!$A$8:$H$58,5),VLOOKUP(N482,setup!$A$8:$H$58,6),VLOOKUP(N482,setup!$A$8:$H$58,7), VLOOKUP(0,setup!$A$8:$H$58,2),VLOOKUP(0,setup!$A$8:$H$58,5),VLOOKUP(N482,setup!$A$8:$H$58,8))</f>
        <v xml:space="preserve">    // Efetua validações no campo $dto-&gt;status com tamanho CampanhaCashbackResgatePixConstantes::LEN_STATUS</v>
      </c>
    </row>
    <row r="483" spans="1:15" x14ac:dyDescent="0.25">
      <c r="A483" s="6" t="s">
        <v>921</v>
      </c>
      <c r="N483">
        <v>48</v>
      </c>
      <c r="O483" s="7" t="str">
        <f ca="1">getCodigoBackend(N483,A483,VLOOKUP(N483,setup!$A$8:$H$58,2),VLOOKUP(N483,setup!$A$8:$H$58,3),VLOOKUP(N483,setup!$A$8:$H$58,4),VLOOKUP(N483,setup!$A$8:$H$58,5),VLOOKUP(N483,setup!$A$8:$H$58,6),VLOOKUP(N483,setup!$A$8:$H$58,7), VLOOKUP(0,setup!$A$8:$H$58,2),VLOOKUP(0,setup!$A$8:$H$58,5),VLOOKUP(N483,setup!$A$8:$H$58,8))</f>
        <v xml:space="preserve">    $ok = $this-&gt;validarTamanhoCampo($dto-&gt;status, CampanhaCashbackResgatePixConstantes::LEN_STATUS, CampanhaCashbackResgatePixConstantes::DESC_STATUS);</v>
      </c>
    </row>
    <row r="484" spans="1:15" x14ac:dyDescent="0.25">
      <c r="A484" s="6" t="s">
        <v>416</v>
      </c>
      <c r="N484">
        <v>48</v>
      </c>
      <c r="O484" s="7" t="str">
        <f ca="1">getCodigoBackend(N484,A484,VLOOKUP(N484,setup!$A$8:$H$58,2),VLOOKUP(N484,setup!$A$8:$H$58,3),VLOOKUP(N484,setup!$A$8:$H$58,4),VLOOKUP(N484,setup!$A$8:$H$58,5),VLOOKUP(N484,setup!$A$8:$H$58,6),VLOOKUP(N484,setup!$A$8:$H$58,7), VLOOKUP(0,setup!$A$8:$H$58,2),VLOOKUP(0,setup!$A$8:$H$58,5),VLOOKUP(N484,setup!$A$8:$H$58,8))</f>
        <v xml:space="preserve">    if($ok-&gt;msgcode != ConstantesMensagem::COMANDO_REALIZADO_COM_SUCESSO){</v>
      </c>
    </row>
    <row r="485" spans="1:15" x14ac:dyDescent="0.25">
      <c r="A485" s="6" t="s">
        <v>417</v>
      </c>
      <c r="N485">
        <v>48</v>
      </c>
      <c r="O485" s="7" t="str">
        <f ca="1">getCodigoBackend(N485,A485,VLOOKUP(N485,setup!$A$8:$H$58,2),VLOOKUP(N485,setup!$A$8:$H$58,3),VLOOKUP(N485,setup!$A$8:$H$58,4),VLOOKUP(N485,setup!$A$8:$H$58,5),VLOOKUP(N485,setup!$A$8:$H$58,6),VLOOKUP(N485,setup!$A$8:$H$58,7), VLOOKUP(0,setup!$A$8:$H$58,2),VLOOKUP(0,setup!$A$8:$H$58,5),VLOOKUP(N485,setup!$A$8:$H$58,8))</f>
        <v xml:space="preserve">        return $ok;</v>
      </c>
    </row>
    <row r="486" spans="1:15" x14ac:dyDescent="0.25">
      <c r="A486" s="6" t="s">
        <v>406</v>
      </c>
      <c r="N486">
        <v>48</v>
      </c>
      <c r="O486" s="7" t="str">
        <f ca="1">getCodigoBackend(N486,A486,VLOOKUP(N486,setup!$A$8:$H$58,2),VLOOKUP(N486,setup!$A$8:$H$58,3),VLOOKUP(N486,setup!$A$8:$H$58,4),VLOOKUP(N486,setup!$A$8:$H$58,5),VLOOKUP(N486,setup!$A$8:$H$58,6),VLOOKUP(N486,setup!$A$8:$H$58,7), VLOOKUP(0,setup!$A$8:$H$58,2),VLOOKUP(0,setup!$A$8:$H$58,5),VLOOKUP(N486,setup!$A$8:$H$58,8))</f>
        <v xml:space="preserve">    }</v>
      </c>
    </row>
    <row r="487" spans="1:15" x14ac:dyDescent="0.25">
      <c r="A487" s="6"/>
      <c r="O487" s="7" t="str">
        <f ca="1">getCodigoBackend(N487,A487,VLOOKUP(N487,setup!$A$8:$H$58,2),VLOOKUP(N487,setup!$A$8:$H$58,3),VLOOKUP(N487,setup!$A$8:$H$58,4),VLOOKUP(N487,setup!$A$8:$H$58,5),VLOOKUP(N487,setup!$A$8:$H$58,6),VLOOKUP(N487,setup!$A$8:$H$58,7), VLOOKUP(0,setup!$A$8:$H$58,2),VLOOKUP(0,setup!$A$8:$H$58,5),VLOOKUP(N487,setup!$A$8:$H$58,8))</f>
        <v/>
      </c>
    </row>
    <row r="488" spans="1:15" x14ac:dyDescent="0.25">
      <c r="A488" s="6" t="s">
        <v>920</v>
      </c>
      <c r="N488">
        <v>49</v>
      </c>
      <c r="O488" s="7" t="str">
        <f ca="1">getCodigoBackend(N488,A488,VLOOKUP(N488,setup!$A$8:$H$58,2),VLOOKUP(N488,setup!$A$8:$H$58,3),VLOOKUP(N488,setup!$A$8:$H$58,4),VLOOKUP(N488,setup!$A$8:$H$58,5),VLOOKUP(N488,setup!$A$8:$H$58,6),VLOOKUP(N488,setup!$A$8:$H$58,7), VLOOKUP(0,setup!$A$8:$H$58,2),VLOOKUP(0,setup!$A$8:$H$58,5),VLOOKUP(N488,setup!$A$8:$H$58,8))</f>
        <v xml:space="preserve">    // Efetua validações no campo $dto-&gt;dataCadastro com tamanho CampanhaCashbackResgatePixConstantes::LEN_DATACADASTRO</v>
      </c>
    </row>
    <row r="489" spans="1:15" x14ac:dyDescent="0.25">
      <c r="A489" s="6" t="s">
        <v>921</v>
      </c>
      <c r="N489">
        <v>49</v>
      </c>
      <c r="O489" s="7" t="str">
        <f ca="1">getCodigoBackend(N489,A489,VLOOKUP(N489,setup!$A$8:$H$58,2),VLOOKUP(N489,setup!$A$8:$H$58,3),VLOOKUP(N489,setup!$A$8:$H$58,4),VLOOKUP(N489,setup!$A$8:$H$58,5),VLOOKUP(N489,setup!$A$8:$H$58,6),VLOOKUP(N489,setup!$A$8:$H$58,7), VLOOKUP(0,setup!$A$8:$H$58,2),VLOOKUP(0,setup!$A$8:$H$58,5),VLOOKUP(N489,setup!$A$8:$H$58,8))</f>
        <v xml:space="preserve">    $ok = $this-&gt;validarTamanhoCampo($dto-&gt;dataCadastro, CampanhaCashbackResgatePixConstantes::LEN_DATACADASTRO, CampanhaCashbackResgatePixConstantes::DESC_DATACADASTRO);</v>
      </c>
    </row>
    <row r="490" spans="1:15" x14ac:dyDescent="0.25">
      <c r="A490" s="6" t="s">
        <v>416</v>
      </c>
      <c r="N490">
        <v>49</v>
      </c>
      <c r="O490" s="7" t="str">
        <f ca="1">getCodigoBackend(N490,A490,VLOOKUP(N490,setup!$A$8:$H$58,2),VLOOKUP(N490,setup!$A$8:$H$58,3),VLOOKUP(N490,setup!$A$8:$H$58,4),VLOOKUP(N490,setup!$A$8:$H$58,5),VLOOKUP(N490,setup!$A$8:$H$58,6),VLOOKUP(N490,setup!$A$8:$H$58,7), VLOOKUP(0,setup!$A$8:$H$58,2),VLOOKUP(0,setup!$A$8:$H$58,5),VLOOKUP(N490,setup!$A$8:$H$58,8))</f>
        <v xml:space="preserve">    if($ok-&gt;msgcode != ConstantesMensagem::COMANDO_REALIZADO_COM_SUCESSO){</v>
      </c>
    </row>
    <row r="491" spans="1:15" x14ac:dyDescent="0.25">
      <c r="A491" s="6" t="s">
        <v>417</v>
      </c>
      <c r="N491">
        <v>49</v>
      </c>
      <c r="O491" s="7" t="str">
        <f ca="1">getCodigoBackend(N491,A491,VLOOKUP(N491,setup!$A$8:$H$58,2),VLOOKUP(N491,setup!$A$8:$H$58,3),VLOOKUP(N491,setup!$A$8:$H$58,4),VLOOKUP(N491,setup!$A$8:$H$58,5),VLOOKUP(N491,setup!$A$8:$H$58,6),VLOOKUP(N491,setup!$A$8:$H$58,7), VLOOKUP(0,setup!$A$8:$H$58,2),VLOOKUP(0,setup!$A$8:$H$58,5),VLOOKUP(N491,setup!$A$8:$H$58,8))</f>
        <v xml:space="preserve">        return $ok;</v>
      </c>
    </row>
    <row r="492" spans="1:15" x14ac:dyDescent="0.25">
      <c r="A492" s="6" t="s">
        <v>406</v>
      </c>
      <c r="N492">
        <v>49</v>
      </c>
      <c r="O492" s="7" t="str">
        <f ca="1">getCodigoBackend(N492,A492,VLOOKUP(N492,setup!$A$8:$H$58,2),VLOOKUP(N492,setup!$A$8:$H$58,3),VLOOKUP(N492,setup!$A$8:$H$58,4),VLOOKUP(N492,setup!$A$8:$H$58,5),VLOOKUP(N492,setup!$A$8:$H$58,6),VLOOKUP(N492,setup!$A$8:$H$58,7), VLOOKUP(0,setup!$A$8:$H$58,2),VLOOKUP(0,setup!$A$8:$H$58,5),VLOOKUP(N492,setup!$A$8:$H$58,8))</f>
        <v xml:space="preserve">    }</v>
      </c>
    </row>
    <row r="493" spans="1:15" x14ac:dyDescent="0.25">
      <c r="A493" s="6"/>
      <c r="O493" s="7" t="str">
        <f ca="1">getCodigoBackend(N493,A493,VLOOKUP(N493,setup!$A$8:$H$58,2),VLOOKUP(N493,setup!$A$8:$H$58,3),VLOOKUP(N493,setup!$A$8:$H$58,4),VLOOKUP(N493,setup!$A$8:$H$58,5),VLOOKUP(N493,setup!$A$8:$H$58,6),VLOOKUP(N493,setup!$A$8:$H$58,7), VLOOKUP(0,setup!$A$8:$H$58,2),VLOOKUP(0,setup!$A$8:$H$58,5),VLOOKUP(N493,setup!$A$8:$H$58,8))</f>
        <v/>
      </c>
    </row>
    <row r="494" spans="1:15" x14ac:dyDescent="0.25">
      <c r="A494" s="6" t="s">
        <v>920</v>
      </c>
      <c r="N494">
        <v>50</v>
      </c>
      <c r="O494" s="7" t="str">
        <f ca="1">getCodigoBackend(N494,A494,VLOOKUP(N494,setup!$A$8:$H$58,2),VLOOKUP(N494,setup!$A$8:$H$58,3),VLOOKUP(N494,setup!$A$8:$H$58,4),VLOOKUP(N494,setup!$A$8:$H$58,5),VLOOKUP(N494,setup!$A$8:$H$58,6),VLOOKUP(N494,setup!$A$8:$H$58,7), VLOOKUP(0,setup!$A$8:$H$58,2),VLOOKUP(0,setup!$A$8:$H$58,5),VLOOKUP(N494,setup!$A$8:$H$58,8))</f>
        <v xml:space="preserve">    // Efetua validações no campo $dto-&gt;dataAtualizacao com tamanho CampanhaCashbackResgatePixConstantes::LEN_DATAATUALIZACAO</v>
      </c>
    </row>
    <row r="495" spans="1:15" x14ac:dyDescent="0.25">
      <c r="A495" s="6" t="s">
        <v>921</v>
      </c>
      <c r="N495">
        <v>50</v>
      </c>
      <c r="O495" s="7" t="str">
        <f ca="1">getCodigoBackend(N495,A495,VLOOKUP(N495,setup!$A$8:$H$58,2),VLOOKUP(N495,setup!$A$8:$H$58,3),VLOOKUP(N495,setup!$A$8:$H$58,4),VLOOKUP(N495,setup!$A$8:$H$58,5),VLOOKUP(N495,setup!$A$8:$H$58,6),VLOOKUP(N495,setup!$A$8:$H$58,7), VLOOKUP(0,setup!$A$8:$H$58,2),VLOOKUP(0,setup!$A$8:$H$58,5),VLOOKUP(N495,setup!$A$8:$H$58,8))</f>
        <v xml:space="preserve">    $ok = $this-&gt;validarTamanhoCampo($dto-&gt;dataAtualizacao, CampanhaCashbackResgatePixConstantes::LEN_DATAATUALIZACAO, CampanhaCashbackResgatePixConstantes::DESC_DATAATUALIZACAO);</v>
      </c>
    </row>
    <row r="496" spans="1:15" x14ac:dyDescent="0.25">
      <c r="A496" s="6" t="s">
        <v>416</v>
      </c>
      <c r="N496">
        <v>50</v>
      </c>
      <c r="O496" s="7" t="str">
        <f ca="1">getCodigoBackend(N496,A496,VLOOKUP(N496,setup!$A$8:$H$58,2),VLOOKUP(N496,setup!$A$8:$H$58,3),VLOOKUP(N496,setup!$A$8:$H$58,4),VLOOKUP(N496,setup!$A$8:$H$58,5),VLOOKUP(N496,setup!$A$8:$H$58,6),VLOOKUP(N496,setup!$A$8:$H$58,7), VLOOKUP(0,setup!$A$8:$H$58,2),VLOOKUP(0,setup!$A$8:$H$58,5),VLOOKUP(N496,setup!$A$8:$H$58,8))</f>
        <v xml:space="preserve">    if($ok-&gt;msgcode != ConstantesMensagem::COMANDO_REALIZADO_COM_SUCESSO){</v>
      </c>
    </row>
    <row r="497" spans="1:15" x14ac:dyDescent="0.25">
      <c r="A497" s="6" t="s">
        <v>417</v>
      </c>
      <c r="N497">
        <v>50</v>
      </c>
      <c r="O497" s="7" t="str">
        <f ca="1">getCodigoBackend(N497,A497,VLOOKUP(N497,setup!$A$8:$H$58,2),VLOOKUP(N497,setup!$A$8:$H$58,3),VLOOKUP(N497,setup!$A$8:$H$58,4),VLOOKUP(N497,setup!$A$8:$H$58,5),VLOOKUP(N497,setup!$A$8:$H$58,6),VLOOKUP(N497,setup!$A$8:$H$58,7), VLOOKUP(0,setup!$A$8:$H$58,2),VLOOKUP(0,setup!$A$8:$H$58,5),VLOOKUP(N497,setup!$A$8:$H$58,8))</f>
        <v xml:space="preserve">        return $ok;</v>
      </c>
    </row>
    <row r="498" spans="1:15" x14ac:dyDescent="0.25">
      <c r="A498" s="6" t="s">
        <v>406</v>
      </c>
      <c r="N498">
        <v>50</v>
      </c>
      <c r="O498" s="7" t="str">
        <f ca="1">getCodigoBackend(N498,A498,VLOOKUP(N498,setup!$A$8:$H$58,2),VLOOKUP(N498,setup!$A$8:$H$58,3),VLOOKUP(N498,setup!$A$8:$H$58,4),VLOOKUP(N498,setup!$A$8:$H$58,5),VLOOKUP(N498,setup!$A$8:$H$58,6),VLOOKUP(N498,setup!$A$8:$H$58,7), VLOOKUP(0,setup!$A$8:$H$58,2),VLOOKUP(0,setup!$A$8:$H$58,5),VLOOKUP(N498,setup!$A$8:$H$58,8))</f>
        <v xml:space="preserve">    }</v>
      </c>
    </row>
    <row r="499" spans="1:15" x14ac:dyDescent="0.25">
      <c r="A499" s="6"/>
      <c r="O499" s="7" t="str">
        <f ca="1">getCodigoBackend(N499,A499,VLOOKUP(N499,setup!$A$8:$H$58,2),VLOOKUP(N499,setup!$A$8:$H$58,3),VLOOKUP(N499,setup!$A$8:$H$58,4),VLOOKUP(N499,setup!$A$8:$H$58,5),VLOOKUP(N499,setup!$A$8:$H$58,6),VLOOKUP(N499,setup!$A$8:$H$58,7), VLOOKUP(0,setup!$A$8:$H$58,2),VLOOKUP(0,setup!$A$8:$H$58,5),VLOOKUP(N499,setup!$A$8:$H$58,8))</f>
        <v/>
      </c>
    </row>
    <row r="500" spans="1:15" ht="16.5" customHeight="1" x14ac:dyDescent="0.25">
      <c r="A500" s="6"/>
      <c r="O500" s="7" t="str">
        <f ca="1">getCodigoBackend(N500,A500,VLOOKUP(N500,setup!$A$8:$H$58,2),VLOOKUP(N500,setup!$A$8:$H$58,3),VLOOKUP(N500,setup!$A$8:$H$58,4),VLOOKUP(N500,setup!$A$8:$H$58,5),VLOOKUP(N500,setup!$A$8:$H$58,6),VLOOKUP(N500,setup!$A$8:$H$58,7), VLOOKUP(0,setup!$A$8:$H$58,2),VLOOKUP(0,setup!$A$8:$H$58,5),VLOOKUP(N500,setup!$A$8:$H$58,8))</f>
        <v/>
      </c>
    </row>
    <row r="501" spans="1:15" ht="16.5" customHeight="1" x14ac:dyDescent="0.25">
      <c r="A501" t="s">
        <v>412</v>
      </c>
      <c r="O501" s="7" t="str">
        <f ca="1">getCodigoBackend(N501,A501,VLOOKUP(N501,setup!$A$8:$H$58,2),VLOOKUP(N501,setup!$A$8:$H$58,3),VLOOKUP(N501,setup!$A$8:$H$58,4),VLOOKUP(N501,setup!$A$8:$H$58,5),VLOOKUP(N501,setup!$A$8:$H$58,6),VLOOKUP(N501,setup!$A$8:$H$58,7), VLOOKUP(0,setup!$A$8:$H$58,2),VLOOKUP(0,setup!$A$8:$H$58,5),VLOOKUP(N501,setup!$A$8:$H$58,8))</f>
        <v xml:space="preserve">    $dto-&gt;status = ConstantesVariavel::STATUS_ATIVO;</v>
      </c>
    </row>
    <row r="502" spans="1:15" ht="16.5" customHeight="1" x14ac:dyDescent="0.25">
      <c r="A502" s="6" t="s">
        <v>432</v>
      </c>
      <c r="O502" s="7" t="str">
        <f ca="1">getCodigoBackend(N502,A502,VLOOKUP(N502,setup!$A$8:$H$58,2),VLOOKUP(N502,setup!$A$8:$H$58,3),VLOOKUP(N502,setup!$A$8:$H$58,4),VLOOKUP(N502,setup!$A$8:$H$58,5),VLOOKUP(N502,setup!$A$8:$H$58,6),VLOOKUP(N502,setup!$A$8:$H$58,7), VLOOKUP(0,setup!$A$8:$H$58,2),VLOOKUP(0,setup!$A$8:$H$58,5),VLOOKUP(N502,setup!$A$8:$H$58,8))</f>
        <v xml:space="preserve">    $dao = $daofactory-&gt;getCampanhaCashbackResgatePixDAO($daofactory);</v>
      </c>
    </row>
    <row r="503" spans="1:15" ht="16.5" customHeight="1" x14ac:dyDescent="0.25">
      <c r="A503" s="6"/>
      <c r="O503" s="7" t="str">
        <f ca="1">getCodigoBackend(N503,A503,VLOOKUP(N503,setup!$A$8:$H$58,2),VLOOKUP(N503,setup!$A$8:$H$58,3),VLOOKUP(N503,setup!$A$8:$H$58,4),VLOOKUP(N503,setup!$A$8:$H$58,5),VLOOKUP(N503,setup!$A$8:$H$58,6),VLOOKUP(N503,setup!$A$8:$H$58,7), VLOOKUP(0,setup!$A$8:$H$58,2),VLOOKUP(0,setup!$A$8:$H$58,5),VLOOKUP(N503,setup!$A$8:$H$58,8))</f>
        <v/>
      </c>
    </row>
    <row r="504" spans="1:15" ht="16.5" customHeight="1" x14ac:dyDescent="0.25">
      <c r="A504" s="6" t="s">
        <v>413</v>
      </c>
      <c r="O504" s="7" t="str">
        <f ca="1">getCodigoBackend(N504,A504,VLOOKUP(N504,setup!$A$8:$H$58,2),VLOOKUP(N504,setup!$A$8:$H$58,3),VLOOKUP(N504,setup!$A$8:$H$58,4),VLOOKUP(N504,setup!$A$8:$H$58,5),VLOOKUP(N504,setup!$A$8:$H$58,6),VLOOKUP(N504,setup!$A$8:$H$58,7), VLOOKUP(0,setup!$A$8:$H$58,2),VLOOKUP(0,setup!$A$8:$H$58,5),VLOOKUP(N504,setup!$A$8:$H$58,8))</f>
        <v xml:space="preserve">    if (!$dao-&gt;insert($dto)) {</v>
      </c>
    </row>
    <row r="505" spans="1:15" ht="16.5" customHeight="1" x14ac:dyDescent="0.25">
      <c r="A505" s="6" t="s">
        <v>404</v>
      </c>
      <c r="O505" s="7" t="str">
        <f ca="1">getCodigoBackend(N505,A505,VLOOKUP(N505,setup!$A$8:$H$58,2),VLOOKUP(N505,setup!$A$8:$H$58,3),VLOOKUP(N505,setup!$A$8:$H$58,4),VLOOKUP(N505,setup!$A$8:$H$58,5),VLOOKUP(N505,setup!$A$8:$H$58,6),VLOOKUP(N505,setup!$A$8:$H$58,7), VLOOKUP(0,setup!$A$8:$H$58,2),VLOOKUP(0,setup!$A$8:$H$58,5),VLOOKUP(N505,setup!$A$8:$H$58,8))</f>
        <v xml:space="preserve">        $retorno = new DTOPadrao();</v>
      </c>
    </row>
    <row r="506" spans="1:15" ht="16.5" customHeight="1" x14ac:dyDescent="0.25">
      <c r="A506" t="s">
        <v>414</v>
      </c>
      <c r="O506" s="7" t="str">
        <f ca="1">getCodigoBackend(N506,A506,VLOOKUP(N506,setup!$A$8:$H$58,2),VLOOKUP(N506,setup!$A$8:$H$58,3),VLOOKUP(N506,setup!$A$8:$H$58,4),VLOOKUP(N506,setup!$A$8:$H$58,5),VLOOKUP(N506,setup!$A$8:$H$58,6),VLOOKUP(N506,setup!$A$8:$H$58,7), VLOOKUP(0,setup!$A$8:$H$58,2),VLOOKUP(0,setup!$A$8:$H$58,5),VLOOKUP(N506,setup!$A$8:$H$58,8))</f>
        <v xml:space="preserve">        $retorno-&gt;msgcode = ConstantesMensagem::ERRO_CRUD_INSERIR_REGISTRO;</v>
      </c>
    </row>
    <row r="507" spans="1:15" ht="16.5" customHeight="1" x14ac:dyDescent="0.25">
      <c r="A507" s="6" t="s">
        <v>405</v>
      </c>
      <c r="O507" s="7" t="str">
        <f ca="1">getCodigoBackend(N507,A507,VLOOKUP(N507,setup!$A$8:$H$58,2),VLOOKUP(N507,setup!$A$8:$H$58,3),VLOOKUP(N507,setup!$A$8:$H$58,4),VLOOKUP(N507,setup!$A$8:$H$58,5),VLOOKUP(N507,setup!$A$8:$H$58,6),VLOOKUP(N507,setup!$A$8:$H$58,7), VLOOKUP(0,setup!$A$8:$H$58,2),VLOOKUP(0,setup!$A$8:$H$58,5),VLOOKUP(N507,setup!$A$8:$H$58,8))</f>
        <v xml:space="preserve">        $retorno-&gt;msgcodeString = MensagemCache::getInstance()-&gt;getMensagem($retorno-&gt;msgcode);</v>
      </c>
    </row>
    <row r="508" spans="1:15" ht="16.5" customHeight="1" x14ac:dyDescent="0.25">
      <c r="A508" s="6" t="s">
        <v>406</v>
      </c>
      <c r="O508" s="7" t="str">
        <f ca="1">getCodigoBackend(N508,A508,VLOOKUP(N508,setup!$A$8:$H$58,2),VLOOKUP(N508,setup!$A$8:$H$58,3),VLOOKUP(N508,setup!$A$8:$H$58,4),VLOOKUP(N508,setup!$A$8:$H$58,5),VLOOKUP(N508,setup!$A$8:$H$58,6),VLOOKUP(N508,setup!$A$8:$H$58,7), VLOOKUP(0,setup!$A$8:$H$58,2),VLOOKUP(0,setup!$A$8:$H$58,5),VLOOKUP(N508,setup!$A$8:$H$58,8))</f>
        <v xml:space="preserve">    }</v>
      </c>
    </row>
    <row r="509" spans="1:15" x14ac:dyDescent="0.25">
      <c r="A509" s="6"/>
      <c r="O509" s="7" t="str">
        <f ca="1">getCodigoBackend(N509,A509,VLOOKUP(N509,setup!$A$8:$H$58,2),VLOOKUP(N509,setup!$A$8:$H$58,3),VLOOKUP(N509,setup!$A$8:$H$58,4),VLOOKUP(N509,setup!$A$8:$H$58,5),VLOOKUP(N509,setup!$A$8:$H$58,6),VLOOKUP(N509,setup!$A$8:$H$58,7), VLOOKUP(0,setup!$A$8:$H$58,2),VLOOKUP(0,setup!$A$8:$H$58,5),VLOOKUP(N509,setup!$A$8:$H$58,8))</f>
        <v/>
      </c>
    </row>
    <row r="510" spans="1:15" x14ac:dyDescent="0.25">
      <c r="A510" s="6" t="s">
        <v>415</v>
      </c>
      <c r="O510" s="7" t="str">
        <f ca="1">getCodigoBackend(N510,A510,VLOOKUP(N510,setup!$A$8:$H$58,2),VLOOKUP(N510,setup!$A$8:$H$58,3),VLOOKUP(N510,setup!$A$8:$H$58,4),VLOOKUP(N510,setup!$A$8:$H$58,5),VLOOKUP(N510,setup!$A$8:$H$58,6),VLOOKUP(N510,setup!$A$8:$H$58,7), VLOOKUP(0,setup!$A$8:$H$58,2),VLOOKUP(0,setup!$A$8:$H$58,5),VLOOKUP(N510,setup!$A$8:$H$58,8))</f>
        <v xml:space="preserve">    return $retorno;</v>
      </c>
    </row>
    <row r="511" spans="1:15" x14ac:dyDescent="0.25">
      <c r="A511" s="6" t="s">
        <v>28</v>
      </c>
      <c r="O511" s="7" t="str">
        <f ca="1">getCodigoBackend(N511,A511,VLOOKUP(N511,setup!$A$8:$H$58,2),VLOOKUP(N511,setup!$A$8:$H$58,3),VLOOKUP(N511,setup!$A$8:$H$58,4),VLOOKUP(N511,setup!$A$8:$H$58,5),VLOOKUP(N511,setup!$A$8:$H$58,6),VLOOKUP(N511,setup!$A$8:$H$58,7), VLOOKUP(0,setup!$A$8:$H$58,2),VLOOKUP(0,setup!$A$8:$H$58,5),VLOOKUP(N511,setup!$A$8:$H$58,8))</f>
        <v>}</v>
      </c>
    </row>
    <row r="512" spans="1:15" x14ac:dyDescent="0.25">
      <c r="A512" s="6"/>
      <c r="O512" s="7" t="str">
        <f ca="1">getCodigoBackend(N512,A512,VLOOKUP(N512,setup!$A$8:$H$58,2),VLOOKUP(N512,setup!$A$8:$H$58,3),VLOOKUP(N512,setup!$A$8:$H$58,4),VLOOKUP(N512,setup!$A$8:$H$58,5),VLOOKUP(N512,setup!$A$8:$H$58,6),VLOOKUP(N512,setup!$A$8:$H$58,7), VLOOKUP(0,setup!$A$8:$H$58,2),VLOOKUP(0,setup!$A$8:$H$58,5),VLOOKUP(N512,setup!$A$8:$H$58,8))</f>
        <v/>
      </c>
    </row>
    <row r="513" spans="1:15" x14ac:dyDescent="0.25">
      <c r="A513" s="4" t="s">
        <v>19</v>
      </c>
      <c r="O513" s="7" t="str">
        <f ca="1">getCodigoBackend(N513,A513,VLOOKUP(N513,setup!$A$8:$H$58,2),VLOOKUP(N513,setup!$A$8:$H$58,3),VLOOKUP(N513,setup!$A$8:$H$58,4),VLOOKUP(N513,setup!$A$8:$H$58,5),VLOOKUP(N513,setup!$A$8:$H$58,6),VLOOKUP(N513,setup!$A$8:$H$58,7), VLOOKUP(0,setup!$A$8:$H$58,2),VLOOKUP(0,setup!$A$8:$H$58,5),VLOOKUP(N513,setup!$A$8:$H$58,8))</f>
        <v>/**</v>
      </c>
    </row>
    <row r="514" spans="1:15" x14ac:dyDescent="0.25">
      <c r="A514" s="4" t="s">
        <v>20</v>
      </c>
      <c r="O514" s="7" t="str">
        <f ca="1">getCodigoBackend(N514,A514,VLOOKUP(N514,setup!$A$8:$H$58,2),VLOOKUP(N514,setup!$A$8:$H$58,3),VLOOKUP(N514,setup!$A$8:$H$58,4),VLOOKUP(N514,setup!$A$8:$H$58,5),VLOOKUP(N514,setup!$A$8:$H$58,6),VLOOKUP(N514,setup!$A$8:$H$58,7), VLOOKUP(0,setup!$A$8:$H$58,2),VLOOKUP(0,setup!$A$8:$H$58,5),VLOOKUP(N514,setup!$A$8:$H$58,8))</f>
        <v>*</v>
      </c>
    </row>
    <row r="515" spans="1:15" x14ac:dyDescent="0.25">
      <c r="A515" s="4" t="s">
        <v>378</v>
      </c>
      <c r="O515" s="7" t="str">
        <f ca="1">getCodigoBackend(N515,A515,VLOOKUP(N515,setup!$A$8:$H$58,2),VLOOKUP(N515,setup!$A$8:$H$58,3),VLOOKUP(N515,setup!$A$8:$H$58,4),VLOOKUP(N515,setup!$A$8:$H$58,5),VLOOKUP(N515,setup!$A$8:$H$58,6),VLOOKUP(N515,setup!$A$8:$H$58,7), VLOOKUP(0,setup!$A$8:$H$58,2),VLOOKUP(0,setup!$A$8:$H$58,5),VLOOKUP(N515,setup!$A$8:$H$58,8))</f>
        <v>* listarCampanhaCashbackResgatePixPorStatus() - Usado para invocar a interface de acesso aos dados (DAO) CampanhaCashbackResgatePixDAO de forma geral</v>
      </c>
    </row>
    <row r="516" spans="1:15" x14ac:dyDescent="0.25">
      <c r="A516" s="4" t="s">
        <v>354</v>
      </c>
      <c r="O516" s="7" t="str">
        <f ca="1">getCodigoBackend(N516,A516,VLOOKUP(N516,setup!$A$8:$H$58,2),VLOOKUP(N516,setup!$A$8:$H$58,3),VLOOKUP(N516,setup!$A$8:$H$58,4),VLOOKUP(N516,setup!$A$8:$H$58,5),VLOOKUP(N516,setup!$A$8:$H$58,6),VLOOKUP(N516,setup!$A$8:$H$58,7), VLOOKUP(0,setup!$A$8:$H$58,2),VLOOKUP(0,setup!$A$8:$H$58,5),VLOOKUP(N516,setup!$A$8:$H$58,8))</f>
        <v>* realizar lista paginada de registros com uma instância de PaginacaoDTO</v>
      </c>
    </row>
    <row r="517" spans="1:15" x14ac:dyDescent="0.25">
      <c r="A517" s="4" t="s">
        <v>20</v>
      </c>
      <c r="O517" s="7" t="str">
        <f ca="1">getCodigoBackend(N517,A517,VLOOKUP(N517,setup!$A$8:$H$58,2),VLOOKUP(N517,setup!$A$8:$H$58,3),VLOOKUP(N517,setup!$A$8:$H$58,4),VLOOKUP(N517,setup!$A$8:$H$58,5),VLOOKUP(N517,setup!$A$8:$H$58,6),VLOOKUP(N517,setup!$A$8:$H$58,7), VLOOKUP(0,setup!$A$8:$H$58,2),VLOOKUP(0,setup!$A$8:$H$58,5),VLOOKUP(N517,setup!$A$8:$H$58,8))</f>
        <v>*</v>
      </c>
    </row>
    <row r="518" spans="1:15" x14ac:dyDescent="0.25">
      <c r="A518" s="4" t="s">
        <v>361</v>
      </c>
      <c r="O518" s="7" t="str">
        <f ca="1">getCodigoBackend(N518,A518,VLOOKUP(N518,setup!$A$8:$H$58,2),VLOOKUP(N518,setup!$A$8:$H$58,3),VLOOKUP(N518,setup!$A$8:$H$58,4),VLOOKUP(N518,setup!$A$8:$H$58,5),VLOOKUP(N518,setup!$A$8:$H$58,6),VLOOKUP(N518,setup!$A$8:$H$58,7), VLOOKUP(0,setup!$A$8:$H$58,2),VLOOKUP(0,setup!$A$8:$H$58,5),VLOOKUP(N518,setup!$A$8:$H$58,8))</f>
        <v>* @param $daofactory</v>
      </c>
    </row>
    <row r="519" spans="1:15" x14ac:dyDescent="0.25">
      <c r="A519" s="4" t="s">
        <v>350</v>
      </c>
      <c r="O519" s="7" t="str">
        <f ca="1">getCodigoBackend(N519,A519,VLOOKUP(N519,setup!$A$8:$H$58,2),VLOOKUP(N519,setup!$A$8:$H$58,3),VLOOKUP(N519,setup!$A$8:$H$58,4),VLOOKUP(N519,setup!$A$8:$H$58,5),VLOOKUP(N519,setup!$A$8:$H$58,6),VLOOKUP(N519,setup!$A$8:$H$58,7), VLOOKUP(0,setup!$A$8:$H$58,2),VLOOKUP(0,setup!$A$8:$H$58,5),VLOOKUP(N519,setup!$A$8:$H$58,8))</f>
        <v>* @param $status</v>
      </c>
    </row>
    <row r="520" spans="1:15" x14ac:dyDescent="0.25">
      <c r="A520" s="4" t="s">
        <v>342</v>
      </c>
      <c r="O520" s="7" t="str">
        <f ca="1">getCodigoBackend(N520,A520,VLOOKUP(N520,setup!$A$8:$H$58,2),VLOOKUP(N520,setup!$A$8:$H$58,3),VLOOKUP(N520,setup!$A$8:$H$58,4),VLOOKUP(N520,setup!$A$8:$H$58,5),VLOOKUP(N520,setup!$A$8:$H$58,6),VLOOKUP(N520,setup!$A$8:$H$58,7), VLOOKUP(0,setup!$A$8:$H$58,2),VLOOKUP(0,setup!$A$8:$H$58,5),VLOOKUP(N520,setup!$A$8:$H$58,8))</f>
        <v>* @param $pag</v>
      </c>
    </row>
    <row r="521" spans="1:15" x14ac:dyDescent="0.25">
      <c r="A521" s="4" t="s">
        <v>343</v>
      </c>
      <c r="O521" s="7" t="str">
        <f ca="1">getCodigoBackend(N521,A521,VLOOKUP(N521,setup!$A$8:$H$58,2),VLOOKUP(N521,setup!$A$8:$H$58,3),VLOOKUP(N521,setup!$A$8:$H$58,4),VLOOKUP(N521,setup!$A$8:$H$58,5),VLOOKUP(N521,setup!$A$8:$H$58,6),VLOOKUP(N521,setup!$A$8:$H$58,7), VLOOKUP(0,setup!$A$8:$H$58,2),VLOOKUP(0,setup!$A$8:$H$58,5),VLOOKUP(N521,setup!$A$8:$H$58,8))</f>
        <v>* @param $qtde</v>
      </c>
    </row>
    <row r="522" spans="1:15" x14ac:dyDescent="0.25">
      <c r="A522" s="4" t="s">
        <v>351</v>
      </c>
      <c r="O522" s="7" t="str">
        <f ca="1">getCodigoBackend(N522,A522,VLOOKUP(N522,setup!$A$8:$H$58,2),VLOOKUP(N522,setup!$A$8:$H$58,3),VLOOKUP(N522,setup!$A$8:$H$58,4),VLOOKUP(N522,setup!$A$8:$H$58,5),VLOOKUP(N522,setup!$A$8:$H$58,6),VLOOKUP(N522,setup!$A$8:$H$58,7), VLOOKUP(0,setup!$A$8:$H$58,2),VLOOKUP(0,setup!$A$8:$H$58,5),VLOOKUP(N522,setup!$A$8:$H$58,8))</f>
        <v>* @param $coluna</v>
      </c>
    </row>
    <row r="523" spans="1:15" x14ac:dyDescent="0.25">
      <c r="A523" s="4" t="s">
        <v>352</v>
      </c>
      <c r="O523" s="7" t="str">
        <f ca="1">getCodigoBackend(N523,A523,VLOOKUP(N523,setup!$A$8:$H$58,2),VLOOKUP(N523,setup!$A$8:$H$58,3),VLOOKUP(N523,setup!$A$8:$H$58,4),VLOOKUP(N523,setup!$A$8:$H$58,5),VLOOKUP(N523,setup!$A$8:$H$58,6),VLOOKUP(N523,setup!$A$8:$H$58,7), VLOOKUP(0,setup!$A$8:$H$58,2),VLOOKUP(0,setup!$A$8:$H$58,5),VLOOKUP(N523,setup!$A$8:$H$58,8))</f>
        <v>* @param $ordem</v>
      </c>
    </row>
    <row r="524" spans="1:15" x14ac:dyDescent="0.25">
      <c r="A524" s="4" t="s">
        <v>353</v>
      </c>
      <c r="O524" s="7" t="str">
        <f ca="1">getCodigoBackend(N524,A524,VLOOKUP(N524,setup!$A$8:$H$58,2),VLOOKUP(N524,setup!$A$8:$H$58,3),VLOOKUP(N524,setup!$A$8:$H$58,4),VLOOKUP(N524,setup!$A$8:$H$58,5),VLOOKUP(N524,setup!$A$8:$H$58,6),VLOOKUP(N524,setup!$A$8:$H$58,7), VLOOKUP(0,setup!$A$8:$H$58,2),VLOOKUP(0,setup!$A$8:$H$58,5),VLOOKUP(N524,setup!$A$8:$H$58,8))</f>
        <v>* @return $PaginacaoDTO</v>
      </c>
    </row>
    <row r="525" spans="1:15" x14ac:dyDescent="0.25">
      <c r="A525" s="4" t="s">
        <v>21</v>
      </c>
      <c r="O525" s="7" t="str">
        <f ca="1">getCodigoBackend(N525,A525,VLOOKUP(N525,setup!$A$8:$H$58,2),VLOOKUP(N525,setup!$A$8:$H$58,3),VLOOKUP(N525,setup!$A$8:$H$58,4),VLOOKUP(N525,setup!$A$8:$H$58,5),VLOOKUP(N525,setup!$A$8:$H$58,6),VLOOKUP(N525,setup!$A$8:$H$58,7), VLOOKUP(0,setup!$A$8:$H$58,2),VLOOKUP(0,setup!$A$8:$H$58,5),VLOOKUP(N525,setup!$A$8:$H$58,8))</f>
        <v>*/</v>
      </c>
    </row>
    <row r="526" spans="1:15" x14ac:dyDescent="0.25">
      <c r="A526" s="6"/>
      <c r="O526" s="7" t="str">
        <f ca="1">getCodigoBackend(N526,A526,VLOOKUP(N526,setup!$A$8:$H$58,2),VLOOKUP(N526,setup!$A$8:$H$58,3),VLOOKUP(N526,setup!$A$8:$H$58,4),VLOOKUP(N526,setup!$A$8:$H$58,5),VLOOKUP(N526,setup!$A$8:$H$58,6),VLOOKUP(N526,setup!$A$8:$H$58,7), VLOOKUP(0,setup!$A$8:$H$58,2),VLOOKUP(0,setup!$A$8:$H$58,5),VLOOKUP(N526,setup!$A$8:$H$58,8))</f>
        <v/>
      </c>
    </row>
    <row r="527" spans="1:15" x14ac:dyDescent="0.25">
      <c r="A527" s="2" t="s">
        <v>234</v>
      </c>
      <c r="O527" s="7" t="str">
        <f ca="1">getCodigoBackend(N527,A527,VLOOKUP(N527,setup!$A$8:$H$58,2),VLOOKUP(N527,setup!$A$8:$H$58,3),VLOOKUP(N527,setup!$A$8:$H$58,4),VLOOKUP(N527,setup!$A$8:$H$58,5),VLOOKUP(N527,setup!$A$8:$H$58,6),VLOOKUP(N527,setup!$A$8:$H$58,7), VLOOKUP(0,setup!$A$8:$H$58,2),VLOOKUP(0,setup!$A$8:$H$58,5),VLOOKUP(N527,setup!$A$8:$H$58,8))</f>
        <v xml:space="preserve">    public function listarCampanhaCashbackResgatePixPorStatus($daofactory, $status, $pag, $qtde, $coluna, $ordem)</v>
      </c>
    </row>
    <row r="528" spans="1:15" x14ac:dyDescent="0.25">
      <c r="A528" s="6" t="s">
        <v>90</v>
      </c>
      <c r="O528" s="7" t="str">
        <f ca="1">getCodigoBackend(N528,A528,VLOOKUP(N528,setup!$A$8:$H$58,2),VLOOKUP(N528,setup!$A$8:$H$58,3),VLOOKUP(N528,setup!$A$8:$H$58,4),VLOOKUP(N528,setup!$A$8:$H$58,5),VLOOKUP(N528,setup!$A$8:$H$58,6),VLOOKUP(N528,setup!$A$8:$H$58,7), VLOOKUP(0,setup!$A$8:$H$58,2),VLOOKUP(0,setup!$A$8:$H$58,5),VLOOKUP(N528,setup!$A$8:$H$58,8))</f>
        <v>    {   </v>
      </c>
    </row>
    <row r="529" spans="1:15" x14ac:dyDescent="0.25">
      <c r="A529" s="6" t="s">
        <v>188</v>
      </c>
      <c r="O529" s="7" t="str">
        <f ca="1">getCodigoBackend(N529,A529,VLOOKUP(N529,setup!$A$8:$H$58,2),VLOOKUP(N529,setup!$A$8:$H$58,3),VLOOKUP(N529,setup!$A$8:$H$58,4),VLOOKUP(N529,setup!$A$8:$H$58,5),VLOOKUP(N529,setup!$A$8:$H$58,6),VLOOKUP(N529,setup!$A$8:$H$58,7), VLOOKUP(0,setup!$A$8:$H$58,2),VLOOKUP(0,setup!$A$8:$H$58,5),VLOOKUP(N529,setup!$A$8:$H$58,8))</f>
        <v>        $retorno = new DTOPaginacao();</v>
      </c>
    </row>
    <row r="530" spans="1:15" x14ac:dyDescent="0.25">
      <c r="A530" s="6" t="s">
        <v>72</v>
      </c>
      <c r="O530" s="7" t="str">
        <f ca="1">getCodigoBackend(N530,A530,VLOOKUP(N530,setup!$A$8:$H$58,2),VLOOKUP(N530,setup!$A$8:$H$58,3),VLOOKUP(N530,setup!$A$8:$H$58,4),VLOOKUP(N530,setup!$A$8:$H$58,5),VLOOKUP(N530,setup!$A$8:$H$58,6),VLOOKUP(N530,setup!$A$8:$H$58,7), VLOOKUP(0,setup!$A$8:$H$58,2),VLOOKUP(0,setup!$A$8:$H$58,5),VLOOKUP(N530,setup!$A$8:$H$58,8))</f>
        <v>        $retorno-&gt;msgcode = ConstantesMensagem::COMANDO_REALIZADO_COM_SUCESSO;</v>
      </c>
    </row>
    <row r="531" spans="1:15" x14ac:dyDescent="0.25">
      <c r="A531" s="6" t="s">
        <v>73</v>
      </c>
      <c r="O531" s="7" t="str">
        <f ca="1">getCodigoBackend(N531,A531,VLOOKUP(N531,setup!$A$8:$H$58,2),VLOOKUP(N531,setup!$A$8:$H$58,3),VLOOKUP(N531,setup!$A$8:$H$58,4),VLOOKUP(N531,setup!$A$8:$H$58,5),VLOOKUP(N531,setup!$A$8:$H$58,6),VLOOKUP(N531,setup!$A$8:$H$58,7), VLOOKUP(0,setup!$A$8:$H$58,2),VLOOKUP(0,setup!$A$8:$H$58,5),VLOOKUP(N531,setup!$A$8:$H$58,8))</f>
        <v>        $retorno-&gt;msgcodeString = MensagemCache::getInstance()-&gt;getMensagem($retorno-&gt;msgcode);</v>
      </c>
    </row>
    <row r="532" spans="1:15" x14ac:dyDescent="0.25">
      <c r="A532" s="3"/>
      <c r="O532" s="7" t="str">
        <f ca="1">getCodigoBackend(N532,A532,VLOOKUP(N532,setup!$A$8:$H$58,2),VLOOKUP(N532,setup!$A$8:$H$58,3),VLOOKUP(N532,setup!$A$8:$H$58,4),VLOOKUP(N532,setup!$A$8:$H$58,5),VLOOKUP(N532,setup!$A$8:$H$58,6),VLOOKUP(N532,setup!$A$8:$H$58,7), VLOOKUP(0,setup!$A$8:$H$58,2),VLOOKUP(0,setup!$A$8:$H$58,5),VLOOKUP(N532,setup!$A$8:$H$58,8))</f>
        <v/>
      </c>
    </row>
    <row r="533" spans="1:15" x14ac:dyDescent="0.25">
      <c r="A533" s="8" t="s">
        <v>235</v>
      </c>
      <c r="O533" s="7" t="str">
        <f ca="1">getCodigoBackend(N533,A533,VLOOKUP(N533,setup!$A$8:$H$58,2),VLOOKUP(N533,setup!$A$8:$H$58,3),VLOOKUP(N533,setup!$A$8:$H$58,4),VLOOKUP(N533,setup!$A$8:$H$58,5),VLOOKUP(N533,setup!$A$8:$H$58,6),VLOOKUP(N533,setup!$A$8:$H$58,7), VLOOKUP(0,setup!$A$8:$H$58,2),VLOOKUP(0,setup!$A$8:$H$58,5),VLOOKUP(N533,setup!$A$8:$H$58,8))</f>
        <v xml:space="preserve">        $dao = $daofactory-&gt;getCampanhaCashbackResgatePixDAO($daofactory);</v>
      </c>
    </row>
    <row r="534" spans="1:15" x14ac:dyDescent="0.25">
      <c r="A534" s="6" t="s">
        <v>189</v>
      </c>
      <c r="O534" s="7" t="str">
        <f ca="1">getCodigoBackend(N534,A534,VLOOKUP(N534,setup!$A$8:$H$58,2),VLOOKUP(N534,setup!$A$8:$H$58,3),VLOOKUP(N534,setup!$A$8:$H$58,4),VLOOKUP(N534,setup!$A$8:$H$58,5),VLOOKUP(N534,setup!$A$8:$H$58,6),VLOOKUP(N534,setup!$A$8:$H$58,7), VLOOKUP(0,setup!$A$8:$H$58,2),VLOOKUP(0,setup!$A$8:$H$58,5),VLOOKUP(N534,setup!$A$8:$H$58,8))</f>
        <v>        $retorno-&gt;pagina = $pag;</v>
      </c>
    </row>
    <row r="535" spans="1:15" x14ac:dyDescent="0.25">
      <c r="A535" s="8" t="s">
        <v>203</v>
      </c>
      <c r="O535" s="7" t="str">
        <f ca="1">getCodigoBackend(N535,A535,VLOOKUP(N535,setup!$A$8:$H$58,2),VLOOKUP(N535,setup!$A$8:$H$58,3),VLOOKUP(N535,setup!$A$8:$H$58,4),VLOOKUP(N535,setup!$A$8:$H$58,5),VLOOKUP(N535,setup!$A$8:$H$58,6),VLOOKUP(N535,setup!$A$8:$H$58,7), VLOOKUP(0,setup!$A$8:$H$58,2),VLOOKUP(0,setup!$A$8:$H$58,5),VLOOKUP(N535,setup!$A$8:$H$58,8))</f>
        <v xml:space="preserve">        $retorno-&gt;itensPorPagina = ($qtde == 0 </v>
      </c>
    </row>
    <row r="536" spans="1:15" x14ac:dyDescent="0.25">
      <c r="A536" s="6" t="s">
        <v>204</v>
      </c>
      <c r="O536" s="7" t="str">
        <f ca="1">getCodigoBackend(N536,A536,VLOOKUP(N536,setup!$A$8:$H$58,2),VLOOKUP(N536,setup!$A$8:$H$58,3),VLOOKUP(N536,setup!$A$8:$H$58,4),VLOOKUP(N536,setup!$A$8:$H$58,5),VLOOKUP(N536,setup!$A$8:$H$58,6),VLOOKUP(N536,setup!$A$8:$H$58,7), VLOOKUP(0,setup!$A$8:$H$58,2),VLOOKUP(0,setup!$A$8:$H$58,5),VLOOKUP(N536,setup!$A$8:$H$58,8))</f>
        <v xml:space="preserve">        ? (int) VariavelCache::getInstance()-&gt;getVariavel(ConstantesVariavel::MAXIMO_LINHAS_POR_PAGINA_DEFAULT)</v>
      </c>
    </row>
    <row r="537" spans="1:15" x14ac:dyDescent="0.25">
      <c r="A537" s="6" t="s">
        <v>205</v>
      </c>
      <c r="O537" s="7" t="str">
        <f ca="1">getCodigoBackend(N537,A537,VLOOKUP(N537,setup!$A$8:$H$58,2),VLOOKUP(N537,setup!$A$8:$H$58,3),VLOOKUP(N537,setup!$A$8:$H$58,4),VLOOKUP(N537,setup!$A$8:$H$58,5),VLOOKUP(N537,setup!$A$8:$H$58,6),VLOOKUP(N537,setup!$A$8:$H$58,7), VLOOKUP(0,setup!$A$8:$H$58,2),VLOOKUP(0,setup!$A$8:$H$58,5),VLOOKUP(N537,setup!$A$8:$H$58,8))</f>
        <v xml:space="preserve">        : $qtde);</v>
      </c>
    </row>
    <row r="538" spans="1:15" x14ac:dyDescent="0.25">
      <c r="A538" s="6" t="s">
        <v>236</v>
      </c>
      <c r="O538" s="7" t="str">
        <f ca="1">getCodigoBackend(N538,A538,VLOOKUP(N538,setup!$A$8:$H$58,2),VLOOKUP(N538,setup!$A$8:$H$58,3),VLOOKUP(N538,setup!$A$8:$H$58,4),VLOOKUP(N538,setup!$A$8:$H$58,5),VLOOKUP(N538,setup!$A$8:$H$58,6),VLOOKUP(N538,setup!$A$8:$H$58,7), VLOOKUP(0,setup!$A$8:$H$58,2),VLOOKUP(0,setup!$A$8:$H$58,5),VLOOKUP(N538,setup!$A$8:$H$58,8))</f>
        <v>        $retorno-&gt;totalPaginas = ceil($dao-&gt;countCampanhaCashbackResgatePixPorStatus($status) / $retorno-&gt;itensPorPagina);</v>
      </c>
    </row>
    <row r="539" spans="1:15" x14ac:dyDescent="0.25">
      <c r="A539" s="3"/>
      <c r="O539" s="7" t="str">
        <f ca="1">getCodigoBackend(N539,A539,VLOOKUP(N539,setup!$A$8:$H$58,2),VLOOKUP(N539,setup!$A$8:$H$58,3),VLOOKUP(N539,setup!$A$8:$H$58,4),VLOOKUP(N539,setup!$A$8:$H$58,5),VLOOKUP(N539,setup!$A$8:$H$58,6),VLOOKUP(N539,setup!$A$8:$H$58,7), VLOOKUP(0,setup!$A$8:$H$58,2),VLOOKUP(0,setup!$A$8:$H$58,5),VLOOKUP(N539,setup!$A$8:$H$58,8))</f>
        <v/>
      </c>
    </row>
    <row r="540" spans="1:15" x14ac:dyDescent="0.25">
      <c r="A540" s="6" t="s">
        <v>190</v>
      </c>
      <c r="O540" s="7" t="str">
        <f ca="1">getCodigoBackend(N540,A540,VLOOKUP(N540,setup!$A$8:$H$58,2),VLOOKUP(N540,setup!$A$8:$H$58,3),VLOOKUP(N540,setup!$A$8:$H$58,4),VLOOKUP(N540,setup!$A$8:$H$58,5),VLOOKUP(N540,setup!$A$8:$H$58,6),VLOOKUP(N540,setup!$A$8:$H$58,7), VLOOKUP(0,setup!$A$8:$H$58,2),VLOOKUP(0,setup!$A$8:$H$58,5),VLOOKUP(N540,setup!$A$8:$H$58,8))</f>
        <v>        if($pag &gt; $retorno-&gt;totalPaginas) {</v>
      </c>
    </row>
    <row r="541" spans="1:15" x14ac:dyDescent="0.25">
      <c r="A541" s="6" t="s">
        <v>191</v>
      </c>
      <c r="O541" s="7" t="str">
        <f ca="1">getCodigoBackend(N541,A541,VLOOKUP(N541,setup!$A$8:$H$58,2),VLOOKUP(N541,setup!$A$8:$H$58,3),VLOOKUP(N541,setup!$A$8:$H$58,4),VLOOKUP(N541,setup!$A$8:$H$58,5),VLOOKUP(N541,setup!$A$8:$H$58,6),VLOOKUP(N541,setup!$A$8:$H$58,7), VLOOKUP(0,setup!$A$8:$H$58,2),VLOOKUP(0,setup!$A$8:$H$58,5),VLOOKUP(N541,setup!$A$8:$H$58,8))</f>
        <v>            $retorno-&gt;msgcode = ConstantesMensagem::NAO_EXISTEM_MAIS_PAGINAS_APRESENTAR;</v>
      </c>
    </row>
    <row r="542" spans="1:15" x14ac:dyDescent="0.25">
      <c r="A542" s="6" t="s">
        <v>88</v>
      </c>
      <c r="O542" s="7" t="str">
        <f ca="1">getCodigoBackend(N542,A542,VLOOKUP(N542,setup!$A$8:$H$58,2),VLOOKUP(N542,setup!$A$8:$H$58,3),VLOOKUP(N542,setup!$A$8:$H$58,4),VLOOKUP(N542,setup!$A$8:$H$58,5),VLOOKUP(N542,setup!$A$8:$H$58,6),VLOOKUP(N542,setup!$A$8:$H$58,7), VLOOKUP(0,setup!$A$8:$H$58,2),VLOOKUP(0,setup!$A$8:$H$58,5),VLOOKUP(N542,setup!$A$8:$H$58,8))</f>
        <v>            $retorno-&gt;msgcodeString = MensagemCache::getInstance()-&gt;getMensagem($retorno-&gt;msgcode);</v>
      </c>
    </row>
    <row r="543" spans="1:15" x14ac:dyDescent="0.25">
      <c r="A543" s="6" t="s">
        <v>192</v>
      </c>
      <c r="O543" s="7" t="str">
        <f ca="1">getCodigoBackend(N543,A543,VLOOKUP(N543,setup!$A$8:$H$58,2),VLOOKUP(N543,setup!$A$8:$H$58,3),VLOOKUP(N543,setup!$A$8:$H$58,4),VLOOKUP(N543,setup!$A$8:$H$58,5),VLOOKUP(N543,setup!$A$8:$H$58,6),VLOOKUP(N543,setup!$A$8:$H$58,7), VLOOKUP(0,setup!$A$8:$H$58,2),VLOOKUP(0,setup!$A$8:$H$58,5),VLOOKUP(N543,setup!$A$8:$H$58,8))</f>
        <v>            return $retorno;</v>
      </c>
    </row>
    <row r="544" spans="1:15" x14ac:dyDescent="0.25">
      <c r="A544" s="6" t="s">
        <v>157</v>
      </c>
      <c r="O544" s="7" t="str">
        <f ca="1">getCodigoBackend(N544,A544,VLOOKUP(N544,setup!$A$8:$H$58,2),VLOOKUP(N544,setup!$A$8:$H$58,3),VLOOKUP(N544,setup!$A$8:$H$58,4),VLOOKUP(N544,setup!$A$8:$H$58,5),VLOOKUP(N544,setup!$A$8:$H$58,6),VLOOKUP(N544,setup!$A$8:$H$58,7), VLOOKUP(0,setup!$A$8:$H$58,2),VLOOKUP(0,setup!$A$8:$H$58,5),VLOOKUP(N544,setup!$A$8:$H$58,8))</f>
        <v xml:space="preserve">        }</v>
      </c>
    </row>
    <row r="545" spans="1:15" x14ac:dyDescent="0.25">
      <c r="A545" s="8" t="s">
        <v>237</v>
      </c>
      <c r="O545" s="7" t="str">
        <f ca="1">getCodigoBackend(N545,A545,VLOOKUP(N545,setup!$A$8:$H$58,2),VLOOKUP(N545,setup!$A$8:$H$58,3),VLOOKUP(N545,setup!$A$8:$H$58,4),VLOOKUP(N545,setup!$A$8:$H$58,5),VLOOKUP(N545,setup!$A$8:$H$58,6),VLOOKUP(N545,setup!$A$8:$H$58,7), VLOOKUP(0,setup!$A$8:$H$58,2),VLOOKUP(0,setup!$A$8:$H$58,5),VLOOKUP(N545,setup!$A$8:$H$58,8))</f>
        <v xml:space="preserve">        $retorno-&gt;lst = $dao-&gt;listCampanhaCashbackResgatePixPorStatus($status, $pag, $qtde, $coluna, $ordem);</v>
      </c>
    </row>
    <row r="546" spans="1:15" x14ac:dyDescent="0.25">
      <c r="A546" s="3"/>
      <c r="O546" s="7" t="str">
        <f ca="1">getCodigoBackend(N546,A546,VLOOKUP(N546,setup!$A$8:$H$58,2),VLOOKUP(N546,setup!$A$8:$H$58,3),VLOOKUP(N546,setup!$A$8:$H$58,4),VLOOKUP(N546,setup!$A$8:$H$58,5),VLOOKUP(N546,setup!$A$8:$H$58,6),VLOOKUP(N546,setup!$A$8:$H$58,7), VLOOKUP(0,setup!$A$8:$H$58,2),VLOOKUP(0,setup!$A$8:$H$58,5),VLOOKUP(N546,setup!$A$8:$H$58,8))</f>
        <v/>
      </c>
    </row>
    <row r="547" spans="1:15" x14ac:dyDescent="0.25">
      <c r="A547" s="6" t="s">
        <v>61</v>
      </c>
      <c r="O547" s="7" t="str">
        <f ca="1">getCodigoBackend(N547,A547,VLOOKUP(N547,setup!$A$8:$H$58,2),VLOOKUP(N547,setup!$A$8:$H$58,3),VLOOKUP(N547,setup!$A$8:$H$58,4),VLOOKUP(N547,setup!$A$8:$H$58,5),VLOOKUP(N547,setup!$A$8:$H$58,6),VLOOKUP(N547,setup!$A$8:$H$58,7), VLOOKUP(0,setup!$A$8:$H$58,2),VLOOKUP(0,setup!$A$8:$H$58,5),VLOOKUP(N547,setup!$A$8:$H$58,8))</f>
        <v>        return $retorno;</v>
      </c>
    </row>
    <row r="548" spans="1:15" x14ac:dyDescent="0.25">
      <c r="A548" s="6" t="s">
        <v>62</v>
      </c>
      <c r="O548" s="7" t="str">
        <f ca="1">getCodigoBackend(N548,A548,VLOOKUP(N548,setup!$A$8:$H$58,2),VLOOKUP(N548,setup!$A$8:$H$58,3),VLOOKUP(N548,setup!$A$8:$H$58,4),VLOOKUP(N548,setup!$A$8:$H$58,5),VLOOKUP(N548,setup!$A$8:$H$58,6),VLOOKUP(N548,setup!$A$8:$H$58,7), VLOOKUP(0,setup!$A$8:$H$58,2),VLOOKUP(0,setup!$A$8:$H$58,5),VLOOKUP(N548,setup!$A$8:$H$58,8))</f>
        <v>    }</v>
      </c>
    </row>
    <row r="549" spans="1:15" x14ac:dyDescent="0.25">
      <c r="A549" s="6"/>
      <c r="O549" s="7" t="str">
        <f ca="1">getCodigoBackend(N549,A549,VLOOKUP(N549,setup!$A$8:$H$58,2),VLOOKUP(N549,setup!$A$8:$H$58,3),VLOOKUP(N549,setup!$A$8:$H$58,4),VLOOKUP(N549,setup!$A$8:$H$58,5),VLOOKUP(N549,setup!$A$8:$H$58,6),VLOOKUP(N549,setup!$A$8:$H$58,7), VLOOKUP(0,setup!$A$8:$H$58,2),VLOOKUP(0,setup!$A$8:$H$58,5),VLOOKUP(N549,setup!$A$8:$H$58,8))</f>
        <v/>
      </c>
    </row>
    <row r="550" spans="1:15" x14ac:dyDescent="0.25">
      <c r="A550" s="6"/>
      <c r="O550" s="7" t="str">
        <f ca="1">getCodigoBackend(N550,A550,VLOOKUP(N550,setup!$A$8:$H$58,2),VLOOKUP(N550,setup!$A$8:$H$58,3),VLOOKUP(N550,setup!$A$8:$H$58,4),VLOOKUP(N550,setup!$A$8:$H$58,5),VLOOKUP(N550,setup!$A$8:$H$58,6),VLOOKUP(N550,setup!$A$8:$H$58,7), VLOOKUP(0,setup!$A$8:$H$58,2),VLOOKUP(0,setup!$A$8:$H$58,5),VLOOKUP(N550,setup!$A$8:$H$58,8))</f>
        <v/>
      </c>
    </row>
    <row r="551" spans="1:15" x14ac:dyDescent="0.25">
      <c r="A551" s="6"/>
      <c r="O551" s="7" t="str">
        <f ca="1">getCodigoBackend(N551,A551,VLOOKUP(N551,setup!$A$8:$H$58,2),VLOOKUP(N551,setup!$A$8:$H$58,3),VLOOKUP(N551,setup!$A$8:$H$58,4),VLOOKUP(N551,setup!$A$8:$H$58,5),VLOOKUP(N551,setup!$A$8:$H$58,6),VLOOKUP(N551,setup!$A$8:$H$58,7), VLOOKUP(0,setup!$A$8:$H$58,2),VLOOKUP(0,setup!$A$8:$H$58,5),VLOOKUP(N551,setup!$A$8:$H$58,8))</f>
        <v/>
      </c>
    </row>
    <row r="552" spans="1:15" x14ac:dyDescent="0.25">
      <c r="A552" s="6"/>
      <c r="O552" s="7" t="str">
        <f ca="1">getCodigoBackend(N552,A552,VLOOKUP(N552,setup!$A$8:$H$58,2),VLOOKUP(N552,setup!$A$8:$H$58,3),VLOOKUP(N552,setup!$A$8:$H$58,4),VLOOKUP(N552,setup!$A$8:$H$58,5),VLOOKUP(N552,setup!$A$8:$H$58,6),VLOOKUP(N552,setup!$A$8:$H$58,7), VLOOKUP(0,setup!$A$8:$H$58,2),VLOOKUP(0,setup!$A$8:$H$58,5),VLOOKUP(N552,setup!$A$8:$H$58,8))</f>
        <v/>
      </c>
    </row>
    <row r="553" spans="1:15" x14ac:dyDescent="0.25">
      <c r="A553" s="6"/>
      <c r="O553" s="7" t="str">
        <f ca="1">getCodigoBackend(N553,A553,VLOOKUP(N553,setup!$A$8:$H$58,2),VLOOKUP(N553,setup!$A$8:$H$58,3),VLOOKUP(N553,setup!$A$8:$H$58,4),VLOOKUP(N553,setup!$A$8:$H$58,5),VLOOKUP(N553,setup!$A$8:$H$58,6),VLOOKUP(N553,setup!$A$8:$H$58,7), VLOOKUP(0,setup!$A$8:$H$58,2),VLOOKUP(0,setup!$A$8:$H$58,5),VLOOKUP(N553,setup!$A$8:$H$58,8))</f>
        <v/>
      </c>
    </row>
    <row r="554" spans="1:15" x14ac:dyDescent="0.25">
      <c r="A554" s="6"/>
      <c r="O554" s="7" t="str">
        <f ca="1">getCodigoBackend(N554,A554,VLOOKUP(N554,setup!$A$8:$H$58,2),VLOOKUP(N554,setup!$A$8:$H$58,3),VLOOKUP(N554,setup!$A$8:$H$58,4),VLOOKUP(N554,setup!$A$8:$H$58,5),VLOOKUP(N554,setup!$A$8:$H$58,6),VLOOKUP(N554,setup!$A$8:$H$58,7), VLOOKUP(0,setup!$A$8:$H$58,2),VLOOKUP(0,setup!$A$8:$H$58,5),VLOOKUP(N554,setup!$A$8:$H$58,8))</f>
        <v/>
      </c>
    </row>
    <row r="555" spans="1:15" x14ac:dyDescent="0.25">
      <c r="A555" s="4" t="s">
        <v>19</v>
      </c>
      <c r="N555">
        <v>1</v>
      </c>
      <c r="O555" s="7" t="str">
        <f ca="1">getCodigoBackend(N555,A555,VLOOKUP(N555,setup!$A$8:$H$58,2),VLOOKUP(N555,setup!$A$8:$H$58,3),VLOOKUP(N555,setup!$A$8:$H$58,4),VLOOKUP(N555,setup!$A$8:$H$58,5),VLOOKUP(N555,setup!$A$8:$H$58,6),VLOOKUP(N555,setup!$A$8:$H$58,7), VLOOKUP(0,setup!$A$8:$H$58,2),VLOOKUP(0,setup!$A$8:$H$58,5),VLOOKUP(N555,setup!$A$8:$H$58,8))</f>
        <v>/**</v>
      </c>
    </row>
    <row r="556" spans="1:15" x14ac:dyDescent="0.25">
      <c r="A556" s="4" t="s">
        <v>20</v>
      </c>
      <c r="N556">
        <v>1</v>
      </c>
      <c r="O556" s="7" t="str">
        <f ca="1">getCodigoBackend(N556,A556,VLOOKUP(N556,setup!$A$8:$H$58,2),VLOOKUP(N556,setup!$A$8:$H$58,3),VLOOKUP(N556,setup!$A$8:$H$58,4),VLOOKUP(N556,setup!$A$8:$H$58,5),VLOOKUP(N556,setup!$A$8:$H$58,6),VLOOKUP(N556,setup!$A$8:$H$58,7), VLOOKUP(0,setup!$A$8:$H$58,2),VLOOKUP(0,setup!$A$8:$H$58,5),VLOOKUP(N556,setup!$A$8:$H$58,8))</f>
        <v>*</v>
      </c>
    </row>
    <row r="557" spans="1:15" x14ac:dyDescent="0.25">
      <c r="A557" s="4" t="s">
        <v>744</v>
      </c>
      <c r="N557">
        <v>1</v>
      </c>
      <c r="O557" s="7" t="str">
        <f ca="1">getCodigoBackend(N557,A557,VLOOKUP(N557,setup!$A$8:$H$58,2),VLOOKUP(N557,setup!$A$8:$H$58,3),VLOOKUP(N557,setup!$A$8:$H$58,4),VLOOKUP(N557,setup!$A$8:$H$58,5),VLOOKUP(N557,setup!$A$8:$H$58,6),VLOOKUP(N557,setup!$A$8:$H$58,7), VLOOKUP(0,setup!$A$8:$H$58,2),VLOOKUP(0,setup!$A$8:$H$58,5),VLOOKUP(N557,setup!$A$8:$H$58,8))</f>
        <v>* atualizarIdcampanhacashbackPorPK() - Usado para invocar a classe de negócio CampanhaCashbackResgatePixBusinessImpl de forma geral</v>
      </c>
    </row>
    <row r="558" spans="1:15" x14ac:dyDescent="0.25">
      <c r="A558" s="4" t="s">
        <v>745</v>
      </c>
      <c r="N558">
        <v>1</v>
      </c>
      <c r="O558" s="7" t="str">
        <f ca="1">getCodigoBackend(N558,A558,VLOOKUP(N558,setup!$A$8:$H$58,2),VLOOKUP(N558,setup!$A$8:$H$58,3),VLOOKUP(N558,setup!$A$8:$H$58,4),VLOOKUP(N558,setup!$A$8:$H$58,5),VLOOKUP(N558,setup!$A$8:$H$58,6),VLOOKUP(N558,setup!$A$8:$H$58,7), VLOOKUP(0,setup!$A$8:$H$58,2),VLOOKUP(0,setup!$A$8:$H$58,5),VLOOKUP(N558,setup!$A$8:$H$58,8))</f>
        <v>* realizar uma atualização de ID Campanha x Cashback diretamente na tabela CAMPANHA_CASHBACK_RESGATE_PIX campo CACA_ID</v>
      </c>
    </row>
    <row r="559" spans="1:15" x14ac:dyDescent="0.25">
      <c r="A559" s="4" t="s">
        <v>361</v>
      </c>
      <c r="N559">
        <v>1</v>
      </c>
      <c r="O559" s="7" t="str">
        <f ca="1">getCodigoBackend(N559,A559,VLOOKUP(N559,setup!$A$8:$H$58,2),VLOOKUP(N559,setup!$A$8:$H$58,3),VLOOKUP(N559,setup!$A$8:$H$58,4),VLOOKUP(N559,setup!$A$8:$H$58,5),VLOOKUP(N559,setup!$A$8:$H$58,6),VLOOKUP(N559,setup!$A$8:$H$58,7), VLOOKUP(0,setup!$A$8:$H$58,2),VLOOKUP(0,setup!$A$8:$H$58,5),VLOOKUP(N559,setup!$A$8:$H$58,8))</f>
        <v>* @param $daofactory</v>
      </c>
    </row>
    <row r="560" spans="1:15" x14ac:dyDescent="0.25">
      <c r="A560" s="4" t="s">
        <v>346</v>
      </c>
      <c r="N560">
        <v>1</v>
      </c>
      <c r="O560" s="7" t="str">
        <f ca="1">getCodigoBackend(N560,A560,VLOOKUP(N560,setup!$A$8:$H$58,2),VLOOKUP(N560,setup!$A$8:$H$58,3),VLOOKUP(N560,setup!$A$8:$H$58,4),VLOOKUP(N560,setup!$A$8:$H$58,5),VLOOKUP(N560,setup!$A$8:$H$58,6),VLOOKUP(N560,setup!$A$8:$H$58,7), VLOOKUP(0,setup!$A$8:$H$58,2),VLOOKUP(0,setup!$A$8:$H$58,5),VLOOKUP(N560,setup!$A$8:$H$58,8))</f>
        <v>* @param $id</v>
      </c>
    </row>
    <row r="561" spans="1:15" x14ac:dyDescent="0.25">
      <c r="A561" s="4" t="s">
        <v>723</v>
      </c>
      <c r="N561">
        <v>1</v>
      </c>
      <c r="O561" s="7" t="str">
        <f ca="1">getCodigoBackend(N561,A561,VLOOKUP(N561,setup!$A$8:$H$58,2),VLOOKUP(N561,setup!$A$8:$H$58,3),VLOOKUP(N561,setup!$A$8:$H$58,4),VLOOKUP(N561,setup!$A$8:$H$58,5),VLOOKUP(N561,setup!$A$8:$H$58,6),VLOOKUP(N561,setup!$A$8:$H$58,7), VLOOKUP(0,setup!$A$8:$H$58,2),VLOOKUP(0,setup!$A$8:$H$58,5),VLOOKUP(N561,setup!$A$8:$H$58,8))</f>
        <v>* @param $idCampanhaCashback</v>
      </c>
    </row>
    <row r="562" spans="1:15" x14ac:dyDescent="0.25">
      <c r="A562" s="4" t="s">
        <v>347</v>
      </c>
      <c r="N562">
        <v>1</v>
      </c>
      <c r="O562" s="7" t="str">
        <f ca="1">getCodigoBackend(N562,A562,VLOOKUP(N562,setup!$A$8:$H$58,2),VLOOKUP(N562,setup!$A$8:$H$58,3),VLOOKUP(N562,setup!$A$8:$H$58,4),VLOOKUP(N562,setup!$A$8:$H$58,5),VLOOKUP(N562,setup!$A$8:$H$58,6),VLOOKUP(N562,setup!$A$8:$H$58,7), VLOOKUP(0,setup!$A$8:$H$58,2),VLOOKUP(0,setup!$A$8:$H$58,5),VLOOKUP(N562,setup!$A$8:$H$58,8))</f>
        <v>* @return CampanhaCashbackResgatePixDTO</v>
      </c>
    </row>
    <row r="563" spans="1:15" x14ac:dyDescent="0.25">
      <c r="A563" s="4" t="s">
        <v>20</v>
      </c>
      <c r="N563">
        <v>1</v>
      </c>
      <c r="O563" s="7" t="str">
        <f ca="1">getCodigoBackend(N563,A563,VLOOKUP(N563,setup!$A$8:$H$58,2),VLOOKUP(N563,setup!$A$8:$H$58,3),VLOOKUP(N563,setup!$A$8:$H$58,4),VLOOKUP(N563,setup!$A$8:$H$58,5),VLOOKUP(N563,setup!$A$8:$H$58,6),VLOOKUP(N563,setup!$A$8:$H$58,7), VLOOKUP(0,setup!$A$8:$H$58,2),VLOOKUP(0,setup!$A$8:$H$58,5),VLOOKUP(N563,setup!$A$8:$H$58,8))</f>
        <v>*</v>
      </c>
    </row>
    <row r="564" spans="1:15" x14ac:dyDescent="0.25">
      <c r="A564" s="4" t="s">
        <v>75</v>
      </c>
      <c r="N564">
        <v>1</v>
      </c>
      <c r="O564" s="7" t="str">
        <f ca="1">getCodigoBackend(N564,A564,VLOOKUP(N564,setup!$A$8:$H$58,2),VLOOKUP(N564,setup!$A$8:$H$58,3),VLOOKUP(N564,setup!$A$8:$H$58,4),VLOOKUP(N564,setup!$A$8:$H$58,5),VLOOKUP(N564,setup!$A$8:$H$58,6),VLOOKUP(N564,setup!$A$8:$H$58,7), VLOOKUP(0,setup!$A$8:$H$58,2),VLOOKUP(0,setup!$A$8:$H$58,5),VLOOKUP(N564,setup!$A$8:$H$58,8))</f>
        <v xml:space="preserve">* </v>
      </c>
    </row>
    <row r="565" spans="1:15" x14ac:dyDescent="0.25">
      <c r="A565" s="4" t="s">
        <v>21</v>
      </c>
      <c r="N565">
        <v>1</v>
      </c>
      <c r="O565" s="7" t="str">
        <f ca="1">getCodigoBackend(N565,A565,VLOOKUP(N565,setup!$A$8:$H$58,2),VLOOKUP(N565,setup!$A$8:$H$58,3),VLOOKUP(N565,setup!$A$8:$H$58,4),VLOOKUP(N565,setup!$A$8:$H$58,5),VLOOKUP(N565,setup!$A$8:$H$58,6),VLOOKUP(N565,setup!$A$8:$H$58,7), VLOOKUP(0,setup!$A$8:$H$58,2),VLOOKUP(0,setup!$A$8:$H$58,5),VLOOKUP(N565,setup!$A$8:$H$58,8))</f>
        <v>*/</v>
      </c>
    </row>
    <row r="566" spans="1:15" x14ac:dyDescent="0.25">
      <c r="A566" s="29" t="s">
        <v>783</v>
      </c>
      <c r="N566">
        <v>1</v>
      </c>
      <c r="O566" s="7" t="str">
        <f ca="1">getCodigoBackend(N566,A566,VLOOKUP(N566,setup!$A$8:$H$58,2),VLOOKUP(N566,setup!$A$8:$H$58,3),VLOOKUP(N566,setup!$A$8:$H$58,4),VLOOKUP(N566,setup!$A$8:$H$58,5),VLOOKUP(N566,setup!$A$8:$H$58,6),VLOOKUP(N566,setup!$A$8:$H$58,7), VLOOKUP(0,setup!$A$8:$H$58,2),VLOOKUP(0,setup!$A$8:$H$58,5),VLOOKUP(N566,setup!$A$8:$H$58,8))</f>
        <v xml:space="preserve">    public function atualizarIdcampanhacashbackPorPK($daofactory,$idCampanhaCashback,$id)</v>
      </c>
    </row>
    <row r="567" spans="1:15" x14ac:dyDescent="0.25">
      <c r="A567" s="29" t="s">
        <v>379</v>
      </c>
      <c r="N567">
        <v>1</v>
      </c>
      <c r="O567" s="7" t="str">
        <f ca="1">getCodigoBackend(N567,A567,VLOOKUP(N567,setup!$A$8:$H$58,2),VLOOKUP(N567,setup!$A$8:$H$58,3),VLOOKUP(N567,setup!$A$8:$H$58,4),VLOOKUP(N567,setup!$A$8:$H$58,5),VLOOKUP(N567,setup!$A$8:$H$58,6),VLOOKUP(N567,setup!$A$8:$H$58,7), VLOOKUP(0,setup!$A$8:$H$58,2),VLOOKUP(0,setup!$A$8:$H$58,5),VLOOKUP(N567,setup!$A$8:$H$58,8))</f>
        <v xml:space="preserve">    {</v>
      </c>
    </row>
    <row r="568" spans="1:15" x14ac:dyDescent="0.25">
      <c r="A568" s="29" t="s">
        <v>754</v>
      </c>
      <c r="N568">
        <v>1</v>
      </c>
      <c r="O568" s="7" t="str">
        <f ca="1">getCodigoBackend(N568,A568,VLOOKUP(N568,setup!$A$8:$H$58,2),VLOOKUP(N568,setup!$A$8:$H$58,3),VLOOKUP(N568,setup!$A$8:$H$58,4),VLOOKUP(N568,setup!$A$8:$H$58,5),VLOOKUP(N568,setup!$A$8:$H$58,6),VLOOKUP(N568,setup!$A$8:$H$58,7), VLOOKUP(0,setup!$A$8:$H$58,2),VLOOKUP(0,setup!$A$8:$H$58,5),VLOOKUP(N568,setup!$A$8:$H$58,8))</f>
        <v xml:space="preserve">        $dao = $daofactory-&gt;getCampanhaCashbackResgatePixDAO($daofactory);</v>
      </c>
    </row>
    <row r="569" spans="1:15" x14ac:dyDescent="0.25">
      <c r="A569" s="29"/>
      <c r="N569">
        <v>1</v>
      </c>
      <c r="O569" s="7" t="str">
        <f ca="1">getCodigoBackend(N569,A569,VLOOKUP(N569,setup!$A$8:$H$58,2),VLOOKUP(N569,setup!$A$8:$H$58,3),VLOOKUP(N569,setup!$A$8:$H$58,4),VLOOKUP(N569,setup!$A$8:$H$58,5),VLOOKUP(N569,setup!$A$8:$H$58,6),VLOOKUP(N569,setup!$A$8:$H$58,7), VLOOKUP(0,setup!$A$8:$H$58,2),VLOOKUP(0,setup!$A$8:$H$58,5),VLOOKUP(N569,setup!$A$8:$H$58,8))</f>
        <v/>
      </c>
    </row>
    <row r="570" spans="1:15" x14ac:dyDescent="0.25">
      <c r="A570" s="29" t="s">
        <v>750</v>
      </c>
      <c r="N570">
        <v>1</v>
      </c>
      <c r="O570" s="7" t="str">
        <f ca="1">getCodigoBackend(N570,A570,VLOOKUP(N570,setup!$A$8:$H$58,2),VLOOKUP(N570,setup!$A$8:$H$58,3),VLOOKUP(N570,setup!$A$8:$H$58,4),VLOOKUP(N570,setup!$A$8:$H$58,5),VLOOKUP(N570,setup!$A$8:$H$58,6),VLOOKUP(N570,setup!$A$8:$H$58,7), VLOOKUP(0,setup!$A$8:$H$58,2),VLOOKUP(0,setup!$A$8:$H$58,5),VLOOKUP(N570,setup!$A$8:$H$58,8))</f>
        <v xml:space="preserve">        // resposta padrão</v>
      </c>
    </row>
    <row r="571" spans="1:15" x14ac:dyDescent="0.25">
      <c r="A571" s="29" t="s">
        <v>404</v>
      </c>
      <c r="N571">
        <v>1</v>
      </c>
      <c r="O571" s="7" t="str">
        <f ca="1">getCodigoBackend(N571,A571,VLOOKUP(N571,setup!$A$8:$H$58,2),VLOOKUP(N571,setup!$A$8:$H$58,3),VLOOKUP(N571,setup!$A$8:$H$58,4),VLOOKUP(N571,setup!$A$8:$H$58,5),VLOOKUP(N571,setup!$A$8:$H$58,6),VLOOKUP(N571,setup!$A$8:$H$58,7), VLOOKUP(0,setup!$A$8:$H$58,2),VLOOKUP(0,setup!$A$8:$H$58,5),VLOOKUP(N571,setup!$A$8:$H$58,8))</f>
        <v xml:space="preserve">        $retorno = new DTOPadrao();</v>
      </c>
    </row>
    <row r="572" spans="1:15" x14ac:dyDescent="0.25">
      <c r="A572" s="29"/>
      <c r="N572">
        <v>1</v>
      </c>
      <c r="O572" s="7" t="str">
        <f ca="1">getCodigoBackend(N572,A572,VLOOKUP(N572,setup!$A$8:$H$58,2),VLOOKUP(N572,setup!$A$8:$H$58,3),VLOOKUP(N572,setup!$A$8:$H$58,4),VLOOKUP(N572,setup!$A$8:$H$58,5),VLOOKUP(N572,setup!$A$8:$H$58,6),VLOOKUP(N572,setup!$A$8:$H$58,7), VLOOKUP(0,setup!$A$8:$H$58,2),VLOOKUP(0,setup!$A$8:$H$58,5),VLOOKUP(N572,setup!$A$8:$H$58,8))</f>
        <v/>
      </c>
    </row>
    <row r="573" spans="1:15" x14ac:dyDescent="0.25">
      <c r="A573" s="29" t="s">
        <v>755</v>
      </c>
      <c r="N573">
        <v>1</v>
      </c>
      <c r="O573" s="7" t="str">
        <f ca="1">getCodigoBackend(N573,A573,VLOOKUP(N573,setup!$A$8:$H$58,2),VLOOKUP(N573,setup!$A$8:$H$58,3),VLOOKUP(N573,setup!$A$8:$H$58,4),VLOOKUP(N573,setup!$A$8:$H$58,5),VLOOKUP(N573,setup!$A$8:$H$58,6),VLOOKUP(N573,setup!$A$8:$H$58,7), VLOOKUP(0,setup!$A$8:$H$58,2),VLOOKUP(0,setup!$A$8:$H$58,5),VLOOKUP(N573,setup!$A$8:$H$58,8))</f>
        <v xml:space="preserve">        if($dao-&gt;updateIdcampanhacashback($id, $idCampanhaCashback)){   </v>
      </c>
    </row>
    <row r="574" spans="1:15" x14ac:dyDescent="0.25">
      <c r="A574" s="29" t="s">
        <v>751</v>
      </c>
      <c r="N574">
        <v>1</v>
      </c>
      <c r="O574" s="7" t="str">
        <f ca="1">getCodigoBackend(N574,A574,VLOOKUP(N574,setup!$A$8:$H$58,2),VLOOKUP(N574,setup!$A$8:$H$58,3),VLOOKUP(N574,setup!$A$8:$H$58,4),VLOOKUP(N574,setup!$A$8:$H$58,5),VLOOKUP(N574,setup!$A$8:$H$58,6),VLOOKUP(N574,setup!$A$8:$H$58,7), VLOOKUP(0,setup!$A$8:$H$58,2),VLOOKUP(0,setup!$A$8:$H$58,5),VLOOKUP(N574,setup!$A$8:$H$58,8))</f>
        <v xml:space="preserve">            $retorno-&gt;msgcode = ConstantesMensagem::COMANDO_REALIZADO_COM_SUCESSO;</v>
      </c>
    </row>
    <row r="575" spans="1:15" x14ac:dyDescent="0.25">
      <c r="A575" s="29" t="s">
        <v>752</v>
      </c>
      <c r="N575">
        <v>1</v>
      </c>
      <c r="O575" s="7" t="str">
        <f ca="1">getCodigoBackend(N575,A575,VLOOKUP(N575,setup!$A$8:$H$58,2),VLOOKUP(N575,setup!$A$8:$H$58,3),VLOOKUP(N575,setup!$A$8:$H$58,4),VLOOKUP(N575,setup!$A$8:$H$58,5),VLOOKUP(N575,setup!$A$8:$H$58,6),VLOOKUP(N575,setup!$A$8:$H$58,7), VLOOKUP(0,setup!$A$8:$H$58,2),VLOOKUP(0,setup!$A$8:$H$58,5),VLOOKUP(N575,setup!$A$8:$H$58,8))</f>
        <v xml:space="preserve">        }       </v>
      </c>
    </row>
    <row r="576" spans="1:15" x14ac:dyDescent="0.25">
      <c r="A576" s="29"/>
      <c r="N576">
        <v>1</v>
      </c>
      <c r="O576" s="7" t="str">
        <f ca="1">getCodigoBackend(N576,A576,VLOOKUP(N576,setup!$A$8:$H$58,2),VLOOKUP(N576,setup!$A$8:$H$58,3),VLOOKUP(N576,setup!$A$8:$H$58,4),VLOOKUP(N576,setup!$A$8:$H$58,5),VLOOKUP(N576,setup!$A$8:$H$58,6),VLOOKUP(N576,setup!$A$8:$H$58,7), VLOOKUP(0,setup!$A$8:$H$58,2),VLOOKUP(0,setup!$A$8:$H$58,5),VLOOKUP(N576,setup!$A$8:$H$58,8))</f>
        <v/>
      </c>
    </row>
    <row r="577" spans="1:15" x14ac:dyDescent="0.25">
      <c r="A577" s="29" t="s">
        <v>753</v>
      </c>
      <c r="N577">
        <v>1</v>
      </c>
      <c r="O577" s="7" t="str">
        <f ca="1">getCodigoBackend(N577,A577,VLOOKUP(N577,setup!$A$8:$H$58,2),VLOOKUP(N577,setup!$A$8:$H$58,3),VLOOKUP(N577,setup!$A$8:$H$58,4),VLOOKUP(N577,setup!$A$8:$H$58,5),VLOOKUP(N577,setup!$A$8:$H$58,6),VLOOKUP(N577,setup!$A$8:$H$58,7), VLOOKUP(0,setup!$A$8:$H$58,2),VLOOKUP(0,setup!$A$8:$H$58,5),VLOOKUP(N577,setup!$A$8:$H$58,8))</f>
        <v xml:space="preserve">        // Obtem o texto da mensagem em razão do código de retorno</v>
      </c>
    </row>
    <row r="578" spans="1:15" x14ac:dyDescent="0.25">
      <c r="A578" s="29" t="s">
        <v>405</v>
      </c>
      <c r="N578">
        <v>1</v>
      </c>
      <c r="O578" s="7" t="str">
        <f ca="1">getCodigoBackend(N578,A578,VLOOKUP(N578,setup!$A$8:$H$58,2),VLOOKUP(N578,setup!$A$8:$H$58,3),VLOOKUP(N578,setup!$A$8:$H$58,4),VLOOKUP(N578,setup!$A$8:$H$58,5),VLOOKUP(N578,setup!$A$8:$H$58,6),VLOOKUP(N578,setup!$A$8:$H$58,7), VLOOKUP(0,setup!$A$8:$H$58,2),VLOOKUP(0,setup!$A$8:$H$58,5),VLOOKUP(N578,setup!$A$8:$H$58,8))</f>
        <v xml:space="preserve">        $retorno-&gt;msgcodeString = MensagemCache::getInstance()-&gt;getMensagem($retorno-&gt;msgcode);</v>
      </c>
    </row>
    <row r="579" spans="1:15" x14ac:dyDescent="0.25">
      <c r="A579" s="29"/>
      <c r="N579">
        <v>1</v>
      </c>
      <c r="O579" s="7" t="str">
        <f ca="1">getCodigoBackend(N579,A579,VLOOKUP(N579,setup!$A$8:$H$58,2),VLOOKUP(N579,setup!$A$8:$H$58,3),VLOOKUP(N579,setup!$A$8:$H$58,4),VLOOKUP(N579,setup!$A$8:$H$58,5),VLOOKUP(N579,setup!$A$8:$H$58,6),VLOOKUP(N579,setup!$A$8:$H$58,7), VLOOKUP(0,setup!$A$8:$H$58,2),VLOOKUP(0,setup!$A$8:$H$58,5),VLOOKUP(N579,setup!$A$8:$H$58,8))</f>
        <v/>
      </c>
    </row>
    <row r="580" spans="1:15" x14ac:dyDescent="0.25">
      <c r="A580" s="29" t="s">
        <v>743</v>
      </c>
      <c r="N580">
        <v>1</v>
      </c>
      <c r="O580" s="7" t="str">
        <f ca="1">getCodigoBackend(N580,A580,VLOOKUP(N580,setup!$A$8:$H$58,2),VLOOKUP(N580,setup!$A$8:$H$58,3),VLOOKUP(N580,setup!$A$8:$H$58,4),VLOOKUP(N580,setup!$A$8:$H$58,5),VLOOKUP(N580,setup!$A$8:$H$58,6),VLOOKUP(N580,setup!$A$8:$H$58,7), VLOOKUP(0,setup!$A$8:$H$58,2),VLOOKUP(0,setup!$A$8:$H$58,5),VLOOKUP(N580,setup!$A$8:$H$58,8))</f>
        <v xml:space="preserve">        return $retorno;</v>
      </c>
    </row>
    <row r="581" spans="1:15" x14ac:dyDescent="0.25">
      <c r="A581" s="29" t="s">
        <v>406</v>
      </c>
      <c r="N581">
        <v>1</v>
      </c>
      <c r="O581" s="7" t="str">
        <f ca="1">getCodigoBackend(N581,A581,VLOOKUP(N581,setup!$A$8:$H$58,2),VLOOKUP(N581,setup!$A$8:$H$58,3),VLOOKUP(N581,setup!$A$8:$H$58,4),VLOOKUP(N581,setup!$A$8:$H$58,5),VLOOKUP(N581,setup!$A$8:$H$58,6),VLOOKUP(N581,setup!$A$8:$H$58,7), VLOOKUP(0,setup!$A$8:$H$58,2),VLOOKUP(0,setup!$A$8:$H$58,5),VLOOKUP(N581,setup!$A$8:$H$58,8))</f>
        <v xml:space="preserve">    }</v>
      </c>
    </row>
    <row r="582" spans="1:15" x14ac:dyDescent="0.25">
      <c r="A582" s="6"/>
      <c r="O582" s="7" t="str">
        <f ca="1">getCodigoBackend(N582,A582,VLOOKUP(N582,setup!$A$8:$H$58,2),VLOOKUP(N582,setup!$A$8:$H$58,3),VLOOKUP(N582,setup!$A$8:$H$58,4),VLOOKUP(N582,setup!$A$8:$H$58,5),VLOOKUP(N582,setup!$A$8:$H$58,6),VLOOKUP(N582,setup!$A$8:$H$58,7), VLOOKUP(0,setup!$A$8:$H$58,2),VLOOKUP(0,setup!$A$8:$H$58,5),VLOOKUP(N582,setup!$A$8:$H$58,8))</f>
        <v/>
      </c>
    </row>
    <row r="583" spans="1:15" x14ac:dyDescent="0.25">
      <c r="A583" s="4" t="s">
        <v>19</v>
      </c>
      <c r="N583">
        <f>N581+1</f>
        <v>2</v>
      </c>
      <c r="O583" s="7" t="str">
        <f ca="1">getCodigoBackend(N583,A583,VLOOKUP(N583,setup!$A$8:$H$58,2),VLOOKUP(N583,setup!$A$8:$H$58,3),VLOOKUP(N583,setup!$A$8:$H$58,4),VLOOKUP(N583,setup!$A$8:$H$58,5),VLOOKUP(N583,setup!$A$8:$H$58,6),VLOOKUP(N583,setup!$A$8:$H$58,7), VLOOKUP(0,setup!$A$8:$H$58,2),VLOOKUP(0,setup!$A$8:$H$58,5),VLOOKUP(N583,setup!$A$8:$H$58,8))</f>
        <v>/**</v>
      </c>
    </row>
    <row r="584" spans="1:15" x14ac:dyDescent="0.25">
      <c r="A584" s="4" t="s">
        <v>20</v>
      </c>
      <c r="N584">
        <f>N583</f>
        <v>2</v>
      </c>
      <c r="O584" s="7" t="str">
        <f ca="1">getCodigoBackend(N584,A584,VLOOKUP(N584,setup!$A$8:$H$58,2),VLOOKUP(N584,setup!$A$8:$H$58,3),VLOOKUP(N584,setup!$A$8:$H$58,4),VLOOKUP(N584,setup!$A$8:$H$58,5),VLOOKUP(N584,setup!$A$8:$H$58,6),VLOOKUP(N584,setup!$A$8:$H$58,7), VLOOKUP(0,setup!$A$8:$H$58,2),VLOOKUP(0,setup!$A$8:$H$58,5),VLOOKUP(N584,setup!$A$8:$H$58,8))</f>
        <v>*</v>
      </c>
    </row>
    <row r="585" spans="1:15" x14ac:dyDescent="0.25">
      <c r="A585" s="4" t="s">
        <v>744</v>
      </c>
      <c r="N585">
        <f t="shared" ref="N585:N609" si="0">N584</f>
        <v>2</v>
      </c>
      <c r="O585" s="7" t="str">
        <f ca="1">getCodigoBackend(N585,A585,VLOOKUP(N585,setup!$A$8:$H$58,2),VLOOKUP(N585,setup!$A$8:$H$58,3),VLOOKUP(N585,setup!$A$8:$H$58,4),VLOOKUP(N585,setup!$A$8:$H$58,5),VLOOKUP(N585,setup!$A$8:$H$58,6),VLOOKUP(N585,setup!$A$8:$H$58,7), VLOOKUP(0,setup!$A$8:$H$58,2),VLOOKUP(0,setup!$A$8:$H$58,5),VLOOKUP(N585,setup!$A$8:$H$58,8))</f>
        <v>* atualizarIdusuariosolicitantePorPK() - Usado para invocar a classe de negócio CampanhaCashbackResgatePixBusinessImpl de forma geral</v>
      </c>
    </row>
    <row r="586" spans="1:15" x14ac:dyDescent="0.25">
      <c r="A586" s="4" t="s">
        <v>745</v>
      </c>
      <c r="N586">
        <f t="shared" si="0"/>
        <v>2</v>
      </c>
      <c r="O586" s="7" t="str">
        <f ca="1">getCodigoBackend(N586,A586,VLOOKUP(N586,setup!$A$8:$H$58,2),VLOOKUP(N586,setup!$A$8:$H$58,3),VLOOKUP(N586,setup!$A$8:$H$58,4),VLOOKUP(N586,setup!$A$8:$H$58,5),VLOOKUP(N586,setup!$A$8:$H$58,6),VLOOKUP(N586,setup!$A$8:$H$58,7), VLOOKUP(0,setup!$A$8:$H$58,2),VLOOKUP(0,setup!$A$8:$H$58,5),VLOOKUP(N586,setup!$A$8:$H$58,8))</f>
        <v>* realizar uma atualização de ID do usuário solicitante diretamente na tabela CAMPANHA_CASHBACK_RESGATE_PIX campo USUA_ID</v>
      </c>
    </row>
    <row r="587" spans="1:15" x14ac:dyDescent="0.25">
      <c r="A587" s="4" t="s">
        <v>361</v>
      </c>
      <c r="N587">
        <f t="shared" si="0"/>
        <v>2</v>
      </c>
      <c r="O587" s="7" t="str">
        <f ca="1">getCodigoBackend(N587,A587,VLOOKUP(N587,setup!$A$8:$H$58,2),VLOOKUP(N587,setup!$A$8:$H$58,3),VLOOKUP(N587,setup!$A$8:$H$58,4),VLOOKUP(N587,setup!$A$8:$H$58,5),VLOOKUP(N587,setup!$A$8:$H$58,6),VLOOKUP(N587,setup!$A$8:$H$58,7), VLOOKUP(0,setup!$A$8:$H$58,2),VLOOKUP(0,setup!$A$8:$H$58,5),VLOOKUP(N587,setup!$A$8:$H$58,8))</f>
        <v>* @param $daofactory</v>
      </c>
    </row>
    <row r="588" spans="1:15" x14ac:dyDescent="0.25">
      <c r="A588" s="4" t="s">
        <v>346</v>
      </c>
      <c r="N588">
        <f t="shared" si="0"/>
        <v>2</v>
      </c>
      <c r="O588" s="7" t="str">
        <f ca="1">getCodigoBackend(N588,A588,VLOOKUP(N588,setup!$A$8:$H$58,2),VLOOKUP(N588,setup!$A$8:$H$58,3),VLOOKUP(N588,setup!$A$8:$H$58,4),VLOOKUP(N588,setup!$A$8:$H$58,5),VLOOKUP(N588,setup!$A$8:$H$58,6),VLOOKUP(N588,setup!$A$8:$H$58,7), VLOOKUP(0,setup!$A$8:$H$58,2),VLOOKUP(0,setup!$A$8:$H$58,5),VLOOKUP(N588,setup!$A$8:$H$58,8))</f>
        <v>* @param $id</v>
      </c>
    </row>
    <row r="589" spans="1:15" x14ac:dyDescent="0.25">
      <c r="A589" s="4" t="s">
        <v>723</v>
      </c>
      <c r="N589">
        <f t="shared" si="0"/>
        <v>2</v>
      </c>
      <c r="O589" s="7" t="str">
        <f ca="1">getCodigoBackend(N589,A589,VLOOKUP(N589,setup!$A$8:$H$58,2),VLOOKUP(N589,setup!$A$8:$H$58,3),VLOOKUP(N589,setup!$A$8:$H$58,4),VLOOKUP(N589,setup!$A$8:$H$58,5),VLOOKUP(N589,setup!$A$8:$H$58,6),VLOOKUP(N589,setup!$A$8:$H$58,7), VLOOKUP(0,setup!$A$8:$H$58,2),VLOOKUP(0,setup!$A$8:$H$58,5),VLOOKUP(N589,setup!$A$8:$H$58,8))</f>
        <v>* @param $idUsuarioSolicitante</v>
      </c>
    </row>
    <row r="590" spans="1:15" x14ac:dyDescent="0.25">
      <c r="A590" s="4" t="s">
        <v>347</v>
      </c>
      <c r="N590">
        <f t="shared" si="0"/>
        <v>2</v>
      </c>
      <c r="O590" s="7" t="str">
        <f ca="1">getCodigoBackend(N590,A590,VLOOKUP(N590,setup!$A$8:$H$58,2),VLOOKUP(N590,setup!$A$8:$H$58,3),VLOOKUP(N590,setup!$A$8:$H$58,4),VLOOKUP(N590,setup!$A$8:$H$58,5),VLOOKUP(N590,setup!$A$8:$H$58,6),VLOOKUP(N590,setup!$A$8:$H$58,7), VLOOKUP(0,setup!$A$8:$H$58,2),VLOOKUP(0,setup!$A$8:$H$58,5),VLOOKUP(N590,setup!$A$8:$H$58,8))</f>
        <v>* @return CampanhaCashbackResgatePixDTO</v>
      </c>
    </row>
    <row r="591" spans="1:15" x14ac:dyDescent="0.25">
      <c r="A591" s="4" t="s">
        <v>20</v>
      </c>
      <c r="N591">
        <f t="shared" si="0"/>
        <v>2</v>
      </c>
      <c r="O591" s="7" t="str">
        <f ca="1">getCodigoBackend(N591,A591,VLOOKUP(N591,setup!$A$8:$H$58,2),VLOOKUP(N591,setup!$A$8:$H$58,3),VLOOKUP(N591,setup!$A$8:$H$58,4),VLOOKUP(N591,setup!$A$8:$H$58,5),VLOOKUP(N591,setup!$A$8:$H$58,6),VLOOKUP(N591,setup!$A$8:$H$58,7), VLOOKUP(0,setup!$A$8:$H$58,2),VLOOKUP(0,setup!$A$8:$H$58,5),VLOOKUP(N591,setup!$A$8:$H$58,8))</f>
        <v>*</v>
      </c>
    </row>
    <row r="592" spans="1:15" x14ac:dyDescent="0.25">
      <c r="A592" s="4" t="s">
        <v>75</v>
      </c>
      <c r="N592">
        <f t="shared" si="0"/>
        <v>2</v>
      </c>
      <c r="O592" s="7" t="str">
        <f ca="1">getCodigoBackend(N592,A592,VLOOKUP(N592,setup!$A$8:$H$58,2),VLOOKUP(N592,setup!$A$8:$H$58,3),VLOOKUP(N592,setup!$A$8:$H$58,4),VLOOKUP(N592,setup!$A$8:$H$58,5),VLOOKUP(N592,setup!$A$8:$H$58,6),VLOOKUP(N592,setup!$A$8:$H$58,7), VLOOKUP(0,setup!$A$8:$H$58,2),VLOOKUP(0,setup!$A$8:$H$58,5),VLOOKUP(N592,setup!$A$8:$H$58,8))</f>
        <v xml:space="preserve">* </v>
      </c>
    </row>
    <row r="593" spans="1:15" x14ac:dyDescent="0.25">
      <c r="A593" s="4" t="s">
        <v>21</v>
      </c>
      <c r="N593">
        <f t="shared" si="0"/>
        <v>2</v>
      </c>
      <c r="O593" s="7" t="str">
        <f ca="1">getCodigoBackend(N593,A593,VLOOKUP(N593,setup!$A$8:$H$58,2),VLOOKUP(N593,setup!$A$8:$H$58,3),VLOOKUP(N593,setup!$A$8:$H$58,4),VLOOKUP(N593,setup!$A$8:$H$58,5),VLOOKUP(N593,setup!$A$8:$H$58,6),VLOOKUP(N593,setup!$A$8:$H$58,7), VLOOKUP(0,setup!$A$8:$H$58,2),VLOOKUP(0,setup!$A$8:$H$58,5),VLOOKUP(N593,setup!$A$8:$H$58,8))</f>
        <v>*/</v>
      </c>
    </row>
    <row r="594" spans="1:15" x14ac:dyDescent="0.25">
      <c r="A594" s="29" t="s">
        <v>783</v>
      </c>
      <c r="N594">
        <f t="shared" si="0"/>
        <v>2</v>
      </c>
      <c r="O594" s="7" t="str">
        <f ca="1">getCodigoBackend(N594,A594,VLOOKUP(N594,setup!$A$8:$H$58,2),VLOOKUP(N594,setup!$A$8:$H$58,3),VLOOKUP(N594,setup!$A$8:$H$58,4),VLOOKUP(N594,setup!$A$8:$H$58,5),VLOOKUP(N594,setup!$A$8:$H$58,6),VLOOKUP(N594,setup!$A$8:$H$58,7), VLOOKUP(0,setup!$A$8:$H$58,2),VLOOKUP(0,setup!$A$8:$H$58,5),VLOOKUP(N594,setup!$A$8:$H$58,8))</f>
        <v xml:space="preserve">    public function atualizarIdusuariosolicitantePorPK($daofactory,$idUsuarioSolicitante,$id)</v>
      </c>
    </row>
    <row r="595" spans="1:15" x14ac:dyDescent="0.25">
      <c r="A595" s="29" t="s">
        <v>379</v>
      </c>
      <c r="N595">
        <f t="shared" si="0"/>
        <v>2</v>
      </c>
      <c r="O595" s="7" t="str">
        <f ca="1">getCodigoBackend(N595,A595,VLOOKUP(N595,setup!$A$8:$H$58,2),VLOOKUP(N595,setup!$A$8:$H$58,3),VLOOKUP(N595,setup!$A$8:$H$58,4),VLOOKUP(N595,setup!$A$8:$H$58,5),VLOOKUP(N595,setup!$A$8:$H$58,6),VLOOKUP(N595,setup!$A$8:$H$58,7), VLOOKUP(0,setup!$A$8:$H$58,2),VLOOKUP(0,setup!$A$8:$H$58,5),VLOOKUP(N595,setup!$A$8:$H$58,8))</f>
        <v xml:space="preserve">    {</v>
      </c>
    </row>
    <row r="596" spans="1:15" x14ac:dyDescent="0.25">
      <c r="A596" s="29" t="s">
        <v>754</v>
      </c>
      <c r="N596">
        <f t="shared" si="0"/>
        <v>2</v>
      </c>
      <c r="O596" s="7" t="str">
        <f ca="1">getCodigoBackend(N596,A596,VLOOKUP(N596,setup!$A$8:$H$58,2),VLOOKUP(N596,setup!$A$8:$H$58,3),VLOOKUP(N596,setup!$A$8:$H$58,4),VLOOKUP(N596,setup!$A$8:$H$58,5),VLOOKUP(N596,setup!$A$8:$H$58,6),VLOOKUP(N596,setup!$A$8:$H$58,7), VLOOKUP(0,setup!$A$8:$H$58,2),VLOOKUP(0,setup!$A$8:$H$58,5),VLOOKUP(N596,setup!$A$8:$H$58,8))</f>
        <v xml:space="preserve">        $dao = $daofactory-&gt;getCampanhaCashbackResgatePixDAO($daofactory);</v>
      </c>
    </row>
    <row r="597" spans="1:15" x14ac:dyDescent="0.25">
      <c r="A597" s="29"/>
      <c r="N597">
        <f t="shared" si="0"/>
        <v>2</v>
      </c>
      <c r="O597" s="7" t="str">
        <f ca="1">getCodigoBackend(N597,A597,VLOOKUP(N597,setup!$A$8:$H$58,2),VLOOKUP(N597,setup!$A$8:$H$58,3),VLOOKUP(N597,setup!$A$8:$H$58,4),VLOOKUP(N597,setup!$A$8:$H$58,5),VLOOKUP(N597,setup!$A$8:$H$58,6),VLOOKUP(N597,setup!$A$8:$H$58,7), VLOOKUP(0,setup!$A$8:$H$58,2),VLOOKUP(0,setup!$A$8:$H$58,5),VLOOKUP(N597,setup!$A$8:$H$58,8))</f>
        <v/>
      </c>
    </row>
    <row r="598" spans="1:15" x14ac:dyDescent="0.25">
      <c r="A598" s="29" t="s">
        <v>750</v>
      </c>
      <c r="N598">
        <f t="shared" si="0"/>
        <v>2</v>
      </c>
      <c r="O598" s="7" t="str">
        <f ca="1">getCodigoBackend(N598,A598,VLOOKUP(N598,setup!$A$8:$H$58,2),VLOOKUP(N598,setup!$A$8:$H$58,3),VLOOKUP(N598,setup!$A$8:$H$58,4),VLOOKUP(N598,setup!$A$8:$H$58,5),VLOOKUP(N598,setup!$A$8:$H$58,6),VLOOKUP(N598,setup!$A$8:$H$58,7), VLOOKUP(0,setup!$A$8:$H$58,2),VLOOKUP(0,setup!$A$8:$H$58,5),VLOOKUP(N598,setup!$A$8:$H$58,8))</f>
        <v xml:space="preserve">        // resposta padrão</v>
      </c>
    </row>
    <row r="599" spans="1:15" x14ac:dyDescent="0.25">
      <c r="A599" s="29" t="s">
        <v>404</v>
      </c>
      <c r="N599">
        <f t="shared" si="0"/>
        <v>2</v>
      </c>
      <c r="O599" s="7" t="str">
        <f ca="1">getCodigoBackend(N599,A599,VLOOKUP(N599,setup!$A$8:$H$58,2),VLOOKUP(N599,setup!$A$8:$H$58,3),VLOOKUP(N599,setup!$A$8:$H$58,4),VLOOKUP(N599,setup!$A$8:$H$58,5),VLOOKUP(N599,setup!$A$8:$H$58,6),VLOOKUP(N599,setup!$A$8:$H$58,7), VLOOKUP(0,setup!$A$8:$H$58,2),VLOOKUP(0,setup!$A$8:$H$58,5),VLOOKUP(N599,setup!$A$8:$H$58,8))</f>
        <v xml:space="preserve">        $retorno = new DTOPadrao();</v>
      </c>
    </row>
    <row r="600" spans="1:15" x14ac:dyDescent="0.25">
      <c r="A600" s="29"/>
      <c r="N600">
        <f t="shared" si="0"/>
        <v>2</v>
      </c>
      <c r="O600" s="7" t="str">
        <f ca="1">getCodigoBackend(N600,A600,VLOOKUP(N600,setup!$A$8:$H$58,2),VLOOKUP(N600,setup!$A$8:$H$58,3),VLOOKUP(N600,setup!$A$8:$H$58,4),VLOOKUP(N600,setup!$A$8:$H$58,5),VLOOKUP(N600,setup!$A$8:$H$58,6),VLOOKUP(N600,setup!$A$8:$H$58,7), VLOOKUP(0,setup!$A$8:$H$58,2),VLOOKUP(0,setup!$A$8:$H$58,5),VLOOKUP(N600,setup!$A$8:$H$58,8))</f>
        <v/>
      </c>
    </row>
    <row r="601" spans="1:15" x14ac:dyDescent="0.25">
      <c r="A601" s="29" t="s">
        <v>755</v>
      </c>
      <c r="N601">
        <f t="shared" si="0"/>
        <v>2</v>
      </c>
      <c r="O601" s="7" t="str">
        <f ca="1">getCodigoBackend(N601,A601,VLOOKUP(N601,setup!$A$8:$H$58,2),VLOOKUP(N601,setup!$A$8:$H$58,3),VLOOKUP(N601,setup!$A$8:$H$58,4),VLOOKUP(N601,setup!$A$8:$H$58,5),VLOOKUP(N601,setup!$A$8:$H$58,6),VLOOKUP(N601,setup!$A$8:$H$58,7), VLOOKUP(0,setup!$A$8:$H$58,2),VLOOKUP(0,setup!$A$8:$H$58,5),VLOOKUP(N601,setup!$A$8:$H$58,8))</f>
        <v xml:space="preserve">        if($dao-&gt;updateIdusuariosolicitante($id, $idUsuarioSolicitante)){   </v>
      </c>
    </row>
    <row r="602" spans="1:15" x14ac:dyDescent="0.25">
      <c r="A602" s="29" t="s">
        <v>751</v>
      </c>
      <c r="N602">
        <f t="shared" si="0"/>
        <v>2</v>
      </c>
      <c r="O602" s="7" t="str">
        <f ca="1">getCodigoBackend(N602,A602,VLOOKUP(N602,setup!$A$8:$H$58,2),VLOOKUP(N602,setup!$A$8:$H$58,3),VLOOKUP(N602,setup!$A$8:$H$58,4),VLOOKUP(N602,setup!$A$8:$H$58,5),VLOOKUP(N602,setup!$A$8:$H$58,6),VLOOKUP(N602,setup!$A$8:$H$58,7), VLOOKUP(0,setup!$A$8:$H$58,2),VLOOKUP(0,setup!$A$8:$H$58,5),VLOOKUP(N602,setup!$A$8:$H$58,8))</f>
        <v xml:space="preserve">            $retorno-&gt;msgcode = ConstantesMensagem::COMANDO_REALIZADO_COM_SUCESSO;</v>
      </c>
    </row>
    <row r="603" spans="1:15" x14ac:dyDescent="0.25">
      <c r="A603" s="29" t="s">
        <v>752</v>
      </c>
      <c r="N603">
        <f t="shared" si="0"/>
        <v>2</v>
      </c>
      <c r="O603" s="7" t="str">
        <f ca="1">getCodigoBackend(N603,A603,VLOOKUP(N603,setup!$A$8:$H$58,2),VLOOKUP(N603,setup!$A$8:$H$58,3),VLOOKUP(N603,setup!$A$8:$H$58,4),VLOOKUP(N603,setup!$A$8:$H$58,5),VLOOKUP(N603,setup!$A$8:$H$58,6),VLOOKUP(N603,setup!$A$8:$H$58,7), VLOOKUP(0,setup!$A$8:$H$58,2),VLOOKUP(0,setup!$A$8:$H$58,5),VLOOKUP(N603,setup!$A$8:$H$58,8))</f>
        <v xml:space="preserve">        }       </v>
      </c>
    </row>
    <row r="604" spans="1:15" x14ac:dyDescent="0.25">
      <c r="A604" s="29"/>
      <c r="N604">
        <f t="shared" si="0"/>
        <v>2</v>
      </c>
      <c r="O604" s="7" t="str">
        <f ca="1">getCodigoBackend(N604,A604,VLOOKUP(N604,setup!$A$8:$H$58,2),VLOOKUP(N604,setup!$A$8:$H$58,3),VLOOKUP(N604,setup!$A$8:$H$58,4),VLOOKUP(N604,setup!$A$8:$H$58,5),VLOOKUP(N604,setup!$A$8:$H$58,6),VLOOKUP(N604,setup!$A$8:$H$58,7), VLOOKUP(0,setup!$A$8:$H$58,2),VLOOKUP(0,setup!$A$8:$H$58,5),VLOOKUP(N604,setup!$A$8:$H$58,8))</f>
        <v/>
      </c>
    </row>
    <row r="605" spans="1:15" x14ac:dyDescent="0.25">
      <c r="A605" s="29" t="s">
        <v>753</v>
      </c>
      <c r="N605">
        <f t="shared" si="0"/>
        <v>2</v>
      </c>
      <c r="O605" s="7" t="str">
        <f ca="1">getCodigoBackend(N605,A605,VLOOKUP(N605,setup!$A$8:$H$58,2),VLOOKUP(N605,setup!$A$8:$H$58,3),VLOOKUP(N605,setup!$A$8:$H$58,4),VLOOKUP(N605,setup!$A$8:$H$58,5),VLOOKUP(N605,setup!$A$8:$H$58,6),VLOOKUP(N605,setup!$A$8:$H$58,7), VLOOKUP(0,setup!$A$8:$H$58,2),VLOOKUP(0,setup!$A$8:$H$58,5),VLOOKUP(N605,setup!$A$8:$H$58,8))</f>
        <v xml:space="preserve">        // Obtem o texto da mensagem em razão do código de retorno</v>
      </c>
    </row>
    <row r="606" spans="1:15" x14ac:dyDescent="0.25">
      <c r="A606" s="29" t="s">
        <v>405</v>
      </c>
      <c r="N606">
        <f t="shared" si="0"/>
        <v>2</v>
      </c>
      <c r="O606" s="7" t="str">
        <f ca="1">getCodigoBackend(N606,A606,VLOOKUP(N606,setup!$A$8:$H$58,2),VLOOKUP(N606,setup!$A$8:$H$58,3),VLOOKUP(N606,setup!$A$8:$H$58,4),VLOOKUP(N606,setup!$A$8:$H$58,5),VLOOKUP(N606,setup!$A$8:$H$58,6),VLOOKUP(N606,setup!$A$8:$H$58,7), VLOOKUP(0,setup!$A$8:$H$58,2),VLOOKUP(0,setup!$A$8:$H$58,5),VLOOKUP(N606,setup!$A$8:$H$58,8))</f>
        <v xml:space="preserve">        $retorno-&gt;msgcodeString = MensagemCache::getInstance()-&gt;getMensagem($retorno-&gt;msgcode);</v>
      </c>
    </row>
    <row r="607" spans="1:15" x14ac:dyDescent="0.25">
      <c r="A607" s="29"/>
      <c r="N607">
        <f t="shared" si="0"/>
        <v>2</v>
      </c>
      <c r="O607" s="7" t="str">
        <f ca="1">getCodigoBackend(N607,A607,VLOOKUP(N607,setup!$A$8:$H$58,2),VLOOKUP(N607,setup!$A$8:$H$58,3),VLOOKUP(N607,setup!$A$8:$H$58,4),VLOOKUP(N607,setup!$A$8:$H$58,5),VLOOKUP(N607,setup!$A$8:$H$58,6),VLOOKUP(N607,setup!$A$8:$H$58,7), VLOOKUP(0,setup!$A$8:$H$58,2),VLOOKUP(0,setup!$A$8:$H$58,5),VLOOKUP(N607,setup!$A$8:$H$58,8))</f>
        <v/>
      </c>
    </row>
    <row r="608" spans="1:15" x14ac:dyDescent="0.25">
      <c r="A608" s="29" t="s">
        <v>743</v>
      </c>
      <c r="N608">
        <f t="shared" si="0"/>
        <v>2</v>
      </c>
      <c r="O608" s="7" t="str">
        <f ca="1">getCodigoBackend(N608,A608,VLOOKUP(N608,setup!$A$8:$H$58,2),VLOOKUP(N608,setup!$A$8:$H$58,3),VLOOKUP(N608,setup!$A$8:$H$58,4),VLOOKUP(N608,setup!$A$8:$H$58,5),VLOOKUP(N608,setup!$A$8:$H$58,6),VLOOKUP(N608,setup!$A$8:$H$58,7), VLOOKUP(0,setup!$A$8:$H$58,2),VLOOKUP(0,setup!$A$8:$H$58,5),VLOOKUP(N608,setup!$A$8:$H$58,8))</f>
        <v xml:space="preserve">        return $retorno;</v>
      </c>
    </row>
    <row r="609" spans="1:15" x14ac:dyDescent="0.25">
      <c r="A609" s="29" t="s">
        <v>406</v>
      </c>
      <c r="N609">
        <f t="shared" si="0"/>
        <v>2</v>
      </c>
      <c r="O609" s="7" t="str">
        <f ca="1">getCodigoBackend(N609,A609,VLOOKUP(N609,setup!$A$8:$H$58,2),VLOOKUP(N609,setup!$A$8:$H$58,3),VLOOKUP(N609,setup!$A$8:$H$58,4),VLOOKUP(N609,setup!$A$8:$H$58,5),VLOOKUP(N609,setup!$A$8:$H$58,6),VLOOKUP(N609,setup!$A$8:$H$58,7), VLOOKUP(0,setup!$A$8:$H$58,2),VLOOKUP(0,setup!$A$8:$H$58,5),VLOOKUP(N609,setup!$A$8:$H$58,8))</f>
        <v xml:space="preserve">    }</v>
      </c>
    </row>
    <row r="610" spans="1:15" x14ac:dyDescent="0.25">
      <c r="A610" s="29"/>
      <c r="O610" s="7" t="str">
        <f ca="1">getCodigoBackend(N610,A610,VLOOKUP(N610,setup!$A$8:$H$58,2),VLOOKUP(N610,setup!$A$8:$H$58,3),VLOOKUP(N610,setup!$A$8:$H$58,4),VLOOKUP(N610,setup!$A$8:$H$58,5),VLOOKUP(N610,setup!$A$8:$H$58,6),VLOOKUP(N610,setup!$A$8:$H$58,7), VLOOKUP(0,setup!$A$8:$H$58,2),VLOOKUP(0,setup!$A$8:$H$58,5),VLOOKUP(N610,setup!$A$8:$H$58,8))</f>
        <v/>
      </c>
    </row>
    <row r="611" spans="1:15" x14ac:dyDescent="0.25">
      <c r="A611" s="4" t="s">
        <v>19</v>
      </c>
      <c r="N611">
        <f>N609+1</f>
        <v>3</v>
      </c>
      <c r="O611" s="7" t="str">
        <f ca="1">getCodigoBackend(N611,A611,VLOOKUP(N611,setup!$A$8:$H$58,2),VLOOKUP(N611,setup!$A$8:$H$58,3),VLOOKUP(N611,setup!$A$8:$H$58,4),VLOOKUP(N611,setup!$A$8:$H$58,5),VLOOKUP(N611,setup!$A$8:$H$58,6),VLOOKUP(N611,setup!$A$8:$H$58,7), VLOOKUP(0,setup!$A$8:$H$58,2),VLOOKUP(0,setup!$A$8:$H$58,5),VLOOKUP(N611,setup!$A$8:$H$58,8))</f>
        <v>/**</v>
      </c>
    </row>
    <row r="612" spans="1:15" x14ac:dyDescent="0.25">
      <c r="A612" s="4" t="s">
        <v>20</v>
      </c>
      <c r="N612">
        <f>N611</f>
        <v>3</v>
      </c>
      <c r="O612" s="7" t="str">
        <f ca="1">getCodigoBackend(N612,A612,VLOOKUP(N612,setup!$A$8:$H$58,2),VLOOKUP(N612,setup!$A$8:$H$58,3),VLOOKUP(N612,setup!$A$8:$H$58,4),VLOOKUP(N612,setup!$A$8:$H$58,5),VLOOKUP(N612,setup!$A$8:$H$58,6),VLOOKUP(N612,setup!$A$8:$H$58,7), VLOOKUP(0,setup!$A$8:$H$58,2),VLOOKUP(0,setup!$A$8:$H$58,5),VLOOKUP(N612,setup!$A$8:$H$58,8))</f>
        <v>*</v>
      </c>
    </row>
    <row r="613" spans="1:15" x14ac:dyDescent="0.25">
      <c r="A613" s="4" t="s">
        <v>744</v>
      </c>
      <c r="N613">
        <f t="shared" ref="N613:N637" si="1">N612</f>
        <v>3</v>
      </c>
      <c r="O613" s="7" t="str">
        <f ca="1">getCodigoBackend(N613,A613,VLOOKUP(N613,setup!$A$8:$H$58,2),VLOOKUP(N613,setup!$A$8:$H$58,3),VLOOKUP(N613,setup!$A$8:$H$58,4),VLOOKUP(N613,setup!$A$8:$H$58,5),VLOOKUP(N613,setup!$A$8:$H$58,6),VLOOKUP(N613,setup!$A$8:$H$58,7), VLOOKUP(0,setup!$A$8:$H$58,2),VLOOKUP(0,setup!$A$8:$H$58,5),VLOOKUP(N613,setup!$A$8:$H$58,8))</f>
        <v>* atualizarTipochavepixPorPK() - Usado para invocar a classe de negócio CampanhaCashbackResgatePixBusinessImpl de forma geral</v>
      </c>
    </row>
    <row r="614" spans="1:15" x14ac:dyDescent="0.25">
      <c r="A614" s="4" t="s">
        <v>745</v>
      </c>
      <c r="N614">
        <f t="shared" si="1"/>
        <v>3</v>
      </c>
      <c r="O614" s="7" t="str">
        <f ca="1">getCodigoBackend(N614,A614,VLOOKUP(N614,setup!$A$8:$H$58,2),VLOOKUP(N614,setup!$A$8:$H$58,3),VLOOKUP(N614,setup!$A$8:$H$58,4),VLOOKUP(N614,setup!$A$8:$H$58,5),VLOOKUP(N614,setup!$A$8:$H$58,6),VLOOKUP(N614,setup!$A$8:$H$58,7), VLOOKUP(0,setup!$A$8:$H$58,2),VLOOKUP(0,setup!$A$8:$H$58,5),VLOOKUP(N614,setup!$A$8:$H$58,8))</f>
        <v>* realizar uma atualização de Tipo da Chave PIX diretamente na tabela CAMPANHA_CASHBACK_RESGATE_PIX campo CCRP_IN_TIPO_CHAVE_PIX</v>
      </c>
    </row>
    <row r="615" spans="1:15" x14ac:dyDescent="0.25">
      <c r="A615" s="4" t="s">
        <v>361</v>
      </c>
      <c r="N615">
        <f t="shared" si="1"/>
        <v>3</v>
      </c>
      <c r="O615" s="7" t="str">
        <f ca="1">getCodigoBackend(N615,A615,VLOOKUP(N615,setup!$A$8:$H$58,2),VLOOKUP(N615,setup!$A$8:$H$58,3),VLOOKUP(N615,setup!$A$8:$H$58,4),VLOOKUP(N615,setup!$A$8:$H$58,5),VLOOKUP(N615,setup!$A$8:$H$58,6),VLOOKUP(N615,setup!$A$8:$H$58,7), VLOOKUP(0,setup!$A$8:$H$58,2),VLOOKUP(0,setup!$A$8:$H$58,5),VLOOKUP(N615,setup!$A$8:$H$58,8))</f>
        <v>* @param $daofactory</v>
      </c>
    </row>
    <row r="616" spans="1:15" x14ac:dyDescent="0.25">
      <c r="A616" s="4" t="s">
        <v>346</v>
      </c>
      <c r="N616">
        <f t="shared" si="1"/>
        <v>3</v>
      </c>
      <c r="O616" s="7" t="str">
        <f ca="1">getCodigoBackend(N616,A616,VLOOKUP(N616,setup!$A$8:$H$58,2),VLOOKUP(N616,setup!$A$8:$H$58,3),VLOOKUP(N616,setup!$A$8:$H$58,4),VLOOKUP(N616,setup!$A$8:$H$58,5),VLOOKUP(N616,setup!$A$8:$H$58,6),VLOOKUP(N616,setup!$A$8:$H$58,7), VLOOKUP(0,setup!$A$8:$H$58,2),VLOOKUP(0,setup!$A$8:$H$58,5),VLOOKUP(N616,setup!$A$8:$H$58,8))</f>
        <v>* @param $id</v>
      </c>
    </row>
    <row r="617" spans="1:15" x14ac:dyDescent="0.25">
      <c r="A617" s="4" t="s">
        <v>723</v>
      </c>
      <c r="N617">
        <f t="shared" si="1"/>
        <v>3</v>
      </c>
      <c r="O617" s="7" t="str">
        <f ca="1">getCodigoBackend(N617,A617,VLOOKUP(N617,setup!$A$8:$H$58,2),VLOOKUP(N617,setup!$A$8:$H$58,3),VLOOKUP(N617,setup!$A$8:$H$58,4),VLOOKUP(N617,setup!$A$8:$H$58,5),VLOOKUP(N617,setup!$A$8:$H$58,6),VLOOKUP(N617,setup!$A$8:$H$58,7), VLOOKUP(0,setup!$A$8:$H$58,2),VLOOKUP(0,setup!$A$8:$H$58,5),VLOOKUP(N617,setup!$A$8:$H$58,8))</f>
        <v>* @param $tipoChavePix</v>
      </c>
    </row>
    <row r="618" spans="1:15" x14ac:dyDescent="0.25">
      <c r="A618" s="4" t="s">
        <v>347</v>
      </c>
      <c r="N618">
        <f t="shared" si="1"/>
        <v>3</v>
      </c>
      <c r="O618" s="7" t="str">
        <f ca="1">getCodigoBackend(N618,A618,VLOOKUP(N618,setup!$A$8:$H$58,2),VLOOKUP(N618,setup!$A$8:$H$58,3),VLOOKUP(N618,setup!$A$8:$H$58,4),VLOOKUP(N618,setup!$A$8:$H$58,5),VLOOKUP(N618,setup!$A$8:$H$58,6),VLOOKUP(N618,setup!$A$8:$H$58,7), VLOOKUP(0,setup!$A$8:$H$58,2),VLOOKUP(0,setup!$A$8:$H$58,5),VLOOKUP(N618,setup!$A$8:$H$58,8))</f>
        <v>* @return CampanhaCashbackResgatePixDTO</v>
      </c>
    </row>
    <row r="619" spans="1:15" x14ac:dyDescent="0.25">
      <c r="A619" s="4" t="s">
        <v>20</v>
      </c>
      <c r="N619">
        <f t="shared" si="1"/>
        <v>3</v>
      </c>
      <c r="O619" s="7" t="str">
        <f ca="1">getCodigoBackend(N619,A619,VLOOKUP(N619,setup!$A$8:$H$58,2),VLOOKUP(N619,setup!$A$8:$H$58,3),VLOOKUP(N619,setup!$A$8:$H$58,4),VLOOKUP(N619,setup!$A$8:$H$58,5),VLOOKUP(N619,setup!$A$8:$H$58,6),VLOOKUP(N619,setup!$A$8:$H$58,7), VLOOKUP(0,setup!$A$8:$H$58,2),VLOOKUP(0,setup!$A$8:$H$58,5),VLOOKUP(N619,setup!$A$8:$H$58,8))</f>
        <v>*</v>
      </c>
    </row>
    <row r="620" spans="1:15" x14ac:dyDescent="0.25">
      <c r="A620" s="4" t="s">
        <v>75</v>
      </c>
      <c r="N620">
        <f t="shared" si="1"/>
        <v>3</v>
      </c>
      <c r="O620" s="7" t="str">
        <f ca="1">getCodigoBackend(N620,A620,VLOOKUP(N620,setup!$A$8:$H$58,2),VLOOKUP(N620,setup!$A$8:$H$58,3),VLOOKUP(N620,setup!$A$8:$H$58,4),VLOOKUP(N620,setup!$A$8:$H$58,5),VLOOKUP(N620,setup!$A$8:$H$58,6),VLOOKUP(N620,setup!$A$8:$H$58,7), VLOOKUP(0,setup!$A$8:$H$58,2),VLOOKUP(0,setup!$A$8:$H$58,5),VLOOKUP(N620,setup!$A$8:$H$58,8))</f>
        <v xml:space="preserve">* </v>
      </c>
    </row>
    <row r="621" spans="1:15" x14ac:dyDescent="0.25">
      <c r="A621" s="4" t="s">
        <v>21</v>
      </c>
      <c r="N621">
        <f t="shared" si="1"/>
        <v>3</v>
      </c>
      <c r="O621" s="7" t="str">
        <f ca="1">getCodigoBackend(N621,A621,VLOOKUP(N621,setup!$A$8:$H$58,2),VLOOKUP(N621,setup!$A$8:$H$58,3),VLOOKUP(N621,setup!$A$8:$H$58,4),VLOOKUP(N621,setup!$A$8:$H$58,5),VLOOKUP(N621,setup!$A$8:$H$58,6),VLOOKUP(N621,setup!$A$8:$H$58,7), VLOOKUP(0,setup!$A$8:$H$58,2),VLOOKUP(0,setup!$A$8:$H$58,5),VLOOKUP(N621,setup!$A$8:$H$58,8))</f>
        <v>*/</v>
      </c>
    </row>
    <row r="622" spans="1:15" x14ac:dyDescent="0.25">
      <c r="A622" s="29" t="s">
        <v>783</v>
      </c>
      <c r="N622">
        <f t="shared" si="1"/>
        <v>3</v>
      </c>
      <c r="O622" s="7" t="str">
        <f ca="1">getCodigoBackend(N622,A622,VLOOKUP(N622,setup!$A$8:$H$58,2),VLOOKUP(N622,setup!$A$8:$H$58,3),VLOOKUP(N622,setup!$A$8:$H$58,4),VLOOKUP(N622,setup!$A$8:$H$58,5),VLOOKUP(N622,setup!$A$8:$H$58,6),VLOOKUP(N622,setup!$A$8:$H$58,7), VLOOKUP(0,setup!$A$8:$H$58,2),VLOOKUP(0,setup!$A$8:$H$58,5),VLOOKUP(N622,setup!$A$8:$H$58,8))</f>
        <v xml:space="preserve">    public function atualizarTipochavepixPorPK($daofactory,$tipoChavePix,$id)</v>
      </c>
    </row>
    <row r="623" spans="1:15" x14ac:dyDescent="0.25">
      <c r="A623" s="29" t="s">
        <v>379</v>
      </c>
      <c r="N623">
        <f t="shared" si="1"/>
        <v>3</v>
      </c>
      <c r="O623" s="7" t="str">
        <f ca="1">getCodigoBackend(N623,A623,VLOOKUP(N623,setup!$A$8:$H$58,2),VLOOKUP(N623,setup!$A$8:$H$58,3),VLOOKUP(N623,setup!$A$8:$H$58,4),VLOOKUP(N623,setup!$A$8:$H$58,5),VLOOKUP(N623,setup!$A$8:$H$58,6),VLOOKUP(N623,setup!$A$8:$H$58,7), VLOOKUP(0,setup!$A$8:$H$58,2),VLOOKUP(0,setup!$A$8:$H$58,5),VLOOKUP(N623,setup!$A$8:$H$58,8))</f>
        <v xml:space="preserve">    {</v>
      </c>
    </row>
    <row r="624" spans="1:15" x14ac:dyDescent="0.25">
      <c r="A624" s="29" t="s">
        <v>754</v>
      </c>
      <c r="N624">
        <f t="shared" si="1"/>
        <v>3</v>
      </c>
      <c r="O624" s="7" t="str">
        <f ca="1">getCodigoBackend(N624,A624,VLOOKUP(N624,setup!$A$8:$H$58,2),VLOOKUP(N624,setup!$A$8:$H$58,3),VLOOKUP(N624,setup!$A$8:$H$58,4),VLOOKUP(N624,setup!$A$8:$H$58,5),VLOOKUP(N624,setup!$A$8:$H$58,6),VLOOKUP(N624,setup!$A$8:$H$58,7), VLOOKUP(0,setup!$A$8:$H$58,2),VLOOKUP(0,setup!$A$8:$H$58,5),VLOOKUP(N624,setup!$A$8:$H$58,8))</f>
        <v xml:space="preserve">        $dao = $daofactory-&gt;getCampanhaCashbackResgatePixDAO($daofactory);</v>
      </c>
    </row>
    <row r="625" spans="1:15" x14ac:dyDescent="0.25">
      <c r="A625" s="29"/>
      <c r="N625">
        <f t="shared" si="1"/>
        <v>3</v>
      </c>
      <c r="O625" s="7" t="str">
        <f ca="1">getCodigoBackend(N625,A625,VLOOKUP(N625,setup!$A$8:$H$58,2),VLOOKUP(N625,setup!$A$8:$H$58,3),VLOOKUP(N625,setup!$A$8:$H$58,4),VLOOKUP(N625,setup!$A$8:$H$58,5),VLOOKUP(N625,setup!$A$8:$H$58,6),VLOOKUP(N625,setup!$A$8:$H$58,7), VLOOKUP(0,setup!$A$8:$H$58,2),VLOOKUP(0,setup!$A$8:$H$58,5),VLOOKUP(N625,setup!$A$8:$H$58,8))</f>
        <v/>
      </c>
    </row>
    <row r="626" spans="1:15" x14ac:dyDescent="0.25">
      <c r="A626" s="29" t="s">
        <v>750</v>
      </c>
      <c r="N626">
        <f t="shared" si="1"/>
        <v>3</v>
      </c>
      <c r="O626" s="7" t="str">
        <f ca="1">getCodigoBackend(N626,A626,VLOOKUP(N626,setup!$A$8:$H$58,2),VLOOKUP(N626,setup!$A$8:$H$58,3),VLOOKUP(N626,setup!$A$8:$H$58,4),VLOOKUP(N626,setup!$A$8:$H$58,5),VLOOKUP(N626,setup!$A$8:$H$58,6),VLOOKUP(N626,setup!$A$8:$H$58,7), VLOOKUP(0,setup!$A$8:$H$58,2),VLOOKUP(0,setup!$A$8:$H$58,5),VLOOKUP(N626,setup!$A$8:$H$58,8))</f>
        <v xml:space="preserve">        // resposta padrão</v>
      </c>
    </row>
    <row r="627" spans="1:15" x14ac:dyDescent="0.25">
      <c r="A627" s="29" t="s">
        <v>404</v>
      </c>
      <c r="N627">
        <f t="shared" si="1"/>
        <v>3</v>
      </c>
      <c r="O627" s="7" t="str">
        <f ca="1">getCodigoBackend(N627,A627,VLOOKUP(N627,setup!$A$8:$H$58,2),VLOOKUP(N627,setup!$A$8:$H$58,3),VLOOKUP(N627,setup!$A$8:$H$58,4),VLOOKUP(N627,setup!$A$8:$H$58,5),VLOOKUP(N627,setup!$A$8:$H$58,6),VLOOKUP(N627,setup!$A$8:$H$58,7), VLOOKUP(0,setup!$A$8:$H$58,2),VLOOKUP(0,setup!$A$8:$H$58,5),VLOOKUP(N627,setup!$A$8:$H$58,8))</f>
        <v xml:space="preserve">        $retorno = new DTOPadrao();</v>
      </c>
    </row>
    <row r="628" spans="1:15" x14ac:dyDescent="0.25">
      <c r="A628" s="29"/>
      <c r="N628">
        <f t="shared" si="1"/>
        <v>3</v>
      </c>
      <c r="O628" s="7" t="str">
        <f ca="1">getCodigoBackend(N628,A628,VLOOKUP(N628,setup!$A$8:$H$58,2),VLOOKUP(N628,setup!$A$8:$H$58,3),VLOOKUP(N628,setup!$A$8:$H$58,4),VLOOKUP(N628,setup!$A$8:$H$58,5),VLOOKUP(N628,setup!$A$8:$H$58,6),VLOOKUP(N628,setup!$A$8:$H$58,7), VLOOKUP(0,setup!$A$8:$H$58,2),VLOOKUP(0,setup!$A$8:$H$58,5),VLOOKUP(N628,setup!$A$8:$H$58,8))</f>
        <v/>
      </c>
    </row>
    <row r="629" spans="1:15" x14ac:dyDescent="0.25">
      <c r="A629" s="29" t="s">
        <v>755</v>
      </c>
      <c r="N629">
        <f t="shared" si="1"/>
        <v>3</v>
      </c>
      <c r="O629" s="7" t="str">
        <f ca="1">getCodigoBackend(N629,A629,VLOOKUP(N629,setup!$A$8:$H$58,2),VLOOKUP(N629,setup!$A$8:$H$58,3),VLOOKUP(N629,setup!$A$8:$H$58,4),VLOOKUP(N629,setup!$A$8:$H$58,5),VLOOKUP(N629,setup!$A$8:$H$58,6),VLOOKUP(N629,setup!$A$8:$H$58,7), VLOOKUP(0,setup!$A$8:$H$58,2),VLOOKUP(0,setup!$A$8:$H$58,5),VLOOKUP(N629,setup!$A$8:$H$58,8))</f>
        <v xml:space="preserve">        if($dao-&gt;updateTipochavepix($id, $tipoChavePix)){   </v>
      </c>
    </row>
    <row r="630" spans="1:15" x14ac:dyDescent="0.25">
      <c r="A630" s="29" t="s">
        <v>751</v>
      </c>
      <c r="N630">
        <f t="shared" si="1"/>
        <v>3</v>
      </c>
      <c r="O630" s="7" t="str">
        <f ca="1">getCodigoBackend(N630,A630,VLOOKUP(N630,setup!$A$8:$H$58,2),VLOOKUP(N630,setup!$A$8:$H$58,3),VLOOKUP(N630,setup!$A$8:$H$58,4),VLOOKUP(N630,setup!$A$8:$H$58,5),VLOOKUP(N630,setup!$A$8:$H$58,6),VLOOKUP(N630,setup!$A$8:$H$58,7), VLOOKUP(0,setup!$A$8:$H$58,2),VLOOKUP(0,setup!$A$8:$H$58,5),VLOOKUP(N630,setup!$A$8:$H$58,8))</f>
        <v xml:space="preserve">            $retorno-&gt;msgcode = ConstantesMensagem::COMANDO_REALIZADO_COM_SUCESSO;</v>
      </c>
    </row>
    <row r="631" spans="1:15" x14ac:dyDescent="0.25">
      <c r="A631" s="29" t="s">
        <v>752</v>
      </c>
      <c r="N631">
        <f t="shared" si="1"/>
        <v>3</v>
      </c>
      <c r="O631" s="7" t="str">
        <f ca="1">getCodigoBackend(N631,A631,VLOOKUP(N631,setup!$A$8:$H$58,2),VLOOKUP(N631,setup!$A$8:$H$58,3),VLOOKUP(N631,setup!$A$8:$H$58,4),VLOOKUP(N631,setup!$A$8:$H$58,5),VLOOKUP(N631,setup!$A$8:$H$58,6),VLOOKUP(N631,setup!$A$8:$H$58,7), VLOOKUP(0,setup!$A$8:$H$58,2),VLOOKUP(0,setup!$A$8:$H$58,5),VLOOKUP(N631,setup!$A$8:$H$58,8))</f>
        <v xml:space="preserve">        }       </v>
      </c>
    </row>
    <row r="632" spans="1:15" x14ac:dyDescent="0.25">
      <c r="A632" s="29"/>
      <c r="N632">
        <f t="shared" si="1"/>
        <v>3</v>
      </c>
      <c r="O632" s="7" t="str">
        <f ca="1">getCodigoBackend(N632,A632,VLOOKUP(N632,setup!$A$8:$H$58,2),VLOOKUP(N632,setup!$A$8:$H$58,3),VLOOKUP(N632,setup!$A$8:$H$58,4),VLOOKUP(N632,setup!$A$8:$H$58,5),VLOOKUP(N632,setup!$A$8:$H$58,6),VLOOKUP(N632,setup!$A$8:$H$58,7), VLOOKUP(0,setup!$A$8:$H$58,2),VLOOKUP(0,setup!$A$8:$H$58,5),VLOOKUP(N632,setup!$A$8:$H$58,8))</f>
        <v/>
      </c>
    </row>
    <row r="633" spans="1:15" x14ac:dyDescent="0.25">
      <c r="A633" s="29" t="s">
        <v>753</v>
      </c>
      <c r="N633">
        <f t="shared" si="1"/>
        <v>3</v>
      </c>
      <c r="O633" s="7" t="str">
        <f ca="1">getCodigoBackend(N633,A633,VLOOKUP(N633,setup!$A$8:$H$58,2),VLOOKUP(N633,setup!$A$8:$H$58,3),VLOOKUP(N633,setup!$A$8:$H$58,4),VLOOKUP(N633,setup!$A$8:$H$58,5),VLOOKUP(N633,setup!$A$8:$H$58,6),VLOOKUP(N633,setup!$A$8:$H$58,7), VLOOKUP(0,setup!$A$8:$H$58,2),VLOOKUP(0,setup!$A$8:$H$58,5),VLOOKUP(N633,setup!$A$8:$H$58,8))</f>
        <v xml:space="preserve">        // Obtem o texto da mensagem em razão do código de retorno</v>
      </c>
    </row>
    <row r="634" spans="1:15" x14ac:dyDescent="0.25">
      <c r="A634" s="29" t="s">
        <v>405</v>
      </c>
      <c r="N634">
        <f t="shared" si="1"/>
        <v>3</v>
      </c>
      <c r="O634" s="7" t="str">
        <f ca="1">getCodigoBackend(N634,A634,VLOOKUP(N634,setup!$A$8:$H$58,2),VLOOKUP(N634,setup!$A$8:$H$58,3),VLOOKUP(N634,setup!$A$8:$H$58,4),VLOOKUP(N634,setup!$A$8:$H$58,5),VLOOKUP(N634,setup!$A$8:$H$58,6),VLOOKUP(N634,setup!$A$8:$H$58,7), VLOOKUP(0,setup!$A$8:$H$58,2),VLOOKUP(0,setup!$A$8:$H$58,5),VLOOKUP(N634,setup!$A$8:$H$58,8))</f>
        <v xml:space="preserve">        $retorno-&gt;msgcodeString = MensagemCache::getInstance()-&gt;getMensagem($retorno-&gt;msgcode);</v>
      </c>
    </row>
    <row r="635" spans="1:15" x14ac:dyDescent="0.25">
      <c r="A635" s="29"/>
      <c r="N635">
        <f t="shared" si="1"/>
        <v>3</v>
      </c>
      <c r="O635" s="7" t="str">
        <f ca="1">getCodigoBackend(N635,A635,VLOOKUP(N635,setup!$A$8:$H$58,2),VLOOKUP(N635,setup!$A$8:$H$58,3),VLOOKUP(N635,setup!$A$8:$H$58,4),VLOOKUP(N635,setup!$A$8:$H$58,5),VLOOKUP(N635,setup!$A$8:$H$58,6),VLOOKUP(N635,setup!$A$8:$H$58,7), VLOOKUP(0,setup!$A$8:$H$58,2),VLOOKUP(0,setup!$A$8:$H$58,5),VLOOKUP(N635,setup!$A$8:$H$58,8))</f>
        <v/>
      </c>
    </row>
    <row r="636" spans="1:15" x14ac:dyDescent="0.25">
      <c r="A636" s="29" t="s">
        <v>743</v>
      </c>
      <c r="N636">
        <f t="shared" si="1"/>
        <v>3</v>
      </c>
      <c r="O636" s="7" t="str">
        <f ca="1">getCodigoBackend(N636,A636,VLOOKUP(N636,setup!$A$8:$H$58,2),VLOOKUP(N636,setup!$A$8:$H$58,3),VLOOKUP(N636,setup!$A$8:$H$58,4),VLOOKUP(N636,setup!$A$8:$H$58,5),VLOOKUP(N636,setup!$A$8:$H$58,6),VLOOKUP(N636,setup!$A$8:$H$58,7), VLOOKUP(0,setup!$A$8:$H$58,2),VLOOKUP(0,setup!$A$8:$H$58,5),VLOOKUP(N636,setup!$A$8:$H$58,8))</f>
        <v xml:space="preserve">        return $retorno;</v>
      </c>
    </row>
    <row r="637" spans="1:15" x14ac:dyDescent="0.25">
      <c r="A637" s="29" t="s">
        <v>406</v>
      </c>
      <c r="N637">
        <f t="shared" si="1"/>
        <v>3</v>
      </c>
      <c r="O637" s="7" t="str">
        <f ca="1">getCodigoBackend(N637,A637,VLOOKUP(N637,setup!$A$8:$H$58,2),VLOOKUP(N637,setup!$A$8:$H$58,3),VLOOKUP(N637,setup!$A$8:$H$58,4),VLOOKUP(N637,setup!$A$8:$H$58,5),VLOOKUP(N637,setup!$A$8:$H$58,6),VLOOKUP(N637,setup!$A$8:$H$58,7), VLOOKUP(0,setup!$A$8:$H$58,2),VLOOKUP(0,setup!$A$8:$H$58,5),VLOOKUP(N637,setup!$A$8:$H$58,8))</f>
        <v xml:space="preserve">    }</v>
      </c>
    </row>
    <row r="638" spans="1:15" x14ac:dyDescent="0.25">
      <c r="A638" s="29"/>
      <c r="O638" s="7" t="str">
        <f ca="1">getCodigoBackend(N638,A638,VLOOKUP(N638,setup!$A$8:$H$58,2),VLOOKUP(N638,setup!$A$8:$H$58,3),VLOOKUP(N638,setup!$A$8:$H$58,4),VLOOKUP(N638,setup!$A$8:$H$58,5),VLOOKUP(N638,setup!$A$8:$H$58,6),VLOOKUP(N638,setup!$A$8:$H$58,7), VLOOKUP(0,setup!$A$8:$H$58,2),VLOOKUP(0,setup!$A$8:$H$58,5),VLOOKUP(N638,setup!$A$8:$H$58,8))</f>
        <v/>
      </c>
    </row>
    <row r="639" spans="1:15" x14ac:dyDescent="0.25">
      <c r="A639" s="4" t="s">
        <v>19</v>
      </c>
      <c r="N639">
        <f>N637+1</f>
        <v>4</v>
      </c>
      <c r="O639" s="7" t="str">
        <f ca="1">getCodigoBackend(N639,A639,VLOOKUP(N639,setup!$A$8:$H$58,2),VLOOKUP(N639,setup!$A$8:$H$58,3),VLOOKUP(N639,setup!$A$8:$H$58,4),VLOOKUP(N639,setup!$A$8:$H$58,5),VLOOKUP(N639,setup!$A$8:$H$58,6),VLOOKUP(N639,setup!$A$8:$H$58,7), VLOOKUP(0,setup!$A$8:$H$58,2),VLOOKUP(0,setup!$A$8:$H$58,5),VLOOKUP(N639,setup!$A$8:$H$58,8))</f>
        <v>/**</v>
      </c>
    </row>
    <row r="640" spans="1:15" x14ac:dyDescent="0.25">
      <c r="A640" s="4" t="s">
        <v>20</v>
      </c>
      <c r="N640">
        <f>N639</f>
        <v>4</v>
      </c>
      <c r="O640" s="7" t="str">
        <f ca="1">getCodigoBackend(N640,A640,VLOOKUP(N640,setup!$A$8:$H$58,2),VLOOKUP(N640,setup!$A$8:$H$58,3),VLOOKUP(N640,setup!$A$8:$H$58,4),VLOOKUP(N640,setup!$A$8:$H$58,5),VLOOKUP(N640,setup!$A$8:$H$58,6),VLOOKUP(N640,setup!$A$8:$H$58,7), VLOOKUP(0,setup!$A$8:$H$58,2),VLOOKUP(0,setup!$A$8:$H$58,5),VLOOKUP(N640,setup!$A$8:$H$58,8))</f>
        <v>*</v>
      </c>
    </row>
    <row r="641" spans="1:15" x14ac:dyDescent="0.25">
      <c r="A641" s="4" t="s">
        <v>744</v>
      </c>
      <c r="N641">
        <f t="shared" ref="N641:N665" si="2">N640</f>
        <v>4</v>
      </c>
      <c r="O641" s="7" t="str">
        <f ca="1">getCodigoBackend(N641,A641,VLOOKUP(N641,setup!$A$8:$H$58,2),VLOOKUP(N641,setup!$A$8:$H$58,3),VLOOKUP(N641,setup!$A$8:$H$58,4),VLOOKUP(N641,setup!$A$8:$H$58,5),VLOOKUP(N641,setup!$A$8:$H$58,6),VLOOKUP(N641,setup!$A$8:$H$58,7), VLOOKUP(0,setup!$A$8:$H$58,2),VLOOKUP(0,setup!$A$8:$H$58,5),VLOOKUP(N641,setup!$A$8:$H$58,8))</f>
        <v>* atualizarChavepixPorPK() - Usado para invocar a classe de negócio CampanhaCashbackResgatePixBusinessImpl de forma geral</v>
      </c>
    </row>
    <row r="642" spans="1:15" x14ac:dyDescent="0.25">
      <c r="A642" s="4" t="s">
        <v>745</v>
      </c>
      <c r="N642">
        <f t="shared" si="2"/>
        <v>4</v>
      </c>
      <c r="O642" s="7" t="str">
        <f ca="1">getCodigoBackend(N642,A642,VLOOKUP(N642,setup!$A$8:$H$58,2),VLOOKUP(N642,setup!$A$8:$H$58,3),VLOOKUP(N642,setup!$A$8:$H$58,4),VLOOKUP(N642,setup!$A$8:$H$58,5),VLOOKUP(N642,setup!$A$8:$H$58,6),VLOOKUP(N642,setup!$A$8:$H$58,7), VLOOKUP(0,setup!$A$8:$H$58,2),VLOOKUP(0,setup!$A$8:$H$58,5),VLOOKUP(N642,setup!$A$8:$H$58,8))</f>
        <v>* realizar uma atualização de Chave PIX diretamente na tabela CAMPANHA_CASHBACK_RESGATE_PIX campo CCRP_TX_CHAVE_PIX</v>
      </c>
    </row>
    <row r="643" spans="1:15" x14ac:dyDescent="0.25">
      <c r="A643" s="4" t="s">
        <v>361</v>
      </c>
      <c r="N643">
        <f t="shared" si="2"/>
        <v>4</v>
      </c>
      <c r="O643" s="7" t="str">
        <f ca="1">getCodigoBackend(N643,A643,VLOOKUP(N643,setup!$A$8:$H$58,2),VLOOKUP(N643,setup!$A$8:$H$58,3),VLOOKUP(N643,setup!$A$8:$H$58,4),VLOOKUP(N643,setup!$A$8:$H$58,5),VLOOKUP(N643,setup!$A$8:$H$58,6),VLOOKUP(N643,setup!$A$8:$H$58,7), VLOOKUP(0,setup!$A$8:$H$58,2),VLOOKUP(0,setup!$A$8:$H$58,5),VLOOKUP(N643,setup!$A$8:$H$58,8))</f>
        <v>* @param $daofactory</v>
      </c>
    </row>
    <row r="644" spans="1:15" x14ac:dyDescent="0.25">
      <c r="A644" s="4" t="s">
        <v>346</v>
      </c>
      <c r="N644">
        <f t="shared" si="2"/>
        <v>4</v>
      </c>
      <c r="O644" s="7" t="str">
        <f ca="1">getCodigoBackend(N644,A644,VLOOKUP(N644,setup!$A$8:$H$58,2),VLOOKUP(N644,setup!$A$8:$H$58,3),VLOOKUP(N644,setup!$A$8:$H$58,4),VLOOKUP(N644,setup!$A$8:$H$58,5),VLOOKUP(N644,setup!$A$8:$H$58,6),VLOOKUP(N644,setup!$A$8:$H$58,7), VLOOKUP(0,setup!$A$8:$H$58,2),VLOOKUP(0,setup!$A$8:$H$58,5),VLOOKUP(N644,setup!$A$8:$H$58,8))</f>
        <v>* @param $id</v>
      </c>
    </row>
    <row r="645" spans="1:15" x14ac:dyDescent="0.25">
      <c r="A645" s="4" t="s">
        <v>723</v>
      </c>
      <c r="N645">
        <f t="shared" si="2"/>
        <v>4</v>
      </c>
      <c r="O645" s="7" t="str">
        <f ca="1">getCodigoBackend(N645,A645,VLOOKUP(N645,setup!$A$8:$H$58,2),VLOOKUP(N645,setup!$A$8:$H$58,3),VLOOKUP(N645,setup!$A$8:$H$58,4),VLOOKUP(N645,setup!$A$8:$H$58,5),VLOOKUP(N645,setup!$A$8:$H$58,6),VLOOKUP(N645,setup!$A$8:$H$58,7), VLOOKUP(0,setup!$A$8:$H$58,2),VLOOKUP(0,setup!$A$8:$H$58,5),VLOOKUP(N645,setup!$A$8:$H$58,8))</f>
        <v>* @param $chavePix</v>
      </c>
    </row>
    <row r="646" spans="1:15" x14ac:dyDescent="0.25">
      <c r="A646" s="4" t="s">
        <v>347</v>
      </c>
      <c r="N646">
        <f t="shared" si="2"/>
        <v>4</v>
      </c>
      <c r="O646" s="7" t="str">
        <f ca="1">getCodigoBackend(N646,A646,VLOOKUP(N646,setup!$A$8:$H$58,2),VLOOKUP(N646,setup!$A$8:$H$58,3),VLOOKUP(N646,setup!$A$8:$H$58,4),VLOOKUP(N646,setup!$A$8:$H$58,5),VLOOKUP(N646,setup!$A$8:$H$58,6),VLOOKUP(N646,setup!$A$8:$H$58,7), VLOOKUP(0,setup!$A$8:$H$58,2),VLOOKUP(0,setup!$A$8:$H$58,5),VLOOKUP(N646,setup!$A$8:$H$58,8))</f>
        <v>* @return CampanhaCashbackResgatePixDTO</v>
      </c>
    </row>
    <row r="647" spans="1:15" x14ac:dyDescent="0.25">
      <c r="A647" s="4" t="s">
        <v>20</v>
      </c>
      <c r="N647">
        <f t="shared" si="2"/>
        <v>4</v>
      </c>
      <c r="O647" s="7" t="str">
        <f ca="1">getCodigoBackend(N647,A647,VLOOKUP(N647,setup!$A$8:$H$58,2),VLOOKUP(N647,setup!$A$8:$H$58,3),VLOOKUP(N647,setup!$A$8:$H$58,4),VLOOKUP(N647,setup!$A$8:$H$58,5),VLOOKUP(N647,setup!$A$8:$H$58,6),VLOOKUP(N647,setup!$A$8:$H$58,7), VLOOKUP(0,setup!$A$8:$H$58,2),VLOOKUP(0,setup!$A$8:$H$58,5),VLOOKUP(N647,setup!$A$8:$H$58,8))</f>
        <v>*</v>
      </c>
    </row>
    <row r="648" spans="1:15" x14ac:dyDescent="0.25">
      <c r="A648" s="4" t="s">
        <v>75</v>
      </c>
      <c r="N648">
        <f t="shared" si="2"/>
        <v>4</v>
      </c>
      <c r="O648" s="7" t="str">
        <f ca="1">getCodigoBackend(N648,A648,VLOOKUP(N648,setup!$A$8:$H$58,2),VLOOKUP(N648,setup!$A$8:$H$58,3),VLOOKUP(N648,setup!$A$8:$H$58,4),VLOOKUP(N648,setup!$A$8:$H$58,5),VLOOKUP(N648,setup!$A$8:$H$58,6),VLOOKUP(N648,setup!$A$8:$H$58,7), VLOOKUP(0,setup!$A$8:$H$58,2),VLOOKUP(0,setup!$A$8:$H$58,5),VLOOKUP(N648,setup!$A$8:$H$58,8))</f>
        <v xml:space="preserve">* </v>
      </c>
    </row>
    <row r="649" spans="1:15" x14ac:dyDescent="0.25">
      <c r="A649" s="4" t="s">
        <v>21</v>
      </c>
      <c r="N649">
        <f t="shared" si="2"/>
        <v>4</v>
      </c>
      <c r="O649" s="7" t="str">
        <f ca="1">getCodigoBackend(N649,A649,VLOOKUP(N649,setup!$A$8:$H$58,2),VLOOKUP(N649,setup!$A$8:$H$58,3),VLOOKUP(N649,setup!$A$8:$H$58,4),VLOOKUP(N649,setup!$A$8:$H$58,5),VLOOKUP(N649,setup!$A$8:$H$58,6),VLOOKUP(N649,setup!$A$8:$H$58,7), VLOOKUP(0,setup!$A$8:$H$58,2),VLOOKUP(0,setup!$A$8:$H$58,5),VLOOKUP(N649,setup!$A$8:$H$58,8))</f>
        <v>*/</v>
      </c>
    </row>
    <row r="650" spans="1:15" x14ac:dyDescent="0.25">
      <c r="A650" s="29" t="s">
        <v>783</v>
      </c>
      <c r="N650">
        <f t="shared" si="2"/>
        <v>4</v>
      </c>
      <c r="O650" s="7" t="str">
        <f ca="1">getCodigoBackend(N650,A650,VLOOKUP(N650,setup!$A$8:$H$58,2),VLOOKUP(N650,setup!$A$8:$H$58,3),VLOOKUP(N650,setup!$A$8:$H$58,4),VLOOKUP(N650,setup!$A$8:$H$58,5),VLOOKUP(N650,setup!$A$8:$H$58,6),VLOOKUP(N650,setup!$A$8:$H$58,7), VLOOKUP(0,setup!$A$8:$H$58,2),VLOOKUP(0,setup!$A$8:$H$58,5),VLOOKUP(N650,setup!$A$8:$H$58,8))</f>
        <v xml:space="preserve">    public function atualizarChavepixPorPK($daofactory,$chavePix,$id)</v>
      </c>
    </row>
    <row r="651" spans="1:15" x14ac:dyDescent="0.25">
      <c r="A651" s="29" t="s">
        <v>379</v>
      </c>
      <c r="N651">
        <f t="shared" si="2"/>
        <v>4</v>
      </c>
      <c r="O651" s="7" t="str">
        <f ca="1">getCodigoBackend(N651,A651,VLOOKUP(N651,setup!$A$8:$H$58,2),VLOOKUP(N651,setup!$A$8:$H$58,3),VLOOKUP(N651,setup!$A$8:$H$58,4),VLOOKUP(N651,setup!$A$8:$H$58,5),VLOOKUP(N651,setup!$A$8:$H$58,6),VLOOKUP(N651,setup!$A$8:$H$58,7), VLOOKUP(0,setup!$A$8:$H$58,2),VLOOKUP(0,setup!$A$8:$H$58,5),VLOOKUP(N651,setup!$A$8:$H$58,8))</f>
        <v xml:space="preserve">    {</v>
      </c>
    </row>
    <row r="652" spans="1:15" x14ac:dyDescent="0.25">
      <c r="A652" s="29" t="s">
        <v>754</v>
      </c>
      <c r="N652">
        <f t="shared" si="2"/>
        <v>4</v>
      </c>
      <c r="O652" s="7" t="str">
        <f ca="1">getCodigoBackend(N652,A652,VLOOKUP(N652,setup!$A$8:$H$58,2),VLOOKUP(N652,setup!$A$8:$H$58,3),VLOOKUP(N652,setup!$A$8:$H$58,4),VLOOKUP(N652,setup!$A$8:$H$58,5),VLOOKUP(N652,setup!$A$8:$H$58,6),VLOOKUP(N652,setup!$A$8:$H$58,7), VLOOKUP(0,setup!$A$8:$H$58,2),VLOOKUP(0,setup!$A$8:$H$58,5),VLOOKUP(N652,setup!$A$8:$H$58,8))</f>
        <v xml:space="preserve">        $dao = $daofactory-&gt;getCampanhaCashbackResgatePixDAO($daofactory);</v>
      </c>
    </row>
    <row r="653" spans="1:15" x14ac:dyDescent="0.25">
      <c r="A653" s="29"/>
      <c r="N653">
        <f t="shared" si="2"/>
        <v>4</v>
      </c>
      <c r="O653" s="7" t="str">
        <f ca="1">getCodigoBackend(N653,A653,VLOOKUP(N653,setup!$A$8:$H$58,2),VLOOKUP(N653,setup!$A$8:$H$58,3),VLOOKUP(N653,setup!$A$8:$H$58,4),VLOOKUP(N653,setup!$A$8:$H$58,5),VLOOKUP(N653,setup!$A$8:$H$58,6),VLOOKUP(N653,setup!$A$8:$H$58,7), VLOOKUP(0,setup!$A$8:$H$58,2),VLOOKUP(0,setup!$A$8:$H$58,5),VLOOKUP(N653,setup!$A$8:$H$58,8))</f>
        <v/>
      </c>
    </row>
    <row r="654" spans="1:15" x14ac:dyDescent="0.25">
      <c r="A654" s="29" t="s">
        <v>750</v>
      </c>
      <c r="N654">
        <f t="shared" si="2"/>
        <v>4</v>
      </c>
      <c r="O654" s="7" t="str">
        <f ca="1">getCodigoBackend(N654,A654,VLOOKUP(N654,setup!$A$8:$H$58,2),VLOOKUP(N654,setup!$A$8:$H$58,3),VLOOKUP(N654,setup!$A$8:$H$58,4),VLOOKUP(N654,setup!$A$8:$H$58,5),VLOOKUP(N654,setup!$A$8:$H$58,6),VLOOKUP(N654,setup!$A$8:$H$58,7), VLOOKUP(0,setup!$A$8:$H$58,2),VLOOKUP(0,setup!$A$8:$H$58,5),VLOOKUP(N654,setup!$A$8:$H$58,8))</f>
        <v xml:space="preserve">        // resposta padrão</v>
      </c>
    </row>
    <row r="655" spans="1:15" x14ac:dyDescent="0.25">
      <c r="A655" s="29" t="s">
        <v>404</v>
      </c>
      <c r="N655">
        <f t="shared" si="2"/>
        <v>4</v>
      </c>
      <c r="O655" s="7" t="str">
        <f ca="1">getCodigoBackend(N655,A655,VLOOKUP(N655,setup!$A$8:$H$58,2),VLOOKUP(N655,setup!$A$8:$H$58,3),VLOOKUP(N655,setup!$A$8:$H$58,4),VLOOKUP(N655,setup!$A$8:$H$58,5),VLOOKUP(N655,setup!$A$8:$H$58,6),VLOOKUP(N655,setup!$A$8:$H$58,7), VLOOKUP(0,setup!$A$8:$H$58,2),VLOOKUP(0,setup!$A$8:$H$58,5),VLOOKUP(N655,setup!$A$8:$H$58,8))</f>
        <v xml:space="preserve">        $retorno = new DTOPadrao();</v>
      </c>
    </row>
    <row r="656" spans="1:15" x14ac:dyDescent="0.25">
      <c r="A656" s="29"/>
      <c r="N656">
        <f t="shared" si="2"/>
        <v>4</v>
      </c>
      <c r="O656" s="7" t="str">
        <f ca="1">getCodigoBackend(N656,A656,VLOOKUP(N656,setup!$A$8:$H$58,2),VLOOKUP(N656,setup!$A$8:$H$58,3),VLOOKUP(N656,setup!$A$8:$H$58,4),VLOOKUP(N656,setup!$A$8:$H$58,5),VLOOKUP(N656,setup!$A$8:$H$58,6),VLOOKUP(N656,setup!$A$8:$H$58,7), VLOOKUP(0,setup!$A$8:$H$58,2),VLOOKUP(0,setup!$A$8:$H$58,5),VLOOKUP(N656,setup!$A$8:$H$58,8))</f>
        <v/>
      </c>
    </row>
    <row r="657" spans="1:15" x14ac:dyDescent="0.25">
      <c r="A657" s="29" t="s">
        <v>755</v>
      </c>
      <c r="N657">
        <f t="shared" si="2"/>
        <v>4</v>
      </c>
      <c r="O657" s="7" t="str">
        <f ca="1">getCodigoBackend(N657,A657,VLOOKUP(N657,setup!$A$8:$H$58,2),VLOOKUP(N657,setup!$A$8:$H$58,3),VLOOKUP(N657,setup!$A$8:$H$58,4),VLOOKUP(N657,setup!$A$8:$H$58,5),VLOOKUP(N657,setup!$A$8:$H$58,6),VLOOKUP(N657,setup!$A$8:$H$58,7), VLOOKUP(0,setup!$A$8:$H$58,2),VLOOKUP(0,setup!$A$8:$H$58,5),VLOOKUP(N657,setup!$A$8:$H$58,8))</f>
        <v xml:space="preserve">        if($dao-&gt;updateChavepix($id, $chavePix)){   </v>
      </c>
    </row>
    <row r="658" spans="1:15" x14ac:dyDescent="0.25">
      <c r="A658" s="29" t="s">
        <v>751</v>
      </c>
      <c r="N658">
        <f t="shared" si="2"/>
        <v>4</v>
      </c>
      <c r="O658" s="7" t="str">
        <f ca="1">getCodigoBackend(N658,A658,VLOOKUP(N658,setup!$A$8:$H$58,2),VLOOKUP(N658,setup!$A$8:$H$58,3),VLOOKUP(N658,setup!$A$8:$H$58,4),VLOOKUP(N658,setup!$A$8:$H$58,5),VLOOKUP(N658,setup!$A$8:$H$58,6),VLOOKUP(N658,setup!$A$8:$H$58,7), VLOOKUP(0,setup!$A$8:$H$58,2),VLOOKUP(0,setup!$A$8:$H$58,5),VLOOKUP(N658,setup!$A$8:$H$58,8))</f>
        <v xml:space="preserve">            $retorno-&gt;msgcode = ConstantesMensagem::COMANDO_REALIZADO_COM_SUCESSO;</v>
      </c>
    </row>
    <row r="659" spans="1:15" x14ac:dyDescent="0.25">
      <c r="A659" s="29" t="s">
        <v>752</v>
      </c>
      <c r="N659">
        <f t="shared" si="2"/>
        <v>4</v>
      </c>
      <c r="O659" s="7" t="str">
        <f ca="1">getCodigoBackend(N659,A659,VLOOKUP(N659,setup!$A$8:$H$58,2),VLOOKUP(N659,setup!$A$8:$H$58,3),VLOOKUP(N659,setup!$A$8:$H$58,4),VLOOKUP(N659,setup!$A$8:$H$58,5),VLOOKUP(N659,setup!$A$8:$H$58,6),VLOOKUP(N659,setup!$A$8:$H$58,7), VLOOKUP(0,setup!$A$8:$H$58,2),VLOOKUP(0,setup!$A$8:$H$58,5),VLOOKUP(N659,setup!$A$8:$H$58,8))</f>
        <v xml:space="preserve">        }       </v>
      </c>
    </row>
    <row r="660" spans="1:15" x14ac:dyDescent="0.25">
      <c r="A660" s="29"/>
      <c r="N660">
        <f t="shared" si="2"/>
        <v>4</v>
      </c>
      <c r="O660" s="7" t="str">
        <f ca="1">getCodigoBackend(N660,A660,VLOOKUP(N660,setup!$A$8:$H$58,2),VLOOKUP(N660,setup!$A$8:$H$58,3),VLOOKUP(N660,setup!$A$8:$H$58,4),VLOOKUP(N660,setup!$A$8:$H$58,5),VLOOKUP(N660,setup!$A$8:$H$58,6),VLOOKUP(N660,setup!$A$8:$H$58,7), VLOOKUP(0,setup!$A$8:$H$58,2),VLOOKUP(0,setup!$A$8:$H$58,5),VLOOKUP(N660,setup!$A$8:$H$58,8))</f>
        <v/>
      </c>
    </row>
    <row r="661" spans="1:15" x14ac:dyDescent="0.25">
      <c r="A661" s="29" t="s">
        <v>753</v>
      </c>
      <c r="N661">
        <f t="shared" si="2"/>
        <v>4</v>
      </c>
      <c r="O661" s="7" t="str">
        <f ca="1">getCodigoBackend(N661,A661,VLOOKUP(N661,setup!$A$8:$H$58,2),VLOOKUP(N661,setup!$A$8:$H$58,3),VLOOKUP(N661,setup!$A$8:$H$58,4),VLOOKUP(N661,setup!$A$8:$H$58,5),VLOOKUP(N661,setup!$A$8:$H$58,6),VLOOKUP(N661,setup!$A$8:$H$58,7), VLOOKUP(0,setup!$A$8:$H$58,2),VLOOKUP(0,setup!$A$8:$H$58,5),VLOOKUP(N661,setup!$A$8:$H$58,8))</f>
        <v xml:space="preserve">        // Obtem o texto da mensagem em razão do código de retorno</v>
      </c>
    </row>
    <row r="662" spans="1:15" x14ac:dyDescent="0.25">
      <c r="A662" s="29" t="s">
        <v>405</v>
      </c>
      <c r="N662">
        <f t="shared" si="2"/>
        <v>4</v>
      </c>
      <c r="O662" s="7" t="str">
        <f ca="1">getCodigoBackend(N662,A662,VLOOKUP(N662,setup!$A$8:$H$58,2),VLOOKUP(N662,setup!$A$8:$H$58,3),VLOOKUP(N662,setup!$A$8:$H$58,4),VLOOKUP(N662,setup!$A$8:$H$58,5),VLOOKUP(N662,setup!$A$8:$H$58,6),VLOOKUP(N662,setup!$A$8:$H$58,7), VLOOKUP(0,setup!$A$8:$H$58,2),VLOOKUP(0,setup!$A$8:$H$58,5),VLOOKUP(N662,setup!$A$8:$H$58,8))</f>
        <v xml:space="preserve">        $retorno-&gt;msgcodeString = MensagemCache::getInstance()-&gt;getMensagem($retorno-&gt;msgcode);</v>
      </c>
    </row>
    <row r="663" spans="1:15" x14ac:dyDescent="0.25">
      <c r="A663" s="29"/>
      <c r="N663">
        <f t="shared" si="2"/>
        <v>4</v>
      </c>
      <c r="O663" s="7" t="str">
        <f ca="1">getCodigoBackend(N663,A663,VLOOKUP(N663,setup!$A$8:$H$58,2),VLOOKUP(N663,setup!$A$8:$H$58,3),VLOOKUP(N663,setup!$A$8:$H$58,4),VLOOKUP(N663,setup!$A$8:$H$58,5),VLOOKUP(N663,setup!$A$8:$H$58,6),VLOOKUP(N663,setup!$A$8:$H$58,7), VLOOKUP(0,setup!$A$8:$H$58,2),VLOOKUP(0,setup!$A$8:$H$58,5),VLOOKUP(N663,setup!$A$8:$H$58,8))</f>
        <v/>
      </c>
    </row>
    <row r="664" spans="1:15" x14ac:dyDescent="0.25">
      <c r="A664" s="29" t="s">
        <v>743</v>
      </c>
      <c r="N664">
        <f t="shared" si="2"/>
        <v>4</v>
      </c>
      <c r="O664" s="7" t="str">
        <f ca="1">getCodigoBackend(N664,A664,VLOOKUP(N664,setup!$A$8:$H$58,2),VLOOKUP(N664,setup!$A$8:$H$58,3),VLOOKUP(N664,setup!$A$8:$H$58,4),VLOOKUP(N664,setup!$A$8:$H$58,5),VLOOKUP(N664,setup!$A$8:$H$58,6),VLOOKUP(N664,setup!$A$8:$H$58,7), VLOOKUP(0,setup!$A$8:$H$58,2),VLOOKUP(0,setup!$A$8:$H$58,5),VLOOKUP(N664,setup!$A$8:$H$58,8))</f>
        <v xml:space="preserve">        return $retorno;</v>
      </c>
    </row>
    <row r="665" spans="1:15" x14ac:dyDescent="0.25">
      <c r="A665" s="29" t="s">
        <v>406</v>
      </c>
      <c r="N665">
        <f t="shared" si="2"/>
        <v>4</v>
      </c>
      <c r="O665" s="7" t="str">
        <f ca="1">getCodigoBackend(N665,A665,VLOOKUP(N665,setup!$A$8:$H$58,2),VLOOKUP(N665,setup!$A$8:$H$58,3),VLOOKUP(N665,setup!$A$8:$H$58,4),VLOOKUP(N665,setup!$A$8:$H$58,5),VLOOKUP(N665,setup!$A$8:$H$58,6),VLOOKUP(N665,setup!$A$8:$H$58,7), VLOOKUP(0,setup!$A$8:$H$58,2),VLOOKUP(0,setup!$A$8:$H$58,5),VLOOKUP(N665,setup!$A$8:$H$58,8))</f>
        <v xml:space="preserve">    }</v>
      </c>
    </row>
    <row r="666" spans="1:15" x14ac:dyDescent="0.25">
      <c r="A666" s="29"/>
      <c r="O666" s="7" t="str">
        <f ca="1">getCodigoBackend(N666,A666,VLOOKUP(N666,setup!$A$8:$H$58,2),VLOOKUP(N666,setup!$A$8:$H$58,3),VLOOKUP(N666,setup!$A$8:$H$58,4),VLOOKUP(N666,setup!$A$8:$H$58,5),VLOOKUP(N666,setup!$A$8:$H$58,6),VLOOKUP(N666,setup!$A$8:$H$58,7), VLOOKUP(0,setup!$A$8:$H$58,2),VLOOKUP(0,setup!$A$8:$H$58,5),VLOOKUP(N666,setup!$A$8:$H$58,8))</f>
        <v/>
      </c>
    </row>
    <row r="667" spans="1:15" x14ac:dyDescent="0.25">
      <c r="A667" s="4" t="s">
        <v>19</v>
      </c>
      <c r="N667">
        <f>N665+1</f>
        <v>5</v>
      </c>
      <c r="O667" s="7" t="str">
        <f ca="1">getCodigoBackend(N667,A667,VLOOKUP(N667,setup!$A$8:$H$58,2),VLOOKUP(N667,setup!$A$8:$H$58,3),VLOOKUP(N667,setup!$A$8:$H$58,4),VLOOKUP(N667,setup!$A$8:$H$58,5),VLOOKUP(N667,setup!$A$8:$H$58,6),VLOOKUP(N667,setup!$A$8:$H$58,7), VLOOKUP(0,setup!$A$8:$H$58,2),VLOOKUP(0,setup!$A$8:$H$58,5),VLOOKUP(N667,setup!$A$8:$H$58,8))</f>
        <v>/**</v>
      </c>
    </row>
    <row r="668" spans="1:15" x14ac:dyDescent="0.25">
      <c r="A668" s="4" t="s">
        <v>20</v>
      </c>
      <c r="N668">
        <f>N667</f>
        <v>5</v>
      </c>
      <c r="O668" s="7" t="str">
        <f ca="1">getCodigoBackend(N668,A668,VLOOKUP(N668,setup!$A$8:$H$58,2),VLOOKUP(N668,setup!$A$8:$H$58,3),VLOOKUP(N668,setup!$A$8:$H$58,4),VLOOKUP(N668,setup!$A$8:$H$58,5),VLOOKUP(N668,setup!$A$8:$H$58,6),VLOOKUP(N668,setup!$A$8:$H$58,7), VLOOKUP(0,setup!$A$8:$H$58,2),VLOOKUP(0,setup!$A$8:$H$58,5),VLOOKUP(N668,setup!$A$8:$H$58,8))</f>
        <v>*</v>
      </c>
    </row>
    <row r="669" spans="1:15" x14ac:dyDescent="0.25">
      <c r="A669" s="4" t="s">
        <v>744</v>
      </c>
      <c r="N669">
        <f t="shared" ref="N669:N693" si="3">N668</f>
        <v>5</v>
      </c>
      <c r="O669" s="7" t="str">
        <f ca="1">getCodigoBackend(N669,A669,VLOOKUP(N669,setup!$A$8:$H$58,2),VLOOKUP(N669,setup!$A$8:$H$58,3),VLOOKUP(N669,setup!$A$8:$H$58,4),VLOOKUP(N669,setup!$A$8:$H$58,5),VLOOKUP(N669,setup!$A$8:$H$58,6),VLOOKUP(N669,setup!$A$8:$H$58,7), VLOOKUP(0,setup!$A$8:$H$58,2),VLOOKUP(0,setup!$A$8:$H$58,5),VLOOKUP(N669,setup!$A$8:$H$58,8))</f>
        <v>* atualizarValorresgatePorPK() - Usado para invocar a classe de negócio CampanhaCashbackResgatePixBusinessImpl de forma geral</v>
      </c>
    </row>
    <row r="670" spans="1:15" x14ac:dyDescent="0.25">
      <c r="A670" s="4" t="s">
        <v>745</v>
      </c>
      <c r="N670">
        <f t="shared" si="3"/>
        <v>5</v>
      </c>
      <c r="O670" s="7" t="str">
        <f ca="1">getCodigoBackend(N670,A670,VLOOKUP(N670,setup!$A$8:$H$58,2),VLOOKUP(N670,setup!$A$8:$H$58,3),VLOOKUP(N670,setup!$A$8:$H$58,4),VLOOKUP(N670,setup!$A$8:$H$58,5),VLOOKUP(N670,setup!$A$8:$H$58,6),VLOOKUP(N670,setup!$A$8:$H$58,7), VLOOKUP(0,setup!$A$8:$H$58,2),VLOOKUP(0,setup!$A$8:$H$58,5),VLOOKUP(N670,setup!$A$8:$H$58,8))</f>
        <v>* realizar uma atualização de Valor Pretendido a Resgatar diretamente na tabela CAMPANHA_CASHBACK_RESGATE_PIX campo CCRP_VL_RESGATE</v>
      </c>
    </row>
    <row r="671" spans="1:15" x14ac:dyDescent="0.25">
      <c r="A671" s="4" t="s">
        <v>361</v>
      </c>
      <c r="N671">
        <f t="shared" si="3"/>
        <v>5</v>
      </c>
      <c r="O671" s="7" t="str">
        <f ca="1">getCodigoBackend(N671,A671,VLOOKUP(N671,setup!$A$8:$H$58,2),VLOOKUP(N671,setup!$A$8:$H$58,3),VLOOKUP(N671,setup!$A$8:$H$58,4),VLOOKUP(N671,setup!$A$8:$H$58,5),VLOOKUP(N671,setup!$A$8:$H$58,6),VLOOKUP(N671,setup!$A$8:$H$58,7), VLOOKUP(0,setup!$A$8:$H$58,2),VLOOKUP(0,setup!$A$8:$H$58,5),VLOOKUP(N671,setup!$A$8:$H$58,8))</f>
        <v>* @param $daofactory</v>
      </c>
    </row>
    <row r="672" spans="1:15" x14ac:dyDescent="0.25">
      <c r="A672" s="4" t="s">
        <v>346</v>
      </c>
      <c r="N672">
        <f t="shared" si="3"/>
        <v>5</v>
      </c>
      <c r="O672" s="7" t="str">
        <f ca="1">getCodigoBackend(N672,A672,VLOOKUP(N672,setup!$A$8:$H$58,2),VLOOKUP(N672,setup!$A$8:$H$58,3),VLOOKUP(N672,setup!$A$8:$H$58,4),VLOOKUP(N672,setup!$A$8:$H$58,5),VLOOKUP(N672,setup!$A$8:$H$58,6),VLOOKUP(N672,setup!$A$8:$H$58,7), VLOOKUP(0,setup!$A$8:$H$58,2),VLOOKUP(0,setup!$A$8:$H$58,5),VLOOKUP(N672,setup!$A$8:$H$58,8))</f>
        <v>* @param $id</v>
      </c>
    </row>
    <row r="673" spans="1:15" x14ac:dyDescent="0.25">
      <c r="A673" s="4" t="s">
        <v>723</v>
      </c>
      <c r="N673">
        <f t="shared" si="3"/>
        <v>5</v>
      </c>
      <c r="O673" s="7" t="str">
        <f ca="1">getCodigoBackend(N673,A673,VLOOKUP(N673,setup!$A$8:$H$58,2),VLOOKUP(N673,setup!$A$8:$H$58,3),VLOOKUP(N673,setup!$A$8:$H$58,4),VLOOKUP(N673,setup!$A$8:$H$58,5),VLOOKUP(N673,setup!$A$8:$H$58,6),VLOOKUP(N673,setup!$A$8:$H$58,7), VLOOKUP(0,setup!$A$8:$H$58,2),VLOOKUP(0,setup!$A$8:$H$58,5),VLOOKUP(N673,setup!$A$8:$H$58,8))</f>
        <v>* @param $valorResgate</v>
      </c>
    </row>
    <row r="674" spans="1:15" x14ac:dyDescent="0.25">
      <c r="A674" s="4" t="s">
        <v>347</v>
      </c>
      <c r="N674">
        <f t="shared" si="3"/>
        <v>5</v>
      </c>
      <c r="O674" s="7" t="str">
        <f ca="1">getCodigoBackend(N674,A674,VLOOKUP(N674,setup!$A$8:$H$58,2),VLOOKUP(N674,setup!$A$8:$H$58,3),VLOOKUP(N674,setup!$A$8:$H$58,4),VLOOKUP(N674,setup!$A$8:$H$58,5),VLOOKUP(N674,setup!$A$8:$H$58,6),VLOOKUP(N674,setup!$A$8:$H$58,7), VLOOKUP(0,setup!$A$8:$H$58,2),VLOOKUP(0,setup!$A$8:$H$58,5),VLOOKUP(N674,setup!$A$8:$H$58,8))</f>
        <v>* @return CampanhaCashbackResgatePixDTO</v>
      </c>
    </row>
    <row r="675" spans="1:15" x14ac:dyDescent="0.25">
      <c r="A675" s="4" t="s">
        <v>20</v>
      </c>
      <c r="N675">
        <f t="shared" si="3"/>
        <v>5</v>
      </c>
      <c r="O675" s="7" t="str">
        <f ca="1">getCodigoBackend(N675,A675,VLOOKUP(N675,setup!$A$8:$H$58,2),VLOOKUP(N675,setup!$A$8:$H$58,3),VLOOKUP(N675,setup!$A$8:$H$58,4),VLOOKUP(N675,setup!$A$8:$H$58,5),VLOOKUP(N675,setup!$A$8:$H$58,6),VLOOKUP(N675,setup!$A$8:$H$58,7), VLOOKUP(0,setup!$A$8:$H$58,2),VLOOKUP(0,setup!$A$8:$H$58,5),VLOOKUP(N675,setup!$A$8:$H$58,8))</f>
        <v>*</v>
      </c>
    </row>
    <row r="676" spans="1:15" x14ac:dyDescent="0.25">
      <c r="A676" s="4" t="s">
        <v>75</v>
      </c>
      <c r="N676">
        <f t="shared" si="3"/>
        <v>5</v>
      </c>
      <c r="O676" s="7" t="str">
        <f ca="1">getCodigoBackend(N676,A676,VLOOKUP(N676,setup!$A$8:$H$58,2),VLOOKUP(N676,setup!$A$8:$H$58,3),VLOOKUP(N676,setup!$A$8:$H$58,4),VLOOKUP(N676,setup!$A$8:$H$58,5),VLOOKUP(N676,setup!$A$8:$H$58,6),VLOOKUP(N676,setup!$A$8:$H$58,7), VLOOKUP(0,setup!$A$8:$H$58,2),VLOOKUP(0,setup!$A$8:$H$58,5),VLOOKUP(N676,setup!$A$8:$H$58,8))</f>
        <v xml:space="preserve">* </v>
      </c>
    </row>
    <row r="677" spans="1:15" x14ac:dyDescent="0.25">
      <c r="A677" s="4" t="s">
        <v>21</v>
      </c>
      <c r="N677">
        <f t="shared" si="3"/>
        <v>5</v>
      </c>
      <c r="O677" s="7" t="str">
        <f ca="1">getCodigoBackend(N677,A677,VLOOKUP(N677,setup!$A$8:$H$58,2),VLOOKUP(N677,setup!$A$8:$H$58,3),VLOOKUP(N677,setup!$A$8:$H$58,4),VLOOKUP(N677,setup!$A$8:$H$58,5),VLOOKUP(N677,setup!$A$8:$H$58,6),VLOOKUP(N677,setup!$A$8:$H$58,7), VLOOKUP(0,setup!$A$8:$H$58,2),VLOOKUP(0,setup!$A$8:$H$58,5),VLOOKUP(N677,setup!$A$8:$H$58,8))</f>
        <v>*/</v>
      </c>
    </row>
    <row r="678" spans="1:15" x14ac:dyDescent="0.25">
      <c r="A678" s="29" t="s">
        <v>783</v>
      </c>
      <c r="N678">
        <f t="shared" si="3"/>
        <v>5</v>
      </c>
      <c r="O678" s="7" t="str">
        <f ca="1">getCodigoBackend(N678,A678,VLOOKUP(N678,setup!$A$8:$H$58,2),VLOOKUP(N678,setup!$A$8:$H$58,3),VLOOKUP(N678,setup!$A$8:$H$58,4),VLOOKUP(N678,setup!$A$8:$H$58,5),VLOOKUP(N678,setup!$A$8:$H$58,6),VLOOKUP(N678,setup!$A$8:$H$58,7), VLOOKUP(0,setup!$A$8:$H$58,2),VLOOKUP(0,setup!$A$8:$H$58,5),VLOOKUP(N678,setup!$A$8:$H$58,8))</f>
        <v xml:space="preserve">    public function atualizarValorresgatePorPK($daofactory,$valorResgate,$id)</v>
      </c>
    </row>
    <row r="679" spans="1:15" x14ac:dyDescent="0.25">
      <c r="A679" s="29" t="s">
        <v>379</v>
      </c>
      <c r="N679">
        <f t="shared" si="3"/>
        <v>5</v>
      </c>
      <c r="O679" s="7" t="str">
        <f ca="1">getCodigoBackend(N679,A679,VLOOKUP(N679,setup!$A$8:$H$58,2),VLOOKUP(N679,setup!$A$8:$H$58,3),VLOOKUP(N679,setup!$A$8:$H$58,4),VLOOKUP(N679,setup!$A$8:$H$58,5),VLOOKUP(N679,setup!$A$8:$H$58,6),VLOOKUP(N679,setup!$A$8:$H$58,7), VLOOKUP(0,setup!$A$8:$H$58,2),VLOOKUP(0,setup!$A$8:$H$58,5),VLOOKUP(N679,setup!$A$8:$H$58,8))</f>
        <v xml:space="preserve">    {</v>
      </c>
    </row>
    <row r="680" spans="1:15" x14ac:dyDescent="0.25">
      <c r="A680" s="29" t="s">
        <v>754</v>
      </c>
      <c r="N680">
        <f t="shared" si="3"/>
        <v>5</v>
      </c>
      <c r="O680" s="7" t="str">
        <f ca="1">getCodigoBackend(N680,A680,VLOOKUP(N680,setup!$A$8:$H$58,2),VLOOKUP(N680,setup!$A$8:$H$58,3),VLOOKUP(N680,setup!$A$8:$H$58,4),VLOOKUP(N680,setup!$A$8:$H$58,5),VLOOKUP(N680,setup!$A$8:$H$58,6),VLOOKUP(N680,setup!$A$8:$H$58,7), VLOOKUP(0,setup!$A$8:$H$58,2),VLOOKUP(0,setup!$A$8:$H$58,5),VLOOKUP(N680,setup!$A$8:$H$58,8))</f>
        <v xml:space="preserve">        $dao = $daofactory-&gt;getCampanhaCashbackResgatePixDAO($daofactory);</v>
      </c>
    </row>
    <row r="681" spans="1:15" x14ac:dyDescent="0.25">
      <c r="A681" s="29"/>
      <c r="N681">
        <f t="shared" si="3"/>
        <v>5</v>
      </c>
      <c r="O681" s="7" t="str">
        <f ca="1">getCodigoBackend(N681,A681,VLOOKUP(N681,setup!$A$8:$H$58,2),VLOOKUP(N681,setup!$A$8:$H$58,3),VLOOKUP(N681,setup!$A$8:$H$58,4),VLOOKUP(N681,setup!$A$8:$H$58,5),VLOOKUP(N681,setup!$A$8:$H$58,6),VLOOKUP(N681,setup!$A$8:$H$58,7), VLOOKUP(0,setup!$A$8:$H$58,2),VLOOKUP(0,setup!$A$8:$H$58,5),VLOOKUP(N681,setup!$A$8:$H$58,8))</f>
        <v/>
      </c>
    </row>
    <row r="682" spans="1:15" x14ac:dyDescent="0.25">
      <c r="A682" s="29" t="s">
        <v>750</v>
      </c>
      <c r="N682">
        <f t="shared" si="3"/>
        <v>5</v>
      </c>
      <c r="O682" s="7" t="str">
        <f ca="1">getCodigoBackend(N682,A682,VLOOKUP(N682,setup!$A$8:$H$58,2),VLOOKUP(N682,setup!$A$8:$H$58,3),VLOOKUP(N682,setup!$A$8:$H$58,4),VLOOKUP(N682,setup!$A$8:$H$58,5),VLOOKUP(N682,setup!$A$8:$H$58,6),VLOOKUP(N682,setup!$A$8:$H$58,7), VLOOKUP(0,setup!$A$8:$H$58,2),VLOOKUP(0,setup!$A$8:$H$58,5),VLOOKUP(N682,setup!$A$8:$H$58,8))</f>
        <v xml:space="preserve">        // resposta padrão</v>
      </c>
    </row>
    <row r="683" spans="1:15" x14ac:dyDescent="0.25">
      <c r="A683" s="29" t="s">
        <v>404</v>
      </c>
      <c r="N683">
        <f t="shared" si="3"/>
        <v>5</v>
      </c>
      <c r="O683" s="7" t="str">
        <f ca="1">getCodigoBackend(N683,A683,VLOOKUP(N683,setup!$A$8:$H$58,2),VLOOKUP(N683,setup!$A$8:$H$58,3),VLOOKUP(N683,setup!$A$8:$H$58,4),VLOOKUP(N683,setup!$A$8:$H$58,5),VLOOKUP(N683,setup!$A$8:$H$58,6),VLOOKUP(N683,setup!$A$8:$H$58,7), VLOOKUP(0,setup!$A$8:$H$58,2),VLOOKUP(0,setup!$A$8:$H$58,5),VLOOKUP(N683,setup!$A$8:$H$58,8))</f>
        <v xml:space="preserve">        $retorno = new DTOPadrao();</v>
      </c>
    </row>
    <row r="684" spans="1:15" x14ac:dyDescent="0.25">
      <c r="A684" s="29"/>
      <c r="N684">
        <f t="shared" si="3"/>
        <v>5</v>
      </c>
      <c r="O684" s="7" t="str">
        <f ca="1">getCodigoBackend(N684,A684,VLOOKUP(N684,setup!$A$8:$H$58,2),VLOOKUP(N684,setup!$A$8:$H$58,3),VLOOKUP(N684,setup!$A$8:$H$58,4),VLOOKUP(N684,setup!$A$8:$H$58,5),VLOOKUP(N684,setup!$A$8:$H$58,6),VLOOKUP(N684,setup!$A$8:$H$58,7), VLOOKUP(0,setup!$A$8:$H$58,2),VLOOKUP(0,setup!$A$8:$H$58,5),VLOOKUP(N684,setup!$A$8:$H$58,8))</f>
        <v/>
      </c>
    </row>
    <row r="685" spans="1:15" x14ac:dyDescent="0.25">
      <c r="A685" s="29" t="s">
        <v>755</v>
      </c>
      <c r="N685">
        <f t="shared" si="3"/>
        <v>5</v>
      </c>
      <c r="O685" s="7" t="str">
        <f ca="1">getCodigoBackend(N685,A685,VLOOKUP(N685,setup!$A$8:$H$58,2),VLOOKUP(N685,setup!$A$8:$H$58,3),VLOOKUP(N685,setup!$A$8:$H$58,4),VLOOKUP(N685,setup!$A$8:$H$58,5),VLOOKUP(N685,setup!$A$8:$H$58,6),VLOOKUP(N685,setup!$A$8:$H$58,7), VLOOKUP(0,setup!$A$8:$H$58,2),VLOOKUP(0,setup!$A$8:$H$58,5),VLOOKUP(N685,setup!$A$8:$H$58,8))</f>
        <v xml:space="preserve">        if($dao-&gt;updateValorresgate($id, $valorResgate)){   </v>
      </c>
    </row>
    <row r="686" spans="1:15" x14ac:dyDescent="0.25">
      <c r="A686" s="29" t="s">
        <v>751</v>
      </c>
      <c r="N686">
        <f t="shared" si="3"/>
        <v>5</v>
      </c>
      <c r="O686" s="7" t="str">
        <f ca="1">getCodigoBackend(N686,A686,VLOOKUP(N686,setup!$A$8:$H$58,2),VLOOKUP(N686,setup!$A$8:$H$58,3),VLOOKUP(N686,setup!$A$8:$H$58,4),VLOOKUP(N686,setup!$A$8:$H$58,5),VLOOKUP(N686,setup!$A$8:$H$58,6),VLOOKUP(N686,setup!$A$8:$H$58,7), VLOOKUP(0,setup!$A$8:$H$58,2),VLOOKUP(0,setup!$A$8:$H$58,5),VLOOKUP(N686,setup!$A$8:$H$58,8))</f>
        <v xml:space="preserve">            $retorno-&gt;msgcode = ConstantesMensagem::COMANDO_REALIZADO_COM_SUCESSO;</v>
      </c>
    </row>
    <row r="687" spans="1:15" x14ac:dyDescent="0.25">
      <c r="A687" s="29" t="s">
        <v>752</v>
      </c>
      <c r="N687">
        <f t="shared" si="3"/>
        <v>5</v>
      </c>
      <c r="O687" s="7" t="str">
        <f ca="1">getCodigoBackend(N687,A687,VLOOKUP(N687,setup!$A$8:$H$58,2),VLOOKUP(N687,setup!$A$8:$H$58,3),VLOOKUP(N687,setup!$A$8:$H$58,4),VLOOKUP(N687,setup!$A$8:$H$58,5),VLOOKUP(N687,setup!$A$8:$H$58,6),VLOOKUP(N687,setup!$A$8:$H$58,7), VLOOKUP(0,setup!$A$8:$H$58,2),VLOOKUP(0,setup!$A$8:$H$58,5),VLOOKUP(N687,setup!$A$8:$H$58,8))</f>
        <v xml:space="preserve">        }       </v>
      </c>
    </row>
    <row r="688" spans="1:15" x14ac:dyDescent="0.25">
      <c r="A688" s="29"/>
      <c r="N688">
        <f t="shared" si="3"/>
        <v>5</v>
      </c>
      <c r="O688" s="7" t="str">
        <f ca="1">getCodigoBackend(N688,A688,VLOOKUP(N688,setup!$A$8:$H$58,2),VLOOKUP(N688,setup!$A$8:$H$58,3),VLOOKUP(N688,setup!$A$8:$H$58,4),VLOOKUP(N688,setup!$A$8:$H$58,5),VLOOKUP(N688,setup!$A$8:$H$58,6),VLOOKUP(N688,setup!$A$8:$H$58,7), VLOOKUP(0,setup!$A$8:$H$58,2),VLOOKUP(0,setup!$A$8:$H$58,5),VLOOKUP(N688,setup!$A$8:$H$58,8))</f>
        <v/>
      </c>
    </row>
    <row r="689" spans="1:15" x14ac:dyDescent="0.25">
      <c r="A689" s="29" t="s">
        <v>753</v>
      </c>
      <c r="N689">
        <f t="shared" si="3"/>
        <v>5</v>
      </c>
      <c r="O689" s="7" t="str">
        <f ca="1">getCodigoBackend(N689,A689,VLOOKUP(N689,setup!$A$8:$H$58,2),VLOOKUP(N689,setup!$A$8:$H$58,3),VLOOKUP(N689,setup!$A$8:$H$58,4),VLOOKUP(N689,setup!$A$8:$H$58,5),VLOOKUP(N689,setup!$A$8:$H$58,6),VLOOKUP(N689,setup!$A$8:$H$58,7), VLOOKUP(0,setup!$A$8:$H$58,2),VLOOKUP(0,setup!$A$8:$H$58,5),VLOOKUP(N689,setup!$A$8:$H$58,8))</f>
        <v xml:space="preserve">        // Obtem o texto da mensagem em razão do código de retorno</v>
      </c>
    </row>
    <row r="690" spans="1:15" x14ac:dyDescent="0.25">
      <c r="A690" s="29" t="s">
        <v>405</v>
      </c>
      <c r="N690">
        <f t="shared" si="3"/>
        <v>5</v>
      </c>
      <c r="O690" s="7" t="str">
        <f ca="1">getCodigoBackend(N690,A690,VLOOKUP(N690,setup!$A$8:$H$58,2),VLOOKUP(N690,setup!$A$8:$H$58,3),VLOOKUP(N690,setup!$A$8:$H$58,4),VLOOKUP(N690,setup!$A$8:$H$58,5),VLOOKUP(N690,setup!$A$8:$H$58,6),VLOOKUP(N690,setup!$A$8:$H$58,7), VLOOKUP(0,setup!$A$8:$H$58,2),VLOOKUP(0,setup!$A$8:$H$58,5),VLOOKUP(N690,setup!$A$8:$H$58,8))</f>
        <v xml:space="preserve">        $retorno-&gt;msgcodeString = MensagemCache::getInstance()-&gt;getMensagem($retorno-&gt;msgcode);</v>
      </c>
    </row>
    <row r="691" spans="1:15" x14ac:dyDescent="0.25">
      <c r="A691" s="29"/>
      <c r="N691">
        <f t="shared" si="3"/>
        <v>5</v>
      </c>
      <c r="O691" s="7" t="str">
        <f ca="1">getCodigoBackend(N691,A691,VLOOKUP(N691,setup!$A$8:$H$58,2),VLOOKUP(N691,setup!$A$8:$H$58,3),VLOOKUP(N691,setup!$A$8:$H$58,4),VLOOKUP(N691,setup!$A$8:$H$58,5),VLOOKUP(N691,setup!$A$8:$H$58,6),VLOOKUP(N691,setup!$A$8:$H$58,7), VLOOKUP(0,setup!$A$8:$H$58,2),VLOOKUP(0,setup!$A$8:$H$58,5),VLOOKUP(N691,setup!$A$8:$H$58,8))</f>
        <v/>
      </c>
    </row>
    <row r="692" spans="1:15" x14ac:dyDescent="0.25">
      <c r="A692" s="29" t="s">
        <v>743</v>
      </c>
      <c r="N692">
        <f t="shared" si="3"/>
        <v>5</v>
      </c>
      <c r="O692" s="7" t="str">
        <f ca="1">getCodigoBackend(N692,A692,VLOOKUP(N692,setup!$A$8:$H$58,2),VLOOKUP(N692,setup!$A$8:$H$58,3),VLOOKUP(N692,setup!$A$8:$H$58,4),VLOOKUP(N692,setup!$A$8:$H$58,5),VLOOKUP(N692,setup!$A$8:$H$58,6),VLOOKUP(N692,setup!$A$8:$H$58,7), VLOOKUP(0,setup!$A$8:$H$58,2),VLOOKUP(0,setup!$A$8:$H$58,5),VLOOKUP(N692,setup!$A$8:$H$58,8))</f>
        <v xml:space="preserve">        return $retorno;</v>
      </c>
    </row>
    <row r="693" spans="1:15" x14ac:dyDescent="0.25">
      <c r="A693" s="29" t="s">
        <v>406</v>
      </c>
      <c r="N693">
        <f t="shared" si="3"/>
        <v>5</v>
      </c>
      <c r="O693" s="7" t="str">
        <f ca="1">getCodigoBackend(N693,A693,VLOOKUP(N693,setup!$A$8:$H$58,2),VLOOKUP(N693,setup!$A$8:$H$58,3),VLOOKUP(N693,setup!$A$8:$H$58,4),VLOOKUP(N693,setup!$A$8:$H$58,5),VLOOKUP(N693,setup!$A$8:$H$58,6),VLOOKUP(N693,setup!$A$8:$H$58,7), VLOOKUP(0,setup!$A$8:$H$58,2),VLOOKUP(0,setup!$A$8:$H$58,5),VLOOKUP(N693,setup!$A$8:$H$58,8))</f>
        <v xml:space="preserve">    }</v>
      </c>
    </row>
    <row r="694" spans="1:15" x14ac:dyDescent="0.25">
      <c r="A694" s="29"/>
      <c r="O694" s="7" t="str">
        <f ca="1">getCodigoBackend(N694,A694,VLOOKUP(N694,setup!$A$8:$H$58,2),VLOOKUP(N694,setup!$A$8:$H$58,3),VLOOKUP(N694,setup!$A$8:$H$58,4),VLOOKUP(N694,setup!$A$8:$H$58,5),VLOOKUP(N694,setup!$A$8:$H$58,6),VLOOKUP(N694,setup!$A$8:$H$58,7), VLOOKUP(0,setup!$A$8:$H$58,2),VLOOKUP(0,setup!$A$8:$H$58,5),VLOOKUP(N694,setup!$A$8:$H$58,8))</f>
        <v/>
      </c>
    </row>
    <row r="695" spans="1:15" x14ac:dyDescent="0.25">
      <c r="A695" s="4" t="s">
        <v>19</v>
      </c>
      <c r="N695">
        <f>N693+1</f>
        <v>6</v>
      </c>
      <c r="O695" s="7" t="str">
        <f ca="1">getCodigoBackend(N695,A695,VLOOKUP(N695,setup!$A$8:$H$58,2),VLOOKUP(N695,setup!$A$8:$H$58,3),VLOOKUP(N695,setup!$A$8:$H$58,4),VLOOKUP(N695,setup!$A$8:$H$58,5),VLOOKUP(N695,setup!$A$8:$H$58,6),VLOOKUP(N695,setup!$A$8:$H$58,7), VLOOKUP(0,setup!$A$8:$H$58,2),VLOOKUP(0,setup!$A$8:$H$58,5),VLOOKUP(N695,setup!$A$8:$H$58,8))</f>
        <v>/**</v>
      </c>
    </row>
    <row r="696" spans="1:15" x14ac:dyDescent="0.25">
      <c r="A696" s="4" t="s">
        <v>20</v>
      </c>
      <c r="N696">
        <f>N695</f>
        <v>6</v>
      </c>
      <c r="O696" s="7" t="str">
        <f ca="1">getCodigoBackend(N696,A696,VLOOKUP(N696,setup!$A$8:$H$58,2),VLOOKUP(N696,setup!$A$8:$H$58,3),VLOOKUP(N696,setup!$A$8:$H$58,4),VLOOKUP(N696,setup!$A$8:$H$58,5),VLOOKUP(N696,setup!$A$8:$H$58,6),VLOOKUP(N696,setup!$A$8:$H$58,7), VLOOKUP(0,setup!$A$8:$H$58,2),VLOOKUP(0,setup!$A$8:$H$58,5),VLOOKUP(N696,setup!$A$8:$H$58,8))</f>
        <v>*</v>
      </c>
    </row>
    <row r="697" spans="1:15" x14ac:dyDescent="0.25">
      <c r="A697" s="4" t="s">
        <v>744</v>
      </c>
      <c r="N697">
        <f t="shared" ref="N697:N721" si="4">N696</f>
        <v>6</v>
      </c>
      <c r="O697" s="7" t="str">
        <f ca="1">getCodigoBackend(N697,A697,VLOOKUP(N697,setup!$A$8:$H$58,2),VLOOKUP(N697,setup!$A$8:$H$58,3),VLOOKUP(N697,setup!$A$8:$H$58,4),VLOOKUP(N697,setup!$A$8:$H$58,5),VLOOKUP(N697,setup!$A$8:$H$58,6),VLOOKUP(N697,setup!$A$8:$H$58,7), VLOOKUP(0,setup!$A$8:$H$58,2),VLOOKUP(0,setup!$A$8:$H$58,5),VLOOKUP(N697,setup!$A$8:$H$58,8))</f>
        <v>* atualizarAutenticacaobcoPorPK() - Usado para invocar a classe de negócio CampanhaCashbackResgatePixBusinessImpl de forma geral</v>
      </c>
    </row>
    <row r="698" spans="1:15" x14ac:dyDescent="0.25">
      <c r="A698" s="4" t="s">
        <v>745</v>
      </c>
      <c r="N698">
        <f t="shared" si="4"/>
        <v>6</v>
      </c>
      <c r="O698" s="7" t="str">
        <f ca="1">getCodigoBackend(N698,A698,VLOOKUP(N698,setup!$A$8:$H$58,2),VLOOKUP(N698,setup!$A$8:$H$58,3),VLOOKUP(N698,setup!$A$8:$H$58,4),VLOOKUP(N698,setup!$A$8:$H$58,5),VLOOKUP(N698,setup!$A$8:$H$58,6),VLOOKUP(N698,setup!$A$8:$H$58,7), VLOOKUP(0,setup!$A$8:$H$58,2),VLOOKUP(0,setup!$A$8:$H$58,5),VLOOKUP(N698,setup!$A$8:$H$58,8))</f>
        <v>* realizar uma atualização de Autenticação do Banco diretamente na tabela CAMPANHA_CASHBACK_RESGATE_PIX campo CCRP_TX_AUTENT_BCO</v>
      </c>
    </row>
    <row r="699" spans="1:15" x14ac:dyDescent="0.25">
      <c r="A699" s="4" t="s">
        <v>361</v>
      </c>
      <c r="N699">
        <f t="shared" si="4"/>
        <v>6</v>
      </c>
      <c r="O699" s="7" t="str">
        <f ca="1">getCodigoBackend(N699,A699,VLOOKUP(N699,setup!$A$8:$H$58,2),VLOOKUP(N699,setup!$A$8:$H$58,3),VLOOKUP(N699,setup!$A$8:$H$58,4),VLOOKUP(N699,setup!$A$8:$H$58,5),VLOOKUP(N699,setup!$A$8:$H$58,6),VLOOKUP(N699,setup!$A$8:$H$58,7), VLOOKUP(0,setup!$A$8:$H$58,2),VLOOKUP(0,setup!$A$8:$H$58,5),VLOOKUP(N699,setup!$A$8:$H$58,8))</f>
        <v>* @param $daofactory</v>
      </c>
    </row>
    <row r="700" spans="1:15" x14ac:dyDescent="0.25">
      <c r="A700" s="4" t="s">
        <v>346</v>
      </c>
      <c r="N700">
        <f t="shared" si="4"/>
        <v>6</v>
      </c>
      <c r="O700" s="7" t="str">
        <f ca="1">getCodigoBackend(N700,A700,VLOOKUP(N700,setup!$A$8:$H$58,2),VLOOKUP(N700,setup!$A$8:$H$58,3),VLOOKUP(N700,setup!$A$8:$H$58,4),VLOOKUP(N700,setup!$A$8:$H$58,5),VLOOKUP(N700,setup!$A$8:$H$58,6),VLOOKUP(N700,setup!$A$8:$H$58,7), VLOOKUP(0,setup!$A$8:$H$58,2),VLOOKUP(0,setup!$A$8:$H$58,5),VLOOKUP(N700,setup!$A$8:$H$58,8))</f>
        <v>* @param $id</v>
      </c>
    </row>
    <row r="701" spans="1:15" x14ac:dyDescent="0.25">
      <c r="A701" s="4" t="s">
        <v>723</v>
      </c>
      <c r="N701">
        <f t="shared" si="4"/>
        <v>6</v>
      </c>
      <c r="O701" s="7" t="str">
        <f ca="1">getCodigoBackend(N701,A701,VLOOKUP(N701,setup!$A$8:$H$58,2),VLOOKUP(N701,setup!$A$8:$H$58,3),VLOOKUP(N701,setup!$A$8:$H$58,4),VLOOKUP(N701,setup!$A$8:$H$58,5),VLOOKUP(N701,setup!$A$8:$H$58,6),VLOOKUP(N701,setup!$A$8:$H$58,7), VLOOKUP(0,setup!$A$8:$H$58,2),VLOOKUP(0,setup!$A$8:$H$58,5),VLOOKUP(N701,setup!$A$8:$H$58,8))</f>
        <v>* @param $autenticacaoBco</v>
      </c>
    </row>
    <row r="702" spans="1:15" x14ac:dyDescent="0.25">
      <c r="A702" s="4" t="s">
        <v>347</v>
      </c>
      <c r="N702">
        <f t="shared" si="4"/>
        <v>6</v>
      </c>
      <c r="O702" s="7" t="str">
        <f ca="1">getCodigoBackend(N702,A702,VLOOKUP(N702,setup!$A$8:$H$58,2),VLOOKUP(N702,setup!$A$8:$H$58,3),VLOOKUP(N702,setup!$A$8:$H$58,4),VLOOKUP(N702,setup!$A$8:$H$58,5),VLOOKUP(N702,setup!$A$8:$H$58,6),VLOOKUP(N702,setup!$A$8:$H$58,7), VLOOKUP(0,setup!$A$8:$H$58,2),VLOOKUP(0,setup!$A$8:$H$58,5),VLOOKUP(N702,setup!$A$8:$H$58,8))</f>
        <v>* @return CampanhaCashbackResgatePixDTO</v>
      </c>
    </row>
    <row r="703" spans="1:15" x14ac:dyDescent="0.25">
      <c r="A703" s="4" t="s">
        <v>20</v>
      </c>
      <c r="N703">
        <f t="shared" si="4"/>
        <v>6</v>
      </c>
      <c r="O703" s="7" t="str">
        <f ca="1">getCodigoBackend(N703,A703,VLOOKUP(N703,setup!$A$8:$H$58,2),VLOOKUP(N703,setup!$A$8:$H$58,3),VLOOKUP(N703,setup!$A$8:$H$58,4),VLOOKUP(N703,setup!$A$8:$H$58,5),VLOOKUP(N703,setup!$A$8:$H$58,6),VLOOKUP(N703,setup!$A$8:$H$58,7), VLOOKUP(0,setup!$A$8:$H$58,2),VLOOKUP(0,setup!$A$8:$H$58,5),VLOOKUP(N703,setup!$A$8:$H$58,8))</f>
        <v>*</v>
      </c>
    </row>
    <row r="704" spans="1:15" x14ac:dyDescent="0.25">
      <c r="A704" s="4" t="s">
        <v>75</v>
      </c>
      <c r="N704">
        <f t="shared" si="4"/>
        <v>6</v>
      </c>
      <c r="O704" s="7" t="str">
        <f ca="1">getCodigoBackend(N704,A704,VLOOKUP(N704,setup!$A$8:$H$58,2),VLOOKUP(N704,setup!$A$8:$H$58,3),VLOOKUP(N704,setup!$A$8:$H$58,4),VLOOKUP(N704,setup!$A$8:$H$58,5),VLOOKUP(N704,setup!$A$8:$H$58,6),VLOOKUP(N704,setup!$A$8:$H$58,7), VLOOKUP(0,setup!$A$8:$H$58,2),VLOOKUP(0,setup!$A$8:$H$58,5),VLOOKUP(N704,setup!$A$8:$H$58,8))</f>
        <v xml:space="preserve">* </v>
      </c>
    </row>
    <row r="705" spans="1:15" x14ac:dyDescent="0.25">
      <c r="A705" s="4" t="s">
        <v>21</v>
      </c>
      <c r="N705">
        <f t="shared" si="4"/>
        <v>6</v>
      </c>
      <c r="O705" s="7" t="str">
        <f ca="1">getCodigoBackend(N705,A705,VLOOKUP(N705,setup!$A$8:$H$58,2),VLOOKUP(N705,setup!$A$8:$H$58,3),VLOOKUP(N705,setup!$A$8:$H$58,4),VLOOKUP(N705,setup!$A$8:$H$58,5),VLOOKUP(N705,setup!$A$8:$H$58,6),VLOOKUP(N705,setup!$A$8:$H$58,7), VLOOKUP(0,setup!$A$8:$H$58,2),VLOOKUP(0,setup!$A$8:$H$58,5),VLOOKUP(N705,setup!$A$8:$H$58,8))</f>
        <v>*/</v>
      </c>
    </row>
    <row r="706" spans="1:15" x14ac:dyDescent="0.25">
      <c r="A706" s="29" t="s">
        <v>783</v>
      </c>
      <c r="N706">
        <f t="shared" si="4"/>
        <v>6</v>
      </c>
      <c r="O706" s="7" t="str">
        <f ca="1">getCodigoBackend(N706,A706,VLOOKUP(N706,setup!$A$8:$H$58,2),VLOOKUP(N706,setup!$A$8:$H$58,3),VLOOKUP(N706,setup!$A$8:$H$58,4),VLOOKUP(N706,setup!$A$8:$H$58,5),VLOOKUP(N706,setup!$A$8:$H$58,6),VLOOKUP(N706,setup!$A$8:$H$58,7), VLOOKUP(0,setup!$A$8:$H$58,2),VLOOKUP(0,setup!$A$8:$H$58,5),VLOOKUP(N706,setup!$A$8:$H$58,8))</f>
        <v xml:space="preserve">    public function atualizarAutenticacaobcoPorPK($daofactory,$autenticacaoBco,$id)</v>
      </c>
    </row>
    <row r="707" spans="1:15" x14ac:dyDescent="0.25">
      <c r="A707" s="29" t="s">
        <v>379</v>
      </c>
      <c r="N707">
        <f t="shared" si="4"/>
        <v>6</v>
      </c>
      <c r="O707" s="7" t="str">
        <f ca="1">getCodigoBackend(N707,A707,VLOOKUP(N707,setup!$A$8:$H$58,2),VLOOKUP(N707,setup!$A$8:$H$58,3),VLOOKUP(N707,setup!$A$8:$H$58,4),VLOOKUP(N707,setup!$A$8:$H$58,5),VLOOKUP(N707,setup!$A$8:$H$58,6),VLOOKUP(N707,setup!$A$8:$H$58,7), VLOOKUP(0,setup!$A$8:$H$58,2),VLOOKUP(0,setup!$A$8:$H$58,5),VLOOKUP(N707,setup!$A$8:$H$58,8))</f>
        <v xml:space="preserve">    {</v>
      </c>
    </row>
    <row r="708" spans="1:15" x14ac:dyDescent="0.25">
      <c r="A708" s="29" t="s">
        <v>754</v>
      </c>
      <c r="N708">
        <f t="shared" si="4"/>
        <v>6</v>
      </c>
      <c r="O708" s="7" t="str">
        <f ca="1">getCodigoBackend(N708,A708,VLOOKUP(N708,setup!$A$8:$H$58,2),VLOOKUP(N708,setup!$A$8:$H$58,3),VLOOKUP(N708,setup!$A$8:$H$58,4),VLOOKUP(N708,setup!$A$8:$H$58,5),VLOOKUP(N708,setup!$A$8:$H$58,6),VLOOKUP(N708,setup!$A$8:$H$58,7), VLOOKUP(0,setup!$A$8:$H$58,2),VLOOKUP(0,setup!$A$8:$H$58,5),VLOOKUP(N708,setup!$A$8:$H$58,8))</f>
        <v xml:space="preserve">        $dao = $daofactory-&gt;getCampanhaCashbackResgatePixDAO($daofactory);</v>
      </c>
    </row>
    <row r="709" spans="1:15" x14ac:dyDescent="0.25">
      <c r="A709" s="29"/>
      <c r="N709">
        <f t="shared" si="4"/>
        <v>6</v>
      </c>
      <c r="O709" s="7" t="str">
        <f ca="1">getCodigoBackend(N709,A709,VLOOKUP(N709,setup!$A$8:$H$58,2),VLOOKUP(N709,setup!$A$8:$H$58,3),VLOOKUP(N709,setup!$A$8:$H$58,4),VLOOKUP(N709,setup!$A$8:$H$58,5),VLOOKUP(N709,setup!$A$8:$H$58,6),VLOOKUP(N709,setup!$A$8:$H$58,7), VLOOKUP(0,setup!$A$8:$H$58,2),VLOOKUP(0,setup!$A$8:$H$58,5),VLOOKUP(N709,setup!$A$8:$H$58,8))</f>
        <v/>
      </c>
    </row>
    <row r="710" spans="1:15" x14ac:dyDescent="0.25">
      <c r="A710" s="29" t="s">
        <v>750</v>
      </c>
      <c r="N710">
        <f t="shared" si="4"/>
        <v>6</v>
      </c>
      <c r="O710" s="7" t="str">
        <f ca="1">getCodigoBackend(N710,A710,VLOOKUP(N710,setup!$A$8:$H$58,2),VLOOKUP(N710,setup!$A$8:$H$58,3),VLOOKUP(N710,setup!$A$8:$H$58,4),VLOOKUP(N710,setup!$A$8:$H$58,5),VLOOKUP(N710,setup!$A$8:$H$58,6),VLOOKUP(N710,setup!$A$8:$H$58,7), VLOOKUP(0,setup!$A$8:$H$58,2),VLOOKUP(0,setup!$A$8:$H$58,5),VLOOKUP(N710,setup!$A$8:$H$58,8))</f>
        <v xml:space="preserve">        // resposta padrão</v>
      </c>
    </row>
    <row r="711" spans="1:15" x14ac:dyDescent="0.25">
      <c r="A711" s="29" t="s">
        <v>404</v>
      </c>
      <c r="N711">
        <f t="shared" si="4"/>
        <v>6</v>
      </c>
      <c r="O711" s="7" t="str">
        <f ca="1">getCodigoBackend(N711,A711,VLOOKUP(N711,setup!$A$8:$H$58,2),VLOOKUP(N711,setup!$A$8:$H$58,3),VLOOKUP(N711,setup!$A$8:$H$58,4),VLOOKUP(N711,setup!$A$8:$H$58,5),VLOOKUP(N711,setup!$A$8:$H$58,6),VLOOKUP(N711,setup!$A$8:$H$58,7), VLOOKUP(0,setup!$A$8:$H$58,2),VLOOKUP(0,setup!$A$8:$H$58,5),VLOOKUP(N711,setup!$A$8:$H$58,8))</f>
        <v xml:space="preserve">        $retorno = new DTOPadrao();</v>
      </c>
    </row>
    <row r="712" spans="1:15" x14ac:dyDescent="0.25">
      <c r="A712" s="29"/>
      <c r="N712">
        <f t="shared" si="4"/>
        <v>6</v>
      </c>
      <c r="O712" s="7" t="str">
        <f ca="1">getCodigoBackend(N712,A712,VLOOKUP(N712,setup!$A$8:$H$58,2),VLOOKUP(N712,setup!$A$8:$H$58,3),VLOOKUP(N712,setup!$A$8:$H$58,4),VLOOKUP(N712,setup!$A$8:$H$58,5),VLOOKUP(N712,setup!$A$8:$H$58,6),VLOOKUP(N712,setup!$A$8:$H$58,7), VLOOKUP(0,setup!$A$8:$H$58,2),VLOOKUP(0,setup!$A$8:$H$58,5),VLOOKUP(N712,setup!$A$8:$H$58,8))</f>
        <v/>
      </c>
    </row>
    <row r="713" spans="1:15" x14ac:dyDescent="0.25">
      <c r="A713" s="29" t="s">
        <v>755</v>
      </c>
      <c r="N713">
        <f t="shared" si="4"/>
        <v>6</v>
      </c>
      <c r="O713" s="7" t="str">
        <f ca="1">getCodigoBackend(N713,A713,VLOOKUP(N713,setup!$A$8:$H$58,2),VLOOKUP(N713,setup!$A$8:$H$58,3),VLOOKUP(N713,setup!$A$8:$H$58,4),VLOOKUP(N713,setup!$A$8:$H$58,5),VLOOKUP(N713,setup!$A$8:$H$58,6),VLOOKUP(N713,setup!$A$8:$H$58,7), VLOOKUP(0,setup!$A$8:$H$58,2),VLOOKUP(0,setup!$A$8:$H$58,5),VLOOKUP(N713,setup!$A$8:$H$58,8))</f>
        <v xml:space="preserve">        if($dao-&gt;updateAutenticacaobco($id, $autenticacaoBco)){   </v>
      </c>
    </row>
    <row r="714" spans="1:15" x14ac:dyDescent="0.25">
      <c r="A714" s="29" t="s">
        <v>751</v>
      </c>
      <c r="N714">
        <f t="shared" si="4"/>
        <v>6</v>
      </c>
      <c r="O714" s="7" t="str">
        <f ca="1">getCodigoBackend(N714,A714,VLOOKUP(N714,setup!$A$8:$H$58,2),VLOOKUP(N714,setup!$A$8:$H$58,3),VLOOKUP(N714,setup!$A$8:$H$58,4),VLOOKUP(N714,setup!$A$8:$H$58,5),VLOOKUP(N714,setup!$A$8:$H$58,6),VLOOKUP(N714,setup!$A$8:$H$58,7), VLOOKUP(0,setup!$A$8:$H$58,2),VLOOKUP(0,setup!$A$8:$H$58,5),VLOOKUP(N714,setup!$A$8:$H$58,8))</f>
        <v xml:space="preserve">            $retorno-&gt;msgcode = ConstantesMensagem::COMANDO_REALIZADO_COM_SUCESSO;</v>
      </c>
    </row>
    <row r="715" spans="1:15" x14ac:dyDescent="0.25">
      <c r="A715" s="29" t="s">
        <v>752</v>
      </c>
      <c r="N715">
        <f t="shared" si="4"/>
        <v>6</v>
      </c>
      <c r="O715" s="7" t="str">
        <f ca="1">getCodigoBackend(N715,A715,VLOOKUP(N715,setup!$A$8:$H$58,2),VLOOKUP(N715,setup!$A$8:$H$58,3),VLOOKUP(N715,setup!$A$8:$H$58,4),VLOOKUP(N715,setup!$A$8:$H$58,5),VLOOKUP(N715,setup!$A$8:$H$58,6),VLOOKUP(N715,setup!$A$8:$H$58,7), VLOOKUP(0,setup!$A$8:$H$58,2),VLOOKUP(0,setup!$A$8:$H$58,5),VLOOKUP(N715,setup!$A$8:$H$58,8))</f>
        <v xml:space="preserve">        }       </v>
      </c>
    </row>
    <row r="716" spans="1:15" x14ac:dyDescent="0.25">
      <c r="A716" s="29"/>
      <c r="N716">
        <f t="shared" si="4"/>
        <v>6</v>
      </c>
      <c r="O716" s="7" t="str">
        <f ca="1">getCodigoBackend(N716,A716,VLOOKUP(N716,setup!$A$8:$H$58,2),VLOOKUP(N716,setup!$A$8:$H$58,3),VLOOKUP(N716,setup!$A$8:$H$58,4),VLOOKUP(N716,setup!$A$8:$H$58,5),VLOOKUP(N716,setup!$A$8:$H$58,6),VLOOKUP(N716,setup!$A$8:$H$58,7), VLOOKUP(0,setup!$A$8:$H$58,2),VLOOKUP(0,setup!$A$8:$H$58,5),VLOOKUP(N716,setup!$A$8:$H$58,8))</f>
        <v/>
      </c>
    </row>
    <row r="717" spans="1:15" x14ac:dyDescent="0.25">
      <c r="A717" s="29" t="s">
        <v>753</v>
      </c>
      <c r="N717">
        <f t="shared" si="4"/>
        <v>6</v>
      </c>
      <c r="O717" s="7" t="str">
        <f ca="1">getCodigoBackend(N717,A717,VLOOKUP(N717,setup!$A$8:$H$58,2),VLOOKUP(N717,setup!$A$8:$H$58,3),VLOOKUP(N717,setup!$A$8:$H$58,4),VLOOKUP(N717,setup!$A$8:$H$58,5),VLOOKUP(N717,setup!$A$8:$H$58,6),VLOOKUP(N717,setup!$A$8:$H$58,7), VLOOKUP(0,setup!$A$8:$H$58,2),VLOOKUP(0,setup!$A$8:$H$58,5),VLOOKUP(N717,setup!$A$8:$H$58,8))</f>
        <v xml:space="preserve">        // Obtem o texto da mensagem em razão do código de retorno</v>
      </c>
    </row>
    <row r="718" spans="1:15" x14ac:dyDescent="0.25">
      <c r="A718" s="29" t="s">
        <v>405</v>
      </c>
      <c r="N718">
        <f t="shared" si="4"/>
        <v>6</v>
      </c>
      <c r="O718" s="7" t="str">
        <f ca="1">getCodigoBackend(N718,A718,VLOOKUP(N718,setup!$A$8:$H$58,2),VLOOKUP(N718,setup!$A$8:$H$58,3),VLOOKUP(N718,setup!$A$8:$H$58,4),VLOOKUP(N718,setup!$A$8:$H$58,5),VLOOKUP(N718,setup!$A$8:$H$58,6),VLOOKUP(N718,setup!$A$8:$H$58,7), VLOOKUP(0,setup!$A$8:$H$58,2),VLOOKUP(0,setup!$A$8:$H$58,5),VLOOKUP(N718,setup!$A$8:$H$58,8))</f>
        <v xml:space="preserve">        $retorno-&gt;msgcodeString = MensagemCache::getInstance()-&gt;getMensagem($retorno-&gt;msgcode);</v>
      </c>
    </row>
    <row r="719" spans="1:15" x14ac:dyDescent="0.25">
      <c r="A719" s="29"/>
      <c r="N719">
        <f t="shared" si="4"/>
        <v>6</v>
      </c>
      <c r="O719" s="7" t="str">
        <f ca="1">getCodigoBackend(N719,A719,VLOOKUP(N719,setup!$A$8:$H$58,2),VLOOKUP(N719,setup!$A$8:$H$58,3),VLOOKUP(N719,setup!$A$8:$H$58,4),VLOOKUP(N719,setup!$A$8:$H$58,5),VLOOKUP(N719,setup!$A$8:$H$58,6),VLOOKUP(N719,setup!$A$8:$H$58,7), VLOOKUP(0,setup!$A$8:$H$58,2),VLOOKUP(0,setup!$A$8:$H$58,5),VLOOKUP(N719,setup!$A$8:$H$58,8))</f>
        <v/>
      </c>
    </row>
    <row r="720" spans="1:15" x14ac:dyDescent="0.25">
      <c r="A720" s="29" t="s">
        <v>743</v>
      </c>
      <c r="N720">
        <f t="shared" si="4"/>
        <v>6</v>
      </c>
      <c r="O720" s="7" t="str">
        <f ca="1">getCodigoBackend(N720,A720,VLOOKUP(N720,setup!$A$8:$H$58,2),VLOOKUP(N720,setup!$A$8:$H$58,3),VLOOKUP(N720,setup!$A$8:$H$58,4),VLOOKUP(N720,setup!$A$8:$H$58,5),VLOOKUP(N720,setup!$A$8:$H$58,6),VLOOKUP(N720,setup!$A$8:$H$58,7), VLOOKUP(0,setup!$A$8:$H$58,2),VLOOKUP(0,setup!$A$8:$H$58,5),VLOOKUP(N720,setup!$A$8:$H$58,8))</f>
        <v xml:space="preserve">        return $retorno;</v>
      </c>
    </row>
    <row r="721" spans="1:15" x14ac:dyDescent="0.25">
      <c r="A721" s="29" t="s">
        <v>406</v>
      </c>
      <c r="N721">
        <f t="shared" si="4"/>
        <v>6</v>
      </c>
      <c r="O721" s="7" t="str">
        <f ca="1">getCodigoBackend(N721,A721,VLOOKUP(N721,setup!$A$8:$H$58,2),VLOOKUP(N721,setup!$A$8:$H$58,3),VLOOKUP(N721,setup!$A$8:$H$58,4),VLOOKUP(N721,setup!$A$8:$H$58,5),VLOOKUP(N721,setup!$A$8:$H$58,6),VLOOKUP(N721,setup!$A$8:$H$58,7), VLOOKUP(0,setup!$A$8:$H$58,2),VLOOKUP(0,setup!$A$8:$H$58,5),VLOOKUP(N721,setup!$A$8:$H$58,8))</f>
        <v xml:space="preserve">    }</v>
      </c>
    </row>
    <row r="722" spans="1:15" x14ac:dyDescent="0.25">
      <c r="A722" s="29"/>
      <c r="O722" s="7" t="str">
        <f ca="1">getCodigoBackend(N722,A722,VLOOKUP(N722,setup!$A$8:$H$58,2),VLOOKUP(N722,setup!$A$8:$H$58,3),VLOOKUP(N722,setup!$A$8:$H$58,4),VLOOKUP(N722,setup!$A$8:$H$58,5),VLOOKUP(N722,setup!$A$8:$H$58,6),VLOOKUP(N722,setup!$A$8:$H$58,7), VLOOKUP(0,setup!$A$8:$H$58,2),VLOOKUP(0,setup!$A$8:$H$58,5),VLOOKUP(N722,setup!$A$8:$H$58,8))</f>
        <v/>
      </c>
    </row>
    <row r="723" spans="1:15" x14ac:dyDescent="0.25">
      <c r="A723" s="4" t="s">
        <v>19</v>
      </c>
      <c r="N723">
        <f>N721+1</f>
        <v>7</v>
      </c>
      <c r="O723" s="7" t="str">
        <f ca="1">getCodigoBackend(N723,A723,VLOOKUP(N723,setup!$A$8:$H$58,2),VLOOKUP(N723,setup!$A$8:$H$58,3),VLOOKUP(N723,setup!$A$8:$H$58,4),VLOOKUP(N723,setup!$A$8:$H$58,5),VLOOKUP(N723,setup!$A$8:$H$58,6),VLOOKUP(N723,setup!$A$8:$H$58,7), VLOOKUP(0,setup!$A$8:$H$58,2),VLOOKUP(0,setup!$A$8:$H$58,5),VLOOKUP(N723,setup!$A$8:$H$58,8))</f>
        <v>/**</v>
      </c>
    </row>
    <row r="724" spans="1:15" x14ac:dyDescent="0.25">
      <c r="A724" s="4" t="s">
        <v>20</v>
      </c>
      <c r="N724">
        <f>N723</f>
        <v>7</v>
      </c>
      <c r="O724" s="7" t="str">
        <f ca="1">getCodigoBackend(N724,A724,VLOOKUP(N724,setup!$A$8:$H$58,2),VLOOKUP(N724,setup!$A$8:$H$58,3),VLOOKUP(N724,setup!$A$8:$H$58,4),VLOOKUP(N724,setup!$A$8:$H$58,5),VLOOKUP(N724,setup!$A$8:$H$58,6),VLOOKUP(N724,setup!$A$8:$H$58,7), VLOOKUP(0,setup!$A$8:$H$58,2),VLOOKUP(0,setup!$A$8:$H$58,5),VLOOKUP(N724,setup!$A$8:$H$58,8))</f>
        <v>*</v>
      </c>
    </row>
    <row r="725" spans="1:15" x14ac:dyDescent="0.25">
      <c r="A725" s="4" t="s">
        <v>744</v>
      </c>
      <c r="N725">
        <f t="shared" ref="N725:N749" si="5">N724</f>
        <v>7</v>
      </c>
      <c r="O725" s="7" t="str">
        <f ca="1">getCodigoBackend(N725,A725,VLOOKUP(N725,setup!$A$8:$H$58,2),VLOOKUP(N725,setup!$A$8:$H$58,3),VLOOKUP(N725,setup!$A$8:$H$58,4),VLOOKUP(N725,setup!$A$8:$H$58,5),VLOOKUP(N725,setup!$A$8:$H$58,6),VLOOKUP(N725,setup!$A$8:$H$58,7), VLOOKUP(0,setup!$A$8:$H$58,2),VLOOKUP(0,setup!$A$8:$H$58,5),VLOOKUP(N725,setup!$A$8:$H$58,8))</f>
        <v>* atualizarEstagiorealtimePorPK() - Usado para invocar a classe de negócio CampanhaCashbackResgatePixBusinessImpl de forma geral</v>
      </c>
    </row>
    <row r="726" spans="1:15" x14ac:dyDescent="0.25">
      <c r="A726" s="4" t="s">
        <v>745</v>
      </c>
      <c r="N726">
        <f t="shared" si="5"/>
        <v>7</v>
      </c>
      <c r="O726" s="7" t="str">
        <f ca="1">getCodigoBackend(N726,A726,VLOOKUP(N726,setup!$A$8:$H$58,2),VLOOKUP(N726,setup!$A$8:$H$58,3),VLOOKUP(N726,setup!$A$8:$H$58,4),VLOOKUP(N726,setup!$A$8:$H$58,5),VLOOKUP(N726,setup!$A$8:$H$58,6),VLOOKUP(N726,setup!$A$8:$H$58,7), VLOOKUP(0,setup!$A$8:$H$58,2),VLOOKUP(0,setup!$A$8:$H$58,5),VLOOKUP(N726,setup!$A$8:$H$58,8))</f>
        <v>* realizar uma atualização de Estágio Real Time diretamente na tabela CAMPANHA_CASHBACK_RESGATE_PIX campo CCRP_IN_ESTAGIO_RT</v>
      </c>
    </row>
    <row r="727" spans="1:15" x14ac:dyDescent="0.25">
      <c r="A727" s="4" t="s">
        <v>361</v>
      </c>
      <c r="N727">
        <f t="shared" si="5"/>
        <v>7</v>
      </c>
      <c r="O727" s="7" t="str">
        <f ca="1">getCodigoBackend(N727,A727,VLOOKUP(N727,setup!$A$8:$H$58,2),VLOOKUP(N727,setup!$A$8:$H$58,3),VLOOKUP(N727,setup!$A$8:$H$58,4),VLOOKUP(N727,setup!$A$8:$H$58,5),VLOOKUP(N727,setup!$A$8:$H$58,6),VLOOKUP(N727,setup!$A$8:$H$58,7), VLOOKUP(0,setup!$A$8:$H$58,2),VLOOKUP(0,setup!$A$8:$H$58,5),VLOOKUP(N727,setup!$A$8:$H$58,8))</f>
        <v>* @param $daofactory</v>
      </c>
    </row>
    <row r="728" spans="1:15" x14ac:dyDescent="0.25">
      <c r="A728" s="4" t="s">
        <v>346</v>
      </c>
      <c r="N728">
        <f t="shared" si="5"/>
        <v>7</v>
      </c>
      <c r="O728" s="7" t="str">
        <f ca="1">getCodigoBackend(N728,A728,VLOOKUP(N728,setup!$A$8:$H$58,2),VLOOKUP(N728,setup!$A$8:$H$58,3),VLOOKUP(N728,setup!$A$8:$H$58,4),VLOOKUP(N728,setup!$A$8:$H$58,5),VLOOKUP(N728,setup!$A$8:$H$58,6),VLOOKUP(N728,setup!$A$8:$H$58,7), VLOOKUP(0,setup!$A$8:$H$58,2),VLOOKUP(0,setup!$A$8:$H$58,5),VLOOKUP(N728,setup!$A$8:$H$58,8))</f>
        <v>* @param $id</v>
      </c>
    </row>
    <row r="729" spans="1:15" x14ac:dyDescent="0.25">
      <c r="A729" s="4" t="s">
        <v>723</v>
      </c>
      <c r="N729">
        <f t="shared" si="5"/>
        <v>7</v>
      </c>
      <c r="O729" s="7" t="str">
        <f ca="1">getCodigoBackend(N729,A729,VLOOKUP(N729,setup!$A$8:$H$58,2),VLOOKUP(N729,setup!$A$8:$H$58,3),VLOOKUP(N729,setup!$A$8:$H$58,4),VLOOKUP(N729,setup!$A$8:$H$58,5),VLOOKUP(N729,setup!$A$8:$H$58,6),VLOOKUP(N729,setup!$A$8:$H$58,7), VLOOKUP(0,setup!$A$8:$H$58,2),VLOOKUP(0,setup!$A$8:$H$58,5),VLOOKUP(N729,setup!$A$8:$H$58,8))</f>
        <v>* @param $estagioRealTime</v>
      </c>
    </row>
    <row r="730" spans="1:15" x14ac:dyDescent="0.25">
      <c r="A730" s="4" t="s">
        <v>347</v>
      </c>
      <c r="N730">
        <f t="shared" si="5"/>
        <v>7</v>
      </c>
      <c r="O730" s="7" t="str">
        <f ca="1">getCodigoBackend(N730,A730,VLOOKUP(N730,setup!$A$8:$H$58,2),VLOOKUP(N730,setup!$A$8:$H$58,3),VLOOKUP(N730,setup!$A$8:$H$58,4),VLOOKUP(N730,setup!$A$8:$H$58,5),VLOOKUP(N730,setup!$A$8:$H$58,6),VLOOKUP(N730,setup!$A$8:$H$58,7), VLOOKUP(0,setup!$A$8:$H$58,2),VLOOKUP(0,setup!$A$8:$H$58,5),VLOOKUP(N730,setup!$A$8:$H$58,8))</f>
        <v>* @return CampanhaCashbackResgatePixDTO</v>
      </c>
    </row>
    <row r="731" spans="1:15" x14ac:dyDescent="0.25">
      <c r="A731" s="4" t="s">
        <v>20</v>
      </c>
      <c r="N731">
        <f t="shared" si="5"/>
        <v>7</v>
      </c>
      <c r="O731" s="7" t="str">
        <f ca="1">getCodigoBackend(N731,A731,VLOOKUP(N731,setup!$A$8:$H$58,2),VLOOKUP(N731,setup!$A$8:$H$58,3),VLOOKUP(N731,setup!$A$8:$H$58,4),VLOOKUP(N731,setup!$A$8:$H$58,5),VLOOKUP(N731,setup!$A$8:$H$58,6),VLOOKUP(N731,setup!$A$8:$H$58,7), VLOOKUP(0,setup!$A$8:$H$58,2),VLOOKUP(0,setup!$A$8:$H$58,5),VLOOKUP(N731,setup!$A$8:$H$58,8))</f>
        <v>*</v>
      </c>
    </row>
    <row r="732" spans="1:15" x14ac:dyDescent="0.25">
      <c r="A732" s="4" t="s">
        <v>75</v>
      </c>
      <c r="N732">
        <f t="shared" si="5"/>
        <v>7</v>
      </c>
      <c r="O732" s="7" t="str">
        <f ca="1">getCodigoBackend(N732,A732,VLOOKUP(N732,setup!$A$8:$H$58,2),VLOOKUP(N732,setup!$A$8:$H$58,3),VLOOKUP(N732,setup!$A$8:$H$58,4),VLOOKUP(N732,setup!$A$8:$H$58,5),VLOOKUP(N732,setup!$A$8:$H$58,6),VLOOKUP(N732,setup!$A$8:$H$58,7), VLOOKUP(0,setup!$A$8:$H$58,2),VLOOKUP(0,setup!$A$8:$H$58,5),VLOOKUP(N732,setup!$A$8:$H$58,8))</f>
        <v xml:space="preserve">* </v>
      </c>
    </row>
    <row r="733" spans="1:15" x14ac:dyDescent="0.25">
      <c r="A733" s="4" t="s">
        <v>21</v>
      </c>
      <c r="N733">
        <f t="shared" si="5"/>
        <v>7</v>
      </c>
      <c r="O733" s="7" t="str">
        <f ca="1">getCodigoBackend(N733,A733,VLOOKUP(N733,setup!$A$8:$H$58,2),VLOOKUP(N733,setup!$A$8:$H$58,3),VLOOKUP(N733,setup!$A$8:$H$58,4),VLOOKUP(N733,setup!$A$8:$H$58,5),VLOOKUP(N733,setup!$A$8:$H$58,6),VLOOKUP(N733,setup!$A$8:$H$58,7), VLOOKUP(0,setup!$A$8:$H$58,2),VLOOKUP(0,setup!$A$8:$H$58,5),VLOOKUP(N733,setup!$A$8:$H$58,8))</f>
        <v>*/</v>
      </c>
    </row>
    <row r="734" spans="1:15" x14ac:dyDescent="0.25">
      <c r="A734" s="29" t="s">
        <v>783</v>
      </c>
      <c r="N734">
        <f t="shared" si="5"/>
        <v>7</v>
      </c>
      <c r="O734" s="7" t="str">
        <f ca="1">getCodigoBackend(N734,A734,VLOOKUP(N734,setup!$A$8:$H$58,2),VLOOKUP(N734,setup!$A$8:$H$58,3),VLOOKUP(N734,setup!$A$8:$H$58,4),VLOOKUP(N734,setup!$A$8:$H$58,5),VLOOKUP(N734,setup!$A$8:$H$58,6),VLOOKUP(N734,setup!$A$8:$H$58,7), VLOOKUP(0,setup!$A$8:$H$58,2),VLOOKUP(0,setup!$A$8:$H$58,5),VLOOKUP(N734,setup!$A$8:$H$58,8))</f>
        <v xml:space="preserve">    public function atualizarEstagiorealtimePorPK($daofactory,$estagioRealTime,$id)</v>
      </c>
    </row>
    <row r="735" spans="1:15" x14ac:dyDescent="0.25">
      <c r="A735" s="29" t="s">
        <v>379</v>
      </c>
      <c r="N735">
        <f t="shared" si="5"/>
        <v>7</v>
      </c>
      <c r="O735" s="7" t="str">
        <f ca="1">getCodigoBackend(N735,A735,VLOOKUP(N735,setup!$A$8:$H$58,2),VLOOKUP(N735,setup!$A$8:$H$58,3),VLOOKUP(N735,setup!$A$8:$H$58,4),VLOOKUP(N735,setup!$A$8:$H$58,5),VLOOKUP(N735,setup!$A$8:$H$58,6),VLOOKUP(N735,setup!$A$8:$H$58,7), VLOOKUP(0,setup!$A$8:$H$58,2),VLOOKUP(0,setup!$A$8:$H$58,5),VLOOKUP(N735,setup!$A$8:$H$58,8))</f>
        <v xml:space="preserve">    {</v>
      </c>
    </row>
    <row r="736" spans="1:15" x14ac:dyDescent="0.25">
      <c r="A736" s="29" t="s">
        <v>754</v>
      </c>
      <c r="N736">
        <f t="shared" si="5"/>
        <v>7</v>
      </c>
      <c r="O736" s="7" t="str">
        <f ca="1">getCodigoBackend(N736,A736,VLOOKUP(N736,setup!$A$8:$H$58,2),VLOOKUP(N736,setup!$A$8:$H$58,3),VLOOKUP(N736,setup!$A$8:$H$58,4),VLOOKUP(N736,setup!$A$8:$H$58,5),VLOOKUP(N736,setup!$A$8:$H$58,6),VLOOKUP(N736,setup!$A$8:$H$58,7), VLOOKUP(0,setup!$A$8:$H$58,2),VLOOKUP(0,setup!$A$8:$H$58,5),VLOOKUP(N736,setup!$A$8:$H$58,8))</f>
        <v xml:space="preserve">        $dao = $daofactory-&gt;getCampanhaCashbackResgatePixDAO($daofactory);</v>
      </c>
    </row>
    <row r="737" spans="1:15" x14ac:dyDescent="0.25">
      <c r="A737" s="29"/>
      <c r="N737">
        <f t="shared" si="5"/>
        <v>7</v>
      </c>
      <c r="O737" s="7" t="str">
        <f ca="1">getCodigoBackend(N737,A737,VLOOKUP(N737,setup!$A$8:$H$58,2),VLOOKUP(N737,setup!$A$8:$H$58,3),VLOOKUP(N737,setup!$A$8:$H$58,4),VLOOKUP(N737,setup!$A$8:$H$58,5),VLOOKUP(N737,setup!$A$8:$H$58,6),VLOOKUP(N737,setup!$A$8:$H$58,7), VLOOKUP(0,setup!$A$8:$H$58,2),VLOOKUP(0,setup!$A$8:$H$58,5),VLOOKUP(N737,setup!$A$8:$H$58,8))</f>
        <v/>
      </c>
    </row>
    <row r="738" spans="1:15" x14ac:dyDescent="0.25">
      <c r="A738" s="29" t="s">
        <v>750</v>
      </c>
      <c r="N738">
        <f t="shared" si="5"/>
        <v>7</v>
      </c>
      <c r="O738" s="7" t="str">
        <f ca="1">getCodigoBackend(N738,A738,VLOOKUP(N738,setup!$A$8:$H$58,2),VLOOKUP(N738,setup!$A$8:$H$58,3),VLOOKUP(N738,setup!$A$8:$H$58,4),VLOOKUP(N738,setup!$A$8:$H$58,5),VLOOKUP(N738,setup!$A$8:$H$58,6),VLOOKUP(N738,setup!$A$8:$H$58,7), VLOOKUP(0,setup!$A$8:$H$58,2),VLOOKUP(0,setup!$A$8:$H$58,5),VLOOKUP(N738,setup!$A$8:$H$58,8))</f>
        <v xml:space="preserve">        // resposta padrão</v>
      </c>
    </row>
    <row r="739" spans="1:15" x14ac:dyDescent="0.25">
      <c r="A739" s="29" t="s">
        <v>404</v>
      </c>
      <c r="N739">
        <f t="shared" si="5"/>
        <v>7</v>
      </c>
      <c r="O739" s="7" t="str">
        <f ca="1">getCodigoBackend(N739,A739,VLOOKUP(N739,setup!$A$8:$H$58,2),VLOOKUP(N739,setup!$A$8:$H$58,3),VLOOKUP(N739,setup!$A$8:$H$58,4),VLOOKUP(N739,setup!$A$8:$H$58,5),VLOOKUP(N739,setup!$A$8:$H$58,6),VLOOKUP(N739,setup!$A$8:$H$58,7), VLOOKUP(0,setup!$A$8:$H$58,2),VLOOKUP(0,setup!$A$8:$H$58,5),VLOOKUP(N739,setup!$A$8:$H$58,8))</f>
        <v xml:space="preserve">        $retorno = new DTOPadrao();</v>
      </c>
    </row>
    <row r="740" spans="1:15" x14ac:dyDescent="0.25">
      <c r="A740" s="29"/>
      <c r="N740">
        <f t="shared" si="5"/>
        <v>7</v>
      </c>
      <c r="O740" s="7" t="str">
        <f ca="1">getCodigoBackend(N740,A740,VLOOKUP(N740,setup!$A$8:$H$58,2),VLOOKUP(N740,setup!$A$8:$H$58,3),VLOOKUP(N740,setup!$A$8:$H$58,4),VLOOKUP(N740,setup!$A$8:$H$58,5),VLOOKUP(N740,setup!$A$8:$H$58,6),VLOOKUP(N740,setup!$A$8:$H$58,7), VLOOKUP(0,setup!$A$8:$H$58,2),VLOOKUP(0,setup!$A$8:$H$58,5),VLOOKUP(N740,setup!$A$8:$H$58,8))</f>
        <v/>
      </c>
    </row>
    <row r="741" spans="1:15" x14ac:dyDescent="0.25">
      <c r="A741" s="29" t="s">
        <v>755</v>
      </c>
      <c r="N741">
        <f t="shared" si="5"/>
        <v>7</v>
      </c>
      <c r="O741" s="7" t="str">
        <f ca="1">getCodigoBackend(N741,A741,VLOOKUP(N741,setup!$A$8:$H$58,2),VLOOKUP(N741,setup!$A$8:$H$58,3),VLOOKUP(N741,setup!$A$8:$H$58,4),VLOOKUP(N741,setup!$A$8:$H$58,5),VLOOKUP(N741,setup!$A$8:$H$58,6),VLOOKUP(N741,setup!$A$8:$H$58,7), VLOOKUP(0,setup!$A$8:$H$58,2),VLOOKUP(0,setup!$A$8:$H$58,5),VLOOKUP(N741,setup!$A$8:$H$58,8))</f>
        <v xml:space="preserve">        if($dao-&gt;updateEstagiorealtime($id, $estagioRealTime)){   </v>
      </c>
    </row>
    <row r="742" spans="1:15" x14ac:dyDescent="0.25">
      <c r="A742" s="29" t="s">
        <v>751</v>
      </c>
      <c r="N742">
        <f t="shared" si="5"/>
        <v>7</v>
      </c>
      <c r="O742" s="7" t="str">
        <f ca="1">getCodigoBackend(N742,A742,VLOOKUP(N742,setup!$A$8:$H$58,2),VLOOKUP(N742,setup!$A$8:$H$58,3),VLOOKUP(N742,setup!$A$8:$H$58,4),VLOOKUP(N742,setup!$A$8:$H$58,5),VLOOKUP(N742,setup!$A$8:$H$58,6),VLOOKUP(N742,setup!$A$8:$H$58,7), VLOOKUP(0,setup!$A$8:$H$58,2),VLOOKUP(0,setup!$A$8:$H$58,5),VLOOKUP(N742,setup!$A$8:$H$58,8))</f>
        <v xml:space="preserve">            $retorno-&gt;msgcode = ConstantesMensagem::COMANDO_REALIZADO_COM_SUCESSO;</v>
      </c>
    </row>
    <row r="743" spans="1:15" x14ac:dyDescent="0.25">
      <c r="A743" s="29" t="s">
        <v>752</v>
      </c>
      <c r="N743">
        <f t="shared" si="5"/>
        <v>7</v>
      </c>
      <c r="O743" s="7" t="str">
        <f ca="1">getCodigoBackend(N743,A743,VLOOKUP(N743,setup!$A$8:$H$58,2),VLOOKUP(N743,setup!$A$8:$H$58,3),VLOOKUP(N743,setup!$A$8:$H$58,4),VLOOKUP(N743,setup!$A$8:$H$58,5),VLOOKUP(N743,setup!$A$8:$H$58,6),VLOOKUP(N743,setup!$A$8:$H$58,7), VLOOKUP(0,setup!$A$8:$H$58,2),VLOOKUP(0,setup!$A$8:$H$58,5),VLOOKUP(N743,setup!$A$8:$H$58,8))</f>
        <v xml:space="preserve">        }       </v>
      </c>
    </row>
    <row r="744" spans="1:15" x14ac:dyDescent="0.25">
      <c r="A744" s="29"/>
      <c r="N744">
        <f t="shared" si="5"/>
        <v>7</v>
      </c>
      <c r="O744" s="7" t="str">
        <f ca="1">getCodigoBackend(N744,A744,VLOOKUP(N744,setup!$A$8:$H$58,2),VLOOKUP(N744,setup!$A$8:$H$58,3),VLOOKUP(N744,setup!$A$8:$H$58,4),VLOOKUP(N744,setup!$A$8:$H$58,5),VLOOKUP(N744,setup!$A$8:$H$58,6),VLOOKUP(N744,setup!$A$8:$H$58,7), VLOOKUP(0,setup!$A$8:$H$58,2),VLOOKUP(0,setup!$A$8:$H$58,5),VLOOKUP(N744,setup!$A$8:$H$58,8))</f>
        <v/>
      </c>
    </row>
    <row r="745" spans="1:15" x14ac:dyDescent="0.25">
      <c r="A745" s="29" t="s">
        <v>753</v>
      </c>
      <c r="N745">
        <f t="shared" si="5"/>
        <v>7</v>
      </c>
      <c r="O745" s="7" t="str">
        <f ca="1">getCodigoBackend(N745,A745,VLOOKUP(N745,setup!$A$8:$H$58,2),VLOOKUP(N745,setup!$A$8:$H$58,3),VLOOKUP(N745,setup!$A$8:$H$58,4),VLOOKUP(N745,setup!$A$8:$H$58,5),VLOOKUP(N745,setup!$A$8:$H$58,6),VLOOKUP(N745,setup!$A$8:$H$58,7), VLOOKUP(0,setup!$A$8:$H$58,2),VLOOKUP(0,setup!$A$8:$H$58,5),VLOOKUP(N745,setup!$A$8:$H$58,8))</f>
        <v xml:space="preserve">        // Obtem o texto da mensagem em razão do código de retorno</v>
      </c>
    </row>
    <row r="746" spans="1:15" x14ac:dyDescent="0.25">
      <c r="A746" s="29" t="s">
        <v>405</v>
      </c>
      <c r="N746">
        <f t="shared" si="5"/>
        <v>7</v>
      </c>
      <c r="O746" s="7" t="str">
        <f ca="1">getCodigoBackend(N746,A746,VLOOKUP(N746,setup!$A$8:$H$58,2),VLOOKUP(N746,setup!$A$8:$H$58,3),VLOOKUP(N746,setup!$A$8:$H$58,4),VLOOKUP(N746,setup!$A$8:$H$58,5),VLOOKUP(N746,setup!$A$8:$H$58,6),VLOOKUP(N746,setup!$A$8:$H$58,7), VLOOKUP(0,setup!$A$8:$H$58,2),VLOOKUP(0,setup!$A$8:$H$58,5),VLOOKUP(N746,setup!$A$8:$H$58,8))</f>
        <v xml:space="preserve">        $retorno-&gt;msgcodeString = MensagemCache::getInstance()-&gt;getMensagem($retorno-&gt;msgcode);</v>
      </c>
    </row>
    <row r="747" spans="1:15" x14ac:dyDescent="0.25">
      <c r="A747" s="29"/>
      <c r="N747">
        <f t="shared" si="5"/>
        <v>7</v>
      </c>
      <c r="O747" s="7" t="str">
        <f ca="1">getCodigoBackend(N747,A747,VLOOKUP(N747,setup!$A$8:$H$58,2),VLOOKUP(N747,setup!$A$8:$H$58,3),VLOOKUP(N747,setup!$A$8:$H$58,4),VLOOKUP(N747,setup!$A$8:$H$58,5),VLOOKUP(N747,setup!$A$8:$H$58,6),VLOOKUP(N747,setup!$A$8:$H$58,7), VLOOKUP(0,setup!$A$8:$H$58,2),VLOOKUP(0,setup!$A$8:$H$58,5),VLOOKUP(N747,setup!$A$8:$H$58,8))</f>
        <v/>
      </c>
    </row>
    <row r="748" spans="1:15" x14ac:dyDescent="0.25">
      <c r="A748" s="29" t="s">
        <v>743</v>
      </c>
      <c r="N748">
        <f t="shared" si="5"/>
        <v>7</v>
      </c>
      <c r="O748" s="7" t="str">
        <f ca="1">getCodigoBackend(N748,A748,VLOOKUP(N748,setup!$A$8:$H$58,2),VLOOKUP(N748,setup!$A$8:$H$58,3),VLOOKUP(N748,setup!$A$8:$H$58,4),VLOOKUP(N748,setup!$A$8:$H$58,5),VLOOKUP(N748,setup!$A$8:$H$58,6),VLOOKUP(N748,setup!$A$8:$H$58,7), VLOOKUP(0,setup!$A$8:$H$58,2),VLOOKUP(0,setup!$A$8:$H$58,5),VLOOKUP(N748,setup!$A$8:$H$58,8))</f>
        <v xml:space="preserve">        return $retorno;</v>
      </c>
    </row>
    <row r="749" spans="1:15" x14ac:dyDescent="0.25">
      <c r="A749" s="29" t="s">
        <v>406</v>
      </c>
      <c r="N749">
        <f t="shared" si="5"/>
        <v>7</v>
      </c>
      <c r="O749" s="7" t="str">
        <f ca="1">getCodigoBackend(N749,A749,VLOOKUP(N749,setup!$A$8:$H$58,2),VLOOKUP(N749,setup!$A$8:$H$58,3),VLOOKUP(N749,setup!$A$8:$H$58,4),VLOOKUP(N749,setup!$A$8:$H$58,5),VLOOKUP(N749,setup!$A$8:$H$58,6),VLOOKUP(N749,setup!$A$8:$H$58,7), VLOOKUP(0,setup!$A$8:$H$58,2),VLOOKUP(0,setup!$A$8:$H$58,5),VLOOKUP(N749,setup!$A$8:$H$58,8))</f>
        <v xml:space="preserve">    }</v>
      </c>
    </row>
    <row r="750" spans="1:15" x14ac:dyDescent="0.25">
      <c r="A750" s="29"/>
      <c r="O750" s="7" t="str">
        <f ca="1">getCodigoBackend(N750,A750,VLOOKUP(N750,setup!$A$8:$H$58,2),VLOOKUP(N750,setup!$A$8:$H$58,3),VLOOKUP(N750,setup!$A$8:$H$58,4),VLOOKUP(N750,setup!$A$8:$H$58,5),VLOOKUP(N750,setup!$A$8:$H$58,6),VLOOKUP(N750,setup!$A$8:$H$58,7), VLOOKUP(0,setup!$A$8:$H$58,2),VLOOKUP(0,setup!$A$8:$H$58,5),VLOOKUP(N750,setup!$A$8:$H$58,8))</f>
        <v/>
      </c>
    </row>
    <row r="751" spans="1:15" x14ac:dyDescent="0.25">
      <c r="A751" s="4" t="s">
        <v>19</v>
      </c>
      <c r="N751">
        <f>N749+1</f>
        <v>8</v>
      </c>
      <c r="O751" s="7" t="str">
        <f ca="1">getCodigoBackend(N751,A751,VLOOKUP(N751,setup!$A$8:$H$58,2),VLOOKUP(N751,setup!$A$8:$H$58,3),VLOOKUP(N751,setup!$A$8:$H$58,4),VLOOKUP(N751,setup!$A$8:$H$58,5),VLOOKUP(N751,setup!$A$8:$H$58,6),VLOOKUP(N751,setup!$A$8:$H$58,7), VLOOKUP(0,setup!$A$8:$H$58,2),VLOOKUP(0,setup!$A$8:$H$58,5),VLOOKUP(N751,setup!$A$8:$H$58,8))</f>
        <v>/**</v>
      </c>
    </row>
    <row r="752" spans="1:15" x14ac:dyDescent="0.25">
      <c r="A752" s="4" t="s">
        <v>20</v>
      </c>
      <c r="N752">
        <f>N751</f>
        <v>8</v>
      </c>
      <c r="O752" s="7" t="str">
        <f ca="1">getCodigoBackend(N752,A752,VLOOKUP(N752,setup!$A$8:$H$58,2),VLOOKUP(N752,setup!$A$8:$H$58,3),VLOOKUP(N752,setup!$A$8:$H$58,4),VLOOKUP(N752,setup!$A$8:$H$58,5),VLOOKUP(N752,setup!$A$8:$H$58,6),VLOOKUP(N752,setup!$A$8:$H$58,7), VLOOKUP(0,setup!$A$8:$H$58,2),VLOOKUP(0,setup!$A$8:$H$58,5),VLOOKUP(N752,setup!$A$8:$H$58,8))</f>
        <v>*</v>
      </c>
    </row>
    <row r="753" spans="1:15" x14ac:dyDescent="0.25">
      <c r="A753" s="4" t="s">
        <v>744</v>
      </c>
      <c r="N753">
        <f t="shared" ref="N753:N777" si="6">N752</f>
        <v>8</v>
      </c>
      <c r="O753" s="7" t="str">
        <f ca="1">getCodigoBackend(N753,A753,VLOOKUP(N753,setup!$A$8:$H$58,2),VLOOKUP(N753,setup!$A$8:$H$58,3),VLOOKUP(N753,setup!$A$8:$H$58,4),VLOOKUP(N753,setup!$A$8:$H$58,5),VLOOKUP(N753,setup!$A$8:$H$58,6),VLOOKUP(N753,setup!$A$8:$H$58,7), VLOOKUP(0,setup!$A$8:$H$58,2),VLOOKUP(0,setup!$A$8:$H$58,5),VLOOKUP(N753,setup!$A$8:$H$58,8))</f>
        <v>* atualizarDtestagioanalisePorPK() - Usado para invocar a classe de negócio CampanhaCashbackResgatePixBusinessImpl de forma geral</v>
      </c>
    </row>
    <row r="754" spans="1:15" x14ac:dyDescent="0.25">
      <c r="A754" s="4" t="s">
        <v>745</v>
      </c>
      <c r="N754">
        <f t="shared" si="6"/>
        <v>8</v>
      </c>
      <c r="O754" s="7" t="str">
        <f ca="1">getCodigoBackend(N754,A754,VLOOKUP(N754,setup!$A$8:$H$58,2),VLOOKUP(N754,setup!$A$8:$H$58,3),VLOOKUP(N754,setup!$A$8:$H$58,4),VLOOKUP(N754,setup!$A$8:$H$58,5),VLOOKUP(N754,setup!$A$8:$H$58,6),VLOOKUP(N754,setup!$A$8:$H$58,7), VLOOKUP(0,setup!$A$8:$H$58,2),VLOOKUP(0,setup!$A$8:$H$58,5),VLOOKUP(N754,setup!$A$8:$H$58,8))</f>
        <v>* realizar uma atualização de Data Registro Estágio Análise diretamente na tabela CAMPANHA_CASHBACK_RESGATE_PIX campo CCRP_DT_ESTAGIO_ANALISE</v>
      </c>
    </row>
    <row r="755" spans="1:15" x14ac:dyDescent="0.25">
      <c r="A755" s="4" t="s">
        <v>361</v>
      </c>
      <c r="N755">
        <f t="shared" si="6"/>
        <v>8</v>
      </c>
      <c r="O755" s="7" t="str">
        <f ca="1">getCodigoBackend(N755,A755,VLOOKUP(N755,setup!$A$8:$H$58,2),VLOOKUP(N755,setup!$A$8:$H$58,3),VLOOKUP(N755,setup!$A$8:$H$58,4),VLOOKUP(N755,setup!$A$8:$H$58,5),VLOOKUP(N755,setup!$A$8:$H$58,6),VLOOKUP(N755,setup!$A$8:$H$58,7), VLOOKUP(0,setup!$A$8:$H$58,2),VLOOKUP(0,setup!$A$8:$H$58,5),VLOOKUP(N755,setup!$A$8:$H$58,8))</f>
        <v>* @param $daofactory</v>
      </c>
    </row>
    <row r="756" spans="1:15" x14ac:dyDescent="0.25">
      <c r="A756" s="4" t="s">
        <v>346</v>
      </c>
      <c r="N756">
        <f t="shared" si="6"/>
        <v>8</v>
      </c>
      <c r="O756" s="7" t="str">
        <f ca="1">getCodigoBackend(N756,A756,VLOOKUP(N756,setup!$A$8:$H$58,2),VLOOKUP(N756,setup!$A$8:$H$58,3),VLOOKUP(N756,setup!$A$8:$H$58,4),VLOOKUP(N756,setup!$A$8:$H$58,5),VLOOKUP(N756,setup!$A$8:$H$58,6),VLOOKUP(N756,setup!$A$8:$H$58,7), VLOOKUP(0,setup!$A$8:$H$58,2),VLOOKUP(0,setup!$A$8:$H$58,5),VLOOKUP(N756,setup!$A$8:$H$58,8))</f>
        <v>* @param $id</v>
      </c>
    </row>
    <row r="757" spans="1:15" x14ac:dyDescent="0.25">
      <c r="A757" s="4" t="s">
        <v>723</v>
      </c>
      <c r="N757">
        <f t="shared" si="6"/>
        <v>8</v>
      </c>
      <c r="O757" s="7" t="str">
        <f ca="1">getCodigoBackend(N757,A757,VLOOKUP(N757,setup!$A$8:$H$58,2),VLOOKUP(N757,setup!$A$8:$H$58,3),VLOOKUP(N757,setup!$A$8:$H$58,4),VLOOKUP(N757,setup!$A$8:$H$58,5),VLOOKUP(N757,setup!$A$8:$H$58,6),VLOOKUP(N757,setup!$A$8:$H$58,7), VLOOKUP(0,setup!$A$8:$H$58,2),VLOOKUP(0,setup!$A$8:$H$58,5),VLOOKUP(N757,setup!$A$8:$H$58,8))</f>
        <v>* @param $dtEstagioAnalise</v>
      </c>
    </row>
    <row r="758" spans="1:15" x14ac:dyDescent="0.25">
      <c r="A758" s="4" t="s">
        <v>347</v>
      </c>
      <c r="N758">
        <f t="shared" si="6"/>
        <v>8</v>
      </c>
      <c r="O758" s="7" t="str">
        <f ca="1">getCodigoBackend(N758,A758,VLOOKUP(N758,setup!$A$8:$H$58,2),VLOOKUP(N758,setup!$A$8:$H$58,3),VLOOKUP(N758,setup!$A$8:$H$58,4),VLOOKUP(N758,setup!$A$8:$H$58,5),VLOOKUP(N758,setup!$A$8:$H$58,6),VLOOKUP(N758,setup!$A$8:$H$58,7), VLOOKUP(0,setup!$A$8:$H$58,2),VLOOKUP(0,setup!$A$8:$H$58,5),VLOOKUP(N758,setup!$A$8:$H$58,8))</f>
        <v>* @return CampanhaCashbackResgatePixDTO</v>
      </c>
    </row>
    <row r="759" spans="1:15" x14ac:dyDescent="0.25">
      <c r="A759" s="4" t="s">
        <v>20</v>
      </c>
      <c r="N759">
        <f t="shared" si="6"/>
        <v>8</v>
      </c>
      <c r="O759" s="7" t="str">
        <f ca="1">getCodigoBackend(N759,A759,VLOOKUP(N759,setup!$A$8:$H$58,2),VLOOKUP(N759,setup!$A$8:$H$58,3),VLOOKUP(N759,setup!$A$8:$H$58,4),VLOOKUP(N759,setup!$A$8:$H$58,5),VLOOKUP(N759,setup!$A$8:$H$58,6),VLOOKUP(N759,setup!$A$8:$H$58,7), VLOOKUP(0,setup!$A$8:$H$58,2),VLOOKUP(0,setup!$A$8:$H$58,5),VLOOKUP(N759,setup!$A$8:$H$58,8))</f>
        <v>*</v>
      </c>
    </row>
    <row r="760" spans="1:15" x14ac:dyDescent="0.25">
      <c r="A760" s="4" t="s">
        <v>75</v>
      </c>
      <c r="N760">
        <f t="shared" si="6"/>
        <v>8</v>
      </c>
      <c r="O760" s="7" t="str">
        <f ca="1">getCodigoBackend(N760,A760,VLOOKUP(N760,setup!$A$8:$H$58,2),VLOOKUP(N760,setup!$A$8:$H$58,3),VLOOKUP(N760,setup!$A$8:$H$58,4),VLOOKUP(N760,setup!$A$8:$H$58,5),VLOOKUP(N760,setup!$A$8:$H$58,6),VLOOKUP(N760,setup!$A$8:$H$58,7), VLOOKUP(0,setup!$A$8:$H$58,2),VLOOKUP(0,setup!$A$8:$H$58,5),VLOOKUP(N760,setup!$A$8:$H$58,8))</f>
        <v xml:space="preserve">* </v>
      </c>
    </row>
    <row r="761" spans="1:15" x14ac:dyDescent="0.25">
      <c r="A761" s="4" t="s">
        <v>21</v>
      </c>
      <c r="N761">
        <f t="shared" si="6"/>
        <v>8</v>
      </c>
      <c r="O761" s="7" t="str">
        <f ca="1">getCodigoBackend(N761,A761,VLOOKUP(N761,setup!$A$8:$H$58,2),VLOOKUP(N761,setup!$A$8:$H$58,3),VLOOKUP(N761,setup!$A$8:$H$58,4),VLOOKUP(N761,setup!$A$8:$H$58,5),VLOOKUP(N761,setup!$A$8:$H$58,6),VLOOKUP(N761,setup!$A$8:$H$58,7), VLOOKUP(0,setup!$A$8:$H$58,2),VLOOKUP(0,setup!$A$8:$H$58,5),VLOOKUP(N761,setup!$A$8:$H$58,8))</f>
        <v>*/</v>
      </c>
    </row>
    <row r="762" spans="1:15" x14ac:dyDescent="0.25">
      <c r="A762" s="29" t="s">
        <v>783</v>
      </c>
      <c r="N762">
        <f t="shared" si="6"/>
        <v>8</v>
      </c>
      <c r="O762" s="7" t="str">
        <f ca="1">getCodigoBackend(N762,A762,VLOOKUP(N762,setup!$A$8:$H$58,2),VLOOKUP(N762,setup!$A$8:$H$58,3),VLOOKUP(N762,setup!$A$8:$H$58,4),VLOOKUP(N762,setup!$A$8:$H$58,5),VLOOKUP(N762,setup!$A$8:$H$58,6),VLOOKUP(N762,setup!$A$8:$H$58,7), VLOOKUP(0,setup!$A$8:$H$58,2),VLOOKUP(0,setup!$A$8:$H$58,5),VLOOKUP(N762,setup!$A$8:$H$58,8))</f>
        <v xml:space="preserve">    public function atualizarDtestagioanalisePorPK($daofactory,$dtEstagioAnalise,$id)</v>
      </c>
    </row>
    <row r="763" spans="1:15" x14ac:dyDescent="0.25">
      <c r="A763" s="29" t="s">
        <v>379</v>
      </c>
      <c r="N763">
        <f t="shared" si="6"/>
        <v>8</v>
      </c>
      <c r="O763" s="7" t="str">
        <f ca="1">getCodigoBackend(N763,A763,VLOOKUP(N763,setup!$A$8:$H$58,2),VLOOKUP(N763,setup!$A$8:$H$58,3),VLOOKUP(N763,setup!$A$8:$H$58,4),VLOOKUP(N763,setup!$A$8:$H$58,5),VLOOKUP(N763,setup!$A$8:$H$58,6),VLOOKUP(N763,setup!$A$8:$H$58,7), VLOOKUP(0,setup!$A$8:$H$58,2),VLOOKUP(0,setup!$A$8:$H$58,5),VLOOKUP(N763,setup!$A$8:$H$58,8))</f>
        <v xml:space="preserve">    {</v>
      </c>
    </row>
    <row r="764" spans="1:15" x14ac:dyDescent="0.25">
      <c r="A764" s="29" t="s">
        <v>754</v>
      </c>
      <c r="N764">
        <f t="shared" si="6"/>
        <v>8</v>
      </c>
      <c r="O764" s="7" t="str">
        <f ca="1">getCodigoBackend(N764,A764,VLOOKUP(N764,setup!$A$8:$H$58,2),VLOOKUP(N764,setup!$A$8:$H$58,3),VLOOKUP(N764,setup!$A$8:$H$58,4),VLOOKUP(N764,setup!$A$8:$H$58,5),VLOOKUP(N764,setup!$A$8:$H$58,6),VLOOKUP(N764,setup!$A$8:$H$58,7), VLOOKUP(0,setup!$A$8:$H$58,2),VLOOKUP(0,setup!$A$8:$H$58,5),VLOOKUP(N764,setup!$A$8:$H$58,8))</f>
        <v xml:space="preserve">        $dao = $daofactory-&gt;getCampanhaCashbackResgatePixDAO($daofactory);</v>
      </c>
    </row>
    <row r="765" spans="1:15" x14ac:dyDescent="0.25">
      <c r="A765" s="29"/>
      <c r="N765">
        <f t="shared" si="6"/>
        <v>8</v>
      </c>
      <c r="O765" s="7" t="str">
        <f ca="1">getCodigoBackend(N765,A765,VLOOKUP(N765,setup!$A$8:$H$58,2),VLOOKUP(N765,setup!$A$8:$H$58,3),VLOOKUP(N765,setup!$A$8:$H$58,4),VLOOKUP(N765,setup!$A$8:$H$58,5),VLOOKUP(N765,setup!$A$8:$H$58,6),VLOOKUP(N765,setup!$A$8:$H$58,7), VLOOKUP(0,setup!$A$8:$H$58,2),VLOOKUP(0,setup!$A$8:$H$58,5),VLOOKUP(N765,setup!$A$8:$H$58,8))</f>
        <v/>
      </c>
    </row>
    <row r="766" spans="1:15" x14ac:dyDescent="0.25">
      <c r="A766" s="29" t="s">
        <v>750</v>
      </c>
      <c r="N766">
        <f t="shared" si="6"/>
        <v>8</v>
      </c>
      <c r="O766" s="7" t="str">
        <f ca="1">getCodigoBackend(N766,A766,VLOOKUP(N766,setup!$A$8:$H$58,2),VLOOKUP(N766,setup!$A$8:$H$58,3),VLOOKUP(N766,setup!$A$8:$H$58,4),VLOOKUP(N766,setup!$A$8:$H$58,5),VLOOKUP(N766,setup!$A$8:$H$58,6),VLOOKUP(N766,setup!$A$8:$H$58,7), VLOOKUP(0,setup!$A$8:$H$58,2),VLOOKUP(0,setup!$A$8:$H$58,5),VLOOKUP(N766,setup!$A$8:$H$58,8))</f>
        <v xml:space="preserve">        // resposta padrão</v>
      </c>
    </row>
    <row r="767" spans="1:15" x14ac:dyDescent="0.25">
      <c r="A767" s="29" t="s">
        <v>404</v>
      </c>
      <c r="N767">
        <f t="shared" si="6"/>
        <v>8</v>
      </c>
      <c r="O767" s="7" t="str">
        <f ca="1">getCodigoBackend(N767,A767,VLOOKUP(N767,setup!$A$8:$H$58,2),VLOOKUP(N767,setup!$A$8:$H$58,3),VLOOKUP(N767,setup!$A$8:$H$58,4),VLOOKUP(N767,setup!$A$8:$H$58,5),VLOOKUP(N767,setup!$A$8:$H$58,6),VLOOKUP(N767,setup!$A$8:$H$58,7), VLOOKUP(0,setup!$A$8:$H$58,2),VLOOKUP(0,setup!$A$8:$H$58,5),VLOOKUP(N767,setup!$A$8:$H$58,8))</f>
        <v xml:space="preserve">        $retorno = new DTOPadrao();</v>
      </c>
    </row>
    <row r="768" spans="1:15" x14ac:dyDescent="0.25">
      <c r="A768" s="29"/>
      <c r="N768">
        <f t="shared" si="6"/>
        <v>8</v>
      </c>
      <c r="O768" s="7" t="str">
        <f ca="1">getCodigoBackend(N768,A768,VLOOKUP(N768,setup!$A$8:$H$58,2),VLOOKUP(N768,setup!$A$8:$H$58,3),VLOOKUP(N768,setup!$A$8:$H$58,4),VLOOKUP(N768,setup!$A$8:$H$58,5),VLOOKUP(N768,setup!$A$8:$H$58,6),VLOOKUP(N768,setup!$A$8:$H$58,7), VLOOKUP(0,setup!$A$8:$H$58,2),VLOOKUP(0,setup!$A$8:$H$58,5),VLOOKUP(N768,setup!$A$8:$H$58,8))</f>
        <v/>
      </c>
    </row>
    <row r="769" spans="1:15" x14ac:dyDescent="0.25">
      <c r="A769" s="29" t="s">
        <v>755</v>
      </c>
      <c r="N769">
        <f t="shared" si="6"/>
        <v>8</v>
      </c>
      <c r="O769" s="7" t="str">
        <f ca="1">getCodigoBackend(N769,A769,VLOOKUP(N769,setup!$A$8:$H$58,2),VLOOKUP(N769,setup!$A$8:$H$58,3),VLOOKUP(N769,setup!$A$8:$H$58,4),VLOOKUP(N769,setup!$A$8:$H$58,5),VLOOKUP(N769,setup!$A$8:$H$58,6),VLOOKUP(N769,setup!$A$8:$H$58,7), VLOOKUP(0,setup!$A$8:$H$58,2),VLOOKUP(0,setup!$A$8:$H$58,5),VLOOKUP(N769,setup!$A$8:$H$58,8))</f>
        <v xml:space="preserve">        if($dao-&gt;updateDtestagioanalise($id, $dtEstagioAnalise)){   </v>
      </c>
    </row>
    <row r="770" spans="1:15" x14ac:dyDescent="0.25">
      <c r="A770" s="29" t="s">
        <v>751</v>
      </c>
      <c r="N770">
        <f t="shared" si="6"/>
        <v>8</v>
      </c>
      <c r="O770" s="7" t="str">
        <f ca="1">getCodigoBackend(N770,A770,VLOOKUP(N770,setup!$A$8:$H$58,2),VLOOKUP(N770,setup!$A$8:$H$58,3),VLOOKUP(N770,setup!$A$8:$H$58,4),VLOOKUP(N770,setup!$A$8:$H$58,5),VLOOKUP(N770,setup!$A$8:$H$58,6),VLOOKUP(N770,setup!$A$8:$H$58,7), VLOOKUP(0,setup!$A$8:$H$58,2),VLOOKUP(0,setup!$A$8:$H$58,5),VLOOKUP(N770,setup!$A$8:$H$58,8))</f>
        <v xml:space="preserve">            $retorno-&gt;msgcode = ConstantesMensagem::COMANDO_REALIZADO_COM_SUCESSO;</v>
      </c>
    </row>
    <row r="771" spans="1:15" x14ac:dyDescent="0.25">
      <c r="A771" s="29" t="s">
        <v>752</v>
      </c>
      <c r="N771">
        <f t="shared" si="6"/>
        <v>8</v>
      </c>
      <c r="O771" s="7" t="str">
        <f ca="1">getCodigoBackend(N771,A771,VLOOKUP(N771,setup!$A$8:$H$58,2),VLOOKUP(N771,setup!$A$8:$H$58,3),VLOOKUP(N771,setup!$A$8:$H$58,4),VLOOKUP(N771,setup!$A$8:$H$58,5),VLOOKUP(N771,setup!$A$8:$H$58,6),VLOOKUP(N771,setup!$A$8:$H$58,7), VLOOKUP(0,setup!$A$8:$H$58,2),VLOOKUP(0,setup!$A$8:$H$58,5),VLOOKUP(N771,setup!$A$8:$H$58,8))</f>
        <v xml:space="preserve">        }       </v>
      </c>
    </row>
    <row r="772" spans="1:15" x14ac:dyDescent="0.25">
      <c r="A772" s="29"/>
      <c r="N772">
        <f t="shared" si="6"/>
        <v>8</v>
      </c>
      <c r="O772" s="7" t="str">
        <f ca="1">getCodigoBackend(N772,A772,VLOOKUP(N772,setup!$A$8:$H$58,2),VLOOKUP(N772,setup!$A$8:$H$58,3),VLOOKUP(N772,setup!$A$8:$H$58,4),VLOOKUP(N772,setup!$A$8:$H$58,5),VLOOKUP(N772,setup!$A$8:$H$58,6),VLOOKUP(N772,setup!$A$8:$H$58,7), VLOOKUP(0,setup!$A$8:$H$58,2),VLOOKUP(0,setup!$A$8:$H$58,5),VLOOKUP(N772,setup!$A$8:$H$58,8))</f>
        <v/>
      </c>
    </row>
    <row r="773" spans="1:15" x14ac:dyDescent="0.25">
      <c r="A773" s="29" t="s">
        <v>753</v>
      </c>
      <c r="N773">
        <f t="shared" si="6"/>
        <v>8</v>
      </c>
      <c r="O773" s="7" t="str">
        <f ca="1">getCodigoBackend(N773,A773,VLOOKUP(N773,setup!$A$8:$H$58,2),VLOOKUP(N773,setup!$A$8:$H$58,3),VLOOKUP(N773,setup!$A$8:$H$58,4),VLOOKUP(N773,setup!$A$8:$H$58,5),VLOOKUP(N773,setup!$A$8:$H$58,6),VLOOKUP(N773,setup!$A$8:$H$58,7), VLOOKUP(0,setup!$A$8:$H$58,2),VLOOKUP(0,setup!$A$8:$H$58,5),VLOOKUP(N773,setup!$A$8:$H$58,8))</f>
        <v xml:space="preserve">        // Obtem o texto da mensagem em razão do código de retorno</v>
      </c>
    </row>
    <row r="774" spans="1:15" x14ac:dyDescent="0.25">
      <c r="A774" s="29" t="s">
        <v>405</v>
      </c>
      <c r="N774">
        <f t="shared" si="6"/>
        <v>8</v>
      </c>
      <c r="O774" s="7" t="str">
        <f ca="1">getCodigoBackend(N774,A774,VLOOKUP(N774,setup!$A$8:$H$58,2),VLOOKUP(N774,setup!$A$8:$H$58,3),VLOOKUP(N774,setup!$A$8:$H$58,4),VLOOKUP(N774,setup!$A$8:$H$58,5),VLOOKUP(N774,setup!$A$8:$H$58,6),VLOOKUP(N774,setup!$A$8:$H$58,7), VLOOKUP(0,setup!$A$8:$H$58,2),VLOOKUP(0,setup!$A$8:$H$58,5),VLOOKUP(N774,setup!$A$8:$H$58,8))</f>
        <v xml:space="preserve">        $retorno-&gt;msgcodeString = MensagemCache::getInstance()-&gt;getMensagem($retorno-&gt;msgcode);</v>
      </c>
    </row>
    <row r="775" spans="1:15" x14ac:dyDescent="0.25">
      <c r="A775" s="29"/>
      <c r="N775">
        <f t="shared" si="6"/>
        <v>8</v>
      </c>
      <c r="O775" s="7" t="str">
        <f ca="1">getCodigoBackend(N775,A775,VLOOKUP(N775,setup!$A$8:$H$58,2),VLOOKUP(N775,setup!$A$8:$H$58,3),VLOOKUP(N775,setup!$A$8:$H$58,4),VLOOKUP(N775,setup!$A$8:$H$58,5),VLOOKUP(N775,setup!$A$8:$H$58,6),VLOOKUP(N775,setup!$A$8:$H$58,7), VLOOKUP(0,setup!$A$8:$H$58,2),VLOOKUP(0,setup!$A$8:$H$58,5),VLOOKUP(N775,setup!$A$8:$H$58,8))</f>
        <v/>
      </c>
    </row>
    <row r="776" spans="1:15" x14ac:dyDescent="0.25">
      <c r="A776" s="29" t="s">
        <v>743</v>
      </c>
      <c r="N776">
        <f t="shared" si="6"/>
        <v>8</v>
      </c>
      <c r="O776" s="7" t="str">
        <f ca="1">getCodigoBackend(N776,A776,VLOOKUP(N776,setup!$A$8:$H$58,2),VLOOKUP(N776,setup!$A$8:$H$58,3),VLOOKUP(N776,setup!$A$8:$H$58,4),VLOOKUP(N776,setup!$A$8:$H$58,5),VLOOKUP(N776,setup!$A$8:$H$58,6),VLOOKUP(N776,setup!$A$8:$H$58,7), VLOOKUP(0,setup!$A$8:$H$58,2),VLOOKUP(0,setup!$A$8:$H$58,5),VLOOKUP(N776,setup!$A$8:$H$58,8))</f>
        <v xml:space="preserve">        return $retorno;</v>
      </c>
    </row>
    <row r="777" spans="1:15" x14ac:dyDescent="0.25">
      <c r="A777" s="29" t="s">
        <v>406</v>
      </c>
      <c r="N777">
        <f t="shared" si="6"/>
        <v>8</v>
      </c>
      <c r="O777" s="7" t="str">
        <f ca="1">getCodigoBackend(N777,A777,VLOOKUP(N777,setup!$A$8:$H$58,2),VLOOKUP(N777,setup!$A$8:$H$58,3),VLOOKUP(N777,setup!$A$8:$H$58,4),VLOOKUP(N777,setup!$A$8:$H$58,5),VLOOKUP(N777,setup!$A$8:$H$58,6),VLOOKUP(N777,setup!$A$8:$H$58,7), VLOOKUP(0,setup!$A$8:$H$58,2),VLOOKUP(0,setup!$A$8:$H$58,5),VLOOKUP(N777,setup!$A$8:$H$58,8))</f>
        <v xml:space="preserve">    }</v>
      </c>
    </row>
    <row r="778" spans="1:15" x14ac:dyDescent="0.25">
      <c r="A778" s="29"/>
      <c r="O778" s="7" t="str">
        <f ca="1">getCodigoBackend(N778,A778,VLOOKUP(N778,setup!$A$8:$H$58,2),VLOOKUP(N778,setup!$A$8:$H$58,3),VLOOKUP(N778,setup!$A$8:$H$58,4),VLOOKUP(N778,setup!$A$8:$H$58,5),VLOOKUP(N778,setup!$A$8:$H$58,6),VLOOKUP(N778,setup!$A$8:$H$58,7), VLOOKUP(0,setup!$A$8:$H$58,2),VLOOKUP(0,setup!$A$8:$H$58,5),VLOOKUP(N778,setup!$A$8:$H$58,8))</f>
        <v/>
      </c>
    </row>
    <row r="779" spans="1:15" x14ac:dyDescent="0.25">
      <c r="A779" s="4" t="s">
        <v>19</v>
      </c>
      <c r="N779">
        <f>N777+1</f>
        <v>9</v>
      </c>
      <c r="O779" s="7" t="str">
        <f ca="1">getCodigoBackend(N779,A779,VLOOKUP(N779,setup!$A$8:$H$58,2),VLOOKUP(N779,setup!$A$8:$H$58,3),VLOOKUP(N779,setup!$A$8:$H$58,4),VLOOKUP(N779,setup!$A$8:$H$58,5),VLOOKUP(N779,setup!$A$8:$H$58,6),VLOOKUP(N779,setup!$A$8:$H$58,7), VLOOKUP(0,setup!$A$8:$H$58,2),VLOOKUP(0,setup!$A$8:$H$58,5),VLOOKUP(N779,setup!$A$8:$H$58,8))</f>
        <v>/**</v>
      </c>
    </row>
    <row r="780" spans="1:15" x14ac:dyDescent="0.25">
      <c r="A780" s="4" t="s">
        <v>20</v>
      </c>
      <c r="N780">
        <f>N779</f>
        <v>9</v>
      </c>
      <c r="O780" s="7" t="str">
        <f ca="1">getCodigoBackend(N780,A780,VLOOKUP(N780,setup!$A$8:$H$58,2),VLOOKUP(N780,setup!$A$8:$H$58,3),VLOOKUP(N780,setup!$A$8:$H$58,4),VLOOKUP(N780,setup!$A$8:$H$58,5),VLOOKUP(N780,setup!$A$8:$H$58,6),VLOOKUP(N780,setup!$A$8:$H$58,7), VLOOKUP(0,setup!$A$8:$H$58,2),VLOOKUP(0,setup!$A$8:$H$58,5),VLOOKUP(N780,setup!$A$8:$H$58,8))</f>
        <v>*</v>
      </c>
    </row>
    <row r="781" spans="1:15" x14ac:dyDescent="0.25">
      <c r="A781" s="4" t="s">
        <v>744</v>
      </c>
      <c r="N781">
        <f t="shared" ref="N781:N805" si="7">N780</f>
        <v>9</v>
      </c>
      <c r="O781" s="7" t="str">
        <f ca="1">getCodigoBackend(N781,A781,VLOOKUP(N781,setup!$A$8:$H$58,2),VLOOKUP(N781,setup!$A$8:$H$58,3),VLOOKUP(N781,setup!$A$8:$H$58,4),VLOOKUP(N781,setup!$A$8:$H$58,5),VLOOKUP(N781,setup!$A$8:$H$58,6),VLOOKUP(N781,setup!$A$8:$H$58,7), VLOOKUP(0,setup!$A$8:$H$58,2),VLOOKUP(0,setup!$A$8:$H$58,5),VLOOKUP(N781,setup!$A$8:$H$58,8))</f>
        <v>* atualizarDtestagiofinanceiroPorPK() - Usado para invocar a classe de negócio CampanhaCashbackResgatePixBusinessImpl de forma geral</v>
      </c>
    </row>
    <row r="782" spans="1:15" x14ac:dyDescent="0.25">
      <c r="A782" s="4" t="s">
        <v>745</v>
      </c>
      <c r="N782">
        <f t="shared" si="7"/>
        <v>9</v>
      </c>
      <c r="O782" s="7" t="str">
        <f ca="1">getCodigoBackend(N782,A782,VLOOKUP(N782,setup!$A$8:$H$58,2),VLOOKUP(N782,setup!$A$8:$H$58,3),VLOOKUP(N782,setup!$A$8:$H$58,4),VLOOKUP(N782,setup!$A$8:$H$58,5),VLOOKUP(N782,setup!$A$8:$H$58,6),VLOOKUP(N782,setup!$A$8:$H$58,7), VLOOKUP(0,setup!$A$8:$H$58,2),VLOOKUP(0,setup!$A$8:$H$58,5),VLOOKUP(N782,setup!$A$8:$H$58,8))</f>
        <v>* realizar uma atualização de Data Registro Estágio Financeiro diretamente na tabela CAMPANHA_CASHBACK_RESGATE_PIX campo CCRP_DT_ESTAGIO_FINANCEIRO</v>
      </c>
    </row>
    <row r="783" spans="1:15" x14ac:dyDescent="0.25">
      <c r="A783" s="4" t="s">
        <v>361</v>
      </c>
      <c r="N783">
        <f t="shared" si="7"/>
        <v>9</v>
      </c>
      <c r="O783" s="7" t="str">
        <f ca="1">getCodigoBackend(N783,A783,VLOOKUP(N783,setup!$A$8:$H$58,2),VLOOKUP(N783,setup!$A$8:$H$58,3),VLOOKUP(N783,setup!$A$8:$H$58,4),VLOOKUP(N783,setup!$A$8:$H$58,5),VLOOKUP(N783,setup!$A$8:$H$58,6),VLOOKUP(N783,setup!$A$8:$H$58,7), VLOOKUP(0,setup!$A$8:$H$58,2),VLOOKUP(0,setup!$A$8:$H$58,5),VLOOKUP(N783,setup!$A$8:$H$58,8))</f>
        <v>* @param $daofactory</v>
      </c>
    </row>
    <row r="784" spans="1:15" x14ac:dyDescent="0.25">
      <c r="A784" s="4" t="s">
        <v>346</v>
      </c>
      <c r="N784">
        <f t="shared" si="7"/>
        <v>9</v>
      </c>
      <c r="O784" s="7" t="str">
        <f ca="1">getCodigoBackend(N784,A784,VLOOKUP(N784,setup!$A$8:$H$58,2),VLOOKUP(N784,setup!$A$8:$H$58,3),VLOOKUP(N784,setup!$A$8:$H$58,4),VLOOKUP(N784,setup!$A$8:$H$58,5),VLOOKUP(N784,setup!$A$8:$H$58,6),VLOOKUP(N784,setup!$A$8:$H$58,7), VLOOKUP(0,setup!$A$8:$H$58,2),VLOOKUP(0,setup!$A$8:$H$58,5),VLOOKUP(N784,setup!$A$8:$H$58,8))</f>
        <v>* @param $id</v>
      </c>
    </row>
    <row r="785" spans="1:15" x14ac:dyDescent="0.25">
      <c r="A785" s="4" t="s">
        <v>723</v>
      </c>
      <c r="N785">
        <f t="shared" si="7"/>
        <v>9</v>
      </c>
      <c r="O785" s="7" t="str">
        <f ca="1">getCodigoBackend(N785,A785,VLOOKUP(N785,setup!$A$8:$H$58,2),VLOOKUP(N785,setup!$A$8:$H$58,3),VLOOKUP(N785,setup!$A$8:$H$58,4),VLOOKUP(N785,setup!$A$8:$H$58,5),VLOOKUP(N785,setup!$A$8:$H$58,6),VLOOKUP(N785,setup!$A$8:$H$58,7), VLOOKUP(0,setup!$A$8:$H$58,2),VLOOKUP(0,setup!$A$8:$H$58,5),VLOOKUP(N785,setup!$A$8:$H$58,8))</f>
        <v>* @param $dtEstagioFinanceiro</v>
      </c>
    </row>
    <row r="786" spans="1:15" x14ac:dyDescent="0.25">
      <c r="A786" s="4" t="s">
        <v>347</v>
      </c>
      <c r="N786">
        <f t="shared" si="7"/>
        <v>9</v>
      </c>
      <c r="O786" s="7" t="str">
        <f ca="1">getCodigoBackend(N786,A786,VLOOKUP(N786,setup!$A$8:$H$58,2),VLOOKUP(N786,setup!$A$8:$H$58,3),VLOOKUP(N786,setup!$A$8:$H$58,4),VLOOKUP(N786,setup!$A$8:$H$58,5),VLOOKUP(N786,setup!$A$8:$H$58,6),VLOOKUP(N786,setup!$A$8:$H$58,7), VLOOKUP(0,setup!$A$8:$H$58,2),VLOOKUP(0,setup!$A$8:$H$58,5),VLOOKUP(N786,setup!$A$8:$H$58,8))</f>
        <v>* @return CampanhaCashbackResgatePixDTO</v>
      </c>
    </row>
    <row r="787" spans="1:15" x14ac:dyDescent="0.25">
      <c r="A787" s="4" t="s">
        <v>20</v>
      </c>
      <c r="N787">
        <f t="shared" si="7"/>
        <v>9</v>
      </c>
      <c r="O787" s="7" t="str">
        <f ca="1">getCodigoBackend(N787,A787,VLOOKUP(N787,setup!$A$8:$H$58,2),VLOOKUP(N787,setup!$A$8:$H$58,3),VLOOKUP(N787,setup!$A$8:$H$58,4),VLOOKUP(N787,setup!$A$8:$H$58,5),VLOOKUP(N787,setup!$A$8:$H$58,6),VLOOKUP(N787,setup!$A$8:$H$58,7), VLOOKUP(0,setup!$A$8:$H$58,2),VLOOKUP(0,setup!$A$8:$H$58,5),VLOOKUP(N787,setup!$A$8:$H$58,8))</f>
        <v>*</v>
      </c>
    </row>
    <row r="788" spans="1:15" x14ac:dyDescent="0.25">
      <c r="A788" s="4" t="s">
        <v>75</v>
      </c>
      <c r="N788">
        <f t="shared" si="7"/>
        <v>9</v>
      </c>
      <c r="O788" s="7" t="str">
        <f ca="1">getCodigoBackend(N788,A788,VLOOKUP(N788,setup!$A$8:$H$58,2),VLOOKUP(N788,setup!$A$8:$H$58,3),VLOOKUP(N788,setup!$A$8:$H$58,4),VLOOKUP(N788,setup!$A$8:$H$58,5),VLOOKUP(N788,setup!$A$8:$H$58,6),VLOOKUP(N788,setup!$A$8:$H$58,7), VLOOKUP(0,setup!$A$8:$H$58,2),VLOOKUP(0,setup!$A$8:$H$58,5),VLOOKUP(N788,setup!$A$8:$H$58,8))</f>
        <v xml:space="preserve">* </v>
      </c>
    </row>
    <row r="789" spans="1:15" x14ac:dyDescent="0.25">
      <c r="A789" s="4" t="s">
        <v>21</v>
      </c>
      <c r="N789">
        <f t="shared" si="7"/>
        <v>9</v>
      </c>
      <c r="O789" s="7" t="str">
        <f ca="1">getCodigoBackend(N789,A789,VLOOKUP(N789,setup!$A$8:$H$58,2),VLOOKUP(N789,setup!$A$8:$H$58,3),VLOOKUP(N789,setup!$A$8:$H$58,4),VLOOKUP(N789,setup!$A$8:$H$58,5),VLOOKUP(N789,setup!$A$8:$H$58,6),VLOOKUP(N789,setup!$A$8:$H$58,7), VLOOKUP(0,setup!$A$8:$H$58,2),VLOOKUP(0,setup!$A$8:$H$58,5),VLOOKUP(N789,setup!$A$8:$H$58,8))</f>
        <v>*/</v>
      </c>
    </row>
    <row r="790" spans="1:15" x14ac:dyDescent="0.25">
      <c r="A790" s="29" t="s">
        <v>783</v>
      </c>
      <c r="N790">
        <f t="shared" si="7"/>
        <v>9</v>
      </c>
      <c r="O790" s="7" t="str">
        <f ca="1">getCodigoBackend(N790,A790,VLOOKUP(N790,setup!$A$8:$H$58,2),VLOOKUP(N790,setup!$A$8:$H$58,3),VLOOKUP(N790,setup!$A$8:$H$58,4),VLOOKUP(N790,setup!$A$8:$H$58,5),VLOOKUP(N790,setup!$A$8:$H$58,6),VLOOKUP(N790,setup!$A$8:$H$58,7), VLOOKUP(0,setup!$A$8:$H$58,2),VLOOKUP(0,setup!$A$8:$H$58,5),VLOOKUP(N790,setup!$A$8:$H$58,8))</f>
        <v xml:space="preserve">    public function atualizarDtestagiofinanceiroPorPK($daofactory,$dtEstagioFinanceiro,$id)</v>
      </c>
    </row>
    <row r="791" spans="1:15" x14ac:dyDescent="0.25">
      <c r="A791" s="29" t="s">
        <v>379</v>
      </c>
      <c r="N791">
        <f t="shared" si="7"/>
        <v>9</v>
      </c>
      <c r="O791" s="7" t="str">
        <f ca="1">getCodigoBackend(N791,A791,VLOOKUP(N791,setup!$A$8:$H$58,2),VLOOKUP(N791,setup!$A$8:$H$58,3),VLOOKUP(N791,setup!$A$8:$H$58,4),VLOOKUP(N791,setup!$A$8:$H$58,5),VLOOKUP(N791,setup!$A$8:$H$58,6),VLOOKUP(N791,setup!$A$8:$H$58,7), VLOOKUP(0,setup!$A$8:$H$58,2),VLOOKUP(0,setup!$A$8:$H$58,5),VLOOKUP(N791,setup!$A$8:$H$58,8))</f>
        <v xml:space="preserve">    {</v>
      </c>
    </row>
    <row r="792" spans="1:15" x14ac:dyDescent="0.25">
      <c r="A792" s="29" t="s">
        <v>754</v>
      </c>
      <c r="N792">
        <f t="shared" si="7"/>
        <v>9</v>
      </c>
      <c r="O792" s="7" t="str">
        <f ca="1">getCodigoBackend(N792,A792,VLOOKUP(N792,setup!$A$8:$H$58,2),VLOOKUP(N792,setup!$A$8:$H$58,3),VLOOKUP(N792,setup!$A$8:$H$58,4),VLOOKUP(N792,setup!$A$8:$H$58,5),VLOOKUP(N792,setup!$A$8:$H$58,6),VLOOKUP(N792,setup!$A$8:$H$58,7), VLOOKUP(0,setup!$A$8:$H$58,2),VLOOKUP(0,setup!$A$8:$H$58,5),VLOOKUP(N792,setup!$A$8:$H$58,8))</f>
        <v xml:space="preserve">        $dao = $daofactory-&gt;getCampanhaCashbackResgatePixDAO($daofactory);</v>
      </c>
    </row>
    <row r="793" spans="1:15" x14ac:dyDescent="0.25">
      <c r="A793" s="29"/>
      <c r="N793">
        <f t="shared" si="7"/>
        <v>9</v>
      </c>
      <c r="O793" s="7" t="str">
        <f ca="1">getCodigoBackend(N793,A793,VLOOKUP(N793,setup!$A$8:$H$58,2),VLOOKUP(N793,setup!$A$8:$H$58,3),VLOOKUP(N793,setup!$A$8:$H$58,4),VLOOKUP(N793,setup!$A$8:$H$58,5),VLOOKUP(N793,setup!$A$8:$H$58,6),VLOOKUP(N793,setup!$A$8:$H$58,7), VLOOKUP(0,setup!$A$8:$H$58,2),VLOOKUP(0,setup!$A$8:$H$58,5),VLOOKUP(N793,setup!$A$8:$H$58,8))</f>
        <v/>
      </c>
    </row>
    <row r="794" spans="1:15" x14ac:dyDescent="0.25">
      <c r="A794" s="29" t="s">
        <v>750</v>
      </c>
      <c r="N794">
        <f t="shared" si="7"/>
        <v>9</v>
      </c>
      <c r="O794" s="7" t="str">
        <f ca="1">getCodigoBackend(N794,A794,VLOOKUP(N794,setup!$A$8:$H$58,2),VLOOKUP(N794,setup!$A$8:$H$58,3),VLOOKUP(N794,setup!$A$8:$H$58,4),VLOOKUP(N794,setup!$A$8:$H$58,5),VLOOKUP(N794,setup!$A$8:$H$58,6),VLOOKUP(N794,setup!$A$8:$H$58,7), VLOOKUP(0,setup!$A$8:$H$58,2),VLOOKUP(0,setup!$A$8:$H$58,5),VLOOKUP(N794,setup!$A$8:$H$58,8))</f>
        <v xml:space="preserve">        // resposta padrão</v>
      </c>
    </row>
    <row r="795" spans="1:15" x14ac:dyDescent="0.25">
      <c r="A795" s="29" t="s">
        <v>404</v>
      </c>
      <c r="N795">
        <f t="shared" si="7"/>
        <v>9</v>
      </c>
      <c r="O795" s="7" t="str">
        <f ca="1">getCodigoBackend(N795,A795,VLOOKUP(N795,setup!$A$8:$H$58,2),VLOOKUP(N795,setup!$A$8:$H$58,3),VLOOKUP(N795,setup!$A$8:$H$58,4),VLOOKUP(N795,setup!$A$8:$H$58,5),VLOOKUP(N795,setup!$A$8:$H$58,6),VLOOKUP(N795,setup!$A$8:$H$58,7), VLOOKUP(0,setup!$A$8:$H$58,2),VLOOKUP(0,setup!$A$8:$H$58,5),VLOOKUP(N795,setup!$A$8:$H$58,8))</f>
        <v xml:space="preserve">        $retorno = new DTOPadrao();</v>
      </c>
    </row>
    <row r="796" spans="1:15" x14ac:dyDescent="0.25">
      <c r="A796" s="29"/>
      <c r="N796">
        <f t="shared" si="7"/>
        <v>9</v>
      </c>
      <c r="O796" s="7" t="str">
        <f ca="1">getCodigoBackend(N796,A796,VLOOKUP(N796,setup!$A$8:$H$58,2),VLOOKUP(N796,setup!$A$8:$H$58,3),VLOOKUP(N796,setup!$A$8:$H$58,4),VLOOKUP(N796,setup!$A$8:$H$58,5),VLOOKUP(N796,setup!$A$8:$H$58,6),VLOOKUP(N796,setup!$A$8:$H$58,7), VLOOKUP(0,setup!$A$8:$H$58,2),VLOOKUP(0,setup!$A$8:$H$58,5),VLOOKUP(N796,setup!$A$8:$H$58,8))</f>
        <v/>
      </c>
    </row>
    <row r="797" spans="1:15" x14ac:dyDescent="0.25">
      <c r="A797" s="29" t="s">
        <v>755</v>
      </c>
      <c r="N797">
        <f t="shared" si="7"/>
        <v>9</v>
      </c>
      <c r="O797" s="7" t="str">
        <f ca="1">getCodigoBackend(N797,A797,VLOOKUP(N797,setup!$A$8:$H$58,2),VLOOKUP(N797,setup!$A$8:$H$58,3),VLOOKUP(N797,setup!$A$8:$H$58,4),VLOOKUP(N797,setup!$A$8:$H$58,5),VLOOKUP(N797,setup!$A$8:$H$58,6),VLOOKUP(N797,setup!$A$8:$H$58,7), VLOOKUP(0,setup!$A$8:$H$58,2),VLOOKUP(0,setup!$A$8:$H$58,5),VLOOKUP(N797,setup!$A$8:$H$58,8))</f>
        <v xml:space="preserve">        if($dao-&gt;updateDtestagiofinanceiro($id, $dtEstagioFinanceiro)){   </v>
      </c>
    </row>
    <row r="798" spans="1:15" x14ac:dyDescent="0.25">
      <c r="A798" s="29" t="s">
        <v>751</v>
      </c>
      <c r="N798">
        <f t="shared" si="7"/>
        <v>9</v>
      </c>
      <c r="O798" s="7" t="str">
        <f ca="1">getCodigoBackend(N798,A798,VLOOKUP(N798,setup!$A$8:$H$58,2),VLOOKUP(N798,setup!$A$8:$H$58,3),VLOOKUP(N798,setup!$A$8:$H$58,4),VLOOKUP(N798,setup!$A$8:$H$58,5),VLOOKUP(N798,setup!$A$8:$H$58,6),VLOOKUP(N798,setup!$A$8:$H$58,7), VLOOKUP(0,setup!$A$8:$H$58,2),VLOOKUP(0,setup!$A$8:$H$58,5),VLOOKUP(N798,setup!$A$8:$H$58,8))</f>
        <v xml:space="preserve">            $retorno-&gt;msgcode = ConstantesMensagem::COMANDO_REALIZADO_COM_SUCESSO;</v>
      </c>
    </row>
    <row r="799" spans="1:15" x14ac:dyDescent="0.25">
      <c r="A799" s="29" t="s">
        <v>752</v>
      </c>
      <c r="N799">
        <f t="shared" si="7"/>
        <v>9</v>
      </c>
      <c r="O799" s="7" t="str">
        <f ca="1">getCodigoBackend(N799,A799,VLOOKUP(N799,setup!$A$8:$H$58,2),VLOOKUP(N799,setup!$A$8:$H$58,3),VLOOKUP(N799,setup!$A$8:$H$58,4),VLOOKUP(N799,setup!$A$8:$H$58,5),VLOOKUP(N799,setup!$A$8:$H$58,6),VLOOKUP(N799,setup!$A$8:$H$58,7), VLOOKUP(0,setup!$A$8:$H$58,2),VLOOKUP(0,setup!$A$8:$H$58,5),VLOOKUP(N799,setup!$A$8:$H$58,8))</f>
        <v xml:space="preserve">        }       </v>
      </c>
    </row>
    <row r="800" spans="1:15" x14ac:dyDescent="0.25">
      <c r="A800" s="29"/>
      <c r="N800">
        <f t="shared" si="7"/>
        <v>9</v>
      </c>
      <c r="O800" s="7" t="str">
        <f ca="1">getCodigoBackend(N800,A800,VLOOKUP(N800,setup!$A$8:$H$58,2),VLOOKUP(N800,setup!$A$8:$H$58,3),VLOOKUP(N800,setup!$A$8:$H$58,4),VLOOKUP(N800,setup!$A$8:$H$58,5),VLOOKUP(N800,setup!$A$8:$H$58,6),VLOOKUP(N800,setup!$A$8:$H$58,7), VLOOKUP(0,setup!$A$8:$H$58,2),VLOOKUP(0,setup!$A$8:$H$58,5),VLOOKUP(N800,setup!$A$8:$H$58,8))</f>
        <v/>
      </c>
    </row>
    <row r="801" spans="1:15" x14ac:dyDescent="0.25">
      <c r="A801" s="29" t="s">
        <v>753</v>
      </c>
      <c r="N801">
        <f t="shared" si="7"/>
        <v>9</v>
      </c>
      <c r="O801" s="7" t="str">
        <f ca="1">getCodigoBackend(N801,A801,VLOOKUP(N801,setup!$A$8:$H$58,2),VLOOKUP(N801,setup!$A$8:$H$58,3),VLOOKUP(N801,setup!$A$8:$H$58,4),VLOOKUP(N801,setup!$A$8:$H$58,5),VLOOKUP(N801,setup!$A$8:$H$58,6),VLOOKUP(N801,setup!$A$8:$H$58,7), VLOOKUP(0,setup!$A$8:$H$58,2),VLOOKUP(0,setup!$A$8:$H$58,5),VLOOKUP(N801,setup!$A$8:$H$58,8))</f>
        <v xml:space="preserve">        // Obtem o texto da mensagem em razão do código de retorno</v>
      </c>
    </row>
    <row r="802" spans="1:15" x14ac:dyDescent="0.25">
      <c r="A802" s="29" t="s">
        <v>405</v>
      </c>
      <c r="N802">
        <f t="shared" si="7"/>
        <v>9</v>
      </c>
      <c r="O802" s="7" t="str">
        <f ca="1">getCodigoBackend(N802,A802,VLOOKUP(N802,setup!$A$8:$H$58,2),VLOOKUP(N802,setup!$A$8:$H$58,3),VLOOKUP(N802,setup!$A$8:$H$58,4),VLOOKUP(N802,setup!$A$8:$H$58,5),VLOOKUP(N802,setup!$A$8:$H$58,6),VLOOKUP(N802,setup!$A$8:$H$58,7), VLOOKUP(0,setup!$A$8:$H$58,2),VLOOKUP(0,setup!$A$8:$H$58,5),VLOOKUP(N802,setup!$A$8:$H$58,8))</f>
        <v xml:space="preserve">        $retorno-&gt;msgcodeString = MensagemCache::getInstance()-&gt;getMensagem($retorno-&gt;msgcode);</v>
      </c>
    </row>
    <row r="803" spans="1:15" x14ac:dyDescent="0.25">
      <c r="A803" s="29"/>
      <c r="N803">
        <f t="shared" si="7"/>
        <v>9</v>
      </c>
      <c r="O803" s="7" t="str">
        <f ca="1">getCodigoBackend(N803,A803,VLOOKUP(N803,setup!$A$8:$H$58,2),VLOOKUP(N803,setup!$A$8:$H$58,3),VLOOKUP(N803,setup!$A$8:$H$58,4),VLOOKUP(N803,setup!$A$8:$H$58,5),VLOOKUP(N803,setup!$A$8:$H$58,6),VLOOKUP(N803,setup!$A$8:$H$58,7), VLOOKUP(0,setup!$A$8:$H$58,2),VLOOKUP(0,setup!$A$8:$H$58,5),VLOOKUP(N803,setup!$A$8:$H$58,8))</f>
        <v/>
      </c>
    </row>
    <row r="804" spans="1:15" x14ac:dyDescent="0.25">
      <c r="A804" s="29" t="s">
        <v>743</v>
      </c>
      <c r="N804">
        <f t="shared" si="7"/>
        <v>9</v>
      </c>
      <c r="O804" s="7" t="str">
        <f ca="1">getCodigoBackend(N804,A804,VLOOKUP(N804,setup!$A$8:$H$58,2),VLOOKUP(N804,setup!$A$8:$H$58,3),VLOOKUP(N804,setup!$A$8:$H$58,4),VLOOKUP(N804,setup!$A$8:$H$58,5),VLOOKUP(N804,setup!$A$8:$H$58,6),VLOOKUP(N804,setup!$A$8:$H$58,7), VLOOKUP(0,setup!$A$8:$H$58,2),VLOOKUP(0,setup!$A$8:$H$58,5),VLOOKUP(N804,setup!$A$8:$H$58,8))</f>
        <v xml:space="preserve">        return $retorno;</v>
      </c>
    </row>
    <row r="805" spans="1:15" x14ac:dyDescent="0.25">
      <c r="A805" s="29" t="s">
        <v>406</v>
      </c>
      <c r="N805">
        <f t="shared" si="7"/>
        <v>9</v>
      </c>
      <c r="O805" s="7" t="str">
        <f ca="1">getCodigoBackend(N805,A805,VLOOKUP(N805,setup!$A$8:$H$58,2),VLOOKUP(N805,setup!$A$8:$H$58,3),VLOOKUP(N805,setup!$A$8:$H$58,4),VLOOKUP(N805,setup!$A$8:$H$58,5),VLOOKUP(N805,setup!$A$8:$H$58,6),VLOOKUP(N805,setup!$A$8:$H$58,7), VLOOKUP(0,setup!$A$8:$H$58,2),VLOOKUP(0,setup!$A$8:$H$58,5),VLOOKUP(N805,setup!$A$8:$H$58,8))</f>
        <v xml:space="preserve">    }</v>
      </c>
    </row>
    <row r="806" spans="1:15" x14ac:dyDescent="0.25">
      <c r="A806" s="29"/>
      <c r="O806" s="7" t="str">
        <f ca="1">getCodigoBackend(N806,A806,VLOOKUP(N806,setup!$A$8:$H$58,2),VLOOKUP(N806,setup!$A$8:$H$58,3),VLOOKUP(N806,setup!$A$8:$H$58,4),VLOOKUP(N806,setup!$A$8:$H$58,5),VLOOKUP(N806,setup!$A$8:$H$58,6),VLOOKUP(N806,setup!$A$8:$H$58,7), VLOOKUP(0,setup!$A$8:$H$58,2),VLOOKUP(0,setup!$A$8:$H$58,5),VLOOKUP(N806,setup!$A$8:$H$58,8))</f>
        <v/>
      </c>
    </row>
    <row r="807" spans="1:15" x14ac:dyDescent="0.25">
      <c r="A807" s="4" t="s">
        <v>19</v>
      </c>
      <c r="N807">
        <f>N805+1</f>
        <v>10</v>
      </c>
      <c r="O807" s="7" t="str">
        <f ca="1">getCodigoBackend(N807,A807,VLOOKUP(N807,setup!$A$8:$H$58,2),VLOOKUP(N807,setup!$A$8:$H$58,3),VLOOKUP(N807,setup!$A$8:$H$58,4),VLOOKUP(N807,setup!$A$8:$H$58,5),VLOOKUP(N807,setup!$A$8:$H$58,6),VLOOKUP(N807,setup!$A$8:$H$58,7), VLOOKUP(0,setup!$A$8:$H$58,2),VLOOKUP(0,setup!$A$8:$H$58,5),VLOOKUP(N807,setup!$A$8:$H$58,8))</f>
        <v>/**</v>
      </c>
    </row>
    <row r="808" spans="1:15" x14ac:dyDescent="0.25">
      <c r="A808" s="4" t="s">
        <v>20</v>
      </c>
      <c r="N808">
        <f>N807</f>
        <v>10</v>
      </c>
      <c r="O808" s="7" t="str">
        <f ca="1">getCodigoBackend(N808,A808,VLOOKUP(N808,setup!$A$8:$H$58,2),VLOOKUP(N808,setup!$A$8:$H$58,3),VLOOKUP(N808,setup!$A$8:$H$58,4),VLOOKUP(N808,setup!$A$8:$H$58,5),VLOOKUP(N808,setup!$A$8:$H$58,6),VLOOKUP(N808,setup!$A$8:$H$58,7), VLOOKUP(0,setup!$A$8:$H$58,2),VLOOKUP(0,setup!$A$8:$H$58,5),VLOOKUP(N808,setup!$A$8:$H$58,8))</f>
        <v>*</v>
      </c>
    </row>
    <row r="809" spans="1:15" x14ac:dyDescent="0.25">
      <c r="A809" s="4" t="s">
        <v>744</v>
      </c>
      <c r="N809">
        <f t="shared" ref="N809:N833" si="8">N808</f>
        <v>10</v>
      </c>
      <c r="O809" s="7" t="str">
        <f ca="1">getCodigoBackend(N809,A809,VLOOKUP(N809,setup!$A$8:$H$58,2),VLOOKUP(N809,setup!$A$8:$H$58,3),VLOOKUP(N809,setup!$A$8:$H$58,4),VLOOKUP(N809,setup!$A$8:$H$58,5),VLOOKUP(N809,setup!$A$8:$H$58,6),VLOOKUP(N809,setup!$A$8:$H$58,7), VLOOKUP(0,setup!$A$8:$H$58,2),VLOOKUP(0,setup!$A$8:$H$58,5),VLOOKUP(N809,setup!$A$8:$H$58,8))</f>
        <v>* atualizarDtestagioerroPorPK() - Usado para invocar a classe de negócio CampanhaCashbackResgatePixBusinessImpl de forma geral</v>
      </c>
    </row>
    <row r="810" spans="1:15" x14ac:dyDescent="0.25">
      <c r="A810" s="4" t="s">
        <v>745</v>
      </c>
      <c r="N810">
        <f t="shared" si="8"/>
        <v>10</v>
      </c>
      <c r="O810" s="7" t="str">
        <f ca="1">getCodigoBackend(N810,A810,VLOOKUP(N810,setup!$A$8:$H$58,2),VLOOKUP(N810,setup!$A$8:$H$58,3),VLOOKUP(N810,setup!$A$8:$H$58,4),VLOOKUP(N810,setup!$A$8:$H$58,5),VLOOKUP(N810,setup!$A$8:$H$58,6),VLOOKUP(N810,setup!$A$8:$H$58,7), VLOOKUP(0,setup!$A$8:$H$58,2),VLOOKUP(0,setup!$A$8:$H$58,5),VLOOKUP(N810,setup!$A$8:$H$58,8))</f>
        <v>* realizar uma atualização de Data Registro Estágio Erro diretamente na tabela CAMPANHA_CASHBACK_RESGATE_PIX campo CCRP_DT_ESTAGIO_ERRO</v>
      </c>
    </row>
    <row r="811" spans="1:15" x14ac:dyDescent="0.25">
      <c r="A811" s="4" t="s">
        <v>361</v>
      </c>
      <c r="N811">
        <f t="shared" si="8"/>
        <v>10</v>
      </c>
      <c r="O811" s="7" t="str">
        <f ca="1">getCodigoBackend(N811,A811,VLOOKUP(N811,setup!$A$8:$H$58,2),VLOOKUP(N811,setup!$A$8:$H$58,3),VLOOKUP(N811,setup!$A$8:$H$58,4),VLOOKUP(N811,setup!$A$8:$H$58,5),VLOOKUP(N811,setup!$A$8:$H$58,6),VLOOKUP(N811,setup!$A$8:$H$58,7), VLOOKUP(0,setup!$A$8:$H$58,2),VLOOKUP(0,setup!$A$8:$H$58,5),VLOOKUP(N811,setup!$A$8:$H$58,8))</f>
        <v>* @param $daofactory</v>
      </c>
    </row>
    <row r="812" spans="1:15" x14ac:dyDescent="0.25">
      <c r="A812" s="4" t="s">
        <v>346</v>
      </c>
      <c r="N812">
        <f t="shared" si="8"/>
        <v>10</v>
      </c>
      <c r="O812" s="7" t="str">
        <f ca="1">getCodigoBackend(N812,A812,VLOOKUP(N812,setup!$A$8:$H$58,2),VLOOKUP(N812,setup!$A$8:$H$58,3),VLOOKUP(N812,setup!$A$8:$H$58,4),VLOOKUP(N812,setup!$A$8:$H$58,5),VLOOKUP(N812,setup!$A$8:$H$58,6),VLOOKUP(N812,setup!$A$8:$H$58,7), VLOOKUP(0,setup!$A$8:$H$58,2),VLOOKUP(0,setup!$A$8:$H$58,5),VLOOKUP(N812,setup!$A$8:$H$58,8))</f>
        <v>* @param $id</v>
      </c>
    </row>
    <row r="813" spans="1:15" x14ac:dyDescent="0.25">
      <c r="A813" s="4" t="s">
        <v>723</v>
      </c>
      <c r="N813">
        <f t="shared" si="8"/>
        <v>10</v>
      </c>
      <c r="O813" s="7" t="str">
        <f ca="1">getCodigoBackend(N813,A813,VLOOKUP(N813,setup!$A$8:$H$58,2),VLOOKUP(N813,setup!$A$8:$H$58,3),VLOOKUP(N813,setup!$A$8:$H$58,4),VLOOKUP(N813,setup!$A$8:$H$58,5),VLOOKUP(N813,setup!$A$8:$H$58,6),VLOOKUP(N813,setup!$A$8:$H$58,7), VLOOKUP(0,setup!$A$8:$H$58,2),VLOOKUP(0,setup!$A$8:$H$58,5),VLOOKUP(N813,setup!$A$8:$H$58,8))</f>
        <v>* @param $dtEstagioErro</v>
      </c>
    </row>
    <row r="814" spans="1:15" x14ac:dyDescent="0.25">
      <c r="A814" s="4" t="s">
        <v>347</v>
      </c>
      <c r="N814">
        <f t="shared" si="8"/>
        <v>10</v>
      </c>
      <c r="O814" s="7" t="str">
        <f ca="1">getCodigoBackend(N814,A814,VLOOKUP(N814,setup!$A$8:$H$58,2),VLOOKUP(N814,setup!$A$8:$H$58,3),VLOOKUP(N814,setup!$A$8:$H$58,4),VLOOKUP(N814,setup!$A$8:$H$58,5),VLOOKUP(N814,setup!$A$8:$H$58,6),VLOOKUP(N814,setup!$A$8:$H$58,7), VLOOKUP(0,setup!$A$8:$H$58,2),VLOOKUP(0,setup!$A$8:$H$58,5),VLOOKUP(N814,setup!$A$8:$H$58,8))</f>
        <v>* @return CampanhaCashbackResgatePixDTO</v>
      </c>
    </row>
    <row r="815" spans="1:15" x14ac:dyDescent="0.25">
      <c r="A815" s="4" t="s">
        <v>20</v>
      </c>
      <c r="N815">
        <f t="shared" si="8"/>
        <v>10</v>
      </c>
      <c r="O815" s="7" t="str">
        <f ca="1">getCodigoBackend(N815,A815,VLOOKUP(N815,setup!$A$8:$H$58,2),VLOOKUP(N815,setup!$A$8:$H$58,3),VLOOKUP(N815,setup!$A$8:$H$58,4),VLOOKUP(N815,setup!$A$8:$H$58,5),VLOOKUP(N815,setup!$A$8:$H$58,6),VLOOKUP(N815,setup!$A$8:$H$58,7), VLOOKUP(0,setup!$A$8:$H$58,2),VLOOKUP(0,setup!$A$8:$H$58,5),VLOOKUP(N815,setup!$A$8:$H$58,8))</f>
        <v>*</v>
      </c>
    </row>
    <row r="816" spans="1:15" x14ac:dyDescent="0.25">
      <c r="A816" s="4" t="s">
        <v>75</v>
      </c>
      <c r="N816">
        <f t="shared" si="8"/>
        <v>10</v>
      </c>
      <c r="O816" s="7" t="str">
        <f ca="1">getCodigoBackend(N816,A816,VLOOKUP(N816,setup!$A$8:$H$58,2),VLOOKUP(N816,setup!$A$8:$H$58,3),VLOOKUP(N816,setup!$A$8:$H$58,4),VLOOKUP(N816,setup!$A$8:$H$58,5),VLOOKUP(N816,setup!$A$8:$H$58,6),VLOOKUP(N816,setup!$A$8:$H$58,7), VLOOKUP(0,setup!$A$8:$H$58,2),VLOOKUP(0,setup!$A$8:$H$58,5),VLOOKUP(N816,setup!$A$8:$H$58,8))</f>
        <v xml:space="preserve">* </v>
      </c>
    </row>
    <row r="817" spans="1:15" x14ac:dyDescent="0.25">
      <c r="A817" s="4" t="s">
        <v>21</v>
      </c>
      <c r="N817">
        <f t="shared" si="8"/>
        <v>10</v>
      </c>
      <c r="O817" s="7" t="str">
        <f ca="1">getCodigoBackend(N817,A817,VLOOKUP(N817,setup!$A$8:$H$58,2),VLOOKUP(N817,setup!$A$8:$H$58,3),VLOOKUP(N817,setup!$A$8:$H$58,4),VLOOKUP(N817,setup!$A$8:$H$58,5),VLOOKUP(N817,setup!$A$8:$H$58,6),VLOOKUP(N817,setup!$A$8:$H$58,7), VLOOKUP(0,setup!$A$8:$H$58,2),VLOOKUP(0,setup!$A$8:$H$58,5),VLOOKUP(N817,setup!$A$8:$H$58,8))</f>
        <v>*/</v>
      </c>
    </row>
    <row r="818" spans="1:15" x14ac:dyDescent="0.25">
      <c r="A818" s="29" t="s">
        <v>783</v>
      </c>
      <c r="N818">
        <f t="shared" si="8"/>
        <v>10</v>
      </c>
      <c r="O818" s="7" t="str">
        <f ca="1">getCodigoBackend(N818,A818,VLOOKUP(N818,setup!$A$8:$H$58,2),VLOOKUP(N818,setup!$A$8:$H$58,3),VLOOKUP(N818,setup!$A$8:$H$58,4),VLOOKUP(N818,setup!$A$8:$H$58,5),VLOOKUP(N818,setup!$A$8:$H$58,6),VLOOKUP(N818,setup!$A$8:$H$58,7), VLOOKUP(0,setup!$A$8:$H$58,2),VLOOKUP(0,setup!$A$8:$H$58,5),VLOOKUP(N818,setup!$A$8:$H$58,8))</f>
        <v xml:space="preserve">    public function atualizarDtestagioerroPorPK($daofactory,$dtEstagioErro,$id)</v>
      </c>
    </row>
    <row r="819" spans="1:15" x14ac:dyDescent="0.25">
      <c r="A819" s="29" t="s">
        <v>379</v>
      </c>
      <c r="N819">
        <f t="shared" si="8"/>
        <v>10</v>
      </c>
      <c r="O819" s="7" t="str">
        <f ca="1">getCodigoBackend(N819,A819,VLOOKUP(N819,setup!$A$8:$H$58,2),VLOOKUP(N819,setup!$A$8:$H$58,3),VLOOKUP(N819,setup!$A$8:$H$58,4),VLOOKUP(N819,setup!$A$8:$H$58,5),VLOOKUP(N819,setup!$A$8:$H$58,6),VLOOKUP(N819,setup!$A$8:$H$58,7), VLOOKUP(0,setup!$A$8:$H$58,2),VLOOKUP(0,setup!$A$8:$H$58,5),VLOOKUP(N819,setup!$A$8:$H$58,8))</f>
        <v xml:space="preserve">    {</v>
      </c>
    </row>
    <row r="820" spans="1:15" x14ac:dyDescent="0.25">
      <c r="A820" s="29" t="s">
        <v>754</v>
      </c>
      <c r="N820">
        <f t="shared" si="8"/>
        <v>10</v>
      </c>
      <c r="O820" s="7" t="str">
        <f ca="1">getCodigoBackend(N820,A820,VLOOKUP(N820,setup!$A$8:$H$58,2),VLOOKUP(N820,setup!$A$8:$H$58,3),VLOOKUP(N820,setup!$A$8:$H$58,4),VLOOKUP(N820,setup!$A$8:$H$58,5),VLOOKUP(N820,setup!$A$8:$H$58,6),VLOOKUP(N820,setup!$A$8:$H$58,7), VLOOKUP(0,setup!$A$8:$H$58,2),VLOOKUP(0,setup!$A$8:$H$58,5),VLOOKUP(N820,setup!$A$8:$H$58,8))</f>
        <v xml:space="preserve">        $dao = $daofactory-&gt;getCampanhaCashbackResgatePixDAO($daofactory);</v>
      </c>
    </row>
    <row r="821" spans="1:15" x14ac:dyDescent="0.25">
      <c r="A821" s="29"/>
      <c r="N821">
        <f t="shared" si="8"/>
        <v>10</v>
      </c>
      <c r="O821" s="7" t="str">
        <f ca="1">getCodigoBackend(N821,A821,VLOOKUP(N821,setup!$A$8:$H$58,2),VLOOKUP(N821,setup!$A$8:$H$58,3),VLOOKUP(N821,setup!$A$8:$H$58,4),VLOOKUP(N821,setup!$A$8:$H$58,5),VLOOKUP(N821,setup!$A$8:$H$58,6),VLOOKUP(N821,setup!$A$8:$H$58,7), VLOOKUP(0,setup!$A$8:$H$58,2),VLOOKUP(0,setup!$A$8:$H$58,5),VLOOKUP(N821,setup!$A$8:$H$58,8))</f>
        <v/>
      </c>
    </row>
    <row r="822" spans="1:15" x14ac:dyDescent="0.25">
      <c r="A822" s="29" t="s">
        <v>750</v>
      </c>
      <c r="N822">
        <f t="shared" si="8"/>
        <v>10</v>
      </c>
      <c r="O822" s="7" t="str">
        <f ca="1">getCodigoBackend(N822,A822,VLOOKUP(N822,setup!$A$8:$H$58,2),VLOOKUP(N822,setup!$A$8:$H$58,3),VLOOKUP(N822,setup!$A$8:$H$58,4),VLOOKUP(N822,setup!$A$8:$H$58,5),VLOOKUP(N822,setup!$A$8:$H$58,6),VLOOKUP(N822,setup!$A$8:$H$58,7), VLOOKUP(0,setup!$A$8:$H$58,2),VLOOKUP(0,setup!$A$8:$H$58,5),VLOOKUP(N822,setup!$A$8:$H$58,8))</f>
        <v xml:space="preserve">        // resposta padrão</v>
      </c>
    </row>
    <row r="823" spans="1:15" x14ac:dyDescent="0.25">
      <c r="A823" s="29" t="s">
        <v>404</v>
      </c>
      <c r="N823">
        <f t="shared" si="8"/>
        <v>10</v>
      </c>
      <c r="O823" s="7" t="str">
        <f ca="1">getCodigoBackend(N823,A823,VLOOKUP(N823,setup!$A$8:$H$58,2),VLOOKUP(N823,setup!$A$8:$H$58,3),VLOOKUP(N823,setup!$A$8:$H$58,4),VLOOKUP(N823,setup!$A$8:$H$58,5),VLOOKUP(N823,setup!$A$8:$H$58,6),VLOOKUP(N823,setup!$A$8:$H$58,7), VLOOKUP(0,setup!$A$8:$H$58,2),VLOOKUP(0,setup!$A$8:$H$58,5),VLOOKUP(N823,setup!$A$8:$H$58,8))</f>
        <v xml:space="preserve">        $retorno = new DTOPadrao();</v>
      </c>
    </row>
    <row r="824" spans="1:15" x14ac:dyDescent="0.25">
      <c r="A824" s="29"/>
      <c r="N824">
        <f t="shared" si="8"/>
        <v>10</v>
      </c>
      <c r="O824" s="7" t="str">
        <f ca="1">getCodigoBackend(N824,A824,VLOOKUP(N824,setup!$A$8:$H$58,2),VLOOKUP(N824,setup!$A$8:$H$58,3),VLOOKUP(N824,setup!$A$8:$H$58,4),VLOOKUP(N824,setup!$A$8:$H$58,5),VLOOKUP(N824,setup!$A$8:$H$58,6),VLOOKUP(N824,setup!$A$8:$H$58,7), VLOOKUP(0,setup!$A$8:$H$58,2),VLOOKUP(0,setup!$A$8:$H$58,5),VLOOKUP(N824,setup!$A$8:$H$58,8))</f>
        <v/>
      </c>
    </row>
    <row r="825" spans="1:15" x14ac:dyDescent="0.25">
      <c r="A825" s="29" t="s">
        <v>755</v>
      </c>
      <c r="N825">
        <f t="shared" si="8"/>
        <v>10</v>
      </c>
      <c r="O825" s="7" t="str">
        <f ca="1">getCodigoBackend(N825,A825,VLOOKUP(N825,setup!$A$8:$H$58,2),VLOOKUP(N825,setup!$A$8:$H$58,3),VLOOKUP(N825,setup!$A$8:$H$58,4),VLOOKUP(N825,setup!$A$8:$H$58,5),VLOOKUP(N825,setup!$A$8:$H$58,6),VLOOKUP(N825,setup!$A$8:$H$58,7), VLOOKUP(0,setup!$A$8:$H$58,2),VLOOKUP(0,setup!$A$8:$H$58,5),VLOOKUP(N825,setup!$A$8:$H$58,8))</f>
        <v xml:space="preserve">        if($dao-&gt;updateDtestagioerro($id, $dtEstagioErro)){   </v>
      </c>
    </row>
    <row r="826" spans="1:15" x14ac:dyDescent="0.25">
      <c r="A826" s="29" t="s">
        <v>751</v>
      </c>
      <c r="N826">
        <f t="shared" si="8"/>
        <v>10</v>
      </c>
      <c r="O826" s="7" t="str">
        <f ca="1">getCodigoBackend(N826,A826,VLOOKUP(N826,setup!$A$8:$H$58,2),VLOOKUP(N826,setup!$A$8:$H$58,3),VLOOKUP(N826,setup!$A$8:$H$58,4),VLOOKUP(N826,setup!$A$8:$H$58,5),VLOOKUP(N826,setup!$A$8:$H$58,6),VLOOKUP(N826,setup!$A$8:$H$58,7), VLOOKUP(0,setup!$A$8:$H$58,2),VLOOKUP(0,setup!$A$8:$H$58,5),VLOOKUP(N826,setup!$A$8:$H$58,8))</f>
        <v xml:space="preserve">            $retorno-&gt;msgcode = ConstantesMensagem::COMANDO_REALIZADO_COM_SUCESSO;</v>
      </c>
    </row>
    <row r="827" spans="1:15" x14ac:dyDescent="0.25">
      <c r="A827" s="29" t="s">
        <v>752</v>
      </c>
      <c r="N827">
        <f t="shared" si="8"/>
        <v>10</v>
      </c>
      <c r="O827" s="7" t="str">
        <f ca="1">getCodigoBackend(N827,A827,VLOOKUP(N827,setup!$A$8:$H$58,2),VLOOKUP(N827,setup!$A$8:$H$58,3),VLOOKUP(N827,setup!$A$8:$H$58,4),VLOOKUP(N827,setup!$A$8:$H$58,5),VLOOKUP(N827,setup!$A$8:$H$58,6),VLOOKUP(N827,setup!$A$8:$H$58,7), VLOOKUP(0,setup!$A$8:$H$58,2),VLOOKUP(0,setup!$A$8:$H$58,5),VLOOKUP(N827,setup!$A$8:$H$58,8))</f>
        <v xml:space="preserve">        }       </v>
      </c>
    </row>
    <row r="828" spans="1:15" x14ac:dyDescent="0.25">
      <c r="A828" s="29"/>
      <c r="N828">
        <f t="shared" si="8"/>
        <v>10</v>
      </c>
      <c r="O828" s="7" t="str">
        <f ca="1">getCodigoBackend(N828,A828,VLOOKUP(N828,setup!$A$8:$H$58,2),VLOOKUP(N828,setup!$A$8:$H$58,3),VLOOKUP(N828,setup!$A$8:$H$58,4),VLOOKUP(N828,setup!$A$8:$H$58,5),VLOOKUP(N828,setup!$A$8:$H$58,6),VLOOKUP(N828,setup!$A$8:$H$58,7), VLOOKUP(0,setup!$A$8:$H$58,2),VLOOKUP(0,setup!$A$8:$H$58,5),VLOOKUP(N828,setup!$A$8:$H$58,8))</f>
        <v/>
      </c>
    </row>
    <row r="829" spans="1:15" x14ac:dyDescent="0.25">
      <c r="A829" s="29" t="s">
        <v>753</v>
      </c>
      <c r="N829">
        <f t="shared" si="8"/>
        <v>10</v>
      </c>
      <c r="O829" s="7" t="str">
        <f ca="1">getCodigoBackend(N829,A829,VLOOKUP(N829,setup!$A$8:$H$58,2),VLOOKUP(N829,setup!$A$8:$H$58,3),VLOOKUP(N829,setup!$A$8:$H$58,4),VLOOKUP(N829,setup!$A$8:$H$58,5),VLOOKUP(N829,setup!$A$8:$H$58,6),VLOOKUP(N829,setup!$A$8:$H$58,7), VLOOKUP(0,setup!$A$8:$H$58,2),VLOOKUP(0,setup!$A$8:$H$58,5),VLOOKUP(N829,setup!$A$8:$H$58,8))</f>
        <v xml:space="preserve">        // Obtem o texto da mensagem em razão do código de retorno</v>
      </c>
    </row>
    <row r="830" spans="1:15" x14ac:dyDescent="0.25">
      <c r="A830" s="29" t="s">
        <v>405</v>
      </c>
      <c r="N830">
        <f t="shared" si="8"/>
        <v>10</v>
      </c>
      <c r="O830" s="7" t="str">
        <f ca="1">getCodigoBackend(N830,A830,VLOOKUP(N830,setup!$A$8:$H$58,2),VLOOKUP(N830,setup!$A$8:$H$58,3),VLOOKUP(N830,setup!$A$8:$H$58,4),VLOOKUP(N830,setup!$A$8:$H$58,5),VLOOKUP(N830,setup!$A$8:$H$58,6),VLOOKUP(N830,setup!$A$8:$H$58,7), VLOOKUP(0,setup!$A$8:$H$58,2),VLOOKUP(0,setup!$A$8:$H$58,5),VLOOKUP(N830,setup!$A$8:$H$58,8))</f>
        <v xml:space="preserve">        $retorno-&gt;msgcodeString = MensagemCache::getInstance()-&gt;getMensagem($retorno-&gt;msgcode);</v>
      </c>
    </row>
    <row r="831" spans="1:15" x14ac:dyDescent="0.25">
      <c r="A831" s="29"/>
      <c r="N831">
        <f t="shared" si="8"/>
        <v>10</v>
      </c>
      <c r="O831" s="7" t="str">
        <f ca="1">getCodigoBackend(N831,A831,VLOOKUP(N831,setup!$A$8:$H$58,2),VLOOKUP(N831,setup!$A$8:$H$58,3),VLOOKUP(N831,setup!$A$8:$H$58,4),VLOOKUP(N831,setup!$A$8:$H$58,5),VLOOKUP(N831,setup!$A$8:$H$58,6),VLOOKUP(N831,setup!$A$8:$H$58,7), VLOOKUP(0,setup!$A$8:$H$58,2),VLOOKUP(0,setup!$A$8:$H$58,5),VLOOKUP(N831,setup!$A$8:$H$58,8))</f>
        <v/>
      </c>
    </row>
    <row r="832" spans="1:15" x14ac:dyDescent="0.25">
      <c r="A832" s="29" t="s">
        <v>743</v>
      </c>
      <c r="N832">
        <f t="shared" si="8"/>
        <v>10</v>
      </c>
      <c r="O832" s="7" t="str">
        <f ca="1">getCodigoBackend(N832,A832,VLOOKUP(N832,setup!$A$8:$H$58,2),VLOOKUP(N832,setup!$A$8:$H$58,3),VLOOKUP(N832,setup!$A$8:$H$58,4),VLOOKUP(N832,setup!$A$8:$H$58,5),VLOOKUP(N832,setup!$A$8:$H$58,6),VLOOKUP(N832,setup!$A$8:$H$58,7), VLOOKUP(0,setup!$A$8:$H$58,2),VLOOKUP(0,setup!$A$8:$H$58,5),VLOOKUP(N832,setup!$A$8:$H$58,8))</f>
        <v xml:space="preserve">        return $retorno;</v>
      </c>
    </row>
    <row r="833" spans="1:15" x14ac:dyDescent="0.25">
      <c r="A833" s="29" t="s">
        <v>406</v>
      </c>
      <c r="N833">
        <f t="shared" si="8"/>
        <v>10</v>
      </c>
      <c r="O833" s="7" t="str">
        <f ca="1">getCodigoBackend(N833,A833,VLOOKUP(N833,setup!$A$8:$H$58,2),VLOOKUP(N833,setup!$A$8:$H$58,3),VLOOKUP(N833,setup!$A$8:$H$58,4),VLOOKUP(N833,setup!$A$8:$H$58,5),VLOOKUP(N833,setup!$A$8:$H$58,6),VLOOKUP(N833,setup!$A$8:$H$58,7), VLOOKUP(0,setup!$A$8:$H$58,2),VLOOKUP(0,setup!$A$8:$H$58,5),VLOOKUP(N833,setup!$A$8:$H$58,8))</f>
        <v xml:space="preserve">    }</v>
      </c>
    </row>
    <row r="834" spans="1:15" x14ac:dyDescent="0.25">
      <c r="A834" s="29"/>
      <c r="O834" s="7" t="str">
        <f ca="1">getCodigoBackend(N834,A834,VLOOKUP(N834,setup!$A$8:$H$58,2),VLOOKUP(N834,setup!$A$8:$H$58,3),VLOOKUP(N834,setup!$A$8:$H$58,4),VLOOKUP(N834,setup!$A$8:$H$58,5),VLOOKUP(N834,setup!$A$8:$H$58,6),VLOOKUP(N834,setup!$A$8:$H$58,7), VLOOKUP(0,setup!$A$8:$H$58,2),VLOOKUP(0,setup!$A$8:$H$58,5),VLOOKUP(N834,setup!$A$8:$H$58,8))</f>
        <v/>
      </c>
    </row>
    <row r="835" spans="1:15" x14ac:dyDescent="0.25">
      <c r="A835" s="4" t="s">
        <v>19</v>
      </c>
      <c r="N835">
        <f>N833+1</f>
        <v>11</v>
      </c>
      <c r="O835" s="7" t="str">
        <f ca="1">getCodigoBackend(N835,A835,VLOOKUP(N835,setup!$A$8:$H$58,2),VLOOKUP(N835,setup!$A$8:$H$58,3),VLOOKUP(N835,setup!$A$8:$H$58,4),VLOOKUP(N835,setup!$A$8:$H$58,5),VLOOKUP(N835,setup!$A$8:$H$58,6),VLOOKUP(N835,setup!$A$8:$H$58,7), VLOOKUP(0,setup!$A$8:$H$58,2),VLOOKUP(0,setup!$A$8:$H$58,5),VLOOKUP(N835,setup!$A$8:$H$58,8))</f>
        <v>/**</v>
      </c>
    </row>
    <row r="836" spans="1:15" x14ac:dyDescent="0.25">
      <c r="A836" s="4" t="s">
        <v>20</v>
      </c>
      <c r="N836">
        <f>N835</f>
        <v>11</v>
      </c>
      <c r="O836" s="7" t="str">
        <f ca="1">getCodigoBackend(N836,A836,VLOOKUP(N836,setup!$A$8:$H$58,2),VLOOKUP(N836,setup!$A$8:$H$58,3),VLOOKUP(N836,setup!$A$8:$H$58,4),VLOOKUP(N836,setup!$A$8:$H$58,5),VLOOKUP(N836,setup!$A$8:$H$58,6),VLOOKUP(N836,setup!$A$8:$H$58,7), VLOOKUP(0,setup!$A$8:$H$58,2),VLOOKUP(0,setup!$A$8:$H$58,5),VLOOKUP(N836,setup!$A$8:$H$58,8))</f>
        <v>*</v>
      </c>
    </row>
    <row r="837" spans="1:15" x14ac:dyDescent="0.25">
      <c r="A837" s="4" t="s">
        <v>744</v>
      </c>
      <c r="N837">
        <f t="shared" ref="N837:N861" si="9">N836</f>
        <v>11</v>
      </c>
      <c r="O837" s="7" t="str">
        <f ca="1">getCodigoBackend(N837,A837,VLOOKUP(N837,setup!$A$8:$H$58,2),VLOOKUP(N837,setup!$A$8:$H$58,3),VLOOKUP(N837,setup!$A$8:$H$58,4),VLOOKUP(N837,setup!$A$8:$H$58,5),VLOOKUP(N837,setup!$A$8:$H$58,6),VLOOKUP(N837,setup!$A$8:$H$58,7), VLOOKUP(0,setup!$A$8:$H$58,2),VLOOKUP(0,setup!$A$8:$H$58,5),VLOOKUP(N837,setup!$A$8:$H$58,8))</f>
        <v>* atualizarDtestagiotranfbcoPorPK() - Usado para invocar a classe de negócio CampanhaCashbackResgatePixBusinessImpl de forma geral</v>
      </c>
    </row>
    <row r="838" spans="1:15" x14ac:dyDescent="0.25">
      <c r="A838" s="4" t="s">
        <v>745</v>
      </c>
      <c r="N838">
        <f t="shared" si="9"/>
        <v>11</v>
      </c>
      <c r="O838" s="7" t="str">
        <f ca="1">getCodigoBackend(N838,A838,VLOOKUP(N838,setup!$A$8:$H$58,2),VLOOKUP(N838,setup!$A$8:$H$58,3),VLOOKUP(N838,setup!$A$8:$H$58,4),VLOOKUP(N838,setup!$A$8:$H$58,5),VLOOKUP(N838,setup!$A$8:$H$58,6),VLOOKUP(N838,setup!$A$8:$H$58,7), VLOOKUP(0,setup!$A$8:$H$58,2),VLOOKUP(0,setup!$A$8:$H$58,5),VLOOKUP(N838,setup!$A$8:$H$58,8))</f>
        <v>* realizar uma atualização de Data Registro Estágio Transferido Bco diretamente na tabela CAMPANHA_CASHBACK_RESGATE_PIX campo CCRP_DT_ESTAGIO_TRANSF_BCO</v>
      </c>
    </row>
    <row r="839" spans="1:15" x14ac:dyDescent="0.25">
      <c r="A839" s="4" t="s">
        <v>361</v>
      </c>
      <c r="N839">
        <f t="shared" si="9"/>
        <v>11</v>
      </c>
      <c r="O839" s="7" t="str">
        <f ca="1">getCodigoBackend(N839,A839,VLOOKUP(N839,setup!$A$8:$H$58,2),VLOOKUP(N839,setup!$A$8:$H$58,3),VLOOKUP(N839,setup!$A$8:$H$58,4),VLOOKUP(N839,setup!$A$8:$H$58,5),VLOOKUP(N839,setup!$A$8:$H$58,6),VLOOKUP(N839,setup!$A$8:$H$58,7), VLOOKUP(0,setup!$A$8:$H$58,2),VLOOKUP(0,setup!$A$8:$H$58,5),VLOOKUP(N839,setup!$A$8:$H$58,8))</f>
        <v>* @param $daofactory</v>
      </c>
    </row>
    <row r="840" spans="1:15" x14ac:dyDescent="0.25">
      <c r="A840" s="4" t="s">
        <v>346</v>
      </c>
      <c r="N840">
        <f t="shared" si="9"/>
        <v>11</v>
      </c>
      <c r="O840" s="7" t="str">
        <f ca="1">getCodigoBackend(N840,A840,VLOOKUP(N840,setup!$A$8:$H$58,2),VLOOKUP(N840,setup!$A$8:$H$58,3),VLOOKUP(N840,setup!$A$8:$H$58,4),VLOOKUP(N840,setup!$A$8:$H$58,5),VLOOKUP(N840,setup!$A$8:$H$58,6),VLOOKUP(N840,setup!$A$8:$H$58,7), VLOOKUP(0,setup!$A$8:$H$58,2),VLOOKUP(0,setup!$A$8:$H$58,5),VLOOKUP(N840,setup!$A$8:$H$58,8))</f>
        <v>* @param $id</v>
      </c>
    </row>
    <row r="841" spans="1:15" x14ac:dyDescent="0.25">
      <c r="A841" s="4" t="s">
        <v>723</v>
      </c>
      <c r="N841">
        <f t="shared" si="9"/>
        <v>11</v>
      </c>
      <c r="O841" s="7" t="str">
        <f ca="1">getCodigoBackend(N841,A841,VLOOKUP(N841,setup!$A$8:$H$58,2),VLOOKUP(N841,setup!$A$8:$H$58,3),VLOOKUP(N841,setup!$A$8:$H$58,4),VLOOKUP(N841,setup!$A$8:$H$58,5),VLOOKUP(N841,setup!$A$8:$H$58,6),VLOOKUP(N841,setup!$A$8:$H$58,7), VLOOKUP(0,setup!$A$8:$H$58,2),VLOOKUP(0,setup!$A$8:$H$58,5),VLOOKUP(N841,setup!$A$8:$H$58,8))</f>
        <v>* @param $dtEstagioTranfBco</v>
      </c>
    </row>
    <row r="842" spans="1:15" x14ac:dyDescent="0.25">
      <c r="A842" s="4" t="s">
        <v>347</v>
      </c>
      <c r="N842">
        <f t="shared" si="9"/>
        <v>11</v>
      </c>
      <c r="O842" s="7" t="str">
        <f ca="1">getCodigoBackend(N842,A842,VLOOKUP(N842,setup!$A$8:$H$58,2),VLOOKUP(N842,setup!$A$8:$H$58,3),VLOOKUP(N842,setup!$A$8:$H$58,4),VLOOKUP(N842,setup!$A$8:$H$58,5),VLOOKUP(N842,setup!$A$8:$H$58,6),VLOOKUP(N842,setup!$A$8:$H$58,7), VLOOKUP(0,setup!$A$8:$H$58,2),VLOOKUP(0,setup!$A$8:$H$58,5),VLOOKUP(N842,setup!$A$8:$H$58,8))</f>
        <v>* @return CampanhaCashbackResgatePixDTO</v>
      </c>
    </row>
    <row r="843" spans="1:15" x14ac:dyDescent="0.25">
      <c r="A843" s="4" t="s">
        <v>20</v>
      </c>
      <c r="N843">
        <f t="shared" si="9"/>
        <v>11</v>
      </c>
      <c r="O843" s="7" t="str">
        <f ca="1">getCodigoBackend(N843,A843,VLOOKUP(N843,setup!$A$8:$H$58,2),VLOOKUP(N843,setup!$A$8:$H$58,3),VLOOKUP(N843,setup!$A$8:$H$58,4),VLOOKUP(N843,setup!$A$8:$H$58,5),VLOOKUP(N843,setup!$A$8:$H$58,6),VLOOKUP(N843,setup!$A$8:$H$58,7), VLOOKUP(0,setup!$A$8:$H$58,2),VLOOKUP(0,setup!$A$8:$H$58,5),VLOOKUP(N843,setup!$A$8:$H$58,8))</f>
        <v>*</v>
      </c>
    </row>
    <row r="844" spans="1:15" x14ac:dyDescent="0.25">
      <c r="A844" s="4" t="s">
        <v>75</v>
      </c>
      <c r="N844">
        <f t="shared" si="9"/>
        <v>11</v>
      </c>
      <c r="O844" s="7" t="str">
        <f ca="1">getCodigoBackend(N844,A844,VLOOKUP(N844,setup!$A$8:$H$58,2),VLOOKUP(N844,setup!$A$8:$H$58,3),VLOOKUP(N844,setup!$A$8:$H$58,4),VLOOKUP(N844,setup!$A$8:$H$58,5),VLOOKUP(N844,setup!$A$8:$H$58,6),VLOOKUP(N844,setup!$A$8:$H$58,7), VLOOKUP(0,setup!$A$8:$H$58,2),VLOOKUP(0,setup!$A$8:$H$58,5),VLOOKUP(N844,setup!$A$8:$H$58,8))</f>
        <v xml:space="preserve">* </v>
      </c>
    </row>
    <row r="845" spans="1:15" x14ac:dyDescent="0.25">
      <c r="A845" s="4" t="s">
        <v>21</v>
      </c>
      <c r="N845">
        <f t="shared" si="9"/>
        <v>11</v>
      </c>
      <c r="O845" s="7" t="str">
        <f ca="1">getCodigoBackend(N845,A845,VLOOKUP(N845,setup!$A$8:$H$58,2),VLOOKUP(N845,setup!$A$8:$H$58,3),VLOOKUP(N845,setup!$A$8:$H$58,4),VLOOKUP(N845,setup!$A$8:$H$58,5),VLOOKUP(N845,setup!$A$8:$H$58,6),VLOOKUP(N845,setup!$A$8:$H$58,7), VLOOKUP(0,setup!$A$8:$H$58,2),VLOOKUP(0,setup!$A$8:$H$58,5),VLOOKUP(N845,setup!$A$8:$H$58,8))</f>
        <v>*/</v>
      </c>
    </row>
    <row r="846" spans="1:15" x14ac:dyDescent="0.25">
      <c r="A846" s="29" t="s">
        <v>783</v>
      </c>
      <c r="N846">
        <f t="shared" si="9"/>
        <v>11</v>
      </c>
      <c r="O846" s="7" t="str">
        <f ca="1">getCodigoBackend(N846,A846,VLOOKUP(N846,setup!$A$8:$H$58,2),VLOOKUP(N846,setup!$A$8:$H$58,3),VLOOKUP(N846,setup!$A$8:$H$58,4),VLOOKUP(N846,setup!$A$8:$H$58,5),VLOOKUP(N846,setup!$A$8:$H$58,6),VLOOKUP(N846,setup!$A$8:$H$58,7), VLOOKUP(0,setup!$A$8:$H$58,2),VLOOKUP(0,setup!$A$8:$H$58,5),VLOOKUP(N846,setup!$A$8:$H$58,8))</f>
        <v xml:space="preserve">    public function atualizarDtestagiotranfbcoPorPK($daofactory,$dtEstagioTranfBco,$id)</v>
      </c>
    </row>
    <row r="847" spans="1:15" x14ac:dyDescent="0.25">
      <c r="A847" s="29" t="s">
        <v>379</v>
      </c>
      <c r="N847">
        <f t="shared" si="9"/>
        <v>11</v>
      </c>
      <c r="O847" s="7" t="str">
        <f ca="1">getCodigoBackend(N847,A847,VLOOKUP(N847,setup!$A$8:$H$58,2),VLOOKUP(N847,setup!$A$8:$H$58,3),VLOOKUP(N847,setup!$A$8:$H$58,4),VLOOKUP(N847,setup!$A$8:$H$58,5),VLOOKUP(N847,setup!$A$8:$H$58,6),VLOOKUP(N847,setup!$A$8:$H$58,7), VLOOKUP(0,setup!$A$8:$H$58,2),VLOOKUP(0,setup!$A$8:$H$58,5),VLOOKUP(N847,setup!$A$8:$H$58,8))</f>
        <v xml:space="preserve">    {</v>
      </c>
    </row>
    <row r="848" spans="1:15" x14ac:dyDescent="0.25">
      <c r="A848" s="29" t="s">
        <v>754</v>
      </c>
      <c r="N848">
        <f t="shared" si="9"/>
        <v>11</v>
      </c>
      <c r="O848" s="7" t="str">
        <f ca="1">getCodigoBackend(N848,A848,VLOOKUP(N848,setup!$A$8:$H$58,2),VLOOKUP(N848,setup!$A$8:$H$58,3),VLOOKUP(N848,setup!$A$8:$H$58,4),VLOOKUP(N848,setup!$A$8:$H$58,5),VLOOKUP(N848,setup!$A$8:$H$58,6),VLOOKUP(N848,setup!$A$8:$H$58,7), VLOOKUP(0,setup!$A$8:$H$58,2),VLOOKUP(0,setup!$A$8:$H$58,5),VLOOKUP(N848,setup!$A$8:$H$58,8))</f>
        <v xml:space="preserve">        $dao = $daofactory-&gt;getCampanhaCashbackResgatePixDAO($daofactory);</v>
      </c>
    </row>
    <row r="849" spans="1:15" x14ac:dyDescent="0.25">
      <c r="A849" s="29"/>
      <c r="N849">
        <f t="shared" si="9"/>
        <v>11</v>
      </c>
      <c r="O849" s="7" t="str">
        <f ca="1">getCodigoBackend(N849,A849,VLOOKUP(N849,setup!$A$8:$H$58,2),VLOOKUP(N849,setup!$A$8:$H$58,3),VLOOKUP(N849,setup!$A$8:$H$58,4),VLOOKUP(N849,setup!$A$8:$H$58,5),VLOOKUP(N849,setup!$A$8:$H$58,6),VLOOKUP(N849,setup!$A$8:$H$58,7), VLOOKUP(0,setup!$A$8:$H$58,2),VLOOKUP(0,setup!$A$8:$H$58,5),VLOOKUP(N849,setup!$A$8:$H$58,8))</f>
        <v/>
      </c>
    </row>
    <row r="850" spans="1:15" x14ac:dyDescent="0.25">
      <c r="A850" s="29" t="s">
        <v>750</v>
      </c>
      <c r="N850">
        <f t="shared" si="9"/>
        <v>11</v>
      </c>
      <c r="O850" s="7" t="str">
        <f ca="1">getCodigoBackend(N850,A850,VLOOKUP(N850,setup!$A$8:$H$58,2),VLOOKUP(N850,setup!$A$8:$H$58,3),VLOOKUP(N850,setup!$A$8:$H$58,4),VLOOKUP(N850,setup!$A$8:$H$58,5),VLOOKUP(N850,setup!$A$8:$H$58,6),VLOOKUP(N850,setup!$A$8:$H$58,7), VLOOKUP(0,setup!$A$8:$H$58,2),VLOOKUP(0,setup!$A$8:$H$58,5),VLOOKUP(N850,setup!$A$8:$H$58,8))</f>
        <v xml:space="preserve">        // resposta padrão</v>
      </c>
    </row>
    <row r="851" spans="1:15" x14ac:dyDescent="0.25">
      <c r="A851" s="29" t="s">
        <v>404</v>
      </c>
      <c r="N851">
        <f t="shared" si="9"/>
        <v>11</v>
      </c>
      <c r="O851" s="7" t="str">
        <f ca="1">getCodigoBackend(N851,A851,VLOOKUP(N851,setup!$A$8:$H$58,2),VLOOKUP(N851,setup!$A$8:$H$58,3),VLOOKUP(N851,setup!$A$8:$H$58,4),VLOOKUP(N851,setup!$A$8:$H$58,5),VLOOKUP(N851,setup!$A$8:$H$58,6),VLOOKUP(N851,setup!$A$8:$H$58,7), VLOOKUP(0,setup!$A$8:$H$58,2),VLOOKUP(0,setup!$A$8:$H$58,5),VLOOKUP(N851,setup!$A$8:$H$58,8))</f>
        <v xml:space="preserve">        $retorno = new DTOPadrao();</v>
      </c>
    </row>
    <row r="852" spans="1:15" x14ac:dyDescent="0.25">
      <c r="A852" s="29"/>
      <c r="N852">
        <f t="shared" si="9"/>
        <v>11</v>
      </c>
      <c r="O852" s="7" t="str">
        <f ca="1">getCodigoBackend(N852,A852,VLOOKUP(N852,setup!$A$8:$H$58,2),VLOOKUP(N852,setup!$A$8:$H$58,3),VLOOKUP(N852,setup!$A$8:$H$58,4),VLOOKUP(N852,setup!$A$8:$H$58,5),VLOOKUP(N852,setup!$A$8:$H$58,6),VLOOKUP(N852,setup!$A$8:$H$58,7), VLOOKUP(0,setup!$A$8:$H$58,2),VLOOKUP(0,setup!$A$8:$H$58,5),VLOOKUP(N852,setup!$A$8:$H$58,8))</f>
        <v/>
      </c>
    </row>
    <row r="853" spans="1:15" x14ac:dyDescent="0.25">
      <c r="A853" s="29" t="s">
        <v>755</v>
      </c>
      <c r="N853">
        <f t="shared" si="9"/>
        <v>11</v>
      </c>
      <c r="O853" s="7" t="str">
        <f ca="1">getCodigoBackend(N853,A853,VLOOKUP(N853,setup!$A$8:$H$58,2),VLOOKUP(N853,setup!$A$8:$H$58,3),VLOOKUP(N853,setup!$A$8:$H$58,4),VLOOKUP(N853,setup!$A$8:$H$58,5),VLOOKUP(N853,setup!$A$8:$H$58,6),VLOOKUP(N853,setup!$A$8:$H$58,7), VLOOKUP(0,setup!$A$8:$H$58,2),VLOOKUP(0,setup!$A$8:$H$58,5),VLOOKUP(N853,setup!$A$8:$H$58,8))</f>
        <v xml:space="preserve">        if($dao-&gt;updateDtestagiotranfbco($id, $dtEstagioTranfBco)){   </v>
      </c>
    </row>
    <row r="854" spans="1:15" x14ac:dyDescent="0.25">
      <c r="A854" s="29" t="s">
        <v>751</v>
      </c>
      <c r="N854">
        <f t="shared" si="9"/>
        <v>11</v>
      </c>
      <c r="O854" s="7" t="str">
        <f ca="1">getCodigoBackend(N854,A854,VLOOKUP(N854,setup!$A$8:$H$58,2),VLOOKUP(N854,setup!$A$8:$H$58,3),VLOOKUP(N854,setup!$A$8:$H$58,4),VLOOKUP(N854,setup!$A$8:$H$58,5),VLOOKUP(N854,setup!$A$8:$H$58,6),VLOOKUP(N854,setup!$A$8:$H$58,7), VLOOKUP(0,setup!$A$8:$H$58,2),VLOOKUP(0,setup!$A$8:$H$58,5),VLOOKUP(N854,setup!$A$8:$H$58,8))</f>
        <v xml:space="preserve">            $retorno-&gt;msgcode = ConstantesMensagem::COMANDO_REALIZADO_COM_SUCESSO;</v>
      </c>
    </row>
    <row r="855" spans="1:15" x14ac:dyDescent="0.25">
      <c r="A855" s="29" t="s">
        <v>752</v>
      </c>
      <c r="N855">
        <f t="shared" si="9"/>
        <v>11</v>
      </c>
      <c r="O855" s="7" t="str">
        <f ca="1">getCodigoBackend(N855,A855,VLOOKUP(N855,setup!$A$8:$H$58,2),VLOOKUP(N855,setup!$A$8:$H$58,3),VLOOKUP(N855,setup!$A$8:$H$58,4),VLOOKUP(N855,setup!$A$8:$H$58,5),VLOOKUP(N855,setup!$A$8:$H$58,6),VLOOKUP(N855,setup!$A$8:$H$58,7), VLOOKUP(0,setup!$A$8:$H$58,2),VLOOKUP(0,setup!$A$8:$H$58,5),VLOOKUP(N855,setup!$A$8:$H$58,8))</f>
        <v xml:space="preserve">        }       </v>
      </c>
    </row>
    <row r="856" spans="1:15" x14ac:dyDescent="0.25">
      <c r="A856" s="29"/>
      <c r="N856">
        <f t="shared" si="9"/>
        <v>11</v>
      </c>
      <c r="O856" s="7" t="str">
        <f ca="1">getCodigoBackend(N856,A856,VLOOKUP(N856,setup!$A$8:$H$58,2),VLOOKUP(N856,setup!$A$8:$H$58,3),VLOOKUP(N856,setup!$A$8:$H$58,4),VLOOKUP(N856,setup!$A$8:$H$58,5),VLOOKUP(N856,setup!$A$8:$H$58,6),VLOOKUP(N856,setup!$A$8:$H$58,7), VLOOKUP(0,setup!$A$8:$H$58,2),VLOOKUP(0,setup!$A$8:$H$58,5),VLOOKUP(N856,setup!$A$8:$H$58,8))</f>
        <v/>
      </c>
    </row>
    <row r="857" spans="1:15" x14ac:dyDescent="0.25">
      <c r="A857" s="29" t="s">
        <v>753</v>
      </c>
      <c r="N857">
        <f t="shared" si="9"/>
        <v>11</v>
      </c>
      <c r="O857" s="7" t="str">
        <f ca="1">getCodigoBackend(N857,A857,VLOOKUP(N857,setup!$A$8:$H$58,2),VLOOKUP(N857,setup!$A$8:$H$58,3),VLOOKUP(N857,setup!$A$8:$H$58,4),VLOOKUP(N857,setup!$A$8:$H$58,5),VLOOKUP(N857,setup!$A$8:$H$58,6),VLOOKUP(N857,setup!$A$8:$H$58,7), VLOOKUP(0,setup!$A$8:$H$58,2),VLOOKUP(0,setup!$A$8:$H$58,5),VLOOKUP(N857,setup!$A$8:$H$58,8))</f>
        <v xml:space="preserve">        // Obtem o texto da mensagem em razão do código de retorno</v>
      </c>
    </row>
    <row r="858" spans="1:15" x14ac:dyDescent="0.25">
      <c r="A858" s="29" t="s">
        <v>405</v>
      </c>
      <c r="N858">
        <f t="shared" si="9"/>
        <v>11</v>
      </c>
      <c r="O858" s="7" t="str">
        <f ca="1">getCodigoBackend(N858,A858,VLOOKUP(N858,setup!$A$8:$H$58,2),VLOOKUP(N858,setup!$A$8:$H$58,3),VLOOKUP(N858,setup!$A$8:$H$58,4),VLOOKUP(N858,setup!$A$8:$H$58,5),VLOOKUP(N858,setup!$A$8:$H$58,6),VLOOKUP(N858,setup!$A$8:$H$58,7), VLOOKUP(0,setup!$A$8:$H$58,2),VLOOKUP(0,setup!$A$8:$H$58,5),VLOOKUP(N858,setup!$A$8:$H$58,8))</f>
        <v xml:space="preserve">        $retorno-&gt;msgcodeString = MensagemCache::getInstance()-&gt;getMensagem($retorno-&gt;msgcode);</v>
      </c>
    </row>
    <row r="859" spans="1:15" x14ac:dyDescent="0.25">
      <c r="A859" s="29"/>
      <c r="N859">
        <f t="shared" si="9"/>
        <v>11</v>
      </c>
      <c r="O859" s="7" t="str">
        <f ca="1">getCodigoBackend(N859,A859,VLOOKUP(N859,setup!$A$8:$H$58,2),VLOOKUP(N859,setup!$A$8:$H$58,3),VLOOKUP(N859,setup!$A$8:$H$58,4),VLOOKUP(N859,setup!$A$8:$H$58,5),VLOOKUP(N859,setup!$A$8:$H$58,6),VLOOKUP(N859,setup!$A$8:$H$58,7), VLOOKUP(0,setup!$A$8:$H$58,2),VLOOKUP(0,setup!$A$8:$H$58,5),VLOOKUP(N859,setup!$A$8:$H$58,8))</f>
        <v/>
      </c>
    </row>
    <row r="860" spans="1:15" x14ac:dyDescent="0.25">
      <c r="A860" s="29" t="s">
        <v>743</v>
      </c>
      <c r="N860">
        <f t="shared" si="9"/>
        <v>11</v>
      </c>
      <c r="O860" s="7" t="str">
        <f ca="1">getCodigoBackend(N860,A860,VLOOKUP(N860,setup!$A$8:$H$58,2),VLOOKUP(N860,setup!$A$8:$H$58,3),VLOOKUP(N860,setup!$A$8:$H$58,4),VLOOKUP(N860,setup!$A$8:$H$58,5),VLOOKUP(N860,setup!$A$8:$H$58,6),VLOOKUP(N860,setup!$A$8:$H$58,7), VLOOKUP(0,setup!$A$8:$H$58,2),VLOOKUP(0,setup!$A$8:$H$58,5),VLOOKUP(N860,setup!$A$8:$H$58,8))</f>
        <v xml:space="preserve">        return $retorno;</v>
      </c>
    </row>
    <row r="861" spans="1:15" x14ac:dyDescent="0.25">
      <c r="A861" s="29" t="s">
        <v>406</v>
      </c>
      <c r="N861">
        <f t="shared" si="9"/>
        <v>11</v>
      </c>
      <c r="O861" s="7" t="str">
        <f ca="1">getCodigoBackend(N861,A861,VLOOKUP(N861,setup!$A$8:$H$58,2),VLOOKUP(N861,setup!$A$8:$H$58,3),VLOOKUP(N861,setup!$A$8:$H$58,4),VLOOKUP(N861,setup!$A$8:$H$58,5),VLOOKUP(N861,setup!$A$8:$H$58,6),VLOOKUP(N861,setup!$A$8:$H$58,7), VLOOKUP(0,setup!$A$8:$H$58,2),VLOOKUP(0,setup!$A$8:$H$58,5),VLOOKUP(N861,setup!$A$8:$H$58,8))</f>
        <v xml:space="preserve">    }</v>
      </c>
    </row>
    <row r="862" spans="1:15" x14ac:dyDescent="0.25">
      <c r="A862" s="29"/>
      <c r="O862" s="7" t="str">
        <f ca="1">getCodigoBackend(N862,A862,VLOOKUP(N862,setup!$A$8:$H$58,2),VLOOKUP(N862,setup!$A$8:$H$58,3),VLOOKUP(N862,setup!$A$8:$H$58,4),VLOOKUP(N862,setup!$A$8:$H$58,5),VLOOKUP(N862,setup!$A$8:$H$58,6),VLOOKUP(N862,setup!$A$8:$H$58,7), VLOOKUP(0,setup!$A$8:$H$58,2),VLOOKUP(0,setup!$A$8:$H$58,5),VLOOKUP(N862,setup!$A$8:$H$58,8))</f>
        <v/>
      </c>
    </row>
    <row r="863" spans="1:15" x14ac:dyDescent="0.25">
      <c r="A863" s="29" t="s">
        <v>19</v>
      </c>
      <c r="N863">
        <v>1</v>
      </c>
      <c r="O863" s="7" t="str">
        <f ca="1">getCodigoBackend(N863,A863,VLOOKUP(N863,setup!$A$8:$H$58,2),VLOOKUP(N863,setup!$A$8:$H$58,3),VLOOKUP(N863,setup!$A$8:$H$58,4),VLOOKUP(N863,setup!$A$8:$H$58,5),VLOOKUP(N863,setup!$A$8:$H$58,6),VLOOKUP(N863,setup!$A$8:$H$58,7), VLOOKUP(0,setup!$A$8:$H$58,2),VLOOKUP(0,setup!$A$8:$H$58,5),VLOOKUP(N863,setup!$A$8:$H$58,8))</f>
        <v>/**</v>
      </c>
    </row>
    <row r="864" spans="1:15" x14ac:dyDescent="0.25">
      <c r="A864" s="29" t="s">
        <v>20</v>
      </c>
      <c r="N864">
        <v>1</v>
      </c>
      <c r="O864" s="7" t="str">
        <f ca="1">getCodigoBackend(N864,A864,VLOOKUP(N864,setup!$A$8:$H$58,2),VLOOKUP(N864,setup!$A$8:$H$58,3),VLOOKUP(N864,setup!$A$8:$H$58,4),VLOOKUP(N864,setup!$A$8:$H$58,5),VLOOKUP(N864,setup!$A$8:$H$58,6),VLOOKUP(N864,setup!$A$8:$H$58,7), VLOOKUP(0,setup!$A$8:$H$58,2),VLOOKUP(0,setup!$A$8:$H$58,5),VLOOKUP(N864,setup!$A$8:$H$58,8))</f>
        <v>*</v>
      </c>
    </row>
    <row r="865" spans="1:15" x14ac:dyDescent="0.25">
      <c r="A865" s="29" t="s">
        <v>716</v>
      </c>
      <c r="N865">
        <v>1</v>
      </c>
      <c r="O865" s="7" t="str">
        <f ca="1">getCodigoBackend(N865,A865,VLOOKUP(N865,setup!$A$8:$H$58,2),VLOOKUP(N865,setup!$A$8:$H$58,3),VLOOKUP(N865,setup!$A$8:$H$58,4),VLOOKUP(N865,setup!$A$8:$H$58,5),VLOOKUP(N865,setup!$A$8:$H$58,6),VLOOKUP(N865,setup!$A$8:$H$58,7), VLOOKUP(0,setup!$A$8:$H$58,2),VLOOKUP(0,setup!$A$8:$H$58,5),VLOOKUP(N865,setup!$A$8:$H$58,8))</f>
        <v>* pesquisarPorIdcampanhacashback() - Usado para invocar a classe de negócio CampanhaCashbackResgatePixBusinessImpl de forma geral</v>
      </c>
    </row>
    <row r="866" spans="1:15" x14ac:dyDescent="0.25">
      <c r="A866" s="29" t="s">
        <v>717</v>
      </c>
      <c r="N866">
        <v>1</v>
      </c>
      <c r="O866" s="7" t="str">
        <f ca="1">getCodigoBackend(N866,A866,VLOOKUP(N866,setup!$A$8:$H$58,2),VLOOKUP(N866,setup!$A$8:$H$58,3),VLOOKUP(N866,setup!$A$8:$H$58,4),VLOOKUP(N866,setup!$A$8:$H$58,5),VLOOKUP(N866,setup!$A$8:$H$58,6),VLOOKUP(N866,setup!$A$8:$H$58,7), VLOOKUP(0,setup!$A$8:$H$58,2),VLOOKUP(0,setup!$A$8:$H$58,5),VLOOKUP(N866,setup!$A$8:$H$58,8))</f>
        <v>* realizar uma busca de ID Campanha x Cashback diretamente na tabela CAMPANHA_CASHBACK_RESGATE_PIX campo CACA_ID</v>
      </c>
    </row>
    <row r="867" spans="1:15" x14ac:dyDescent="0.25">
      <c r="A867" s="29" t="s">
        <v>20</v>
      </c>
      <c r="N867">
        <v>1</v>
      </c>
      <c r="O867" s="7" t="str">
        <f ca="1">getCodigoBackend(N867,A867,VLOOKUP(N867,setup!$A$8:$H$58,2),VLOOKUP(N867,setup!$A$8:$H$58,3),VLOOKUP(N867,setup!$A$8:$H$58,4),VLOOKUP(N867,setup!$A$8:$H$58,5),VLOOKUP(N867,setup!$A$8:$H$58,6),VLOOKUP(N867,setup!$A$8:$H$58,7), VLOOKUP(0,setup!$A$8:$H$58,2),VLOOKUP(0,setup!$A$8:$H$58,5),VLOOKUP(N867,setup!$A$8:$H$58,8))</f>
        <v>*</v>
      </c>
    </row>
    <row r="868" spans="1:15" x14ac:dyDescent="0.25">
      <c r="A868" s="29" t="s">
        <v>756</v>
      </c>
      <c r="N868">
        <v>1</v>
      </c>
      <c r="O868" s="7" t="str">
        <f ca="1">getCodigoBackend(N868,A868,VLOOKUP(N868,setup!$A$8:$H$58,2),VLOOKUP(N868,setup!$A$8:$H$58,3),VLOOKUP(N868,setup!$A$8:$H$58,4),VLOOKUP(N868,setup!$A$8:$H$58,5),VLOOKUP(N868,setup!$A$8:$H$58,6),VLOOKUP(N868,setup!$A$8:$H$58,7), VLOOKUP(0,setup!$A$8:$H$58,2),VLOOKUP(0,setup!$A$8:$H$58,5),VLOOKUP(N868,setup!$A$8:$H$58,8))</f>
        <v>* @param $idCampanhaCashback</v>
      </c>
    </row>
    <row r="869" spans="1:15" x14ac:dyDescent="0.25">
      <c r="A869" s="29" t="s">
        <v>757</v>
      </c>
      <c r="N869">
        <v>1</v>
      </c>
      <c r="O869" s="7" t="str">
        <f ca="1">getCodigoBackend(N869,A869,VLOOKUP(N869,setup!$A$8:$H$58,2),VLOOKUP(N869,setup!$A$8:$H$58,3),VLOOKUP(N869,setup!$A$8:$H$58,4),VLOOKUP(N869,setup!$A$8:$H$58,5),VLOOKUP(N869,setup!$A$8:$H$58,6),VLOOKUP(N869,setup!$A$8:$H$58,7), VLOOKUP(0,setup!$A$8:$H$58,2),VLOOKUP(0,setup!$A$8:$H$58,5),VLOOKUP(N869,setup!$A$8:$H$58,8))</f>
        <v>* @return CampanhaCashbackResgatePixDTO</v>
      </c>
    </row>
    <row r="870" spans="1:15" x14ac:dyDescent="0.25">
      <c r="A870" s="29" t="s">
        <v>20</v>
      </c>
      <c r="N870">
        <v>1</v>
      </c>
      <c r="O870" s="7" t="str">
        <f ca="1">getCodigoBackend(N870,A870,VLOOKUP(N870,setup!$A$8:$H$58,2),VLOOKUP(N870,setup!$A$8:$H$58,3),VLOOKUP(N870,setup!$A$8:$H$58,4),VLOOKUP(N870,setup!$A$8:$H$58,5),VLOOKUP(N870,setup!$A$8:$H$58,6),VLOOKUP(N870,setup!$A$8:$H$58,7), VLOOKUP(0,setup!$A$8:$H$58,2),VLOOKUP(0,setup!$A$8:$H$58,5),VLOOKUP(N870,setup!$A$8:$H$58,8))</f>
        <v>*</v>
      </c>
    </row>
    <row r="871" spans="1:15" x14ac:dyDescent="0.25">
      <c r="A871" s="29" t="s">
        <v>75</v>
      </c>
      <c r="N871">
        <v>1</v>
      </c>
      <c r="O871" s="7" t="str">
        <f ca="1">getCodigoBackend(N871,A871,VLOOKUP(N871,setup!$A$8:$H$58,2),VLOOKUP(N871,setup!$A$8:$H$58,3),VLOOKUP(N871,setup!$A$8:$H$58,4),VLOOKUP(N871,setup!$A$8:$H$58,5),VLOOKUP(N871,setup!$A$8:$H$58,6),VLOOKUP(N871,setup!$A$8:$H$58,7), VLOOKUP(0,setup!$A$8:$H$58,2),VLOOKUP(0,setup!$A$8:$H$58,5),VLOOKUP(N871,setup!$A$8:$H$58,8))</f>
        <v xml:space="preserve">* </v>
      </c>
    </row>
    <row r="872" spans="1:15" x14ac:dyDescent="0.25">
      <c r="A872" s="29" t="s">
        <v>21</v>
      </c>
      <c r="N872">
        <v>1</v>
      </c>
      <c r="O872" s="7" t="str">
        <f ca="1">getCodigoBackend(N872,A872,VLOOKUP(N872,setup!$A$8:$H$58,2),VLOOKUP(N872,setup!$A$8:$H$58,3),VLOOKUP(N872,setup!$A$8:$H$58,4),VLOOKUP(N872,setup!$A$8:$H$58,5),VLOOKUP(N872,setup!$A$8:$H$58,6),VLOOKUP(N872,setup!$A$8:$H$58,7), VLOOKUP(0,setup!$A$8:$H$58,2),VLOOKUP(0,setup!$A$8:$H$58,5),VLOOKUP(N872,setup!$A$8:$H$58,8))</f>
        <v>*/</v>
      </c>
    </row>
    <row r="873" spans="1:15" x14ac:dyDescent="0.25">
      <c r="A873" s="29" t="s">
        <v>784</v>
      </c>
      <c r="N873">
        <v>1</v>
      </c>
      <c r="O873" s="7" t="str">
        <f ca="1">getCodigoBackend(N873,A873,VLOOKUP(N873,setup!$A$8:$H$58,2),VLOOKUP(N873,setup!$A$8:$H$58,3),VLOOKUP(N873,setup!$A$8:$H$58,4),VLOOKUP(N873,setup!$A$8:$H$58,5),VLOOKUP(N873,setup!$A$8:$H$58,6),VLOOKUP(N873,setup!$A$8:$H$58,7), VLOOKUP(0,setup!$A$8:$H$58,2),VLOOKUP(0,setup!$A$8:$H$58,5),VLOOKUP(N873,setup!$A$8:$H$58,8))</f>
        <v xml:space="preserve">    public function pesquisarPorIdcampanhacashback($daofactory,$idCampanhaCashback)</v>
      </c>
    </row>
    <row r="874" spans="1:15" x14ac:dyDescent="0.25">
      <c r="A874" s="29" t="s">
        <v>758</v>
      </c>
      <c r="N874">
        <v>1</v>
      </c>
      <c r="O874" s="7" t="str">
        <f ca="1">getCodigoBackend(N874,A874,VLOOKUP(N874,setup!$A$8:$H$58,2),VLOOKUP(N874,setup!$A$8:$H$58,3),VLOOKUP(N874,setup!$A$8:$H$58,4),VLOOKUP(N874,setup!$A$8:$H$58,5),VLOOKUP(N874,setup!$A$8:$H$58,6),VLOOKUP(N874,setup!$A$8:$H$58,7), VLOOKUP(0,setup!$A$8:$H$58,2),VLOOKUP(0,setup!$A$8:$H$58,5),VLOOKUP(N874,setup!$A$8:$H$58,8))</f>
        <v xml:space="preserve">    { </v>
      </c>
    </row>
    <row r="875" spans="1:15" x14ac:dyDescent="0.25">
      <c r="A875" s="29" t="s">
        <v>754</v>
      </c>
      <c r="N875">
        <v>1</v>
      </c>
      <c r="O875" s="7" t="str">
        <f ca="1">getCodigoBackend(N875,A875,VLOOKUP(N875,setup!$A$8:$H$58,2),VLOOKUP(N875,setup!$A$8:$H$58,3),VLOOKUP(N875,setup!$A$8:$H$58,4),VLOOKUP(N875,setup!$A$8:$H$58,5),VLOOKUP(N875,setup!$A$8:$H$58,6),VLOOKUP(N875,setup!$A$8:$H$58,7), VLOOKUP(0,setup!$A$8:$H$58,2),VLOOKUP(0,setup!$A$8:$H$58,5),VLOOKUP(N875,setup!$A$8:$H$58,8))</f>
        <v xml:space="preserve">        $dao = $daofactory-&gt;getCampanhaCashbackResgatePixDAO($daofactory);</v>
      </c>
    </row>
    <row r="876" spans="1:15" x14ac:dyDescent="0.25">
      <c r="A876" s="29" t="s">
        <v>759</v>
      </c>
      <c r="N876">
        <v>1</v>
      </c>
      <c r="O876" s="7" t="str">
        <f ca="1">getCodigoBackend(N876,A876,VLOOKUP(N876,setup!$A$8:$H$58,2),VLOOKUP(N876,setup!$A$8:$H$58,3),VLOOKUP(N876,setup!$A$8:$H$58,4),VLOOKUP(N876,setup!$A$8:$H$58,5),VLOOKUP(N876,setup!$A$8:$H$58,6),VLOOKUP(N876,setup!$A$8:$H$58,7), VLOOKUP(0,setup!$A$8:$H$58,2),VLOOKUP(0,setup!$A$8:$H$58,5),VLOOKUP(N876,setup!$A$8:$H$58,8))</f>
        <v xml:space="preserve">        return $dao-&gt;loadIdcampanhacashback($idCampanhaCashback);</v>
      </c>
    </row>
    <row r="877" spans="1:15" x14ac:dyDescent="0.25">
      <c r="A877" s="29" t="s">
        <v>406</v>
      </c>
      <c r="N877">
        <v>1</v>
      </c>
      <c r="O877" s="7" t="str">
        <f ca="1">getCodigoBackend(N877,A877,VLOOKUP(N877,setup!$A$8:$H$58,2),VLOOKUP(N877,setup!$A$8:$H$58,3),VLOOKUP(N877,setup!$A$8:$H$58,4),VLOOKUP(N877,setup!$A$8:$H$58,5),VLOOKUP(N877,setup!$A$8:$H$58,6),VLOOKUP(N877,setup!$A$8:$H$58,7), VLOOKUP(0,setup!$A$8:$H$58,2),VLOOKUP(0,setup!$A$8:$H$58,5),VLOOKUP(N877,setup!$A$8:$H$58,8))</f>
        <v xml:space="preserve">    }</v>
      </c>
    </row>
    <row r="878" spans="1:15" x14ac:dyDescent="0.25">
      <c r="A878" s="29"/>
      <c r="O878" s="7" t="str">
        <f ca="1">getCodigoBackend(N878,A878,VLOOKUP(N878,setup!$A$8:$H$58,2),VLOOKUP(N878,setup!$A$8:$H$58,3),VLOOKUP(N878,setup!$A$8:$H$58,4),VLOOKUP(N878,setup!$A$8:$H$58,5),VLOOKUP(N878,setup!$A$8:$H$58,6),VLOOKUP(N878,setup!$A$8:$H$58,7), VLOOKUP(0,setup!$A$8:$H$58,2),VLOOKUP(0,setup!$A$8:$H$58,5),VLOOKUP(N878,setup!$A$8:$H$58,8))</f>
        <v/>
      </c>
    </row>
    <row r="879" spans="1:15" x14ac:dyDescent="0.25">
      <c r="A879" s="29" t="s">
        <v>19</v>
      </c>
      <c r="N879">
        <f>N877+1</f>
        <v>2</v>
      </c>
      <c r="O879" s="7" t="str">
        <f ca="1">getCodigoBackend(N879,A879,VLOOKUP(N879,setup!$A$8:$H$58,2),VLOOKUP(N879,setup!$A$8:$H$58,3),VLOOKUP(N879,setup!$A$8:$H$58,4),VLOOKUP(N879,setup!$A$8:$H$58,5),VLOOKUP(N879,setup!$A$8:$H$58,6),VLOOKUP(N879,setup!$A$8:$H$58,7), VLOOKUP(0,setup!$A$8:$H$58,2),VLOOKUP(0,setup!$A$8:$H$58,5),VLOOKUP(N879,setup!$A$8:$H$58,8))</f>
        <v>/**</v>
      </c>
    </row>
    <row r="880" spans="1:15" x14ac:dyDescent="0.25">
      <c r="A880" s="29" t="s">
        <v>20</v>
      </c>
      <c r="N880">
        <f>N879</f>
        <v>2</v>
      </c>
      <c r="O880" s="7" t="str">
        <f ca="1">getCodigoBackend(N880,A880,VLOOKUP(N880,setup!$A$8:$H$58,2),VLOOKUP(N880,setup!$A$8:$H$58,3),VLOOKUP(N880,setup!$A$8:$H$58,4),VLOOKUP(N880,setup!$A$8:$H$58,5),VLOOKUP(N880,setup!$A$8:$H$58,6),VLOOKUP(N880,setup!$A$8:$H$58,7), VLOOKUP(0,setup!$A$8:$H$58,2),VLOOKUP(0,setup!$A$8:$H$58,5),VLOOKUP(N880,setup!$A$8:$H$58,8))</f>
        <v>*</v>
      </c>
    </row>
    <row r="881" spans="1:15" x14ac:dyDescent="0.25">
      <c r="A881" s="29" t="s">
        <v>716</v>
      </c>
      <c r="N881">
        <f t="shared" ref="N881:N894" si="10">N880</f>
        <v>2</v>
      </c>
      <c r="O881" s="7" t="str">
        <f ca="1">getCodigoBackend(N881,A881,VLOOKUP(N881,setup!$A$8:$H$58,2),VLOOKUP(N881,setup!$A$8:$H$58,3),VLOOKUP(N881,setup!$A$8:$H$58,4),VLOOKUP(N881,setup!$A$8:$H$58,5),VLOOKUP(N881,setup!$A$8:$H$58,6),VLOOKUP(N881,setup!$A$8:$H$58,7), VLOOKUP(0,setup!$A$8:$H$58,2),VLOOKUP(0,setup!$A$8:$H$58,5),VLOOKUP(N881,setup!$A$8:$H$58,8))</f>
        <v>* pesquisarPorIdusuariosolicitante() - Usado para invocar a classe de negócio CampanhaCashbackResgatePixBusinessImpl de forma geral</v>
      </c>
    </row>
    <row r="882" spans="1:15" x14ac:dyDescent="0.25">
      <c r="A882" s="29" t="s">
        <v>717</v>
      </c>
      <c r="N882">
        <f t="shared" si="10"/>
        <v>2</v>
      </c>
      <c r="O882" s="7" t="str">
        <f ca="1">getCodigoBackend(N882,A882,VLOOKUP(N882,setup!$A$8:$H$58,2),VLOOKUP(N882,setup!$A$8:$H$58,3),VLOOKUP(N882,setup!$A$8:$H$58,4),VLOOKUP(N882,setup!$A$8:$H$58,5),VLOOKUP(N882,setup!$A$8:$H$58,6),VLOOKUP(N882,setup!$A$8:$H$58,7), VLOOKUP(0,setup!$A$8:$H$58,2),VLOOKUP(0,setup!$A$8:$H$58,5),VLOOKUP(N882,setup!$A$8:$H$58,8))</f>
        <v>* realizar uma busca de ID do usuário solicitante diretamente na tabela CAMPANHA_CASHBACK_RESGATE_PIX campo USUA_ID</v>
      </c>
    </row>
    <row r="883" spans="1:15" x14ac:dyDescent="0.25">
      <c r="A883" s="29" t="s">
        <v>20</v>
      </c>
      <c r="N883">
        <f t="shared" si="10"/>
        <v>2</v>
      </c>
      <c r="O883" s="7" t="str">
        <f ca="1">getCodigoBackend(N883,A883,VLOOKUP(N883,setup!$A$8:$H$58,2),VLOOKUP(N883,setup!$A$8:$H$58,3),VLOOKUP(N883,setup!$A$8:$H$58,4),VLOOKUP(N883,setup!$A$8:$H$58,5),VLOOKUP(N883,setup!$A$8:$H$58,6),VLOOKUP(N883,setup!$A$8:$H$58,7), VLOOKUP(0,setup!$A$8:$H$58,2),VLOOKUP(0,setup!$A$8:$H$58,5),VLOOKUP(N883,setup!$A$8:$H$58,8))</f>
        <v>*</v>
      </c>
    </row>
    <row r="884" spans="1:15" x14ac:dyDescent="0.25">
      <c r="A884" s="29" t="s">
        <v>756</v>
      </c>
      <c r="N884">
        <f t="shared" si="10"/>
        <v>2</v>
      </c>
      <c r="O884" s="7" t="str">
        <f ca="1">getCodigoBackend(N884,A884,VLOOKUP(N884,setup!$A$8:$H$58,2),VLOOKUP(N884,setup!$A$8:$H$58,3),VLOOKUP(N884,setup!$A$8:$H$58,4),VLOOKUP(N884,setup!$A$8:$H$58,5),VLOOKUP(N884,setup!$A$8:$H$58,6),VLOOKUP(N884,setup!$A$8:$H$58,7), VLOOKUP(0,setup!$A$8:$H$58,2),VLOOKUP(0,setup!$A$8:$H$58,5),VLOOKUP(N884,setup!$A$8:$H$58,8))</f>
        <v>* @param $idUsuarioSolicitante</v>
      </c>
    </row>
    <row r="885" spans="1:15" x14ac:dyDescent="0.25">
      <c r="A885" s="29" t="s">
        <v>757</v>
      </c>
      <c r="N885">
        <f t="shared" si="10"/>
        <v>2</v>
      </c>
      <c r="O885" s="7" t="str">
        <f ca="1">getCodigoBackend(N885,A885,VLOOKUP(N885,setup!$A$8:$H$58,2),VLOOKUP(N885,setup!$A$8:$H$58,3),VLOOKUP(N885,setup!$A$8:$H$58,4),VLOOKUP(N885,setup!$A$8:$H$58,5),VLOOKUP(N885,setup!$A$8:$H$58,6),VLOOKUP(N885,setup!$A$8:$H$58,7), VLOOKUP(0,setup!$A$8:$H$58,2),VLOOKUP(0,setup!$A$8:$H$58,5),VLOOKUP(N885,setup!$A$8:$H$58,8))</f>
        <v>* @return CampanhaCashbackResgatePixDTO</v>
      </c>
    </row>
    <row r="886" spans="1:15" x14ac:dyDescent="0.25">
      <c r="A886" s="29" t="s">
        <v>20</v>
      </c>
      <c r="N886">
        <f t="shared" si="10"/>
        <v>2</v>
      </c>
      <c r="O886" s="7" t="str">
        <f ca="1">getCodigoBackend(N886,A886,VLOOKUP(N886,setup!$A$8:$H$58,2),VLOOKUP(N886,setup!$A$8:$H$58,3),VLOOKUP(N886,setup!$A$8:$H$58,4),VLOOKUP(N886,setup!$A$8:$H$58,5),VLOOKUP(N886,setup!$A$8:$H$58,6),VLOOKUP(N886,setup!$A$8:$H$58,7), VLOOKUP(0,setup!$A$8:$H$58,2),VLOOKUP(0,setup!$A$8:$H$58,5),VLOOKUP(N886,setup!$A$8:$H$58,8))</f>
        <v>*</v>
      </c>
    </row>
    <row r="887" spans="1:15" x14ac:dyDescent="0.25">
      <c r="A887" s="29" t="s">
        <v>75</v>
      </c>
      <c r="N887">
        <f t="shared" si="10"/>
        <v>2</v>
      </c>
      <c r="O887" s="7" t="str">
        <f ca="1">getCodigoBackend(N887,A887,VLOOKUP(N887,setup!$A$8:$H$58,2),VLOOKUP(N887,setup!$A$8:$H$58,3),VLOOKUP(N887,setup!$A$8:$H$58,4),VLOOKUP(N887,setup!$A$8:$H$58,5),VLOOKUP(N887,setup!$A$8:$H$58,6),VLOOKUP(N887,setup!$A$8:$H$58,7), VLOOKUP(0,setup!$A$8:$H$58,2),VLOOKUP(0,setup!$A$8:$H$58,5),VLOOKUP(N887,setup!$A$8:$H$58,8))</f>
        <v xml:space="preserve">* </v>
      </c>
    </row>
    <row r="888" spans="1:15" x14ac:dyDescent="0.25">
      <c r="A888" s="29" t="s">
        <v>21</v>
      </c>
      <c r="N888">
        <f t="shared" si="10"/>
        <v>2</v>
      </c>
      <c r="O888" s="7" t="str">
        <f ca="1">getCodigoBackend(N888,A888,VLOOKUP(N888,setup!$A$8:$H$58,2),VLOOKUP(N888,setup!$A$8:$H$58,3),VLOOKUP(N888,setup!$A$8:$H$58,4),VLOOKUP(N888,setup!$A$8:$H$58,5),VLOOKUP(N888,setup!$A$8:$H$58,6),VLOOKUP(N888,setup!$A$8:$H$58,7), VLOOKUP(0,setup!$A$8:$H$58,2),VLOOKUP(0,setup!$A$8:$H$58,5),VLOOKUP(N888,setup!$A$8:$H$58,8))</f>
        <v>*/</v>
      </c>
    </row>
    <row r="889" spans="1:15" x14ac:dyDescent="0.25">
      <c r="A889" s="29" t="s">
        <v>784</v>
      </c>
      <c r="N889">
        <f t="shared" si="10"/>
        <v>2</v>
      </c>
      <c r="O889" s="7" t="str">
        <f ca="1">getCodigoBackend(N889,A889,VLOOKUP(N889,setup!$A$8:$H$58,2),VLOOKUP(N889,setup!$A$8:$H$58,3),VLOOKUP(N889,setup!$A$8:$H$58,4),VLOOKUP(N889,setup!$A$8:$H$58,5),VLOOKUP(N889,setup!$A$8:$H$58,6),VLOOKUP(N889,setup!$A$8:$H$58,7), VLOOKUP(0,setup!$A$8:$H$58,2),VLOOKUP(0,setup!$A$8:$H$58,5),VLOOKUP(N889,setup!$A$8:$H$58,8))</f>
        <v xml:space="preserve">    public function pesquisarPorIdusuariosolicitante($daofactory,$idUsuarioSolicitante)</v>
      </c>
    </row>
    <row r="890" spans="1:15" x14ac:dyDescent="0.25">
      <c r="A890" s="29"/>
      <c r="N890">
        <f t="shared" si="10"/>
        <v>2</v>
      </c>
      <c r="O890" s="7" t="str">
        <f ca="1">getCodigoBackend(N890,A890,VLOOKUP(N890,setup!$A$8:$H$58,2),VLOOKUP(N890,setup!$A$8:$H$58,3),VLOOKUP(N890,setup!$A$8:$H$58,4),VLOOKUP(N890,setup!$A$8:$H$58,5),VLOOKUP(N890,setup!$A$8:$H$58,6),VLOOKUP(N890,setup!$A$8:$H$58,7), VLOOKUP(0,setup!$A$8:$H$58,2),VLOOKUP(0,setup!$A$8:$H$58,5),VLOOKUP(N890,setup!$A$8:$H$58,8))</f>
        <v/>
      </c>
    </row>
    <row r="891" spans="1:15" x14ac:dyDescent="0.25">
      <c r="A891" s="29" t="s">
        <v>758</v>
      </c>
      <c r="N891">
        <f t="shared" si="10"/>
        <v>2</v>
      </c>
      <c r="O891" s="7" t="str">
        <f ca="1">getCodigoBackend(N891,A891,VLOOKUP(N891,setup!$A$8:$H$58,2),VLOOKUP(N891,setup!$A$8:$H$58,3),VLOOKUP(N891,setup!$A$8:$H$58,4),VLOOKUP(N891,setup!$A$8:$H$58,5),VLOOKUP(N891,setup!$A$8:$H$58,6),VLOOKUP(N891,setup!$A$8:$H$58,7), VLOOKUP(0,setup!$A$8:$H$58,2),VLOOKUP(0,setup!$A$8:$H$58,5),VLOOKUP(N891,setup!$A$8:$H$58,8))</f>
        <v xml:space="preserve">    { </v>
      </c>
    </row>
    <row r="892" spans="1:15" x14ac:dyDescent="0.25">
      <c r="A892" s="29" t="s">
        <v>754</v>
      </c>
      <c r="N892">
        <f t="shared" si="10"/>
        <v>2</v>
      </c>
      <c r="O892" s="7" t="str">
        <f ca="1">getCodigoBackend(N892,A892,VLOOKUP(N892,setup!$A$8:$H$58,2),VLOOKUP(N892,setup!$A$8:$H$58,3),VLOOKUP(N892,setup!$A$8:$H$58,4),VLOOKUP(N892,setup!$A$8:$H$58,5),VLOOKUP(N892,setup!$A$8:$H$58,6),VLOOKUP(N892,setup!$A$8:$H$58,7), VLOOKUP(0,setup!$A$8:$H$58,2),VLOOKUP(0,setup!$A$8:$H$58,5),VLOOKUP(N892,setup!$A$8:$H$58,8))</f>
        <v xml:space="preserve">        $dao = $daofactory-&gt;getCampanhaCashbackResgatePixDAO($daofactory);</v>
      </c>
    </row>
    <row r="893" spans="1:15" x14ac:dyDescent="0.25">
      <c r="A893" s="29" t="s">
        <v>759</v>
      </c>
      <c r="N893">
        <f t="shared" si="10"/>
        <v>2</v>
      </c>
      <c r="O893" s="7" t="str">
        <f ca="1">getCodigoBackend(N893,A893,VLOOKUP(N893,setup!$A$8:$H$58,2),VLOOKUP(N893,setup!$A$8:$H$58,3),VLOOKUP(N893,setup!$A$8:$H$58,4),VLOOKUP(N893,setup!$A$8:$H$58,5),VLOOKUP(N893,setup!$A$8:$H$58,6),VLOOKUP(N893,setup!$A$8:$H$58,7), VLOOKUP(0,setup!$A$8:$H$58,2),VLOOKUP(0,setup!$A$8:$H$58,5),VLOOKUP(N893,setup!$A$8:$H$58,8))</f>
        <v xml:space="preserve">        return $dao-&gt;loadIdusuariosolicitante($idUsuarioSolicitante);</v>
      </c>
    </row>
    <row r="894" spans="1:15" x14ac:dyDescent="0.25">
      <c r="A894" s="29" t="s">
        <v>406</v>
      </c>
      <c r="N894">
        <f t="shared" si="10"/>
        <v>2</v>
      </c>
      <c r="O894" s="7" t="str">
        <f ca="1">getCodigoBackend(N894,A894,VLOOKUP(N894,setup!$A$8:$H$58,2),VLOOKUP(N894,setup!$A$8:$H$58,3),VLOOKUP(N894,setup!$A$8:$H$58,4),VLOOKUP(N894,setup!$A$8:$H$58,5),VLOOKUP(N894,setup!$A$8:$H$58,6),VLOOKUP(N894,setup!$A$8:$H$58,7), VLOOKUP(0,setup!$A$8:$H$58,2),VLOOKUP(0,setup!$A$8:$H$58,5),VLOOKUP(N894,setup!$A$8:$H$58,8))</f>
        <v xml:space="preserve">    }</v>
      </c>
    </row>
    <row r="895" spans="1:15" x14ac:dyDescent="0.25">
      <c r="A895" s="29"/>
      <c r="O895" s="7" t="str">
        <f ca="1">getCodigoBackend(N895,A895,VLOOKUP(N895,setup!$A$8:$H$58,2),VLOOKUP(N895,setup!$A$8:$H$58,3),VLOOKUP(N895,setup!$A$8:$H$58,4),VLOOKUP(N895,setup!$A$8:$H$58,5),VLOOKUP(N895,setup!$A$8:$H$58,6),VLOOKUP(N895,setup!$A$8:$H$58,7), VLOOKUP(0,setup!$A$8:$H$58,2),VLOOKUP(0,setup!$A$8:$H$58,5),VLOOKUP(N895,setup!$A$8:$H$58,8))</f>
        <v/>
      </c>
    </row>
    <row r="896" spans="1:15" x14ac:dyDescent="0.25">
      <c r="A896" s="29" t="s">
        <v>19</v>
      </c>
      <c r="N896">
        <f>N894+1</f>
        <v>3</v>
      </c>
      <c r="O896" s="7" t="str">
        <f ca="1">getCodigoBackend(N896,A896,VLOOKUP(N896,setup!$A$8:$H$58,2),VLOOKUP(N896,setup!$A$8:$H$58,3),VLOOKUP(N896,setup!$A$8:$H$58,4),VLOOKUP(N896,setup!$A$8:$H$58,5),VLOOKUP(N896,setup!$A$8:$H$58,6),VLOOKUP(N896,setup!$A$8:$H$58,7), VLOOKUP(0,setup!$A$8:$H$58,2),VLOOKUP(0,setup!$A$8:$H$58,5),VLOOKUP(N896,setup!$A$8:$H$58,8))</f>
        <v>/**</v>
      </c>
    </row>
    <row r="897" spans="1:15" x14ac:dyDescent="0.25">
      <c r="A897" s="29" t="s">
        <v>20</v>
      </c>
      <c r="N897">
        <f>N896</f>
        <v>3</v>
      </c>
      <c r="O897" s="7" t="str">
        <f ca="1">getCodigoBackend(N897,A897,VLOOKUP(N897,setup!$A$8:$H$58,2),VLOOKUP(N897,setup!$A$8:$H$58,3),VLOOKUP(N897,setup!$A$8:$H$58,4),VLOOKUP(N897,setup!$A$8:$H$58,5),VLOOKUP(N897,setup!$A$8:$H$58,6),VLOOKUP(N897,setup!$A$8:$H$58,7), VLOOKUP(0,setup!$A$8:$H$58,2),VLOOKUP(0,setup!$A$8:$H$58,5),VLOOKUP(N897,setup!$A$8:$H$58,8))</f>
        <v>*</v>
      </c>
    </row>
    <row r="898" spans="1:15" x14ac:dyDescent="0.25">
      <c r="A898" s="29" t="s">
        <v>716</v>
      </c>
      <c r="N898">
        <f t="shared" ref="N898:N911" si="11">N897</f>
        <v>3</v>
      </c>
      <c r="O898" s="7" t="str">
        <f ca="1">getCodigoBackend(N898,A898,VLOOKUP(N898,setup!$A$8:$H$58,2),VLOOKUP(N898,setup!$A$8:$H$58,3),VLOOKUP(N898,setup!$A$8:$H$58,4),VLOOKUP(N898,setup!$A$8:$H$58,5),VLOOKUP(N898,setup!$A$8:$H$58,6),VLOOKUP(N898,setup!$A$8:$H$58,7), VLOOKUP(0,setup!$A$8:$H$58,2),VLOOKUP(0,setup!$A$8:$H$58,5),VLOOKUP(N898,setup!$A$8:$H$58,8))</f>
        <v>* pesquisarPorTipochavepix() - Usado para invocar a classe de negócio CampanhaCashbackResgatePixBusinessImpl de forma geral</v>
      </c>
    </row>
    <row r="899" spans="1:15" x14ac:dyDescent="0.25">
      <c r="A899" s="29" t="s">
        <v>717</v>
      </c>
      <c r="N899">
        <f t="shared" si="11"/>
        <v>3</v>
      </c>
      <c r="O899" s="7" t="str">
        <f ca="1">getCodigoBackend(N899,A899,VLOOKUP(N899,setup!$A$8:$H$58,2),VLOOKUP(N899,setup!$A$8:$H$58,3),VLOOKUP(N899,setup!$A$8:$H$58,4),VLOOKUP(N899,setup!$A$8:$H$58,5),VLOOKUP(N899,setup!$A$8:$H$58,6),VLOOKUP(N899,setup!$A$8:$H$58,7), VLOOKUP(0,setup!$A$8:$H$58,2),VLOOKUP(0,setup!$A$8:$H$58,5),VLOOKUP(N899,setup!$A$8:$H$58,8))</f>
        <v>* realizar uma busca de Tipo da Chave PIX diretamente na tabela CAMPANHA_CASHBACK_RESGATE_PIX campo CCRP_IN_TIPO_CHAVE_PIX</v>
      </c>
    </row>
    <row r="900" spans="1:15" x14ac:dyDescent="0.25">
      <c r="A900" s="29" t="s">
        <v>20</v>
      </c>
      <c r="N900">
        <f t="shared" si="11"/>
        <v>3</v>
      </c>
      <c r="O900" s="7" t="str">
        <f ca="1">getCodigoBackend(N900,A900,VLOOKUP(N900,setup!$A$8:$H$58,2),VLOOKUP(N900,setup!$A$8:$H$58,3),VLOOKUP(N900,setup!$A$8:$H$58,4),VLOOKUP(N900,setup!$A$8:$H$58,5),VLOOKUP(N900,setup!$A$8:$H$58,6),VLOOKUP(N900,setup!$A$8:$H$58,7), VLOOKUP(0,setup!$A$8:$H$58,2),VLOOKUP(0,setup!$A$8:$H$58,5),VLOOKUP(N900,setup!$A$8:$H$58,8))</f>
        <v>*</v>
      </c>
    </row>
    <row r="901" spans="1:15" x14ac:dyDescent="0.25">
      <c r="A901" s="29" t="s">
        <v>756</v>
      </c>
      <c r="N901">
        <f t="shared" si="11"/>
        <v>3</v>
      </c>
      <c r="O901" s="7" t="str">
        <f ca="1">getCodigoBackend(N901,A901,VLOOKUP(N901,setup!$A$8:$H$58,2),VLOOKUP(N901,setup!$A$8:$H$58,3),VLOOKUP(N901,setup!$A$8:$H$58,4),VLOOKUP(N901,setup!$A$8:$H$58,5),VLOOKUP(N901,setup!$A$8:$H$58,6),VLOOKUP(N901,setup!$A$8:$H$58,7), VLOOKUP(0,setup!$A$8:$H$58,2),VLOOKUP(0,setup!$A$8:$H$58,5),VLOOKUP(N901,setup!$A$8:$H$58,8))</f>
        <v>* @param $tipoChavePix</v>
      </c>
    </row>
    <row r="902" spans="1:15" x14ac:dyDescent="0.25">
      <c r="A902" s="29" t="s">
        <v>757</v>
      </c>
      <c r="N902">
        <f t="shared" si="11"/>
        <v>3</v>
      </c>
      <c r="O902" s="7" t="str">
        <f ca="1">getCodigoBackend(N902,A902,VLOOKUP(N902,setup!$A$8:$H$58,2),VLOOKUP(N902,setup!$A$8:$H$58,3),VLOOKUP(N902,setup!$A$8:$H$58,4),VLOOKUP(N902,setup!$A$8:$H$58,5),VLOOKUP(N902,setup!$A$8:$H$58,6),VLOOKUP(N902,setup!$A$8:$H$58,7), VLOOKUP(0,setup!$A$8:$H$58,2),VLOOKUP(0,setup!$A$8:$H$58,5),VLOOKUP(N902,setup!$A$8:$H$58,8))</f>
        <v>* @return CampanhaCashbackResgatePixDTO</v>
      </c>
    </row>
    <row r="903" spans="1:15" x14ac:dyDescent="0.25">
      <c r="A903" s="29" t="s">
        <v>20</v>
      </c>
      <c r="N903">
        <f t="shared" si="11"/>
        <v>3</v>
      </c>
      <c r="O903" s="7" t="str">
        <f ca="1">getCodigoBackend(N903,A903,VLOOKUP(N903,setup!$A$8:$H$58,2),VLOOKUP(N903,setup!$A$8:$H$58,3),VLOOKUP(N903,setup!$A$8:$H$58,4),VLOOKUP(N903,setup!$A$8:$H$58,5),VLOOKUP(N903,setup!$A$8:$H$58,6),VLOOKUP(N903,setup!$A$8:$H$58,7), VLOOKUP(0,setup!$A$8:$H$58,2),VLOOKUP(0,setup!$A$8:$H$58,5),VLOOKUP(N903,setup!$A$8:$H$58,8))</f>
        <v>*</v>
      </c>
    </row>
    <row r="904" spans="1:15" x14ac:dyDescent="0.25">
      <c r="A904" s="29" t="s">
        <v>75</v>
      </c>
      <c r="N904">
        <f t="shared" si="11"/>
        <v>3</v>
      </c>
      <c r="O904" s="7" t="str">
        <f ca="1">getCodigoBackend(N904,A904,VLOOKUP(N904,setup!$A$8:$H$58,2),VLOOKUP(N904,setup!$A$8:$H$58,3),VLOOKUP(N904,setup!$A$8:$H$58,4),VLOOKUP(N904,setup!$A$8:$H$58,5),VLOOKUP(N904,setup!$A$8:$H$58,6),VLOOKUP(N904,setup!$A$8:$H$58,7), VLOOKUP(0,setup!$A$8:$H$58,2),VLOOKUP(0,setup!$A$8:$H$58,5),VLOOKUP(N904,setup!$A$8:$H$58,8))</f>
        <v xml:space="preserve">* </v>
      </c>
    </row>
    <row r="905" spans="1:15" x14ac:dyDescent="0.25">
      <c r="A905" s="29" t="s">
        <v>21</v>
      </c>
      <c r="N905">
        <f t="shared" si="11"/>
        <v>3</v>
      </c>
      <c r="O905" s="7" t="str">
        <f ca="1">getCodigoBackend(N905,A905,VLOOKUP(N905,setup!$A$8:$H$58,2),VLOOKUP(N905,setup!$A$8:$H$58,3),VLOOKUP(N905,setup!$A$8:$H$58,4),VLOOKUP(N905,setup!$A$8:$H$58,5),VLOOKUP(N905,setup!$A$8:$H$58,6),VLOOKUP(N905,setup!$A$8:$H$58,7), VLOOKUP(0,setup!$A$8:$H$58,2),VLOOKUP(0,setup!$A$8:$H$58,5),VLOOKUP(N905,setup!$A$8:$H$58,8))</f>
        <v>*/</v>
      </c>
    </row>
    <row r="906" spans="1:15" x14ac:dyDescent="0.25">
      <c r="A906" s="29" t="s">
        <v>784</v>
      </c>
      <c r="N906">
        <f t="shared" si="11"/>
        <v>3</v>
      </c>
      <c r="O906" s="7" t="str">
        <f ca="1">getCodigoBackend(N906,A906,VLOOKUP(N906,setup!$A$8:$H$58,2),VLOOKUP(N906,setup!$A$8:$H$58,3),VLOOKUP(N906,setup!$A$8:$H$58,4),VLOOKUP(N906,setup!$A$8:$H$58,5),VLOOKUP(N906,setup!$A$8:$H$58,6),VLOOKUP(N906,setup!$A$8:$H$58,7), VLOOKUP(0,setup!$A$8:$H$58,2),VLOOKUP(0,setup!$A$8:$H$58,5),VLOOKUP(N906,setup!$A$8:$H$58,8))</f>
        <v xml:space="preserve">    public function pesquisarPorTipochavepix($daofactory,$tipoChavePix)</v>
      </c>
    </row>
    <row r="907" spans="1:15" x14ac:dyDescent="0.25">
      <c r="A907" s="29"/>
      <c r="N907">
        <f t="shared" si="11"/>
        <v>3</v>
      </c>
      <c r="O907" s="7" t="str">
        <f ca="1">getCodigoBackend(N907,A907,VLOOKUP(N907,setup!$A$8:$H$58,2),VLOOKUP(N907,setup!$A$8:$H$58,3),VLOOKUP(N907,setup!$A$8:$H$58,4),VLOOKUP(N907,setup!$A$8:$H$58,5),VLOOKUP(N907,setup!$A$8:$H$58,6),VLOOKUP(N907,setup!$A$8:$H$58,7), VLOOKUP(0,setup!$A$8:$H$58,2),VLOOKUP(0,setup!$A$8:$H$58,5),VLOOKUP(N907,setup!$A$8:$H$58,8))</f>
        <v/>
      </c>
    </row>
    <row r="908" spans="1:15" x14ac:dyDescent="0.25">
      <c r="A908" s="29" t="s">
        <v>758</v>
      </c>
      <c r="N908">
        <f t="shared" si="11"/>
        <v>3</v>
      </c>
      <c r="O908" s="7" t="str">
        <f ca="1">getCodigoBackend(N908,A908,VLOOKUP(N908,setup!$A$8:$H$58,2),VLOOKUP(N908,setup!$A$8:$H$58,3),VLOOKUP(N908,setup!$A$8:$H$58,4),VLOOKUP(N908,setup!$A$8:$H$58,5),VLOOKUP(N908,setup!$A$8:$H$58,6),VLOOKUP(N908,setup!$A$8:$H$58,7), VLOOKUP(0,setup!$A$8:$H$58,2),VLOOKUP(0,setup!$A$8:$H$58,5),VLOOKUP(N908,setup!$A$8:$H$58,8))</f>
        <v xml:space="preserve">    { </v>
      </c>
    </row>
    <row r="909" spans="1:15" x14ac:dyDescent="0.25">
      <c r="A909" s="29" t="s">
        <v>754</v>
      </c>
      <c r="N909">
        <f t="shared" si="11"/>
        <v>3</v>
      </c>
      <c r="O909" s="7" t="str">
        <f ca="1">getCodigoBackend(N909,A909,VLOOKUP(N909,setup!$A$8:$H$58,2),VLOOKUP(N909,setup!$A$8:$H$58,3),VLOOKUP(N909,setup!$A$8:$H$58,4),VLOOKUP(N909,setup!$A$8:$H$58,5),VLOOKUP(N909,setup!$A$8:$H$58,6),VLOOKUP(N909,setup!$A$8:$H$58,7), VLOOKUP(0,setup!$A$8:$H$58,2),VLOOKUP(0,setup!$A$8:$H$58,5),VLOOKUP(N909,setup!$A$8:$H$58,8))</f>
        <v xml:space="preserve">        $dao = $daofactory-&gt;getCampanhaCashbackResgatePixDAO($daofactory);</v>
      </c>
    </row>
    <row r="910" spans="1:15" x14ac:dyDescent="0.25">
      <c r="A910" s="29" t="s">
        <v>759</v>
      </c>
      <c r="N910">
        <f t="shared" si="11"/>
        <v>3</v>
      </c>
      <c r="O910" s="7" t="str">
        <f ca="1">getCodigoBackend(N910,A910,VLOOKUP(N910,setup!$A$8:$H$58,2),VLOOKUP(N910,setup!$A$8:$H$58,3),VLOOKUP(N910,setup!$A$8:$H$58,4),VLOOKUP(N910,setup!$A$8:$H$58,5),VLOOKUP(N910,setup!$A$8:$H$58,6),VLOOKUP(N910,setup!$A$8:$H$58,7), VLOOKUP(0,setup!$A$8:$H$58,2),VLOOKUP(0,setup!$A$8:$H$58,5),VLOOKUP(N910,setup!$A$8:$H$58,8))</f>
        <v xml:space="preserve">        return $dao-&gt;loadTipochavepix($tipoChavePix);</v>
      </c>
    </row>
    <row r="911" spans="1:15" x14ac:dyDescent="0.25">
      <c r="A911" s="29" t="s">
        <v>406</v>
      </c>
      <c r="N911">
        <f t="shared" si="11"/>
        <v>3</v>
      </c>
      <c r="O911" s="7" t="str">
        <f ca="1">getCodigoBackend(N911,A911,VLOOKUP(N911,setup!$A$8:$H$58,2),VLOOKUP(N911,setup!$A$8:$H$58,3),VLOOKUP(N911,setup!$A$8:$H$58,4),VLOOKUP(N911,setup!$A$8:$H$58,5),VLOOKUP(N911,setup!$A$8:$H$58,6),VLOOKUP(N911,setup!$A$8:$H$58,7), VLOOKUP(0,setup!$A$8:$H$58,2),VLOOKUP(0,setup!$A$8:$H$58,5),VLOOKUP(N911,setup!$A$8:$H$58,8))</f>
        <v xml:space="preserve">    }</v>
      </c>
    </row>
    <row r="912" spans="1:15" x14ac:dyDescent="0.25">
      <c r="A912" s="29"/>
      <c r="O912" s="7" t="str">
        <f ca="1">getCodigoBackend(N912,A912,VLOOKUP(N912,setup!$A$8:$H$58,2),VLOOKUP(N912,setup!$A$8:$H$58,3),VLOOKUP(N912,setup!$A$8:$H$58,4),VLOOKUP(N912,setup!$A$8:$H$58,5),VLOOKUP(N912,setup!$A$8:$H$58,6),VLOOKUP(N912,setup!$A$8:$H$58,7), VLOOKUP(0,setup!$A$8:$H$58,2),VLOOKUP(0,setup!$A$8:$H$58,5),VLOOKUP(N912,setup!$A$8:$H$58,8))</f>
        <v/>
      </c>
    </row>
    <row r="913" spans="1:15" x14ac:dyDescent="0.25">
      <c r="A913" s="29" t="s">
        <v>19</v>
      </c>
      <c r="N913">
        <f>N911+1</f>
        <v>4</v>
      </c>
      <c r="O913" s="7" t="str">
        <f ca="1">getCodigoBackend(N913,A913,VLOOKUP(N913,setup!$A$8:$H$58,2),VLOOKUP(N913,setup!$A$8:$H$58,3),VLOOKUP(N913,setup!$A$8:$H$58,4),VLOOKUP(N913,setup!$A$8:$H$58,5),VLOOKUP(N913,setup!$A$8:$H$58,6),VLOOKUP(N913,setup!$A$8:$H$58,7), VLOOKUP(0,setup!$A$8:$H$58,2),VLOOKUP(0,setup!$A$8:$H$58,5),VLOOKUP(N913,setup!$A$8:$H$58,8))</f>
        <v>/**</v>
      </c>
    </row>
    <row r="914" spans="1:15" x14ac:dyDescent="0.25">
      <c r="A914" s="29" t="s">
        <v>20</v>
      </c>
      <c r="N914">
        <f>N913</f>
        <v>4</v>
      </c>
      <c r="O914" s="7" t="str">
        <f ca="1">getCodigoBackend(N914,A914,VLOOKUP(N914,setup!$A$8:$H$58,2),VLOOKUP(N914,setup!$A$8:$H$58,3),VLOOKUP(N914,setup!$A$8:$H$58,4),VLOOKUP(N914,setup!$A$8:$H$58,5),VLOOKUP(N914,setup!$A$8:$H$58,6),VLOOKUP(N914,setup!$A$8:$H$58,7), VLOOKUP(0,setup!$A$8:$H$58,2),VLOOKUP(0,setup!$A$8:$H$58,5),VLOOKUP(N914,setup!$A$8:$H$58,8))</f>
        <v>*</v>
      </c>
    </row>
    <row r="915" spans="1:15" x14ac:dyDescent="0.25">
      <c r="A915" s="29" t="s">
        <v>716</v>
      </c>
      <c r="N915">
        <f t="shared" ref="N915:N928" si="12">N914</f>
        <v>4</v>
      </c>
      <c r="O915" s="7" t="str">
        <f ca="1">getCodigoBackend(N915,A915,VLOOKUP(N915,setup!$A$8:$H$58,2),VLOOKUP(N915,setup!$A$8:$H$58,3),VLOOKUP(N915,setup!$A$8:$H$58,4),VLOOKUP(N915,setup!$A$8:$H$58,5),VLOOKUP(N915,setup!$A$8:$H$58,6),VLOOKUP(N915,setup!$A$8:$H$58,7), VLOOKUP(0,setup!$A$8:$H$58,2),VLOOKUP(0,setup!$A$8:$H$58,5),VLOOKUP(N915,setup!$A$8:$H$58,8))</f>
        <v>* pesquisarPorChavepix() - Usado para invocar a classe de negócio CampanhaCashbackResgatePixBusinessImpl de forma geral</v>
      </c>
    </row>
    <row r="916" spans="1:15" x14ac:dyDescent="0.25">
      <c r="A916" s="29" t="s">
        <v>717</v>
      </c>
      <c r="N916">
        <f t="shared" si="12"/>
        <v>4</v>
      </c>
      <c r="O916" s="7" t="str">
        <f ca="1">getCodigoBackend(N916,A916,VLOOKUP(N916,setup!$A$8:$H$58,2),VLOOKUP(N916,setup!$A$8:$H$58,3),VLOOKUP(N916,setup!$A$8:$H$58,4),VLOOKUP(N916,setup!$A$8:$H$58,5),VLOOKUP(N916,setup!$A$8:$H$58,6),VLOOKUP(N916,setup!$A$8:$H$58,7), VLOOKUP(0,setup!$A$8:$H$58,2),VLOOKUP(0,setup!$A$8:$H$58,5),VLOOKUP(N916,setup!$A$8:$H$58,8))</f>
        <v>* realizar uma busca de Chave PIX diretamente na tabela CAMPANHA_CASHBACK_RESGATE_PIX campo CCRP_TX_CHAVE_PIX</v>
      </c>
    </row>
    <row r="917" spans="1:15" x14ac:dyDescent="0.25">
      <c r="A917" s="29" t="s">
        <v>20</v>
      </c>
      <c r="N917">
        <f t="shared" si="12"/>
        <v>4</v>
      </c>
      <c r="O917" s="7" t="str">
        <f ca="1">getCodigoBackend(N917,A917,VLOOKUP(N917,setup!$A$8:$H$58,2),VLOOKUP(N917,setup!$A$8:$H$58,3),VLOOKUP(N917,setup!$A$8:$H$58,4),VLOOKUP(N917,setup!$A$8:$H$58,5),VLOOKUP(N917,setup!$A$8:$H$58,6),VLOOKUP(N917,setup!$A$8:$H$58,7), VLOOKUP(0,setup!$A$8:$H$58,2),VLOOKUP(0,setup!$A$8:$H$58,5),VLOOKUP(N917,setup!$A$8:$H$58,8))</f>
        <v>*</v>
      </c>
    </row>
    <row r="918" spans="1:15" x14ac:dyDescent="0.25">
      <c r="A918" s="29" t="s">
        <v>756</v>
      </c>
      <c r="N918">
        <f t="shared" si="12"/>
        <v>4</v>
      </c>
      <c r="O918" s="7" t="str">
        <f ca="1">getCodigoBackend(N918,A918,VLOOKUP(N918,setup!$A$8:$H$58,2),VLOOKUP(N918,setup!$A$8:$H$58,3),VLOOKUP(N918,setup!$A$8:$H$58,4),VLOOKUP(N918,setup!$A$8:$H$58,5),VLOOKUP(N918,setup!$A$8:$H$58,6),VLOOKUP(N918,setup!$A$8:$H$58,7), VLOOKUP(0,setup!$A$8:$H$58,2),VLOOKUP(0,setup!$A$8:$H$58,5),VLOOKUP(N918,setup!$A$8:$H$58,8))</f>
        <v>* @param $chavePix</v>
      </c>
    </row>
    <row r="919" spans="1:15" x14ac:dyDescent="0.25">
      <c r="A919" s="29" t="s">
        <v>757</v>
      </c>
      <c r="N919">
        <f t="shared" si="12"/>
        <v>4</v>
      </c>
      <c r="O919" s="7" t="str">
        <f ca="1">getCodigoBackend(N919,A919,VLOOKUP(N919,setup!$A$8:$H$58,2),VLOOKUP(N919,setup!$A$8:$H$58,3),VLOOKUP(N919,setup!$A$8:$H$58,4),VLOOKUP(N919,setup!$A$8:$H$58,5),VLOOKUP(N919,setup!$A$8:$H$58,6),VLOOKUP(N919,setup!$A$8:$H$58,7), VLOOKUP(0,setup!$A$8:$H$58,2),VLOOKUP(0,setup!$A$8:$H$58,5),VLOOKUP(N919,setup!$A$8:$H$58,8))</f>
        <v>* @return CampanhaCashbackResgatePixDTO</v>
      </c>
    </row>
    <row r="920" spans="1:15" x14ac:dyDescent="0.25">
      <c r="A920" s="29" t="s">
        <v>20</v>
      </c>
      <c r="N920">
        <f t="shared" si="12"/>
        <v>4</v>
      </c>
      <c r="O920" s="7" t="str">
        <f ca="1">getCodigoBackend(N920,A920,VLOOKUP(N920,setup!$A$8:$H$58,2),VLOOKUP(N920,setup!$A$8:$H$58,3),VLOOKUP(N920,setup!$A$8:$H$58,4),VLOOKUP(N920,setup!$A$8:$H$58,5),VLOOKUP(N920,setup!$A$8:$H$58,6),VLOOKUP(N920,setup!$A$8:$H$58,7), VLOOKUP(0,setup!$A$8:$H$58,2),VLOOKUP(0,setup!$A$8:$H$58,5),VLOOKUP(N920,setup!$A$8:$H$58,8))</f>
        <v>*</v>
      </c>
    </row>
    <row r="921" spans="1:15" x14ac:dyDescent="0.25">
      <c r="A921" s="29" t="s">
        <v>75</v>
      </c>
      <c r="N921">
        <f t="shared" si="12"/>
        <v>4</v>
      </c>
      <c r="O921" s="7" t="str">
        <f ca="1">getCodigoBackend(N921,A921,VLOOKUP(N921,setup!$A$8:$H$58,2),VLOOKUP(N921,setup!$A$8:$H$58,3),VLOOKUP(N921,setup!$A$8:$H$58,4),VLOOKUP(N921,setup!$A$8:$H$58,5),VLOOKUP(N921,setup!$A$8:$H$58,6),VLOOKUP(N921,setup!$A$8:$H$58,7), VLOOKUP(0,setup!$A$8:$H$58,2),VLOOKUP(0,setup!$A$8:$H$58,5),VLOOKUP(N921,setup!$A$8:$H$58,8))</f>
        <v xml:space="preserve">* </v>
      </c>
    </row>
    <row r="922" spans="1:15" x14ac:dyDescent="0.25">
      <c r="A922" s="29" t="s">
        <v>21</v>
      </c>
      <c r="N922">
        <f t="shared" si="12"/>
        <v>4</v>
      </c>
      <c r="O922" s="7" t="str">
        <f ca="1">getCodigoBackend(N922,A922,VLOOKUP(N922,setup!$A$8:$H$58,2),VLOOKUP(N922,setup!$A$8:$H$58,3),VLOOKUP(N922,setup!$A$8:$H$58,4),VLOOKUP(N922,setup!$A$8:$H$58,5),VLOOKUP(N922,setup!$A$8:$H$58,6),VLOOKUP(N922,setup!$A$8:$H$58,7), VLOOKUP(0,setup!$A$8:$H$58,2),VLOOKUP(0,setup!$A$8:$H$58,5),VLOOKUP(N922,setup!$A$8:$H$58,8))</f>
        <v>*/</v>
      </c>
    </row>
    <row r="923" spans="1:15" x14ac:dyDescent="0.25">
      <c r="A923" s="29" t="s">
        <v>784</v>
      </c>
      <c r="N923">
        <f t="shared" si="12"/>
        <v>4</v>
      </c>
      <c r="O923" s="7" t="str">
        <f ca="1">getCodigoBackend(N923,A923,VLOOKUP(N923,setup!$A$8:$H$58,2),VLOOKUP(N923,setup!$A$8:$H$58,3),VLOOKUP(N923,setup!$A$8:$H$58,4),VLOOKUP(N923,setup!$A$8:$H$58,5),VLOOKUP(N923,setup!$A$8:$H$58,6),VLOOKUP(N923,setup!$A$8:$H$58,7), VLOOKUP(0,setup!$A$8:$H$58,2),VLOOKUP(0,setup!$A$8:$H$58,5),VLOOKUP(N923,setup!$A$8:$H$58,8))</f>
        <v xml:space="preserve">    public function pesquisarPorChavepix($daofactory,$chavePix)</v>
      </c>
    </row>
    <row r="924" spans="1:15" x14ac:dyDescent="0.25">
      <c r="A924" s="29"/>
      <c r="N924">
        <f t="shared" si="12"/>
        <v>4</v>
      </c>
      <c r="O924" s="7" t="str">
        <f ca="1">getCodigoBackend(N924,A924,VLOOKUP(N924,setup!$A$8:$H$58,2),VLOOKUP(N924,setup!$A$8:$H$58,3),VLOOKUP(N924,setup!$A$8:$H$58,4),VLOOKUP(N924,setup!$A$8:$H$58,5),VLOOKUP(N924,setup!$A$8:$H$58,6),VLOOKUP(N924,setup!$A$8:$H$58,7), VLOOKUP(0,setup!$A$8:$H$58,2),VLOOKUP(0,setup!$A$8:$H$58,5),VLOOKUP(N924,setup!$A$8:$H$58,8))</f>
        <v/>
      </c>
    </row>
    <row r="925" spans="1:15" x14ac:dyDescent="0.25">
      <c r="A925" s="29" t="s">
        <v>758</v>
      </c>
      <c r="N925">
        <f t="shared" si="12"/>
        <v>4</v>
      </c>
      <c r="O925" s="7" t="str">
        <f ca="1">getCodigoBackend(N925,A925,VLOOKUP(N925,setup!$A$8:$H$58,2),VLOOKUP(N925,setup!$A$8:$H$58,3),VLOOKUP(N925,setup!$A$8:$H$58,4),VLOOKUP(N925,setup!$A$8:$H$58,5),VLOOKUP(N925,setup!$A$8:$H$58,6),VLOOKUP(N925,setup!$A$8:$H$58,7), VLOOKUP(0,setup!$A$8:$H$58,2),VLOOKUP(0,setup!$A$8:$H$58,5),VLOOKUP(N925,setup!$A$8:$H$58,8))</f>
        <v xml:space="preserve">    { </v>
      </c>
    </row>
    <row r="926" spans="1:15" x14ac:dyDescent="0.25">
      <c r="A926" s="29" t="s">
        <v>754</v>
      </c>
      <c r="N926">
        <f t="shared" si="12"/>
        <v>4</v>
      </c>
      <c r="O926" s="7" t="str">
        <f ca="1">getCodigoBackend(N926,A926,VLOOKUP(N926,setup!$A$8:$H$58,2),VLOOKUP(N926,setup!$A$8:$H$58,3),VLOOKUP(N926,setup!$A$8:$H$58,4),VLOOKUP(N926,setup!$A$8:$H$58,5),VLOOKUP(N926,setup!$A$8:$H$58,6),VLOOKUP(N926,setup!$A$8:$H$58,7), VLOOKUP(0,setup!$A$8:$H$58,2),VLOOKUP(0,setup!$A$8:$H$58,5),VLOOKUP(N926,setup!$A$8:$H$58,8))</f>
        <v xml:space="preserve">        $dao = $daofactory-&gt;getCampanhaCashbackResgatePixDAO($daofactory);</v>
      </c>
    </row>
    <row r="927" spans="1:15" x14ac:dyDescent="0.25">
      <c r="A927" s="29" t="s">
        <v>759</v>
      </c>
      <c r="N927">
        <f t="shared" si="12"/>
        <v>4</v>
      </c>
      <c r="O927" s="7" t="str">
        <f ca="1">getCodigoBackend(N927,A927,VLOOKUP(N927,setup!$A$8:$H$58,2),VLOOKUP(N927,setup!$A$8:$H$58,3),VLOOKUP(N927,setup!$A$8:$H$58,4),VLOOKUP(N927,setup!$A$8:$H$58,5),VLOOKUP(N927,setup!$A$8:$H$58,6),VLOOKUP(N927,setup!$A$8:$H$58,7), VLOOKUP(0,setup!$A$8:$H$58,2),VLOOKUP(0,setup!$A$8:$H$58,5),VLOOKUP(N927,setup!$A$8:$H$58,8))</f>
        <v xml:space="preserve">        return $dao-&gt;loadChavepix($chavePix);</v>
      </c>
    </row>
    <row r="928" spans="1:15" x14ac:dyDescent="0.25">
      <c r="A928" s="29" t="s">
        <v>406</v>
      </c>
      <c r="N928">
        <f t="shared" si="12"/>
        <v>4</v>
      </c>
      <c r="O928" s="7" t="str">
        <f ca="1">getCodigoBackend(N928,A928,VLOOKUP(N928,setup!$A$8:$H$58,2),VLOOKUP(N928,setup!$A$8:$H$58,3),VLOOKUP(N928,setup!$A$8:$H$58,4),VLOOKUP(N928,setup!$A$8:$H$58,5),VLOOKUP(N928,setup!$A$8:$H$58,6),VLOOKUP(N928,setup!$A$8:$H$58,7), VLOOKUP(0,setup!$A$8:$H$58,2),VLOOKUP(0,setup!$A$8:$H$58,5),VLOOKUP(N928,setup!$A$8:$H$58,8))</f>
        <v xml:space="preserve">    }</v>
      </c>
    </row>
    <row r="929" spans="1:15" x14ac:dyDescent="0.25">
      <c r="O929" s="7" t="str">
        <f ca="1">getCodigoBackend(N929,A929,VLOOKUP(N929,setup!$A$8:$H$58,2),VLOOKUP(N929,setup!$A$8:$H$58,3),VLOOKUP(N929,setup!$A$8:$H$58,4),VLOOKUP(N929,setup!$A$8:$H$58,5),VLOOKUP(N929,setup!$A$8:$H$58,6),VLOOKUP(N929,setup!$A$8:$H$58,7), VLOOKUP(0,setup!$A$8:$H$58,2),VLOOKUP(0,setup!$A$8:$H$58,5),VLOOKUP(N929,setup!$A$8:$H$58,8))</f>
        <v/>
      </c>
    </row>
    <row r="930" spans="1:15" x14ac:dyDescent="0.25">
      <c r="A930" s="29" t="s">
        <v>19</v>
      </c>
      <c r="N930">
        <f>N928+1</f>
        <v>5</v>
      </c>
      <c r="O930" s="7" t="str">
        <f ca="1">getCodigoBackend(N930,A930,VLOOKUP(N930,setup!$A$8:$H$58,2),VLOOKUP(N930,setup!$A$8:$H$58,3),VLOOKUP(N930,setup!$A$8:$H$58,4),VLOOKUP(N930,setup!$A$8:$H$58,5),VLOOKUP(N930,setup!$A$8:$H$58,6),VLOOKUP(N930,setup!$A$8:$H$58,7), VLOOKUP(0,setup!$A$8:$H$58,2),VLOOKUP(0,setup!$A$8:$H$58,5),VLOOKUP(N930,setup!$A$8:$H$58,8))</f>
        <v>/**</v>
      </c>
    </row>
    <row r="931" spans="1:15" x14ac:dyDescent="0.25">
      <c r="A931" s="29" t="s">
        <v>20</v>
      </c>
      <c r="N931">
        <f>N930</f>
        <v>5</v>
      </c>
      <c r="O931" s="7" t="str">
        <f ca="1">getCodigoBackend(N931,A931,VLOOKUP(N931,setup!$A$8:$H$58,2),VLOOKUP(N931,setup!$A$8:$H$58,3),VLOOKUP(N931,setup!$A$8:$H$58,4),VLOOKUP(N931,setup!$A$8:$H$58,5),VLOOKUP(N931,setup!$A$8:$H$58,6),VLOOKUP(N931,setup!$A$8:$H$58,7), VLOOKUP(0,setup!$A$8:$H$58,2),VLOOKUP(0,setup!$A$8:$H$58,5),VLOOKUP(N931,setup!$A$8:$H$58,8))</f>
        <v>*</v>
      </c>
    </row>
    <row r="932" spans="1:15" x14ac:dyDescent="0.25">
      <c r="A932" s="29" t="s">
        <v>716</v>
      </c>
      <c r="N932">
        <f t="shared" ref="N932:N945" si="13">N931</f>
        <v>5</v>
      </c>
      <c r="O932" s="7" t="str">
        <f ca="1">getCodigoBackend(N932,A932,VLOOKUP(N932,setup!$A$8:$H$58,2),VLOOKUP(N932,setup!$A$8:$H$58,3),VLOOKUP(N932,setup!$A$8:$H$58,4),VLOOKUP(N932,setup!$A$8:$H$58,5),VLOOKUP(N932,setup!$A$8:$H$58,6),VLOOKUP(N932,setup!$A$8:$H$58,7), VLOOKUP(0,setup!$A$8:$H$58,2),VLOOKUP(0,setup!$A$8:$H$58,5),VLOOKUP(N932,setup!$A$8:$H$58,8))</f>
        <v>* pesquisarPorValorresgate() - Usado para invocar a classe de negócio CampanhaCashbackResgatePixBusinessImpl de forma geral</v>
      </c>
    </row>
    <row r="933" spans="1:15" x14ac:dyDescent="0.25">
      <c r="A933" s="29" t="s">
        <v>717</v>
      </c>
      <c r="N933">
        <f t="shared" si="13"/>
        <v>5</v>
      </c>
      <c r="O933" s="7" t="str">
        <f ca="1">getCodigoBackend(N933,A933,VLOOKUP(N933,setup!$A$8:$H$58,2),VLOOKUP(N933,setup!$A$8:$H$58,3),VLOOKUP(N933,setup!$A$8:$H$58,4),VLOOKUP(N933,setup!$A$8:$H$58,5),VLOOKUP(N933,setup!$A$8:$H$58,6),VLOOKUP(N933,setup!$A$8:$H$58,7), VLOOKUP(0,setup!$A$8:$H$58,2),VLOOKUP(0,setup!$A$8:$H$58,5),VLOOKUP(N933,setup!$A$8:$H$58,8))</f>
        <v>* realizar uma busca de Valor Pretendido a Resgatar diretamente na tabela CAMPANHA_CASHBACK_RESGATE_PIX campo CCRP_VL_RESGATE</v>
      </c>
    </row>
    <row r="934" spans="1:15" x14ac:dyDescent="0.25">
      <c r="A934" s="29" t="s">
        <v>20</v>
      </c>
      <c r="N934">
        <f t="shared" si="13"/>
        <v>5</v>
      </c>
      <c r="O934" s="7" t="str">
        <f ca="1">getCodigoBackend(N934,A934,VLOOKUP(N934,setup!$A$8:$H$58,2),VLOOKUP(N934,setup!$A$8:$H$58,3),VLOOKUP(N934,setup!$A$8:$H$58,4),VLOOKUP(N934,setup!$A$8:$H$58,5),VLOOKUP(N934,setup!$A$8:$H$58,6),VLOOKUP(N934,setup!$A$8:$H$58,7), VLOOKUP(0,setup!$A$8:$H$58,2),VLOOKUP(0,setup!$A$8:$H$58,5),VLOOKUP(N934,setup!$A$8:$H$58,8))</f>
        <v>*</v>
      </c>
    </row>
    <row r="935" spans="1:15" x14ac:dyDescent="0.25">
      <c r="A935" s="29" t="s">
        <v>756</v>
      </c>
      <c r="N935">
        <f t="shared" si="13"/>
        <v>5</v>
      </c>
      <c r="O935" s="7" t="str">
        <f ca="1">getCodigoBackend(N935,A935,VLOOKUP(N935,setup!$A$8:$H$58,2),VLOOKUP(N935,setup!$A$8:$H$58,3),VLOOKUP(N935,setup!$A$8:$H$58,4),VLOOKUP(N935,setup!$A$8:$H$58,5),VLOOKUP(N935,setup!$A$8:$H$58,6),VLOOKUP(N935,setup!$A$8:$H$58,7), VLOOKUP(0,setup!$A$8:$H$58,2),VLOOKUP(0,setup!$A$8:$H$58,5),VLOOKUP(N935,setup!$A$8:$H$58,8))</f>
        <v>* @param $valorResgate</v>
      </c>
    </row>
    <row r="936" spans="1:15" x14ac:dyDescent="0.25">
      <c r="A936" s="29" t="s">
        <v>757</v>
      </c>
      <c r="N936">
        <f t="shared" si="13"/>
        <v>5</v>
      </c>
      <c r="O936" s="7" t="str">
        <f ca="1">getCodigoBackend(N936,A936,VLOOKUP(N936,setup!$A$8:$H$58,2),VLOOKUP(N936,setup!$A$8:$H$58,3),VLOOKUP(N936,setup!$A$8:$H$58,4),VLOOKUP(N936,setup!$A$8:$H$58,5),VLOOKUP(N936,setup!$A$8:$H$58,6),VLOOKUP(N936,setup!$A$8:$H$58,7), VLOOKUP(0,setup!$A$8:$H$58,2),VLOOKUP(0,setup!$A$8:$H$58,5),VLOOKUP(N936,setup!$A$8:$H$58,8))</f>
        <v>* @return CampanhaCashbackResgatePixDTO</v>
      </c>
    </row>
    <row r="937" spans="1:15" x14ac:dyDescent="0.25">
      <c r="A937" s="29" t="s">
        <v>20</v>
      </c>
      <c r="N937">
        <f t="shared" si="13"/>
        <v>5</v>
      </c>
      <c r="O937" s="7" t="str">
        <f ca="1">getCodigoBackend(N937,A937,VLOOKUP(N937,setup!$A$8:$H$58,2),VLOOKUP(N937,setup!$A$8:$H$58,3),VLOOKUP(N937,setup!$A$8:$H$58,4),VLOOKUP(N937,setup!$A$8:$H$58,5),VLOOKUP(N937,setup!$A$8:$H$58,6),VLOOKUP(N937,setup!$A$8:$H$58,7), VLOOKUP(0,setup!$A$8:$H$58,2),VLOOKUP(0,setup!$A$8:$H$58,5),VLOOKUP(N937,setup!$A$8:$H$58,8))</f>
        <v>*</v>
      </c>
    </row>
    <row r="938" spans="1:15" x14ac:dyDescent="0.25">
      <c r="A938" s="29" t="s">
        <v>75</v>
      </c>
      <c r="N938">
        <f t="shared" si="13"/>
        <v>5</v>
      </c>
      <c r="O938" s="7" t="str">
        <f ca="1">getCodigoBackend(N938,A938,VLOOKUP(N938,setup!$A$8:$H$58,2),VLOOKUP(N938,setup!$A$8:$H$58,3),VLOOKUP(N938,setup!$A$8:$H$58,4),VLOOKUP(N938,setup!$A$8:$H$58,5),VLOOKUP(N938,setup!$A$8:$H$58,6),VLOOKUP(N938,setup!$A$8:$H$58,7), VLOOKUP(0,setup!$A$8:$H$58,2),VLOOKUP(0,setup!$A$8:$H$58,5),VLOOKUP(N938,setup!$A$8:$H$58,8))</f>
        <v xml:space="preserve">* </v>
      </c>
    </row>
    <row r="939" spans="1:15" x14ac:dyDescent="0.25">
      <c r="A939" s="29" t="s">
        <v>21</v>
      </c>
      <c r="N939">
        <f t="shared" si="13"/>
        <v>5</v>
      </c>
      <c r="O939" s="7" t="str">
        <f ca="1">getCodigoBackend(N939,A939,VLOOKUP(N939,setup!$A$8:$H$58,2),VLOOKUP(N939,setup!$A$8:$H$58,3),VLOOKUP(N939,setup!$A$8:$H$58,4),VLOOKUP(N939,setup!$A$8:$H$58,5),VLOOKUP(N939,setup!$A$8:$H$58,6),VLOOKUP(N939,setup!$A$8:$H$58,7), VLOOKUP(0,setup!$A$8:$H$58,2),VLOOKUP(0,setup!$A$8:$H$58,5),VLOOKUP(N939,setup!$A$8:$H$58,8))</f>
        <v>*/</v>
      </c>
    </row>
    <row r="940" spans="1:15" x14ac:dyDescent="0.25">
      <c r="A940" s="29" t="s">
        <v>784</v>
      </c>
      <c r="N940">
        <f t="shared" si="13"/>
        <v>5</v>
      </c>
      <c r="O940" s="7" t="str">
        <f ca="1">getCodigoBackend(N940,A940,VLOOKUP(N940,setup!$A$8:$H$58,2),VLOOKUP(N940,setup!$A$8:$H$58,3),VLOOKUP(N940,setup!$A$8:$H$58,4),VLOOKUP(N940,setup!$A$8:$H$58,5),VLOOKUP(N940,setup!$A$8:$H$58,6),VLOOKUP(N940,setup!$A$8:$H$58,7), VLOOKUP(0,setup!$A$8:$H$58,2),VLOOKUP(0,setup!$A$8:$H$58,5),VLOOKUP(N940,setup!$A$8:$H$58,8))</f>
        <v xml:space="preserve">    public function pesquisarPorValorresgate($daofactory,$valorResgate)</v>
      </c>
    </row>
    <row r="941" spans="1:15" x14ac:dyDescent="0.25">
      <c r="A941" s="29"/>
      <c r="N941">
        <f t="shared" si="13"/>
        <v>5</v>
      </c>
      <c r="O941" s="7" t="str">
        <f ca="1">getCodigoBackend(N941,A941,VLOOKUP(N941,setup!$A$8:$H$58,2),VLOOKUP(N941,setup!$A$8:$H$58,3),VLOOKUP(N941,setup!$A$8:$H$58,4),VLOOKUP(N941,setup!$A$8:$H$58,5),VLOOKUP(N941,setup!$A$8:$H$58,6),VLOOKUP(N941,setup!$A$8:$H$58,7), VLOOKUP(0,setup!$A$8:$H$58,2),VLOOKUP(0,setup!$A$8:$H$58,5),VLOOKUP(N941,setup!$A$8:$H$58,8))</f>
        <v/>
      </c>
    </row>
    <row r="942" spans="1:15" x14ac:dyDescent="0.25">
      <c r="A942" s="29" t="s">
        <v>758</v>
      </c>
      <c r="N942">
        <f t="shared" si="13"/>
        <v>5</v>
      </c>
      <c r="O942" s="7" t="str">
        <f ca="1">getCodigoBackend(N942,A942,VLOOKUP(N942,setup!$A$8:$H$58,2),VLOOKUP(N942,setup!$A$8:$H$58,3),VLOOKUP(N942,setup!$A$8:$H$58,4),VLOOKUP(N942,setup!$A$8:$H$58,5),VLOOKUP(N942,setup!$A$8:$H$58,6),VLOOKUP(N942,setup!$A$8:$H$58,7), VLOOKUP(0,setup!$A$8:$H$58,2),VLOOKUP(0,setup!$A$8:$H$58,5),VLOOKUP(N942,setup!$A$8:$H$58,8))</f>
        <v xml:space="preserve">    { </v>
      </c>
    </row>
    <row r="943" spans="1:15" x14ac:dyDescent="0.25">
      <c r="A943" s="29" t="s">
        <v>754</v>
      </c>
      <c r="N943">
        <f t="shared" si="13"/>
        <v>5</v>
      </c>
      <c r="O943" s="7" t="str">
        <f ca="1">getCodigoBackend(N943,A943,VLOOKUP(N943,setup!$A$8:$H$58,2),VLOOKUP(N943,setup!$A$8:$H$58,3),VLOOKUP(N943,setup!$A$8:$H$58,4),VLOOKUP(N943,setup!$A$8:$H$58,5),VLOOKUP(N943,setup!$A$8:$H$58,6),VLOOKUP(N943,setup!$A$8:$H$58,7), VLOOKUP(0,setup!$A$8:$H$58,2),VLOOKUP(0,setup!$A$8:$H$58,5),VLOOKUP(N943,setup!$A$8:$H$58,8))</f>
        <v xml:space="preserve">        $dao = $daofactory-&gt;getCampanhaCashbackResgatePixDAO($daofactory);</v>
      </c>
    </row>
    <row r="944" spans="1:15" x14ac:dyDescent="0.25">
      <c r="A944" s="29" t="s">
        <v>759</v>
      </c>
      <c r="N944">
        <f t="shared" si="13"/>
        <v>5</v>
      </c>
      <c r="O944" s="7" t="str">
        <f ca="1">getCodigoBackend(N944,A944,VLOOKUP(N944,setup!$A$8:$H$58,2),VLOOKUP(N944,setup!$A$8:$H$58,3),VLOOKUP(N944,setup!$A$8:$H$58,4),VLOOKUP(N944,setup!$A$8:$H$58,5),VLOOKUP(N944,setup!$A$8:$H$58,6),VLOOKUP(N944,setup!$A$8:$H$58,7), VLOOKUP(0,setup!$A$8:$H$58,2),VLOOKUP(0,setup!$A$8:$H$58,5),VLOOKUP(N944,setup!$A$8:$H$58,8))</f>
        <v xml:space="preserve">        return $dao-&gt;loadValorresgate($valorResgate);</v>
      </c>
    </row>
    <row r="945" spans="1:15" x14ac:dyDescent="0.25">
      <c r="A945" s="29" t="s">
        <v>406</v>
      </c>
      <c r="N945">
        <f t="shared" si="13"/>
        <v>5</v>
      </c>
      <c r="O945" s="7" t="str">
        <f ca="1">getCodigoBackend(N945,A945,VLOOKUP(N945,setup!$A$8:$H$58,2),VLOOKUP(N945,setup!$A$8:$H$58,3),VLOOKUP(N945,setup!$A$8:$H$58,4),VLOOKUP(N945,setup!$A$8:$H$58,5),VLOOKUP(N945,setup!$A$8:$H$58,6),VLOOKUP(N945,setup!$A$8:$H$58,7), VLOOKUP(0,setup!$A$8:$H$58,2),VLOOKUP(0,setup!$A$8:$H$58,5),VLOOKUP(N945,setup!$A$8:$H$58,8))</f>
        <v xml:space="preserve">    }</v>
      </c>
    </row>
    <row r="946" spans="1:15" x14ac:dyDescent="0.25">
      <c r="O946" s="7" t="str">
        <f ca="1">getCodigoBackend(N946,A946,VLOOKUP(N946,setup!$A$8:$H$58,2),VLOOKUP(N946,setup!$A$8:$H$58,3),VLOOKUP(N946,setup!$A$8:$H$58,4),VLOOKUP(N946,setup!$A$8:$H$58,5),VLOOKUP(N946,setup!$A$8:$H$58,6),VLOOKUP(N946,setup!$A$8:$H$58,7), VLOOKUP(0,setup!$A$8:$H$58,2),VLOOKUP(0,setup!$A$8:$H$58,5),VLOOKUP(N946,setup!$A$8:$H$58,8))</f>
        <v/>
      </c>
    </row>
    <row r="947" spans="1:15" x14ac:dyDescent="0.25">
      <c r="A947" s="29" t="s">
        <v>19</v>
      </c>
      <c r="N947">
        <f>N945+1</f>
        <v>6</v>
      </c>
      <c r="O947" s="7" t="str">
        <f ca="1">getCodigoBackend(N947,A947,VLOOKUP(N947,setup!$A$8:$H$58,2),VLOOKUP(N947,setup!$A$8:$H$58,3),VLOOKUP(N947,setup!$A$8:$H$58,4),VLOOKUP(N947,setup!$A$8:$H$58,5),VLOOKUP(N947,setup!$A$8:$H$58,6),VLOOKUP(N947,setup!$A$8:$H$58,7), VLOOKUP(0,setup!$A$8:$H$58,2),VLOOKUP(0,setup!$A$8:$H$58,5),VLOOKUP(N947,setup!$A$8:$H$58,8))</f>
        <v>/**</v>
      </c>
    </row>
    <row r="948" spans="1:15" x14ac:dyDescent="0.25">
      <c r="A948" s="29" t="s">
        <v>20</v>
      </c>
      <c r="N948">
        <f>N947</f>
        <v>6</v>
      </c>
      <c r="O948" s="7" t="str">
        <f ca="1">getCodigoBackend(N948,A948,VLOOKUP(N948,setup!$A$8:$H$58,2),VLOOKUP(N948,setup!$A$8:$H$58,3),VLOOKUP(N948,setup!$A$8:$H$58,4),VLOOKUP(N948,setup!$A$8:$H$58,5),VLOOKUP(N948,setup!$A$8:$H$58,6),VLOOKUP(N948,setup!$A$8:$H$58,7), VLOOKUP(0,setup!$A$8:$H$58,2),VLOOKUP(0,setup!$A$8:$H$58,5),VLOOKUP(N948,setup!$A$8:$H$58,8))</f>
        <v>*</v>
      </c>
    </row>
    <row r="949" spans="1:15" x14ac:dyDescent="0.25">
      <c r="A949" s="29" t="s">
        <v>716</v>
      </c>
      <c r="N949">
        <f t="shared" ref="N949:N962" si="14">N948</f>
        <v>6</v>
      </c>
      <c r="O949" s="7" t="str">
        <f ca="1">getCodigoBackend(N949,A949,VLOOKUP(N949,setup!$A$8:$H$58,2),VLOOKUP(N949,setup!$A$8:$H$58,3),VLOOKUP(N949,setup!$A$8:$H$58,4),VLOOKUP(N949,setup!$A$8:$H$58,5),VLOOKUP(N949,setup!$A$8:$H$58,6),VLOOKUP(N949,setup!$A$8:$H$58,7), VLOOKUP(0,setup!$A$8:$H$58,2),VLOOKUP(0,setup!$A$8:$H$58,5),VLOOKUP(N949,setup!$A$8:$H$58,8))</f>
        <v>* pesquisarPorAutenticacaobco() - Usado para invocar a classe de negócio CampanhaCashbackResgatePixBusinessImpl de forma geral</v>
      </c>
    </row>
    <row r="950" spans="1:15" x14ac:dyDescent="0.25">
      <c r="A950" s="29" t="s">
        <v>717</v>
      </c>
      <c r="N950">
        <f t="shared" si="14"/>
        <v>6</v>
      </c>
      <c r="O950" s="7" t="str">
        <f ca="1">getCodigoBackend(N950,A950,VLOOKUP(N950,setup!$A$8:$H$58,2),VLOOKUP(N950,setup!$A$8:$H$58,3),VLOOKUP(N950,setup!$A$8:$H$58,4),VLOOKUP(N950,setup!$A$8:$H$58,5),VLOOKUP(N950,setup!$A$8:$H$58,6),VLOOKUP(N950,setup!$A$8:$H$58,7), VLOOKUP(0,setup!$A$8:$H$58,2),VLOOKUP(0,setup!$A$8:$H$58,5),VLOOKUP(N950,setup!$A$8:$H$58,8))</f>
        <v>* realizar uma busca de Autenticação do Banco diretamente na tabela CAMPANHA_CASHBACK_RESGATE_PIX campo CCRP_TX_AUTENT_BCO</v>
      </c>
    </row>
    <row r="951" spans="1:15" x14ac:dyDescent="0.25">
      <c r="A951" s="29" t="s">
        <v>20</v>
      </c>
      <c r="N951">
        <f t="shared" si="14"/>
        <v>6</v>
      </c>
      <c r="O951" s="7" t="str">
        <f ca="1">getCodigoBackend(N951,A951,VLOOKUP(N951,setup!$A$8:$H$58,2),VLOOKUP(N951,setup!$A$8:$H$58,3),VLOOKUP(N951,setup!$A$8:$H$58,4),VLOOKUP(N951,setup!$A$8:$H$58,5),VLOOKUP(N951,setup!$A$8:$H$58,6),VLOOKUP(N951,setup!$A$8:$H$58,7), VLOOKUP(0,setup!$A$8:$H$58,2),VLOOKUP(0,setup!$A$8:$H$58,5),VLOOKUP(N951,setup!$A$8:$H$58,8))</f>
        <v>*</v>
      </c>
    </row>
    <row r="952" spans="1:15" x14ac:dyDescent="0.25">
      <c r="A952" s="29" t="s">
        <v>756</v>
      </c>
      <c r="N952">
        <f t="shared" si="14"/>
        <v>6</v>
      </c>
      <c r="O952" s="7" t="str">
        <f ca="1">getCodigoBackend(N952,A952,VLOOKUP(N952,setup!$A$8:$H$58,2),VLOOKUP(N952,setup!$A$8:$H$58,3),VLOOKUP(N952,setup!$A$8:$H$58,4),VLOOKUP(N952,setup!$A$8:$H$58,5),VLOOKUP(N952,setup!$A$8:$H$58,6),VLOOKUP(N952,setup!$A$8:$H$58,7), VLOOKUP(0,setup!$A$8:$H$58,2),VLOOKUP(0,setup!$A$8:$H$58,5),VLOOKUP(N952,setup!$A$8:$H$58,8))</f>
        <v>* @param $autenticacaoBco</v>
      </c>
    </row>
    <row r="953" spans="1:15" x14ac:dyDescent="0.25">
      <c r="A953" s="29" t="s">
        <v>757</v>
      </c>
      <c r="N953">
        <f t="shared" si="14"/>
        <v>6</v>
      </c>
      <c r="O953" s="7" t="str">
        <f ca="1">getCodigoBackend(N953,A953,VLOOKUP(N953,setup!$A$8:$H$58,2),VLOOKUP(N953,setup!$A$8:$H$58,3),VLOOKUP(N953,setup!$A$8:$H$58,4),VLOOKUP(N953,setup!$A$8:$H$58,5),VLOOKUP(N953,setup!$A$8:$H$58,6),VLOOKUP(N953,setup!$A$8:$H$58,7), VLOOKUP(0,setup!$A$8:$H$58,2),VLOOKUP(0,setup!$A$8:$H$58,5),VLOOKUP(N953,setup!$A$8:$H$58,8))</f>
        <v>* @return CampanhaCashbackResgatePixDTO</v>
      </c>
    </row>
    <row r="954" spans="1:15" x14ac:dyDescent="0.25">
      <c r="A954" s="29" t="s">
        <v>20</v>
      </c>
      <c r="N954">
        <f t="shared" si="14"/>
        <v>6</v>
      </c>
      <c r="O954" s="7" t="str">
        <f ca="1">getCodigoBackend(N954,A954,VLOOKUP(N954,setup!$A$8:$H$58,2),VLOOKUP(N954,setup!$A$8:$H$58,3),VLOOKUP(N954,setup!$A$8:$H$58,4),VLOOKUP(N954,setup!$A$8:$H$58,5),VLOOKUP(N954,setup!$A$8:$H$58,6),VLOOKUP(N954,setup!$A$8:$H$58,7), VLOOKUP(0,setup!$A$8:$H$58,2),VLOOKUP(0,setup!$A$8:$H$58,5),VLOOKUP(N954,setup!$A$8:$H$58,8))</f>
        <v>*</v>
      </c>
    </row>
    <row r="955" spans="1:15" x14ac:dyDescent="0.25">
      <c r="A955" s="29" t="s">
        <v>75</v>
      </c>
      <c r="N955">
        <f t="shared" si="14"/>
        <v>6</v>
      </c>
      <c r="O955" s="7" t="str">
        <f ca="1">getCodigoBackend(N955,A955,VLOOKUP(N955,setup!$A$8:$H$58,2),VLOOKUP(N955,setup!$A$8:$H$58,3),VLOOKUP(N955,setup!$A$8:$H$58,4),VLOOKUP(N955,setup!$A$8:$H$58,5),VLOOKUP(N955,setup!$A$8:$H$58,6),VLOOKUP(N955,setup!$A$8:$H$58,7), VLOOKUP(0,setup!$A$8:$H$58,2),VLOOKUP(0,setup!$A$8:$H$58,5),VLOOKUP(N955,setup!$A$8:$H$58,8))</f>
        <v xml:space="preserve">* </v>
      </c>
    </row>
    <row r="956" spans="1:15" x14ac:dyDescent="0.25">
      <c r="A956" s="29" t="s">
        <v>21</v>
      </c>
      <c r="N956">
        <f t="shared" si="14"/>
        <v>6</v>
      </c>
      <c r="O956" s="7" t="str">
        <f ca="1">getCodigoBackend(N956,A956,VLOOKUP(N956,setup!$A$8:$H$58,2),VLOOKUP(N956,setup!$A$8:$H$58,3),VLOOKUP(N956,setup!$A$8:$H$58,4),VLOOKUP(N956,setup!$A$8:$H$58,5),VLOOKUP(N956,setup!$A$8:$H$58,6),VLOOKUP(N956,setup!$A$8:$H$58,7), VLOOKUP(0,setup!$A$8:$H$58,2),VLOOKUP(0,setup!$A$8:$H$58,5),VLOOKUP(N956,setup!$A$8:$H$58,8))</f>
        <v>*/</v>
      </c>
    </row>
    <row r="957" spans="1:15" x14ac:dyDescent="0.25">
      <c r="A957" s="29" t="s">
        <v>784</v>
      </c>
      <c r="N957">
        <f t="shared" si="14"/>
        <v>6</v>
      </c>
      <c r="O957" s="7" t="str">
        <f ca="1">getCodigoBackend(N957,A957,VLOOKUP(N957,setup!$A$8:$H$58,2),VLOOKUP(N957,setup!$A$8:$H$58,3),VLOOKUP(N957,setup!$A$8:$H$58,4),VLOOKUP(N957,setup!$A$8:$H$58,5),VLOOKUP(N957,setup!$A$8:$H$58,6),VLOOKUP(N957,setup!$A$8:$H$58,7), VLOOKUP(0,setup!$A$8:$H$58,2),VLOOKUP(0,setup!$A$8:$H$58,5),VLOOKUP(N957,setup!$A$8:$H$58,8))</f>
        <v xml:space="preserve">    public function pesquisarPorAutenticacaobco($daofactory,$autenticacaoBco)</v>
      </c>
    </row>
    <row r="958" spans="1:15" x14ac:dyDescent="0.25">
      <c r="A958" s="29"/>
      <c r="N958">
        <f t="shared" si="14"/>
        <v>6</v>
      </c>
      <c r="O958" s="7" t="str">
        <f ca="1">getCodigoBackend(N958,A958,VLOOKUP(N958,setup!$A$8:$H$58,2),VLOOKUP(N958,setup!$A$8:$H$58,3),VLOOKUP(N958,setup!$A$8:$H$58,4),VLOOKUP(N958,setup!$A$8:$H$58,5),VLOOKUP(N958,setup!$A$8:$H$58,6),VLOOKUP(N958,setup!$A$8:$H$58,7), VLOOKUP(0,setup!$A$8:$H$58,2),VLOOKUP(0,setup!$A$8:$H$58,5),VLOOKUP(N958,setup!$A$8:$H$58,8))</f>
        <v/>
      </c>
    </row>
    <row r="959" spans="1:15" x14ac:dyDescent="0.25">
      <c r="A959" s="29" t="s">
        <v>758</v>
      </c>
      <c r="N959">
        <f t="shared" si="14"/>
        <v>6</v>
      </c>
      <c r="O959" s="7" t="str">
        <f ca="1">getCodigoBackend(N959,A959,VLOOKUP(N959,setup!$A$8:$H$58,2),VLOOKUP(N959,setup!$A$8:$H$58,3),VLOOKUP(N959,setup!$A$8:$H$58,4),VLOOKUP(N959,setup!$A$8:$H$58,5),VLOOKUP(N959,setup!$A$8:$H$58,6),VLOOKUP(N959,setup!$A$8:$H$58,7), VLOOKUP(0,setup!$A$8:$H$58,2),VLOOKUP(0,setup!$A$8:$H$58,5),VLOOKUP(N959,setup!$A$8:$H$58,8))</f>
        <v xml:space="preserve">    { </v>
      </c>
    </row>
    <row r="960" spans="1:15" x14ac:dyDescent="0.25">
      <c r="A960" s="29" t="s">
        <v>754</v>
      </c>
      <c r="N960">
        <f t="shared" si="14"/>
        <v>6</v>
      </c>
      <c r="O960" s="7" t="str">
        <f ca="1">getCodigoBackend(N960,A960,VLOOKUP(N960,setup!$A$8:$H$58,2),VLOOKUP(N960,setup!$A$8:$H$58,3),VLOOKUP(N960,setup!$A$8:$H$58,4),VLOOKUP(N960,setup!$A$8:$H$58,5),VLOOKUP(N960,setup!$A$8:$H$58,6),VLOOKUP(N960,setup!$A$8:$H$58,7), VLOOKUP(0,setup!$A$8:$H$58,2),VLOOKUP(0,setup!$A$8:$H$58,5),VLOOKUP(N960,setup!$A$8:$H$58,8))</f>
        <v xml:space="preserve">        $dao = $daofactory-&gt;getCampanhaCashbackResgatePixDAO($daofactory);</v>
      </c>
    </row>
    <row r="961" spans="1:15" x14ac:dyDescent="0.25">
      <c r="A961" s="29" t="s">
        <v>759</v>
      </c>
      <c r="N961">
        <f t="shared" si="14"/>
        <v>6</v>
      </c>
      <c r="O961" s="7" t="str">
        <f ca="1">getCodigoBackend(N961,A961,VLOOKUP(N961,setup!$A$8:$H$58,2),VLOOKUP(N961,setup!$A$8:$H$58,3),VLOOKUP(N961,setup!$A$8:$H$58,4),VLOOKUP(N961,setup!$A$8:$H$58,5),VLOOKUP(N961,setup!$A$8:$H$58,6),VLOOKUP(N961,setup!$A$8:$H$58,7), VLOOKUP(0,setup!$A$8:$H$58,2),VLOOKUP(0,setup!$A$8:$H$58,5),VLOOKUP(N961,setup!$A$8:$H$58,8))</f>
        <v xml:space="preserve">        return $dao-&gt;loadAutenticacaobco($autenticacaoBco);</v>
      </c>
    </row>
    <row r="962" spans="1:15" x14ac:dyDescent="0.25">
      <c r="A962" s="29" t="s">
        <v>406</v>
      </c>
      <c r="N962">
        <f t="shared" si="14"/>
        <v>6</v>
      </c>
      <c r="O962" s="7" t="str">
        <f ca="1">getCodigoBackend(N962,A962,VLOOKUP(N962,setup!$A$8:$H$58,2),VLOOKUP(N962,setup!$A$8:$H$58,3),VLOOKUP(N962,setup!$A$8:$H$58,4),VLOOKUP(N962,setup!$A$8:$H$58,5),VLOOKUP(N962,setup!$A$8:$H$58,6),VLOOKUP(N962,setup!$A$8:$H$58,7), VLOOKUP(0,setup!$A$8:$H$58,2),VLOOKUP(0,setup!$A$8:$H$58,5),VLOOKUP(N962,setup!$A$8:$H$58,8))</f>
        <v xml:space="preserve">    }</v>
      </c>
    </row>
    <row r="963" spans="1:15" x14ac:dyDescent="0.25">
      <c r="O963" s="7" t="str">
        <f ca="1">getCodigoBackend(N963,A963,VLOOKUP(N963,setup!$A$8:$H$58,2),VLOOKUP(N963,setup!$A$8:$H$58,3),VLOOKUP(N963,setup!$A$8:$H$58,4),VLOOKUP(N963,setup!$A$8:$H$58,5),VLOOKUP(N963,setup!$A$8:$H$58,6),VLOOKUP(N963,setup!$A$8:$H$58,7), VLOOKUP(0,setup!$A$8:$H$58,2),VLOOKUP(0,setup!$A$8:$H$58,5),VLOOKUP(N963,setup!$A$8:$H$58,8))</f>
        <v/>
      </c>
    </row>
    <row r="964" spans="1:15" x14ac:dyDescent="0.25">
      <c r="A964" s="29" t="s">
        <v>19</v>
      </c>
      <c r="N964">
        <f>N962+1</f>
        <v>7</v>
      </c>
      <c r="O964" s="7" t="str">
        <f ca="1">getCodigoBackend(N964,A964,VLOOKUP(N964,setup!$A$8:$H$58,2),VLOOKUP(N964,setup!$A$8:$H$58,3),VLOOKUP(N964,setup!$A$8:$H$58,4),VLOOKUP(N964,setup!$A$8:$H$58,5),VLOOKUP(N964,setup!$A$8:$H$58,6),VLOOKUP(N964,setup!$A$8:$H$58,7), VLOOKUP(0,setup!$A$8:$H$58,2),VLOOKUP(0,setup!$A$8:$H$58,5),VLOOKUP(N964,setup!$A$8:$H$58,8))</f>
        <v>/**</v>
      </c>
    </row>
    <row r="965" spans="1:15" x14ac:dyDescent="0.25">
      <c r="A965" s="29" t="s">
        <v>20</v>
      </c>
      <c r="N965">
        <f>N964</f>
        <v>7</v>
      </c>
      <c r="O965" s="7" t="str">
        <f ca="1">getCodigoBackend(N965,A965,VLOOKUP(N965,setup!$A$8:$H$58,2),VLOOKUP(N965,setup!$A$8:$H$58,3),VLOOKUP(N965,setup!$A$8:$H$58,4),VLOOKUP(N965,setup!$A$8:$H$58,5),VLOOKUP(N965,setup!$A$8:$H$58,6),VLOOKUP(N965,setup!$A$8:$H$58,7), VLOOKUP(0,setup!$A$8:$H$58,2),VLOOKUP(0,setup!$A$8:$H$58,5),VLOOKUP(N965,setup!$A$8:$H$58,8))</f>
        <v>*</v>
      </c>
    </row>
    <row r="966" spans="1:15" x14ac:dyDescent="0.25">
      <c r="A966" s="29" t="s">
        <v>716</v>
      </c>
      <c r="N966">
        <f t="shared" ref="N966:N979" si="15">N965</f>
        <v>7</v>
      </c>
      <c r="O966" s="7" t="str">
        <f ca="1">getCodigoBackend(N966,A966,VLOOKUP(N966,setup!$A$8:$H$58,2),VLOOKUP(N966,setup!$A$8:$H$58,3),VLOOKUP(N966,setup!$A$8:$H$58,4),VLOOKUP(N966,setup!$A$8:$H$58,5),VLOOKUP(N966,setup!$A$8:$H$58,6),VLOOKUP(N966,setup!$A$8:$H$58,7), VLOOKUP(0,setup!$A$8:$H$58,2),VLOOKUP(0,setup!$A$8:$H$58,5),VLOOKUP(N966,setup!$A$8:$H$58,8))</f>
        <v>* pesquisarPorEstagiorealtime() - Usado para invocar a classe de negócio CampanhaCashbackResgatePixBusinessImpl de forma geral</v>
      </c>
    </row>
    <row r="967" spans="1:15" x14ac:dyDescent="0.25">
      <c r="A967" s="29" t="s">
        <v>717</v>
      </c>
      <c r="N967">
        <f t="shared" si="15"/>
        <v>7</v>
      </c>
      <c r="O967" s="7" t="str">
        <f ca="1">getCodigoBackend(N967,A967,VLOOKUP(N967,setup!$A$8:$H$58,2),VLOOKUP(N967,setup!$A$8:$H$58,3),VLOOKUP(N967,setup!$A$8:$H$58,4),VLOOKUP(N967,setup!$A$8:$H$58,5),VLOOKUP(N967,setup!$A$8:$H$58,6),VLOOKUP(N967,setup!$A$8:$H$58,7), VLOOKUP(0,setup!$A$8:$H$58,2),VLOOKUP(0,setup!$A$8:$H$58,5),VLOOKUP(N967,setup!$A$8:$H$58,8))</f>
        <v>* realizar uma busca de Estágio Real Time diretamente na tabela CAMPANHA_CASHBACK_RESGATE_PIX campo CCRP_IN_ESTAGIO_RT</v>
      </c>
    </row>
    <row r="968" spans="1:15" x14ac:dyDescent="0.25">
      <c r="A968" s="29" t="s">
        <v>20</v>
      </c>
      <c r="N968">
        <f t="shared" si="15"/>
        <v>7</v>
      </c>
      <c r="O968" s="7" t="str">
        <f ca="1">getCodigoBackend(N968,A968,VLOOKUP(N968,setup!$A$8:$H$58,2),VLOOKUP(N968,setup!$A$8:$H$58,3),VLOOKUP(N968,setup!$A$8:$H$58,4),VLOOKUP(N968,setup!$A$8:$H$58,5),VLOOKUP(N968,setup!$A$8:$H$58,6),VLOOKUP(N968,setup!$A$8:$H$58,7), VLOOKUP(0,setup!$A$8:$H$58,2),VLOOKUP(0,setup!$A$8:$H$58,5),VLOOKUP(N968,setup!$A$8:$H$58,8))</f>
        <v>*</v>
      </c>
    </row>
    <row r="969" spans="1:15" x14ac:dyDescent="0.25">
      <c r="A969" s="29" t="s">
        <v>756</v>
      </c>
      <c r="N969">
        <f t="shared" si="15"/>
        <v>7</v>
      </c>
      <c r="O969" s="7" t="str">
        <f ca="1">getCodigoBackend(N969,A969,VLOOKUP(N969,setup!$A$8:$H$58,2),VLOOKUP(N969,setup!$A$8:$H$58,3),VLOOKUP(N969,setup!$A$8:$H$58,4),VLOOKUP(N969,setup!$A$8:$H$58,5),VLOOKUP(N969,setup!$A$8:$H$58,6),VLOOKUP(N969,setup!$A$8:$H$58,7), VLOOKUP(0,setup!$A$8:$H$58,2),VLOOKUP(0,setup!$A$8:$H$58,5),VLOOKUP(N969,setup!$A$8:$H$58,8))</f>
        <v>* @param $estagioRealTime</v>
      </c>
    </row>
    <row r="970" spans="1:15" x14ac:dyDescent="0.25">
      <c r="A970" s="29" t="s">
        <v>757</v>
      </c>
      <c r="N970">
        <f t="shared" si="15"/>
        <v>7</v>
      </c>
      <c r="O970" s="7" t="str">
        <f ca="1">getCodigoBackend(N970,A970,VLOOKUP(N970,setup!$A$8:$H$58,2),VLOOKUP(N970,setup!$A$8:$H$58,3),VLOOKUP(N970,setup!$A$8:$H$58,4),VLOOKUP(N970,setup!$A$8:$H$58,5),VLOOKUP(N970,setup!$A$8:$H$58,6),VLOOKUP(N970,setup!$A$8:$H$58,7), VLOOKUP(0,setup!$A$8:$H$58,2),VLOOKUP(0,setup!$A$8:$H$58,5),VLOOKUP(N970,setup!$A$8:$H$58,8))</f>
        <v>* @return CampanhaCashbackResgatePixDTO</v>
      </c>
    </row>
    <row r="971" spans="1:15" x14ac:dyDescent="0.25">
      <c r="A971" s="29" t="s">
        <v>20</v>
      </c>
      <c r="N971">
        <f t="shared" si="15"/>
        <v>7</v>
      </c>
      <c r="O971" s="7" t="str">
        <f ca="1">getCodigoBackend(N971,A971,VLOOKUP(N971,setup!$A$8:$H$58,2),VLOOKUP(N971,setup!$A$8:$H$58,3),VLOOKUP(N971,setup!$A$8:$H$58,4),VLOOKUP(N971,setup!$A$8:$H$58,5),VLOOKUP(N971,setup!$A$8:$H$58,6),VLOOKUP(N971,setup!$A$8:$H$58,7), VLOOKUP(0,setup!$A$8:$H$58,2),VLOOKUP(0,setup!$A$8:$H$58,5),VLOOKUP(N971,setup!$A$8:$H$58,8))</f>
        <v>*</v>
      </c>
    </row>
    <row r="972" spans="1:15" x14ac:dyDescent="0.25">
      <c r="A972" s="29" t="s">
        <v>75</v>
      </c>
      <c r="N972">
        <f t="shared" si="15"/>
        <v>7</v>
      </c>
      <c r="O972" s="7" t="str">
        <f ca="1">getCodigoBackend(N972,A972,VLOOKUP(N972,setup!$A$8:$H$58,2),VLOOKUP(N972,setup!$A$8:$H$58,3),VLOOKUP(N972,setup!$A$8:$H$58,4),VLOOKUP(N972,setup!$A$8:$H$58,5),VLOOKUP(N972,setup!$A$8:$H$58,6),VLOOKUP(N972,setup!$A$8:$H$58,7), VLOOKUP(0,setup!$A$8:$H$58,2),VLOOKUP(0,setup!$A$8:$H$58,5),VLOOKUP(N972,setup!$A$8:$H$58,8))</f>
        <v xml:space="preserve">* </v>
      </c>
    </row>
    <row r="973" spans="1:15" x14ac:dyDescent="0.25">
      <c r="A973" s="29" t="s">
        <v>21</v>
      </c>
      <c r="N973">
        <f t="shared" si="15"/>
        <v>7</v>
      </c>
      <c r="O973" s="7" t="str">
        <f ca="1">getCodigoBackend(N973,A973,VLOOKUP(N973,setup!$A$8:$H$58,2),VLOOKUP(N973,setup!$A$8:$H$58,3),VLOOKUP(N973,setup!$A$8:$H$58,4),VLOOKUP(N973,setup!$A$8:$H$58,5),VLOOKUP(N973,setup!$A$8:$H$58,6),VLOOKUP(N973,setup!$A$8:$H$58,7), VLOOKUP(0,setup!$A$8:$H$58,2),VLOOKUP(0,setup!$A$8:$H$58,5),VLOOKUP(N973,setup!$A$8:$H$58,8))</f>
        <v>*/</v>
      </c>
    </row>
    <row r="974" spans="1:15" x14ac:dyDescent="0.25">
      <c r="A974" s="29" t="s">
        <v>784</v>
      </c>
      <c r="N974">
        <f t="shared" si="15"/>
        <v>7</v>
      </c>
      <c r="O974" s="7" t="str">
        <f ca="1">getCodigoBackend(N974,A974,VLOOKUP(N974,setup!$A$8:$H$58,2),VLOOKUP(N974,setup!$A$8:$H$58,3),VLOOKUP(N974,setup!$A$8:$H$58,4),VLOOKUP(N974,setup!$A$8:$H$58,5),VLOOKUP(N974,setup!$A$8:$H$58,6),VLOOKUP(N974,setup!$A$8:$H$58,7), VLOOKUP(0,setup!$A$8:$H$58,2),VLOOKUP(0,setup!$A$8:$H$58,5),VLOOKUP(N974,setup!$A$8:$H$58,8))</f>
        <v xml:space="preserve">    public function pesquisarPorEstagiorealtime($daofactory,$estagioRealTime)</v>
      </c>
    </row>
    <row r="975" spans="1:15" x14ac:dyDescent="0.25">
      <c r="A975" s="29"/>
      <c r="N975">
        <f t="shared" si="15"/>
        <v>7</v>
      </c>
      <c r="O975" s="7" t="str">
        <f ca="1">getCodigoBackend(N975,A975,VLOOKUP(N975,setup!$A$8:$H$58,2),VLOOKUP(N975,setup!$A$8:$H$58,3),VLOOKUP(N975,setup!$A$8:$H$58,4),VLOOKUP(N975,setup!$A$8:$H$58,5),VLOOKUP(N975,setup!$A$8:$H$58,6),VLOOKUP(N975,setup!$A$8:$H$58,7), VLOOKUP(0,setup!$A$8:$H$58,2),VLOOKUP(0,setup!$A$8:$H$58,5),VLOOKUP(N975,setup!$A$8:$H$58,8))</f>
        <v/>
      </c>
    </row>
    <row r="976" spans="1:15" x14ac:dyDescent="0.25">
      <c r="A976" s="29" t="s">
        <v>758</v>
      </c>
      <c r="N976">
        <f t="shared" si="15"/>
        <v>7</v>
      </c>
      <c r="O976" s="7" t="str">
        <f ca="1">getCodigoBackend(N976,A976,VLOOKUP(N976,setup!$A$8:$H$58,2),VLOOKUP(N976,setup!$A$8:$H$58,3),VLOOKUP(N976,setup!$A$8:$H$58,4),VLOOKUP(N976,setup!$A$8:$H$58,5),VLOOKUP(N976,setup!$A$8:$H$58,6),VLOOKUP(N976,setup!$A$8:$H$58,7), VLOOKUP(0,setup!$A$8:$H$58,2),VLOOKUP(0,setup!$A$8:$H$58,5),VLOOKUP(N976,setup!$A$8:$H$58,8))</f>
        <v xml:space="preserve">    { </v>
      </c>
    </row>
    <row r="977" spans="1:15" x14ac:dyDescent="0.25">
      <c r="A977" s="29" t="s">
        <v>754</v>
      </c>
      <c r="N977">
        <f t="shared" si="15"/>
        <v>7</v>
      </c>
      <c r="O977" s="7" t="str">
        <f ca="1">getCodigoBackend(N977,A977,VLOOKUP(N977,setup!$A$8:$H$58,2),VLOOKUP(N977,setup!$A$8:$H$58,3),VLOOKUP(N977,setup!$A$8:$H$58,4),VLOOKUP(N977,setup!$A$8:$H$58,5),VLOOKUP(N977,setup!$A$8:$H$58,6),VLOOKUP(N977,setup!$A$8:$H$58,7), VLOOKUP(0,setup!$A$8:$H$58,2),VLOOKUP(0,setup!$A$8:$H$58,5),VLOOKUP(N977,setup!$A$8:$H$58,8))</f>
        <v xml:space="preserve">        $dao = $daofactory-&gt;getCampanhaCashbackResgatePixDAO($daofactory);</v>
      </c>
    </row>
    <row r="978" spans="1:15" x14ac:dyDescent="0.25">
      <c r="A978" s="29" t="s">
        <v>759</v>
      </c>
      <c r="N978">
        <f t="shared" si="15"/>
        <v>7</v>
      </c>
      <c r="O978" s="7" t="str">
        <f ca="1">getCodigoBackend(N978,A978,VLOOKUP(N978,setup!$A$8:$H$58,2),VLOOKUP(N978,setup!$A$8:$H$58,3),VLOOKUP(N978,setup!$A$8:$H$58,4),VLOOKUP(N978,setup!$A$8:$H$58,5),VLOOKUP(N978,setup!$A$8:$H$58,6),VLOOKUP(N978,setup!$A$8:$H$58,7), VLOOKUP(0,setup!$A$8:$H$58,2),VLOOKUP(0,setup!$A$8:$H$58,5),VLOOKUP(N978,setup!$A$8:$H$58,8))</f>
        <v xml:space="preserve">        return $dao-&gt;loadEstagiorealtime($estagioRealTime);</v>
      </c>
    </row>
    <row r="979" spans="1:15" x14ac:dyDescent="0.25">
      <c r="A979" s="29" t="s">
        <v>406</v>
      </c>
      <c r="N979">
        <f t="shared" si="15"/>
        <v>7</v>
      </c>
      <c r="O979" s="7" t="str">
        <f ca="1">getCodigoBackend(N979,A979,VLOOKUP(N979,setup!$A$8:$H$58,2),VLOOKUP(N979,setup!$A$8:$H$58,3),VLOOKUP(N979,setup!$A$8:$H$58,4),VLOOKUP(N979,setup!$A$8:$H$58,5),VLOOKUP(N979,setup!$A$8:$H$58,6),VLOOKUP(N979,setup!$A$8:$H$58,7), VLOOKUP(0,setup!$A$8:$H$58,2),VLOOKUP(0,setup!$A$8:$H$58,5),VLOOKUP(N979,setup!$A$8:$H$58,8))</f>
        <v xml:space="preserve">    }</v>
      </c>
    </row>
    <row r="980" spans="1:15" x14ac:dyDescent="0.25">
      <c r="O980" s="7" t="str">
        <f ca="1">getCodigoBackend(N980,A980,VLOOKUP(N980,setup!$A$8:$H$58,2),VLOOKUP(N980,setup!$A$8:$H$58,3),VLOOKUP(N980,setup!$A$8:$H$58,4),VLOOKUP(N980,setup!$A$8:$H$58,5),VLOOKUP(N980,setup!$A$8:$H$58,6),VLOOKUP(N980,setup!$A$8:$H$58,7), VLOOKUP(0,setup!$A$8:$H$58,2),VLOOKUP(0,setup!$A$8:$H$58,5),VLOOKUP(N980,setup!$A$8:$H$58,8))</f>
        <v/>
      </c>
    </row>
    <row r="981" spans="1:15" x14ac:dyDescent="0.25">
      <c r="A981" s="29" t="s">
        <v>19</v>
      </c>
      <c r="N981">
        <f>N979+1</f>
        <v>8</v>
      </c>
      <c r="O981" s="7" t="str">
        <f ca="1">getCodigoBackend(N981,A981,VLOOKUP(N981,setup!$A$8:$H$58,2),VLOOKUP(N981,setup!$A$8:$H$58,3),VLOOKUP(N981,setup!$A$8:$H$58,4),VLOOKUP(N981,setup!$A$8:$H$58,5),VLOOKUP(N981,setup!$A$8:$H$58,6),VLOOKUP(N981,setup!$A$8:$H$58,7), VLOOKUP(0,setup!$A$8:$H$58,2),VLOOKUP(0,setup!$A$8:$H$58,5),VLOOKUP(N981,setup!$A$8:$H$58,8))</f>
        <v>/**</v>
      </c>
    </row>
    <row r="982" spans="1:15" x14ac:dyDescent="0.25">
      <c r="A982" s="29" t="s">
        <v>20</v>
      </c>
      <c r="N982">
        <f>N981</f>
        <v>8</v>
      </c>
      <c r="O982" s="7" t="str">
        <f ca="1">getCodigoBackend(N982,A982,VLOOKUP(N982,setup!$A$8:$H$58,2),VLOOKUP(N982,setup!$A$8:$H$58,3),VLOOKUP(N982,setup!$A$8:$H$58,4),VLOOKUP(N982,setup!$A$8:$H$58,5),VLOOKUP(N982,setup!$A$8:$H$58,6),VLOOKUP(N982,setup!$A$8:$H$58,7), VLOOKUP(0,setup!$A$8:$H$58,2),VLOOKUP(0,setup!$A$8:$H$58,5),VLOOKUP(N982,setup!$A$8:$H$58,8))</f>
        <v>*</v>
      </c>
    </row>
    <row r="983" spans="1:15" x14ac:dyDescent="0.25">
      <c r="A983" s="29" t="s">
        <v>716</v>
      </c>
      <c r="N983">
        <f t="shared" ref="N983:N996" si="16">N982</f>
        <v>8</v>
      </c>
      <c r="O983" s="7" t="str">
        <f ca="1">getCodigoBackend(N983,A983,VLOOKUP(N983,setup!$A$8:$H$58,2),VLOOKUP(N983,setup!$A$8:$H$58,3),VLOOKUP(N983,setup!$A$8:$H$58,4),VLOOKUP(N983,setup!$A$8:$H$58,5),VLOOKUP(N983,setup!$A$8:$H$58,6),VLOOKUP(N983,setup!$A$8:$H$58,7), VLOOKUP(0,setup!$A$8:$H$58,2),VLOOKUP(0,setup!$A$8:$H$58,5),VLOOKUP(N983,setup!$A$8:$H$58,8))</f>
        <v>* pesquisarPorDtestagioanalise() - Usado para invocar a classe de negócio CampanhaCashbackResgatePixBusinessImpl de forma geral</v>
      </c>
    </row>
    <row r="984" spans="1:15" x14ac:dyDescent="0.25">
      <c r="A984" s="29" t="s">
        <v>717</v>
      </c>
      <c r="N984">
        <f t="shared" si="16"/>
        <v>8</v>
      </c>
      <c r="O984" s="7" t="str">
        <f ca="1">getCodigoBackend(N984,A984,VLOOKUP(N984,setup!$A$8:$H$58,2),VLOOKUP(N984,setup!$A$8:$H$58,3),VLOOKUP(N984,setup!$A$8:$H$58,4),VLOOKUP(N984,setup!$A$8:$H$58,5),VLOOKUP(N984,setup!$A$8:$H$58,6),VLOOKUP(N984,setup!$A$8:$H$58,7), VLOOKUP(0,setup!$A$8:$H$58,2),VLOOKUP(0,setup!$A$8:$H$58,5),VLOOKUP(N984,setup!$A$8:$H$58,8))</f>
        <v>* realizar uma busca de Data Registro Estágio Análise diretamente na tabela CAMPANHA_CASHBACK_RESGATE_PIX campo CCRP_DT_ESTAGIO_ANALISE</v>
      </c>
    </row>
    <row r="985" spans="1:15" x14ac:dyDescent="0.25">
      <c r="A985" s="29" t="s">
        <v>20</v>
      </c>
      <c r="N985">
        <f t="shared" si="16"/>
        <v>8</v>
      </c>
      <c r="O985" s="7" t="str">
        <f ca="1">getCodigoBackend(N985,A985,VLOOKUP(N985,setup!$A$8:$H$58,2),VLOOKUP(N985,setup!$A$8:$H$58,3),VLOOKUP(N985,setup!$A$8:$H$58,4),VLOOKUP(N985,setup!$A$8:$H$58,5),VLOOKUP(N985,setup!$A$8:$H$58,6),VLOOKUP(N985,setup!$A$8:$H$58,7), VLOOKUP(0,setup!$A$8:$H$58,2),VLOOKUP(0,setup!$A$8:$H$58,5),VLOOKUP(N985,setup!$A$8:$H$58,8))</f>
        <v>*</v>
      </c>
    </row>
    <row r="986" spans="1:15" x14ac:dyDescent="0.25">
      <c r="A986" s="29" t="s">
        <v>756</v>
      </c>
      <c r="N986">
        <f t="shared" si="16"/>
        <v>8</v>
      </c>
      <c r="O986" s="7" t="str">
        <f ca="1">getCodigoBackend(N986,A986,VLOOKUP(N986,setup!$A$8:$H$58,2),VLOOKUP(N986,setup!$A$8:$H$58,3),VLOOKUP(N986,setup!$A$8:$H$58,4),VLOOKUP(N986,setup!$A$8:$H$58,5),VLOOKUP(N986,setup!$A$8:$H$58,6),VLOOKUP(N986,setup!$A$8:$H$58,7), VLOOKUP(0,setup!$A$8:$H$58,2),VLOOKUP(0,setup!$A$8:$H$58,5),VLOOKUP(N986,setup!$A$8:$H$58,8))</f>
        <v>* @param $dtEstagioAnalise</v>
      </c>
    </row>
    <row r="987" spans="1:15" x14ac:dyDescent="0.25">
      <c r="A987" s="29" t="s">
        <v>757</v>
      </c>
      <c r="N987">
        <f t="shared" si="16"/>
        <v>8</v>
      </c>
      <c r="O987" s="7" t="str">
        <f ca="1">getCodigoBackend(N987,A987,VLOOKUP(N987,setup!$A$8:$H$58,2),VLOOKUP(N987,setup!$A$8:$H$58,3),VLOOKUP(N987,setup!$A$8:$H$58,4),VLOOKUP(N987,setup!$A$8:$H$58,5),VLOOKUP(N987,setup!$A$8:$H$58,6),VLOOKUP(N987,setup!$A$8:$H$58,7), VLOOKUP(0,setup!$A$8:$H$58,2),VLOOKUP(0,setup!$A$8:$H$58,5),VLOOKUP(N987,setup!$A$8:$H$58,8))</f>
        <v>* @return CampanhaCashbackResgatePixDTO</v>
      </c>
    </row>
    <row r="988" spans="1:15" x14ac:dyDescent="0.25">
      <c r="A988" s="29" t="s">
        <v>20</v>
      </c>
      <c r="N988">
        <f t="shared" si="16"/>
        <v>8</v>
      </c>
      <c r="O988" s="7" t="str">
        <f ca="1">getCodigoBackend(N988,A988,VLOOKUP(N988,setup!$A$8:$H$58,2),VLOOKUP(N988,setup!$A$8:$H$58,3),VLOOKUP(N988,setup!$A$8:$H$58,4),VLOOKUP(N988,setup!$A$8:$H$58,5),VLOOKUP(N988,setup!$A$8:$H$58,6),VLOOKUP(N988,setup!$A$8:$H$58,7), VLOOKUP(0,setup!$A$8:$H$58,2),VLOOKUP(0,setup!$A$8:$H$58,5),VLOOKUP(N988,setup!$A$8:$H$58,8))</f>
        <v>*</v>
      </c>
    </row>
    <row r="989" spans="1:15" x14ac:dyDescent="0.25">
      <c r="A989" s="29" t="s">
        <v>75</v>
      </c>
      <c r="N989">
        <f t="shared" si="16"/>
        <v>8</v>
      </c>
      <c r="O989" s="7" t="str">
        <f ca="1">getCodigoBackend(N989,A989,VLOOKUP(N989,setup!$A$8:$H$58,2),VLOOKUP(N989,setup!$A$8:$H$58,3),VLOOKUP(N989,setup!$A$8:$H$58,4),VLOOKUP(N989,setup!$A$8:$H$58,5),VLOOKUP(N989,setup!$A$8:$H$58,6),VLOOKUP(N989,setup!$A$8:$H$58,7), VLOOKUP(0,setup!$A$8:$H$58,2),VLOOKUP(0,setup!$A$8:$H$58,5),VLOOKUP(N989,setup!$A$8:$H$58,8))</f>
        <v xml:space="preserve">* </v>
      </c>
    </row>
    <row r="990" spans="1:15" x14ac:dyDescent="0.25">
      <c r="A990" s="29" t="s">
        <v>21</v>
      </c>
      <c r="N990">
        <f t="shared" si="16"/>
        <v>8</v>
      </c>
      <c r="O990" s="7" t="str">
        <f ca="1">getCodigoBackend(N990,A990,VLOOKUP(N990,setup!$A$8:$H$58,2),VLOOKUP(N990,setup!$A$8:$H$58,3),VLOOKUP(N990,setup!$A$8:$H$58,4),VLOOKUP(N990,setup!$A$8:$H$58,5),VLOOKUP(N990,setup!$A$8:$H$58,6),VLOOKUP(N990,setup!$A$8:$H$58,7), VLOOKUP(0,setup!$A$8:$H$58,2),VLOOKUP(0,setup!$A$8:$H$58,5),VLOOKUP(N990,setup!$A$8:$H$58,8))</f>
        <v>*/</v>
      </c>
    </row>
    <row r="991" spans="1:15" x14ac:dyDescent="0.25">
      <c r="A991" s="29" t="s">
        <v>784</v>
      </c>
      <c r="N991">
        <f t="shared" si="16"/>
        <v>8</v>
      </c>
      <c r="O991" s="7" t="str">
        <f ca="1">getCodigoBackend(N991,A991,VLOOKUP(N991,setup!$A$8:$H$58,2),VLOOKUP(N991,setup!$A$8:$H$58,3),VLOOKUP(N991,setup!$A$8:$H$58,4),VLOOKUP(N991,setup!$A$8:$H$58,5),VLOOKUP(N991,setup!$A$8:$H$58,6),VLOOKUP(N991,setup!$A$8:$H$58,7), VLOOKUP(0,setup!$A$8:$H$58,2),VLOOKUP(0,setup!$A$8:$H$58,5),VLOOKUP(N991,setup!$A$8:$H$58,8))</f>
        <v xml:space="preserve">    public function pesquisarPorDtestagioanalise($daofactory,$dtEstagioAnalise)</v>
      </c>
    </row>
    <row r="992" spans="1:15" x14ac:dyDescent="0.25">
      <c r="A992" s="29"/>
      <c r="N992">
        <f t="shared" si="16"/>
        <v>8</v>
      </c>
      <c r="O992" s="7" t="str">
        <f ca="1">getCodigoBackend(N992,A992,VLOOKUP(N992,setup!$A$8:$H$58,2),VLOOKUP(N992,setup!$A$8:$H$58,3),VLOOKUP(N992,setup!$A$8:$H$58,4),VLOOKUP(N992,setup!$A$8:$H$58,5),VLOOKUP(N992,setup!$A$8:$H$58,6),VLOOKUP(N992,setup!$A$8:$H$58,7), VLOOKUP(0,setup!$A$8:$H$58,2),VLOOKUP(0,setup!$A$8:$H$58,5),VLOOKUP(N992,setup!$A$8:$H$58,8))</f>
        <v/>
      </c>
    </row>
    <row r="993" spans="1:15" x14ac:dyDescent="0.25">
      <c r="A993" s="29" t="s">
        <v>758</v>
      </c>
      <c r="N993">
        <f t="shared" si="16"/>
        <v>8</v>
      </c>
      <c r="O993" s="7" t="str">
        <f ca="1">getCodigoBackend(N993,A993,VLOOKUP(N993,setup!$A$8:$H$58,2),VLOOKUP(N993,setup!$A$8:$H$58,3),VLOOKUP(N993,setup!$A$8:$H$58,4),VLOOKUP(N993,setup!$A$8:$H$58,5),VLOOKUP(N993,setup!$A$8:$H$58,6),VLOOKUP(N993,setup!$A$8:$H$58,7), VLOOKUP(0,setup!$A$8:$H$58,2),VLOOKUP(0,setup!$A$8:$H$58,5),VLOOKUP(N993,setup!$A$8:$H$58,8))</f>
        <v xml:space="preserve">    { </v>
      </c>
    </row>
    <row r="994" spans="1:15" x14ac:dyDescent="0.25">
      <c r="A994" s="29" t="s">
        <v>754</v>
      </c>
      <c r="N994">
        <f t="shared" si="16"/>
        <v>8</v>
      </c>
      <c r="O994" s="7" t="str">
        <f ca="1">getCodigoBackend(N994,A994,VLOOKUP(N994,setup!$A$8:$H$58,2),VLOOKUP(N994,setup!$A$8:$H$58,3),VLOOKUP(N994,setup!$A$8:$H$58,4),VLOOKUP(N994,setup!$A$8:$H$58,5),VLOOKUP(N994,setup!$A$8:$H$58,6),VLOOKUP(N994,setup!$A$8:$H$58,7), VLOOKUP(0,setup!$A$8:$H$58,2),VLOOKUP(0,setup!$A$8:$H$58,5),VLOOKUP(N994,setup!$A$8:$H$58,8))</f>
        <v xml:space="preserve">        $dao = $daofactory-&gt;getCampanhaCashbackResgatePixDAO($daofactory);</v>
      </c>
    </row>
    <row r="995" spans="1:15" x14ac:dyDescent="0.25">
      <c r="A995" s="29" t="s">
        <v>759</v>
      </c>
      <c r="N995">
        <f t="shared" si="16"/>
        <v>8</v>
      </c>
      <c r="O995" s="7" t="str">
        <f ca="1">getCodigoBackend(N995,A995,VLOOKUP(N995,setup!$A$8:$H$58,2),VLOOKUP(N995,setup!$A$8:$H$58,3),VLOOKUP(N995,setup!$A$8:$H$58,4),VLOOKUP(N995,setup!$A$8:$H$58,5),VLOOKUP(N995,setup!$A$8:$H$58,6),VLOOKUP(N995,setup!$A$8:$H$58,7), VLOOKUP(0,setup!$A$8:$H$58,2),VLOOKUP(0,setup!$A$8:$H$58,5),VLOOKUP(N995,setup!$A$8:$H$58,8))</f>
        <v xml:space="preserve">        return $dao-&gt;loadDtestagioanalise($dtEstagioAnalise);</v>
      </c>
    </row>
    <row r="996" spans="1:15" x14ac:dyDescent="0.25">
      <c r="A996" s="29" t="s">
        <v>406</v>
      </c>
      <c r="N996">
        <f t="shared" si="16"/>
        <v>8</v>
      </c>
      <c r="O996" s="7" t="str">
        <f ca="1">getCodigoBackend(N996,A996,VLOOKUP(N996,setup!$A$8:$H$58,2),VLOOKUP(N996,setup!$A$8:$H$58,3),VLOOKUP(N996,setup!$A$8:$H$58,4),VLOOKUP(N996,setup!$A$8:$H$58,5),VLOOKUP(N996,setup!$A$8:$H$58,6),VLOOKUP(N996,setup!$A$8:$H$58,7), VLOOKUP(0,setup!$A$8:$H$58,2),VLOOKUP(0,setup!$A$8:$H$58,5),VLOOKUP(N996,setup!$A$8:$H$58,8))</f>
        <v xml:space="preserve">    }</v>
      </c>
    </row>
    <row r="997" spans="1:15" x14ac:dyDescent="0.25">
      <c r="O997" s="7" t="str">
        <f ca="1">getCodigoBackend(N997,A997,VLOOKUP(N997,setup!$A$8:$H$58,2),VLOOKUP(N997,setup!$A$8:$H$58,3),VLOOKUP(N997,setup!$A$8:$H$58,4),VLOOKUP(N997,setup!$A$8:$H$58,5),VLOOKUP(N997,setup!$A$8:$H$58,6),VLOOKUP(N997,setup!$A$8:$H$58,7), VLOOKUP(0,setup!$A$8:$H$58,2),VLOOKUP(0,setup!$A$8:$H$58,5),VLOOKUP(N997,setup!$A$8:$H$58,8))</f>
        <v/>
      </c>
    </row>
    <row r="998" spans="1:15" x14ac:dyDescent="0.25">
      <c r="A998" s="29" t="s">
        <v>19</v>
      </c>
      <c r="N998">
        <f>N996+1</f>
        <v>9</v>
      </c>
      <c r="O998" s="7" t="str">
        <f ca="1">getCodigoBackend(N998,A998,VLOOKUP(N998,setup!$A$8:$H$58,2),VLOOKUP(N998,setup!$A$8:$H$58,3),VLOOKUP(N998,setup!$A$8:$H$58,4),VLOOKUP(N998,setup!$A$8:$H$58,5),VLOOKUP(N998,setup!$A$8:$H$58,6),VLOOKUP(N998,setup!$A$8:$H$58,7), VLOOKUP(0,setup!$A$8:$H$58,2),VLOOKUP(0,setup!$A$8:$H$58,5),VLOOKUP(N998,setup!$A$8:$H$58,8))</f>
        <v>/**</v>
      </c>
    </row>
    <row r="999" spans="1:15" x14ac:dyDescent="0.25">
      <c r="A999" s="29" t="s">
        <v>20</v>
      </c>
      <c r="N999">
        <f>N998</f>
        <v>9</v>
      </c>
      <c r="O999" s="7" t="str">
        <f ca="1">getCodigoBackend(N999,A999,VLOOKUP(N999,setup!$A$8:$H$58,2),VLOOKUP(N999,setup!$A$8:$H$58,3),VLOOKUP(N999,setup!$A$8:$H$58,4),VLOOKUP(N999,setup!$A$8:$H$58,5),VLOOKUP(N999,setup!$A$8:$H$58,6),VLOOKUP(N999,setup!$A$8:$H$58,7), VLOOKUP(0,setup!$A$8:$H$58,2),VLOOKUP(0,setup!$A$8:$H$58,5),VLOOKUP(N999,setup!$A$8:$H$58,8))</f>
        <v>*</v>
      </c>
    </row>
    <row r="1000" spans="1:15" x14ac:dyDescent="0.25">
      <c r="A1000" s="29" t="s">
        <v>716</v>
      </c>
      <c r="N1000">
        <f t="shared" ref="N1000:N1013" si="17">N999</f>
        <v>9</v>
      </c>
      <c r="O1000" s="7" t="str">
        <f ca="1">getCodigoBackend(N1000,A1000,VLOOKUP(N1000,setup!$A$8:$H$58,2),VLOOKUP(N1000,setup!$A$8:$H$58,3),VLOOKUP(N1000,setup!$A$8:$H$58,4),VLOOKUP(N1000,setup!$A$8:$H$58,5),VLOOKUP(N1000,setup!$A$8:$H$58,6),VLOOKUP(N1000,setup!$A$8:$H$58,7), VLOOKUP(0,setup!$A$8:$H$58,2),VLOOKUP(0,setup!$A$8:$H$58,5),VLOOKUP(N1000,setup!$A$8:$H$58,8))</f>
        <v>* pesquisarPorDtestagiofinanceiro() - Usado para invocar a classe de negócio CampanhaCashbackResgatePixBusinessImpl de forma geral</v>
      </c>
    </row>
    <row r="1001" spans="1:15" x14ac:dyDescent="0.25">
      <c r="A1001" s="29" t="s">
        <v>717</v>
      </c>
      <c r="N1001">
        <f t="shared" si="17"/>
        <v>9</v>
      </c>
      <c r="O1001" s="7" t="str">
        <f ca="1">getCodigoBackend(N1001,A1001,VLOOKUP(N1001,setup!$A$8:$H$58,2),VLOOKUP(N1001,setup!$A$8:$H$58,3),VLOOKUP(N1001,setup!$A$8:$H$58,4),VLOOKUP(N1001,setup!$A$8:$H$58,5),VLOOKUP(N1001,setup!$A$8:$H$58,6),VLOOKUP(N1001,setup!$A$8:$H$58,7), VLOOKUP(0,setup!$A$8:$H$58,2),VLOOKUP(0,setup!$A$8:$H$58,5),VLOOKUP(N1001,setup!$A$8:$H$58,8))</f>
        <v>* realizar uma busca de Data Registro Estágio Financeiro diretamente na tabela CAMPANHA_CASHBACK_RESGATE_PIX campo CCRP_DT_ESTAGIO_FINANCEIRO</v>
      </c>
    </row>
    <row r="1002" spans="1:15" x14ac:dyDescent="0.25">
      <c r="A1002" s="29" t="s">
        <v>20</v>
      </c>
      <c r="N1002">
        <f t="shared" si="17"/>
        <v>9</v>
      </c>
      <c r="O1002" s="7" t="str">
        <f ca="1">getCodigoBackend(N1002,A1002,VLOOKUP(N1002,setup!$A$8:$H$58,2),VLOOKUP(N1002,setup!$A$8:$H$58,3),VLOOKUP(N1002,setup!$A$8:$H$58,4),VLOOKUP(N1002,setup!$A$8:$H$58,5),VLOOKUP(N1002,setup!$A$8:$H$58,6),VLOOKUP(N1002,setup!$A$8:$H$58,7), VLOOKUP(0,setup!$A$8:$H$58,2),VLOOKUP(0,setup!$A$8:$H$58,5),VLOOKUP(N1002,setup!$A$8:$H$58,8))</f>
        <v>*</v>
      </c>
    </row>
    <row r="1003" spans="1:15" x14ac:dyDescent="0.25">
      <c r="A1003" s="29" t="s">
        <v>756</v>
      </c>
      <c r="N1003">
        <f t="shared" si="17"/>
        <v>9</v>
      </c>
      <c r="O1003" s="7" t="str">
        <f ca="1">getCodigoBackend(N1003,A1003,VLOOKUP(N1003,setup!$A$8:$H$58,2),VLOOKUP(N1003,setup!$A$8:$H$58,3),VLOOKUP(N1003,setup!$A$8:$H$58,4),VLOOKUP(N1003,setup!$A$8:$H$58,5),VLOOKUP(N1003,setup!$A$8:$H$58,6),VLOOKUP(N1003,setup!$A$8:$H$58,7), VLOOKUP(0,setup!$A$8:$H$58,2),VLOOKUP(0,setup!$A$8:$H$58,5),VLOOKUP(N1003,setup!$A$8:$H$58,8))</f>
        <v>* @param $dtEstagioFinanceiro</v>
      </c>
    </row>
    <row r="1004" spans="1:15" x14ac:dyDescent="0.25">
      <c r="A1004" s="29" t="s">
        <v>757</v>
      </c>
      <c r="N1004">
        <f t="shared" si="17"/>
        <v>9</v>
      </c>
      <c r="O1004" s="7" t="str">
        <f ca="1">getCodigoBackend(N1004,A1004,VLOOKUP(N1004,setup!$A$8:$H$58,2),VLOOKUP(N1004,setup!$A$8:$H$58,3),VLOOKUP(N1004,setup!$A$8:$H$58,4),VLOOKUP(N1004,setup!$A$8:$H$58,5),VLOOKUP(N1004,setup!$A$8:$H$58,6),VLOOKUP(N1004,setup!$A$8:$H$58,7), VLOOKUP(0,setup!$A$8:$H$58,2),VLOOKUP(0,setup!$A$8:$H$58,5),VLOOKUP(N1004,setup!$A$8:$H$58,8))</f>
        <v>* @return CampanhaCashbackResgatePixDTO</v>
      </c>
    </row>
    <row r="1005" spans="1:15" x14ac:dyDescent="0.25">
      <c r="A1005" s="29" t="s">
        <v>20</v>
      </c>
      <c r="N1005">
        <f t="shared" si="17"/>
        <v>9</v>
      </c>
      <c r="O1005" s="7" t="str">
        <f ca="1">getCodigoBackend(N1005,A1005,VLOOKUP(N1005,setup!$A$8:$H$58,2),VLOOKUP(N1005,setup!$A$8:$H$58,3),VLOOKUP(N1005,setup!$A$8:$H$58,4),VLOOKUP(N1005,setup!$A$8:$H$58,5),VLOOKUP(N1005,setup!$A$8:$H$58,6),VLOOKUP(N1005,setup!$A$8:$H$58,7), VLOOKUP(0,setup!$A$8:$H$58,2),VLOOKUP(0,setup!$A$8:$H$58,5),VLOOKUP(N1005,setup!$A$8:$H$58,8))</f>
        <v>*</v>
      </c>
    </row>
    <row r="1006" spans="1:15" x14ac:dyDescent="0.25">
      <c r="A1006" s="29" t="s">
        <v>75</v>
      </c>
      <c r="N1006">
        <f t="shared" si="17"/>
        <v>9</v>
      </c>
      <c r="O1006" s="7" t="str">
        <f ca="1">getCodigoBackend(N1006,A1006,VLOOKUP(N1006,setup!$A$8:$H$58,2),VLOOKUP(N1006,setup!$A$8:$H$58,3),VLOOKUP(N1006,setup!$A$8:$H$58,4),VLOOKUP(N1006,setup!$A$8:$H$58,5),VLOOKUP(N1006,setup!$A$8:$H$58,6),VLOOKUP(N1006,setup!$A$8:$H$58,7), VLOOKUP(0,setup!$A$8:$H$58,2),VLOOKUP(0,setup!$A$8:$H$58,5),VLOOKUP(N1006,setup!$A$8:$H$58,8))</f>
        <v xml:space="preserve">* </v>
      </c>
    </row>
    <row r="1007" spans="1:15" x14ac:dyDescent="0.25">
      <c r="A1007" s="29" t="s">
        <v>21</v>
      </c>
      <c r="N1007">
        <f t="shared" si="17"/>
        <v>9</v>
      </c>
      <c r="O1007" s="7" t="str">
        <f ca="1">getCodigoBackend(N1007,A1007,VLOOKUP(N1007,setup!$A$8:$H$58,2),VLOOKUP(N1007,setup!$A$8:$H$58,3),VLOOKUP(N1007,setup!$A$8:$H$58,4),VLOOKUP(N1007,setup!$A$8:$H$58,5),VLOOKUP(N1007,setup!$A$8:$H$58,6),VLOOKUP(N1007,setup!$A$8:$H$58,7), VLOOKUP(0,setup!$A$8:$H$58,2),VLOOKUP(0,setup!$A$8:$H$58,5),VLOOKUP(N1007,setup!$A$8:$H$58,8))</f>
        <v>*/</v>
      </c>
    </row>
    <row r="1008" spans="1:15" x14ac:dyDescent="0.25">
      <c r="A1008" s="29" t="s">
        <v>784</v>
      </c>
      <c r="N1008">
        <f t="shared" si="17"/>
        <v>9</v>
      </c>
      <c r="O1008" s="7" t="str">
        <f ca="1">getCodigoBackend(N1008,A1008,VLOOKUP(N1008,setup!$A$8:$H$58,2),VLOOKUP(N1008,setup!$A$8:$H$58,3),VLOOKUP(N1008,setup!$A$8:$H$58,4),VLOOKUP(N1008,setup!$A$8:$H$58,5),VLOOKUP(N1008,setup!$A$8:$H$58,6),VLOOKUP(N1008,setup!$A$8:$H$58,7), VLOOKUP(0,setup!$A$8:$H$58,2),VLOOKUP(0,setup!$A$8:$H$58,5),VLOOKUP(N1008,setup!$A$8:$H$58,8))</f>
        <v xml:space="preserve">    public function pesquisarPorDtestagiofinanceiro($daofactory,$dtEstagioFinanceiro)</v>
      </c>
    </row>
    <row r="1009" spans="1:15" x14ac:dyDescent="0.25">
      <c r="A1009" s="29"/>
      <c r="N1009">
        <f t="shared" si="17"/>
        <v>9</v>
      </c>
      <c r="O1009" s="7" t="str">
        <f ca="1">getCodigoBackend(N1009,A1009,VLOOKUP(N1009,setup!$A$8:$H$58,2),VLOOKUP(N1009,setup!$A$8:$H$58,3),VLOOKUP(N1009,setup!$A$8:$H$58,4),VLOOKUP(N1009,setup!$A$8:$H$58,5),VLOOKUP(N1009,setup!$A$8:$H$58,6),VLOOKUP(N1009,setup!$A$8:$H$58,7), VLOOKUP(0,setup!$A$8:$H$58,2),VLOOKUP(0,setup!$A$8:$H$58,5),VLOOKUP(N1009,setup!$A$8:$H$58,8))</f>
        <v/>
      </c>
    </row>
    <row r="1010" spans="1:15" x14ac:dyDescent="0.25">
      <c r="A1010" s="29" t="s">
        <v>758</v>
      </c>
      <c r="N1010">
        <f t="shared" si="17"/>
        <v>9</v>
      </c>
      <c r="O1010" s="7" t="str">
        <f ca="1">getCodigoBackend(N1010,A1010,VLOOKUP(N1010,setup!$A$8:$H$58,2),VLOOKUP(N1010,setup!$A$8:$H$58,3),VLOOKUP(N1010,setup!$A$8:$H$58,4),VLOOKUP(N1010,setup!$A$8:$H$58,5),VLOOKUP(N1010,setup!$A$8:$H$58,6),VLOOKUP(N1010,setup!$A$8:$H$58,7), VLOOKUP(0,setup!$A$8:$H$58,2),VLOOKUP(0,setup!$A$8:$H$58,5),VLOOKUP(N1010,setup!$A$8:$H$58,8))</f>
        <v xml:space="preserve">    { </v>
      </c>
    </row>
    <row r="1011" spans="1:15" x14ac:dyDescent="0.25">
      <c r="A1011" s="29" t="s">
        <v>754</v>
      </c>
      <c r="N1011">
        <f t="shared" si="17"/>
        <v>9</v>
      </c>
      <c r="O1011" s="7" t="str">
        <f ca="1">getCodigoBackend(N1011,A1011,VLOOKUP(N1011,setup!$A$8:$H$58,2),VLOOKUP(N1011,setup!$A$8:$H$58,3),VLOOKUP(N1011,setup!$A$8:$H$58,4),VLOOKUP(N1011,setup!$A$8:$H$58,5),VLOOKUP(N1011,setup!$A$8:$H$58,6),VLOOKUP(N1011,setup!$A$8:$H$58,7), VLOOKUP(0,setup!$A$8:$H$58,2),VLOOKUP(0,setup!$A$8:$H$58,5),VLOOKUP(N1011,setup!$A$8:$H$58,8))</f>
        <v xml:space="preserve">        $dao = $daofactory-&gt;getCampanhaCashbackResgatePixDAO($daofactory);</v>
      </c>
    </row>
    <row r="1012" spans="1:15" x14ac:dyDescent="0.25">
      <c r="A1012" s="29" t="s">
        <v>759</v>
      </c>
      <c r="N1012">
        <f t="shared" si="17"/>
        <v>9</v>
      </c>
      <c r="O1012" s="7" t="str">
        <f ca="1">getCodigoBackend(N1012,A1012,VLOOKUP(N1012,setup!$A$8:$H$58,2),VLOOKUP(N1012,setup!$A$8:$H$58,3),VLOOKUP(N1012,setup!$A$8:$H$58,4),VLOOKUP(N1012,setup!$A$8:$H$58,5),VLOOKUP(N1012,setup!$A$8:$H$58,6),VLOOKUP(N1012,setup!$A$8:$H$58,7), VLOOKUP(0,setup!$A$8:$H$58,2),VLOOKUP(0,setup!$A$8:$H$58,5),VLOOKUP(N1012,setup!$A$8:$H$58,8))</f>
        <v xml:space="preserve">        return $dao-&gt;loadDtestagiofinanceiro($dtEstagioFinanceiro);</v>
      </c>
    </row>
    <row r="1013" spans="1:15" x14ac:dyDescent="0.25">
      <c r="A1013" s="29" t="s">
        <v>406</v>
      </c>
      <c r="N1013">
        <f t="shared" si="17"/>
        <v>9</v>
      </c>
      <c r="O1013" s="7" t="str">
        <f ca="1">getCodigoBackend(N1013,A1013,VLOOKUP(N1013,setup!$A$8:$H$58,2),VLOOKUP(N1013,setup!$A$8:$H$58,3),VLOOKUP(N1013,setup!$A$8:$H$58,4),VLOOKUP(N1013,setup!$A$8:$H$58,5),VLOOKUP(N1013,setup!$A$8:$H$58,6),VLOOKUP(N1013,setup!$A$8:$H$58,7), VLOOKUP(0,setup!$A$8:$H$58,2),VLOOKUP(0,setup!$A$8:$H$58,5),VLOOKUP(N1013,setup!$A$8:$H$58,8))</f>
        <v xml:space="preserve">    }</v>
      </c>
    </row>
    <row r="1014" spans="1:15" x14ac:dyDescent="0.25">
      <c r="O1014" s="7" t="str">
        <f ca="1">getCodigoBackend(N1014,A1014,VLOOKUP(N1014,setup!$A$8:$H$58,2),VLOOKUP(N1014,setup!$A$8:$H$58,3),VLOOKUP(N1014,setup!$A$8:$H$58,4),VLOOKUP(N1014,setup!$A$8:$H$58,5),VLOOKUP(N1014,setup!$A$8:$H$58,6),VLOOKUP(N1014,setup!$A$8:$H$58,7), VLOOKUP(0,setup!$A$8:$H$58,2),VLOOKUP(0,setup!$A$8:$H$58,5),VLOOKUP(N1014,setup!$A$8:$H$58,8))</f>
        <v/>
      </c>
    </row>
    <row r="1015" spans="1:15" x14ac:dyDescent="0.25">
      <c r="A1015" s="29" t="s">
        <v>19</v>
      </c>
      <c r="N1015">
        <f>N1013+1</f>
        <v>10</v>
      </c>
      <c r="O1015" s="7" t="str">
        <f ca="1">getCodigoBackend(N1015,A1015,VLOOKUP(N1015,setup!$A$8:$H$58,2),VLOOKUP(N1015,setup!$A$8:$H$58,3),VLOOKUP(N1015,setup!$A$8:$H$58,4),VLOOKUP(N1015,setup!$A$8:$H$58,5),VLOOKUP(N1015,setup!$A$8:$H$58,6),VLOOKUP(N1015,setup!$A$8:$H$58,7), VLOOKUP(0,setup!$A$8:$H$58,2),VLOOKUP(0,setup!$A$8:$H$58,5),VLOOKUP(N1015,setup!$A$8:$H$58,8))</f>
        <v>/**</v>
      </c>
    </row>
    <row r="1016" spans="1:15" x14ac:dyDescent="0.25">
      <c r="A1016" s="29" t="s">
        <v>20</v>
      </c>
      <c r="N1016">
        <f>N1015</f>
        <v>10</v>
      </c>
      <c r="O1016" s="7" t="str">
        <f ca="1">getCodigoBackend(N1016,A1016,VLOOKUP(N1016,setup!$A$8:$H$58,2),VLOOKUP(N1016,setup!$A$8:$H$58,3),VLOOKUP(N1016,setup!$A$8:$H$58,4),VLOOKUP(N1016,setup!$A$8:$H$58,5),VLOOKUP(N1016,setup!$A$8:$H$58,6),VLOOKUP(N1016,setup!$A$8:$H$58,7), VLOOKUP(0,setup!$A$8:$H$58,2),VLOOKUP(0,setup!$A$8:$H$58,5),VLOOKUP(N1016,setup!$A$8:$H$58,8))</f>
        <v>*</v>
      </c>
    </row>
    <row r="1017" spans="1:15" x14ac:dyDescent="0.25">
      <c r="A1017" s="29" t="s">
        <v>716</v>
      </c>
      <c r="N1017">
        <f t="shared" ref="N1017:N1030" si="18">N1016</f>
        <v>10</v>
      </c>
      <c r="O1017" s="7" t="str">
        <f ca="1">getCodigoBackend(N1017,A1017,VLOOKUP(N1017,setup!$A$8:$H$58,2),VLOOKUP(N1017,setup!$A$8:$H$58,3),VLOOKUP(N1017,setup!$A$8:$H$58,4),VLOOKUP(N1017,setup!$A$8:$H$58,5),VLOOKUP(N1017,setup!$A$8:$H$58,6),VLOOKUP(N1017,setup!$A$8:$H$58,7), VLOOKUP(0,setup!$A$8:$H$58,2),VLOOKUP(0,setup!$A$8:$H$58,5),VLOOKUP(N1017,setup!$A$8:$H$58,8))</f>
        <v>* pesquisarPorDtestagioerro() - Usado para invocar a classe de negócio CampanhaCashbackResgatePixBusinessImpl de forma geral</v>
      </c>
    </row>
    <row r="1018" spans="1:15" x14ac:dyDescent="0.25">
      <c r="A1018" s="29" t="s">
        <v>717</v>
      </c>
      <c r="N1018">
        <f t="shared" si="18"/>
        <v>10</v>
      </c>
      <c r="O1018" s="7" t="str">
        <f ca="1">getCodigoBackend(N1018,A1018,VLOOKUP(N1018,setup!$A$8:$H$58,2),VLOOKUP(N1018,setup!$A$8:$H$58,3),VLOOKUP(N1018,setup!$A$8:$H$58,4),VLOOKUP(N1018,setup!$A$8:$H$58,5),VLOOKUP(N1018,setup!$A$8:$H$58,6),VLOOKUP(N1018,setup!$A$8:$H$58,7), VLOOKUP(0,setup!$A$8:$H$58,2),VLOOKUP(0,setup!$A$8:$H$58,5),VLOOKUP(N1018,setup!$A$8:$H$58,8))</f>
        <v>* realizar uma busca de Data Registro Estágio Erro diretamente na tabela CAMPANHA_CASHBACK_RESGATE_PIX campo CCRP_DT_ESTAGIO_ERRO</v>
      </c>
    </row>
    <row r="1019" spans="1:15" x14ac:dyDescent="0.25">
      <c r="A1019" s="29" t="s">
        <v>20</v>
      </c>
      <c r="N1019">
        <f t="shared" si="18"/>
        <v>10</v>
      </c>
      <c r="O1019" s="7" t="str">
        <f ca="1">getCodigoBackend(N1019,A1019,VLOOKUP(N1019,setup!$A$8:$H$58,2),VLOOKUP(N1019,setup!$A$8:$H$58,3),VLOOKUP(N1019,setup!$A$8:$H$58,4),VLOOKUP(N1019,setup!$A$8:$H$58,5),VLOOKUP(N1019,setup!$A$8:$H$58,6),VLOOKUP(N1019,setup!$A$8:$H$58,7), VLOOKUP(0,setup!$A$8:$H$58,2),VLOOKUP(0,setup!$A$8:$H$58,5),VLOOKUP(N1019,setup!$A$8:$H$58,8))</f>
        <v>*</v>
      </c>
    </row>
    <row r="1020" spans="1:15" x14ac:dyDescent="0.25">
      <c r="A1020" s="29" t="s">
        <v>756</v>
      </c>
      <c r="N1020">
        <f t="shared" si="18"/>
        <v>10</v>
      </c>
      <c r="O1020" s="7" t="str">
        <f ca="1">getCodigoBackend(N1020,A1020,VLOOKUP(N1020,setup!$A$8:$H$58,2),VLOOKUP(N1020,setup!$A$8:$H$58,3),VLOOKUP(N1020,setup!$A$8:$H$58,4),VLOOKUP(N1020,setup!$A$8:$H$58,5),VLOOKUP(N1020,setup!$A$8:$H$58,6),VLOOKUP(N1020,setup!$A$8:$H$58,7), VLOOKUP(0,setup!$A$8:$H$58,2),VLOOKUP(0,setup!$A$8:$H$58,5),VLOOKUP(N1020,setup!$A$8:$H$58,8))</f>
        <v>* @param $dtEstagioErro</v>
      </c>
    </row>
    <row r="1021" spans="1:15" x14ac:dyDescent="0.25">
      <c r="A1021" s="29" t="s">
        <v>757</v>
      </c>
      <c r="N1021">
        <f t="shared" si="18"/>
        <v>10</v>
      </c>
      <c r="O1021" s="7" t="str">
        <f ca="1">getCodigoBackend(N1021,A1021,VLOOKUP(N1021,setup!$A$8:$H$58,2),VLOOKUP(N1021,setup!$A$8:$H$58,3),VLOOKUP(N1021,setup!$A$8:$H$58,4),VLOOKUP(N1021,setup!$A$8:$H$58,5),VLOOKUP(N1021,setup!$A$8:$H$58,6),VLOOKUP(N1021,setup!$A$8:$H$58,7), VLOOKUP(0,setup!$A$8:$H$58,2),VLOOKUP(0,setup!$A$8:$H$58,5),VLOOKUP(N1021,setup!$A$8:$H$58,8))</f>
        <v>* @return CampanhaCashbackResgatePixDTO</v>
      </c>
    </row>
    <row r="1022" spans="1:15" x14ac:dyDescent="0.25">
      <c r="A1022" s="29" t="s">
        <v>20</v>
      </c>
      <c r="N1022">
        <f t="shared" si="18"/>
        <v>10</v>
      </c>
      <c r="O1022" s="7" t="str">
        <f ca="1">getCodigoBackend(N1022,A1022,VLOOKUP(N1022,setup!$A$8:$H$58,2),VLOOKUP(N1022,setup!$A$8:$H$58,3),VLOOKUP(N1022,setup!$A$8:$H$58,4),VLOOKUP(N1022,setup!$A$8:$H$58,5),VLOOKUP(N1022,setup!$A$8:$H$58,6),VLOOKUP(N1022,setup!$A$8:$H$58,7), VLOOKUP(0,setup!$A$8:$H$58,2),VLOOKUP(0,setup!$A$8:$H$58,5),VLOOKUP(N1022,setup!$A$8:$H$58,8))</f>
        <v>*</v>
      </c>
    </row>
    <row r="1023" spans="1:15" x14ac:dyDescent="0.25">
      <c r="A1023" s="29" t="s">
        <v>75</v>
      </c>
      <c r="N1023">
        <f t="shared" si="18"/>
        <v>10</v>
      </c>
      <c r="O1023" s="7" t="str">
        <f ca="1">getCodigoBackend(N1023,A1023,VLOOKUP(N1023,setup!$A$8:$H$58,2),VLOOKUP(N1023,setup!$A$8:$H$58,3),VLOOKUP(N1023,setup!$A$8:$H$58,4),VLOOKUP(N1023,setup!$A$8:$H$58,5),VLOOKUP(N1023,setup!$A$8:$H$58,6),VLOOKUP(N1023,setup!$A$8:$H$58,7), VLOOKUP(0,setup!$A$8:$H$58,2),VLOOKUP(0,setup!$A$8:$H$58,5),VLOOKUP(N1023,setup!$A$8:$H$58,8))</f>
        <v xml:space="preserve">* </v>
      </c>
    </row>
    <row r="1024" spans="1:15" x14ac:dyDescent="0.25">
      <c r="A1024" s="29" t="s">
        <v>21</v>
      </c>
      <c r="N1024">
        <f t="shared" si="18"/>
        <v>10</v>
      </c>
      <c r="O1024" s="7" t="str">
        <f ca="1">getCodigoBackend(N1024,A1024,VLOOKUP(N1024,setup!$A$8:$H$58,2),VLOOKUP(N1024,setup!$A$8:$H$58,3),VLOOKUP(N1024,setup!$A$8:$H$58,4),VLOOKUP(N1024,setup!$A$8:$H$58,5),VLOOKUP(N1024,setup!$A$8:$H$58,6),VLOOKUP(N1024,setup!$A$8:$H$58,7), VLOOKUP(0,setup!$A$8:$H$58,2),VLOOKUP(0,setup!$A$8:$H$58,5),VLOOKUP(N1024,setup!$A$8:$H$58,8))</f>
        <v>*/</v>
      </c>
    </row>
    <row r="1025" spans="1:15" x14ac:dyDescent="0.25">
      <c r="A1025" s="29" t="s">
        <v>784</v>
      </c>
      <c r="N1025">
        <f t="shared" si="18"/>
        <v>10</v>
      </c>
      <c r="O1025" s="7" t="str">
        <f ca="1">getCodigoBackend(N1025,A1025,VLOOKUP(N1025,setup!$A$8:$H$58,2),VLOOKUP(N1025,setup!$A$8:$H$58,3),VLOOKUP(N1025,setup!$A$8:$H$58,4),VLOOKUP(N1025,setup!$A$8:$H$58,5),VLOOKUP(N1025,setup!$A$8:$H$58,6),VLOOKUP(N1025,setup!$A$8:$H$58,7), VLOOKUP(0,setup!$A$8:$H$58,2),VLOOKUP(0,setup!$A$8:$H$58,5),VLOOKUP(N1025,setup!$A$8:$H$58,8))</f>
        <v xml:space="preserve">    public function pesquisarPorDtestagioerro($daofactory,$dtEstagioErro)</v>
      </c>
    </row>
    <row r="1026" spans="1:15" x14ac:dyDescent="0.25">
      <c r="A1026" s="29"/>
      <c r="N1026">
        <f t="shared" si="18"/>
        <v>10</v>
      </c>
      <c r="O1026" s="7" t="str">
        <f ca="1">getCodigoBackend(N1026,A1026,VLOOKUP(N1026,setup!$A$8:$H$58,2),VLOOKUP(N1026,setup!$A$8:$H$58,3),VLOOKUP(N1026,setup!$A$8:$H$58,4),VLOOKUP(N1026,setup!$A$8:$H$58,5),VLOOKUP(N1026,setup!$A$8:$H$58,6),VLOOKUP(N1026,setup!$A$8:$H$58,7), VLOOKUP(0,setup!$A$8:$H$58,2),VLOOKUP(0,setup!$A$8:$H$58,5),VLOOKUP(N1026,setup!$A$8:$H$58,8))</f>
        <v/>
      </c>
    </row>
    <row r="1027" spans="1:15" x14ac:dyDescent="0.25">
      <c r="A1027" s="29" t="s">
        <v>758</v>
      </c>
      <c r="N1027">
        <f t="shared" si="18"/>
        <v>10</v>
      </c>
      <c r="O1027" s="7" t="str">
        <f ca="1">getCodigoBackend(N1027,A1027,VLOOKUP(N1027,setup!$A$8:$H$58,2),VLOOKUP(N1027,setup!$A$8:$H$58,3),VLOOKUP(N1027,setup!$A$8:$H$58,4),VLOOKUP(N1027,setup!$A$8:$H$58,5),VLOOKUP(N1027,setup!$A$8:$H$58,6),VLOOKUP(N1027,setup!$A$8:$H$58,7), VLOOKUP(0,setup!$A$8:$H$58,2),VLOOKUP(0,setup!$A$8:$H$58,5),VLOOKUP(N1027,setup!$A$8:$H$58,8))</f>
        <v xml:space="preserve">    { </v>
      </c>
    </row>
    <row r="1028" spans="1:15" x14ac:dyDescent="0.25">
      <c r="A1028" s="29" t="s">
        <v>754</v>
      </c>
      <c r="N1028">
        <f t="shared" si="18"/>
        <v>10</v>
      </c>
      <c r="O1028" s="7" t="str">
        <f ca="1">getCodigoBackend(N1028,A1028,VLOOKUP(N1028,setup!$A$8:$H$58,2),VLOOKUP(N1028,setup!$A$8:$H$58,3),VLOOKUP(N1028,setup!$A$8:$H$58,4),VLOOKUP(N1028,setup!$A$8:$H$58,5),VLOOKUP(N1028,setup!$A$8:$H$58,6),VLOOKUP(N1028,setup!$A$8:$H$58,7), VLOOKUP(0,setup!$A$8:$H$58,2),VLOOKUP(0,setup!$A$8:$H$58,5),VLOOKUP(N1028,setup!$A$8:$H$58,8))</f>
        <v xml:space="preserve">        $dao = $daofactory-&gt;getCampanhaCashbackResgatePixDAO($daofactory);</v>
      </c>
    </row>
    <row r="1029" spans="1:15" x14ac:dyDescent="0.25">
      <c r="A1029" s="29" t="s">
        <v>759</v>
      </c>
      <c r="N1029">
        <f t="shared" si="18"/>
        <v>10</v>
      </c>
      <c r="O1029" s="7" t="str">
        <f ca="1">getCodigoBackend(N1029,A1029,VLOOKUP(N1029,setup!$A$8:$H$58,2),VLOOKUP(N1029,setup!$A$8:$H$58,3),VLOOKUP(N1029,setup!$A$8:$H$58,4),VLOOKUP(N1029,setup!$A$8:$H$58,5),VLOOKUP(N1029,setup!$A$8:$H$58,6),VLOOKUP(N1029,setup!$A$8:$H$58,7), VLOOKUP(0,setup!$A$8:$H$58,2),VLOOKUP(0,setup!$A$8:$H$58,5),VLOOKUP(N1029,setup!$A$8:$H$58,8))</f>
        <v xml:space="preserve">        return $dao-&gt;loadDtestagioerro($dtEstagioErro);</v>
      </c>
    </row>
    <row r="1030" spans="1:15" x14ac:dyDescent="0.25">
      <c r="A1030" s="29" t="s">
        <v>406</v>
      </c>
      <c r="N1030">
        <f t="shared" si="18"/>
        <v>10</v>
      </c>
      <c r="O1030" s="7" t="str">
        <f ca="1">getCodigoBackend(N1030,A1030,VLOOKUP(N1030,setup!$A$8:$H$58,2),VLOOKUP(N1030,setup!$A$8:$H$58,3),VLOOKUP(N1030,setup!$A$8:$H$58,4),VLOOKUP(N1030,setup!$A$8:$H$58,5),VLOOKUP(N1030,setup!$A$8:$H$58,6),VLOOKUP(N1030,setup!$A$8:$H$58,7), VLOOKUP(0,setup!$A$8:$H$58,2),VLOOKUP(0,setup!$A$8:$H$58,5),VLOOKUP(N1030,setup!$A$8:$H$58,8))</f>
        <v xml:space="preserve">    }</v>
      </c>
    </row>
    <row r="1031" spans="1:15" x14ac:dyDescent="0.25">
      <c r="O1031" s="7" t="str">
        <f ca="1">getCodigoBackend(N1031,A1031,VLOOKUP(N1031,setup!$A$8:$H$58,2),VLOOKUP(N1031,setup!$A$8:$H$58,3),VLOOKUP(N1031,setup!$A$8:$H$58,4),VLOOKUP(N1031,setup!$A$8:$H$58,5),VLOOKUP(N1031,setup!$A$8:$H$58,6),VLOOKUP(N1031,setup!$A$8:$H$58,7), VLOOKUP(0,setup!$A$8:$H$58,2),VLOOKUP(0,setup!$A$8:$H$58,5),VLOOKUP(N1031,setup!$A$8:$H$58,8))</f>
        <v/>
      </c>
    </row>
    <row r="1032" spans="1:15" x14ac:dyDescent="0.25">
      <c r="A1032" s="29" t="s">
        <v>19</v>
      </c>
      <c r="N1032">
        <f>N1030+1</f>
        <v>11</v>
      </c>
      <c r="O1032" s="7" t="str">
        <f ca="1">getCodigoBackend(N1032,A1032,VLOOKUP(N1032,setup!$A$8:$H$58,2),VLOOKUP(N1032,setup!$A$8:$H$58,3),VLOOKUP(N1032,setup!$A$8:$H$58,4),VLOOKUP(N1032,setup!$A$8:$H$58,5),VLOOKUP(N1032,setup!$A$8:$H$58,6),VLOOKUP(N1032,setup!$A$8:$H$58,7), VLOOKUP(0,setup!$A$8:$H$58,2),VLOOKUP(0,setup!$A$8:$H$58,5),VLOOKUP(N1032,setup!$A$8:$H$58,8))</f>
        <v>/**</v>
      </c>
    </row>
    <row r="1033" spans="1:15" x14ac:dyDescent="0.25">
      <c r="A1033" s="29" t="s">
        <v>20</v>
      </c>
      <c r="N1033">
        <f>N1032</f>
        <v>11</v>
      </c>
      <c r="O1033" s="7" t="str">
        <f ca="1">getCodigoBackend(N1033,A1033,VLOOKUP(N1033,setup!$A$8:$H$58,2),VLOOKUP(N1033,setup!$A$8:$H$58,3),VLOOKUP(N1033,setup!$A$8:$H$58,4),VLOOKUP(N1033,setup!$A$8:$H$58,5),VLOOKUP(N1033,setup!$A$8:$H$58,6),VLOOKUP(N1033,setup!$A$8:$H$58,7), VLOOKUP(0,setup!$A$8:$H$58,2),VLOOKUP(0,setup!$A$8:$H$58,5),VLOOKUP(N1033,setup!$A$8:$H$58,8))</f>
        <v>*</v>
      </c>
    </row>
    <row r="1034" spans="1:15" x14ac:dyDescent="0.25">
      <c r="A1034" s="29" t="s">
        <v>716</v>
      </c>
      <c r="N1034">
        <f t="shared" ref="N1034:N1047" si="19">N1033</f>
        <v>11</v>
      </c>
      <c r="O1034" s="7" t="str">
        <f ca="1">getCodigoBackend(N1034,A1034,VLOOKUP(N1034,setup!$A$8:$H$58,2),VLOOKUP(N1034,setup!$A$8:$H$58,3),VLOOKUP(N1034,setup!$A$8:$H$58,4),VLOOKUP(N1034,setup!$A$8:$H$58,5),VLOOKUP(N1034,setup!$A$8:$H$58,6),VLOOKUP(N1034,setup!$A$8:$H$58,7), VLOOKUP(0,setup!$A$8:$H$58,2),VLOOKUP(0,setup!$A$8:$H$58,5),VLOOKUP(N1034,setup!$A$8:$H$58,8))</f>
        <v>* pesquisarPorDtestagiotranfbco() - Usado para invocar a classe de negócio CampanhaCashbackResgatePixBusinessImpl de forma geral</v>
      </c>
    </row>
    <row r="1035" spans="1:15" x14ac:dyDescent="0.25">
      <c r="A1035" s="29" t="s">
        <v>717</v>
      </c>
      <c r="N1035">
        <f t="shared" si="19"/>
        <v>11</v>
      </c>
      <c r="O1035" s="7" t="str">
        <f ca="1">getCodigoBackend(N1035,A1035,VLOOKUP(N1035,setup!$A$8:$H$58,2),VLOOKUP(N1035,setup!$A$8:$H$58,3),VLOOKUP(N1035,setup!$A$8:$H$58,4),VLOOKUP(N1035,setup!$A$8:$H$58,5),VLOOKUP(N1035,setup!$A$8:$H$58,6),VLOOKUP(N1035,setup!$A$8:$H$58,7), VLOOKUP(0,setup!$A$8:$H$58,2),VLOOKUP(0,setup!$A$8:$H$58,5),VLOOKUP(N1035,setup!$A$8:$H$58,8))</f>
        <v>* realizar uma busca de Data Registro Estágio Transferido Bco diretamente na tabela CAMPANHA_CASHBACK_RESGATE_PIX campo CCRP_DT_ESTAGIO_TRANSF_BCO</v>
      </c>
    </row>
    <row r="1036" spans="1:15" x14ac:dyDescent="0.25">
      <c r="A1036" s="29" t="s">
        <v>20</v>
      </c>
      <c r="N1036">
        <f t="shared" si="19"/>
        <v>11</v>
      </c>
      <c r="O1036" s="7" t="str">
        <f ca="1">getCodigoBackend(N1036,A1036,VLOOKUP(N1036,setup!$A$8:$H$58,2),VLOOKUP(N1036,setup!$A$8:$H$58,3),VLOOKUP(N1036,setup!$A$8:$H$58,4),VLOOKUP(N1036,setup!$A$8:$H$58,5),VLOOKUP(N1036,setup!$A$8:$H$58,6),VLOOKUP(N1036,setup!$A$8:$H$58,7), VLOOKUP(0,setup!$A$8:$H$58,2),VLOOKUP(0,setup!$A$8:$H$58,5),VLOOKUP(N1036,setup!$A$8:$H$58,8))</f>
        <v>*</v>
      </c>
    </row>
    <row r="1037" spans="1:15" x14ac:dyDescent="0.25">
      <c r="A1037" s="29" t="s">
        <v>756</v>
      </c>
      <c r="N1037">
        <f t="shared" si="19"/>
        <v>11</v>
      </c>
      <c r="O1037" s="7" t="str">
        <f ca="1">getCodigoBackend(N1037,A1037,VLOOKUP(N1037,setup!$A$8:$H$58,2),VLOOKUP(N1037,setup!$A$8:$H$58,3),VLOOKUP(N1037,setup!$A$8:$H$58,4),VLOOKUP(N1037,setup!$A$8:$H$58,5),VLOOKUP(N1037,setup!$A$8:$H$58,6),VLOOKUP(N1037,setup!$A$8:$H$58,7), VLOOKUP(0,setup!$A$8:$H$58,2),VLOOKUP(0,setup!$A$8:$H$58,5),VLOOKUP(N1037,setup!$A$8:$H$58,8))</f>
        <v>* @param $dtEstagioTranfBco</v>
      </c>
    </row>
    <row r="1038" spans="1:15" x14ac:dyDescent="0.25">
      <c r="A1038" s="29" t="s">
        <v>757</v>
      </c>
      <c r="N1038">
        <f t="shared" si="19"/>
        <v>11</v>
      </c>
      <c r="O1038" s="7" t="str">
        <f ca="1">getCodigoBackend(N1038,A1038,VLOOKUP(N1038,setup!$A$8:$H$58,2),VLOOKUP(N1038,setup!$A$8:$H$58,3),VLOOKUP(N1038,setup!$A$8:$H$58,4),VLOOKUP(N1038,setup!$A$8:$H$58,5),VLOOKUP(N1038,setup!$A$8:$H$58,6),VLOOKUP(N1038,setup!$A$8:$H$58,7), VLOOKUP(0,setup!$A$8:$H$58,2),VLOOKUP(0,setup!$A$8:$H$58,5),VLOOKUP(N1038,setup!$A$8:$H$58,8))</f>
        <v>* @return CampanhaCashbackResgatePixDTO</v>
      </c>
    </row>
    <row r="1039" spans="1:15" x14ac:dyDescent="0.25">
      <c r="A1039" s="29" t="s">
        <v>20</v>
      </c>
      <c r="N1039">
        <f t="shared" si="19"/>
        <v>11</v>
      </c>
      <c r="O1039" s="7" t="str">
        <f ca="1">getCodigoBackend(N1039,A1039,VLOOKUP(N1039,setup!$A$8:$H$58,2),VLOOKUP(N1039,setup!$A$8:$H$58,3),VLOOKUP(N1039,setup!$A$8:$H$58,4),VLOOKUP(N1039,setup!$A$8:$H$58,5),VLOOKUP(N1039,setup!$A$8:$H$58,6),VLOOKUP(N1039,setup!$A$8:$H$58,7), VLOOKUP(0,setup!$A$8:$H$58,2),VLOOKUP(0,setup!$A$8:$H$58,5),VLOOKUP(N1039,setup!$A$8:$H$58,8))</f>
        <v>*</v>
      </c>
    </row>
    <row r="1040" spans="1:15" x14ac:dyDescent="0.25">
      <c r="A1040" s="29" t="s">
        <v>75</v>
      </c>
      <c r="N1040">
        <f t="shared" si="19"/>
        <v>11</v>
      </c>
      <c r="O1040" s="7" t="str">
        <f ca="1">getCodigoBackend(N1040,A1040,VLOOKUP(N1040,setup!$A$8:$H$58,2),VLOOKUP(N1040,setup!$A$8:$H$58,3),VLOOKUP(N1040,setup!$A$8:$H$58,4),VLOOKUP(N1040,setup!$A$8:$H$58,5),VLOOKUP(N1040,setup!$A$8:$H$58,6),VLOOKUP(N1040,setup!$A$8:$H$58,7), VLOOKUP(0,setup!$A$8:$H$58,2),VLOOKUP(0,setup!$A$8:$H$58,5),VLOOKUP(N1040,setup!$A$8:$H$58,8))</f>
        <v xml:space="preserve">* </v>
      </c>
    </row>
    <row r="1041" spans="1:15" x14ac:dyDescent="0.25">
      <c r="A1041" s="29" t="s">
        <v>21</v>
      </c>
      <c r="N1041">
        <f t="shared" si="19"/>
        <v>11</v>
      </c>
      <c r="O1041" s="7" t="str">
        <f ca="1">getCodigoBackend(N1041,A1041,VLOOKUP(N1041,setup!$A$8:$H$58,2),VLOOKUP(N1041,setup!$A$8:$H$58,3),VLOOKUP(N1041,setup!$A$8:$H$58,4),VLOOKUP(N1041,setup!$A$8:$H$58,5),VLOOKUP(N1041,setup!$A$8:$H$58,6),VLOOKUP(N1041,setup!$A$8:$H$58,7), VLOOKUP(0,setup!$A$8:$H$58,2),VLOOKUP(0,setup!$A$8:$H$58,5),VLOOKUP(N1041,setup!$A$8:$H$58,8))</f>
        <v>*/</v>
      </c>
    </row>
    <row r="1042" spans="1:15" x14ac:dyDescent="0.25">
      <c r="A1042" s="29" t="s">
        <v>784</v>
      </c>
      <c r="N1042">
        <f t="shared" si="19"/>
        <v>11</v>
      </c>
      <c r="O1042" s="7" t="str">
        <f ca="1">getCodigoBackend(N1042,A1042,VLOOKUP(N1042,setup!$A$8:$H$58,2),VLOOKUP(N1042,setup!$A$8:$H$58,3),VLOOKUP(N1042,setup!$A$8:$H$58,4),VLOOKUP(N1042,setup!$A$8:$H$58,5),VLOOKUP(N1042,setup!$A$8:$H$58,6),VLOOKUP(N1042,setup!$A$8:$H$58,7), VLOOKUP(0,setup!$A$8:$H$58,2),VLOOKUP(0,setup!$A$8:$H$58,5),VLOOKUP(N1042,setup!$A$8:$H$58,8))</f>
        <v xml:space="preserve">    public function pesquisarPorDtestagiotranfbco($daofactory,$dtEstagioTranfBco)</v>
      </c>
    </row>
    <row r="1043" spans="1:15" x14ac:dyDescent="0.25">
      <c r="A1043" s="29"/>
      <c r="N1043">
        <f t="shared" si="19"/>
        <v>11</v>
      </c>
      <c r="O1043" s="7" t="str">
        <f ca="1">getCodigoBackend(N1043,A1043,VLOOKUP(N1043,setup!$A$8:$H$58,2),VLOOKUP(N1043,setup!$A$8:$H$58,3),VLOOKUP(N1043,setup!$A$8:$H$58,4),VLOOKUP(N1043,setup!$A$8:$H$58,5),VLOOKUP(N1043,setup!$A$8:$H$58,6),VLOOKUP(N1043,setup!$A$8:$H$58,7), VLOOKUP(0,setup!$A$8:$H$58,2),VLOOKUP(0,setup!$A$8:$H$58,5),VLOOKUP(N1043,setup!$A$8:$H$58,8))</f>
        <v/>
      </c>
    </row>
    <row r="1044" spans="1:15" x14ac:dyDescent="0.25">
      <c r="A1044" s="29" t="s">
        <v>758</v>
      </c>
      <c r="N1044">
        <f t="shared" si="19"/>
        <v>11</v>
      </c>
      <c r="O1044" s="7" t="str">
        <f ca="1">getCodigoBackend(N1044,A1044,VLOOKUP(N1044,setup!$A$8:$H$58,2),VLOOKUP(N1044,setup!$A$8:$H$58,3),VLOOKUP(N1044,setup!$A$8:$H$58,4),VLOOKUP(N1044,setup!$A$8:$H$58,5),VLOOKUP(N1044,setup!$A$8:$H$58,6),VLOOKUP(N1044,setup!$A$8:$H$58,7), VLOOKUP(0,setup!$A$8:$H$58,2),VLOOKUP(0,setup!$A$8:$H$58,5),VLOOKUP(N1044,setup!$A$8:$H$58,8))</f>
        <v xml:space="preserve">    { </v>
      </c>
    </row>
    <row r="1045" spans="1:15" x14ac:dyDescent="0.25">
      <c r="A1045" s="29" t="s">
        <v>754</v>
      </c>
      <c r="N1045">
        <f t="shared" si="19"/>
        <v>11</v>
      </c>
      <c r="O1045" s="7" t="str">
        <f ca="1">getCodigoBackend(N1045,A1045,VLOOKUP(N1045,setup!$A$8:$H$58,2),VLOOKUP(N1045,setup!$A$8:$H$58,3),VLOOKUP(N1045,setup!$A$8:$H$58,4),VLOOKUP(N1045,setup!$A$8:$H$58,5),VLOOKUP(N1045,setup!$A$8:$H$58,6),VLOOKUP(N1045,setup!$A$8:$H$58,7), VLOOKUP(0,setup!$A$8:$H$58,2),VLOOKUP(0,setup!$A$8:$H$58,5),VLOOKUP(N1045,setup!$A$8:$H$58,8))</f>
        <v xml:space="preserve">        $dao = $daofactory-&gt;getCampanhaCashbackResgatePixDAO($daofactory);</v>
      </c>
    </row>
    <row r="1046" spans="1:15" x14ac:dyDescent="0.25">
      <c r="A1046" s="29" t="s">
        <v>759</v>
      </c>
      <c r="N1046">
        <f t="shared" si="19"/>
        <v>11</v>
      </c>
      <c r="O1046" s="7" t="str">
        <f ca="1">getCodigoBackend(N1046,A1046,VLOOKUP(N1046,setup!$A$8:$H$58,2),VLOOKUP(N1046,setup!$A$8:$H$58,3),VLOOKUP(N1046,setup!$A$8:$H$58,4),VLOOKUP(N1046,setup!$A$8:$H$58,5),VLOOKUP(N1046,setup!$A$8:$H$58,6),VLOOKUP(N1046,setup!$A$8:$H$58,7), VLOOKUP(0,setup!$A$8:$H$58,2),VLOOKUP(0,setup!$A$8:$H$58,5),VLOOKUP(N1046,setup!$A$8:$H$58,8))</f>
        <v xml:space="preserve">        return $dao-&gt;loadDtestagiotranfbco($dtEstagioTranfBco);</v>
      </c>
    </row>
    <row r="1047" spans="1:15" x14ac:dyDescent="0.25">
      <c r="A1047" s="29" t="s">
        <v>406</v>
      </c>
      <c r="N1047">
        <f t="shared" si="19"/>
        <v>11</v>
      </c>
      <c r="O1047" s="7" t="str">
        <f ca="1">getCodigoBackend(N1047,A1047,VLOOKUP(N1047,setup!$A$8:$H$58,2),VLOOKUP(N1047,setup!$A$8:$H$58,3),VLOOKUP(N1047,setup!$A$8:$H$58,4),VLOOKUP(N1047,setup!$A$8:$H$58,5),VLOOKUP(N1047,setup!$A$8:$H$58,6),VLOOKUP(N1047,setup!$A$8:$H$58,7), VLOOKUP(0,setup!$A$8:$H$58,2),VLOOKUP(0,setup!$A$8:$H$58,5),VLOOKUP(N1047,setup!$A$8:$H$58,8))</f>
        <v xml:space="preserve">    }</v>
      </c>
    </row>
    <row r="1048" spans="1:15" x14ac:dyDescent="0.25">
      <c r="O1048" s="7" t="str">
        <f ca="1">getCodigoBackend(N1048,A1048,VLOOKUP(N1048,setup!$A$8:$H$58,2),VLOOKUP(N1048,setup!$A$8:$H$58,3),VLOOKUP(N1048,setup!$A$8:$H$58,4),VLOOKUP(N1048,setup!$A$8:$H$58,5),VLOOKUP(N1048,setup!$A$8:$H$58,6),VLOOKUP(N1048,setup!$A$8:$H$58,7), VLOOKUP(0,setup!$A$8:$H$58,2),VLOOKUP(0,setup!$A$8:$H$58,5),VLOOKUP(N1048,setup!$A$8:$H$58,8))</f>
        <v/>
      </c>
    </row>
    <row r="1049" spans="1:15" x14ac:dyDescent="0.25">
      <c r="A1049" s="29" t="s">
        <v>19</v>
      </c>
      <c r="N1049">
        <f>N1047+1</f>
        <v>12</v>
      </c>
      <c r="O1049" s="7" t="str">
        <f ca="1">getCodigoBackend(N1049,A1049,VLOOKUP(N1049,setup!$A$8:$H$58,2),VLOOKUP(N1049,setup!$A$8:$H$58,3),VLOOKUP(N1049,setup!$A$8:$H$58,4),VLOOKUP(N1049,setup!$A$8:$H$58,5),VLOOKUP(N1049,setup!$A$8:$H$58,6),VLOOKUP(N1049,setup!$A$8:$H$58,7), VLOOKUP(0,setup!$A$8:$H$58,2),VLOOKUP(0,setup!$A$8:$H$58,5),VLOOKUP(N1049,setup!$A$8:$H$58,8))</f>
        <v>/**</v>
      </c>
    </row>
    <row r="1050" spans="1:15" x14ac:dyDescent="0.25">
      <c r="A1050" s="29" t="s">
        <v>20</v>
      </c>
      <c r="N1050">
        <f>N1049</f>
        <v>12</v>
      </c>
      <c r="O1050" s="7" t="str">
        <f ca="1">getCodigoBackend(N1050,A1050,VLOOKUP(N1050,setup!$A$8:$H$58,2),VLOOKUP(N1050,setup!$A$8:$H$58,3),VLOOKUP(N1050,setup!$A$8:$H$58,4),VLOOKUP(N1050,setup!$A$8:$H$58,5),VLOOKUP(N1050,setup!$A$8:$H$58,6),VLOOKUP(N1050,setup!$A$8:$H$58,7), VLOOKUP(0,setup!$A$8:$H$58,2),VLOOKUP(0,setup!$A$8:$H$58,5),VLOOKUP(N1050,setup!$A$8:$H$58,8))</f>
        <v>*</v>
      </c>
    </row>
    <row r="1051" spans="1:15" x14ac:dyDescent="0.25">
      <c r="A1051" s="29" t="s">
        <v>716</v>
      </c>
      <c r="N1051">
        <f t="shared" ref="N1051:N1064" si="20">N1050</f>
        <v>12</v>
      </c>
      <c r="O1051" s="7" t="str">
        <f ca="1">getCodigoBackend(N1051,A1051,VLOOKUP(N1051,setup!$A$8:$H$58,2),VLOOKUP(N1051,setup!$A$8:$H$58,3),VLOOKUP(N1051,setup!$A$8:$H$58,4),VLOOKUP(N1051,setup!$A$8:$H$58,5),VLOOKUP(N1051,setup!$A$8:$H$58,6),VLOOKUP(N1051,setup!$A$8:$H$58,7), VLOOKUP(0,setup!$A$8:$H$58,2),VLOOKUP(0,setup!$A$8:$H$58,5),VLOOKUP(N1051,setup!$A$8:$H$58,8))</f>
        <v>* pesquisarPorTxtlivreestagiort() - Usado para invocar a classe de negócio CampanhaCashbackResgatePixBusinessImpl de forma geral</v>
      </c>
    </row>
    <row r="1052" spans="1:15" x14ac:dyDescent="0.25">
      <c r="A1052" s="29" t="s">
        <v>717</v>
      </c>
      <c r="N1052">
        <f t="shared" si="20"/>
        <v>12</v>
      </c>
      <c r="O1052" s="7" t="str">
        <f ca="1">getCodigoBackend(N1052,A1052,VLOOKUP(N1052,setup!$A$8:$H$58,2),VLOOKUP(N1052,setup!$A$8:$H$58,3),VLOOKUP(N1052,setup!$A$8:$H$58,4),VLOOKUP(N1052,setup!$A$8:$H$58,5),VLOOKUP(N1052,setup!$A$8:$H$58,6),VLOOKUP(N1052,setup!$A$8:$H$58,7), VLOOKUP(0,setup!$A$8:$H$58,2),VLOOKUP(0,setup!$A$8:$H$58,5),VLOOKUP(N1052,setup!$A$8:$H$58,8))</f>
        <v>* realizar uma busca de Texto Livre do Estagio RT diretamente na tabela CAMPANHA_CASHBACK_RESGATE_PIX campo CCRP_TX_LIVRE_ESTAGIO_RT</v>
      </c>
    </row>
    <row r="1053" spans="1:15" x14ac:dyDescent="0.25">
      <c r="A1053" s="29" t="s">
        <v>20</v>
      </c>
      <c r="N1053">
        <f t="shared" si="20"/>
        <v>12</v>
      </c>
      <c r="O1053" s="7" t="str">
        <f ca="1">getCodigoBackend(N1053,A1053,VLOOKUP(N1053,setup!$A$8:$H$58,2),VLOOKUP(N1053,setup!$A$8:$H$58,3),VLOOKUP(N1053,setup!$A$8:$H$58,4),VLOOKUP(N1053,setup!$A$8:$H$58,5),VLOOKUP(N1053,setup!$A$8:$H$58,6),VLOOKUP(N1053,setup!$A$8:$H$58,7), VLOOKUP(0,setup!$A$8:$H$58,2),VLOOKUP(0,setup!$A$8:$H$58,5),VLOOKUP(N1053,setup!$A$8:$H$58,8))</f>
        <v>*</v>
      </c>
    </row>
    <row r="1054" spans="1:15" x14ac:dyDescent="0.25">
      <c r="A1054" s="29" t="s">
        <v>756</v>
      </c>
      <c r="N1054">
        <f t="shared" si="20"/>
        <v>12</v>
      </c>
      <c r="O1054" s="7" t="str">
        <f ca="1">getCodigoBackend(N1054,A1054,VLOOKUP(N1054,setup!$A$8:$H$58,2),VLOOKUP(N1054,setup!$A$8:$H$58,3),VLOOKUP(N1054,setup!$A$8:$H$58,4),VLOOKUP(N1054,setup!$A$8:$H$58,5),VLOOKUP(N1054,setup!$A$8:$H$58,6),VLOOKUP(N1054,setup!$A$8:$H$58,7), VLOOKUP(0,setup!$A$8:$H$58,2),VLOOKUP(0,setup!$A$8:$H$58,5),VLOOKUP(N1054,setup!$A$8:$H$58,8))</f>
        <v>* @param $txtLivreEstagioRT</v>
      </c>
    </row>
    <row r="1055" spans="1:15" x14ac:dyDescent="0.25">
      <c r="A1055" s="29" t="s">
        <v>757</v>
      </c>
      <c r="N1055">
        <f t="shared" si="20"/>
        <v>12</v>
      </c>
      <c r="O1055" s="7" t="str">
        <f ca="1">getCodigoBackend(N1055,A1055,VLOOKUP(N1055,setup!$A$8:$H$58,2),VLOOKUP(N1055,setup!$A$8:$H$58,3),VLOOKUP(N1055,setup!$A$8:$H$58,4),VLOOKUP(N1055,setup!$A$8:$H$58,5),VLOOKUP(N1055,setup!$A$8:$H$58,6),VLOOKUP(N1055,setup!$A$8:$H$58,7), VLOOKUP(0,setup!$A$8:$H$58,2),VLOOKUP(0,setup!$A$8:$H$58,5),VLOOKUP(N1055,setup!$A$8:$H$58,8))</f>
        <v>* @return CampanhaCashbackResgatePixDTO</v>
      </c>
    </row>
    <row r="1056" spans="1:15" x14ac:dyDescent="0.25">
      <c r="A1056" s="29" t="s">
        <v>20</v>
      </c>
      <c r="N1056">
        <f t="shared" si="20"/>
        <v>12</v>
      </c>
      <c r="O1056" s="7" t="str">
        <f ca="1">getCodigoBackend(N1056,A1056,VLOOKUP(N1056,setup!$A$8:$H$58,2),VLOOKUP(N1056,setup!$A$8:$H$58,3),VLOOKUP(N1056,setup!$A$8:$H$58,4),VLOOKUP(N1056,setup!$A$8:$H$58,5),VLOOKUP(N1056,setup!$A$8:$H$58,6),VLOOKUP(N1056,setup!$A$8:$H$58,7), VLOOKUP(0,setup!$A$8:$H$58,2),VLOOKUP(0,setup!$A$8:$H$58,5),VLOOKUP(N1056,setup!$A$8:$H$58,8))</f>
        <v>*</v>
      </c>
    </row>
    <row r="1057" spans="1:15" x14ac:dyDescent="0.25">
      <c r="A1057" s="29" t="s">
        <v>75</v>
      </c>
      <c r="N1057">
        <f t="shared" si="20"/>
        <v>12</v>
      </c>
      <c r="O1057" s="7" t="str">
        <f ca="1">getCodigoBackend(N1057,A1057,VLOOKUP(N1057,setup!$A$8:$H$58,2),VLOOKUP(N1057,setup!$A$8:$H$58,3),VLOOKUP(N1057,setup!$A$8:$H$58,4),VLOOKUP(N1057,setup!$A$8:$H$58,5),VLOOKUP(N1057,setup!$A$8:$H$58,6),VLOOKUP(N1057,setup!$A$8:$H$58,7), VLOOKUP(0,setup!$A$8:$H$58,2),VLOOKUP(0,setup!$A$8:$H$58,5),VLOOKUP(N1057,setup!$A$8:$H$58,8))</f>
        <v xml:space="preserve">* </v>
      </c>
    </row>
    <row r="1058" spans="1:15" x14ac:dyDescent="0.25">
      <c r="A1058" s="29" t="s">
        <v>21</v>
      </c>
      <c r="N1058">
        <f t="shared" si="20"/>
        <v>12</v>
      </c>
      <c r="O1058" s="7" t="str">
        <f ca="1">getCodigoBackend(N1058,A1058,VLOOKUP(N1058,setup!$A$8:$H$58,2),VLOOKUP(N1058,setup!$A$8:$H$58,3),VLOOKUP(N1058,setup!$A$8:$H$58,4),VLOOKUP(N1058,setup!$A$8:$H$58,5),VLOOKUP(N1058,setup!$A$8:$H$58,6),VLOOKUP(N1058,setup!$A$8:$H$58,7), VLOOKUP(0,setup!$A$8:$H$58,2),VLOOKUP(0,setup!$A$8:$H$58,5),VLOOKUP(N1058,setup!$A$8:$H$58,8))</f>
        <v>*/</v>
      </c>
    </row>
    <row r="1059" spans="1:15" x14ac:dyDescent="0.25">
      <c r="A1059" s="29" t="s">
        <v>784</v>
      </c>
      <c r="N1059">
        <f t="shared" si="20"/>
        <v>12</v>
      </c>
      <c r="O1059" s="7" t="str">
        <f ca="1">getCodigoBackend(N1059,A1059,VLOOKUP(N1059,setup!$A$8:$H$58,2),VLOOKUP(N1059,setup!$A$8:$H$58,3),VLOOKUP(N1059,setup!$A$8:$H$58,4),VLOOKUP(N1059,setup!$A$8:$H$58,5),VLOOKUP(N1059,setup!$A$8:$H$58,6),VLOOKUP(N1059,setup!$A$8:$H$58,7), VLOOKUP(0,setup!$A$8:$H$58,2),VLOOKUP(0,setup!$A$8:$H$58,5),VLOOKUP(N1059,setup!$A$8:$H$58,8))</f>
        <v xml:space="preserve">    public function pesquisarPorTxtlivreestagiort($daofactory,$txtLivreEstagioRT)</v>
      </c>
    </row>
    <row r="1060" spans="1:15" x14ac:dyDescent="0.25">
      <c r="A1060" s="29"/>
      <c r="N1060">
        <f t="shared" si="20"/>
        <v>12</v>
      </c>
      <c r="O1060" s="7" t="str">
        <f ca="1">getCodigoBackend(N1060,A1060,VLOOKUP(N1060,setup!$A$8:$H$58,2),VLOOKUP(N1060,setup!$A$8:$H$58,3),VLOOKUP(N1060,setup!$A$8:$H$58,4),VLOOKUP(N1060,setup!$A$8:$H$58,5),VLOOKUP(N1060,setup!$A$8:$H$58,6),VLOOKUP(N1060,setup!$A$8:$H$58,7), VLOOKUP(0,setup!$A$8:$H$58,2),VLOOKUP(0,setup!$A$8:$H$58,5),VLOOKUP(N1060,setup!$A$8:$H$58,8))</f>
        <v/>
      </c>
    </row>
    <row r="1061" spans="1:15" x14ac:dyDescent="0.25">
      <c r="A1061" s="29" t="s">
        <v>758</v>
      </c>
      <c r="N1061">
        <f t="shared" si="20"/>
        <v>12</v>
      </c>
      <c r="O1061" s="7" t="str">
        <f ca="1">getCodigoBackend(N1061,A1061,VLOOKUP(N1061,setup!$A$8:$H$58,2),VLOOKUP(N1061,setup!$A$8:$H$58,3),VLOOKUP(N1061,setup!$A$8:$H$58,4),VLOOKUP(N1061,setup!$A$8:$H$58,5),VLOOKUP(N1061,setup!$A$8:$H$58,6),VLOOKUP(N1061,setup!$A$8:$H$58,7), VLOOKUP(0,setup!$A$8:$H$58,2),VLOOKUP(0,setup!$A$8:$H$58,5),VLOOKUP(N1061,setup!$A$8:$H$58,8))</f>
        <v xml:space="preserve">    { </v>
      </c>
    </row>
    <row r="1062" spans="1:15" x14ac:dyDescent="0.25">
      <c r="A1062" s="29" t="s">
        <v>754</v>
      </c>
      <c r="N1062">
        <f t="shared" si="20"/>
        <v>12</v>
      </c>
      <c r="O1062" s="7" t="str">
        <f ca="1">getCodigoBackend(N1062,A1062,VLOOKUP(N1062,setup!$A$8:$H$58,2),VLOOKUP(N1062,setup!$A$8:$H$58,3),VLOOKUP(N1062,setup!$A$8:$H$58,4),VLOOKUP(N1062,setup!$A$8:$H$58,5),VLOOKUP(N1062,setup!$A$8:$H$58,6),VLOOKUP(N1062,setup!$A$8:$H$58,7), VLOOKUP(0,setup!$A$8:$H$58,2),VLOOKUP(0,setup!$A$8:$H$58,5),VLOOKUP(N1062,setup!$A$8:$H$58,8))</f>
        <v xml:space="preserve">        $dao = $daofactory-&gt;getCampanhaCashbackResgatePixDAO($daofactory);</v>
      </c>
    </row>
    <row r="1063" spans="1:15" x14ac:dyDescent="0.25">
      <c r="A1063" s="29" t="s">
        <v>759</v>
      </c>
      <c r="N1063">
        <f t="shared" si="20"/>
        <v>12</v>
      </c>
      <c r="O1063" s="7" t="str">
        <f ca="1">getCodigoBackend(N1063,A1063,VLOOKUP(N1063,setup!$A$8:$H$58,2),VLOOKUP(N1063,setup!$A$8:$H$58,3),VLOOKUP(N1063,setup!$A$8:$H$58,4),VLOOKUP(N1063,setup!$A$8:$H$58,5),VLOOKUP(N1063,setup!$A$8:$H$58,6),VLOOKUP(N1063,setup!$A$8:$H$58,7), VLOOKUP(0,setup!$A$8:$H$58,2),VLOOKUP(0,setup!$A$8:$H$58,5),VLOOKUP(N1063,setup!$A$8:$H$58,8))</f>
        <v xml:space="preserve">        return $dao-&gt;loadTxtlivreestagiort($txtLivreEstagioRT);</v>
      </c>
    </row>
    <row r="1064" spans="1:15" x14ac:dyDescent="0.25">
      <c r="A1064" s="29" t="s">
        <v>406</v>
      </c>
      <c r="N1064">
        <f t="shared" si="20"/>
        <v>12</v>
      </c>
      <c r="O1064" s="7" t="str">
        <f ca="1">getCodigoBackend(N1064,A1064,VLOOKUP(N1064,setup!$A$8:$H$58,2),VLOOKUP(N1064,setup!$A$8:$H$58,3),VLOOKUP(N1064,setup!$A$8:$H$58,4),VLOOKUP(N1064,setup!$A$8:$H$58,5),VLOOKUP(N1064,setup!$A$8:$H$58,6),VLOOKUP(N1064,setup!$A$8:$H$58,7), VLOOKUP(0,setup!$A$8:$H$58,2),VLOOKUP(0,setup!$A$8:$H$58,5),VLOOKUP(N1064,setup!$A$8:$H$58,8))</f>
        <v xml:space="preserve">    }</v>
      </c>
    </row>
    <row r="1065" spans="1:15" x14ac:dyDescent="0.25">
      <c r="O1065" s="7" t="str">
        <f ca="1">getCodigoBackend(N1065,A1065,VLOOKUP(N1065,setup!$A$8:$H$58,2),VLOOKUP(N1065,setup!$A$8:$H$58,3),VLOOKUP(N1065,setup!$A$8:$H$58,4),VLOOKUP(N1065,setup!$A$8:$H$58,5),VLOOKUP(N1065,setup!$A$8:$H$58,6),VLOOKUP(N1065,setup!$A$8:$H$58,7), VLOOKUP(0,setup!$A$8:$H$58,2),VLOOKUP(0,setup!$A$8:$H$58,5),VLOOKUP(N1065,setup!$A$8:$H$58,8))</f>
        <v/>
      </c>
    </row>
    <row r="1066" spans="1:15" x14ac:dyDescent="0.25">
      <c r="A1066" s="29" t="s">
        <v>19</v>
      </c>
      <c r="N1066">
        <f>N1064+1</f>
        <v>13</v>
      </c>
      <c r="O1066" s="7" t="e">
        <f>getCodigoBackend(N1066,A1066,VLOOKUP(N1066,setup!$A$8:$H$58,2),VLOOKUP(N1066,setup!$A$8:$H$58,3),VLOOKUP(N1066,setup!$A$8:$H$58,4),VLOOKUP(N1066,setup!$A$8:$H$58,5),VLOOKUP(N1066,setup!$A$8:$H$58,6),VLOOKUP(N1066,setup!$A$8:$H$58,7), VLOOKUP(0,setup!$A$8:$H$58,2),VLOOKUP(0,setup!$A$8:$H$58,5),VLOOKUP(N1066,setup!$A$8:$H$58,8))</f>
        <v>#VALUE!</v>
      </c>
    </row>
    <row r="1067" spans="1:15" x14ac:dyDescent="0.25">
      <c r="A1067" s="29" t="s">
        <v>20</v>
      </c>
      <c r="N1067">
        <f>N1066</f>
        <v>13</v>
      </c>
      <c r="O1067" s="7" t="e">
        <f>getCodigoBackend(N1067,A1067,VLOOKUP(N1067,setup!$A$8:$H$58,2),VLOOKUP(N1067,setup!$A$8:$H$58,3),VLOOKUP(N1067,setup!$A$8:$H$58,4),VLOOKUP(N1067,setup!$A$8:$H$58,5),VLOOKUP(N1067,setup!$A$8:$H$58,6),VLOOKUP(N1067,setup!$A$8:$H$58,7), VLOOKUP(0,setup!$A$8:$H$58,2),VLOOKUP(0,setup!$A$8:$H$58,5),VLOOKUP(N1067,setup!$A$8:$H$58,8))</f>
        <v>#VALUE!</v>
      </c>
    </row>
    <row r="1068" spans="1:15" x14ac:dyDescent="0.25">
      <c r="A1068" s="29" t="s">
        <v>716</v>
      </c>
      <c r="N1068">
        <f t="shared" ref="N1068:N1081" si="21">N1067</f>
        <v>13</v>
      </c>
      <c r="O1068" s="7" t="e">
        <f>getCodigoBackend(N1068,A1068,VLOOKUP(N1068,setup!$A$8:$H$58,2),VLOOKUP(N1068,setup!$A$8:$H$58,3),VLOOKUP(N1068,setup!$A$8:$H$58,4),VLOOKUP(N1068,setup!$A$8:$H$58,5),VLOOKUP(N1068,setup!$A$8:$H$58,6),VLOOKUP(N1068,setup!$A$8:$H$58,7), VLOOKUP(0,setup!$A$8:$H$58,2),VLOOKUP(0,setup!$A$8:$H$58,5),VLOOKUP(N1068,setup!$A$8:$H$58,8))</f>
        <v>#VALUE!</v>
      </c>
    </row>
    <row r="1069" spans="1:15" x14ac:dyDescent="0.25">
      <c r="A1069" s="29" t="s">
        <v>717</v>
      </c>
      <c r="N1069">
        <f t="shared" si="21"/>
        <v>13</v>
      </c>
      <c r="O1069" s="7" t="e">
        <f>getCodigoBackend(N1069,A1069,VLOOKUP(N1069,setup!$A$8:$H$58,2),VLOOKUP(N1069,setup!$A$8:$H$58,3),VLOOKUP(N1069,setup!$A$8:$H$58,4),VLOOKUP(N1069,setup!$A$8:$H$58,5),VLOOKUP(N1069,setup!$A$8:$H$58,6),VLOOKUP(N1069,setup!$A$8:$H$58,7), VLOOKUP(0,setup!$A$8:$H$58,2),VLOOKUP(0,setup!$A$8:$H$58,5),VLOOKUP(N1069,setup!$A$8:$H$58,8))</f>
        <v>#VALUE!</v>
      </c>
    </row>
    <row r="1070" spans="1:15" x14ac:dyDescent="0.25">
      <c r="A1070" s="29" t="s">
        <v>20</v>
      </c>
      <c r="N1070">
        <f t="shared" si="21"/>
        <v>13</v>
      </c>
      <c r="O1070" s="7" t="e">
        <f>getCodigoBackend(N1070,A1070,VLOOKUP(N1070,setup!$A$8:$H$58,2),VLOOKUP(N1070,setup!$A$8:$H$58,3),VLOOKUP(N1070,setup!$A$8:$H$58,4),VLOOKUP(N1070,setup!$A$8:$H$58,5),VLOOKUP(N1070,setup!$A$8:$H$58,6),VLOOKUP(N1070,setup!$A$8:$H$58,7), VLOOKUP(0,setup!$A$8:$H$58,2),VLOOKUP(0,setup!$A$8:$H$58,5),VLOOKUP(N1070,setup!$A$8:$H$58,8))</f>
        <v>#VALUE!</v>
      </c>
    </row>
    <row r="1071" spans="1:15" x14ac:dyDescent="0.25">
      <c r="A1071" s="29" t="s">
        <v>756</v>
      </c>
      <c r="N1071">
        <f t="shared" si="21"/>
        <v>13</v>
      </c>
      <c r="O1071" s="7" t="e">
        <f>getCodigoBackend(N1071,A1071,VLOOKUP(N1071,setup!$A$8:$H$58,2),VLOOKUP(N1071,setup!$A$8:$H$58,3),VLOOKUP(N1071,setup!$A$8:$H$58,4),VLOOKUP(N1071,setup!$A$8:$H$58,5),VLOOKUP(N1071,setup!$A$8:$H$58,6),VLOOKUP(N1071,setup!$A$8:$H$58,7), VLOOKUP(0,setup!$A$8:$H$58,2),VLOOKUP(0,setup!$A$8:$H$58,5),VLOOKUP(N1071,setup!$A$8:$H$58,8))</f>
        <v>#VALUE!</v>
      </c>
    </row>
    <row r="1072" spans="1:15" x14ac:dyDescent="0.25">
      <c r="A1072" s="29" t="s">
        <v>757</v>
      </c>
      <c r="N1072">
        <f t="shared" si="21"/>
        <v>13</v>
      </c>
      <c r="O1072" s="7" t="e">
        <f>getCodigoBackend(N1072,A1072,VLOOKUP(N1072,setup!$A$8:$H$58,2),VLOOKUP(N1072,setup!$A$8:$H$58,3),VLOOKUP(N1072,setup!$A$8:$H$58,4),VLOOKUP(N1072,setup!$A$8:$H$58,5),VLOOKUP(N1072,setup!$A$8:$H$58,6),VLOOKUP(N1072,setup!$A$8:$H$58,7), VLOOKUP(0,setup!$A$8:$H$58,2),VLOOKUP(0,setup!$A$8:$H$58,5),VLOOKUP(N1072,setup!$A$8:$H$58,8))</f>
        <v>#VALUE!</v>
      </c>
    </row>
    <row r="1073" spans="1:15" x14ac:dyDescent="0.25">
      <c r="A1073" s="29" t="s">
        <v>20</v>
      </c>
      <c r="N1073">
        <f t="shared" si="21"/>
        <v>13</v>
      </c>
      <c r="O1073" s="7" t="e">
        <f>getCodigoBackend(N1073,A1073,VLOOKUP(N1073,setup!$A$8:$H$58,2),VLOOKUP(N1073,setup!$A$8:$H$58,3),VLOOKUP(N1073,setup!$A$8:$H$58,4),VLOOKUP(N1073,setup!$A$8:$H$58,5),VLOOKUP(N1073,setup!$A$8:$H$58,6),VLOOKUP(N1073,setup!$A$8:$H$58,7), VLOOKUP(0,setup!$A$8:$H$58,2),VLOOKUP(0,setup!$A$8:$H$58,5),VLOOKUP(N1073,setup!$A$8:$H$58,8))</f>
        <v>#VALUE!</v>
      </c>
    </row>
    <row r="1074" spans="1:15" x14ac:dyDescent="0.25">
      <c r="A1074" s="29" t="s">
        <v>75</v>
      </c>
      <c r="N1074">
        <f t="shared" si="21"/>
        <v>13</v>
      </c>
      <c r="O1074" s="7" t="e">
        <f>getCodigoBackend(N1074,A1074,VLOOKUP(N1074,setup!$A$8:$H$58,2),VLOOKUP(N1074,setup!$A$8:$H$58,3),VLOOKUP(N1074,setup!$A$8:$H$58,4),VLOOKUP(N1074,setup!$A$8:$H$58,5),VLOOKUP(N1074,setup!$A$8:$H$58,6),VLOOKUP(N1074,setup!$A$8:$H$58,7), VLOOKUP(0,setup!$A$8:$H$58,2),VLOOKUP(0,setup!$A$8:$H$58,5),VLOOKUP(N1074,setup!$A$8:$H$58,8))</f>
        <v>#VALUE!</v>
      </c>
    </row>
    <row r="1075" spans="1:15" x14ac:dyDescent="0.25">
      <c r="A1075" s="29" t="s">
        <v>21</v>
      </c>
      <c r="N1075">
        <f t="shared" si="21"/>
        <v>13</v>
      </c>
      <c r="O1075" s="7" t="e">
        <f>getCodigoBackend(N1075,A1075,VLOOKUP(N1075,setup!$A$8:$H$58,2),VLOOKUP(N1075,setup!$A$8:$H$58,3),VLOOKUP(N1075,setup!$A$8:$H$58,4),VLOOKUP(N1075,setup!$A$8:$H$58,5),VLOOKUP(N1075,setup!$A$8:$H$58,6),VLOOKUP(N1075,setup!$A$8:$H$58,7), VLOOKUP(0,setup!$A$8:$H$58,2),VLOOKUP(0,setup!$A$8:$H$58,5),VLOOKUP(N1075,setup!$A$8:$H$58,8))</f>
        <v>#VALUE!</v>
      </c>
    </row>
    <row r="1076" spans="1:15" x14ac:dyDescent="0.25">
      <c r="A1076" s="29" t="s">
        <v>784</v>
      </c>
      <c r="N1076">
        <f t="shared" si="21"/>
        <v>13</v>
      </c>
      <c r="O1076" s="7" t="e">
        <f>getCodigoBackend(N1076,A1076,VLOOKUP(N1076,setup!$A$8:$H$58,2),VLOOKUP(N1076,setup!$A$8:$H$58,3),VLOOKUP(N1076,setup!$A$8:$H$58,4),VLOOKUP(N1076,setup!$A$8:$H$58,5),VLOOKUP(N1076,setup!$A$8:$H$58,6),VLOOKUP(N1076,setup!$A$8:$H$58,7), VLOOKUP(0,setup!$A$8:$H$58,2),VLOOKUP(0,setup!$A$8:$H$58,5),VLOOKUP(N1076,setup!$A$8:$H$58,8))</f>
        <v>#VALUE!</v>
      </c>
    </row>
    <row r="1077" spans="1:15" x14ac:dyDescent="0.25">
      <c r="A1077" s="29"/>
      <c r="N1077">
        <f t="shared" si="21"/>
        <v>13</v>
      </c>
      <c r="O1077" s="7" t="e">
        <f>getCodigoBackend(N1077,A1077,VLOOKUP(N1077,setup!$A$8:$H$58,2),VLOOKUP(N1077,setup!$A$8:$H$58,3),VLOOKUP(N1077,setup!$A$8:$H$58,4),VLOOKUP(N1077,setup!$A$8:$H$58,5),VLOOKUP(N1077,setup!$A$8:$H$58,6),VLOOKUP(N1077,setup!$A$8:$H$58,7), VLOOKUP(0,setup!$A$8:$H$58,2),VLOOKUP(0,setup!$A$8:$H$58,5),VLOOKUP(N1077,setup!$A$8:$H$58,8))</f>
        <v>#VALUE!</v>
      </c>
    </row>
    <row r="1078" spans="1:15" x14ac:dyDescent="0.25">
      <c r="A1078" s="29" t="s">
        <v>758</v>
      </c>
      <c r="N1078">
        <f t="shared" si="21"/>
        <v>13</v>
      </c>
      <c r="O1078" s="7" t="e">
        <f>getCodigoBackend(N1078,A1078,VLOOKUP(N1078,setup!$A$8:$H$58,2),VLOOKUP(N1078,setup!$A$8:$H$58,3),VLOOKUP(N1078,setup!$A$8:$H$58,4),VLOOKUP(N1078,setup!$A$8:$H$58,5),VLOOKUP(N1078,setup!$A$8:$H$58,6),VLOOKUP(N1078,setup!$A$8:$H$58,7), VLOOKUP(0,setup!$A$8:$H$58,2),VLOOKUP(0,setup!$A$8:$H$58,5),VLOOKUP(N1078,setup!$A$8:$H$58,8))</f>
        <v>#VALUE!</v>
      </c>
    </row>
    <row r="1079" spans="1:15" x14ac:dyDescent="0.25">
      <c r="A1079" s="29" t="s">
        <v>754</v>
      </c>
      <c r="N1079">
        <f t="shared" si="21"/>
        <v>13</v>
      </c>
      <c r="O1079" s="7" t="e">
        <f>getCodigoBackend(N1079,A1079,VLOOKUP(N1079,setup!$A$8:$H$58,2),VLOOKUP(N1079,setup!$A$8:$H$58,3),VLOOKUP(N1079,setup!$A$8:$H$58,4),VLOOKUP(N1079,setup!$A$8:$H$58,5),VLOOKUP(N1079,setup!$A$8:$H$58,6),VLOOKUP(N1079,setup!$A$8:$H$58,7), VLOOKUP(0,setup!$A$8:$H$58,2),VLOOKUP(0,setup!$A$8:$H$58,5),VLOOKUP(N1079,setup!$A$8:$H$58,8))</f>
        <v>#VALUE!</v>
      </c>
    </row>
    <row r="1080" spans="1:15" x14ac:dyDescent="0.25">
      <c r="A1080" s="29" t="s">
        <v>759</v>
      </c>
      <c r="N1080">
        <f t="shared" si="21"/>
        <v>13</v>
      </c>
      <c r="O1080" s="7" t="e">
        <f>getCodigoBackend(N1080,A1080,VLOOKUP(N1080,setup!$A$8:$H$58,2),VLOOKUP(N1080,setup!$A$8:$H$58,3),VLOOKUP(N1080,setup!$A$8:$H$58,4),VLOOKUP(N1080,setup!$A$8:$H$58,5),VLOOKUP(N1080,setup!$A$8:$H$58,6),VLOOKUP(N1080,setup!$A$8:$H$58,7), VLOOKUP(0,setup!$A$8:$H$58,2),VLOOKUP(0,setup!$A$8:$H$58,5),VLOOKUP(N1080,setup!$A$8:$H$58,8))</f>
        <v>#VALUE!</v>
      </c>
    </row>
    <row r="1081" spans="1:15" x14ac:dyDescent="0.25">
      <c r="A1081" s="29" t="s">
        <v>406</v>
      </c>
      <c r="N1081">
        <f t="shared" si="21"/>
        <v>13</v>
      </c>
      <c r="O1081" s="7" t="e">
        <f>getCodigoBackend(N1081,A1081,VLOOKUP(N1081,setup!$A$8:$H$58,2),VLOOKUP(N1081,setup!$A$8:$H$58,3),VLOOKUP(N1081,setup!$A$8:$H$58,4),VLOOKUP(N1081,setup!$A$8:$H$58,5),VLOOKUP(N1081,setup!$A$8:$H$58,6),VLOOKUP(N1081,setup!$A$8:$H$58,7), VLOOKUP(0,setup!$A$8:$H$58,2),VLOOKUP(0,setup!$A$8:$H$58,5),VLOOKUP(N1081,setup!$A$8:$H$58,8))</f>
        <v>#VALUE!</v>
      </c>
    </row>
    <row r="1082" spans="1:15" x14ac:dyDescent="0.25">
      <c r="O1082" s="7" t="str">
        <f ca="1">getCodigoBackend(N1082,A1082,VLOOKUP(N1082,setup!$A$8:$H$58,2),VLOOKUP(N1082,setup!$A$8:$H$58,3),VLOOKUP(N1082,setup!$A$8:$H$58,4),VLOOKUP(N1082,setup!$A$8:$H$58,5),VLOOKUP(N1082,setup!$A$8:$H$58,6),VLOOKUP(N1082,setup!$A$8:$H$58,7), VLOOKUP(0,setup!$A$8:$H$58,2),VLOOKUP(0,setup!$A$8:$H$58,5),VLOOKUP(N1082,setup!$A$8:$H$58,8))</f>
        <v/>
      </c>
    </row>
    <row r="1083" spans="1:15" x14ac:dyDescent="0.25">
      <c r="A1083" s="29" t="s">
        <v>19</v>
      </c>
      <c r="N1083">
        <f>N1081+1</f>
        <v>14</v>
      </c>
      <c r="O1083" s="7" t="e">
        <f>getCodigoBackend(N1083,A1083,VLOOKUP(N1083,setup!$A$8:$H$58,2),VLOOKUP(N1083,setup!$A$8:$H$58,3),VLOOKUP(N1083,setup!$A$8:$H$58,4),VLOOKUP(N1083,setup!$A$8:$H$58,5),VLOOKUP(N1083,setup!$A$8:$H$58,6),VLOOKUP(N1083,setup!$A$8:$H$58,7), VLOOKUP(0,setup!$A$8:$H$58,2),VLOOKUP(0,setup!$A$8:$H$58,5),VLOOKUP(N1083,setup!$A$8:$H$58,8))</f>
        <v>#VALUE!</v>
      </c>
    </row>
    <row r="1084" spans="1:15" x14ac:dyDescent="0.25">
      <c r="A1084" s="29" t="s">
        <v>20</v>
      </c>
      <c r="N1084">
        <f>N1083</f>
        <v>14</v>
      </c>
      <c r="O1084" s="7" t="e">
        <f>getCodigoBackend(N1084,A1084,VLOOKUP(N1084,setup!$A$8:$H$58,2),VLOOKUP(N1084,setup!$A$8:$H$58,3),VLOOKUP(N1084,setup!$A$8:$H$58,4),VLOOKUP(N1084,setup!$A$8:$H$58,5),VLOOKUP(N1084,setup!$A$8:$H$58,6),VLOOKUP(N1084,setup!$A$8:$H$58,7), VLOOKUP(0,setup!$A$8:$H$58,2),VLOOKUP(0,setup!$A$8:$H$58,5),VLOOKUP(N1084,setup!$A$8:$H$58,8))</f>
        <v>#VALUE!</v>
      </c>
    </row>
    <row r="1085" spans="1:15" x14ac:dyDescent="0.25">
      <c r="A1085" s="29" t="s">
        <v>716</v>
      </c>
      <c r="N1085">
        <f t="shared" ref="N1085:N1098" si="22">N1084</f>
        <v>14</v>
      </c>
      <c r="O1085" s="7" t="e">
        <f>getCodigoBackend(N1085,A1085,VLOOKUP(N1085,setup!$A$8:$H$58,2),VLOOKUP(N1085,setup!$A$8:$H$58,3),VLOOKUP(N1085,setup!$A$8:$H$58,4),VLOOKUP(N1085,setup!$A$8:$H$58,5),VLOOKUP(N1085,setup!$A$8:$H$58,6),VLOOKUP(N1085,setup!$A$8:$H$58,7), VLOOKUP(0,setup!$A$8:$H$58,2),VLOOKUP(0,setup!$A$8:$H$58,5),VLOOKUP(N1085,setup!$A$8:$H$58,8))</f>
        <v>#VALUE!</v>
      </c>
    </row>
    <row r="1086" spans="1:15" x14ac:dyDescent="0.25">
      <c r="A1086" s="29" t="s">
        <v>717</v>
      </c>
      <c r="N1086">
        <f t="shared" si="22"/>
        <v>14</v>
      </c>
      <c r="O1086" s="7" t="e">
        <f>getCodigoBackend(N1086,A1086,VLOOKUP(N1086,setup!$A$8:$H$58,2),VLOOKUP(N1086,setup!$A$8:$H$58,3),VLOOKUP(N1086,setup!$A$8:$H$58,4),VLOOKUP(N1086,setup!$A$8:$H$58,5),VLOOKUP(N1086,setup!$A$8:$H$58,6),VLOOKUP(N1086,setup!$A$8:$H$58,7), VLOOKUP(0,setup!$A$8:$H$58,2),VLOOKUP(0,setup!$A$8:$H$58,5),VLOOKUP(N1086,setup!$A$8:$H$58,8))</f>
        <v>#VALUE!</v>
      </c>
    </row>
    <row r="1087" spans="1:15" x14ac:dyDescent="0.25">
      <c r="A1087" s="29" t="s">
        <v>20</v>
      </c>
      <c r="N1087">
        <f t="shared" si="22"/>
        <v>14</v>
      </c>
      <c r="O1087" s="7" t="e">
        <f>getCodigoBackend(N1087,A1087,VLOOKUP(N1087,setup!$A$8:$H$58,2),VLOOKUP(N1087,setup!$A$8:$H$58,3),VLOOKUP(N1087,setup!$A$8:$H$58,4),VLOOKUP(N1087,setup!$A$8:$H$58,5),VLOOKUP(N1087,setup!$A$8:$H$58,6),VLOOKUP(N1087,setup!$A$8:$H$58,7), VLOOKUP(0,setup!$A$8:$H$58,2),VLOOKUP(0,setup!$A$8:$H$58,5),VLOOKUP(N1087,setup!$A$8:$H$58,8))</f>
        <v>#VALUE!</v>
      </c>
    </row>
    <row r="1088" spans="1:15" x14ac:dyDescent="0.25">
      <c r="A1088" s="29" t="s">
        <v>756</v>
      </c>
      <c r="N1088">
        <f t="shared" si="22"/>
        <v>14</v>
      </c>
      <c r="O1088" s="7" t="e">
        <f>getCodigoBackend(N1088,A1088,VLOOKUP(N1088,setup!$A$8:$H$58,2),VLOOKUP(N1088,setup!$A$8:$H$58,3),VLOOKUP(N1088,setup!$A$8:$H$58,4),VLOOKUP(N1088,setup!$A$8:$H$58,5),VLOOKUP(N1088,setup!$A$8:$H$58,6),VLOOKUP(N1088,setup!$A$8:$H$58,7), VLOOKUP(0,setup!$A$8:$H$58,2),VLOOKUP(0,setup!$A$8:$H$58,5),VLOOKUP(N1088,setup!$A$8:$H$58,8))</f>
        <v>#VALUE!</v>
      </c>
    </row>
    <row r="1089" spans="1:15" x14ac:dyDescent="0.25">
      <c r="A1089" s="29" t="s">
        <v>757</v>
      </c>
      <c r="N1089">
        <f t="shared" si="22"/>
        <v>14</v>
      </c>
      <c r="O1089" s="7" t="e">
        <f>getCodigoBackend(N1089,A1089,VLOOKUP(N1089,setup!$A$8:$H$58,2),VLOOKUP(N1089,setup!$A$8:$H$58,3),VLOOKUP(N1089,setup!$A$8:$H$58,4),VLOOKUP(N1089,setup!$A$8:$H$58,5),VLOOKUP(N1089,setup!$A$8:$H$58,6),VLOOKUP(N1089,setup!$A$8:$H$58,7), VLOOKUP(0,setup!$A$8:$H$58,2),VLOOKUP(0,setup!$A$8:$H$58,5),VLOOKUP(N1089,setup!$A$8:$H$58,8))</f>
        <v>#VALUE!</v>
      </c>
    </row>
    <row r="1090" spans="1:15" x14ac:dyDescent="0.25">
      <c r="A1090" s="29" t="s">
        <v>20</v>
      </c>
      <c r="N1090">
        <f t="shared" si="22"/>
        <v>14</v>
      </c>
      <c r="O1090" s="7" t="e">
        <f>getCodigoBackend(N1090,A1090,VLOOKUP(N1090,setup!$A$8:$H$58,2),VLOOKUP(N1090,setup!$A$8:$H$58,3),VLOOKUP(N1090,setup!$A$8:$H$58,4),VLOOKUP(N1090,setup!$A$8:$H$58,5),VLOOKUP(N1090,setup!$A$8:$H$58,6),VLOOKUP(N1090,setup!$A$8:$H$58,7), VLOOKUP(0,setup!$A$8:$H$58,2),VLOOKUP(0,setup!$A$8:$H$58,5),VLOOKUP(N1090,setup!$A$8:$H$58,8))</f>
        <v>#VALUE!</v>
      </c>
    </row>
    <row r="1091" spans="1:15" x14ac:dyDescent="0.25">
      <c r="A1091" s="29" t="s">
        <v>75</v>
      </c>
      <c r="N1091">
        <f t="shared" si="22"/>
        <v>14</v>
      </c>
      <c r="O1091" s="7" t="e">
        <f>getCodigoBackend(N1091,A1091,VLOOKUP(N1091,setup!$A$8:$H$58,2),VLOOKUP(N1091,setup!$A$8:$H$58,3),VLOOKUP(N1091,setup!$A$8:$H$58,4),VLOOKUP(N1091,setup!$A$8:$H$58,5),VLOOKUP(N1091,setup!$A$8:$H$58,6),VLOOKUP(N1091,setup!$A$8:$H$58,7), VLOOKUP(0,setup!$A$8:$H$58,2),VLOOKUP(0,setup!$A$8:$H$58,5),VLOOKUP(N1091,setup!$A$8:$H$58,8))</f>
        <v>#VALUE!</v>
      </c>
    </row>
    <row r="1092" spans="1:15" x14ac:dyDescent="0.25">
      <c r="A1092" s="29" t="s">
        <v>21</v>
      </c>
      <c r="N1092">
        <f t="shared" si="22"/>
        <v>14</v>
      </c>
      <c r="O1092" s="7" t="e">
        <f>getCodigoBackend(N1092,A1092,VLOOKUP(N1092,setup!$A$8:$H$58,2),VLOOKUP(N1092,setup!$A$8:$H$58,3),VLOOKUP(N1092,setup!$A$8:$H$58,4),VLOOKUP(N1092,setup!$A$8:$H$58,5),VLOOKUP(N1092,setup!$A$8:$H$58,6),VLOOKUP(N1092,setup!$A$8:$H$58,7), VLOOKUP(0,setup!$A$8:$H$58,2),VLOOKUP(0,setup!$A$8:$H$58,5),VLOOKUP(N1092,setup!$A$8:$H$58,8))</f>
        <v>#VALUE!</v>
      </c>
    </row>
    <row r="1093" spans="1:15" x14ac:dyDescent="0.25">
      <c r="A1093" s="29" t="s">
        <v>784</v>
      </c>
      <c r="N1093">
        <f t="shared" si="22"/>
        <v>14</v>
      </c>
      <c r="O1093" s="7" t="e">
        <f>getCodigoBackend(N1093,A1093,VLOOKUP(N1093,setup!$A$8:$H$58,2),VLOOKUP(N1093,setup!$A$8:$H$58,3),VLOOKUP(N1093,setup!$A$8:$H$58,4),VLOOKUP(N1093,setup!$A$8:$H$58,5),VLOOKUP(N1093,setup!$A$8:$H$58,6),VLOOKUP(N1093,setup!$A$8:$H$58,7), VLOOKUP(0,setup!$A$8:$H$58,2),VLOOKUP(0,setup!$A$8:$H$58,5),VLOOKUP(N1093,setup!$A$8:$H$58,8))</f>
        <v>#VALUE!</v>
      </c>
    </row>
    <row r="1094" spans="1:15" x14ac:dyDescent="0.25">
      <c r="A1094" s="29"/>
      <c r="N1094">
        <f t="shared" si="22"/>
        <v>14</v>
      </c>
      <c r="O1094" s="7" t="e">
        <f>getCodigoBackend(N1094,A1094,VLOOKUP(N1094,setup!$A$8:$H$58,2),VLOOKUP(N1094,setup!$A$8:$H$58,3),VLOOKUP(N1094,setup!$A$8:$H$58,4),VLOOKUP(N1094,setup!$A$8:$H$58,5),VLOOKUP(N1094,setup!$A$8:$H$58,6),VLOOKUP(N1094,setup!$A$8:$H$58,7), VLOOKUP(0,setup!$A$8:$H$58,2),VLOOKUP(0,setup!$A$8:$H$58,5),VLOOKUP(N1094,setup!$A$8:$H$58,8))</f>
        <v>#VALUE!</v>
      </c>
    </row>
    <row r="1095" spans="1:15" x14ac:dyDescent="0.25">
      <c r="A1095" s="29" t="s">
        <v>758</v>
      </c>
      <c r="N1095">
        <f t="shared" si="22"/>
        <v>14</v>
      </c>
      <c r="O1095" s="7" t="e">
        <f>getCodigoBackend(N1095,A1095,VLOOKUP(N1095,setup!$A$8:$H$58,2),VLOOKUP(N1095,setup!$A$8:$H$58,3),VLOOKUP(N1095,setup!$A$8:$H$58,4),VLOOKUP(N1095,setup!$A$8:$H$58,5),VLOOKUP(N1095,setup!$A$8:$H$58,6),VLOOKUP(N1095,setup!$A$8:$H$58,7), VLOOKUP(0,setup!$A$8:$H$58,2),VLOOKUP(0,setup!$A$8:$H$58,5),VLOOKUP(N1095,setup!$A$8:$H$58,8))</f>
        <v>#VALUE!</v>
      </c>
    </row>
    <row r="1096" spans="1:15" x14ac:dyDescent="0.25">
      <c r="A1096" s="29" t="s">
        <v>754</v>
      </c>
      <c r="N1096">
        <f t="shared" si="22"/>
        <v>14</v>
      </c>
      <c r="O1096" s="7" t="e">
        <f>getCodigoBackend(N1096,A1096,VLOOKUP(N1096,setup!$A$8:$H$58,2),VLOOKUP(N1096,setup!$A$8:$H$58,3),VLOOKUP(N1096,setup!$A$8:$H$58,4),VLOOKUP(N1096,setup!$A$8:$H$58,5),VLOOKUP(N1096,setup!$A$8:$H$58,6),VLOOKUP(N1096,setup!$A$8:$H$58,7), VLOOKUP(0,setup!$A$8:$H$58,2),VLOOKUP(0,setup!$A$8:$H$58,5),VLOOKUP(N1096,setup!$A$8:$H$58,8))</f>
        <v>#VALUE!</v>
      </c>
    </row>
    <row r="1097" spans="1:15" x14ac:dyDescent="0.25">
      <c r="A1097" s="29" t="s">
        <v>759</v>
      </c>
      <c r="N1097">
        <f t="shared" si="22"/>
        <v>14</v>
      </c>
      <c r="O1097" s="7" t="e">
        <f>getCodigoBackend(N1097,A1097,VLOOKUP(N1097,setup!$A$8:$H$58,2),VLOOKUP(N1097,setup!$A$8:$H$58,3),VLOOKUP(N1097,setup!$A$8:$H$58,4),VLOOKUP(N1097,setup!$A$8:$H$58,5),VLOOKUP(N1097,setup!$A$8:$H$58,6),VLOOKUP(N1097,setup!$A$8:$H$58,7), VLOOKUP(0,setup!$A$8:$H$58,2),VLOOKUP(0,setup!$A$8:$H$58,5),VLOOKUP(N1097,setup!$A$8:$H$58,8))</f>
        <v>#VALUE!</v>
      </c>
    </row>
    <row r="1098" spans="1:15" x14ac:dyDescent="0.25">
      <c r="A1098" s="29" t="s">
        <v>406</v>
      </c>
      <c r="N1098">
        <f t="shared" si="22"/>
        <v>14</v>
      </c>
      <c r="O1098" s="7" t="e">
        <f>getCodigoBackend(N1098,A1098,VLOOKUP(N1098,setup!$A$8:$H$58,2),VLOOKUP(N1098,setup!$A$8:$H$58,3),VLOOKUP(N1098,setup!$A$8:$H$58,4),VLOOKUP(N1098,setup!$A$8:$H$58,5),VLOOKUP(N1098,setup!$A$8:$H$58,6),VLOOKUP(N1098,setup!$A$8:$H$58,7), VLOOKUP(0,setup!$A$8:$H$58,2),VLOOKUP(0,setup!$A$8:$H$58,5),VLOOKUP(N1098,setup!$A$8:$H$58,8))</f>
        <v>#VALUE!</v>
      </c>
    </row>
    <row r="1099" spans="1:15" x14ac:dyDescent="0.25">
      <c r="O1099" s="7" t="str">
        <f ca="1">getCodigoBackend(N1099,A1099,VLOOKUP(N1099,setup!$A$8:$H$58,2),VLOOKUP(N1099,setup!$A$8:$H$58,3),VLOOKUP(N1099,setup!$A$8:$H$58,4),VLOOKUP(N1099,setup!$A$8:$H$58,5),VLOOKUP(N1099,setup!$A$8:$H$58,6),VLOOKUP(N1099,setup!$A$8:$H$58,7), VLOOKUP(0,setup!$A$8:$H$58,2),VLOOKUP(0,setup!$A$8:$H$58,5),VLOOKUP(N1099,setup!$A$8:$H$58,8))</f>
        <v/>
      </c>
    </row>
    <row r="1100" spans="1:15" x14ac:dyDescent="0.25">
      <c r="A1100" s="29" t="s">
        <v>19</v>
      </c>
      <c r="N1100">
        <f>N1098+1</f>
        <v>15</v>
      </c>
      <c r="O1100" s="7" t="e">
        <f>getCodigoBackend(N1100,A1100,VLOOKUP(N1100,setup!$A$8:$H$58,2),VLOOKUP(N1100,setup!$A$8:$H$58,3),VLOOKUP(N1100,setup!$A$8:$H$58,4),VLOOKUP(N1100,setup!$A$8:$H$58,5),VLOOKUP(N1100,setup!$A$8:$H$58,6),VLOOKUP(N1100,setup!$A$8:$H$58,7), VLOOKUP(0,setup!$A$8:$H$58,2),VLOOKUP(0,setup!$A$8:$H$58,5),VLOOKUP(N1100,setup!$A$8:$H$58,8))</f>
        <v>#VALUE!</v>
      </c>
    </row>
    <row r="1101" spans="1:15" x14ac:dyDescent="0.25">
      <c r="A1101" s="29" t="s">
        <v>20</v>
      </c>
      <c r="N1101">
        <f>N1100</f>
        <v>15</v>
      </c>
      <c r="O1101" s="7" t="e">
        <f>getCodigoBackend(N1101,A1101,VLOOKUP(N1101,setup!$A$8:$H$58,2),VLOOKUP(N1101,setup!$A$8:$H$58,3),VLOOKUP(N1101,setup!$A$8:$H$58,4),VLOOKUP(N1101,setup!$A$8:$H$58,5),VLOOKUP(N1101,setup!$A$8:$H$58,6),VLOOKUP(N1101,setup!$A$8:$H$58,7), VLOOKUP(0,setup!$A$8:$H$58,2),VLOOKUP(0,setup!$A$8:$H$58,5),VLOOKUP(N1101,setup!$A$8:$H$58,8))</f>
        <v>#VALUE!</v>
      </c>
    </row>
    <row r="1102" spans="1:15" x14ac:dyDescent="0.25">
      <c r="A1102" s="29" t="s">
        <v>716</v>
      </c>
      <c r="N1102">
        <f t="shared" ref="N1102:N1115" si="23">N1101</f>
        <v>15</v>
      </c>
      <c r="O1102" s="7" t="e">
        <f>getCodigoBackend(N1102,A1102,VLOOKUP(N1102,setup!$A$8:$H$58,2),VLOOKUP(N1102,setup!$A$8:$H$58,3),VLOOKUP(N1102,setup!$A$8:$H$58,4),VLOOKUP(N1102,setup!$A$8:$H$58,5),VLOOKUP(N1102,setup!$A$8:$H$58,6),VLOOKUP(N1102,setup!$A$8:$H$58,7), VLOOKUP(0,setup!$A$8:$H$58,2),VLOOKUP(0,setup!$A$8:$H$58,5),VLOOKUP(N1102,setup!$A$8:$H$58,8))</f>
        <v>#VALUE!</v>
      </c>
    </row>
    <row r="1103" spans="1:15" x14ac:dyDescent="0.25">
      <c r="A1103" s="29" t="s">
        <v>717</v>
      </c>
      <c r="N1103">
        <f t="shared" si="23"/>
        <v>15</v>
      </c>
      <c r="O1103" s="7" t="e">
        <f>getCodigoBackend(N1103,A1103,VLOOKUP(N1103,setup!$A$8:$H$58,2),VLOOKUP(N1103,setup!$A$8:$H$58,3),VLOOKUP(N1103,setup!$A$8:$H$58,4),VLOOKUP(N1103,setup!$A$8:$H$58,5),VLOOKUP(N1103,setup!$A$8:$H$58,6),VLOOKUP(N1103,setup!$A$8:$H$58,7), VLOOKUP(0,setup!$A$8:$H$58,2),VLOOKUP(0,setup!$A$8:$H$58,5),VLOOKUP(N1103,setup!$A$8:$H$58,8))</f>
        <v>#VALUE!</v>
      </c>
    </row>
    <row r="1104" spans="1:15" x14ac:dyDescent="0.25">
      <c r="A1104" s="29" t="s">
        <v>20</v>
      </c>
      <c r="N1104">
        <f t="shared" si="23"/>
        <v>15</v>
      </c>
      <c r="O1104" s="7" t="e">
        <f>getCodigoBackend(N1104,A1104,VLOOKUP(N1104,setup!$A$8:$H$58,2),VLOOKUP(N1104,setup!$A$8:$H$58,3),VLOOKUP(N1104,setup!$A$8:$H$58,4),VLOOKUP(N1104,setup!$A$8:$H$58,5),VLOOKUP(N1104,setup!$A$8:$H$58,6),VLOOKUP(N1104,setup!$A$8:$H$58,7), VLOOKUP(0,setup!$A$8:$H$58,2),VLOOKUP(0,setup!$A$8:$H$58,5),VLOOKUP(N1104,setup!$A$8:$H$58,8))</f>
        <v>#VALUE!</v>
      </c>
    </row>
    <row r="1105" spans="1:15" x14ac:dyDescent="0.25">
      <c r="A1105" s="29" t="s">
        <v>756</v>
      </c>
      <c r="N1105">
        <f t="shared" si="23"/>
        <v>15</v>
      </c>
      <c r="O1105" s="7" t="e">
        <f>getCodigoBackend(N1105,A1105,VLOOKUP(N1105,setup!$A$8:$H$58,2),VLOOKUP(N1105,setup!$A$8:$H$58,3),VLOOKUP(N1105,setup!$A$8:$H$58,4),VLOOKUP(N1105,setup!$A$8:$H$58,5),VLOOKUP(N1105,setup!$A$8:$H$58,6),VLOOKUP(N1105,setup!$A$8:$H$58,7), VLOOKUP(0,setup!$A$8:$H$58,2),VLOOKUP(0,setup!$A$8:$H$58,5),VLOOKUP(N1105,setup!$A$8:$H$58,8))</f>
        <v>#VALUE!</v>
      </c>
    </row>
    <row r="1106" spans="1:15" x14ac:dyDescent="0.25">
      <c r="A1106" s="29" t="s">
        <v>757</v>
      </c>
      <c r="N1106">
        <f t="shared" si="23"/>
        <v>15</v>
      </c>
      <c r="O1106" s="7" t="e">
        <f>getCodigoBackend(N1106,A1106,VLOOKUP(N1106,setup!$A$8:$H$58,2),VLOOKUP(N1106,setup!$A$8:$H$58,3),VLOOKUP(N1106,setup!$A$8:$H$58,4),VLOOKUP(N1106,setup!$A$8:$H$58,5),VLOOKUP(N1106,setup!$A$8:$H$58,6),VLOOKUP(N1106,setup!$A$8:$H$58,7), VLOOKUP(0,setup!$A$8:$H$58,2),VLOOKUP(0,setup!$A$8:$H$58,5),VLOOKUP(N1106,setup!$A$8:$H$58,8))</f>
        <v>#VALUE!</v>
      </c>
    </row>
    <row r="1107" spans="1:15" x14ac:dyDescent="0.25">
      <c r="A1107" s="29" t="s">
        <v>20</v>
      </c>
      <c r="N1107">
        <f t="shared" si="23"/>
        <v>15</v>
      </c>
      <c r="O1107" s="7" t="e">
        <f>getCodigoBackend(N1107,A1107,VLOOKUP(N1107,setup!$A$8:$H$58,2),VLOOKUP(N1107,setup!$A$8:$H$58,3),VLOOKUP(N1107,setup!$A$8:$H$58,4),VLOOKUP(N1107,setup!$A$8:$H$58,5),VLOOKUP(N1107,setup!$A$8:$H$58,6),VLOOKUP(N1107,setup!$A$8:$H$58,7), VLOOKUP(0,setup!$A$8:$H$58,2),VLOOKUP(0,setup!$A$8:$H$58,5),VLOOKUP(N1107,setup!$A$8:$H$58,8))</f>
        <v>#VALUE!</v>
      </c>
    </row>
    <row r="1108" spans="1:15" x14ac:dyDescent="0.25">
      <c r="A1108" s="29" t="s">
        <v>75</v>
      </c>
      <c r="N1108">
        <f t="shared" si="23"/>
        <v>15</v>
      </c>
      <c r="O1108" s="7" t="e">
        <f>getCodigoBackend(N1108,A1108,VLOOKUP(N1108,setup!$A$8:$H$58,2),VLOOKUP(N1108,setup!$A$8:$H$58,3),VLOOKUP(N1108,setup!$A$8:$H$58,4),VLOOKUP(N1108,setup!$A$8:$H$58,5),VLOOKUP(N1108,setup!$A$8:$H$58,6),VLOOKUP(N1108,setup!$A$8:$H$58,7), VLOOKUP(0,setup!$A$8:$H$58,2),VLOOKUP(0,setup!$A$8:$H$58,5),VLOOKUP(N1108,setup!$A$8:$H$58,8))</f>
        <v>#VALUE!</v>
      </c>
    </row>
    <row r="1109" spans="1:15" x14ac:dyDescent="0.25">
      <c r="A1109" s="29" t="s">
        <v>21</v>
      </c>
      <c r="N1109">
        <f t="shared" si="23"/>
        <v>15</v>
      </c>
      <c r="O1109" s="7" t="e">
        <f>getCodigoBackend(N1109,A1109,VLOOKUP(N1109,setup!$A$8:$H$58,2),VLOOKUP(N1109,setup!$A$8:$H$58,3),VLOOKUP(N1109,setup!$A$8:$H$58,4),VLOOKUP(N1109,setup!$A$8:$H$58,5),VLOOKUP(N1109,setup!$A$8:$H$58,6),VLOOKUP(N1109,setup!$A$8:$H$58,7), VLOOKUP(0,setup!$A$8:$H$58,2),VLOOKUP(0,setup!$A$8:$H$58,5),VLOOKUP(N1109,setup!$A$8:$H$58,8))</f>
        <v>#VALUE!</v>
      </c>
    </row>
    <row r="1110" spans="1:15" x14ac:dyDescent="0.25">
      <c r="A1110" s="29" t="s">
        <v>784</v>
      </c>
      <c r="N1110">
        <f t="shared" si="23"/>
        <v>15</v>
      </c>
      <c r="O1110" s="7" t="e">
        <f>getCodigoBackend(N1110,A1110,VLOOKUP(N1110,setup!$A$8:$H$58,2),VLOOKUP(N1110,setup!$A$8:$H$58,3),VLOOKUP(N1110,setup!$A$8:$H$58,4),VLOOKUP(N1110,setup!$A$8:$H$58,5),VLOOKUP(N1110,setup!$A$8:$H$58,6),VLOOKUP(N1110,setup!$A$8:$H$58,7), VLOOKUP(0,setup!$A$8:$H$58,2),VLOOKUP(0,setup!$A$8:$H$58,5),VLOOKUP(N1110,setup!$A$8:$H$58,8))</f>
        <v>#VALUE!</v>
      </c>
    </row>
    <row r="1111" spans="1:15" x14ac:dyDescent="0.25">
      <c r="A1111" s="29"/>
      <c r="N1111">
        <f t="shared" si="23"/>
        <v>15</v>
      </c>
      <c r="O1111" s="7" t="e">
        <f>getCodigoBackend(N1111,A1111,VLOOKUP(N1111,setup!$A$8:$H$58,2),VLOOKUP(N1111,setup!$A$8:$H$58,3),VLOOKUP(N1111,setup!$A$8:$H$58,4),VLOOKUP(N1111,setup!$A$8:$H$58,5),VLOOKUP(N1111,setup!$A$8:$H$58,6),VLOOKUP(N1111,setup!$A$8:$H$58,7), VLOOKUP(0,setup!$A$8:$H$58,2),VLOOKUP(0,setup!$A$8:$H$58,5),VLOOKUP(N1111,setup!$A$8:$H$58,8))</f>
        <v>#VALUE!</v>
      </c>
    </row>
    <row r="1112" spans="1:15" x14ac:dyDescent="0.25">
      <c r="A1112" s="29" t="s">
        <v>758</v>
      </c>
      <c r="N1112">
        <f t="shared" si="23"/>
        <v>15</v>
      </c>
      <c r="O1112" s="7" t="e">
        <f>getCodigoBackend(N1112,A1112,VLOOKUP(N1112,setup!$A$8:$H$58,2),VLOOKUP(N1112,setup!$A$8:$H$58,3),VLOOKUP(N1112,setup!$A$8:$H$58,4),VLOOKUP(N1112,setup!$A$8:$H$58,5),VLOOKUP(N1112,setup!$A$8:$H$58,6),VLOOKUP(N1112,setup!$A$8:$H$58,7), VLOOKUP(0,setup!$A$8:$H$58,2),VLOOKUP(0,setup!$A$8:$H$58,5),VLOOKUP(N1112,setup!$A$8:$H$58,8))</f>
        <v>#VALUE!</v>
      </c>
    </row>
    <row r="1113" spans="1:15" x14ac:dyDescent="0.25">
      <c r="A1113" s="29" t="s">
        <v>754</v>
      </c>
      <c r="N1113">
        <f t="shared" si="23"/>
        <v>15</v>
      </c>
      <c r="O1113" s="7" t="e">
        <f>getCodigoBackend(N1113,A1113,VLOOKUP(N1113,setup!$A$8:$H$58,2),VLOOKUP(N1113,setup!$A$8:$H$58,3),VLOOKUP(N1113,setup!$A$8:$H$58,4),VLOOKUP(N1113,setup!$A$8:$H$58,5),VLOOKUP(N1113,setup!$A$8:$H$58,6),VLOOKUP(N1113,setup!$A$8:$H$58,7), VLOOKUP(0,setup!$A$8:$H$58,2),VLOOKUP(0,setup!$A$8:$H$58,5),VLOOKUP(N1113,setup!$A$8:$H$58,8))</f>
        <v>#VALUE!</v>
      </c>
    </row>
    <row r="1114" spans="1:15" x14ac:dyDescent="0.25">
      <c r="A1114" s="29" t="s">
        <v>759</v>
      </c>
      <c r="N1114">
        <f t="shared" si="23"/>
        <v>15</v>
      </c>
      <c r="O1114" s="7" t="e">
        <f>getCodigoBackend(N1114,A1114,VLOOKUP(N1114,setup!$A$8:$H$58,2),VLOOKUP(N1114,setup!$A$8:$H$58,3),VLOOKUP(N1114,setup!$A$8:$H$58,4),VLOOKUP(N1114,setup!$A$8:$H$58,5),VLOOKUP(N1114,setup!$A$8:$H$58,6),VLOOKUP(N1114,setup!$A$8:$H$58,7), VLOOKUP(0,setup!$A$8:$H$58,2),VLOOKUP(0,setup!$A$8:$H$58,5),VLOOKUP(N1114,setup!$A$8:$H$58,8))</f>
        <v>#VALUE!</v>
      </c>
    </row>
    <row r="1115" spans="1:15" x14ac:dyDescent="0.25">
      <c r="A1115" s="29" t="s">
        <v>406</v>
      </c>
      <c r="N1115">
        <f t="shared" si="23"/>
        <v>15</v>
      </c>
      <c r="O1115" s="7" t="e">
        <f>getCodigoBackend(N1115,A1115,VLOOKUP(N1115,setup!$A$8:$H$58,2),VLOOKUP(N1115,setup!$A$8:$H$58,3),VLOOKUP(N1115,setup!$A$8:$H$58,4),VLOOKUP(N1115,setup!$A$8:$H$58,5),VLOOKUP(N1115,setup!$A$8:$H$58,6),VLOOKUP(N1115,setup!$A$8:$H$58,7), VLOOKUP(0,setup!$A$8:$H$58,2),VLOOKUP(0,setup!$A$8:$H$58,5),VLOOKUP(N1115,setup!$A$8:$H$58,8))</f>
        <v>#VALUE!</v>
      </c>
    </row>
    <row r="1116" spans="1:15" x14ac:dyDescent="0.25">
      <c r="O1116" s="7" t="str">
        <f ca="1">getCodigoBackend(N1116,A1116,VLOOKUP(N1116,setup!$A$8:$H$58,2),VLOOKUP(N1116,setup!$A$8:$H$58,3),VLOOKUP(N1116,setup!$A$8:$H$58,4),VLOOKUP(N1116,setup!$A$8:$H$58,5),VLOOKUP(N1116,setup!$A$8:$H$58,6),VLOOKUP(N1116,setup!$A$8:$H$58,7), VLOOKUP(0,setup!$A$8:$H$58,2),VLOOKUP(0,setup!$A$8:$H$58,5),VLOOKUP(N1116,setup!$A$8:$H$58,8))</f>
        <v/>
      </c>
    </row>
    <row r="1117" spans="1:15" x14ac:dyDescent="0.25">
      <c r="A1117" s="29" t="s">
        <v>19</v>
      </c>
      <c r="N1117">
        <f>N1115+1</f>
        <v>16</v>
      </c>
      <c r="O1117" s="7" t="e">
        <f>getCodigoBackend(N1117,A1117,VLOOKUP(N1117,setup!$A$8:$H$58,2),VLOOKUP(N1117,setup!$A$8:$H$58,3),VLOOKUP(N1117,setup!$A$8:$H$58,4),VLOOKUP(N1117,setup!$A$8:$H$58,5),VLOOKUP(N1117,setup!$A$8:$H$58,6),VLOOKUP(N1117,setup!$A$8:$H$58,7), VLOOKUP(0,setup!$A$8:$H$58,2),VLOOKUP(0,setup!$A$8:$H$58,5),VLOOKUP(N1117,setup!$A$8:$H$58,8))</f>
        <v>#VALUE!</v>
      </c>
    </row>
    <row r="1118" spans="1:15" x14ac:dyDescent="0.25">
      <c r="A1118" s="29" t="s">
        <v>20</v>
      </c>
      <c r="N1118">
        <f>N1117</f>
        <v>16</v>
      </c>
      <c r="O1118" s="7" t="e">
        <f>getCodigoBackend(N1118,A1118,VLOOKUP(N1118,setup!$A$8:$H$58,2),VLOOKUP(N1118,setup!$A$8:$H$58,3),VLOOKUP(N1118,setup!$A$8:$H$58,4),VLOOKUP(N1118,setup!$A$8:$H$58,5),VLOOKUP(N1118,setup!$A$8:$H$58,6),VLOOKUP(N1118,setup!$A$8:$H$58,7), VLOOKUP(0,setup!$A$8:$H$58,2),VLOOKUP(0,setup!$A$8:$H$58,5),VLOOKUP(N1118,setup!$A$8:$H$58,8))</f>
        <v>#VALUE!</v>
      </c>
    </row>
    <row r="1119" spans="1:15" x14ac:dyDescent="0.25">
      <c r="A1119" s="29" t="s">
        <v>716</v>
      </c>
      <c r="N1119">
        <f t="shared" ref="N1119:N1132" si="24">N1118</f>
        <v>16</v>
      </c>
      <c r="O1119" s="7" t="e">
        <f>getCodigoBackend(N1119,A1119,VLOOKUP(N1119,setup!$A$8:$H$58,2),VLOOKUP(N1119,setup!$A$8:$H$58,3),VLOOKUP(N1119,setup!$A$8:$H$58,4),VLOOKUP(N1119,setup!$A$8:$H$58,5),VLOOKUP(N1119,setup!$A$8:$H$58,6),VLOOKUP(N1119,setup!$A$8:$H$58,7), VLOOKUP(0,setup!$A$8:$H$58,2),VLOOKUP(0,setup!$A$8:$H$58,5),VLOOKUP(N1119,setup!$A$8:$H$58,8))</f>
        <v>#VALUE!</v>
      </c>
    </row>
    <row r="1120" spans="1:15" x14ac:dyDescent="0.25">
      <c r="A1120" s="29" t="s">
        <v>717</v>
      </c>
      <c r="N1120">
        <f t="shared" si="24"/>
        <v>16</v>
      </c>
      <c r="O1120" s="7" t="e">
        <f>getCodigoBackend(N1120,A1120,VLOOKUP(N1120,setup!$A$8:$H$58,2),VLOOKUP(N1120,setup!$A$8:$H$58,3),VLOOKUP(N1120,setup!$A$8:$H$58,4),VLOOKUP(N1120,setup!$A$8:$H$58,5),VLOOKUP(N1120,setup!$A$8:$H$58,6),VLOOKUP(N1120,setup!$A$8:$H$58,7), VLOOKUP(0,setup!$A$8:$H$58,2),VLOOKUP(0,setup!$A$8:$H$58,5),VLOOKUP(N1120,setup!$A$8:$H$58,8))</f>
        <v>#VALUE!</v>
      </c>
    </row>
    <row r="1121" spans="1:15" x14ac:dyDescent="0.25">
      <c r="A1121" s="29" t="s">
        <v>20</v>
      </c>
      <c r="N1121">
        <f t="shared" si="24"/>
        <v>16</v>
      </c>
      <c r="O1121" s="7" t="e">
        <f>getCodigoBackend(N1121,A1121,VLOOKUP(N1121,setup!$A$8:$H$58,2),VLOOKUP(N1121,setup!$A$8:$H$58,3),VLOOKUP(N1121,setup!$A$8:$H$58,4),VLOOKUP(N1121,setup!$A$8:$H$58,5),VLOOKUP(N1121,setup!$A$8:$H$58,6),VLOOKUP(N1121,setup!$A$8:$H$58,7), VLOOKUP(0,setup!$A$8:$H$58,2),VLOOKUP(0,setup!$A$8:$H$58,5),VLOOKUP(N1121,setup!$A$8:$H$58,8))</f>
        <v>#VALUE!</v>
      </c>
    </row>
    <row r="1122" spans="1:15" x14ac:dyDescent="0.25">
      <c r="A1122" s="29" t="s">
        <v>756</v>
      </c>
      <c r="N1122">
        <f t="shared" si="24"/>
        <v>16</v>
      </c>
      <c r="O1122" s="7" t="e">
        <f>getCodigoBackend(N1122,A1122,VLOOKUP(N1122,setup!$A$8:$H$58,2),VLOOKUP(N1122,setup!$A$8:$H$58,3),VLOOKUP(N1122,setup!$A$8:$H$58,4),VLOOKUP(N1122,setup!$A$8:$H$58,5),VLOOKUP(N1122,setup!$A$8:$H$58,6),VLOOKUP(N1122,setup!$A$8:$H$58,7), VLOOKUP(0,setup!$A$8:$H$58,2),VLOOKUP(0,setup!$A$8:$H$58,5),VLOOKUP(N1122,setup!$A$8:$H$58,8))</f>
        <v>#VALUE!</v>
      </c>
    </row>
    <row r="1123" spans="1:15" x14ac:dyDescent="0.25">
      <c r="A1123" s="29" t="s">
        <v>757</v>
      </c>
      <c r="N1123">
        <f t="shared" si="24"/>
        <v>16</v>
      </c>
      <c r="O1123" s="7" t="e">
        <f>getCodigoBackend(N1123,A1123,VLOOKUP(N1123,setup!$A$8:$H$58,2),VLOOKUP(N1123,setup!$A$8:$H$58,3),VLOOKUP(N1123,setup!$A$8:$H$58,4),VLOOKUP(N1123,setup!$A$8:$H$58,5),VLOOKUP(N1123,setup!$A$8:$H$58,6),VLOOKUP(N1123,setup!$A$8:$H$58,7), VLOOKUP(0,setup!$A$8:$H$58,2),VLOOKUP(0,setup!$A$8:$H$58,5),VLOOKUP(N1123,setup!$A$8:$H$58,8))</f>
        <v>#VALUE!</v>
      </c>
    </row>
    <row r="1124" spans="1:15" x14ac:dyDescent="0.25">
      <c r="A1124" s="29" t="s">
        <v>20</v>
      </c>
      <c r="N1124">
        <f t="shared" si="24"/>
        <v>16</v>
      </c>
      <c r="O1124" s="7" t="e">
        <f>getCodigoBackend(N1124,A1124,VLOOKUP(N1124,setup!$A$8:$H$58,2),VLOOKUP(N1124,setup!$A$8:$H$58,3),VLOOKUP(N1124,setup!$A$8:$H$58,4),VLOOKUP(N1124,setup!$A$8:$H$58,5),VLOOKUP(N1124,setup!$A$8:$H$58,6),VLOOKUP(N1124,setup!$A$8:$H$58,7), VLOOKUP(0,setup!$A$8:$H$58,2),VLOOKUP(0,setup!$A$8:$H$58,5),VLOOKUP(N1124,setup!$A$8:$H$58,8))</f>
        <v>#VALUE!</v>
      </c>
    </row>
    <row r="1125" spans="1:15" x14ac:dyDescent="0.25">
      <c r="A1125" s="29" t="s">
        <v>75</v>
      </c>
      <c r="N1125">
        <f t="shared" si="24"/>
        <v>16</v>
      </c>
      <c r="O1125" s="7" t="e">
        <f>getCodigoBackend(N1125,A1125,VLOOKUP(N1125,setup!$A$8:$H$58,2),VLOOKUP(N1125,setup!$A$8:$H$58,3),VLOOKUP(N1125,setup!$A$8:$H$58,4),VLOOKUP(N1125,setup!$A$8:$H$58,5),VLOOKUP(N1125,setup!$A$8:$H$58,6),VLOOKUP(N1125,setup!$A$8:$H$58,7), VLOOKUP(0,setup!$A$8:$H$58,2),VLOOKUP(0,setup!$A$8:$H$58,5),VLOOKUP(N1125,setup!$A$8:$H$58,8))</f>
        <v>#VALUE!</v>
      </c>
    </row>
    <row r="1126" spans="1:15" x14ac:dyDescent="0.25">
      <c r="A1126" s="29" t="s">
        <v>21</v>
      </c>
      <c r="N1126">
        <f t="shared" si="24"/>
        <v>16</v>
      </c>
      <c r="O1126" s="7" t="e">
        <f>getCodigoBackend(N1126,A1126,VLOOKUP(N1126,setup!$A$8:$H$58,2),VLOOKUP(N1126,setup!$A$8:$H$58,3),VLOOKUP(N1126,setup!$A$8:$H$58,4),VLOOKUP(N1126,setup!$A$8:$H$58,5),VLOOKUP(N1126,setup!$A$8:$H$58,6),VLOOKUP(N1126,setup!$A$8:$H$58,7), VLOOKUP(0,setup!$A$8:$H$58,2),VLOOKUP(0,setup!$A$8:$H$58,5),VLOOKUP(N1126,setup!$A$8:$H$58,8))</f>
        <v>#VALUE!</v>
      </c>
    </row>
    <row r="1127" spans="1:15" x14ac:dyDescent="0.25">
      <c r="A1127" s="29" t="s">
        <v>784</v>
      </c>
      <c r="N1127">
        <f t="shared" si="24"/>
        <v>16</v>
      </c>
      <c r="O1127" s="7" t="e">
        <f>getCodigoBackend(N1127,A1127,VLOOKUP(N1127,setup!$A$8:$H$58,2),VLOOKUP(N1127,setup!$A$8:$H$58,3),VLOOKUP(N1127,setup!$A$8:$H$58,4),VLOOKUP(N1127,setup!$A$8:$H$58,5),VLOOKUP(N1127,setup!$A$8:$H$58,6),VLOOKUP(N1127,setup!$A$8:$H$58,7), VLOOKUP(0,setup!$A$8:$H$58,2),VLOOKUP(0,setup!$A$8:$H$58,5),VLOOKUP(N1127,setup!$A$8:$H$58,8))</f>
        <v>#VALUE!</v>
      </c>
    </row>
    <row r="1128" spans="1:15" x14ac:dyDescent="0.25">
      <c r="A1128" s="29"/>
      <c r="N1128">
        <f t="shared" si="24"/>
        <v>16</v>
      </c>
      <c r="O1128" s="7" t="e">
        <f>getCodigoBackend(N1128,A1128,VLOOKUP(N1128,setup!$A$8:$H$58,2),VLOOKUP(N1128,setup!$A$8:$H$58,3),VLOOKUP(N1128,setup!$A$8:$H$58,4),VLOOKUP(N1128,setup!$A$8:$H$58,5),VLOOKUP(N1128,setup!$A$8:$H$58,6),VLOOKUP(N1128,setup!$A$8:$H$58,7), VLOOKUP(0,setup!$A$8:$H$58,2),VLOOKUP(0,setup!$A$8:$H$58,5),VLOOKUP(N1128,setup!$A$8:$H$58,8))</f>
        <v>#VALUE!</v>
      </c>
    </row>
    <row r="1129" spans="1:15" x14ac:dyDescent="0.25">
      <c r="A1129" s="29" t="s">
        <v>758</v>
      </c>
      <c r="N1129">
        <f t="shared" si="24"/>
        <v>16</v>
      </c>
      <c r="O1129" s="7" t="e">
        <f>getCodigoBackend(N1129,A1129,VLOOKUP(N1129,setup!$A$8:$H$58,2),VLOOKUP(N1129,setup!$A$8:$H$58,3),VLOOKUP(N1129,setup!$A$8:$H$58,4),VLOOKUP(N1129,setup!$A$8:$H$58,5),VLOOKUP(N1129,setup!$A$8:$H$58,6),VLOOKUP(N1129,setup!$A$8:$H$58,7), VLOOKUP(0,setup!$A$8:$H$58,2),VLOOKUP(0,setup!$A$8:$H$58,5),VLOOKUP(N1129,setup!$A$8:$H$58,8))</f>
        <v>#VALUE!</v>
      </c>
    </row>
    <row r="1130" spans="1:15" x14ac:dyDescent="0.25">
      <c r="A1130" s="29" t="s">
        <v>754</v>
      </c>
      <c r="N1130">
        <f t="shared" si="24"/>
        <v>16</v>
      </c>
      <c r="O1130" s="7" t="e">
        <f>getCodigoBackend(N1130,A1130,VLOOKUP(N1130,setup!$A$8:$H$58,2),VLOOKUP(N1130,setup!$A$8:$H$58,3),VLOOKUP(N1130,setup!$A$8:$H$58,4),VLOOKUP(N1130,setup!$A$8:$H$58,5),VLOOKUP(N1130,setup!$A$8:$H$58,6),VLOOKUP(N1130,setup!$A$8:$H$58,7), VLOOKUP(0,setup!$A$8:$H$58,2),VLOOKUP(0,setup!$A$8:$H$58,5),VLOOKUP(N1130,setup!$A$8:$H$58,8))</f>
        <v>#VALUE!</v>
      </c>
    </row>
    <row r="1131" spans="1:15" x14ac:dyDescent="0.25">
      <c r="A1131" s="29" t="s">
        <v>759</v>
      </c>
      <c r="N1131">
        <f t="shared" si="24"/>
        <v>16</v>
      </c>
      <c r="O1131" s="7" t="e">
        <f>getCodigoBackend(N1131,A1131,VLOOKUP(N1131,setup!$A$8:$H$58,2),VLOOKUP(N1131,setup!$A$8:$H$58,3),VLOOKUP(N1131,setup!$A$8:$H$58,4),VLOOKUP(N1131,setup!$A$8:$H$58,5),VLOOKUP(N1131,setup!$A$8:$H$58,6),VLOOKUP(N1131,setup!$A$8:$H$58,7), VLOOKUP(0,setup!$A$8:$H$58,2),VLOOKUP(0,setup!$A$8:$H$58,5),VLOOKUP(N1131,setup!$A$8:$H$58,8))</f>
        <v>#VALUE!</v>
      </c>
    </row>
    <row r="1132" spans="1:15" x14ac:dyDescent="0.25">
      <c r="A1132" s="29" t="s">
        <v>406</v>
      </c>
      <c r="N1132">
        <f t="shared" si="24"/>
        <v>16</v>
      </c>
      <c r="O1132" s="7" t="e">
        <f>getCodigoBackend(N1132,A1132,VLOOKUP(N1132,setup!$A$8:$H$58,2),VLOOKUP(N1132,setup!$A$8:$H$58,3),VLOOKUP(N1132,setup!$A$8:$H$58,4),VLOOKUP(N1132,setup!$A$8:$H$58,5),VLOOKUP(N1132,setup!$A$8:$H$58,6),VLOOKUP(N1132,setup!$A$8:$H$58,7), VLOOKUP(0,setup!$A$8:$H$58,2),VLOOKUP(0,setup!$A$8:$H$58,5),VLOOKUP(N1132,setup!$A$8:$H$58,8))</f>
        <v>#VALUE!</v>
      </c>
    </row>
    <row r="1133" spans="1:15" x14ac:dyDescent="0.25">
      <c r="O1133" s="7" t="str">
        <f ca="1">getCodigoBackend(N1133,A1133,VLOOKUP(N1133,setup!$A$8:$H$58,2),VLOOKUP(N1133,setup!$A$8:$H$58,3),VLOOKUP(N1133,setup!$A$8:$H$58,4),VLOOKUP(N1133,setup!$A$8:$H$58,5),VLOOKUP(N1133,setup!$A$8:$H$58,6),VLOOKUP(N1133,setup!$A$8:$H$58,7), VLOOKUP(0,setup!$A$8:$H$58,2),VLOOKUP(0,setup!$A$8:$H$58,5),VLOOKUP(N1133,setup!$A$8:$H$58,8))</f>
        <v/>
      </c>
    </row>
    <row r="1134" spans="1:15" x14ac:dyDescent="0.25">
      <c r="A1134" s="29" t="s">
        <v>19</v>
      </c>
      <c r="N1134">
        <f>N1132+1</f>
        <v>17</v>
      </c>
      <c r="O1134" s="7" t="e">
        <f>getCodigoBackend(N1134,A1134,VLOOKUP(N1134,setup!$A$8:$H$58,2),VLOOKUP(N1134,setup!$A$8:$H$58,3),VLOOKUP(N1134,setup!$A$8:$H$58,4),VLOOKUP(N1134,setup!$A$8:$H$58,5),VLOOKUP(N1134,setup!$A$8:$H$58,6),VLOOKUP(N1134,setup!$A$8:$H$58,7), VLOOKUP(0,setup!$A$8:$H$58,2),VLOOKUP(0,setup!$A$8:$H$58,5),VLOOKUP(N1134,setup!$A$8:$H$58,8))</f>
        <v>#VALUE!</v>
      </c>
    </row>
    <row r="1135" spans="1:15" x14ac:dyDescent="0.25">
      <c r="A1135" s="29" t="s">
        <v>20</v>
      </c>
      <c r="N1135">
        <f>N1134</f>
        <v>17</v>
      </c>
      <c r="O1135" s="7" t="e">
        <f>getCodigoBackend(N1135,A1135,VLOOKUP(N1135,setup!$A$8:$H$58,2),VLOOKUP(N1135,setup!$A$8:$H$58,3),VLOOKUP(N1135,setup!$A$8:$H$58,4),VLOOKUP(N1135,setup!$A$8:$H$58,5),VLOOKUP(N1135,setup!$A$8:$H$58,6),VLOOKUP(N1135,setup!$A$8:$H$58,7), VLOOKUP(0,setup!$A$8:$H$58,2),VLOOKUP(0,setup!$A$8:$H$58,5),VLOOKUP(N1135,setup!$A$8:$H$58,8))</f>
        <v>#VALUE!</v>
      </c>
    </row>
    <row r="1136" spans="1:15" x14ac:dyDescent="0.25">
      <c r="A1136" s="29" t="s">
        <v>716</v>
      </c>
      <c r="N1136">
        <f t="shared" ref="N1136:N1149" si="25">N1135</f>
        <v>17</v>
      </c>
      <c r="O1136" s="7" t="e">
        <f>getCodigoBackend(N1136,A1136,VLOOKUP(N1136,setup!$A$8:$H$58,2),VLOOKUP(N1136,setup!$A$8:$H$58,3),VLOOKUP(N1136,setup!$A$8:$H$58,4),VLOOKUP(N1136,setup!$A$8:$H$58,5),VLOOKUP(N1136,setup!$A$8:$H$58,6),VLOOKUP(N1136,setup!$A$8:$H$58,7), VLOOKUP(0,setup!$A$8:$H$58,2),VLOOKUP(0,setup!$A$8:$H$58,5),VLOOKUP(N1136,setup!$A$8:$H$58,8))</f>
        <v>#VALUE!</v>
      </c>
    </row>
    <row r="1137" spans="1:15" x14ac:dyDescent="0.25">
      <c r="A1137" s="29" t="s">
        <v>717</v>
      </c>
      <c r="N1137">
        <f t="shared" si="25"/>
        <v>17</v>
      </c>
      <c r="O1137" s="7" t="e">
        <f>getCodigoBackend(N1137,A1137,VLOOKUP(N1137,setup!$A$8:$H$58,2),VLOOKUP(N1137,setup!$A$8:$H$58,3),VLOOKUP(N1137,setup!$A$8:$H$58,4),VLOOKUP(N1137,setup!$A$8:$H$58,5),VLOOKUP(N1137,setup!$A$8:$H$58,6),VLOOKUP(N1137,setup!$A$8:$H$58,7), VLOOKUP(0,setup!$A$8:$H$58,2),VLOOKUP(0,setup!$A$8:$H$58,5),VLOOKUP(N1137,setup!$A$8:$H$58,8))</f>
        <v>#VALUE!</v>
      </c>
    </row>
    <row r="1138" spans="1:15" x14ac:dyDescent="0.25">
      <c r="A1138" s="29" t="s">
        <v>20</v>
      </c>
      <c r="N1138">
        <f t="shared" si="25"/>
        <v>17</v>
      </c>
      <c r="O1138" s="7" t="e">
        <f>getCodigoBackend(N1138,A1138,VLOOKUP(N1138,setup!$A$8:$H$58,2),VLOOKUP(N1138,setup!$A$8:$H$58,3),VLOOKUP(N1138,setup!$A$8:$H$58,4),VLOOKUP(N1138,setup!$A$8:$H$58,5),VLOOKUP(N1138,setup!$A$8:$H$58,6),VLOOKUP(N1138,setup!$A$8:$H$58,7), VLOOKUP(0,setup!$A$8:$H$58,2),VLOOKUP(0,setup!$A$8:$H$58,5),VLOOKUP(N1138,setup!$A$8:$H$58,8))</f>
        <v>#VALUE!</v>
      </c>
    </row>
    <row r="1139" spans="1:15" x14ac:dyDescent="0.25">
      <c r="A1139" s="29" t="s">
        <v>756</v>
      </c>
      <c r="N1139">
        <f t="shared" si="25"/>
        <v>17</v>
      </c>
      <c r="O1139" s="7" t="e">
        <f>getCodigoBackend(N1139,A1139,VLOOKUP(N1139,setup!$A$8:$H$58,2),VLOOKUP(N1139,setup!$A$8:$H$58,3),VLOOKUP(N1139,setup!$A$8:$H$58,4),VLOOKUP(N1139,setup!$A$8:$H$58,5),VLOOKUP(N1139,setup!$A$8:$H$58,6),VLOOKUP(N1139,setup!$A$8:$H$58,7), VLOOKUP(0,setup!$A$8:$H$58,2),VLOOKUP(0,setup!$A$8:$H$58,5),VLOOKUP(N1139,setup!$A$8:$H$58,8))</f>
        <v>#VALUE!</v>
      </c>
    </row>
    <row r="1140" spans="1:15" x14ac:dyDescent="0.25">
      <c r="A1140" s="29" t="s">
        <v>757</v>
      </c>
      <c r="N1140">
        <f t="shared" si="25"/>
        <v>17</v>
      </c>
      <c r="O1140" s="7" t="e">
        <f>getCodigoBackend(N1140,A1140,VLOOKUP(N1140,setup!$A$8:$H$58,2),VLOOKUP(N1140,setup!$A$8:$H$58,3),VLOOKUP(N1140,setup!$A$8:$H$58,4),VLOOKUP(N1140,setup!$A$8:$H$58,5),VLOOKUP(N1140,setup!$A$8:$H$58,6),VLOOKUP(N1140,setup!$A$8:$H$58,7), VLOOKUP(0,setup!$A$8:$H$58,2),VLOOKUP(0,setup!$A$8:$H$58,5),VLOOKUP(N1140,setup!$A$8:$H$58,8))</f>
        <v>#VALUE!</v>
      </c>
    </row>
    <row r="1141" spans="1:15" x14ac:dyDescent="0.25">
      <c r="A1141" s="29" t="s">
        <v>20</v>
      </c>
      <c r="N1141">
        <f t="shared" si="25"/>
        <v>17</v>
      </c>
      <c r="O1141" s="7" t="e">
        <f>getCodigoBackend(N1141,A1141,VLOOKUP(N1141,setup!$A$8:$H$58,2),VLOOKUP(N1141,setup!$A$8:$H$58,3),VLOOKUP(N1141,setup!$A$8:$H$58,4),VLOOKUP(N1141,setup!$A$8:$H$58,5),VLOOKUP(N1141,setup!$A$8:$H$58,6),VLOOKUP(N1141,setup!$A$8:$H$58,7), VLOOKUP(0,setup!$A$8:$H$58,2),VLOOKUP(0,setup!$A$8:$H$58,5),VLOOKUP(N1141,setup!$A$8:$H$58,8))</f>
        <v>#VALUE!</v>
      </c>
    </row>
    <row r="1142" spans="1:15" x14ac:dyDescent="0.25">
      <c r="A1142" s="29" t="s">
        <v>75</v>
      </c>
      <c r="N1142">
        <f t="shared" si="25"/>
        <v>17</v>
      </c>
      <c r="O1142" s="7" t="e">
        <f>getCodigoBackend(N1142,A1142,VLOOKUP(N1142,setup!$A$8:$H$58,2),VLOOKUP(N1142,setup!$A$8:$H$58,3),VLOOKUP(N1142,setup!$A$8:$H$58,4),VLOOKUP(N1142,setup!$A$8:$H$58,5),VLOOKUP(N1142,setup!$A$8:$H$58,6),VLOOKUP(N1142,setup!$A$8:$H$58,7), VLOOKUP(0,setup!$A$8:$H$58,2),VLOOKUP(0,setup!$A$8:$H$58,5),VLOOKUP(N1142,setup!$A$8:$H$58,8))</f>
        <v>#VALUE!</v>
      </c>
    </row>
    <row r="1143" spans="1:15" x14ac:dyDescent="0.25">
      <c r="A1143" s="29" t="s">
        <v>21</v>
      </c>
      <c r="N1143">
        <f t="shared" si="25"/>
        <v>17</v>
      </c>
      <c r="O1143" s="7" t="e">
        <f>getCodigoBackend(N1143,A1143,VLOOKUP(N1143,setup!$A$8:$H$58,2),VLOOKUP(N1143,setup!$A$8:$H$58,3),VLOOKUP(N1143,setup!$A$8:$H$58,4),VLOOKUP(N1143,setup!$A$8:$H$58,5),VLOOKUP(N1143,setup!$A$8:$H$58,6),VLOOKUP(N1143,setup!$A$8:$H$58,7), VLOOKUP(0,setup!$A$8:$H$58,2),VLOOKUP(0,setup!$A$8:$H$58,5),VLOOKUP(N1143,setup!$A$8:$H$58,8))</f>
        <v>#VALUE!</v>
      </c>
    </row>
    <row r="1144" spans="1:15" x14ac:dyDescent="0.25">
      <c r="A1144" s="29" t="s">
        <v>784</v>
      </c>
      <c r="N1144">
        <f t="shared" si="25"/>
        <v>17</v>
      </c>
      <c r="O1144" s="7" t="e">
        <f>getCodigoBackend(N1144,A1144,VLOOKUP(N1144,setup!$A$8:$H$58,2),VLOOKUP(N1144,setup!$A$8:$H$58,3),VLOOKUP(N1144,setup!$A$8:$H$58,4),VLOOKUP(N1144,setup!$A$8:$H$58,5),VLOOKUP(N1144,setup!$A$8:$H$58,6),VLOOKUP(N1144,setup!$A$8:$H$58,7), VLOOKUP(0,setup!$A$8:$H$58,2),VLOOKUP(0,setup!$A$8:$H$58,5),VLOOKUP(N1144,setup!$A$8:$H$58,8))</f>
        <v>#VALUE!</v>
      </c>
    </row>
    <row r="1145" spans="1:15" x14ac:dyDescent="0.25">
      <c r="A1145" s="29"/>
      <c r="N1145">
        <f t="shared" si="25"/>
        <v>17</v>
      </c>
      <c r="O1145" s="7" t="e">
        <f>getCodigoBackend(N1145,A1145,VLOOKUP(N1145,setup!$A$8:$H$58,2),VLOOKUP(N1145,setup!$A$8:$H$58,3),VLOOKUP(N1145,setup!$A$8:$H$58,4),VLOOKUP(N1145,setup!$A$8:$H$58,5),VLOOKUP(N1145,setup!$A$8:$H$58,6),VLOOKUP(N1145,setup!$A$8:$H$58,7), VLOOKUP(0,setup!$A$8:$H$58,2),VLOOKUP(0,setup!$A$8:$H$58,5),VLOOKUP(N1145,setup!$A$8:$H$58,8))</f>
        <v>#VALUE!</v>
      </c>
    </row>
    <row r="1146" spans="1:15" x14ac:dyDescent="0.25">
      <c r="A1146" s="29" t="s">
        <v>758</v>
      </c>
      <c r="N1146">
        <f t="shared" si="25"/>
        <v>17</v>
      </c>
      <c r="O1146" s="7" t="e">
        <f>getCodigoBackend(N1146,A1146,VLOOKUP(N1146,setup!$A$8:$H$58,2),VLOOKUP(N1146,setup!$A$8:$H$58,3),VLOOKUP(N1146,setup!$A$8:$H$58,4),VLOOKUP(N1146,setup!$A$8:$H$58,5),VLOOKUP(N1146,setup!$A$8:$H$58,6),VLOOKUP(N1146,setup!$A$8:$H$58,7), VLOOKUP(0,setup!$A$8:$H$58,2),VLOOKUP(0,setup!$A$8:$H$58,5),VLOOKUP(N1146,setup!$A$8:$H$58,8))</f>
        <v>#VALUE!</v>
      </c>
    </row>
    <row r="1147" spans="1:15" x14ac:dyDescent="0.25">
      <c r="A1147" s="29" t="s">
        <v>754</v>
      </c>
      <c r="N1147">
        <f t="shared" si="25"/>
        <v>17</v>
      </c>
      <c r="O1147" s="7" t="e">
        <f>getCodigoBackend(N1147,A1147,VLOOKUP(N1147,setup!$A$8:$H$58,2),VLOOKUP(N1147,setup!$A$8:$H$58,3),VLOOKUP(N1147,setup!$A$8:$H$58,4),VLOOKUP(N1147,setup!$A$8:$H$58,5),VLOOKUP(N1147,setup!$A$8:$H$58,6),VLOOKUP(N1147,setup!$A$8:$H$58,7), VLOOKUP(0,setup!$A$8:$H$58,2),VLOOKUP(0,setup!$A$8:$H$58,5),VLOOKUP(N1147,setup!$A$8:$H$58,8))</f>
        <v>#VALUE!</v>
      </c>
    </row>
    <row r="1148" spans="1:15" x14ac:dyDescent="0.25">
      <c r="A1148" s="29" t="s">
        <v>759</v>
      </c>
      <c r="N1148">
        <f t="shared" si="25"/>
        <v>17</v>
      </c>
      <c r="O1148" s="7" t="e">
        <f>getCodigoBackend(N1148,A1148,VLOOKUP(N1148,setup!$A$8:$H$58,2),VLOOKUP(N1148,setup!$A$8:$H$58,3),VLOOKUP(N1148,setup!$A$8:$H$58,4),VLOOKUP(N1148,setup!$A$8:$H$58,5),VLOOKUP(N1148,setup!$A$8:$H$58,6),VLOOKUP(N1148,setup!$A$8:$H$58,7), VLOOKUP(0,setup!$A$8:$H$58,2),VLOOKUP(0,setup!$A$8:$H$58,5),VLOOKUP(N1148,setup!$A$8:$H$58,8))</f>
        <v>#VALUE!</v>
      </c>
    </row>
    <row r="1149" spans="1:15" x14ac:dyDescent="0.25">
      <c r="A1149" s="29" t="s">
        <v>406</v>
      </c>
      <c r="N1149">
        <f t="shared" si="25"/>
        <v>17</v>
      </c>
      <c r="O1149" s="7" t="e">
        <f>getCodigoBackend(N1149,A1149,VLOOKUP(N1149,setup!$A$8:$H$58,2),VLOOKUP(N1149,setup!$A$8:$H$58,3),VLOOKUP(N1149,setup!$A$8:$H$58,4),VLOOKUP(N1149,setup!$A$8:$H$58,5),VLOOKUP(N1149,setup!$A$8:$H$58,6),VLOOKUP(N1149,setup!$A$8:$H$58,7), VLOOKUP(0,setup!$A$8:$H$58,2),VLOOKUP(0,setup!$A$8:$H$58,5),VLOOKUP(N1149,setup!$A$8:$H$58,8))</f>
        <v>#VALUE!</v>
      </c>
    </row>
    <row r="1150" spans="1:15" x14ac:dyDescent="0.25">
      <c r="O1150" s="7" t="str">
        <f ca="1">getCodigoBackend(N1150,A1150,VLOOKUP(N1150,setup!$A$8:$H$58,2),VLOOKUP(N1150,setup!$A$8:$H$58,3),VLOOKUP(N1150,setup!$A$8:$H$58,4),VLOOKUP(N1150,setup!$A$8:$H$58,5),VLOOKUP(N1150,setup!$A$8:$H$58,6),VLOOKUP(N1150,setup!$A$8:$H$58,7), VLOOKUP(0,setup!$A$8:$H$58,2),VLOOKUP(0,setup!$A$8:$H$58,5),VLOOKUP(N1150,setup!$A$8:$H$58,8))</f>
        <v/>
      </c>
    </row>
    <row r="1151" spans="1:15" x14ac:dyDescent="0.25">
      <c r="A1151" s="29" t="s">
        <v>19</v>
      </c>
      <c r="N1151">
        <f>N1149+1</f>
        <v>18</v>
      </c>
      <c r="O1151" s="7" t="e">
        <f>getCodigoBackend(N1151,A1151,VLOOKUP(N1151,setup!$A$8:$H$58,2),VLOOKUP(N1151,setup!$A$8:$H$58,3),VLOOKUP(N1151,setup!$A$8:$H$58,4),VLOOKUP(N1151,setup!$A$8:$H$58,5),VLOOKUP(N1151,setup!$A$8:$H$58,6),VLOOKUP(N1151,setup!$A$8:$H$58,7), VLOOKUP(0,setup!$A$8:$H$58,2),VLOOKUP(0,setup!$A$8:$H$58,5),VLOOKUP(N1151,setup!$A$8:$H$58,8))</f>
        <v>#VALUE!</v>
      </c>
    </row>
    <row r="1152" spans="1:15" x14ac:dyDescent="0.25">
      <c r="A1152" s="29" t="s">
        <v>20</v>
      </c>
      <c r="N1152">
        <f>N1151</f>
        <v>18</v>
      </c>
      <c r="O1152" s="7" t="e">
        <f>getCodigoBackend(N1152,A1152,VLOOKUP(N1152,setup!$A$8:$H$58,2),VLOOKUP(N1152,setup!$A$8:$H$58,3),VLOOKUP(N1152,setup!$A$8:$H$58,4),VLOOKUP(N1152,setup!$A$8:$H$58,5),VLOOKUP(N1152,setup!$A$8:$H$58,6),VLOOKUP(N1152,setup!$A$8:$H$58,7), VLOOKUP(0,setup!$A$8:$H$58,2),VLOOKUP(0,setup!$A$8:$H$58,5),VLOOKUP(N1152,setup!$A$8:$H$58,8))</f>
        <v>#VALUE!</v>
      </c>
    </row>
    <row r="1153" spans="1:15" x14ac:dyDescent="0.25">
      <c r="A1153" s="29" t="s">
        <v>716</v>
      </c>
      <c r="N1153">
        <f t="shared" ref="N1153:N1166" si="26">N1152</f>
        <v>18</v>
      </c>
      <c r="O1153" s="7" t="e">
        <f>getCodigoBackend(N1153,A1153,VLOOKUP(N1153,setup!$A$8:$H$58,2),VLOOKUP(N1153,setup!$A$8:$H$58,3),VLOOKUP(N1153,setup!$A$8:$H$58,4),VLOOKUP(N1153,setup!$A$8:$H$58,5),VLOOKUP(N1153,setup!$A$8:$H$58,6),VLOOKUP(N1153,setup!$A$8:$H$58,7), VLOOKUP(0,setup!$A$8:$H$58,2),VLOOKUP(0,setup!$A$8:$H$58,5),VLOOKUP(N1153,setup!$A$8:$H$58,8))</f>
        <v>#VALUE!</v>
      </c>
    </row>
    <row r="1154" spans="1:15" x14ac:dyDescent="0.25">
      <c r="A1154" s="29" t="s">
        <v>717</v>
      </c>
      <c r="N1154">
        <f t="shared" si="26"/>
        <v>18</v>
      </c>
      <c r="O1154" s="7" t="e">
        <f>getCodigoBackend(N1154,A1154,VLOOKUP(N1154,setup!$A$8:$H$58,2),VLOOKUP(N1154,setup!$A$8:$H$58,3),VLOOKUP(N1154,setup!$A$8:$H$58,4),VLOOKUP(N1154,setup!$A$8:$H$58,5),VLOOKUP(N1154,setup!$A$8:$H$58,6),VLOOKUP(N1154,setup!$A$8:$H$58,7), VLOOKUP(0,setup!$A$8:$H$58,2),VLOOKUP(0,setup!$A$8:$H$58,5),VLOOKUP(N1154,setup!$A$8:$H$58,8))</f>
        <v>#VALUE!</v>
      </c>
    </row>
    <row r="1155" spans="1:15" x14ac:dyDescent="0.25">
      <c r="A1155" s="29" t="s">
        <v>20</v>
      </c>
      <c r="N1155">
        <f t="shared" si="26"/>
        <v>18</v>
      </c>
      <c r="O1155" s="7" t="e">
        <f>getCodigoBackend(N1155,A1155,VLOOKUP(N1155,setup!$A$8:$H$58,2),VLOOKUP(N1155,setup!$A$8:$H$58,3),VLOOKUP(N1155,setup!$A$8:$H$58,4),VLOOKUP(N1155,setup!$A$8:$H$58,5),VLOOKUP(N1155,setup!$A$8:$H$58,6),VLOOKUP(N1155,setup!$A$8:$H$58,7), VLOOKUP(0,setup!$A$8:$H$58,2),VLOOKUP(0,setup!$A$8:$H$58,5),VLOOKUP(N1155,setup!$A$8:$H$58,8))</f>
        <v>#VALUE!</v>
      </c>
    </row>
    <row r="1156" spans="1:15" x14ac:dyDescent="0.25">
      <c r="A1156" s="29" t="s">
        <v>756</v>
      </c>
      <c r="N1156">
        <f t="shared" si="26"/>
        <v>18</v>
      </c>
      <c r="O1156" s="7" t="e">
        <f>getCodigoBackend(N1156,A1156,VLOOKUP(N1156,setup!$A$8:$H$58,2),VLOOKUP(N1156,setup!$A$8:$H$58,3),VLOOKUP(N1156,setup!$A$8:$H$58,4),VLOOKUP(N1156,setup!$A$8:$H$58,5),VLOOKUP(N1156,setup!$A$8:$H$58,6),VLOOKUP(N1156,setup!$A$8:$H$58,7), VLOOKUP(0,setup!$A$8:$H$58,2),VLOOKUP(0,setup!$A$8:$H$58,5),VLOOKUP(N1156,setup!$A$8:$H$58,8))</f>
        <v>#VALUE!</v>
      </c>
    </row>
    <row r="1157" spans="1:15" x14ac:dyDescent="0.25">
      <c r="A1157" s="29" t="s">
        <v>757</v>
      </c>
      <c r="N1157">
        <f t="shared" si="26"/>
        <v>18</v>
      </c>
      <c r="O1157" s="7" t="e">
        <f>getCodigoBackend(N1157,A1157,VLOOKUP(N1157,setup!$A$8:$H$58,2),VLOOKUP(N1157,setup!$A$8:$H$58,3),VLOOKUP(N1157,setup!$A$8:$H$58,4),VLOOKUP(N1157,setup!$A$8:$H$58,5),VLOOKUP(N1157,setup!$A$8:$H$58,6),VLOOKUP(N1157,setup!$A$8:$H$58,7), VLOOKUP(0,setup!$A$8:$H$58,2),VLOOKUP(0,setup!$A$8:$H$58,5),VLOOKUP(N1157,setup!$A$8:$H$58,8))</f>
        <v>#VALUE!</v>
      </c>
    </row>
    <row r="1158" spans="1:15" x14ac:dyDescent="0.25">
      <c r="A1158" s="29" t="s">
        <v>20</v>
      </c>
      <c r="N1158">
        <f t="shared" si="26"/>
        <v>18</v>
      </c>
      <c r="O1158" s="7" t="e">
        <f>getCodigoBackend(N1158,A1158,VLOOKUP(N1158,setup!$A$8:$H$58,2),VLOOKUP(N1158,setup!$A$8:$H$58,3),VLOOKUP(N1158,setup!$A$8:$H$58,4),VLOOKUP(N1158,setup!$A$8:$H$58,5),VLOOKUP(N1158,setup!$A$8:$H$58,6),VLOOKUP(N1158,setup!$A$8:$H$58,7), VLOOKUP(0,setup!$A$8:$H$58,2),VLOOKUP(0,setup!$A$8:$H$58,5),VLOOKUP(N1158,setup!$A$8:$H$58,8))</f>
        <v>#VALUE!</v>
      </c>
    </row>
    <row r="1159" spans="1:15" x14ac:dyDescent="0.25">
      <c r="A1159" s="29" t="s">
        <v>75</v>
      </c>
      <c r="N1159">
        <f t="shared" si="26"/>
        <v>18</v>
      </c>
      <c r="O1159" s="7" t="e">
        <f>getCodigoBackend(N1159,A1159,VLOOKUP(N1159,setup!$A$8:$H$58,2),VLOOKUP(N1159,setup!$A$8:$H$58,3),VLOOKUP(N1159,setup!$A$8:$H$58,4),VLOOKUP(N1159,setup!$A$8:$H$58,5),VLOOKUP(N1159,setup!$A$8:$H$58,6),VLOOKUP(N1159,setup!$A$8:$H$58,7), VLOOKUP(0,setup!$A$8:$H$58,2),VLOOKUP(0,setup!$A$8:$H$58,5),VLOOKUP(N1159,setup!$A$8:$H$58,8))</f>
        <v>#VALUE!</v>
      </c>
    </row>
    <row r="1160" spans="1:15" x14ac:dyDescent="0.25">
      <c r="A1160" s="29" t="s">
        <v>21</v>
      </c>
      <c r="N1160">
        <f t="shared" si="26"/>
        <v>18</v>
      </c>
      <c r="O1160" s="7" t="e">
        <f>getCodigoBackend(N1160,A1160,VLOOKUP(N1160,setup!$A$8:$H$58,2),VLOOKUP(N1160,setup!$A$8:$H$58,3),VLOOKUP(N1160,setup!$A$8:$H$58,4),VLOOKUP(N1160,setup!$A$8:$H$58,5),VLOOKUP(N1160,setup!$A$8:$H$58,6),VLOOKUP(N1160,setup!$A$8:$H$58,7), VLOOKUP(0,setup!$A$8:$H$58,2),VLOOKUP(0,setup!$A$8:$H$58,5),VLOOKUP(N1160,setup!$A$8:$H$58,8))</f>
        <v>#VALUE!</v>
      </c>
    </row>
    <row r="1161" spans="1:15" x14ac:dyDescent="0.25">
      <c r="A1161" s="29" t="s">
        <v>784</v>
      </c>
      <c r="N1161">
        <f t="shared" si="26"/>
        <v>18</v>
      </c>
      <c r="O1161" s="7" t="e">
        <f>getCodigoBackend(N1161,A1161,VLOOKUP(N1161,setup!$A$8:$H$58,2),VLOOKUP(N1161,setup!$A$8:$H$58,3),VLOOKUP(N1161,setup!$A$8:$H$58,4),VLOOKUP(N1161,setup!$A$8:$H$58,5),VLOOKUP(N1161,setup!$A$8:$H$58,6),VLOOKUP(N1161,setup!$A$8:$H$58,7), VLOOKUP(0,setup!$A$8:$H$58,2),VLOOKUP(0,setup!$A$8:$H$58,5),VLOOKUP(N1161,setup!$A$8:$H$58,8))</f>
        <v>#VALUE!</v>
      </c>
    </row>
    <row r="1162" spans="1:15" x14ac:dyDescent="0.25">
      <c r="A1162" s="29"/>
      <c r="N1162">
        <f t="shared" si="26"/>
        <v>18</v>
      </c>
      <c r="O1162" s="7" t="e">
        <f>getCodigoBackend(N1162,A1162,VLOOKUP(N1162,setup!$A$8:$H$58,2),VLOOKUP(N1162,setup!$A$8:$H$58,3),VLOOKUP(N1162,setup!$A$8:$H$58,4),VLOOKUP(N1162,setup!$A$8:$H$58,5),VLOOKUP(N1162,setup!$A$8:$H$58,6),VLOOKUP(N1162,setup!$A$8:$H$58,7), VLOOKUP(0,setup!$A$8:$H$58,2),VLOOKUP(0,setup!$A$8:$H$58,5),VLOOKUP(N1162,setup!$A$8:$H$58,8))</f>
        <v>#VALUE!</v>
      </c>
    </row>
    <row r="1163" spans="1:15" x14ac:dyDescent="0.25">
      <c r="A1163" s="29" t="s">
        <v>758</v>
      </c>
      <c r="N1163">
        <f t="shared" si="26"/>
        <v>18</v>
      </c>
      <c r="O1163" s="7" t="e">
        <f>getCodigoBackend(N1163,A1163,VLOOKUP(N1163,setup!$A$8:$H$58,2),VLOOKUP(N1163,setup!$A$8:$H$58,3),VLOOKUP(N1163,setup!$A$8:$H$58,4),VLOOKUP(N1163,setup!$A$8:$H$58,5),VLOOKUP(N1163,setup!$A$8:$H$58,6),VLOOKUP(N1163,setup!$A$8:$H$58,7), VLOOKUP(0,setup!$A$8:$H$58,2),VLOOKUP(0,setup!$A$8:$H$58,5),VLOOKUP(N1163,setup!$A$8:$H$58,8))</f>
        <v>#VALUE!</v>
      </c>
    </row>
    <row r="1164" spans="1:15" x14ac:dyDescent="0.25">
      <c r="A1164" s="29" t="s">
        <v>754</v>
      </c>
      <c r="N1164">
        <f t="shared" si="26"/>
        <v>18</v>
      </c>
      <c r="O1164" s="7" t="e">
        <f>getCodigoBackend(N1164,A1164,VLOOKUP(N1164,setup!$A$8:$H$58,2),VLOOKUP(N1164,setup!$A$8:$H$58,3),VLOOKUP(N1164,setup!$A$8:$H$58,4),VLOOKUP(N1164,setup!$A$8:$H$58,5),VLOOKUP(N1164,setup!$A$8:$H$58,6),VLOOKUP(N1164,setup!$A$8:$H$58,7), VLOOKUP(0,setup!$A$8:$H$58,2),VLOOKUP(0,setup!$A$8:$H$58,5),VLOOKUP(N1164,setup!$A$8:$H$58,8))</f>
        <v>#VALUE!</v>
      </c>
    </row>
    <row r="1165" spans="1:15" x14ac:dyDescent="0.25">
      <c r="A1165" s="29" t="s">
        <v>759</v>
      </c>
      <c r="N1165">
        <f t="shared" si="26"/>
        <v>18</v>
      </c>
      <c r="O1165" s="7" t="e">
        <f>getCodigoBackend(N1165,A1165,VLOOKUP(N1165,setup!$A$8:$H$58,2),VLOOKUP(N1165,setup!$A$8:$H$58,3),VLOOKUP(N1165,setup!$A$8:$H$58,4),VLOOKUP(N1165,setup!$A$8:$H$58,5),VLOOKUP(N1165,setup!$A$8:$H$58,6),VLOOKUP(N1165,setup!$A$8:$H$58,7), VLOOKUP(0,setup!$A$8:$H$58,2),VLOOKUP(0,setup!$A$8:$H$58,5),VLOOKUP(N1165,setup!$A$8:$H$58,8))</f>
        <v>#VALUE!</v>
      </c>
    </row>
    <row r="1166" spans="1:15" x14ac:dyDescent="0.25">
      <c r="A1166" s="29" t="s">
        <v>406</v>
      </c>
      <c r="N1166">
        <f t="shared" si="26"/>
        <v>18</v>
      </c>
      <c r="O1166" s="7" t="e">
        <f>getCodigoBackend(N1166,A1166,VLOOKUP(N1166,setup!$A$8:$H$58,2),VLOOKUP(N1166,setup!$A$8:$H$58,3),VLOOKUP(N1166,setup!$A$8:$H$58,4),VLOOKUP(N1166,setup!$A$8:$H$58,5),VLOOKUP(N1166,setup!$A$8:$H$58,6),VLOOKUP(N1166,setup!$A$8:$H$58,7), VLOOKUP(0,setup!$A$8:$H$58,2),VLOOKUP(0,setup!$A$8:$H$58,5),VLOOKUP(N1166,setup!$A$8:$H$58,8))</f>
        <v>#VALUE!</v>
      </c>
    </row>
    <row r="1167" spans="1:15" x14ac:dyDescent="0.25">
      <c r="O1167" s="7" t="str">
        <f ca="1">getCodigoBackend(N1167,A1167,VLOOKUP(N1167,setup!$A$8:$H$58,2),VLOOKUP(N1167,setup!$A$8:$H$58,3),VLOOKUP(N1167,setup!$A$8:$H$58,4),VLOOKUP(N1167,setup!$A$8:$H$58,5),VLOOKUP(N1167,setup!$A$8:$H$58,6),VLOOKUP(N1167,setup!$A$8:$H$58,7), VLOOKUP(0,setup!$A$8:$H$58,2),VLOOKUP(0,setup!$A$8:$H$58,5),VLOOKUP(N1167,setup!$A$8:$H$58,8))</f>
        <v/>
      </c>
    </row>
    <row r="1168" spans="1:15" x14ac:dyDescent="0.25">
      <c r="A1168" s="29" t="s">
        <v>19</v>
      </c>
      <c r="N1168">
        <f>N1166+1</f>
        <v>19</v>
      </c>
      <c r="O1168" s="7" t="e">
        <f>getCodigoBackend(N1168,A1168,VLOOKUP(N1168,setup!$A$8:$H$58,2),VLOOKUP(N1168,setup!$A$8:$H$58,3),VLOOKUP(N1168,setup!$A$8:$H$58,4),VLOOKUP(N1168,setup!$A$8:$H$58,5),VLOOKUP(N1168,setup!$A$8:$H$58,6),VLOOKUP(N1168,setup!$A$8:$H$58,7), VLOOKUP(0,setup!$A$8:$H$58,2),VLOOKUP(0,setup!$A$8:$H$58,5),VLOOKUP(N1168,setup!$A$8:$H$58,8))</f>
        <v>#VALUE!</v>
      </c>
    </row>
    <row r="1169" spans="1:15" x14ac:dyDescent="0.25">
      <c r="A1169" s="29" t="s">
        <v>20</v>
      </c>
      <c r="N1169">
        <f>N1168</f>
        <v>19</v>
      </c>
      <c r="O1169" s="7" t="e">
        <f>getCodigoBackend(N1169,A1169,VLOOKUP(N1169,setup!$A$8:$H$58,2),VLOOKUP(N1169,setup!$A$8:$H$58,3),VLOOKUP(N1169,setup!$A$8:$H$58,4),VLOOKUP(N1169,setup!$A$8:$H$58,5),VLOOKUP(N1169,setup!$A$8:$H$58,6),VLOOKUP(N1169,setup!$A$8:$H$58,7), VLOOKUP(0,setup!$A$8:$H$58,2),VLOOKUP(0,setup!$A$8:$H$58,5),VLOOKUP(N1169,setup!$A$8:$H$58,8))</f>
        <v>#VALUE!</v>
      </c>
    </row>
    <row r="1170" spans="1:15" x14ac:dyDescent="0.25">
      <c r="A1170" s="29" t="s">
        <v>716</v>
      </c>
      <c r="N1170">
        <f t="shared" ref="N1170:N1183" si="27">N1169</f>
        <v>19</v>
      </c>
      <c r="O1170" s="7" t="e">
        <f>getCodigoBackend(N1170,A1170,VLOOKUP(N1170,setup!$A$8:$H$58,2),VLOOKUP(N1170,setup!$A$8:$H$58,3),VLOOKUP(N1170,setup!$A$8:$H$58,4),VLOOKUP(N1170,setup!$A$8:$H$58,5),VLOOKUP(N1170,setup!$A$8:$H$58,6),VLOOKUP(N1170,setup!$A$8:$H$58,7), VLOOKUP(0,setup!$A$8:$H$58,2),VLOOKUP(0,setup!$A$8:$H$58,5),VLOOKUP(N1170,setup!$A$8:$H$58,8))</f>
        <v>#VALUE!</v>
      </c>
    </row>
    <row r="1171" spans="1:15" x14ac:dyDescent="0.25">
      <c r="A1171" s="29" t="s">
        <v>717</v>
      </c>
      <c r="N1171">
        <f t="shared" si="27"/>
        <v>19</v>
      </c>
      <c r="O1171" s="7" t="e">
        <f>getCodigoBackend(N1171,A1171,VLOOKUP(N1171,setup!$A$8:$H$58,2),VLOOKUP(N1171,setup!$A$8:$H$58,3),VLOOKUP(N1171,setup!$A$8:$H$58,4),VLOOKUP(N1171,setup!$A$8:$H$58,5),VLOOKUP(N1171,setup!$A$8:$H$58,6),VLOOKUP(N1171,setup!$A$8:$H$58,7), VLOOKUP(0,setup!$A$8:$H$58,2),VLOOKUP(0,setup!$A$8:$H$58,5),VLOOKUP(N1171,setup!$A$8:$H$58,8))</f>
        <v>#VALUE!</v>
      </c>
    </row>
    <row r="1172" spans="1:15" x14ac:dyDescent="0.25">
      <c r="A1172" s="29" t="s">
        <v>20</v>
      </c>
      <c r="N1172">
        <f t="shared" si="27"/>
        <v>19</v>
      </c>
      <c r="O1172" s="7" t="e">
        <f>getCodigoBackend(N1172,A1172,VLOOKUP(N1172,setup!$A$8:$H$58,2),VLOOKUP(N1172,setup!$A$8:$H$58,3),VLOOKUP(N1172,setup!$A$8:$H$58,4),VLOOKUP(N1172,setup!$A$8:$H$58,5),VLOOKUP(N1172,setup!$A$8:$H$58,6),VLOOKUP(N1172,setup!$A$8:$H$58,7), VLOOKUP(0,setup!$A$8:$H$58,2),VLOOKUP(0,setup!$A$8:$H$58,5),VLOOKUP(N1172,setup!$A$8:$H$58,8))</f>
        <v>#VALUE!</v>
      </c>
    </row>
    <row r="1173" spans="1:15" x14ac:dyDescent="0.25">
      <c r="A1173" s="29" t="s">
        <v>756</v>
      </c>
      <c r="N1173">
        <f t="shared" si="27"/>
        <v>19</v>
      </c>
      <c r="O1173" s="7" t="e">
        <f>getCodigoBackend(N1173,A1173,VLOOKUP(N1173,setup!$A$8:$H$58,2),VLOOKUP(N1173,setup!$A$8:$H$58,3),VLOOKUP(N1173,setup!$A$8:$H$58,4),VLOOKUP(N1173,setup!$A$8:$H$58,5),VLOOKUP(N1173,setup!$A$8:$H$58,6),VLOOKUP(N1173,setup!$A$8:$H$58,7), VLOOKUP(0,setup!$A$8:$H$58,2),VLOOKUP(0,setup!$A$8:$H$58,5),VLOOKUP(N1173,setup!$A$8:$H$58,8))</f>
        <v>#VALUE!</v>
      </c>
    </row>
    <row r="1174" spans="1:15" x14ac:dyDescent="0.25">
      <c r="A1174" s="29" t="s">
        <v>757</v>
      </c>
      <c r="N1174">
        <f t="shared" si="27"/>
        <v>19</v>
      </c>
      <c r="O1174" s="7" t="e">
        <f>getCodigoBackend(N1174,A1174,VLOOKUP(N1174,setup!$A$8:$H$58,2),VLOOKUP(N1174,setup!$A$8:$H$58,3),VLOOKUP(N1174,setup!$A$8:$H$58,4),VLOOKUP(N1174,setup!$A$8:$H$58,5),VLOOKUP(N1174,setup!$A$8:$H$58,6),VLOOKUP(N1174,setup!$A$8:$H$58,7), VLOOKUP(0,setup!$A$8:$H$58,2),VLOOKUP(0,setup!$A$8:$H$58,5),VLOOKUP(N1174,setup!$A$8:$H$58,8))</f>
        <v>#VALUE!</v>
      </c>
    </row>
    <row r="1175" spans="1:15" x14ac:dyDescent="0.25">
      <c r="A1175" s="29" t="s">
        <v>20</v>
      </c>
      <c r="N1175">
        <f t="shared" si="27"/>
        <v>19</v>
      </c>
      <c r="O1175" s="7" t="e">
        <f>getCodigoBackend(N1175,A1175,VLOOKUP(N1175,setup!$A$8:$H$58,2),VLOOKUP(N1175,setup!$A$8:$H$58,3),VLOOKUP(N1175,setup!$A$8:$H$58,4),VLOOKUP(N1175,setup!$A$8:$H$58,5),VLOOKUP(N1175,setup!$A$8:$H$58,6),VLOOKUP(N1175,setup!$A$8:$H$58,7), VLOOKUP(0,setup!$A$8:$H$58,2),VLOOKUP(0,setup!$A$8:$H$58,5),VLOOKUP(N1175,setup!$A$8:$H$58,8))</f>
        <v>#VALUE!</v>
      </c>
    </row>
    <row r="1176" spans="1:15" x14ac:dyDescent="0.25">
      <c r="A1176" s="29" t="s">
        <v>75</v>
      </c>
      <c r="N1176">
        <f t="shared" si="27"/>
        <v>19</v>
      </c>
      <c r="O1176" s="7" t="e">
        <f>getCodigoBackend(N1176,A1176,VLOOKUP(N1176,setup!$A$8:$H$58,2),VLOOKUP(N1176,setup!$A$8:$H$58,3),VLOOKUP(N1176,setup!$A$8:$H$58,4),VLOOKUP(N1176,setup!$A$8:$H$58,5),VLOOKUP(N1176,setup!$A$8:$H$58,6),VLOOKUP(N1176,setup!$A$8:$H$58,7), VLOOKUP(0,setup!$A$8:$H$58,2),VLOOKUP(0,setup!$A$8:$H$58,5),VLOOKUP(N1176,setup!$A$8:$H$58,8))</f>
        <v>#VALUE!</v>
      </c>
    </row>
    <row r="1177" spans="1:15" x14ac:dyDescent="0.25">
      <c r="A1177" s="29" t="s">
        <v>21</v>
      </c>
      <c r="N1177">
        <f t="shared" si="27"/>
        <v>19</v>
      </c>
      <c r="O1177" s="7" t="e">
        <f>getCodigoBackend(N1177,A1177,VLOOKUP(N1177,setup!$A$8:$H$58,2),VLOOKUP(N1177,setup!$A$8:$H$58,3),VLOOKUP(N1177,setup!$A$8:$H$58,4),VLOOKUP(N1177,setup!$A$8:$H$58,5),VLOOKUP(N1177,setup!$A$8:$H$58,6),VLOOKUP(N1177,setup!$A$8:$H$58,7), VLOOKUP(0,setup!$A$8:$H$58,2),VLOOKUP(0,setup!$A$8:$H$58,5),VLOOKUP(N1177,setup!$A$8:$H$58,8))</f>
        <v>#VALUE!</v>
      </c>
    </row>
    <row r="1178" spans="1:15" x14ac:dyDescent="0.25">
      <c r="A1178" s="29" t="s">
        <v>784</v>
      </c>
      <c r="N1178">
        <f t="shared" si="27"/>
        <v>19</v>
      </c>
      <c r="O1178" s="7" t="e">
        <f>getCodigoBackend(N1178,A1178,VLOOKUP(N1178,setup!$A$8:$H$58,2),VLOOKUP(N1178,setup!$A$8:$H$58,3),VLOOKUP(N1178,setup!$A$8:$H$58,4),VLOOKUP(N1178,setup!$A$8:$H$58,5),VLOOKUP(N1178,setup!$A$8:$H$58,6),VLOOKUP(N1178,setup!$A$8:$H$58,7), VLOOKUP(0,setup!$A$8:$H$58,2),VLOOKUP(0,setup!$A$8:$H$58,5),VLOOKUP(N1178,setup!$A$8:$H$58,8))</f>
        <v>#VALUE!</v>
      </c>
    </row>
    <row r="1179" spans="1:15" x14ac:dyDescent="0.25">
      <c r="A1179" s="29"/>
      <c r="N1179">
        <f t="shared" si="27"/>
        <v>19</v>
      </c>
      <c r="O1179" s="7" t="e">
        <f>getCodigoBackend(N1179,A1179,VLOOKUP(N1179,setup!$A$8:$H$58,2),VLOOKUP(N1179,setup!$A$8:$H$58,3),VLOOKUP(N1179,setup!$A$8:$H$58,4),VLOOKUP(N1179,setup!$A$8:$H$58,5),VLOOKUP(N1179,setup!$A$8:$H$58,6),VLOOKUP(N1179,setup!$A$8:$H$58,7), VLOOKUP(0,setup!$A$8:$H$58,2),VLOOKUP(0,setup!$A$8:$H$58,5),VLOOKUP(N1179,setup!$A$8:$H$58,8))</f>
        <v>#VALUE!</v>
      </c>
    </row>
    <row r="1180" spans="1:15" x14ac:dyDescent="0.25">
      <c r="A1180" s="29" t="s">
        <v>758</v>
      </c>
      <c r="N1180">
        <f t="shared" si="27"/>
        <v>19</v>
      </c>
      <c r="O1180" s="7" t="e">
        <f>getCodigoBackend(N1180,A1180,VLOOKUP(N1180,setup!$A$8:$H$58,2),VLOOKUP(N1180,setup!$A$8:$H$58,3),VLOOKUP(N1180,setup!$A$8:$H$58,4),VLOOKUP(N1180,setup!$A$8:$H$58,5),VLOOKUP(N1180,setup!$A$8:$H$58,6),VLOOKUP(N1180,setup!$A$8:$H$58,7), VLOOKUP(0,setup!$A$8:$H$58,2),VLOOKUP(0,setup!$A$8:$H$58,5),VLOOKUP(N1180,setup!$A$8:$H$58,8))</f>
        <v>#VALUE!</v>
      </c>
    </row>
    <row r="1181" spans="1:15" x14ac:dyDescent="0.25">
      <c r="A1181" s="29" t="s">
        <v>754</v>
      </c>
      <c r="N1181">
        <f t="shared" si="27"/>
        <v>19</v>
      </c>
      <c r="O1181" s="7" t="e">
        <f>getCodigoBackend(N1181,A1181,VLOOKUP(N1181,setup!$A$8:$H$58,2),VLOOKUP(N1181,setup!$A$8:$H$58,3),VLOOKUP(N1181,setup!$A$8:$H$58,4),VLOOKUP(N1181,setup!$A$8:$H$58,5),VLOOKUP(N1181,setup!$A$8:$H$58,6),VLOOKUP(N1181,setup!$A$8:$H$58,7), VLOOKUP(0,setup!$A$8:$H$58,2),VLOOKUP(0,setup!$A$8:$H$58,5),VLOOKUP(N1181,setup!$A$8:$H$58,8))</f>
        <v>#VALUE!</v>
      </c>
    </row>
    <row r="1182" spans="1:15" x14ac:dyDescent="0.25">
      <c r="A1182" s="29" t="s">
        <v>759</v>
      </c>
      <c r="N1182">
        <f t="shared" si="27"/>
        <v>19</v>
      </c>
      <c r="O1182" s="7" t="e">
        <f>getCodigoBackend(N1182,A1182,VLOOKUP(N1182,setup!$A$8:$H$58,2),VLOOKUP(N1182,setup!$A$8:$H$58,3),VLOOKUP(N1182,setup!$A$8:$H$58,4),VLOOKUP(N1182,setup!$A$8:$H$58,5),VLOOKUP(N1182,setup!$A$8:$H$58,6),VLOOKUP(N1182,setup!$A$8:$H$58,7), VLOOKUP(0,setup!$A$8:$H$58,2),VLOOKUP(0,setup!$A$8:$H$58,5),VLOOKUP(N1182,setup!$A$8:$H$58,8))</f>
        <v>#VALUE!</v>
      </c>
    </row>
    <row r="1183" spans="1:15" x14ac:dyDescent="0.25">
      <c r="A1183" s="29" t="s">
        <v>406</v>
      </c>
      <c r="N1183">
        <f t="shared" si="27"/>
        <v>19</v>
      </c>
      <c r="O1183" s="7" t="e">
        <f>getCodigoBackend(N1183,A1183,VLOOKUP(N1183,setup!$A$8:$H$58,2),VLOOKUP(N1183,setup!$A$8:$H$58,3),VLOOKUP(N1183,setup!$A$8:$H$58,4),VLOOKUP(N1183,setup!$A$8:$H$58,5),VLOOKUP(N1183,setup!$A$8:$H$58,6),VLOOKUP(N1183,setup!$A$8:$H$58,7), VLOOKUP(0,setup!$A$8:$H$58,2),VLOOKUP(0,setup!$A$8:$H$58,5),VLOOKUP(N1183,setup!$A$8:$H$58,8))</f>
        <v>#VALUE!</v>
      </c>
    </row>
    <row r="1184" spans="1:15" x14ac:dyDescent="0.25">
      <c r="O1184" s="7" t="str">
        <f ca="1">getCodigoBackend(N1184,A1184,VLOOKUP(N1184,setup!$A$8:$H$58,2),VLOOKUP(N1184,setup!$A$8:$H$58,3),VLOOKUP(N1184,setup!$A$8:$H$58,4),VLOOKUP(N1184,setup!$A$8:$H$58,5),VLOOKUP(N1184,setup!$A$8:$H$58,6),VLOOKUP(N1184,setup!$A$8:$H$58,7), VLOOKUP(0,setup!$A$8:$H$58,2),VLOOKUP(0,setup!$A$8:$H$58,5),VLOOKUP(N1184,setup!$A$8:$H$58,8))</f>
        <v/>
      </c>
    </row>
    <row r="1185" spans="1:15" x14ac:dyDescent="0.25">
      <c r="A1185" s="29" t="s">
        <v>19</v>
      </c>
      <c r="N1185">
        <f>N1183+1</f>
        <v>20</v>
      </c>
      <c r="O1185" s="7" t="e">
        <f>getCodigoBackend(N1185,A1185,VLOOKUP(N1185,setup!$A$8:$H$58,2),VLOOKUP(N1185,setup!$A$8:$H$58,3),VLOOKUP(N1185,setup!$A$8:$H$58,4),VLOOKUP(N1185,setup!$A$8:$H$58,5),VLOOKUP(N1185,setup!$A$8:$H$58,6),VLOOKUP(N1185,setup!$A$8:$H$58,7), VLOOKUP(0,setup!$A$8:$H$58,2),VLOOKUP(0,setup!$A$8:$H$58,5),VLOOKUP(N1185,setup!$A$8:$H$58,8))</f>
        <v>#VALUE!</v>
      </c>
    </row>
    <row r="1186" spans="1:15" x14ac:dyDescent="0.25">
      <c r="A1186" s="29" t="s">
        <v>20</v>
      </c>
      <c r="N1186">
        <f>N1185</f>
        <v>20</v>
      </c>
      <c r="O1186" s="7" t="e">
        <f>getCodigoBackend(N1186,A1186,VLOOKUP(N1186,setup!$A$8:$H$58,2),VLOOKUP(N1186,setup!$A$8:$H$58,3),VLOOKUP(N1186,setup!$A$8:$H$58,4),VLOOKUP(N1186,setup!$A$8:$H$58,5),VLOOKUP(N1186,setup!$A$8:$H$58,6),VLOOKUP(N1186,setup!$A$8:$H$58,7), VLOOKUP(0,setup!$A$8:$H$58,2),VLOOKUP(0,setup!$A$8:$H$58,5),VLOOKUP(N1186,setup!$A$8:$H$58,8))</f>
        <v>#VALUE!</v>
      </c>
    </row>
    <row r="1187" spans="1:15" x14ac:dyDescent="0.25">
      <c r="A1187" s="29" t="s">
        <v>716</v>
      </c>
      <c r="N1187">
        <f t="shared" ref="N1187:N1200" si="28">N1186</f>
        <v>20</v>
      </c>
      <c r="O1187" s="7" t="e">
        <f>getCodigoBackend(N1187,A1187,VLOOKUP(N1187,setup!$A$8:$H$58,2),VLOOKUP(N1187,setup!$A$8:$H$58,3),VLOOKUP(N1187,setup!$A$8:$H$58,4),VLOOKUP(N1187,setup!$A$8:$H$58,5),VLOOKUP(N1187,setup!$A$8:$H$58,6),VLOOKUP(N1187,setup!$A$8:$H$58,7), VLOOKUP(0,setup!$A$8:$H$58,2),VLOOKUP(0,setup!$A$8:$H$58,5),VLOOKUP(N1187,setup!$A$8:$H$58,8))</f>
        <v>#VALUE!</v>
      </c>
    </row>
    <row r="1188" spans="1:15" x14ac:dyDescent="0.25">
      <c r="A1188" s="29" t="s">
        <v>717</v>
      </c>
      <c r="N1188">
        <f t="shared" si="28"/>
        <v>20</v>
      </c>
      <c r="O1188" s="7" t="e">
        <f>getCodigoBackend(N1188,A1188,VLOOKUP(N1188,setup!$A$8:$H$58,2),VLOOKUP(N1188,setup!$A$8:$H$58,3),VLOOKUP(N1188,setup!$A$8:$H$58,4),VLOOKUP(N1188,setup!$A$8:$H$58,5),VLOOKUP(N1188,setup!$A$8:$H$58,6),VLOOKUP(N1188,setup!$A$8:$H$58,7), VLOOKUP(0,setup!$A$8:$H$58,2),VLOOKUP(0,setup!$A$8:$H$58,5),VLOOKUP(N1188,setup!$A$8:$H$58,8))</f>
        <v>#VALUE!</v>
      </c>
    </row>
    <row r="1189" spans="1:15" x14ac:dyDescent="0.25">
      <c r="A1189" s="29" t="s">
        <v>20</v>
      </c>
      <c r="N1189">
        <f t="shared" si="28"/>
        <v>20</v>
      </c>
      <c r="O1189" s="7" t="e">
        <f>getCodigoBackend(N1189,A1189,VLOOKUP(N1189,setup!$A$8:$H$58,2),VLOOKUP(N1189,setup!$A$8:$H$58,3),VLOOKUP(N1189,setup!$A$8:$H$58,4),VLOOKUP(N1189,setup!$A$8:$H$58,5),VLOOKUP(N1189,setup!$A$8:$H$58,6),VLOOKUP(N1189,setup!$A$8:$H$58,7), VLOOKUP(0,setup!$A$8:$H$58,2),VLOOKUP(0,setup!$A$8:$H$58,5),VLOOKUP(N1189,setup!$A$8:$H$58,8))</f>
        <v>#VALUE!</v>
      </c>
    </row>
    <row r="1190" spans="1:15" x14ac:dyDescent="0.25">
      <c r="A1190" s="29" t="s">
        <v>756</v>
      </c>
      <c r="N1190">
        <f t="shared" si="28"/>
        <v>20</v>
      </c>
      <c r="O1190" s="7" t="e">
        <f>getCodigoBackend(N1190,A1190,VLOOKUP(N1190,setup!$A$8:$H$58,2),VLOOKUP(N1190,setup!$A$8:$H$58,3),VLOOKUP(N1190,setup!$A$8:$H$58,4),VLOOKUP(N1190,setup!$A$8:$H$58,5),VLOOKUP(N1190,setup!$A$8:$H$58,6),VLOOKUP(N1190,setup!$A$8:$H$58,7), VLOOKUP(0,setup!$A$8:$H$58,2),VLOOKUP(0,setup!$A$8:$H$58,5),VLOOKUP(N1190,setup!$A$8:$H$58,8))</f>
        <v>#VALUE!</v>
      </c>
    </row>
    <row r="1191" spans="1:15" x14ac:dyDescent="0.25">
      <c r="A1191" s="29" t="s">
        <v>757</v>
      </c>
      <c r="N1191">
        <f t="shared" si="28"/>
        <v>20</v>
      </c>
      <c r="O1191" s="7" t="e">
        <f>getCodigoBackend(N1191,A1191,VLOOKUP(N1191,setup!$A$8:$H$58,2),VLOOKUP(N1191,setup!$A$8:$H$58,3),VLOOKUP(N1191,setup!$A$8:$H$58,4),VLOOKUP(N1191,setup!$A$8:$H$58,5),VLOOKUP(N1191,setup!$A$8:$H$58,6),VLOOKUP(N1191,setup!$A$8:$H$58,7), VLOOKUP(0,setup!$A$8:$H$58,2),VLOOKUP(0,setup!$A$8:$H$58,5),VLOOKUP(N1191,setup!$A$8:$H$58,8))</f>
        <v>#VALUE!</v>
      </c>
    </row>
    <row r="1192" spans="1:15" x14ac:dyDescent="0.25">
      <c r="A1192" s="29" t="s">
        <v>20</v>
      </c>
      <c r="N1192">
        <f t="shared" si="28"/>
        <v>20</v>
      </c>
      <c r="O1192" s="7" t="e">
        <f>getCodigoBackend(N1192,A1192,VLOOKUP(N1192,setup!$A$8:$H$58,2),VLOOKUP(N1192,setup!$A$8:$H$58,3),VLOOKUP(N1192,setup!$A$8:$H$58,4),VLOOKUP(N1192,setup!$A$8:$H$58,5),VLOOKUP(N1192,setup!$A$8:$H$58,6),VLOOKUP(N1192,setup!$A$8:$H$58,7), VLOOKUP(0,setup!$A$8:$H$58,2),VLOOKUP(0,setup!$A$8:$H$58,5),VLOOKUP(N1192,setup!$A$8:$H$58,8))</f>
        <v>#VALUE!</v>
      </c>
    </row>
    <row r="1193" spans="1:15" x14ac:dyDescent="0.25">
      <c r="A1193" s="29" t="s">
        <v>75</v>
      </c>
      <c r="N1193">
        <f t="shared" si="28"/>
        <v>20</v>
      </c>
      <c r="O1193" s="7" t="e">
        <f>getCodigoBackend(N1193,A1193,VLOOKUP(N1193,setup!$A$8:$H$58,2),VLOOKUP(N1193,setup!$A$8:$H$58,3),VLOOKUP(N1193,setup!$A$8:$H$58,4),VLOOKUP(N1193,setup!$A$8:$H$58,5),VLOOKUP(N1193,setup!$A$8:$H$58,6),VLOOKUP(N1193,setup!$A$8:$H$58,7), VLOOKUP(0,setup!$A$8:$H$58,2),VLOOKUP(0,setup!$A$8:$H$58,5),VLOOKUP(N1193,setup!$A$8:$H$58,8))</f>
        <v>#VALUE!</v>
      </c>
    </row>
    <row r="1194" spans="1:15" x14ac:dyDescent="0.25">
      <c r="A1194" s="29" t="s">
        <v>21</v>
      </c>
      <c r="N1194">
        <f t="shared" si="28"/>
        <v>20</v>
      </c>
      <c r="O1194" s="7" t="e">
        <f>getCodigoBackend(N1194,A1194,VLOOKUP(N1194,setup!$A$8:$H$58,2),VLOOKUP(N1194,setup!$A$8:$H$58,3),VLOOKUP(N1194,setup!$A$8:$H$58,4),VLOOKUP(N1194,setup!$A$8:$H$58,5),VLOOKUP(N1194,setup!$A$8:$H$58,6),VLOOKUP(N1194,setup!$A$8:$H$58,7), VLOOKUP(0,setup!$A$8:$H$58,2),VLOOKUP(0,setup!$A$8:$H$58,5),VLOOKUP(N1194,setup!$A$8:$H$58,8))</f>
        <v>#VALUE!</v>
      </c>
    </row>
    <row r="1195" spans="1:15" x14ac:dyDescent="0.25">
      <c r="A1195" s="29" t="s">
        <v>784</v>
      </c>
      <c r="N1195">
        <f t="shared" si="28"/>
        <v>20</v>
      </c>
      <c r="O1195" s="7" t="e">
        <f>getCodigoBackend(N1195,A1195,VLOOKUP(N1195,setup!$A$8:$H$58,2),VLOOKUP(N1195,setup!$A$8:$H$58,3),VLOOKUP(N1195,setup!$A$8:$H$58,4),VLOOKUP(N1195,setup!$A$8:$H$58,5),VLOOKUP(N1195,setup!$A$8:$H$58,6),VLOOKUP(N1195,setup!$A$8:$H$58,7), VLOOKUP(0,setup!$A$8:$H$58,2),VLOOKUP(0,setup!$A$8:$H$58,5),VLOOKUP(N1195,setup!$A$8:$H$58,8))</f>
        <v>#VALUE!</v>
      </c>
    </row>
    <row r="1196" spans="1:15" x14ac:dyDescent="0.25">
      <c r="A1196" s="29"/>
      <c r="N1196">
        <f t="shared" si="28"/>
        <v>20</v>
      </c>
      <c r="O1196" s="7" t="e">
        <f>getCodigoBackend(N1196,A1196,VLOOKUP(N1196,setup!$A$8:$H$58,2),VLOOKUP(N1196,setup!$A$8:$H$58,3),VLOOKUP(N1196,setup!$A$8:$H$58,4),VLOOKUP(N1196,setup!$A$8:$H$58,5),VLOOKUP(N1196,setup!$A$8:$H$58,6),VLOOKUP(N1196,setup!$A$8:$H$58,7), VLOOKUP(0,setup!$A$8:$H$58,2),VLOOKUP(0,setup!$A$8:$H$58,5),VLOOKUP(N1196,setup!$A$8:$H$58,8))</f>
        <v>#VALUE!</v>
      </c>
    </row>
    <row r="1197" spans="1:15" x14ac:dyDescent="0.25">
      <c r="A1197" s="29" t="s">
        <v>758</v>
      </c>
      <c r="N1197">
        <f t="shared" si="28"/>
        <v>20</v>
      </c>
      <c r="O1197" s="7" t="e">
        <f>getCodigoBackend(N1197,A1197,VLOOKUP(N1197,setup!$A$8:$H$58,2),VLOOKUP(N1197,setup!$A$8:$H$58,3),VLOOKUP(N1197,setup!$A$8:$H$58,4),VLOOKUP(N1197,setup!$A$8:$H$58,5),VLOOKUP(N1197,setup!$A$8:$H$58,6),VLOOKUP(N1197,setup!$A$8:$H$58,7), VLOOKUP(0,setup!$A$8:$H$58,2),VLOOKUP(0,setup!$A$8:$H$58,5),VLOOKUP(N1197,setup!$A$8:$H$58,8))</f>
        <v>#VALUE!</v>
      </c>
    </row>
    <row r="1198" spans="1:15" x14ac:dyDescent="0.25">
      <c r="A1198" s="29" t="s">
        <v>754</v>
      </c>
      <c r="N1198">
        <f t="shared" si="28"/>
        <v>20</v>
      </c>
      <c r="O1198" s="7" t="e">
        <f>getCodigoBackend(N1198,A1198,VLOOKUP(N1198,setup!$A$8:$H$58,2),VLOOKUP(N1198,setup!$A$8:$H$58,3),VLOOKUP(N1198,setup!$A$8:$H$58,4),VLOOKUP(N1198,setup!$A$8:$H$58,5),VLOOKUP(N1198,setup!$A$8:$H$58,6),VLOOKUP(N1198,setup!$A$8:$H$58,7), VLOOKUP(0,setup!$A$8:$H$58,2),VLOOKUP(0,setup!$A$8:$H$58,5),VLOOKUP(N1198,setup!$A$8:$H$58,8))</f>
        <v>#VALUE!</v>
      </c>
    </row>
    <row r="1199" spans="1:15" x14ac:dyDescent="0.25">
      <c r="A1199" s="29" t="s">
        <v>759</v>
      </c>
      <c r="N1199">
        <f t="shared" si="28"/>
        <v>20</v>
      </c>
      <c r="O1199" s="7" t="e">
        <f>getCodigoBackend(N1199,A1199,VLOOKUP(N1199,setup!$A$8:$H$58,2),VLOOKUP(N1199,setup!$A$8:$H$58,3),VLOOKUP(N1199,setup!$A$8:$H$58,4),VLOOKUP(N1199,setup!$A$8:$H$58,5),VLOOKUP(N1199,setup!$A$8:$H$58,6),VLOOKUP(N1199,setup!$A$8:$H$58,7), VLOOKUP(0,setup!$A$8:$H$58,2),VLOOKUP(0,setup!$A$8:$H$58,5),VLOOKUP(N1199,setup!$A$8:$H$58,8))</f>
        <v>#VALUE!</v>
      </c>
    </row>
    <row r="1200" spans="1:15" x14ac:dyDescent="0.25">
      <c r="A1200" s="29" t="s">
        <v>406</v>
      </c>
      <c r="N1200">
        <f t="shared" si="28"/>
        <v>20</v>
      </c>
      <c r="O1200" s="7" t="e">
        <f>getCodigoBackend(N1200,A1200,VLOOKUP(N1200,setup!$A$8:$H$58,2),VLOOKUP(N1200,setup!$A$8:$H$58,3),VLOOKUP(N1200,setup!$A$8:$H$58,4),VLOOKUP(N1200,setup!$A$8:$H$58,5),VLOOKUP(N1200,setup!$A$8:$H$58,6),VLOOKUP(N1200,setup!$A$8:$H$58,7), VLOOKUP(0,setup!$A$8:$H$58,2),VLOOKUP(0,setup!$A$8:$H$58,5),VLOOKUP(N1200,setup!$A$8:$H$58,8))</f>
        <v>#VALUE!</v>
      </c>
    </row>
    <row r="1201" spans="1:15" x14ac:dyDescent="0.25">
      <c r="O1201" s="7" t="str">
        <f ca="1">getCodigoBackend(N1201,A1201,VLOOKUP(N1201,setup!$A$8:$H$58,2),VLOOKUP(N1201,setup!$A$8:$H$58,3),VLOOKUP(N1201,setup!$A$8:$H$58,4),VLOOKUP(N1201,setup!$A$8:$H$58,5),VLOOKUP(N1201,setup!$A$8:$H$58,6),VLOOKUP(N1201,setup!$A$8:$H$58,7), VLOOKUP(0,setup!$A$8:$H$58,2),VLOOKUP(0,setup!$A$8:$H$58,5),VLOOKUP(N1201,setup!$A$8:$H$58,8))</f>
        <v/>
      </c>
    </row>
    <row r="1202" spans="1:15" x14ac:dyDescent="0.25">
      <c r="A1202" s="29" t="s">
        <v>19</v>
      </c>
      <c r="N1202">
        <f>N1200+1</f>
        <v>21</v>
      </c>
      <c r="O1202" s="7" t="e">
        <f>getCodigoBackend(N1202,A1202,VLOOKUP(N1202,setup!$A$8:$H$58,2),VLOOKUP(N1202,setup!$A$8:$H$58,3),VLOOKUP(N1202,setup!$A$8:$H$58,4),VLOOKUP(N1202,setup!$A$8:$H$58,5),VLOOKUP(N1202,setup!$A$8:$H$58,6),VLOOKUP(N1202,setup!$A$8:$H$58,7), VLOOKUP(0,setup!$A$8:$H$58,2),VLOOKUP(0,setup!$A$8:$H$58,5),VLOOKUP(N1202,setup!$A$8:$H$58,8))</f>
        <v>#VALUE!</v>
      </c>
    </row>
    <row r="1203" spans="1:15" x14ac:dyDescent="0.25">
      <c r="A1203" s="29" t="s">
        <v>20</v>
      </c>
      <c r="N1203">
        <f>N1202</f>
        <v>21</v>
      </c>
      <c r="O1203" s="7" t="e">
        <f>getCodigoBackend(N1203,A1203,VLOOKUP(N1203,setup!$A$8:$H$58,2),VLOOKUP(N1203,setup!$A$8:$H$58,3),VLOOKUP(N1203,setup!$A$8:$H$58,4),VLOOKUP(N1203,setup!$A$8:$H$58,5),VLOOKUP(N1203,setup!$A$8:$H$58,6),VLOOKUP(N1203,setup!$A$8:$H$58,7), VLOOKUP(0,setup!$A$8:$H$58,2),VLOOKUP(0,setup!$A$8:$H$58,5),VLOOKUP(N1203,setup!$A$8:$H$58,8))</f>
        <v>#VALUE!</v>
      </c>
    </row>
    <row r="1204" spans="1:15" x14ac:dyDescent="0.25">
      <c r="A1204" s="29" t="s">
        <v>716</v>
      </c>
      <c r="N1204">
        <f t="shared" ref="N1204:N1217" si="29">N1203</f>
        <v>21</v>
      </c>
      <c r="O1204" s="7" t="e">
        <f>getCodigoBackend(N1204,A1204,VLOOKUP(N1204,setup!$A$8:$H$58,2),VLOOKUP(N1204,setup!$A$8:$H$58,3),VLOOKUP(N1204,setup!$A$8:$H$58,4),VLOOKUP(N1204,setup!$A$8:$H$58,5),VLOOKUP(N1204,setup!$A$8:$H$58,6),VLOOKUP(N1204,setup!$A$8:$H$58,7), VLOOKUP(0,setup!$A$8:$H$58,2),VLOOKUP(0,setup!$A$8:$H$58,5),VLOOKUP(N1204,setup!$A$8:$H$58,8))</f>
        <v>#VALUE!</v>
      </c>
    </row>
    <row r="1205" spans="1:15" x14ac:dyDescent="0.25">
      <c r="A1205" s="29" t="s">
        <v>717</v>
      </c>
      <c r="N1205">
        <f t="shared" si="29"/>
        <v>21</v>
      </c>
      <c r="O1205" s="7" t="e">
        <f>getCodigoBackend(N1205,A1205,VLOOKUP(N1205,setup!$A$8:$H$58,2),VLOOKUP(N1205,setup!$A$8:$H$58,3),VLOOKUP(N1205,setup!$A$8:$H$58,4),VLOOKUP(N1205,setup!$A$8:$H$58,5),VLOOKUP(N1205,setup!$A$8:$H$58,6),VLOOKUP(N1205,setup!$A$8:$H$58,7), VLOOKUP(0,setup!$A$8:$H$58,2),VLOOKUP(0,setup!$A$8:$H$58,5),VLOOKUP(N1205,setup!$A$8:$H$58,8))</f>
        <v>#VALUE!</v>
      </c>
    </row>
    <row r="1206" spans="1:15" x14ac:dyDescent="0.25">
      <c r="A1206" s="29" t="s">
        <v>20</v>
      </c>
      <c r="N1206">
        <f t="shared" si="29"/>
        <v>21</v>
      </c>
      <c r="O1206" s="7" t="e">
        <f>getCodigoBackend(N1206,A1206,VLOOKUP(N1206,setup!$A$8:$H$58,2),VLOOKUP(N1206,setup!$A$8:$H$58,3),VLOOKUP(N1206,setup!$A$8:$H$58,4),VLOOKUP(N1206,setup!$A$8:$H$58,5),VLOOKUP(N1206,setup!$A$8:$H$58,6),VLOOKUP(N1206,setup!$A$8:$H$58,7), VLOOKUP(0,setup!$A$8:$H$58,2),VLOOKUP(0,setup!$A$8:$H$58,5),VLOOKUP(N1206,setup!$A$8:$H$58,8))</f>
        <v>#VALUE!</v>
      </c>
    </row>
    <row r="1207" spans="1:15" x14ac:dyDescent="0.25">
      <c r="A1207" s="29" t="s">
        <v>756</v>
      </c>
      <c r="N1207">
        <f t="shared" si="29"/>
        <v>21</v>
      </c>
      <c r="O1207" s="7" t="e">
        <f>getCodigoBackend(N1207,A1207,VLOOKUP(N1207,setup!$A$8:$H$58,2),VLOOKUP(N1207,setup!$A$8:$H$58,3),VLOOKUP(N1207,setup!$A$8:$H$58,4),VLOOKUP(N1207,setup!$A$8:$H$58,5),VLOOKUP(N1207,setup!$A$8:$H$58,6),VLOOKUP(N1207,setup!$A$8:$H$58,7), VLOOKUP(0,setup!$A$8:$H$58,2),VLOOKUP(0,setup!$A$8:$H$58,5),VLOOKUP(N1207,setup!$A$8:$H$58,8))</f>
        <v>#VALUE!</v>
      </c>
    </row>
    <row r="1208" spans="1:15" x14ac:dyDescent="0.25">
      <c r="A1208" s="29" t="s">
        <v>757</v>
      </c>
      <c r="N1208">
        <f t="shared" si="29"/>
        <v>21</v>
      </c>
      <c r="O1208" s="7" t="e">
        <f>getCodigoBackend(N1208,A1208,VLOOKUP(N1208,setup!$A$8:$H$58,2),VLOOKUP(N1208,setup!$A$8:$H$58,3),VLOOKUP(N1208,setup!$A$8:$H$58,4),VLOOKUP(N1208,setup!$A$8:$H$58,5),VLOOKUP(N1208,setup!$A$8:$H$58,6),VLOOKUP(N1208,setup!$A$8:$H$58,7), VLOOKUP(0,setup!$A$8:$H$58,2),VLOOKUP(0,setup!$A$8:$H$58,5),VLOOKUP(N1208,setup!$A$8:$H$58,8))</f>
        <v>#VALUE!</v>
      </c>
    </row>
    <row r="1209" spans="1:15" x14ac:dyDescent="0.25">
      <c r="A1209" s="29" t="s">
        <v>20</v>
      </c>
      <c r="N1209">
        <f t="shared" si="29"/>
        <v>21</v>
      </c>
      <c r="O1209" s="7" t="e">
        <f>getCodigoBackend(N1209,A1209,VLOOKUP(N1209,setup!$A$8:$H$58,2),VLOOKUP(N1209,setup!$A$8:$H$58,3),VLOOKUP(N1209,setup!$A$8:$H$58,4),VLOOKUP(N1209,setup!$A$8:$H$58,5),VLOOKUP(N1209,setup!$A$8:$H$58,6),VLOOKUP(N1209,setup!$A$8:$H$58,7), VLOOKUP(0,setup!$A$8:$H$58,2),VLOOKUP(0,setup!$A$8:$H$58,5),VLOOKUP(N1209,setup!$A$8:$H$58,8))</f>
        <v>#VALUE!</v>
      </c>
    </row>
    <row r="1210" spans="1:15" x14ac:dyDescent="0.25">
      <c r="A1210" s="29" t="s">
        <v>75</v>
      </c>
      <c r="N1210">
        <f t="shared" si="29"/>
        <v>21</v>
      </c>
      <c r="O1210" s="7" t="e">
        <f>getCodigoBackend(N1210,A1210,VLOOKUP(N1210,setup!$A$8:$H$58,2),VLOOKUP(N1210,setup!$A$8:$H$58,3),VLOOKUP(N1210,setup!$A$8:$H$58,4),VLOOKUP(N1210,setup!$A$8:$H$58,5),VLOOKUP(N1210,setup!$A$8:$H$58,6),VLOOKUP(N1210,setup!$A$8:$H$58,7), VLOOKUP(0,setup!$A$8:$H$58,2),VLOOKUP(0,setup!$A$8:$H$58,5),VLOOKUP(N1210,setup!$A$8:$H$58,8))</f>
        <v>#VALUE!</v>
      </c>
    </row>
    <row r="1211" spans="1:15" x14ac:dyDescent="0.25">
      <c r="A1211" s="29" t="s">
        <v>21</v>
      </c>
      <c r="N1211">
        <f t="shared" si="29"/>
        <v>21</v>
      </c>
      <c r="O1211" s="7" t="e">
        <f>getCodigoBackend(N1211,A1211,VLOOKUP(N1211,setup!$A$8:$H$58,2),VLOOKUP(N1211,setup!$A$8:$H$58,3),VLOOKUP(N1211,setup!$A$8:$H$58,4),VLOOKUP(N1211,setup!$A$8:$H$58,5),VLOOKUP(N1211,setup!$A$8:$H$58,6),VLOOKUP(N1211,setup!$A$8:$H$58,7), VLOOKUP(0,setup!$A$8:$H$58,2),VLOOKUP(0,setup!$A$8:$H$58,5),VLOOKUP(N1211,setup!$A$8:$H$58,8))</f>
        <v>#VALUE!</v>
      </c>
    </row>
    <row r="1212" spans="1:15" x14ac:dyDescent="0.25">
      <c r="A1212" s="29" t="s">
        <v>784</v>
      </c>
      <c r="N1212">
        <f t="shared" si="29"/>
        <v>21</v>
      </c>
      <c r="O1212" s="7" t="e">
        <f>getCodigoBackend(N1212,A1212,VLOOKUP(N1212,setup!$A$8:$H$58,2),VLOOKUP(N1212,setup!$A$8:$H$58,3),VLOOKUP(N1212,setup!$A$8:$H$58,4),VLOOKUP(N1212,setup!$A$8:$H$58,5),VLOOKUP(N1212,setup!$A$8:$H$58,6),VLOOKUP(N1212,setup!$A$8:$H$58,7), VLOOKUP(0,setup!$A$8:$H$58,2),VLOOKUP(0,setup!$A$8:$H$58,5),VLOOKUP(N1212,setup!$A$8:$H$58,8))</f>
        <v>#VALUE!</v>
      </c>
    </row>
    <row r="1213" spans="1:15" x14ac:dyDescent="0.25">
      <c r="A1213" s="29"/>
      <c r="N1213">
        <f t="shared" si="29"/>
        <v>21</v>
      </c>
      <c r="O1213" s="7" t="e">
        <f>getCodigoBackend(N1213,A1213,VLOOKUP(N1213,setup!$A$8:$H$58,2),VLOOKUP(N1213,setup!$A$8:$H$58,3),VLOOKUP(N1213,setup!$A$8:$H$58,4),VLOOKUP(N1213,setup!$A$8:$H$58,5),VLOOKUP(N1213,setup!$A$8:$H$58,6),VLOOKUP(N1213,setup!$A$8:$H$58,7), VLOOKUP(0,setup!$A$8:$H$58,2),VLOOKUP(0,setup!$A$8:$H$58,5),VLOOKUP(N1213,setup!$A$8:$H$58,8))</f>
        <v>#VALUE!</v>
      </c>
    </row>
    <row r="1214" spans="1:15" x14ac:dyDescent="0.25">
      <c r="A1214" s="29" t="s">
        <v>758</v>
      </c>
      <c r="N1214">
        <f t="shared" si="29"/>
        <v>21</v>
      </c>
      <c r="O1214" s="7" t="e">
        <f>getCodigoBackend(N1214,A1214,VLOOKUP(N1214,setup!$A$8:$H$58,2),VLOOKUP(N1214,setup!$A$8:$H$58,3),VLOOKUP(N1214,setup!$A$8:$H$58,4),VLOOKUP(N1214,setup!$A$8:$H$58,5),VLOOKUP(N1214,setup!$A$8:$H$58,6),VLOOKUP(N1214,setup!$A$8:$H$58,7), VLOOKUP(0,setup!$A$8:$H$58,2),VLOOKUP(0,setup!$A$8:$H$58,5),VLOOKUP(N1214,setup!$A$8:$H$58,8))</f>
        <v>#VALUE!</v>
      </c>
    </row>
    <row r="1215" spans="1:15" x14ac:dyDescent="0.25">
      <c r="A1215" s="29" t="s">
        <v>754</v>
      </c>
      <c r="N1215">
        <f t="shared" si="29"/>
        <v>21</v>
      </c>
      <c r="O1215" s="7" t="e">
        <f>getCodigoBackend(N1215,A1215,VLOOKUP(N1215,setup!$A$8:$H$58,2),VLOOKUP(N1215,setup!$A$8:$H$58,3),VLOOKUP(N1215,setup!$A$8:$H$58,4),VLOOKUP(N1215,setup!$A$8:$H$58,5),VLOOKUP(N1215,setup!$A$8:$H$58,6),VLOOKUP(N1215,setup!$A$8:$H$58,7), VLOOKUP(0,setup!$A$8:$H$58,2),VLOOKUP(0,setup!$A$8:$H$58,5),VLOOKUP(N1215,setup!$A$8:$H$58,8))</f>
        <v>#VALUE!</v>
      </c>
    </row>
    <row r="1216" spans="1:15" x14ac:dyDescent="0.25">
      <c r="A1216" s="29" t="s">
        <v>759</v>
      </c>
      <c r="N1216">
        <f t="shared" si="29"/>
        <v>21</v>
      </c>
      <c r="O1216" s="7" t="e">
        <f>getCodigoBackend(N1216,A1216,VLOOKUP(N1216,setup!$A$8:$H$58,2),VLOOKUP(N1216,setup!$A$8:$H$58,3),VLOOKUP(N1216,setup!$A$8:$H$58,4),VLOOKUP(N1216,setup!$A$8:$H$58,5),VLOOKUP(N1216,setup!$A$8:$H$58,6),VLOOKUP(N1216,setup!$A$8:$H$58,7), VLOOKUP(0,setup!$A$8:$H$58,2),VLOOKUP(0,setup!$A$8:$H$58,5),VLOOKUP(N1216,setup!$A$8:$H$58,8))</f>
        <v>#VALUE!</v>
      </c>
    </row>
    <row r="1217" spans="1:15" x14ac:dyDescent="0.25">
      <c r="A1217" s="29" t="s">
        <v>406</v>
      </c>
      <c r="N1217">
        <f t="shared" si="29"/>
        <v>21</v>
      </c>
      <c r="O1217" s="7" t="e">
        <f>getCodigoBackend(N1217,A1217,VLOOKUP(N1217,setup!$A$8:$H$58,2),VLOOKUP(N1217,setup!$A$8:$H$58,3),VLOOKUP(N1217,setup!$A$8:$H$58,4),VLOOKUP(N1217,setup!$A$8:$H$58,5),VLOOKUP(N1217,setup!$A$8:$H$58,6),VLOOKUP(N1217,setup!$A$8:$H$58,7), VLOOKUP(0,setup!$A$8:$H$58,2),VLOOKUP(0,setup!$A$8:$H$58,5),VLOOKUP(N1217,setup!$A$8:$H$58,8))</f>
        <v>#VALUE!</v>
      </c>
    </row>
    <row r="1218" spans="1:15" x14ac:dyDescent="0.25">
      <c r="O1218" s="7" t="str">
        <f ca="1">getCodigoBackend(N1218,A1218,VLOOKUP(N1218,setup!$A$8:$H$58,2),VLOOKUP(N1218,setup!$A$8:$H$58,3),VLOOKUP(N1218,setup!$A$8:$H$58,4),VLOOKUP(N1218,setup!$A$8:$H$58,5),VLOOKUP(N1218,setup!$A$8:$H$58,6),VLOOKUP(N1218,setup!$A$8:$H$58,7), VLOOKUP(0,setup!$A$8:$H$58,2),VLOOKUP(0,setup!$A$8:$H$58,5),VLOOKUP(N1218,setup!$A$8:$H$58,8))</f>
        <v/>
      </c>
    </row>
    <row r="1219" spans="1:15" x14ac:dyDescent="0.25">
      <c r="A1219" s="29" t="s">
        <v>19</v>
      </c>
      <c r="N1219">
        <f>N1217+1</f>
        <v>22</v>
      </c>
      <c r="O1219" s="7" t="e">
        <f>getCodigoBackend(N1219,A1219,VLOOKUP(N1219,setup!$A$8:$H$58,2),VLOOKUP(N1219,setup!$A$8:$H$58,3),VLOOKUP(N1219,setup!$A$8:$H$58,4),VLOOKUP(N1219,setup!$A$8:$H$58,5),VLOOKUP(N1219,setup!$A$8:$H$58,6),VLOOKUP(N1219,setup!$A$8:$H$58,7), VLOOKUP(0,setup!$A$8:$H$58,2),VLOOKUP(0,setup!$A$8:$H$58,5),VLOOKUP(N1219,setup!$A$8:$H$58,8))</f>
        <v>#VALUE!</v>
      </c>
    </row>
    <row r="1220" spans="1:15" x14ac:dyDescent="0.25">
      <c r="A1220" s="29" t="s">
        <v>20</v>
      </c>
      <c r="N1220">
        <f>N1219</f>
        <v>22</v>
      </c>
      <c r="O1220" s="7" t="e">
        <f>getCodigoBackend(N1220,A1220,VLOOKUP(N1220,setup!$A$8:$H$58,2),VLOOKUP(N1220,setup!$A$8:$H$58,3),VLOOKUP(N1220,setup!$A$8:$H$58,4),VLOOKUP(N1220,setup!$A$8:$H$58,5),VLOOKUP(N1220,setup!$A$8:$H$58,6),VLOOKUP(N1220,setup!$A$8:$H$58,7), VLOOKUP(0,setup!$A$8:$H$58,2),VLOOKUP(0,setup!$A$8:$H$58,5),VLOOKUP(N1220,setup!$A$8:$H$58,8))</f>
        <v>#VALUE!</v>
      </c>
    </row>
    <row r="1221" spans="1:15" x14ac:dyDescent="0.25">
      <c r="A1221" s="29" t="s">
        <v>716</v>
      </c>
      <c r="N1221">
        <f t="shared" ref="N1221:N1234" si="30">N1220</f>
        <v>22</v>
      </c>
      <c r="O1221" s="7" t="e">
        <f>getCodigoBackend(N1221,A1221,VLOOKUP(N1221,setup!$A$8:$H$58,2),VLOOKUP(N1221,setup!$A$8:$H$58,3),VLOOKUP(N1221,setup!$A$8:$H$58,4),VLOOKUP(N1221,setup!$A$8:$H$58,5),VLOOKUP(N1221,setup!$A$8:$H$58,6),VLOOKUP(N1221,setup!$A$8:$H$58,7), VLOOKUP(0,setup!$A$8:$H$58,2),VLOOKUP(0,setup!$A$8:$H$58,5),VLOOKUP(N1221,setup!$A$8:$H$58,8))</f>
        <v>#VALUE!</v>
      </c>
    </row>
    <row r="1222" spans="1:15" x14ac:dyDescent="0.25">
      <c r="A1222" s="29" t="s">
        <v>717</v>
      </c>
      <c r="N1222">
        <f t="shared" si="30"/>
        <v>22</v>
      </c>
      <c r="O1222" s="7" t="e">
        <f>getCodigoBackend(N1222,A1222,VLOOKUP(N1222,setup!$A$8:$H$58,2),VLOOKUP(N1222,setup!$A$8:$H$58,3),VLOOKUP(N1222,setup!$A$8:$H$58,4),VLOOKUP(N1222,setup!$A$8:$H$58,5),VLOOKUP(N1222,setup!$A$8:$H$58,6),VLOOKUP(N1222,setup!$A$8:$H$58,7), VLOOKUP(0,setup!$A$8:$H$58,2),VLOOKUP(0,setup!$A$8:$H$58,5),VLOOKUP(N1222,setup!$A$8:$H$58,8))</f>
        <v>#VALUE!</v>
      </c>
    </row>
    <row r="1223" spans="1:15" x14ac:dyDescent="0.25">
      <c r="A1223" s="29" t="s">
        <v>20</v>
      </c>
      <c r="N1223">
        <f t="shared" si="30"/>
        <v>22</v>
      </c>
      <c r="O1223" s="7" t="e">
        <f>getCodigoBackend(N1223,A1223,VLOOKUP(N1223,setup!$A$8:$H$58,2),VLOOKUP(N1223,setup!$A$8:$H$58,3),VLOOKUP(N1223,setup!$A$8:$H$58,4),VLOOKUP(N1223,setup!$A$8:$H$58,5),VLOOKUP(N1223,setup!$A$8:$H$58,6),VLOOKUP(N1223,setup!$A$8:$H$58,7), VLOOKUP(0,setup!$A$8:$H$58,2),VLOOKUP(0,setup!$A$8:$H$58,5),VLOOKUP(N1223,setup!$A$8:$H$58,8))</f>
        <v>#VALUE!</v>
      </c>
    </row>
    <row r="1224" spans="1:15" x14ac:dyDescent="0.25">
      <c r="A1224" s="29" t="s">
        <v>756</v>
      </c>
      <c r="N1224">
        <f t="shared" si="30"/>
        <v>22</v>
      </c>
      <c r="O1224" s="7" t="e">
        <f>getCodigoBackend(N1224,A1224,VLOOKUP(N1224,setup!$A$8:$H$58,2),VLOOKUP(N1224,setup!$A$8:$H$58,3),VLOOKUP(N1224,setup!$A$8:$H$58,4),VLOOKUP(N1224,setup!$A$8:$H$58,5),VLOOKUP(N1224,setup!$A$8:$H$58,6),VLOOKUP(N1224,setup!$A$8:$H$58,7), VLOOKUP(0,setup!$A$8:$H$58,2),VLOOKUP(0,setup!$A$8:$H$58,5),VLOOKUP(N1224,setup!$A$8:$H$58,8))</f>
        <v>#VALUE!</v>
      </c>
    </row>
    <row r="1225" spans="1:15" x14ac:dyDescent="0.25">
      <c r="A1225" s="29" t="s">
        <v>757</v>
      </c>
      <c r="N1225">
        <f t="shared" si="30"/>
        <v>22</v>
      </c>
      <c r="O1225" s="7" t="e">
        <f>getCodigoBackend(N1225,A1225,VLOOKUP(N1225,setup!$A$8:$H$58,2),VLOOKUP(N1225,setup!$A$8:$H$58,3),VLOOKUP(N1225,setup!$A$8:$H$58,4),VLOOKUP(N1225,setup!$A$8:$H$58,5),VLOOKUP(N1225,setup!$A$8:$H$58,6),VLOOKUP(N1225,setup!$A$8:$H$58,7), VLOOKUP(0,setup!$A$8:$H$58,2),VLOOKUP(0,setup!$A$8:$H$58,5),VLOOKUP(N1225,setup!$A$8:$H$58,8))</f>
        <v>#VALUE!</v>
      </c>
    </row>
    <row r="1226" spans="1:15" x14ac:dyDescent="0.25">
      <c r="A1226" s="29" t="s">
        <v>20</v>
      </c>
      <c r="N1226">
        <f t="shared" si="30"/>
        <v>22</v>
      </c>
      <c r="O1226" s="7" t="e">
        <f>getCodigoBackend(N1226,A1226,VLOOKUP(N1226,setup!$A$8:$H$58,2),VLOOKUP(N1226,setup!$A$8:$H$58,3),VLOOKUP(N1226,setup!$A$8:$H$58,4),VLOOKUP(N1226,setup!$A$8:$H$58,5),VLOOKUP(N1226,setup!$A$8:$H$58,6),VLOOKUP(N1226,setup!$A$8:$H$58,7), VLOOKUP(0,setup!$A$8:$H$58,2),VLOOKUP(0,setup!$A$8:$H$58,5),VLOOKUP(N1226,setup!$A$8:$H$58,8))</f>
        <v>#VALUE!</v>
      </c>
    </row>
    <row r="1227" spans="1:15" x14ac:dyDescent="0.25">
      <c r="A1227" s="29" t="s">
        <v>75</v>
      </c>
      <c r="N1227">
        <f t="shared" si="30"/>
        <v>22</v>
      </c>
      <c r="O1227" s="7" t="e">
        <f>getCodigoBackend(N1227,A1227,VLOOKUP(N1227,setup!$A$8:$H$58,2),VLOOKUP(N1227,setup!$A$8:$H$58,3),VLOOKUP(N1227,setup!$A$8:$H$58,4),VLOOKUP(N1227,setup!$A$8:$H$58,5),VLOOKUP(N1227,setup!$A$8:$H$58,6),VLOOKUP(N1227,setup!$A$8:$H$58,7), VLOOKUP(0,setup!$A$8:$H$58,2),VLOOKUP(0,setup!$A$8:$H$58,5),VLOOKUP(N1227,setup!$A$8:$H$58,8))</f>
        <v>#VALUE!</v>
      </c>
    </row>
    <row r="1228" spans="1:15" x14ac:dyDescent="0.25">
      <c r="A1228" s="29" t="s">
        <v>21</v>
      </c>
      <c r="N1228">
        <f t="shared" si="30"/>
        <v>22</v>
      </c>
      <c r="O1228" s="7" t="e">
        <f>getCodigoBackend(N1228,A1228,VLOOKUP(N1228,setup!$A$8:$H$58,2),VLOOKUP(N1228,setup!$A$8:$H$58,3),VLOOKUP(N1228,setup!$A$8:$H$58,4),VLOOKUP(N1228,setup!$A$8:$H$58,5),VLOOKUP(N1228,setup!$A$8:$H$58,6),VLOOKUP(N1228,setup!$A$8:$H$58,7), VLOOKUP(0,setup!$A$8:$H$58,2),VLOOKUP(0,setup!$A$8:$H$58,5),VLOOKUP(N1228,setup!$A$8:$H$58,8))</f>
        <v>#VALUE!</v>
      </c>
    </row>
    <row r="1229" spans="1:15" x14ac:dyDescent="0.25">
      <c r="A1229" s="29" t="s">
        <v>784</v>
      </c>
      <c r="N1229">
        <f t="shared" si="30"/>
        <v>22</v>
      </c>
      <c r="O1229" s="7" t="e">
        <f>getCodigoBackend(N1229,A1229,VLOOKUP(N1229,setup!$A$8:$H$58,2),VLOOKUP(N1229,setup!$A$8:$H$58,3),VLOOKUP(N1229,setup!$A$8:$H$58,4),VLOOKUP(N1229,setup!$A$8:$H$58,5),VLOOKUP(N1229,setup!$A$8:$H$58,6),VLOOKUP(N1229,setup!$A$8:$H$58,7), VLOOKUP(0,setup!$A$8:$H$58,2),VLOOKUP(0,setup!$A$8:$H$58,5),VLOOKUP(N1229,setup!$A$8:$H$58,8))</f>
        <v>#VALUE!</v>
      </c>
    </row>
    <row r="1230" spans="1:15" x14ac:dyDescent="0.25">
      <c r="A1230" s="29"/>
      <c r="N1230">
        <f t="shared" si="30"/>
        <v>22</v>
      </c>
      <c r="O1230" s="7" t="e">
        <f>getCodigoBackend(N1230,A1230,VLOOKUP(N1230,setup!$A$8:$H$58,2),VLOOKUP(N1230,setup!$A$8:$H$58,3),VLOOKUP(N1230,setup!$A$8:$H$58,4),VLOOKUP(N1230,setup!$A$8:$H$58,5),VLOOKUP(N1230,setup!$A$8:$H$58,6),VLOOKUP(N1230,setup!$A$8:$H$58,7), VLOOKUP(0,setup!$A$8:$H$58,2),VLOOKUP(0,setup!$A$8:$H$58,5),VLOOKUP(N1230,setup!$A$8:$H$58,8))</f>
        <v>#VALUE!</v>
      </c>
    </row>
    <row r="1231" spans="1:15" x14ac:dyDescent="0.25">
      <c r="A1231" s="29" t="s">
        <v>758</v>
      </c>
      <c r="N1231">
        <f t="shared" si="30"/>
        <v>22</v>
      </c>
      <c r="O1231" s="7" t="e">
        <f>getCodigoBackend(N1231,A1231,VLOOKUP(N1231,setup!$A$8:$H$58,2),VLOOKUP(N1231,setup!$A$8:$H$58,3),VLOOKUP(N1231,setup!$A$8:$H$58,4),VLOOKUP(N1231,setup!$A$8:$H$58,5),VLOOKUP(N1231,setup!$A$8:$H$58,6),VLOOKUP(N1231,setup!$A$8:$H$58,7), VLOOKUP(0,setup!$A$8:$H$58,2),VLOOKUP(0,setup!$A$8:$H$58,5),VLOOKUP(N1231,setup!$A$8:$H$58,8))</f>
        <v>#VALUE!</v>
      </c>
    </row>
    <row r="1232" spans="1:15" x14ac:dyDescent="0.25">
      <c r="A1232" s="29" t="s">
        <v>754</v>
      </c>
      <c r="N1232">
        <f t="shared" si="30"/>
        <v>22</v>
      </c>
      <c r="O1232" s="7" t="e">
        <f>getCodigoBackend(N1232,A1232,VLOOKUP(N1232,setup!$A$8:$H$58,2),VLOOKUP(N1232,setup!$A$8:$H$58,3),VLOOKUP(N1232,setup!$A$8:$H$58,4),VLOOKUP(N1232,setup!$A$8:$H$58,5),VLOOKUP(N1232,setup!$A$8:$H$58,6),VLOOKUP(N1232,setup!$A$8:$H$58,7), VLOOKUP(0,setup!$A$8:$H$58,2),VLOOKUP(0,setup!$A$8:$H$58,5),VLOOKUP(N1232,setup!$A$8:$H$58,8))</f>
        <v>#VALUE!</v>
      </c>
    </row>
    <row r="1233" spans="1:15" x14ac:dyDescent="0.25">
      <c r="A1233" s="29" t="s">
        <v>759</v>
      </c>
      <c r="N1233">
        <f t="shared" si="30"/>
        <v>22</v>
      </c>
      <c r="O1233" s="7" t="e">
        <f>getCodigoBackend(N1233,A1233,VLOOKUP(N1233,setup!$A$8:$H$58,2),VLOOKUP(N1233,setup!$A$8:$H$58,3),VLOOKUP(N1233,setup!$A$8:$H$58,4),VLOOKUP(N1233,setup!$A$8:$H$58,5),VLOOKUP(N1233,setup!$A$8:$H$58,6),VLOOKUP(N1233,setup!$A$8:$H$58,7), VLOOKUP(0,setup!$A$8:$H$58,2),VLOOKUP(0,setup!$A$8:$H$58,5),VLOOKUP(N1233,setup!$A$8:$H$58,8))</f>
        <v>#VALUE!</v>
      </c>
    </row>
    <row r="1234" spans="1:15" x14ac:dyDescent="0.25">
      <c r="A1234" s="29" t="s">
        <v>406</v>
      </c>
      <c r="N1234">
        <f t="shared" si="30"/>
        <v>22</v>
      </c>
      <c r="O1234" s="7" t="e">
        <f>getCodigoBackend(N1234,A1234,VLOOKUP(N1234,setup!$A$8:$H$58,2),VLOOKUP(N1234,setup!$A$8:$H$58,3),VLOOKUP(N1234,setup!$A$8:$H$58,4),VLOOKUP(N1234,setup!$A$8:$H$58,5),VLOOKUP(N1234,setup!$A$8:$H$58,6),VLOOKUP(N1234,setup!$A$8:$H$58,7), VLOOKUP(0,setup!$A$8:$H$58,2),VLOOKUP(0,setup!$A$8:$H$58,5),VLOOKUP(N1234,setup!$A$8:$H$58,8))</f>
        <v>#VALUE!</v>
      </c>
    </row>
    <row r="1235" spans="1:15" x14ac:dyDescent="0.25">
      <c r="O1235" s="7" t="str">
        <f ca="1">getCodigoBackend(N1235,A1235,VLOOKUP(N1235,setup!$A$8:$H$58,2),VLOOKUP(N1235,setup!$A$8:$H$58,3),VLOOKUP(N1235,setup!$A$8:$H$58,4),VLOOKUP(N1235,setup!$A$8:$H$58,5),VLOOKUP(N1235,setup!$A$8:$H$58,6),VLOOKUP(N1235,setup!$A$8:$H$58,7), VLOOKUP(0,setup!$A$8:$H$58,2),VLOOKUP(0,setup!$A$8:$H$58,5),VLOOKUP(N1235,setup!$A$8:$H$58,8))</f>
        <v/>
      </c>
    </row>
    <row r="1236" spans="1:15" x14ac:dyDescent="0.25">
      <c r="A1236" s="29" t="s">
        <v>19</v>
      </c>
      <c r="N1236">
        <f>N1234+1</f>
        <v>23</v>
      </c>
      <c r="O1236" s="7" t="e">
        <f>getCodigoBackend(N1236,A1236,VLOOKUP(N1236,setup!$A$8:$H$58,2),VLOOKUP(N1236,setup!$A$8:$H$58,3),VLOOKUP(N1236,setup!$A$8:$H$58,4),VLOOKUP(N1236,setup!$A$8:$H$58,5),VLOOKUP(N1236,setup!$A$8:$H$58,6),VLOOKUP(N1236,setup!$A$8:$H$58,7), VLOOKUP(0,setup!$A$8:$H$58,2),VLOOKUP(0,setup!$A$8:$H$58,5),VLOOKUP(N1236,setup!$A$8:$H$58,8))</f>
        <v>#VALUE!</v>
      </c>
    </row>
    <row r="1237" spans="1:15" x14ac:dyDescent="0.25">
      <c r="A1237" s="29" t="s">
        <v>20</v>
      </c>
      <c r="N1237">
        <f>N1236</f>
        <v>23</v>
      </c>
      <c r="O1237" s="7" t="e">
        <f>getCodigoBackend(N1237,A1237,VLOOKUP(N1237,setup!$A$8:$H$58,2),VLOOKUP(N1237,setup!$A$8:$H$58,3),VLOOKUP(N1237,setup!$A$8:$H$58,4),VLOOKUP(N1237,setup!$A$8:$H$58,5),VLOOKUP(N1237,setup!$A$8:$H$58,6),VLOOKUP(N1237,setup!$A$8:$H$58,7), VLOOKUP(0,setup!$A$8:$H$58,2),VLOOKUP(0,setup!$A$8:$H$58,5),VLOOKUP(N1237,setup!$A$8:$H$58,8))</f>
        <v>#VALUE!</v>
      </c>
    </row>
    <row r="1238" spans="1:15" x14ac:dyDescent="0.25">
      <c r="A1238" s="29" t="s">
        <v>716</v>
      </c>
      <c r="N1238">
        <f t="shared" ref="N1238:N1251" si="31">N1237</f>
        <v>23</v>
      </c>
      <c r="O1238" s="7" t="e">
        <f>getCodigoBackend(N1238,A1238,VLOOKUP(N1238,setup!$A$8:$H$58,2),VLOOKUP(N1238,setup!$A$8:$H$58,3),VLOOKUP(N1238,setup!$A$8:$H$58,4),VLOOKUP(N1238,setup!$A$8:$H$58,5),VLOOKUP(N1238,setup!$A$8:$H$58,6),VLOOKUP(N1238,setup!$A$8:$H$58,7), VLOOKUP(0,setup!$A$8:$H$58,2),VLOOKUP(0,setup!$A$8:$H$58,5),VLOOKUP(N1238,setup!$A$8:$H$58,8))</f>
        <v>#VALUE!</v>
      </c>
    </row>
    <row r="1239" spans="1:15" x14ac:dyDescent="0.25">
      <c r="A1239" s="29" t="s">
        <v>717</v>
      </c>
      <c r="N1239">
        <f t="shared" si="31"/>
        <v>23</v>
      </c>
      <c r="O1239" s="7" t="e">
        <f>getCodigoBackend(N1239,A1239,VLOOKUP(N1239,setup!$A$8:$H$58,2),VLOOKUP(N1239,setup!$A$8:$H$58,3),VLOOKUP(N1239,setup!$A$8:$H$58,4),VLOOKUP(N1239,setup!$A$8:$H$58,5),VLOOKUP(N1239,setup!$A$8:$H$58,6),VLOOKUP(N1239,setup!$A$8:$H$58,7), VLOOKUP(0,setup!$A$8:$H$58,2),VLOOKUP(0,setup!$A$8:$H$58,5),VLOOKUP(N1239,setup!$A$8:$H$58,8))</f>
        <v>#VALUE!</v>
      </c>
    </row>
    <row r="1240" spans="1:15" x14ac:dyDescent="0.25">
      <c r="A1240" s="29" t="s">
        <v>20</v>
      </c>
      <c r="N1240">
        <f t="shared" si="31"/>
        <v>23</v>
      </c>
      <c r="O1240" s="7" t="e">
        <f>getCodigoBackend(N1240,A1240,VLOOKUP(N1240,setup!$A$8:$H$58,2),VLOOKUP(N1240,setup!$A$8:$H$58,3),VLOOKUP(N1240,setup!$A$8:$H$58,4),VLOOKUP(N1240,setup!$A$8:$H$58,5),VLOOKUP(N1240,setup!$A$8:$H$58,6),VLOOKUP(N1240,setup!$A$8:$H$58,7), VLOOKUP(0,setup!$A$8:$H$58,2),VLOOKUP(0,setup!$A$8:$H$58,5),VLOOKUP(N1240,setup!$A$8:$H$58,8))</f>
        <v>#VALUE!</v>
      </c>
    </row>
    <row r="1241" spans="1:15" x14ac:dyDescent="0.25">
      <c r="A1241" s="29" t="s">
        <v>756</v>
      </c>
      <c r="N1241">
        <f t="shared" si="31"/>
        <v>23</v>
      </c>
      <c r="O1241" s="7" t="e">
        <f>getCodigoBackend(N1241,A1241,VLOOKUP(N1241,setup!$A$8:$H$58,2),VLOOKUP(N1241,setup!$A$8:$H$58,3),VLOOKUP(N1241,setup!$A$8:$H$58,4),VLOOKUP(N1241,setup!$A$8:$H$58,5),VLOOKUP(N1241,setup!$A$8:$H$58,6),VLOOKUP(N1241,setup!$A$8:$H$58,7), VLOOKUP(0,setup!$A$8:$H$58,2),VLOOKUP(0,setup!$A$8:$H$58,5),VLOOKUP(N1241,setup!$A$8:$H$58,8))</f>
        <v>#VALUE!</v>
      </c>
    </row>
    <row r="1242" spans="1:15" x14ac:dyDescent="0.25">
      <c r="A1242" s="29" t="s">
        <v>757</v>
      </c>
      <c r="N1242">
        <f t="shared" si="31"/>
        <v>23</v>
      </c>
      <c r="O1242" s="7" t="e">
        <f>getCodigoBackend(N1242,A1242,VLOOKUP(N1242,setup!$A$8:$H$58,2),VLOOKUP(N1242,setup!$A$8:$H$58,3),VLOOKUP(N1242,setup!$A$8:$H$58,4),VLOOKUP(N1242,setup!$A$8:$H$58,5),VLOOKUP(N1242,setup!$A$8:$H$58,6),VLOOKUP(N1242,setup!$A$8:$H$58,7), VLOOKUP(0,setup!$A$8:$H$58,2),VLOOKUP(0,setup!$A$8:$H$58,5),VLOOKUP(N1242,setup!$A$8:$H$58,8))</f>
        <v>#VALUE!</v>
      </c>
    </row>
    <row r="1243" spans="1:15" x14ac:dyDescent="0.25">
      <c r="A1243" s="29" t="s">
        <v>20</v>
      </c>
      <c r="N1243">
        <f t="shared" si="31"/>
        <v>23</v>
      </c>
      <c r="O1243" s="7" t="e">
        <f>getCodigoBackend(N1243,A1243,VLOOKUP(N1243,setup!$A$8:$H$58,2),VLOOKUP(N1243,setup!$A$8:$H$58,3),VLOOKUP(N1243,setup!$A$8:$H$58,4),VLOOKUP(N1243,setup!$A$8:$H$58,5),VLOOKUP(N1243,setup!$A$8:$H$58,6),VLOOKUP(N1243,setup!$A$8:$H$58,7), VLOOKUP(0,setup!$A$8:$H$58,2),VLOOKUP(0,setup!$A$8:$H$58,5),VLOOKUP(N1243,setup!$A$8:$H$58,8))</f>
        <v>#VALUE!</v>
      </c>
    </row>
    <row r="1244" spans="1:15" x14ac:dyDescent="0.25">
      <c r="A1244" s="29" t="s">
        <v>75</v>
      </c>
      <c r="N1244">
        <f t="shared" si="31"/>
        <v>23</v>
      </c>
      <c r="O1244" s="7" t="e">
        <f>getCodigoBackend(N1244,A1244,VLOOKUP(N1244,setup!$A$8:$H$58,2),VLOOKUP(N1244,setup!$A$8:$H$58,3),VLOOKUP(N1244,setup!$A$8:$H$58,4),VLOOKUP(N1244,setup!$A$8:$H$58,5),VLOOKUP(N1244,setup!$A$8:$H$58,6),VLOOKUP(N1244,setup!$A$8:$H$58,7), VLOOKUP(0,setup!$A$8:$H$58,2),VLOOKUP(0,setup!$A$8:$H$58,5),VLOOKUP(N1244,setup!$A$8:$H$58,8))</f>
        <v>#VALUE!</v>
      </c>
    </row>
    <row r="1245" spans="1:15" x14ac:dyDescent="0.25">
      <c r="A1245" s="29" t="s">
        <v>21</v>
      </c>
      <c r="N1245">
        <f t="shared" si="31"/>
        <v>23</v>
      </c>
      <c r="O1245" s="7" t="e">
        <f>getCodigoBackend(N1245,A1245,VLOOKUP(N1245,setup!$A$8:$H$58,2),VLOOKUP(N1245,setup!$A$8:$H$58,3),VLOOKUP(N1245,setup!$A$8:$H$58,4),VLOOKUP(N1245,setup!$A$8:$H$58,5),VLOOKUP(N1245,setup!$A$8:$H$58,6),VLOOKUP(N1245,setup!$A$8:$H$58,7), VLOOKUP(0,setup!$A$8:$H$58,2),VLOOKUP(0,setup!$A$8:$H$58,5),VLOOKUP(N1245,setup!$A$8:$H$58,8))</f>
        <v>#VALUE!</v>
      </c>
    </row>
    <row r="1246" spans="1:15" x14ac:dyDescent="0.25">
      <c r="A1246" s="29" t="s">
        <v>784</v>
      </c>
      <c r="N1246">
        <f t="shared" si="31"/>
        <v>23</v>
      </c>
      <c r="O1246" s="7" t="e">
        <f>getCodigoBackend(N1246,A1246,VLOOKUP(N1246,setup!$A$8:$H$58,2),VLOOKUP(N1246,setup!$A$8:$H$58,3),VLOOKUP(N1246,setup!$A$8:$H$58,4),VLOOKUP(N1246,setup!$A$8:$H$58,5),VLOOKUP(N1246,setup!$A$8:$H$58,6),VLOOKUP(N1246,setup!$A$8:$H$58,7), VLOOKUP(0,setup!$A$8:$H$58,2),VLOOKUP(0,setup!$A$8:$H$58,5),VLOOKUP(N1246,setup!$A$8:$H$58,8))</f>
        <v>#VALUE!</v>
      </c>
    </row>
    <row r="1247" spans="1:15" x14ac:dyDescent="0.25">
      <c r="A1247" s="29"/>
      <c r="N1247">
        <f t="shared" si="31"/>
        <v>23</v>
      </c>
      <c r="O1247" s="7" t="e">
        <f>getCodigoBackend(N1247,A1247,VLOOKUP(N1247,setup!$A$8:$H$58,2),VLOOKUP(N1247,setup!$A$8:$H$58,3),VLOOKUP(N1247,setup!$A$8:$H$58,4),VLOOKUP(N1247,setup!$A$8:$H$58,5),VLOOKUP(N1247,setup!$A$8:$H$58,6),VLOOKUP(N1247,setup!$A$8:$H$58,7), VLOOKUP(0,setup!$A$8:$H$58,2),VLOOKUP(0,setup!$A$8:$H$58,5),VLOOKUP(N1247,setup!$A$8:$H$58,8))</f>
        <v>#VALUE!</v>
      </c>
    </row>
    <row r="1248" spans="1:15" x14ac:dyDescent="0.25">
      <c r="A1248" s="29" t="s">
        <v>758</v>
      </c>
      <c r="N1248">
        <f t="shared" si="31"/>
        <v>23</v>
      </c>
      <c r="O1248" s="7" t="e">
        <f>getCodigoBackend(N1248,A1248,VLOOKUP(N1248,setup!$A$8:$H$58,2),VLOOKUP(N1248,setup!$A$8:$H$58,3),VLOOKUP(N1248,setup!$A$8:$H$58,4),VLOOKUP(N1248,setup!$A$8:$H$58,5),VLOOKUP(N1248,setup!$A$8:$H$58,6),VLOOKUP(N1248,setup!$A$8:$H$58,7), VLOOKUP(0,setup!$A$8:$H$58,2),VLOOKUP(0,setup!$A$8:$H$58,5),VLOOKUP(N1248,setup!$A$8:$H$58,8))</f>
        <v>#VALUE!</v>
      </c>
    </row>
    <row r="1249" spans="1:15" x14ac:dyDescent="0.25">
      <c r="A1249" s="29" t="s">
        <v>754</v>
      </c>
      <c r="N1249">
        <f t="shared" si="31"/>
        <v>23</v>
      </c>
      <c r="O1249" s="7" t="e">
        <f>getCodigoBackend(N1249,A1249,VLOOKUP(N1249,setup!$A$8:$H$58,2),VLOOKUP(N1249,setup!$A$8:$H$58,3),VLOOKUP(N1249,setup!$A$8:$H$58,4),VLOOKUP(N1249,setup!$A$8:$H$58,5),VLOOKUP(N1249,setup!$A$8:$H$58,6),VLOOKUP(N1249,setup!$A$8:$H$58,7), VLOOKUP(0,setup!$A$8:$H$58,2),VLOOKUP(0,setup!$A$8:$H$58,5),VLOOKUP(N1249,setup!$A$8:$H$58,8))</f>
        <v>#VALUE!</v>
      </c>
    </row>
    <row r="1250" spans="1:15" x14ac:dyDescent="0.25">
      <c r="A1250" s="29" t="s">
        <v>759</v>
      </c>
      <c r="N1250">
        <f t="shared" si="31"/>
        <v>23</v>
      </c>
      <c r="O1250" s="7" t="e">
        <f>getCodigoBackend(N1250,A1250,VLOOKUP(N1250,setup!$A$8:$H$58,2),VLOOKUP(N1250,setup!$A$8:$H$58,3),VLOOKUP(N1250,setup!$A$8:$H$58,4),VLOOKUP(N1250,setup!$A$8:$H$58,5),VLOOKUP(N1250,setup!$A$8:$H$58,6),VLOOKUP(N1250,setup!$A$8:$H$58,7), VLOOKUP(0,setup!$A$8:$H$58,2),VLOOKUP(0,setup!$A$8:$H$58,5),VLOOKUP(N1250,setup!$A$8:$H$58,8))</f>
        <v>#VALUE!</v>
      </c>
    </row>
    <row r="1251" spans="1:15" x14ac:dyDescent="0.25">
      <c r="A1251" s="29" t="s">
        <v>406</v>
      </c>
      <c r="N1251">
        <f t="shared" si="31"/>
        <v>23</v>
      </c>
      <c r="O1251" s="7" t="e">
        <f>getCodigoBackend(N1251,A1251,VLOOKUP(N1251,setup!$A$8:$H$58,2),VLOOKUP(N1251,setup!$A$8:$H$58,3),VLOOKUP(N1251,setup!$A$8:$H$58,4),VLOOKUP(N1251,setup!$A$8:$H$58,5),VLOOKUP(N1251,setup!$A$8:$H$58,6),VLOOKUP(N1251,setup!$A$8:$H$58,7), VLOOKUP(0,setup!$A$8:$H$58,2),VLOOKUP(0,setup!$A$8:$H$58,5),VLOOKUP(N1251,setup!$A$8:$H$58,8))</f>
        <v>#VALUE!</v>
      </c>
    </row>
    <row r="1252" spans="1:15" x14ac:dyDescent="0.25">
      <c r="O1252" s="7" t="str">
        <f ca="1">getCodigoBackend(N1252,A1252,VLOOKUP(N1252,setup!$A$8:$H$58,2),VLOOKUP(N1252,setup!$A$8:$H$58,3),VLOOKUP(N1252,setup!$A$8:$H$58,4),VLOOKUP(N1252,setup!$A$8:$H$58,5),VLOOKUP(N1252,setup!$A$8:$H$58,6),VLOOKUP(N1252,setup!$A$8:$H$58,7), VLOOKUP(0,setup!$A$8:$H$58,2),VLOOKUP(0,setup!$A$8:$H$58,5),VLOOKUP(N1252,setup!$A$8:$H$58,8))</f>
        <v/>
      </c>
    </row>
    <row r="1253" spans="1:15" x14ac:dyDescent="0.25">
      <c r="A1253" s="29" t="s">
        <v>19</v>
      </c>
      <c r="N1253">
        <f>N1251+1</f>
        <v>24</v>
      </c>
      <c r="O1253" s="7" t="e">
        <f>getCodigoBackend(N1253,A1253,VLOOKUP(N1253,setup!$A$8:$H$58,2),VLOOKUP(N1253,setup!$A$8:$H$58,3),VLOOKUP(N1253,setup!$A$8:$H$58,4),VLOOKUP(N1253,setup!$A$8:$H$58,5),VLOOKUP(N1253,setup!$A$8:$H$58,6),VLOOKUP(N1253,setup!$A$8:$H$58,7), VLOOKUP(0,setup!$A$8:$H$58,2),VLOOKUP(0,setup!$A$8:$H$58,5),VLOOKUP(N1253,setup!$A$8:$H$58,8))</f>
        <v>#VALUE!</v>
      </c>
    </row>
    <row r="1254" spans="1:15" x14ac:dyDescent="0.25">
      <c r="A1254" s="29" t="s">
        <v>20</v>
      </c>
      <c r="N1254">
        <f>N1253</f>
        <v>24</v>
      </c>
      <c r="O1254" s="7" t="e">
        <f>getCodigoBackend(N1254,A1254,VLOOKUP(N1254,setup!$A$8:$H$58,2),VLOOKUP(N1254,setup!$A$8:$H$58,3),VLOOKUP(N1254,setup!$A$8:$H$58,4),VLOOKUP(N1254,setup!$A$8:$H$58,5),VLOOKUP(N1254,setup!$A$8:$H$58,6),VLOOKUP(N1254,setup!$A$8:$H$58,7), VLOOKUP(0,setup!$A$8:$H$58,2),VLOOKUP(0,setup!$A$8:$H$58,5),VLOOKUP(N1254,setup!$A$8:$H$58,8))</f>
        <v>#VALUE!</v>
      </c>
    </row>
    <row r="1255" spans="1:15" x14ac:dyDescent="0.25">
      <c r="A1255" s="29" t="s">
        <v>716</v>
      </c>
      <c r="N1255">
        <f t="shared" ref="N1255:N1268" si="32">N1254</f>
        <v>24</v>
      </c>
      <c r="O1255" s="7" t="e">
        <f>getCodigoBackend(N1255,A1255,VLOOKUP(N1255,setup!$A$8:$H$58,2),VLOOKUP(N1255,setup!$A$8:$H$58,3),VLOOKUP(N1255,setup!$A$8:$H$58,4),VLOOKUP(N1255,setup!$A$8:$H$58,5),VLOOKUP(N1255,setup!$A$8:$H$58,6),VLOOKUP(N1255,setup!$A$8:$H$58,7), VLOOKUP(0,setup!$A$8:$H$58,2),VLOOKUP(0,setup!$A$8:$H$58,5),VLOOKUP(N1255,setup!$A$8:$H$58,8))</f>
        <v>#VALUE!</v>
      </c>
    </row>
    <row r="1256" spans="1:15" x14ac:dyDescent="0.25">
      <c r="A1256" s="29" t="s">
        <v>717</v>
      </c>
      <c r="N1256">
        <f t="shared" si="32"/>
        <v>24</v>
      </c>
      <c r="O1256" s="7" t="e">
        <f>getCodigoBackend(N1256,A1256,VLOOKUP(N1256,setup!$A$8:$H$58,2),VLOOKUP(N1256,setup!$A$8:$H$58,3),VLOOKUP(N1256,setup!$A$8:$H$58,4),VLOOKUP(N1256,setup!$A$8:$H$58,5),VLOOKUP(N1256,setup!$A$8:$H$58,6),VLOOKUP(N1256,setup!$A$8:$H$58,7), VLOOKUP(0,setup!$A$8:$H$58,2),VLOOKUP(0,setup!$A$8:$H$58,5),VLOOKUP(N1256,setup!$A$8:$H$58,8))</f>
        <v>#VALUE!</v>
      </c>
    </row>
    <row r="1257" spans="1:15" x14ac:dyDescent="0.25">
      <c r="A1257" s="29" t="s">
        <v>20</v>
      </c>
      <c r="N1257">
        <f t="shared" si="32"/>
        <v>24</v>
      </c>
      <c r="O1257" s="7" t="e">
        <f>getCodigoBackend(N1257,A1257,VLOOKUP(N1257,setup!$A$8:$H$58,2),VLOOKUP(N1257,setup!$A$8:$H$58,3),VLOOKUP(N1257,setup!$A$8:$H$58,4),VLOOKUP(N1257,setup!$A$8:$H$58,5),VLOOKUP(N1257,setup!$A$8:$H$58,6),VLOOKUP(N1257,setup!$A$8:$H$58,7), VLOOKUP(0,setup!$A$8:$H$58,2),VLOOKUP(0,setup!$A$8:$H$58,5),VLOOKUP(N1257,setup!$A$8:$H$58,8))</f>
        <v>#VALUE!</v>
      </c>
    </row>
    <row r="1258" spans="1:15" x14ac:dyDescent="0.25">
      <c r="A1258" s="29" t="s">
        <v>756</v>
      </c>
      <c r="N1258">
        <f t="shared" si="32"/>
        <v>24</v>
      </c>
      <c r="O1258" s="7" t="e">
        <f>getCodigoBackend(N1258,A1258,VLOOKUP(N1258,setup!$A$8:$H$58,2),VLOOKUP(N1258,setup!$A$8:$H$58,3),VLOOKUP(N1258,setup!$A$8:$H$58,4),VLOOKUP(N1258,setup!$A$8:$H$58,5),VLOOKUP(N1258,setup!$A$8:$H$58,6),VLOOKUP(N1258,setup!$A$8:$H$58,7), VLOOKUP(0,setup!$A$8:$H$58,2),VLOOKUP(0,setup!$A$8:$H$58,5),VLOOKUP(N1258,setup!$A$8:$H$58,8))</f>
        <v>#VALUE!</v>
      </c>
    </row>
    <row r="1259" spans="1:15" x14ac:dyDescent="0.25">
      <c r="A1259" s="29" t="s">
        <v>757</v>
      </c>
      <c r="N1259">
        <f t="shared" si="32"/>
        <v>24</v>
      </c>
      <c r="O1259" s="7" t="e">
        <f>getCodigoBackend(N1259,A1259,VLOOKUP(N1259,setup!$A$8:$H$58,2),VLOOKUP(N1259,setup!$A$8:$H$58,3),VLOOKUP(N1259,setup!$A$8:$H$58,4),VLOOKUP(N1259,setup!$A$8:$H$58,5),VLOOKUP(N1259,setup!$A$8:$H$58,6),VLOOKUP(N1259,setup!$A$8:$H$58,7), VLOOKUP(0,setup!$A$8:$H$58,2),VLOOKUP(0,setup!$A$8:$H$58,5),VLOOKUP(N1259,setup!$A$8:$H$58,8))</f>
        <v>#VALUE!</v>
      </c>
    </row>
    <row r="1260" spans="1:15" x14ac:dyDescent="0.25">
      <c r="A1260" s="29" t="s">
        <v>20</v>
      </c>
      <c r="N1260">
        <f t="shared" si="32"/>
        <v>24</v>
      </c>
      <c r="O1260" s="7" t="e">
        <f>getCodigoBackend(N1260,A1260,VLOOKUP(N1260,setup!$A$8:$H$58,2),VLOOKUP(N1260,setup!$A$8:$H$58,3),VLOOKUP(N1260,setup!$A$8:$H$58,4),VLOOKUP(N1260,setup!$A$8:$H$58,5),VLOOKUP(N1260,setup!$A$8:$H$58,6),VLOOKUP(N1260,setup!$A$8:$H$58,7), VLOOKUP(0,setup!$A$8:$H$58,2),VLOOKUP(0,setup!$A$8:$H$58,5),VLOOKUP(N1260,setup!$A$8:$H$58,8))</f>
        <v>#VALUE!</v>
      </c>
    </row>
    <row r="1261" spans="1:15" x14ac:dyDescent="0.25">
      <c r="A1261" s="29" t="s">
        <v>75</v>
      </c>
      <c r="N1261">
        <f t="shared" si="32"/>
        <v>24</v>
      </c>
      <c r="O1261" s="7" t="e">
        <f>getCodigoBackend(N1261,A1261,VLOOKUP(N1261,setup!$A$8:$H$58,2),VLOOKUP(N1261,setup!$A$8:$H$58,3),VLOOKUP(N1261,setup!$A$8:$H$58,4),VLOOKUP(N1261,setup!$A$8:$H$58,5),VLOOKUP(N1261,setup!$A$8:$H$58,6),VLOOKUP(N1261,setup!$A$8:$H$58,7), VLOOKUP(0,setup!$A$8:$H$58,2),VLOOKUP(0,setup!$A$8:$H$58,5),VLOOKUP(N1261,setup!$A$8:$H$58,8))</f>
        <v>#VALUE!</v>
      </c>
    </row>
    <row r="1262" spans="1:15" x14ac:dyDescent="0.25">
      <c r="A1262" s="29" t="s">
        <v>21</v>
      </c>
      <c r="N1262">
        <f t="shared" si="32"/>
        <v>24</v>
      </c>
      <c r="O1262" s="7" t="e">
        <f>getCodigoBackend(N1262,A1262,VLOOKUP(N1262,setup!$A$8:$H$58,2),VLOOKUP(N1262,setup!$A$8:$H$58,3),VLOOKUP(N1262,setup!$A$8:$H$58,4),VLOOKUP(N1262,setup!$A$8:$H$58,5),VLOOKUP(N1262,setup!$A$8:$H$58,6),VLOOKUP(N1262,setup!$A$8:$H$58,7), VLOOKUP(0,setup!$A$8:$H$58,2),VLOOKUP(0,setup!$A$8:$H$58,5),VLOOKUP(N1262,setup!$A$8:$H$58,8))</f>
        <v>#VALUE!</v>
      </c>
    </row>
    <row r="1263" spans="1:15" x14ac:dyDescent="0.25">
      <c r="A1263" s="29" t="s">
        <v>784</v>
      </c>
      <c r="N1263">
        <f t="shared" si="32"/>
        <v>24</v>
      </c>
      <c r="O1263" s="7" t="e">
        <f>getCodigoBackend(N1263,A1263,VLOOKUP(N1263,setup!$A$8:$H$58,2),VLOOKUP(N1263,setup!$A$8:$H$58,3),VLOOKUP(N1263,setup!$A$8:$H$58,4),VLOOKUP(N1263,setup!$A$8:$H$58,5),VLOOKUP(N1263,setup!$A$8:$H$58,6),VLOOKUP(N1263,setup!$A$8:$H$58,7), VLOOKUP(0,setup!$A$8:$H$58,2),VLOOKUP(0,setup!$A$8:$H$58,5),VLOOKUP(N1263,setup!$A$8:$H$58,8))</f>
        <v>#VALUE!</v>
      </c>
    </row>
    <row r="1264" spans="1:15" x14ac:dyDescent="0.25">
      <c r="A1264" s="29"/>
      <c r="N1264">
        <f t="shared" si="32"/>
        <v>24</v>
      </c>
      <c r="O1264" s="7" t="e">
        <f>getCodigoBackend(N1264,A1264,VLOOKUP(N1264,setup!$A$8:$H$58,2),VLOOKUP(N1264,setup!$A$8:$H$58,3),VLOOKUP(N1264,setup!$A$8:$H$58,4),VLOOKUP(N1264,setup!$A$8:$H$58,5),VLOOKUP(N1264,setup!$A$8:$H$58,6),VLOOKUP(N1264,setup!$A$8:$H$58,7), VLOOKUP(0,setup!$A$8:$H$58,2),VLOOKUP(0,setup!$A$8:$H$58,5),VLOOKUP(N1264,setup!$A$8:$H$58,8))</f>
        <v>#VALUE!</v>
      </c>
    </row>
    <row r="1265" spans="1:15" x14ac:dyDescent="0.25">
      <c r="A1265" s="29" t="s">
        <v>758</v>
      </c>
      <c r="N1265">
        <f t="shared" si="32"/>
        <v>24</v>
      </c>
      <c r="O1265" s="7" t="e">
        <f>getCodigoBackend(N1265,A1265,VLOOKUP(N1265,setup!$A$8:$H$58,2),VLOOKUP(N1265,setup!$A$8:$H$58,3),VLOOKUP(N1265,setup!$A$8:$H$58,4),VLOOKUP(N1265,setup!$A$8:$H$58,5),VLOOKUP(N1265,setup!$A$8:$H$58,6),VLOOKUP(N1265,setup!$A$8:$H$58,7), VLOOKUP(0,setup!$A$8:$H$58,2),VLOOKUP(0,setup!$A$8:$H$58,5),VLOOKUP(N1265,setup!$A$8:$H$58,8))</f>
        <v>#VALUE!</v>
      </c>
    </row>
    <row r="1266" spans="1:15" x14ac:dyDescent="0.25">
      <c r="A1266" s="29" t="s">
        <v>754</v>
      </c>
      <c r="N1266">
        <f t="shared" si="32"/>
        <v>24</v>
      </c>
      <c r="O1266" s="7" t="e">
        <f>getCodigoBackend(N1266,A1266,VLOOKUP(N1266,setup!$A$8:$H$58,2),VLOOKUP(N1266,setup!$A$8:$H$58,3),VLOOKUP(N1266,setup!$A$8:$H$58,4),VLOOKUP(N1266,setup!$A$8:$H$58,5),VLOOKUP(N1266,setup!$A$8:$H$58,6),VLOOKUP(N1266,setup!$A$8:$H$58,7), VLOOKUP(0,setup!$A$8:$H$58,2),VLOOKUP(0,setup!$A$8:$H$58,5),VLOOKUP(N1266,setup!$A$8:$H$58,8))</f>
        <v>#VALUE!</v>
      </c>
    </row>
    <row r="1267" spans="1:15" x14ac:dyDescent="0.25">
      <c r="A1267" s="29" t="s">
        <v>759</v>
      </c>
      <c r="N1267">
        <f t="shared" si="32"/>
        <v>24</v>
      </c>
      <c r="O1267" s="7" t="e">
        <f>getCodigoBackend(N1267,A1267,VLOOKUP(N1267,setup!$A$8:$H$58,2),VLOOKUP(N1267,setup!$A$8:$H$58,3),VLOOKUP(N1267,setup!$A$8:$H$58,4),VLOOKUP(N1267,setup!$A$8:$H$58,5),VLOOKUP(N1267,setup!$A$8:$H$58,6),VLOOKUP(N1267,setup!$A$8:$H$58,7), VLOOKUP(0,setup!$A$8:$H$58,2),VLOOKUP(0,setup!$A$8:$H$58,5),VLOOKUP(N1267,setup!$A$8:$H$58,8))</f>
        <v>#VALUE!</v>
      </c>
    </row>
    <row r="1268" spans="1:15" x14ac:dyDescent="0.25">
      <c r="A1268" s="29" t="s">
        <v>406</v>
      </c>
      <c r="N1268">
        <f t="shared" si="32"/>
        <v>24</v>
      </c>
      <c r="O1268" s="7" t="e">
        <f>getCodigoBackend(N1268,A1268,VLOOKUP(N1268,setup!$A$8:$H$58,2),VLOOKUP(N1268,setup!$A$8:$H$58,3),VLOOKUP(N1268,setup!$A$8:$H$58,4),VLOOKUP(N1268,setup!$A$8:$H$58,5),VLOOKUP(N1268,setup!$A$8:$H$58,6),VLOOKUP(N1268,setup!$A$8:$H$58,7), VLOOKUP(0,setup!$A$8:$H$58,2),VLOOKUP(0,setup!$A$8:$H$58,5),VLOOKUP(N1268,setup!$A$8:$H$58,8))</f>
        <v>#VALUE!</v>
      </c>
    </row>
    <row r="1269" spans="1:15" x14ac:dyDescent="0.25">
      <c r="O1269" s="7" t="str">
        <f ca="1">getCodigoBackend(N1269,A1269,VLOOKUP(N1269,setup!$A$8:$H$58,2),VLOOKUP(N1269,setup!$A$8:$H$58,3),VLOOKUP(N1269,setup!$A$8:$H$58,4),VLOOKUP(N1269,setup!$A$8:$H$58,5),VLOOKUP(N1269,setup!$A$8:$H$58,6),VLOOKUP(N1269,setup!$A$8:$H$58,7), VLOOKUP(0,setup!$A$8:$H$58,2),VLOOKUP(0,setup!$A$8:$H$58,5),VLOOKUP(N1269,setup!$A$8:$H$58,8))</f>
        <v/>
      </c>
    </row>
    <row r="1270" spans="1:15" x14ac:dyDescent="0.25">
      <c r="A1270" s="29" t="s">
        <v>19</v>
      </c>
      <c r="N1270">
        <f>N1268+1</f>
        <v>25</v>
      </c>
      <c r="O1270" s="7" t="e">
        <f>getCodigoBackend(N1270,A1270,VLOOKUP(N1270,setup!$A$8:$H$58,2),VLOOKUP(N1270,setup!$A$8:$H$58,3),VLOOKUP(N1270,setup!$A$8:$H$58,4),VLOOKUP(N1270,setup!$A$8:$H$58,5),VLOOKUP(N1270,setup!$A$8:$H$58,6),VLOOKUP(N1270,setup!$A$8:$H$58,7), VLOOKUP(0,setup!$A$8:$H$58,2),VLOOKUP(0,setup!$A$8:$H$58,5),VLOOKUP(N1270,setup!$A$8:$H$58,8))</f>
        <v>#VALUE!</v>
      </c>
    </row>
    <row r="1271" spans="1:15" x14ac:dyDescent="0.25">
      <c r="A1271" s="29" t="s">
        <v>20</v>
      </c>
      <c r="N1271">
        <f>N1270</f>
        <v>25</v>
      </c>
      <c r="O1271" s="7" t="e">
        <f>getCodigoBackend(N1271,A1271,VLOOKUP(N1271,setup!$A$8:$H$58,2),VLOOKUP(N1271,setup!$A$8:$H$58,3),VLOOKUP(N1271,setup!$A$8:$H$58,4),VLOOKUP(N1271,setup!$A$8:$H$58,5),VLOOKUP(N1271,setup!$A$8:$H$58,6),VLOOKUP(N1271,setup!$A$8:$H$58,7), VLOOKUP(0,setup!$A$8:$H$58,2),VLOOKUP(0,setup!$A$8:$H$58,5),VLOOKUP(N1271,setup!$A$8:$H$58,8))</f>
        <v>#VALUE!</v>
      </c>
    </row>
    <row r="1272" spans="1:15" x14ac:dyDescent="0.25">
      <c r="A1272" s="29" t="s">
        <v>716</v>
      </c>
      <c r="N1272">
        <f t="shared" ref="N1272:N1285" si="33">N1271</f>
        <v>25</v>
      </c>
      <c r="O1272" s="7" t="e">
        <f>getCodigoBackend(N1272,A1272,VLOOKUP(N1272,setup!$A$8:$H$58,2),VLOOKUP(N1272,setup!$A$8:$H$58,3),VLOOKUP(N1272,setup!$A$8:$H$58,4),VLOOKUP(N1272,setup!$A$8:$H$58,5),VLOOKUP(N1272,setup!$A$8:$H$58,6),VLOOKUP(N1272,setup!$A$8:$H$58,7), VLOOKUP(0,setup!$A$8:$H$58,2),VLOOKUP(0,setup!$A$8:$H$58,5),VLOOKUP(N1272,setup!$A$8:$H$58,8))</f>
        <v>#VALUE!</v>
      </c>
    </row>
    <row r="1273" spans="1:15" x14ac:dyDescent="0.25">
      <c r="A1273" s="29" t="s">
        <v>717</v>
      </c>
      <c r="N1273">
        <f t="shared" si="33"/>
        <v>25</v>
      </c>
      <c r="O1273" s="7" t="e">
        <f>getCodigoBackend(N1273,A1273,VLOOKUP(N1273,setup!$A$8:$H$58,2),VLOOKUP(N1273,setup!$A$8:$H$58,3),VLOOKUP(N1273,setup!$A$8:$H$58,4),VLOOKUP(N1273,setup!$A$8:$H$58,5),VLOOKUP(N1273,setup!$A$8:$H$58,6),VLOOKUP(N1273,setup!$A$8:$H$58,7), VLOOKUP(0,setup!$A$8:$H$58,2),VLOOKUP(0,setup!$A$8:$H$58,5),VLOOKUP(N1273,setup!$A$8:$H$58,8))</f>
        <v>#VALUE!</v>
      </c>
    </row>
    <row r="1274" spans="1:15" x14ac:dyDescent="0.25">
      <c r="A1274" s="29" t="s">
        <v>20</v>
      </c>
      <c r="N1274">
        <f t="shared" si="33"/>
        <v>25</v>
      </c>
      <c r="O1274" s="7" t="e">
        <f>getCodigoBackend(N1274,A1274,VLOOKUP(N1274,setup!$A$8:$H$58,2),VLOOKUP(N1274,setup!$A$8:$H$58,3),VLOOKUP(N1274,setup!$A$8:$H$58,4),VLOOKUP(N1274,setup!$A$8:$H$58,5),VLOOKUP(N1274,setup!$A$8:$H$58,6),VLOOKUP(N1274,setup!$A$8:$H$58,7), VLOOKUP(0,setup!$A$8:$H$58,2),VLOOKUP(0,setup!$A$8:$H$58,5),VLOOKUP(N1274,setup!$A$8:$H$58,8))</f>
        <v>#VALUE!</v>
      </c>
    </row>
    <row r="1275" spans="1:15" x14ac:dyDescent="0.25">
      <c r="A1275" s="29" t="s">
        <v>756</v>
      </c>
      <c r="N1275">
        <f t="shared" si="33"/>
        <v>25</v>
      </c>
      <c r="O1275" s="7" t="e">
        <f>getCodigoBackend(N1275,A1275,VLOOKUP(N1275,setup!$A$8:$H$58,2),VLOOKUP(N1275,setup!$A$8:$H$58,3),VLOOKUP(N1275,setup!$A$8:$H$58,4),VLOOKUP(N1275,setup!$A$8:$H$58,5),VLOOKUP(N1275,setup!$A$8:$H$58,6),VLOOKUP(N1275,setup!$A$8:$H$58,7), VLOOKUP(0,setup!$A$8:$H$58,2),VLOOKUP(0,setup!$A$8:$H$58,5),VLOOKUP(N1275,setup!$A$8:$H$58,8))</f>
        <v>#VALUE!</v>
      </c>
    </row>
    <row r="1276" spans="1:15" x14ac:dyDescent="0.25">
      <c r="A1276" s="29" t="s">
        <v>757</v>
      </c>
      <c r="N1276">
        <f t="shared" si="33"/>
        <v>25</v>
      </c>
      <c r="O1276" s="7" t="e">
        <f>getCodigoBackend(N1276,A1276,VLOOKUP(N1276,setup!$A$8:$H$58,2),VLOOKUP(N1276,setup!$A$8:$H$58,3),VLOOKUP(N1276,setup!$A$8:$H$58,4),VLOOKUP(N1276,setup!$A$8:$H$58,5),VLOOKUP(N1276,setup!$A$8:$H$58,6),VLOOKUP(N1276,setup!$A$8:$H$58,7), VLOOKUP(0,setup!$A$8:$H$58,2),VLOOKUP(0,setup!$A$8:$H$58,5),VLOOKUP(N1276,setup!$A$8:$H$58,8))</f>
        <v>#VALUE!</v>
      </c>
    </row>
    <row r="1277" spans="1:15" x14ac:dyDescent="0.25">
      <c r="A1277" s="29" t="s">
        <v>20</v>
      </c>
      <c r="N1277">
        <f t="shared" si="33"/>
        <v>25</v>
      </c>
      <c r="O1277" s="7" t="e">
        <f>getCodigoBackend(N1277,A1277,VLOOKUP(N1277,setup!$A$8:$H$58,2),VLOOKUP(N1277,setup!$A$8:$H$58,3),VLOOKUP(N1277,setup!$A$8:$H$58,4),VLOOKUP(N1277,setup!$A$8:$H$58,5),VLOOKUP(N1277,setup!$A$8:$H$58,6),VLOOKUP(N1277,setup!$A$8:$H$58,7), VLOOKUP(0,setup!$A$8:$H$58,2),VLOOKUP(0,setup!$A$8:$H$58,5),VLOOKUP(N1277,setup!$A$8:$H$58,8))</f>
        <v>#VALUE!</v>
      </c>
    </row>
    <row r="1278" spans="1:15" x14ac:dyDescent="0.25">
      <c r="A1278" s="29" t="s">
        <v>75</v>
      </c>
      <c r="N1278">
        <f t="shared" si="33"/>
        <v>25</v>
      </c>
      <c r="O1278" s="7" t="e">
        <f>getCodigoBackend(N1278,A1278,VLOOKUP(N1278,setup!$A$8:$H$58,2),VLOOKUP(N1278,setup!$A$8:$H$58,3),VLOOKUP(N1278,setup!$A$8:$H$58,4),VLOOKUP(N1278,setup!$A$8:$H$58,5),VLOOKUP(N1278,setup!$A$8:$H$58,6),VLOOKUP(N1278,setup!$A$8:$H$58,7), VLOOKUP(0,setup!$A$8:$H$58,2),VLOOKUP(0,setup!$A$8:$H$58,5),VLOOKUP(N1278,setup!$A$8:$H$58,8))</f>
        <v>#VALUE!</v>
      </c>
    </row>
    <row r="1279" spans="1:15" x14ac:dyDescent="0.25">
      <c r="A1279" s="29" t="s">
        <v>21</v>
      </c>
      <c r="N1279">
        <f t="shared" si="33"/>
        <v>25</v>
      </c>
      <c r="O1279" s="7" t="e">
        <f>getCodigoBackend(N1279,A1279,VLOOKUP(N1279,setup!$A$8:$H$58,2),VLOOKUP(N1279,setup!$A$8:$H$58,3),VLOOKUP(N1279,setup!$A$8:$H$58,4),VLOOKUP(N1279,setup!$A$8:$H$58,5),VLOOKUP(N1279,setup!$A$8:$H$58,6),VLOOKUP(N1279,setup!$A$8:$H$58,7), VLOOKUP(0,setup!$A$8:$H$58,2),VLOOKUP(0,setup!$A$8:$H$58,5),VLOOKUP(N1279,setup!$A$8:$H$58,8))</f>
        <v>#VALUE!</v>
      </c>
    </row>
    <row r="1280" spans="1:15" x14ac:dyDescent="0.25">
      <c r="A1280" s="29" t="s">
        <v>784</v>
      </c>
      <c r="N1280">
        <f t="shared" si="33"/>
        <v>25</v>
      </c>
      <c r="O1280" s="7" t="e">
        <f>getCodigoBackend(N1280,A1280,VLOOKUP(N1280,setup!$A$8:$H$58,2),VLOOKUP(N1280,setup!$A$8:$H$58,3),VLOOKUP(N1280,setup!$A$8:$H$58,4),VLOOKUP(N1280,setup!$A$8:$H$58,5),VLOOKUP(N1280,setup!$A$8:$H$58,6),VLOOKUP(N1280,setup!$A$8:$H$58,7), VLOOKUP(0,setup!$A$8:$H$58,2),VLOOKUP(0,setup!$A$8:$H$58,5),VLOOKUP(N1280,setup!$A$8:$H$58,8))</f>
        <v>#VALUE!</v>
      </c>
    </row>
    <row r="1281" spans="1:15" x14ac:dyDescent="0.25">
      <c r="A1281" s="29"/>
      <c r="N1281">
        <f t="shared" si="33"/>
        <v>25</v>
      </c>
      <c r="O1281" s="7" t="e">
        <f>getCodigoBackend(N1281,A1281,VLOOKUP(N1281,setup!$A$8:$H$58,2),VLOOKUP(N1281,setup!$A$8:$H$58,3),VLOOKUP(N1281,setup!$A$8:$H$58,4),VLOOKUP(N1281,setup!$A$8:$H$58,5),VLOOKUP(N1281,setup!$A$8:$H$58,6),VLOOKUP(N1281,setup!$A$8:$H$58,7), VLOOKUP(0,setup!$A$8:$H$58,2),VLOOKUP(0,setup!$A$8:$H$58,5),VLOOKUP(N1281,setup!$A$8:$H$58,8))</f>
        <v>#VALUE!</v>
      </c>
    </row>
    <row r="1282" spans="1:15" x14ac:dyDescent="0.25">
      <c r="A1282" s="29" t="s">
        <v>758</v>
      </c>
      <c r="N1282">
        <f t="shared" si="33"/>
        <v>25</v>
      </c>
      <c r="O1282" s="7" t="e">
        <f>getCodigoBackend(N1282,A1282,VLOOKUP(N1282,setup!$A$8:$H$58,2),VLOOKUP(N1282,setup!$A$8:$H$58,3),VLOOKUP(N1282,setup!$A$8:$H$58,4),VLOOKUP(N1282,setup!$A$8:$H$58,5),VLOOKUP(N1282,setup!$A$8:$H$58,6),VLOOKUP(N1282,setup!$A$8:$H$58,7), VLOOKUP(0,setup!$A$8:$H$58,2),VLOOKUP(0,setup!$A$8:$H$58,5),VLOOKUP(N1282,setup!$A$8:$H$58,8))</f>
        <v>#VALUE!</v>
      </c>
    </row>
    <row r="1283" spans="1:15" x14ac:dyDescent="0.25">
      <c r="A1283" s="29" t="s">
        <v>754</v>
      </c>
      <c r="N1283">
        <f t="shared" si="33"/>
        <v>25</v>
      </c>
      <c r="O1283" s="7" t="e">
        <f>getCodigoBackend(N1283,A1283,VLOOKUP(N1283,setup!$A$8:$H$58,2),VLOOKUP(N1283,setup!$A$8:$H$58,3),VLOOKUP(N1283,setup!$A$8:$H$58,4),VLOOKUP(N1283,setup!$A$8:$H$58,5),VLOOKUP(N1283,setup!$A$8:$H$58,6),VLOOKUP(N1283,setup!$A$8:$H$58,7), VLOOKUP(0,setup!$A$8:$H$58,2),VLOOKUP(0,setup!$A$8:$H$58,5),VLOOKUP(N1283,setup!$A$8:$H$58,8))</f>
        <v>#VALUE!</v>
      </c>
    </row>
    <row r="1284" spans="1:15" x14ac:dyDescent="0.25">
      <c r="A1284" s="29" t="s">
        <v>759</v>
      </c>
      <c r="N1284">
        <f t="shared" si="33"/>
        <v>25</v>
      </c>
      <c r="O1284" s="7" t="e">
        <f>getCodigoBackend(N1284,A1284,VLOOKUP(N1284,setup!$A$8:$H$58,2),VLOOKUP(N1284,setup!$A$8:$H$58,3),VLOOKUP(N1284,setup!$A$8:$H$58,4),VLOOKUP(N1284,setup!$A$8:$H$58,5),VLOOKUP(N1284,setup!$A$8:$H$58,6),VLOOKUP(N1284,setup!$A$8:$H$58,7), VLOOKUP(0,setup!$A$8:$H$58,2),VLOOKUP(0,setup!$A$8:$H$58,5),VLOOKUP(N1284,setup!$A$8:$H$58,8))</f>
        <v>#VALUE!</v>
      </c>
    </row>
    <row r="1285" spans="1:15" x14ac:dyDescent="0.25">
      <c r="A1285" s="29" t="s">
        <v>406</v>
      </c>
      <c r="N1285">
        <f t="shared" si="33"/>
        <v>25</v>
      </c>
      <c r="O1285" s="7" t="e">
        <f>getCodigoBackend(N1285,A1285,VLOOKUP(N1285,setup!$A$8:$H$58,2),VLOOKUP(N1285,setup!$A$8:$H$58,3),VLOOKUP(N1285,setup!$A$8:$H$58,4),VLOOKUP(N1285,setup!$A$8:$H$58,5),VLOOKUP(N1285,setup!$A$8:$H$58,6),VLOOKUP(N1285,setup!$A$8:$H$58,7), VLOOKUP(0,setup!$A$8:$H$58,2),VLOOKUP(0,setup!$A$8:$H$58,5),VLOOKUP(N1285,setup!$A$8:$H$58,8))</f>
        <v>#VALUE!</v>
      </c>
    </row>
    <row r="1286" spans="1:15" x14ac:dyDescent="0.25">
      <c r="O1286" s="7" t="str">
        <f ca="1">getCodigoBackend(N1286,A1286,VLOOKUP(N1286,setup!$A$8:$H$58,2),VLOOKUP(N1286,setup!$A$8:$H$58,3),VLOOKUP(N1286,setup!$A$8:$H$58,4),VLOOKUP(N1286,setup!$A$8:$H$58,5),VLOOKUP(N1286,setup!$A$8:$H$58,6),VLOOKUP(N1286,setup!$A$8:$H$58,7), VLOOKUP(0,setup!$A$8:$H$58,2),VLOOKUP(0,setup!$A$8:$H$58,5),VLOOKUP(N1286,setup!$A$8:$H$58,8))</f>
        <v/>
      </c>
    </row>
    <row r="1287" spans="1:15" x14ac:dyDescent="0.25">
      <c r="A1287" s="29" t="s">
        <v>19</v>
      </c>
      <c r="N1287">
        <f>N1285+1</f>
        <v>26</v>
      </c>
      <c r="O1287" s="7" t="e">
        <f>getCodigoBackend(N1287,A1287,VLOOKUP(N1287,setup!$A$8:$H$58,2),VLOOKUP(N1287,setup!$A$8:$H$58,3),VLOOKUP(N1287,setup!$A$8:$H$58,4),VLOOKUP(N1287,setup!$A$8:$H$58,5),VLOOKUP(N1287,setup!$A$8:$H$58,6),VLOOKUP(N1287,setup!$A$8:$H$58,7), VLOOKUP(0,setup!$A$8:$H$58,2),VLOOKUP(0,setup!$A$8:$H$58,5),VLOOKUP(N1287,setup!$A$8:$H$58,8))</f>
        <v>#VALUE!</v>
      </c>
    </row>
    <row r="1288" spans="1:15" x14ac:dyDescent="0.25">
      <c r="A1288" s="29" t="s">
        <v>20</v>
      </c>
      <c r="N1288">
        <f>N1287</f>
        <v>26</v>
      </c>
      <c r="O1288" s="7" t="e">
        <f>getCodigoBackend(N1288,A1288,VLOOKUP(N1288,setup!$A$8:$H$58,2),VLOOKUP(N1288,setup!$A$8:$H$58,3),VLOOKUP(N1288,setup!$A$8:$H$58,4),VLOOKUP(N1288,setup!$A$8:$H$58,5),VLOOKUP(N1288,setup!$A$8:$H$58,6),VLOOKUP(N1288,setup!$A$8:$H$58,7), VLOOKUP(0,setup!$A$8:$H$58,2),VLOOKUP(0,setup!$A$8:$H$58,5),VLOOKUP(N1288,setup!$A$8:$H$58,8))</f>
        <v>#VALUE!</v>
      </c>
    </row>
    <row r="1289" spans="1:15" x14ac:dyDescent="0.25">
      <c r="A1289" s="29" t="s">
        <v>716</v>
      </c>
      <c r="N1289">
        <f t="shared" ref="N1289:N1302" si="34">N1288</f>
        <v>26</v>
      </c>
      <c r="O1289" s="7" t="e">
        <f>getCodigoBackend(N1289,A1289,VLOOKUP(N1289,setup!$A$8:$H$58,2),VLOOKUP(N1289,setup!$A$8:$H$58,3),VLOOKUP(N1289,setup!$A$8:$H$58,4),VLOOKUP(N1289,setup!$A$8:$H$58,5),VLOOKUP(N1289,setup!$A$8:$H$58,6),VLOOKUP(N1289,setup!$A$8:$H$58,7), VLOOKUP(0,setup!$A$8:$H$58,2),VLOOKUP(0,setup!$A$8:$H$58,5),VLOOKUP(N1289,setup!$A$8:$H$58,8))</f>
        <v>#VALUE!</v>
      </c>
    </row>
    <row r="1290" spans="1:15" x14ac:dyDescent="0.25">
      <c r="A1290" s="29" t="s">
        <v>717</v>
      </c>
      <c r="N1290">
        <f t="shared" si="34"/>
        <v>26</v>
      </c>
      <c r="O1290" s="7" t="e">
        <f>getCodigoBackend(N1290,A1290,VLOOKUP(N1290,setup!$A$8:$H$58,2),VLOOKUP(N1290,setup!$A$8:$H$58,3),VLOOKUP(N1290,setup!$A$8:$H$58,4),VLOOKUP(N1290,setup!$A$8:$H$58,5),VLOOKUP(N1290,setup!$A$8:$H$58,6),VLOOKUP(N1290,setup!$A$8:$H$58,7), VLOOKUP(0,setup!$A$8:$H$58,2),VLOOKUP(0,setup!$A$8:$H$58,5),VLOOKUP(N1290,setup!$A$8:$H$58,8))</f>
        <v>#VALUE!</v>
      </c>
    </row>
    <row r="1291" spans="1:15" x14ac:dyDescent="0.25">
      <c r="A1291" s="29" t="s">
        <v>20</v>
      </c>
      <c r="N1291">
        <f t="shared" si="34"/>
        <v>26</v>
      </c>
      <c r="O1291" s="7" t="e">
        <f>getCodigoBackend(N1291,A1291,VLOOKUP(N1291,setup!$A$8:$H$58,2),VLOOKUP(N1291,setup!$A$8:$H$58,3),VLOOKUP(N1291,setup!$A$8:$H$58,4),VLOOKUP(N1291,setup!$A$8:$H$58,5),VLOOKUP(N1291,setup!$A$8:$H$58,6),VLOOKUP(N1291,setup!$A$8:$H$58,7), VLOOKUP(0,setup!$A$8:$H$58,2),VLOOKUP(0,setup!$A$8:$H$58,5),VLOOKUP(N1291,setup!$A$8:$H$58,8))</f>
        <v>#VALUE!</v>
      </c>
    </row>
    <row r="1292" spans="1:15" x14ac:dyDescent="0.25">
      <c r="A1292" s="29" t="s">
        <v>756</v>
      </c>
      <c r="N1292">
        <f t="shared" si="34"/>
        <v>26</v>
      </c>
      <c r="O1292" s="7" t="e">
        <f>getCodigoBackend(N1292,A1292,VLOOKUP(N1292,setup!$A$8:$H$58,2),VLOOKUP(N1292,setup!$A$8:$H$58,3),VLOOKUP(N1292,setup!$A$8:$H$58,4),VLOOKUP(N1292,setup!$A$8:$H$58,5),VLOOKUP(N1292,setup!$A$8:$H$58,6),VLOOKUP(N1292,setup!$A$8:$H$58,7), VLOOKUP(0,setup!$A$8:$H$58,2),VLOOKUP(0,setup!$A$8:$H$58,5),VLOOKUP(N1292,setup!$A$8:$H$58,8))</f>
        <v>#VALUE!</v>
      </c>
    </row>
    <row r="1293" spans="1:15" x14ac:dyDescent="0.25">
      <c r="A1293" s="29" t="s">
        <v>757</v>
      </c>
      <c r="N1293">
        <f t="shared" si="34"/>
        <v>26</v>
      </c>
      <c r="O1293" s="7" t="e">
        <f>getCodigoBackend(N1293,A1293,VLOOKUP(N1293,setup!$A$8:$H$58,2),VLOOKUP(N1293,setup!$A$8:$H$58,3),VLOOKUP(N1293,setup!$A$8:$H$58,4),VLOOKUP(N1293,setup!$A$8:$H$58,5),VLOOKUP(N1293,setup!$A$8:$H$58,6),VLOOKUP(N1293,setup!$A$8:$H$58,7), VLOOKUP(0,setup!$A$8:$H$58,2),VLOOKUP(0,setup!$A$8:$H$58,5),VLOOKUP(N1293,setup!$A$8:$H$58,8))</f>
        <v>#VALUE!</v>
      </c>
    </row>
    <row r="1294" spans="1:15" x14ac:dyDescent="0.25">
      <c r="A1294" s="29" t="s">
        <v>20</v>
      </c>
      <c r="N1294">
        <f t="shared" si="34"/>
        <v>26</v>
      </c>
      <c r="O1294" s="7" t="e">
        <f>getCodigoBackend(N1294,A1294,VLOOKUP(N1294,setup!$A$8:$H$58,2),VLOOKUP(N1294,setup!$A$8:$H$58,3),VLOOKUP(N1294,setup!$A$8:$H$58,4),VLOOKUP(N1294,setup!$A$8:$H$58,5),VLOOKUP(N1294,setup!$A$8:$H$58,6),VLOOKUP(N1294,setup!$A$8:$H$58,7), VLOOKUP(0,setup!$A$8:$H$58,2),VLOOKUP(0,setup!$A$8:$H$58,5),VLOOKUP(N1294,setup!$A$8:$H$58,8))</f>
        <v>#VALUE!</v>
      </c>
    </row>
    <row r="1295" spans="1:15" x14ac:dyDescent="0.25">
      <c r="A1295" s="29" t="s">
        <v>75</v>
      </c>
      <c r="N1295">
        <f t="shared" si="34"/>
        <v>26</v>
      </c>
      <c r="O1295" s="7" t="e">
        <f>getCodigoBackend(N1295,A1295,VLOOKUP(N1295,setup!$A$8:$H$58,2),VLOOKUP(N1295,setup!$A$8:$H$58,3),VLOOKUP(N1295,setup!$A$8:$H$58,4),VLOOKUP(N1295,setup!$A$8:$H$58,5),VLOOKUP(N1295,setup!$A$8:$H$58,6),VLOOKUP(N1295,setup!$A$8:$H$58,7), VLOOKUP(0,setup!$A$8:$H$58,2),VLOOKUP(0,setup!$A$8:$H$58,5),VLOOKUP(N1295,setup!$A$8:$H$58,8))</f>
        <v>#VALUE!</v>
      </c>
    </row>
    <row r="1296" spans="1:15" x14ac:dyDescent="0.25">
      <c r="A1296" s="29" t="s">
        <v>21</v>
      </c>
      <c r="N1296">
        <f t="shared" si="34"/>
        <v>26</v>
      </c>
      <c r="O1296" s="7" t="e">
        <f>getCodigoBackend(N1296,A1296,VLOOKUP(N1296,setup!$A$8:$H$58,2),VLOOKUP(N1296,setup!$A$8:$H$58,3),VLOOKUP(N1296,setup!$A$8:$H$58,4),VLOOKUP(N1296,setup!$A$8:$H$58,5),VLOOKUP(N1296,setup!$A$8:$H$58,6),VLOOKUP(N1296,setup!$A$8:$H$58,7), VLOOKUP(0,setup!$A$8:$H$58,2),VLOOKUP(0,setup!$A$8:$H$58,5),VLOOKUP(N1296,setup!$A$8:$H$58,8))</f>
        <v>#VALUE!</v>
      </c>
    </row>
    <row r="1297" spans="1:15" x14ac:dyDescent="0.25">
      <c r="A1297" s="29" t="s">
        <v>784</v>
      </c>
      <c r="N1297">
        <f t="shared" si="34"/>
        <v>26</v>
      </c>
      <c r="O1297" s="7" t="e">
        <f>getCodigoBackend(N1297,A1297,VLOOKUP(N1297,setup!$A$8:$H$58,2),VLOOKUP(N1297,setup!$A$8:$H$58,3),VLOOKUP(N1297,setup!$A$8:$H$58,4),VLOOKUP(N1297,setup!$A$8:$H$58,5),VLOOKUP(N1297,setup!$A$8:$H$58,6),VLOOKUP(N1297,setup!$A$8:$H$58,7), VLOOKUP(0,setup!$A$8:$H$58,2),VLOOKUP(0,setup!$A$8:$H$58,5),VLOOKUP(N1297,setup!$A$8:$H$58,8))</f>
        <v>#VALUE!</v>
      </c>
    </row>
    <row r="1298" spans="1:15" x14ac:dyDescent="0.25">
      <c r="A1298" s="29"/>
      <c r="N1298">
        <f t="shared" si="34"/>
        <v>26</v>
      </c>
      <c r="O1298" s="7" t="e">
        <f>getCodigoBackend(N1298,A1298,VLOOKUP(N1298,setup!$A$8:$H$58,2),VLOOKUP(N1298,setup!$A$8:$H$58,3),VLOOKUP(N1298,setup!$A$8:$H$58,4),VLOOKUP(N1298,setup!$A$8:$H$58,5),VLOOKUP(N1298,setup!$A$8:$H$58,6),VLOOKUP(N1298,setup!$A$8:$H$58,7), VLOOKUP(0,setup!$A$8:$H$58,2),VLOOKUP(0,setup!$A$8:$H$58,5),VLOOKUP(N1298,setup!$A$8:$H$58,8))</f>
        <v>#VALUE!</v>
      </c>
    </row>
    <row r="1299" spans="1:15" x14ac:dyDescent="0.25">
      <c r="A1299" s="29" t="s">
        <v>758</v>
      </c>
      <c r="N1299">
        <f t="shared" si="34"/>
        <v>26</v>
      </c>
      <c r="O1299" s="7" t="e">
        <f>getCodigoBackend(N1299,A1299,VLOOKUP(N1299,setup!$A$8:$H$58,2),VLOOKUP(N1299,setup!$A$8:$H$58,3),VLOOKUP(N1299,setup!$A$8:$H$58,4),VLOOKUP(N1299,setup!$A$8:$H$58,5),VLOOKUP(N1299,setup!$A$8:$H$58,6),VLOOKUP(N1299,setup!$A$8:$H$58,7), VLOOKUP(0,setup!$A$8:$H$58,2),VLOOKUP(0,setup!$A$8:$H$58,5),VLOOKUP(N1299,setup!$A$8:$H$58,8))</f>
        <v>#VALUE!</v>
      </c>
    </row>
    <row r="1300" spans="1:15" x14ac:dyDescent="0.25">
      <c r="A1300" s="29" t="s">
        <v>754</v>
      </c>
      <c r="N1300">
        <f t="shared" si="34"/>
        <v>26</v>
      </c>
      <c r="O1300" s="7" t="e">
        <f>getCodigoBackend(N1300,A1300,VLOOKUP(N1300,setup!$A$8:$H$58,2),VLOOKUP(N1300,setup!$A$8:$H$58,3),VLOOKUP(N1300,setup!$A$8:$H$58,4),VLOOKUP(N1300,setup!$A$8:$H$58,5),VLOOKUP(N1300,setup!$A$8:$H$58,6),VLOOKUP(N1300,setup!$A$8:$H$58,7), VLOOKUP(0,setup!$A$8:$H$58,2),VLOOKUP(0,setup!$A$8:$H$58,5),VLOOKUP(N1300,setup!$A$8:$H$58,8))</f>
        <v>#VALUE!</v>
      </c>
    </row>
    <row r="1301" spans="1:15" x14ac:dyDescent="0.25">
      <c r="A1301" s="29" t="s">
        <v>759</v>
      </c>
      <c r="N1301">
        <f t="shared" si="34"/>
        <v>26</v>
      </c>
      <c r="O1301" s="7" t="e">
        <f>getCodigoBackend(N1301,A1301,VLOOKUP(N1301,setup!$A$8:$H$58,2),VLOOKUP(N1301,setup!$A$8:$H$58,3),VLOOKUP(N1301,setup!$A$8:$H$58,4),VLOOKUP(N1301,setup!$A$8:$H$58,5),VLOOKUP(N1301,setup!$A$8:$H$58,6),VLOOKUP(N1301,setup!$A$8:$H$58,7), VLOOKUP(0,setup!$A$8:$H$58,2),VLOOKUP(0,setup!$A$8:$H$58,5),VLOOKUP(N1301,setup!$A$8:$H$58,8))</f>
        <v>#VALUE!</v>
      </c>
    </row>
    <row r="1302" spans="1:15" x14ac:dyDescent="0.25">
      <c r="A1302" s="29" t="s">
        <v>406</v>
      </c>
      <c r="N1302">
        <f t="shared" si="34"/>
        <v>26</v>
      </c>
      <c r="O1302" s="7" t="e">
        <f>getCodigoBackend(N1302,A1302,VLOOKUP(N1302,setup!$A$8:$H$58,2),VLOOKUP(N1302,setup!$A$8:$H$58,3),VLOOKUP(N1302,setup!$A$8:$H$58,4),VLOOKUP(N1302,setup!$A$8:$H$58,5),VLOOKUP(N1302,setup!$A$8:$H$58,6),VLOOKUP(N1302,setup!$A$8:$H$58,7), VLOOKUP(0,setup!$A$8:$H$58,2),VLOOKUP(0,setup!$A$8:$H$58,5),VLOOKUP(N1302,setup!$A$8:$H$58,8))</f>
        <v>#VALUE!</v>
      </c>
    </row>
    <row r="1303" spans="1:15" x14ac:dyDescent="0.25">
      <c r="O1303" s="7" t="str">
        <f ca="1">getCodigoBackend(N1303,A1303,VLOOKUP(N1303,setup!$A$8:$H$58,2),VLOOKUP(N1303,setup!$A$8:$H$58,3),VLOOKUP(N1303,setup!$A$8:$H$58,4),VLOOKUP(N1303,setup!$A$8:$H$58,5),VLOOKUP(N1303,setup!$A$8:$H$58,6),VLOOKUP(N1303,setup!$A$8:$H$58,7), VLOOKUP(0,setup!$A$8:$H$58,2),VLOOKUP(0,setup!$A$8:$H$58,5),VLOOKUP(N1303,setup!$A$8:$H$58,8))</f>
        <v/>
      </c>
    </row>
    <row r="1304" spans="1:15" x14ac:dyDescent="0.25">
      <c r="A1304" s="29" t="s">
        <v>19</v>
      </c>
      <c r="N1304">
        <f>N1302+1</f>
        <v>27</v>
      </c>
      <c r="O1304" s="7" t="e">
        <f>getCodigoBackend(N1304,A1304,VLOOKUP(N1304,setup!$A$8:$H$58,2),VLOOKUP(N1304,setup!$A$8:$H$58,3),VLOOKUP(N1304,setup!$A$8:$H$58,4),VLOOKUP(N1304,setup!$A$8:$H$58,5),VLOOKUP(N1304,setup!$A$8:$H$58,6),VLOOKUP(N1304,setup!$A$8:$H$58,7), VLOOKUP(0,setup!$A$8:$H$58,2),VLOOKUP(0,setup!$A$8:$H$58,5),VLOOKUP(N1304,setup!$A$8:$H$58,8))</f>
        <v>#VALUE!</v>
      </c>
    </row>
    <row r="1305" spans="1:15" x14ac:dyDescent="0.25">
      <c r="A1305" s="29" t="s">
        <v>20</v>
      </c>
      <c r="N1305">
        <f>N1304</f>
        <v>27</v>
      </c>
      <c r="O1305" s="7" t="e">
        <f>getCodigoBackend(N1305,A1305,VLOOKUP(N1305,setup!$A$8:$H$58,2),VLOOKUP(N1305,setup!$A$8:$H$58,3),VLOOKUP(N1305,setup!$A$8:$H$58,4),VLOOKUP(N1305,setup!$A$8:$H$58,5),VLOOKUP(N1305,setup!$A$8:$H$58,6),VLOOKUP(N1305,setup!$A$8:$H$58,7), VLOOKUP(0,setup!$A$8:$H$58,2),VLOOKUP(0,setup!$A$8:$H$58,5),VLOOKUP(N1305,setup!$A$8:$H$58,8))</f>
        <v>#VALUE!</v>
      </c>
    </row>
    <row r="1306" spans="1:15" x14ac:dyDescent="0.25">
      <c r="A1306" s="29" t="s">
        <v>716</v>
      </c>
      <c r="N1306">
        <f t="shared" ref="N1306:N1319" si="35">N1305</f>
        <v>27</v>
      </c>
      <c r="O1306" s="7" t="e">
        <f>getCodigoBackend(N1306,A1306,VLOOKUP(N1306,setup!$A$8:$H$58,2),VLOOKUP(N1306,setup!$A$8:$H$58,3),VLOOKUP(N1306,setup!$A$8:$H$58,4),VLOOKUP(N1306,setup!$A$8:$H$58,5),VLOOKUP(N1306,setup!$A$8:$H$58,6),VLOOKUP(N1306,setup!$A$8:$H$58,7), VLOOKUP(0,setup!$A$8:$H$58,2),VLOOKUP(0,setup!$A$8:$H$58,5),VLOOKUP(N1306,setup!$A$8:$H$58,8))</f>
        <v>#VALUE!</v>
      </c>
    </row>
    <row r="1307" spans="1:15" x14ac:dyDescent="0.25">
      <c r="A1307" s="29" t="s">
        <v>717</v>
      </c>
      <c r="N1307">
        <f t="shared" si="35"/>
        <v>27</v>
      </c>
      <c r="O1307" s="7" t="e">
        <f>getCodigoBackend(N1307,A1307,VLOOKUP(N1307,setup!$A$8:$H$58,2),VLOOKUP(N1307,setup!$A$8:$H$58,3),VLOOKUP(N1307,setup!$A$8:$H$58,4),VLOOKUP(N1307,setup!$A$8:$H$58,5),VLOOKUP(N1307,setup!$A$8:$H$58,6),VLOOKUP(N1307,setup!$A$8:$H$58,7), VLOOKUP(0,setup!$A$8:$H$58,2),VLOOKUP(0,setup!$A$8:$H$58,5),VLOOKUP(N1307,setup!$A$8:$H$58,8))</f>
        <v>#VALUE!</v>
      </c>
    </row>
    <row r="1308" spans="1:15" x14ac:dyDescent="0.25">
      <c r="A1308" s="29" t="s">
        <v>20</v>
      </c>
      <c r="N1308">
        <f t="shared" si="35"/>
        <v>27</v>
      </c>
      <c r="O1308" s="7" t="e">
        <f>getCodigoBackend(N1308,A1308,VLOOKUP(N1308,setup!$A$8:$H$58,2),VLOOKUP(N1308,setup!$A$8:$H$58,3),VLOOKUP(N1308,setup!$A$8:$H$58,4),VLOOKUP(N1308,setup!$A$8:$H$58,5),VLOOKUP(N1308,setup!$A$8:$H$58,6),VLOOKUP(N1308,setup!$A$8:$H$58,7), VLOOKUP(0,setup!$A$8:$H$58,2),VLOOKUP(0,setup!$A$8:$H$58,5),VLOOKUP(N1308,setup!$A$8:$H$58,8))</f>
        <v>#VALUE!</v>
      </c>
    </row>
    <row r="1309" spans="1:15" x14ac:dyDescent="0.25">
      <c r="A1309" s="29" t="s">
        <v>756</v>
      </c>
      <c r="N1309">
        <f t="shared" si="35"/>
        <v>27</v>
      </c>
      <c r="O1309" s="7" t="e">
        <f>getCodigoBackend(N1309,A1309,VLOOKUP(N1309,setup!$A$8:$H$58,2),VLOOKUP(N1309,setup!$A$8:$H$58,3),VLOOKUP(N1309,setup!$A$8:$H$58,4),VLOOKUP(N1309,setup!$A$8:$H$58,5),VLOOKUP(N1309,setup!$A$8:$H$58,6),VLOOKUP(N1309,setup!$A$8:$H$58,7), VLOOKUP(0,setup!$A$8:$H$58,2),VLOOKUP(0,setup!$A$8:$H$58,5),VLOOKUP(N1309,setup!$A$8:$H$58,8))</f>
        <v>#VALUE!</v>
      </c>
    </row>
    <row r="1310" spans="1:15" x14ac:dyDescent="0.25">
      <c r="A1310" s="29" t="s">
        <v>757</v>
      </c>
      <c r="N1310">
        <f t="shared" si="35"/>
        <v>27</v>
      </c>
      <c r="O1310" s="7" t="e">
        <f>getCodigoBackend(N1310,A1310,VLOOKUP(N1310,setup!$A$8:$H$58,2),VLOOKUP(N1310,setup!$A$8:$H$58,3),VLOOKUP(N1310,setup!$A$8:$H$58,4),VLOOKUP(N1310,setup!$A$8:$H$58,5),VLOOKUP(N1310,setup!$A$8:$H$58,6),VLOOKUP(N1310,setup!$A$8:$H$58,7), VLOOKUP(0,setup!$A$8:$H$58,2),VLOOKUP(0,setup!$A$8:$H$58,5),VLOOKUP(N1310,setup!$A$8:$H$58,8))</f>
        <v>#VALUE!</v>
      </c>
    </row>
    <row r="1311" spans="1:15" x14ac:dyDescent="0.25">
      <c r="A1311" s="29" t="s">
        <v>20</v>
      </c>
      <c r="N1311">
        <f t="shared" si="35"/>
        <v>27</v>
      </c>
      <c r="O1311" s="7" t="e">
        <f>getCodigoBackend(N1311,A1311,VLOOKUP(N1311,setup!$A$8:$H$58,2),VLOOKUP(N1311,setup!$A$8:$H$58,3),VLOOKUP(N1311,setup!$A$8:$H$58,4),VLOOKUP(N1311,setup!$A$8:$H$58,5),VLOOKUP(N1311,setup!$A$8:$H$58,6),VLOOKUP(N1311,setup!$A$8:$H$58,7), VLOOKUP(0,setup!$A$8:$H$58,2),VLOOKUP(0,setup!$A$8:$H$58,5),VLOOKUP(N1311,setup!$A$8:$H$58,8))</f>
        <v>#VALUE!</v>
      </c>
    </row>
    <row r="1312" spans="1:15" x14ac:dyDescent="0.25">
      <c r="A1312" s="29" t="s">
        <v>75</v>
      </c>
      <c r="N1312">
        <f t="shared" si="35"/>
        <v>27</v>
      </c>
      <c r="O1312" s="7" t="e">
        <f>getCodigoBackend(N1312,A1312,VLOOKUP(N1312,setup!$A$8:$H$58,2),VLOOKUP(N1312,setup!$A$8:$H$58,3),VLOOKUP(N1312,setup!$A$8:$H$58,4),VLOOKUP(N1312,setup!$A$8:$H$58,5),VLOOKUP(N1312,setup!$A$8:$H$58,6),VLOOKUP(N1312,setup!$A$8:$H$58,7), VLOOKUP(0,setup!$A$8:$H$58,2),VLOOKUP(0,setup!$A$8:$H$58,5),VLOOKUP(N1312,setup!$A$8:$H$58,8))</f>
        <v>#VALUE!</v>
      </c>
    </row>
    <row r="1313" spans="1:15" x14ac:dyDescent="0.25">
      <c r="A1313" s="29" t="s">
        <v>21</v>
      </c>
      <c r="N1313">
        <f t="shared" si="35"/>
        <v>27</v>
      </c>
      <c r="O1313" s="7" t="e">
        <f>getCodigoBackend(N1313,A1313,VLOOKUP(N1313,setup!$A$8:$H$58,2),VLOOKUP(N1313,setup!$A$8:$H$58,3),VLOOKUP(N1313,setup!$A$8:$H$58,4),VLOOKUP(N1313,setup!$A$8:$H$58,5),VLOOKUP(N1313,setup!$A$8:$H$58,6),VLOOKUP(N1313,setup!$A$8:$H$58,7), VLOOKUP(0,setup!$A$8:$H$58,2),VLOOKUP(0,setup!$A$8:$H$58,5),VLOOKUP(N1313,setup!$A$8:$H$58,8))</f>
        <v>#VALUE!</v>
      </c>
    </row>
    <row r="1314" spans="1:15" x14ac:dyDescent="0.25">
      <c r="A1314" s="29" t="s">
        <v>784</v>
      </c>
      <c r="N1314">
        <f t="shared" si="35"/>
        <v>27</v>
      </c>
      <c r="O1314" s="7" t="e">
        <f>getCodigoBackend(N1314,A1314,VLOOKUP(N1314,setup!$A$8:$H$58,2),VLOOKUP(N1314,setup!$A$8:$H$58,3),VLOOKUP(N1314,setup!$A$8:$H$58,4),VLOOKUP(N1314,setup!$A$8:$H$58,5),VLOOKUP(N1314,setup!$A$8:$H$58,6),VLOOKUP(N1314,setup!$A$8:$H$58,7), VLOOKUP(0,setup!$A$8:$H$58,2),VLOOKUP(0,setup!$A$8:$H$58,5),VLOOKUP(N1314,setup!$A$8:$H$58,8))</f>
        <v>#VALUE!</v>
      </c>
    </row>
    <row r="1315" spans="1:15" x14ac:dyDescent="0.25">
      <c r="A1315" s="29"/>
      <c r="N1315">
        <f t="shared" si="35"/>
        <v>27</v>
      </c>
      <c r="O1315" s="7" t="e">
        <f>getCodigoBackend(N1315,A1315,VLOOKUP(N1315,setup!$A$8:$H$58,2),VLOOKUP(N1315,setup!$A$8:$H$58,3),VLOOKUP(N1315,setup!$A$8:$H$58,4),VLOOKUP(N1315,setup!$A$8:$H$58,5),VLOOKUP(N1315,setup!$A$8:$H$58,6),VLOOKUP(N1315,setup!$A$8:$H$58,7), VLOOKUP(0,setup!$A$8:$H$58,2),VLOOKUP(0,setup!$A$8:$H$58,5),VLOOKUP(N1315,setup!$A$8:$H$58,8))</f>
        <v>#VALUE!</v>
      </c>
    </row>
    <row r="1316" spans="1:15" x14ac:dyDescent="0.25">
      <c r="A1316" s="29" t="s">
        <v>758</v>
      </c>
      <c r="N1316">
        <f t="shared" si="35"/>
        <v>27</v>
      </c>
      <c r="O1316" s="7" t="e">
        <f>getCodigoBackend(N1316,A1316,VLOOKUP(N1316,setup!$A$8:$H$58,2),VLOOKUP(N1316,setup!$A$8:$H$58,3),VLOOKUP(N1316,setup!$A$8:$H$58,4),VLOOKUP(N1316,setup!$A$8:$H$58,5),VLOOKUP(N1316,setup!$A$8:$H$58,6),VLOOKUP(N1316,setup!$A$8:$H$58,7), VLOOKUP(0,setup!$A$8:$H$58,2),VLOOKUP(0,setup!$A$8:$H$58,5),VLOOKUP(N1316,setup!$A$8:$H$58,8))</f>
        <v>#VALUE!</v>
      </c>
    </row>
    <row r="1317" spans="1:15" x14ac:dyDescent="0.25">
      <c r="A1317" s="29" t="s">
        <v>754</v>
      </c>
      <c r="N1317">
        <f t="shared" si="35"/>
        <v>27</v>
      </c>
      <c r="O1317" s="7" t="e">
        <f>getCodigoBackend(N1317,A1317,VLOOKUP(N1317,setup!$A$8:$H$58,2),VLOOKUP(N1317,setup!$A$8:$H$58,3),VLOOKUP(N1317,setup!$A$8:$H$58,4),VLOOKUP(N1317,setup!$A$8:$H$58,5),VLOOKUP(N1317,setup!$A$8:$H$58,6),VLOOKUP(N1317,setup!$A$8:$H$58,7), VLOOKUP(0,setup!$A$8:$H$58,2),VLOOKUP(0,setup!$A$8:$H$58,5),VLOOKUP(N1317,setup!$A$8:$H$58,8))</f>
        <v>#VALUE!</v>
      </c>
    </row>
    <row r="1318" spans="1:15" x14ac:dyDescent="0.25">
      <c r="A1318" s="29" t="s">
        <v>759</v>
      </c>
      <c r="N1318">
        <f t="shared" si="35"/>
        <v>27</v>
      </c>
      <c r="O1318" s="7" t="e">
        <f>getCodigoBackend(N1318,A1318,VLOOKUP(N1318,setup!$A$8:$H$58,2),VLOOKUP(N1318,setup!$A$8:$H$58,3),VLOOKUP(N1318,setup!$A$8:$H$58,4),VLOOKUP(N1318,setup!$A$8:$H$58,5),VLOOKUP(N1318,setup!$A$8:$H$58,6),VLOOKUP(N1318,setup!$A$8:$H$58,7), VLOOKUP(0,setup!$A$8:$H$58,2),VLOOKUP(0,setup!$A$8:$H$58,5),VLOOKUP(N1318,setup!$A$8:$H$58,8))</f>
        <v>#VALUE!</v>
      </c>
    </row>
    <row r="1319" spans="1:15" x14ac:dyDescent="0.25">
      <c r="A1319" s="29" t="s">
        <v>406</v>
      </c>
      <c r="N1319">
        <f t="shared" si="35"/>
        <v>27</v>
      </c>
      <c r="O1319" s="7" t="e">
        <f>getCodigoBackend(N1319,A1319,VLOOKUP(N1319,setup!$A$8:$H$58,2),VLOOKUP(N1319,setup!$A$8:$H$58,3),VLOOKUP(N1319,setup!$A$8:$H$58,4),VLOOKUP(N1319,setup!$A$8:$H$58,5),VLOOKUP(N1319,setup!$A$8:$H$58,6),VLOOKUP(N1319,setup!$A$8:$H$58,7), VLOOKUP(0,setup!$A$8:$H$58,2),VLOOKUP(0,setup!$A$8:$H$58,5),VLOOKUP(N1319,setup!$A$8:$H$58,8))</f>
        <v>#VALUE!</v>
      </c>
    </row>
    <row r="1320" spans="1:15" x14ac:dyDescent="0.25">
      <c r="O1320" s="7" t="str">
        <f ca="1">getCodigoBackend(N1320,A1320,VLOOKUP(N1320,setup!$A$8:$H$58,2),VLOOKUP(N1320,setup!$A$8:$H$58,3),VLOOKUP(N1320,setup!$A$8:$H$58,4),VLOOKUP(N1320,setup!$A$8:$H$58,5),VLOOKUP(N1320,setup!$A$8:$H$58,6),VLOOKUP(N1320,setup!$A$8:$H$58,7), VLOOKUP(0,setup!$A$8:$H$58,2),VLOOKUP(0,setup!$A$8:$H$58,5),VLOOKUP(N1320,setup!$A$8:$H$58,8))</f>
        <v/>
      </c>
    </row>
    <row r="1321" spans="1:15" x14ac:dyDescent="0.25">
      <c r="A1321" s="29" t="s">
        <v>19</v>
      </c>
      <c r="N1321">
        <f>N1319+1</f>
        <v>28</v>
      </c>
      <c r="O1321" s="7" t="e">
        <f>getCodigoBackend(N1321,A1321,VLOOKUP(N1321,setup!$A$8:$H$58,2),VLOOKUP(N1321,setup!$A$8:$H$58,3),VLOOKUP(N1321,setup!$A$8:$H$58,4),VLOOKUP(N1321,setup!$A$8:$H$58,5),VLOOKUP(N1321,setup!$A$8:$H$58,6),VLOOKUP(N1321,setup!$A$8:$H$58,7), VLOOKUP(0,setup!$A$8:$H$58,2),VLOOKUP(0,setup!$A$8:$H$58,5),VLOOKUP(N1321,setup!$A$8:$H$58,8))</f>
        <v>#VALUE!</v>
      </c>
    </row>
    <row r="1322" spans="1:15" x14ac:dyDescent="0.25">
      <c r="A1322" s="29" t="s">
        <v>20</v>
      </c>
      <c r="N1322">
        <f>N1321</f>
        <v>28</v>
      </c>
      <c r="O1322" s="7" t="e">
        <f>getCodigoBackend(N1322,A1322,VLOOKUP(N1322,setup!$A$8:$H$58,2),VLOOKUP(N1322,setup!$A$8:$H$58,3),VLOOKUP(N1322,setup!$A$8:$H$58,4),VLOOKUP(N1322,setup!$A$8:$H$58,5),VLOOKUP(N1322,setup!$A$8:$H$58,6),VLOOKUP(N1322,setup!$A$8:$H$58,7), VLOOKUP(0,setup!$A$8:$H$58,2),VLOOKUP(0,setup!$A$8:$H$58,5),VLOOKUP(N1322,setup!$A$8:$H$58,8))</f>
        <v>#VALUE!</v>
      </c>
    </row>
    <row r="1323" spans="1:15" x14ac:dyDescent="0.25">
      <c r="A1323" s="29" t="s">
        <v>716</v>
      </c>
      <c r="N1323">
        <f t="shared" ref="N1323:N1336" si="36">N1322</f>
        <v>28</v>
      </c>
      <c r="O1323" s="7" t="e">
        <f>getCodigoBackend(N1323,A1323,VLOOKUP(N1323,setup!$A$8:$H$58,2),VLOOKUP(N1323,setup!$A$8:$H$58,3),VLOOKUP(N1323,setup!$A$8:$H$58,4),VLOOKUP(N1323,setup!$A$8:$H$58,5),VLOOKUP(N1323,setup!$A$8:$H$58,6),VLOOKUP(N1323,setup!$A$8:$H$58,7), VLOOKUP(0,setup!$A$8:$H$58,2),VLOOKUP(0,setup!$A$8:$H$58,5),VLOOKUP(N1323,setup!$A$8:$H$58,8))</f>
        <v>#VALUE!</v>
      </c>
    </row>
    <row r="1324" spans="1:15" x14ac:dyDescent="0.25">
      <c r="A1324" s="29" t="s">
        <v>717</v>
      </c>
      <c r="N1324">
        <f t="shared" si="36"/>
        <v>28</v>
      </c>
      <c r="O1324" s="7" t="e">
        <f>getCodigoBackend(N1324,A1324,VLOOKUP(N1324,setup!$A$8:$H$58,2),VLOOKUP(N1324,setup!$A$8:$H$58,3),VLOOKUP(N1324,setup!$A$8:$H$58,4),VLOOKUP(N1324,setup!$A$8:$H$58,5),VLOOKUP(N1324,setup!$A$8:$H$58,6),VLOOKUP(N1324,setup!$A$8:$H$58,7), VLOOKUP(0,setup!$A$8:$H$58,2),VLOOKUP(0,setup!$A$8:$H$58,5),VLOOKUP(N1324,setup!$A$8:$H$58,8))</f>
        <v>#VALUE!</v>
      </c>
    </row>
    <row r="1325" spans="1:15" x14ac:dyDescent="0.25">
      <c r="A1325" s="29" t="s">
        <v>20</v>
      </c>
      <c r="N1325">
        <f t="shared" si="36"/>
        <v>28</v>
      </c>
      <c r="O1325" s="7" t="e">
        <f>getCodigoBackend(N1325,A1325,VLOOKUP(N1325,setup!$A$8:$H$58,2),VLOOKUP(N1325,setup!$A$8:$H$58,3),VLOOKUP(N1325,setup!$A$8:$H$58,4),VLOOKUP(N1325,setup!$A$8:$H$58,5),VLOOKUP(N1325,setup!$A$8:$H$58,6),VLOOKUP(N1325,setup!$A$8:$H$58,7), VLOOKUP(0,setup!$A$8:$H$58,2),VLOOKUP(0,setup!$A$8:$H$58,5),VLOOKUP(N1325,setup!$A$8:$H$58,8))</f>
        <v>#VALUE!</v>
      </c>
    </row>
    <row r="1326" spans="1:15" x14ac:dyDescent="0.25">
      <c r="A1326" s="29" t="s">
        <v>756</v>
      </c>
      <c r="N1326">
        <f t="shared" si="36"/>
        <v>28</v>
      </c>
      <c r="O1326" s="7" t="e">
        <f>getCodigoBackend(N1326,A1326,VLOOKUP(N1326,setup!$A$8:$H$58,2),VLOOKUP(N1326,setup!$A$8:$H$58,3),VLOOKUP(N1326,setup!$A$8:$H$58,4),VLOOKUP(N1326,setup!$A$8:$H$58,5),VLOOKUP(N1326,setup!$A$8:$H$58,6),VLOOKUP(N1326,setup!$A$8:$H$58,7), VLOOKUP(0,setup!$A$8:$H$58,2),VLOOKUP(0,setup!$A$8:$H$58,5),VLOOKUP(N1326,setup!$A$8:$H$58,8))</f>
        <v>#VALUE!</v>
      </c>
    </row>
    <row r="1327" spans="1:15" x14ac:dyDescent="0.25">
      <c r="A1327" s="29" t="s">
        <v>757</v>
      </c>
      <c r="N1327">
        <f t="shared" si="36"/>
        <v>28</v>
      </c>
      <c r="O1327" s="7" t="e">
        <f>getCodigoBackend(N1327,A1327,VLOOKUP(N1327,setup!$A$8:$H$58,2),VLOOKUP(N1327,setup!$A$8:$H$58,3),VLOOKUP(N1327,setup!$A$8:$H$58,4),VLOOKUP(N1327,setup!$A$8:$H$58,5),VLOOKUP(N1327,setup!$A$8:$H$58,6),VLOOKUP(N1327,setup!$A$8:$H$58,7), VLOOKUP(0,setup!$A$8:$H$58,2),VLOOKUP(0,setup!$A$8:$H$58,5),VLOOKUP(N1327,setup!$A$8:$H$58,8))</f>
        <v>#VALUE!</v>
      </c>
    </row>
    <row r="1328" spans="1:15" x14ac:dyDescent="0.25">
      <c r="A1328" s="29" t="s">
        <v>20</v>
      </c>
      <c r="N1328">
        <f t="shared" si="36"/>
        <v>28</v>
      </c>
      <c r="O1328" s="7" t="e">
        <f>getCodigoBackend(N1328,A1328,VLOOKUP(N1328,setup!$A$8:$H$58,2),VLOOKUP(N1328,setup!$A$8:$H$58,3),VLOOKUP(N1328,setup!$A$8:$H$58,4),VLOOKUP(N1328,setup!$A$8:$H$58,5),VLOOKUP(N1328,setup!$A$8:$H$58,6),VLOOKUP(N1328,setup!$A$8:$H$58,7), VLOOKUP(0,setup!$A$8:$H$58,2),VLOOKUP(0,setup!$A$8:$H$58,5),VLOOKUP(N1328,setup!$A$8:$H$58,8))</f>
        <v>#VALUE!</v>
      </c>
    </row>
    <row r="1329" spans="1:15" x14ac:dyDescent="0.25">
      <c r="A1329" s="29" t="s">
        <v>75</v>
      </c>
      <c r="N1329">
        <f t="shared" si="36"/>
        <v>28</v>
      </c>
      <c r="O1329" s="7" t="e">
        <f>getCodigoBackend(N1329,A1329,VLOOKUP(N1329,setup!$A$8:$H$58,2),VLOOKUP(N1329,setup!$A$8:$H$58,3),VLOOKUP(N1329,setup!$A$8:$H$58,4),VLOOKUP(N1329,setup!$A$8:$H$58,5),VLOOKUP(N1329,setup!$A$8:$H$58,6),VLOOKUP(N1329,setup!$A$8:$H$58,7), VLOOKUP(0,setup!$A$8:$H$58,2),VLOOKUP(0,setup!$A$8:$H$58,5),VLOOKUP(N1329,setup!$A$8:$H$58,8))</f>
        <v>#VALUE!</v>
      </c>
    </row>
    <row r="1330" spans="1:15" x14ac:dyDescent="0.25">
      <c r="A1330" s="29" t="s">
        <v>21</v>
      </c>
      <c r="N1330">
        <f t="shared" si="36"/>
        <v>28</v>
      </c>
      <c r="O1330" s="7" t="e">
        <f>getCodigoBackend(N1330,A1330,VLOOKUP(N1330,setup!$A$8:$H$58,2),VLOOKUP(N1330,setup!$A$8:$H$58,3),VLOOKUP(N1330,setup!$A$8:$H$58,4),VLOOKUP(N1330,setup!$A$8:$H$58,5),VLOOKUP(N1330,setup!$A$8:$H$58,6),VLOOKUP(N1330,setup!$A$8:$H$58,7), VLOOKUP(0,setup!$A$8:$H$58,2),VLOOKUP(0,setup!$A$8:$H$58,5),VLOOKUP(N1330,setup!$A$8:$H$58,8))</f>
        <v>#VALUE!</v>
      </c>
    </row>
    <row r="1331" spans="1:15" x14ac:dyDescent="0.25">
      <c r="A1331" s="29" t="s">
        <v>784</v>
      </c>
      <c r="N1331">
        <f t="shared" si="36"/>
        <v>28</v>
      </c>
      <c r="O1331" s="7" t="e">
        <f>getCodigoBackend(N1331,A1331,VLOOKUP(N1331,setup!$A$8:$H$58,2),VLOOKUP(N1331,setup!$A$8:$H$58,3),VLOOKUP(N1331,setup!$A$8:$H$58,4),VLOOKUP(N1331,setup!$A$8:$H$58,5),VLOOKUP(N1331,setup!$A$8:$H$58,6),VLOOKUP(N1331,setup!$A$8:$H$58,7), VLOOKUP(0,setup!$A$8:$H$58,2),VLOOKUP(0,setup!$A$8:$H$58,5),VLOOKUP(N1331,setup!$A$8:$H$58,8))</f>
        <v>#VALUE!</v>
      </c>
    </row>
    <row r="1332" spans="1:15" x14ac:dyDescent="0.25">
      <c r="A1332" s="29"/>
      <c r="N1332">
        <f t="shared" si="36"/>
        <v>28</v>
      </c>
      <c r="O1332" s="7" t="e">
        <f>getCodigoBackend(N1332,A1332,VLOOKUP(N1332,setup!$A$8:$H$58,2),VLOOKUP(N1332,setup!$A$8:$H$58,3),VLOOKUP(N1332,setup!$A$8:$H$58,4),VLOOKUP(N1332,setup!$A$8:$H$58,5),VLOOKUP(N1332,setup!$A$8:$H$58,6),VLOOKUP(N1332,setup!$A$8:$H$58,7), VLOOKUP(0,setup!$A$8:$H$58,2),VLOOKUP(0,setup!$A$8:$H$58,5),VLOOKUP(N1332,setup!$A$8:$H$58,8))</f>
        <v>#VALUE!</v>
      </c>
    </row>
    <row r="1333" spans="1:15" x14ac:dyDescent="0.25">
      <c r="A1333" s="29" t="s">
        <v>758</v>
      </c>
      <c r="N1333">
        <f t="shared" si="36"/>
        <v>28</v>
      </c>
      <c r="O1333" s="7" t="e">
        <f>getCodigoBackend(N1333,A1333,VLOOKUP(N1333,setup!$A$8:$H$58,2),VLOOKUP(N1333,setup!$A$8:$H$58,3),VLOOKUP(N1333,setup!$A$8:$H$58,4),VLOOKUP(N1333,setup!$A$8:$H$58,5),VLOOKUP(N1333,setup!$A$8:$H$58,6),VLOOKUP(N1333,setup!$A$8:$H$58,7), VLOOKUP(0,setup!$A$8:$H$58,2),VLOOKUP(0,setup!$A$8:$H$58,5),VLOOKUP(N1333,setup!$A$8:$H$58,8))</f>
        <v>#VALUE!</v>
      </c>
    </row>
    <row r="1334" spans="1:15" x14ac:dyDescent="0.25">
      <c r="A1334" s="29" t="s">
        <v>754</v>
      </c>
      <c r="N1334">
        <f t="shared" si="36"/>
        <v>28</v>
      </c>
      <c r="O1334" s="7" t="e">
        <f>getCodigoBackend(N1334,A1334,VLOOKUP(N1334,setup!$A$8:$H$58,2),VLOOKUP(N1334,setup!$A$8:$H$58,3),VLOOKUP(N1334,setup!$A$8:$H$58,4),VLOOKUP(N1334,setup!$A$8:$H$58,5),VLOOKUP(N1334,setup!$A$8:$H$58,6),VLOOKUP(N1334,setup!$A$8:$H$58,7), VLOOKUP(0,setup!$A$8:$H$58,2),VLOOKUP(0,setup!$A$8:$H$58,5),VLOOKUP(N1334,setup!$A$8:$H$58,8))</f>
        <v>#VALUE!</v>
      </c>
    </row>
    <row r="1335" spans="1:15" x14ac:dyDescent="0.25">
      <c r="A1335" s="29" t="s">
        <v>759</v>
      </c>
      <c r="N1335">
        <f t="shared" si="36"/>
        <v>28</v>
      </c>
      <c r="O1335" s="7" t="e">
        <f>getCodigoBackend(N1335,A1335,VLOOKUP(N1335,setup!$A$8:$H$58,2),VLOOKUP(N1335,setup!$A$8:$H$58,3),VLOOKUP(N1335,setup!$A$8:$H$58,4),VLOOKUP(N1335,setup!$A$8:$H$58,5),VLOOKUP(N1335,setup!$A$8:$H$58,6),VLOOKUP(N1335,setup!$A$8:$H$58,7), VLOOKUP(0,setup!$A$8:$H$58,2),VLOOKUP(0,setup!$A$8:$H$58,5),VLOOKUP(N1335,setup!$A$8:$H$58,8))</f>
        <v>#VALUE!</v>
      </c>
    </row>
    <row r="1336" spans="1:15" x14ac:dyDescent="0.25">
      <c r="A1336" s="29" t="s">
        <v>406</v>
      </c>
      <c r="N1336">
        <f t="shared" si="36"/>
        <v>28</v>
      </c>
      <c r="O1336" s="7" t="e">
        <f>getCodigoBackend(N1336,A1336,VLOOKUP(N1336,setup!$A$8:$H$58,2),VLOOKUP(N1336,setup!$A$8:$H$58,3),VLOOKUP(N1336,setup!$A$8:$H$58,4),VLOOKUP(N1336,setup!$A$8:$H$58,5),VLOOKUP(N1336,setup!$A$8:$H$58,6),VLOOKUP(N1336,setup!$A$8:$H$58,7), VLOOKUP(0,setup!$A$8:$H$58,2),VLOOKUP(0,setup!$A$8:$H$58,5),VLOOKUP(N1336,setup!$A$8:$H$58,8))</f>
        <v>#VALUE!</v>
      </c>
    </row>
    <row r="1337" spans="1:15" x14ac:dyDescent="0.25">
      <c r="A1337" s="6"/>
      <c r="O1337" s="7" t="str">
        <f ca="1">getCodigoBackend(N1337,A1337,VLOOKUP(N1337,setup!$A$8:$H$58,2),VLOOKUP(N1337,setup!$A$8:$H$58,3),VLOOKUP(N1337,setup!$A$8:$H$58,4),VLOOKUP(N1337,setup!$A$8:$H$58,5),VLOOKUP(N1337,setup!$A$8:$H$58,6),VLOOKUP(N1337,setup!$A$8:$H$58,7), VLOOKUP(0,setup!$A$8:$H$58,2),VLOOKUP(0,setup!$A$8:$H$58,5),VLOOKUP(N1337,setup!$A$8:$H$58,8))</f>
        <v/>
      </c>
    </row>
    <row r="1338" spans="1:15" x14ac:dyDescent="0.25">
      <c r="A1338" s="6"/>
      <c r="O1338" s="7" t="str">
        <f ca="1">getCodigoBackend(N1338,A1338,VLOOKUP(N1338,setup!$A$8:$H$58,2),VLOOKUP(N1338,setup!$A$8:$H$58,3),VLOOKUP(N1338,setup!$A$8:$H$58,4),VLOOKUP(N1338,setup!$A$8:$H$58,5),VLOOKUP(N1338,setup!$A$8:$H$58,6),VLOOKUP(N1338,setup!$A$8:$H$58,7), VLOOKUP(0,setup!$A$8:$H$58,2),VLOOKUP(0,setup!$A$8:$H$58,5),VLOOKUP(N1338,setup!$A$8:$H$58,8))</f>
        <v/>
      </c>
    </row>
    <row r="1339" spans="1:15" x14ac:dyDescent="0.25">
      <c r="A1339" s="4" t="s">
        <v>19</v>
      </c>
      <c r="O1339" s="7" t="str">
        <f ca="1">getCodigoBackend(N1339,A1339,VLOOKUP(N1339,setup!$A$8:$H$58,2),VLOOKUP(N1339,setup!$A$8:$H$58,3),VLOOKUP(N1339,setup!$A$8:$H$58,4),VLOOKUP(N1339,setup!$A$8:$H$58,5),VLOOKUP(N1339,setup!$A$8:$H$58,6),VLOOKUP(N1339,setup!$A$8:$H$58,7), VLOOKUP(0,setup!$A$8:$H$58,2),VLOOKUP(0,setup!$A$8:$H$58,5),VLOOKUP(N1339,setup!$A$8:$H$58,8))</f>
        <v>/**</v>
      </c>
    </row>
    <row r="1340" spans="1:15" x14ac:dyDescent="0.25">
      <c r="A1340" s="4" t="s">
        <v>20</v>
      </c>
      <c r="O1340" s="7" t="str">
        <f ca="1">getCodigoBackend(N1340,A1340,VLOOKUP(N1340,setup!$A$8:$H$58,2),VLOOKUP(N1340,setup!$A$8:$H$58,3),VLOOKUP(N1340,setup!$A$8:$H$58,4),VLOOKUP(N1340,setup!$A$8:$H$58,5),VLOOKUP(N1340,setup!$A$8:$H$58,6),VLOOKUP(N1340,setup!$A$8:$H$58,7), VLOOKUP(0,setup!$A$8:$H$58,2),VLOOKUP(0,setup!$A$8:$H$58,5),VLOOKUP(N1340,setup!$A$8:$H$58,8))</f>
        <v>*</v>
      </c>
    </row>
    <row r="1341" spans="1:15" x14ac:dyDescent="0.25">
      <c r="A1341" s="4" t="s">
        <v>654</v>
      </c>
      <c r="O1341" s="7" t="str">
        <f ca="1">getCodigoBackend(N1341,A1341,VLOOKUP(N1341,setup!$A$8:$H$58,2),VLOOKUP(N1341,setup!$A$8:$H$58,3),VLOOKUP(N1341,setup!$A$8:$H$58,4),VLOOKUP(N1341,setup!$A$8:$H$58,5),VLOOKUP(N1341,setup!$A$8:$H$58,6),VLOOKUP(N1341,setup!$A$8:$H$58,7), VLOOKUP(0,setup!$A$8:$H$58,2),VLOOKUP(0,setup!$A$8:$H$58,5),VLOOKUP(N1341,setup!$A$8:$H$58,8))</f>
        <v>* listarCampanhaCashbackResgatePixUsuaIdPorStatus() - Usado para invocar a interface de acesso aos dados (DAO) CampanhaCashbackResgatePixDAO de forma geral</v>
      </c>
    </row>
    <row r="1342" spans="1:15" x14ac:dyDescent="0.25">
      <c r="A1342" s="4" t="s">
        <v>655</v>
      </c>
      <c r="O1342" s="7" t="str">
        <f ca="1">getCodigoBackend(N1342,A1342,VLOOKUP(N1342,setup!$A$8:$H$58,2),VLOOKUP(N1342,setup!$A$8:$H$58,3),VLOOKUP(N1342,setup!$A$8:$H$58,4),VLOOKUP(N1342,setup!$A$8:$H$58,5),VLOOKUP(N1342,setup!$A$8:$H$58,6),VLOOKUP(N1342,setup!$A$8:$H$58,7), VLOOKUP(0,setup!$A$8:$H$58,2),VLOOKUP(0,setup!$A$8:$H$58,5),VLOOKUP(N1342,setup!$A$8:$H$58,8))</f>
        <v>* realizar lista paginada de registros dos registros do usuário logado com uma instância de PaginacaoDTO</v>
      </c>
    </row>
    <row r="1343" spans="1:15" x14ac:dyDescent="0.25">
      <c r="A1343" s="4" t="s">
        <v>20</v>
      </c>
      <c r="O1343" s="7" t="str">
        <f ca="1">getCodigoBackend(N1343,A1343,VLOOKUP(N1343,setup!$A$8:$H$58,2),VLOOKUP(N1343,setup!$A$8:$H$58,3),VLOOKUP(N1343,setup!$A$8:$H$58,4),VLOOKUP(N1343,setup!$A$8:$H$58,5),VLOOKUP(N1343,setup!$A$8:$H$58,6),VLOOKUP(N1343,setup!$A$8:$H$58,7), VLOOKUP(0,setup!$A$8:$H$58,2),VLOOKUP(0,setup!$A$8:$H$58,5),VLOOKUP(N1343,setup!$A$8:$H$58,8))</f>
        <v>*</v>
      </c>
    </row>
    <row r="1344" spans="1:15" x14ac:dyDescent="0.25">
      <c r="A1344" s="4" t="s">
        <v>361</v>
      </c>
      <c r="O1344" s="7" t="str">
        <f ca="1">getCodigoBackend(N1344,A1344,VLOOKUP(N1344,setup!$A$8:$H$58,2),VLOOKUP(N1344,setup!$A$8:$H$58,3),VLOOKUP(N1344,setup!$A$8:$H$58,4),VLOOKUP(N1344,setup!$A$8:$H$58,5),VLOOKUP(N1344,setup!$A$8:$H$58,6),VLOOKUP(N1344,setup!$A$8:$H$58,7), VLOOKUP(0,setup!$A$8:$H$58,2),VLOOKUP(0,setup!$A$8:$H$58,5),VLOOKUP(N1344,setup!$A$8:$H$58,8))</f>
        <v>* @param $daofactory</v>
      </c>
    </row>
    <row r="1345" spans="1:15" x14ac:dyDescent="0.25">
      <c r="A1345" s="4" t="s">
        <v>651</v>
      </c>
      <c r="O1345" s="7" t="str">
        <f ca="1">getCodigoBackend(N1345,A1345,VLOOKUP(N1345,setup!$A$8:$H$58,2),VLOOKUP(N1345,setup!$A$8:$H$58,3),VLOOKUP(N1345,setup!$A$8:$H$58,4),VLOOKUP(N1345,setup!$A$8:$H$58,5),VLOOKUP(N1345,setup!$A$8:$H$58,6),VLOOKUP(N1345,setup!$A$8:$H$58,7), VLOOKUP(0,setup!$A$8:$H$58,2),VLOOKUP(0,setup!$A$8:$H$58,5),VLOOKUP(N1345,setup!$A$8:$H$58,8))</f>
        <v>* @param $usuaid</v>
      </c>
    </row>
    <row r="1346" spans="1:15" x14ac:dyDescent="0.25">
      <c r="A1346" s="4" t="s">
        <v>350</v>
      </c>
      <c r="O1346" s="7" t="str">
        <f ca="1">getCodigoBackend(N1346,A1346,VLOOKUP(N1346,setup!$A$8:$H$58,2),VLOOKUP(N1346,setup!$A$8:$H$58,3),VLOOKUP(N1346,setup!$A$8:$H$58,4),VLOOKUP(N1346,setup!$A$8:$H$58,5),VLOOKUP(N1346,setup!$A$8:$H$58,6),VLOOKUP(N1346,setup!$A$8:$H$58,7), VLOOKUP(0,setup!$A$8:$H$58,2),VLOOKUP(0,setup!$A$8:$H$58,5),VLOOKUP(N1346,setup!$A$8:$H$58,8))</f>
        <v>* @param $status</v>
      </c>
    </row>
    <row r="1347" spans="1:15" x14ac:dyDescent="0.25">
      <c r="A1347" s="4" t="s">
        <v>342</v>
      </c>
      <c r="O1347" s="7" t="str">
        <f ca="1">getCodigoBackend(N1347,A1347,VLOOKUP(N1347,setup!$A$8:$H$58,2),VLOOKUP(N1347,setup!$A$8:$H$58,3),VLOOKUP(N1347,setup!$A$8:$H$58,4),VLOOKUP(N1347,setup!$A$8:$H$58,5),VLOOKUP(N1347,setup!$A$8:$H$58,6),VLOOKUP(N1347,setup!$A$8:$H$58,7), VLOOKUP(0,setup!$A$8:$H$58,2),VLOOKUP(0,setup!$A$8:$H$58,5),VLOOKUP(N1347,setup!$A$8:$H$58,8))</f>
        <v>* @param $pag</v>
      </c>
    </row>
    <row r="1348" spans="1:15" x14ac:dyDescent="0.25">
      <c r="A1348" s="4" t="s">
        <v>343</v>
      </c>
      <c r="O1348" s="7" t="str">
        <f ca="1">getCodigoBackend(N1348,A1348,VLOOKUP(N1348,setup!$A$8:$H$58,2),VLOOKUP(N1348,setup!$A$8:$H$58,3),VLOOKUP(N1348,setup!$A$8:$H$58,4),VLOOKUP(N1348,setup!$A$8:$H$58,5),VLOOKUP(N1348,setup!$A$8:$H$58,6),VLOOKUP(N1348,setup!$A$8:$H$58,7), VLOOKUP(0,setup!$A$8:$H$58,2),VLOOKUP(0,setup!$A$8:$H$58,5),VLOOKUP(N1348,setup!$A$8:$H$58,8))</f>
        <v>* @param $qtde</v>
      </c>
    </row>
    <row r="1349" spans="1:15" x14ac:dyDescent="0.25">
      <c r="A1349" s="4" t="s">
        <v>351</v>
      </c>
      <c r="O1349" s="7" t="str">
        <f ca="1">getCodigoBackend(N1349,A1349,VLOOKUP(N1349,setup!$A$8:$H$58,2),VLOOKUP(N1349,setup!$A$8:$H$58,3),VLOOKUP(N1349,setup!$A$8:$H$58,4),VLOOKUP(N1349,setup!$A$8:$H$58,5),VLOOKUP(N1349,setup!$A$8:$H$58,6),VLOOKUP(N1349,setup!$A$8:$H$58,7), VLOOKUP(0,setup!$A$8:$H$58,2),VLOOKUP(0,setup!$A$8:$H$58,5),VLOOKUP(N1349,setup!$A$8:$H$58,8))</f>
        <v>* @param $coluna</v>
      </c>
    </row>
    <row r="1350" spans="1:15" x14ac:dyDescent="0.25">
      <c r="A1350" s="4" t="s">
        <v>352</v>
      </c>
      <c r="O1350" s="7" t="str">
        <f ca="1">getCodigoBackend(N1350,A1350,VLOOKUP(N1350,setup!$A$8:$H$58,2),VLOOKUP(N1350,setup!$A$8:$H$58,3),VLOOKUP(N1350,setup!$A$8:$H$58,4),VLOOKUP(N1350,setup!$A$8:$H$58,5),VLOOKUP(N1350,setup!$A$8:$H$58,6),VLOOKUP(N1350,setup!$A$8:$H$58,7), VLOOKUP(0,setup!$A$8:$H$58,2),VLOOKUP(0,setup!$A$8:$H$58,5),VLOOKUP(N1350,setup!$A$8:$H$58,8))</f>
        <v>* @param $ordem</v>
      </c>
    </row>
    <row r="1351" spans="1:15" x14ac:dyDescent="0.25">
      <c r="A1351" s="4" t="s">
        <v>353</v>
      </c>
      <c r="O1351" s="7" t="str">
        <f ca="1">getCodigoBackend(N1351,A1351,VLOOKUP(N1351,setup!$A$8:$H$58,2),VLOOKUP(N1351,setup!$A$8:$H$58,3),VLOOKUP(N1351,setup!$A$8:$H$58,4),VLOOKUP(N1351,setup!$A$8:$H$58,5),VLOOKUP(N1351,setup!$A$8:$H$58,6),VLOOKUP(N1351,setup!$A$8:$H$58,7), VLOOKUP(0,setup!$A$8:$H$58,2),VLOOKUP(0,setup!$A$8:$H$58,5),VLOOKUP(N1351,setup!$A$8:$H$58,8))</f>
        <v>* @return $PaginacaoDTO</v>
      </c>
    </row>
    <row r="1352" spans="1:15" x14ac:dyDescent="0.25">
      <c r="A1352" s="4" t="s">
        <v>21</v>
      </c>
      <c r="O1352" s="7" t="str">
        <f ca="1">getCodigoBackend(N1352,A1352,VLOOKUP(N1352,setup!$A$8:$H$58,2),VLOOKUP(N1352,setup!$A$8:$H$58,3),VLOOKUP(N1352,setup!$A$8:$H$58,4),VLOOKUP(N1352,setup!$A$8:$H$58,5),VLOOKUP(N1352,setup!$A$8:$H$58,6),VLOOKUP(N1352,setup!$A$8:$H$58,7), VLOOKUP(0,setup!$A$8:$H$58,2),VLOOKUP(0,setup!$A$8:$H$58,5),VLOOKUP(N1352,setup!$A$8:$H$58,8))</f>
        <v>*/</v>
      </c>
    </row>
    <row r="1353" spans="1:15" x14ac:dyDescent="0.25">
      <c r="A1353" s="6"/>
      <c r="O1353" s="7" t="str">
        <f ca="1">getCodigoBackend(N1353,A1353,VLOOKUP(N1353,setup!$A$8:$H$58,2),VLOOKUP(N1353,setup!$A$8:$H$58,3),VLOOKUP(N1353,setup!$A$8:$H$58,4),VLOOKUP(N1353,setup!$A$8:$H$58,5),VLOOKUP(N1353,setup!$A$8:$H$58,6),VLOOKUP(N1353,setup!$A$8:$H$58,7), VLOOKUP(0,setup!$A$8:$H$58,2),VLOOKUP(0,setup!$A$8:$H$58,5),VLOOKUP(N1353,setup!$A$8:$H$58,8))</f>
        <v/>
      </c>
    </row>
    <row r="1354" spans="1:15" x14ac:dyDescent="0.25">
      <c r="A1354" s="2" t="s">
        <v>666</v>
      </c>
      <c r="O1354" s="7" t="str">
        <f ca="1">getCodigoBackend(N1354,A1354,VLOOKUP(N1354,setup!$A$8:$H$58,2),VLOOKUP(N1354,setup!$A$8:$H$58,3),VLOOKUP(N1354,setup!$A$8:$H$58,4),VLOOKUP(N1354,setup!$A$8:$H$58,5),VLOOKUP(N1354,setup!$A$8:$H$58,6),VLOOKUP(N1354,setup!$A$8:$H$58,7), VLOOKUP(0,setup!$A$8:$H$58,2),VLOOKUP(0,setup!$A$8:$H$58,5),VLOOKUP(N1354,setup!$A$8:$H$58,8))</f>
        <v xml:space="preserve">    public function listarCampanhaCashbackResgatePixPorUsuaIdStatus($daofactory, $usuaid, $status, $pag, $qtde, $coluna, $ordem)</v>
      </c>
    </row>
    <row r="1355" spans="1:15" x14ac:dyDescent="0.25">
      <c r="A1355" s="6" t="s">
        <v>90</v>
      </c>
      <c r="O1355" s="7" t="str">
        <f ca="1">getCodigoBackend(N1355,A1355,VLOOKUP(N1355,setup!$A$8:$H$58,2),VLOOKUP(N1355,setup!$A$8:$H$58,3),VLOOKUP(N1355,setup!$A$8:$H$58,4),VLOOKUP(N1355,setup!$A$8:$H$58,5),VLOOKUP(N1355,setup!$A$8:$H$58,6),VLOOKUP(N1355,setup!$A$8:$H$58,7), VLOOKUP(0,setup!$A$8:$H$58,2),VLOOKUP(0,setup!$A$8:$H$58,5),VLOOKUP(N1355,setup!$A$8:$H$58,8))</f>
        <v>    {   </v>
      </c>
    </row>
    <row r="1356" spans="1:15" x14ac:dyDescent="0.25">
      <c r="A1356" s="6" t="s">
        <v>188</v>
      </c>
      <c r="O1356" s="7" t="str">
        <f ca="1">getCodigoBackend(N1356,A1356,VLOOKUP(N1356,setup!$A$8:$H$58,2),VLOOKUP(N1356,setup!$A$8:$H$58,3),VLOOKUP(N1356,setup!$A$8:$H$58,4),VLOOKUP(N1356,setup!$A$8:$H$58,5),VLOOKUP(N1356,setup!$A$8:$H$58,6),VLOOKUP(N1356,setup!$A$8:$H$58,7), VLOOKUP(0,setup!$A$8:$H$58,2),VLOOKUP(0,setup!$A$8:$H$58,5),VLOOKUP(N1356,setup!$A$8:$H$58,8))</f>
        <v>        $retorno = new DTOPaginacao();</v>
      </c>
    </row>
    <row r="1357" spans="1:15" x14ac:dyDescent="0.25">
      <c r="A1357" s="6" t="s">
        <v>72</v>
      </c>
      <c r="O1357" s="7" t="str">
        <f ca="1">getCodigoBackend(N1357,A1357,VLOOKUP(N1357,setup!$A$8:$H$58,2),VLOOKUP(N1357,setup!$A$8:$H$58,3),VLOOKUP(N1357,setup!$A$8:$H$58,4),VLOOKUP(N1357,setup!$A$8:$H$58,5),VLOOKUP(N1357,setup!$A$8:$H$58,6),VLOOKUP(N1357,setup!$A$8:$H$58,7), VLOOKUP(0,setup!$A$8:$H$58,2),VLOOKUP(0,setup!$A$8:$H$58,5),VLOOKUP(N1357,setup!$A$8:$H$58,8))</f>
        <v>        $retorno-&gt;msgcode = ConstantesMensagem::COMANDO_REALIZADO_COM_SUCESSO;</v>
      </c>
    </row>
    <row r="1358" spans="1:15" x14ac:dyDescent="0.25">
      <c r="A1358" s="6" t="s">
        <v>73</v>
      </c>
      <c r="O1358" s="7" t="str">
        <f ca="1">getCodigoBackend(N1358,A1358,VLOOKUP(N1358,setup!$A$8:$H$58,2),VLOOKUP(N1358,setup!$A$8:$H$58,3),VLOOKUP(N1358,setup!$A$8:$H$58,4),VLOOKUP(N1358,setup!$A$8:$H$58,5),VLOOKUP(N1358,setup!$A$8:$H$58,6),VLOOKUP(N1358,setup!$A$8:$H$58,7), VLOOKUP(0,setup!$A$8:$H$58,2),VLOOKUP(0,setup!$A$8:$H$58,5),VLOOKUP(N1358,setup!$A$8:$H$58,8))</f>
        <v>        $retorno-&gt;msgcodeString = MensagemCache::getInstance()-&gt;getMensagem($retorno-&gt;msgcode);</v>
      </c>
    </row>
    <row r="1359" spans="1:15" x14ac:dyDescent="0.25">
      <c r="A1359" s="3"/>
      <c r="O1359" s="7" t="str">
        <f ca="1">getCodigoBackend(N1359,A1359,VLOOKUP(N1359,setup!$A$8:$H$58,2),VLOOKUP(N1359,setup!$A$8:$H$58,3),VLOOKUP(N1359,setup!$A$8:$H$58,4),VLOOKUP(N1359,setup!$A$8:$H$58,5),VLOOKUP(N1359,setup!$A$8:$H$58,6),VLOOKUP(N1359,setup!$A$8:$H$58,7), VLOOKUP(0,setup!$A$8:$H$58,2),VLOOKUP(0,setup!$A$8:$H$58,5),VLOOKUP(N1359,setup!$A$8:$H$58,8))</f>
        <v/>
      </c>
    </row>
    <row r="1360" spans="1:15" x14ac:dyDescent="0.25">
      <c r="A1360" s="8" t="s">
        <v>235</v>
      </c>
      <c r="O1360" s="7" t="str">
        <f ca="1">getCodigoBackend(N1360,A1360,VLOOKUP(N1360,setup!$A$8:$H$58,2),VLOOKUP(N1360,setup!$A$8:$H$58,3),VLOOKUP(N1360,setup!$A$8:$H$58,4),VLOOKUP(N1360,setup!$A$8:$H$58,5),VLOOKUP(N1360,setup!$A$8:$H$58,6),VLOOKUP(N1360,setup!$A$8:$H$58,7), VLOOKUP(0,setup!$A$8:$H$58,2),VLOOKUP(0,setup!$A$8:$H$58,5),VLOOKUP(N1360,setup!$A$8:$H$58,8))</f>
        <v xml:space="preserve">        $dao = $daofactory-&gt;getCampanhaCashbackResgatePixDAO($daofactory);</v>
      </c>
    </row>
    <row r="1361" spans="1:15" x14ac:dyDescent="0.25">
      <c r="A1361" s="6" t="s">
        <v>189</v>
      </c>
      <c r="O1361" s="7" t="str">
        <f ca="1">getCodigoBackend(N1361,A1361,VLOOKUP(N1361,setup!$A$8:$H$58,2),VLOOKUP(N1361,setup!$A$8:$H$58,3),VLOOKUP(N1361,setup!$A$8:$H$58,4),VLOOKUP(N1361,setup!$A$8:$H$58,5),VLOOKUP(N1361,setup!$A$8:$H$58,6),VLOOKUP(N1361,setup!$A$8:$H$58,7), VLOOKUP(0,setup!$A$8:$H$58,2),VLOOKUP(0,setup!$A$8:$H$58,5),VLOOKUP(N1361,setup!$A$8:$H$58,8))</f>
        <v>        $retorno-&gt;pagina = $pag;</v>
      </c>
    </row>
    <row r="1362" spans="1:15" x14ac:dyDescent="0.25">
      <c r="A1362" s="8" t="s">
        <v>203</v>
      </c>
      <c r="O1362" s="7" t="str">
        <f ca="1">getCodigoBackend(N1362,A1362,VLOOKUP(N1362,setup!$A$8:$H$58,2),VLOOKUP(N1362,setup!$A$8:$H$58,3),VLOOKUP(N1362,setup!$A$8:$H$58,4),VLOOKUP(N1362,setup!$A$8:$H$58,5),VLOOKUP(N1362,setup!$A$8:$H$58,6),VLOOKUP(N1362,setup!$A$8:$H$58,7), VLOOKUP(0,setup!$A$8:$H$58,2),VLOOKUP(0,setup!$A$8:$H$58,5),VLOOKUP(N1362,setup!$A$8:$H$58,8))</f>
        <v xml:space="preserve">        $retorno-&gt;itensPorPagina = ($qtde == 0 </v>
      </c>
    </row>
    <row r="1363" spans="1:15" x14ac:dyDescent="0.25">
      <c r="A1363" s="6" t="s">
        <v>204</v>
      </c>
      <c r="O1363" s="7" t="str">
        <f ca="1">getCodigoBackend(N1363,A1363,VLOOKUP(N1363,setup!$A$8:$H$58,2),VLOOKUP(N1363,setup!$A$8:$H$58,3),VLOOKUP(N1363,setup!$A$8:$H$58,4),VLOOKUP(N1363,setup!$A$8:$H$58,5),VLOOKUP(N1363,setup!$A$8:$H$58,6),VLOOKUP(N1363,setup!$A$8:$H$58,7), VLOOKUP(0,setup!$A$8:$H$58,2),VLOOKUP(0,setup!$A$8:$H$58,5),VLOOKUP(N1363,setup!$A$8:$H$58,8))</f>
        <v xml:space="preserve">        ? (int) VariavelCache::getInstance()-&gt;getVariavel(ConstantesVariavel::MAXIMO_LINHAS_POR_PAGINA_DEFAULT)</v>
      </c>
    </row>
    <row r="1364" spans="1:15" x14ac:dyDescent="0.25">
      <c r="A1364" s="6" t="s">
        <v>205</v>
      </c>
      <c r="O1364" s="7" t="str">
        <f ca="1">getCodigoBackend(N1364,A1364,VLOOKUP(N1364,setup!$A$8:$H$58,2),VLOOKUP(N1364,setup!$A$8:$H$58,3),VLOOKUP(N1364,setup!$A$8:$H$58,4),VLOOKUP(N1364,setup!$A$8:$H$58,5),VLOOKUP(N1364,setup!$A$8:$H$58,6),VLOOKUP(N1364,setup!$A$8:$H$58,7), VLOOKUP(0,setup!$A$8:$H$58,2),VLOOKUP(0,setup!$A$8:$H$58,5),VLOOKUP(N1364,setup!$A$8:$H$58,8))</f>
        <v xml:space="preserve">        : $qtde);</v>
      </c>
    </row>
    <row r="1365" spans="1:15" x14ac:dyDescent="0.25">
      <c r="A1365" s="6" t="s">
        <v>656</v>
      </c>
      <c r="O1365" s="7" t="str">
        <f ca="1">getCodigoBackend(N1365,A1365,VLOOKUP(N1365,setup!$A$8:$H$58,2),VLOOKUP(N1365,setup!$A$8:$H$58,3),VLOOKUP(N1365,setup!$A$8:$H$58,4),VLOOKUP(N1365,setup!$A$8:$H$58,5),VLOOKUP(N1365,setup!$A$8:$H$58,6),VLOOKUP(N1365,setup!$A$8:$H$58,7), VLOOKUP(0,setup!$A$8:$H$58,2),VLOOKUP(0,setup!$A$8:$H$58,5),VLOOKUP(N1365,setup!$A$8:$H$58,8))</f>
        <v>        $retorno-&gt;totalPaginas = ceil($dao-&gt;countCampanhaCashbackResgatePixPorUsuaIdStatus($usuaid, $status) / $retorno-&gt;itensPorPagina);</v>
      </c>
    </row>
    <row r="1366" spans="1:15" x14ac:dyDescent="0.25">
      <c r="A1366" s="3"/>
      <c r="O1366" s="7" t="str">
        <f ca="1">getCodigoBackend(N1366,A1366,VLOOKUP(N1366,setup!$A$8:$H$58,2),VLOOKUP(N1366,setup!$A$8:$H$58,3),VLOOKUP(N1366,setup!$A$8:$H$58,4),VLOOKUP(N1366,setup!$A$8:$H$58,5),VLOOKUP(N1366,setup!$A$8:$H$58,6),VLOOKUP(N1366,setup!$A$8:$H$58,7), VLOOKUP(0,setup!$A$8:$H$58,2),VLOOKUP(0,setup!$A$8:$H$58,5),VLOOKUP(N1366,setup!$A$8:$H$58,8))</f>
        <v/>
      </c>
    </row>
    <row r="1367" spans="1:15" x14ac:dyDescent="0.25">
      <c r="A1367" s="6" t="s">
        <v>190</v>
      </c>
      <c r="O1367" s="7" t="str">
        <f ca="1">getCodigoBackend(N1367,A1367,VLOOKUP(N1367,setup!$A$8:$H$58,2),VLOOKUP(N1367,setup!$A$8:$H$58,3),VLOOKUP(N1367,setup!$A$8:$H$58,4),VLOOKUP(N1367,setup!$A$8:$H$58,5),VLOOKUP(N1367,setup!$A$8:$H$58,6),VLOOKUP(N1367,setup!$A$8:$H$58,7), VLOOKUP(0,setup!$A$8:$H$58,2),VLOOKUP(0,setup!$A$8:$H$58,5),VLOOKUP(N1367,setup!$A$8:$H$58,8))</f>
        <v>        if($pag &gt; $retorno-&gt;totalPaginas) {</v>
      </c>
    </row>
    <row r="1368" spans="1:15" x14ac:dyDescent="0.25">
      <c r="A1368" s="6" t="s">
        <v>191</v>
      </c>
      <c r="O1368" s="7" t="str">
        <f ca="1">getCodigoBackend(N1368,A1368,VLOOKUP(N1368,setup!$A$8:$H$58,2),VLOOKUP(N1368,setup!$A$8:$H$58,3),VLOOKUP(N1368,setup!$A$8:$H$58,4),VLOOKUP(N1368,setup!$A$8:$H$58,5),VLOOKUP(N1368,setup!$A$8:$H$58,6),VLOOKUP(N1368,setup!$A$8:$H$58,7), VLOOKUP(0,setup!$A$8:$H$58,2),VLOOKUP(0,setup!$A$8:$H$58,5),VLOOKUP(N1368,setup!$A$8:$H$58,8))</f>
        <v>            $retorno-&gt;msgcode = ConstantesMensagem::NAO_EXISTEM_MAIS_PAGINAS_APRESENTAR;</v>
      </c>
    </row>
    <row r="1369" spans="1:15" x14ac:dyDescent="0.25">
      <c r="A1369" s="6" t="s">
        <v>88</v>
      </c>
      <c r="O1369" s="7" t="str">
        <f ca="1">getCodigoBackend(N1369,A1369,VLOOKUP(N1369,setup!$A$8:$H$58,2),VLOOKUP(N1369,setup!$A$8:$H$58,3),VLOOKUP(N1369,setup!$A$8:$H$58,4),VLOOKUP(N1369,setup!$A$8:$H$58,5),VLOOKUP(N1369,setup!$A$8:$H$58,6),VLOOKUP(N1369,setup!$A$8:$H$58,7), VLOOKUP(0,setup!$A$8:$H$58,2),VLOOKUP(0,setup!$A$8:$H$58,5),VLOOKUP(N1369,setup!$A$8:$H$58,8))</f>
        <v>            $retorno-&gt;msgcodeString = MensagemCache::getInstance()-&gt;getMensagem($retorno-&gt;msgcode);</v>
      </c>
    </row>
    <row r="1370" spans="1:15" x14ac:dyDescent="0.25">
      <c r="A1370" s="6" t="s">
        <v>192</v>
      </c>
      <c r="O1370" s="7" t="str">
        <f ca="1">getCodigoBackend(N1370,A1370,VLOOKUP(N1370,setup!$A$8:$H$58,2),VLOOKUP(N1370,setup!$A$8:$H$58,3),VLOOKUP(N1370,setup!$A$8:$H$58,4),VLOOKUP(N1370,setup!$A$8:$H$58,5),VLOOKUP(N1370,setup!$A$8:$H$58,6),VLOOKUP(N1370,setup!$A$8:$H$58,7), VLOOKUP(0,setup!$A$8:$H$58,2),VLOOKUP(0,setup!$A$8:$H$58,5),VLOOKUP(N1370,setup!$A$8:$H$58,8))</f>
        <v>            return $retorno;</v>
      </c>
    </row>
    <row r="1371" spans="1:15" x14ac:dyDescent="0.25">
      <c r="A1371" s="6" t="s">
        <v>157</v>
      </c>
      <c r="O1371" s="7" t="str">
        <f ca="1">getCodigoBackend(N1371,A1371,VLOOKUP(N1371,setup!$A$8:$H$58,2),VLOOKUP(N1371,setup!$A$8:$H$58,3),VLOOKUP(N1371,setup!$A$8:$H$58,4),VLOOKUP(N1371,setup!$A$8:$H$58,5),VLOOKUP(N1371,setup!$A$8:$H$58,6),VLOOKUP(N1371,setup!$A$8:$H$58,7), VLOOKUP(0,setup!$A$8:$H$58,2),VLOOKUP(0,setup!$A$8:$H$58,5),VLOOKUP(N1371,setup!$A$8:$H$58,8))</f>
        <v xml:space="preserve">        }</v>
      </c>
    </row>
    <row r="1372" spans="1:15" x14ac:dyDescent="0.25">
      <c r="A1372" s="8" t="s">
        <v>657</v>
      </c>
      <c r="O1372" s="7" t="str">
        <f ca="1">getCodigoBackend(N1372,A1372,VLOOKUP(N1372,setup!$A$8:$H$58,2),VLOOKUP(N1372,setup!$A$8:$H$58,3),VLOOKUP(N1372,setup!$A$8:$H$58,4),VLOOKUP(N1372,setup!$A$8:$H$58,5),VLOOKUP(N1372,setup!$A$8:$H$58,6),VLOOKUP(N1372,setup!$A$8:$H$58,7), VLOOKUP(0,setup!$A$8:$H$58,2),VLOOKUP(0,setup!$A$8:$H$58,5),VLOOKUP(N1372,setup!$A$8:$H$58,8))</f>
        <v xml:space="preserve">        $retorno-&gt;lst = $dao-&gt;listCampanhaCashbackResgatePixPorUsuaIdStatus($usuaid, $status, $pag, $qtde, $coluna, $ordem);</v>
      </c>
    </row>
    <row r="1373" spans="1:15" x14ac:dyDescent="0.25">
      <c r="A1373" s="3"/>
      <c r="O1373" s="7" t="str">
        <f ca="1">getCodigoBackend(N1373,A1373,VLOOKUP(N1373,setup!$A$8:$H$58,2),VLOOKUP(N1373,setup!$A$8:$H$58,3),VLOOKUP(N1373,setup!$A$8:$H$58,4),VLOOKUP(N1373,setup!$A$8:$H$58,5),VLOOKUP(N1373,setup!$A$8:$H$58,6),VLOOKUP(N1373,setup!$A$8:$H$58,7), VLOOKUP(0,setup!$A$8:$H$58,2),VLOOKUP(0,setup!$A$8:$H$58,5),VLOOKUP(N1373,setup!$A$8:$H$58,8))</f>
        <v/>
      </c>
    </row>
    <row r="1374" spans="1:15" x14ac:dyDescent="0.25">
      <c r="A1374" s="6" t="s">
        <v>61</v>
      </c>
      <c r="O1374" s="7" t="str">
        <f ca="1">getCodigoBackend(N1374,A1374,VLOOKUP(N1374,setup!$A$8:$H$58,2),VLOOKUP(N1374,setup!$A$8:$H$58,3),VLOOKUP(N1374,setup!$A$8:$H$58,4),VLOOKUP(N1374,setup!$A$8:$H$58,5),VLOOKUP(N1374,setup!$A$8:$H$58,6),VLOOKUP(N1374,setup!$A$8:$H$58,7), VLOOKUP(0,setup!$A$8:$H$58,2),VLOOKUP(0,setup!$A$8:$H$58,5),VLOOKUP(N1374,setup!$A$8:$H$58,8))</f>
        <v>        return $retorno;</v>
      </c>
    </row>
    <row r="1375" spans="1:15" x14ac:dyDescent="0.25">
      <c r="A1375" s="6" t="s">
        <v>62</v>
      </c>
      <c r="O1375" s="7" t="str">
        <f ca="1">getCodigoBackend(N1375,A1375,VLOOKUP(N1375,setup!$A$8:$H$58,2),VLOOKUP(N1375,setup!$A$8:$H$58,3),VLOOKUP(N1375,setup!$A$8:$H$58,4),VLOOKUP(N1375,setup!$A$8:$H$58,5),VLOOKUP(N1375,setup!$A$8:$H$58,6),VLOOKUP(N1375,setup!$A$8:$H$58,7), VLOOKUP(0,setup!$A$8:$H$58,2),VLOOKUP(0,setup!$A$8:$H$58,5),VLOOKUP(N1375,setup!$A$8:$H$58,8))</f>
        <v>    }</v>
      </c>
    </row>
    <row r="1376" spans="1:15" x14ac:dyDescent="0.25">
      <c r="A1376" s="6"/>
      <c r="O1376" s="7" t="str">
        <f ca="1">getCodigoBackend(N1376,A1376,VLOOKUP(N1376,setup!$A$8:$H$58,2),VLOOKUP(N1376,setup!$A$8:$H$58,3),VLOOKUP(N1376,setup!$A$8:$H$58,4),VLOOKUP(N1376,setup!$A$8:$H$58,5),VLOOKUP(N1376,setup!$A$8:$H$58,6),VLOOKUP(N1376,setup!$A$8:$H$58,7), VLOOKUP(0,setup!$A$8:$H$58,2),VLOOKUP(0,setup!$A$8:$H$58,5),VLOOKUP(N1376,setup!$A$8:$H$58,8))</f>
        <v/>
      </c>
    </row>
    <row r="1377" spans="1:15" x14ac:dyDescent="0.25">
      <c r="A1377" s="6"/>
      <c r="O1377" s="7" t="str">
        <f ca="1">getCodigoBackend(N1377,A1377,VLOOKUP(N1377,setup!$A$8:$H$58,2),VLOOKUP(N1377,setup!$A$8:$H$58,3),VLOOKUP(N1377,setup!$A$8:$H$58,4),VLOOKUP(N1377,setup!$A$8:$H$58,5),VLOOKUP(N1377,setup!$A$8:$H$58,6),VLOOKUP(N1377,setup!$A$8:$H$58,7), VLOOKUP(0,setup!$A$8:$H$58,2),VLOOKUP(0,setup!$A$8:$H$58,5),VLOOKUP(N1377,setup!$A$8:$H$58,8))</f>
        <v/>
      </c>
    </row>
    <row r="1378" spans="1:15" x14ac:dyDescent="0.25">
      <c r="A1378" s="6"/>
      <c r="O1378" s="7" t="str">
        <f ca="1">getCodigoBackend(N1378,A1378,VLOOKUP(N1378,setup!$A$8:$H$58,2),VLOOKUP(N1378,setup!$A$8:$H$58,3),VLOOKUP(N1378,setup!$A$8:$H$58,4),VLOOKUP(N1378,setup!$A$8:$H$58,5),VLOOKUP(N1378,setup!$A$8:$H$58,6),VLOOKUP(N1378,setup!$A$8:$H$58,7), VLOOKUP(0,setup!$A$8:$H$58,2),VLOOKUP(0,setup!$A$8:$H$58,5),VLOOKUP(N1378,setup!$A$8:$H$58,8))</f>
        <v/>
      </c>
    </row>
    <row r="1379" spans="1:15" x14ac:dyDescent="0.25">
      <c r="A1379" s="6"/>
      <c r="O1379" s="7" t="str">
        <f ca="1">getCodigoBackend(N1379,A1379,VLOOKUP(N1379,setup!$A$8:$H$58,2),VLOOKUP(N1379,setup!$A$8:$H$58,3),VLOOKUP(N1379,setup!$A$8:$H$58,4),VLOOKUP(N1379,setup!$A$8:$H$58,5),VLOOKUP(N1379,setup!$A$8:$H$58,6),VLOOKUP(N1379,setup!$A$8:$H$58,7), VLOOKUP(0,setup!$A$8:$H$58,2),VLOOKUP(0,setup!$A$8:$H$58,5),VLOOKUP(N1379,setup!$A$8:$H$58,8))</f>
        <v/>
      </c>
    </row>
    <row r="1380" spans="1:15" x14ac:dyDescent="0.25">
      <c r="A1380" s="6"/>
      <c r="O1380" s="7" t="str">
        <f ca="1">getCodigoBackend(N1380,A1380,VLOOKUP(N1380,setup!$A$8:$H$58,2),VLOOKUP(N1380,setup!$A$8:$H$58,3),VLOOKUP(N1380,setup!$A$8:$H$58,4),VLOOKUP(N1380,setup!$A$8:$H$58,5),VLOOKUP(N1380,setup!$A$8:$H$58,6),VLOOKUP(N1380,setup!$A$8:$H$58,7), VLOOKUP(0,setup!$A$8:$H$58,2),VLOOKUP(0,setup!$A$8:$H$58,5),VLOOKUP(N1380,setup!$A$8:$H$58,8))</f>
        <v/>
      </c>
    </row>
    <row r="1381" spans="1:15" x14ac:dyDescent="0.25">
      <c r="A1381" s="6"/>
      <c r="O1381" s="7" t="str">
        <f ca="1">getCodigoBackend(N1381,A1381,VLOOKUP(N1381,setup!$A$8:$H$58,2),VLOOKUP(N1381,setup!$A$8:$H$58,3),VLOOKUP(N1381,setup!$A$8:$H$58,4),VLOOKUP(N1381,setup!$A$8:$H$58,5),VLOOKUP(N1381,setup!$A$8:$H$58,6),VLOOKUP(N1381,setup!$A$8:$H$58,7), VLOOKUP(0,setup!$A$8:$H$58,2),VLOOKUP(0,setup!$A$8:$H$58,5),VLOOKUP(N1381,setup!$A$8:$H$58,8))</f>
        <v/>
      </c>
    </row>
    <row r="1382" spans="1:15" x14ac:dyDescent="0.25">
      <c r="A1382" s="6"/>
      <c r="O1382" s="7" t="str">
        <f ca="1">getCodigoBackend(N1382,A1382,VLOOKUP(N1382,setup!$A$8:$H$58,2),VLOOKUP(N1382,setup!$A$8:$H$58,3),VLOOKUP(N1382,setup!$A$8:$H$58,4),VLOOKUP(N1382,setup!$A$8:$H$58,5),VLOOKUP(N1382,setup!$A$8:$H$58,6),VLOOKUP(N1382,setup!$A$8:$H$58,7), VLOOKUP(0,setup!$A$8:$H$58,2),VLOOKUP(0,setup!$A$8:$H$58,5),VLOOKUP(N1382,setup!$A$8:$H$58,8))</f>
        <v/>
      </c>
    </row>
    <row r="1383" spans="1:15" x14ac:dyDescent="0.25">
      <c r="A1383" s="4" t="s">
        <v>19</v>
      </c>
      <c r="N1383" s="7"/>
      <c r="O1383" s="7" t="str">
        <f ca="1">getCodigoBackend(N1383,A1383,VLOOKUP(N1383,setup!$A$8:$H$58,2),VLOOKUP(N1383,setup!$A$8:$H$58,3),VLOOKUP(N1383,setup!$A$8:$H$58,4),VLOOKUP(N1383,setup!$A$8:$H$58,5),VLOOKUP(N1383,setup!$A$8:$H$58,6),VLOOKUP(N1383,setup!$A$8:$H$58,7), VLOOKUP(0,setup!$A$8:$H$58,2),VLOOKUP(0,setup!$A$8:$H$58,5),VLOOKUP(N1383,setup!$A$8:$H$58,8))</f>
        <v>/**</v>
      </c>
    </row>
    <row r="1384" spans="1:15" x14ac:dyDescent="0.25">
      <c r="A1384" s="4" t="s">
        <v>403</v>
      </c>
      <c r="N1384" s="7"/>
      <c r="O1384" s="7" t="str">
        <f ca="1">getCodigoBackend(N1384,A1384,VLOOKUP(N1384,setup!$A$8:$H$58,2),VLOOKUP(N1384,setup!$A$8:$H$58,3),VLOOKUP(N1384,setup!$A$8:$H$58,4),VLOOKUP(N1384,setup!$A$8:$H$58,5),VLOOKUP(N1384,setup!$A$8:$H$58,6),VLOOKUP(N1384,setup!$A$8:$H$58,7), VLOOKUP(0,setup!$A$8:$H$58,2),VLOOKUP(0,setup!$A$8:$H$58,5),VLOOKUP(N1384,setup!$A$8:$H$58,8))</f>
        <v>* validarTamanhoCampo()</v>
      </c>
    </row>
    <row r="1385" spans="1:15" x14ac:dyDescent="0.25">
      <c r="A1385" s="4" t="s">
        <v>20</v>
      </c>
      <c r="N1385" s="7"/>
      <c r="O1385" s="7" t="str">
        <f ca="1">getCodigoBackend(N1385,A1385,VLOOKUP(N1385,setup!$A$8:$H$58,2),VLOOKUP(N1385,setup!$A$8:$H$58,3),VLOOKUP(N1385,setup!$A$8:$H$58,4),VLOOKUP(N1385,setup!$A$8:$H$58,5),VLOOKUP(N1385,setup!$A$8:$H$58,6),VLOOKUP(N1385,setup!$A$8:$H$58,7), VLOOKUP(0,setup!$A$8:$H$58,2),VLOOKUP(0,setup!$A$8:$H$58,5),VLOOKUP(N1385,setup!$A$8:$H$58,8))</f>
        <v>*</v>
      </c>
    </row>
    <row r="1386" spans="1:15" x14ac:dyDescent="0.25">
      <c r="A1386" s="4" t="s">
        <v>394</v>
      </c>
      <c r="N1386" s="7"/>
      <c r="O1386" s="7" t="str">
        <f ca="1">getCodigoBackend(N1386,A1386,VLOOKUP(N1386,setup!$A$8:$H$58,2),VLOOKUP(N1386,setup!$A$8:$H$58,3),VLOOKUP(N1386,setup!$A$8:$H$58,4),VLOOKUP(N1386,setup!$A$8:$H$58,5),VLOOKUP(N1386,setup!$A$8:$H$58,6),VLOOKUP(N1386,setup!$A$8:$H$58,7), VLOOKUP(0,setup!$A$8:$H$58,2),VLOOKUP(0,setup!$A$8:$H$58,5),VLOOKUP(N1386,setup!$A$8:$H$58,8))</f>
        <v>* Validador de tamanho de campos CampanhaCashbackResgatePixDTO</v>
      </c>
    </row>
    <row r="1387" spans="1:15" x14ac:dyDescent="0.25">
      <c r="A1387" s="4" t="s">
        <v>20</v>
      </c>
      <c r="N1387" s="7"/>
      <c r="O1387" s="7" t="str">
        <f ca="1">getCodigoBackend(N1387,A1387,VLOOKUP(N1387,setup!$A$8:$H$58,2),VLOOKUP(N1387,setup!$A$8:$H$58,3),VLOOKUP(N1387,setup!$A$8:$H$58,4),VLOOKUP(N1387,setup!$A$8:$H$58,5),VLOOKUP(N1387,setup!$A$8:$H$58,6),VLOOKUP(N1387,setup!$A$8:$H$58,7), VLOOKUP(0,setup!$A$8:$H$58,2),VLOOKUP(0,setup!$A$8:$H$58,5),VLOOKUP(N1387,setup!$A$8:$H$58,8))</f>
        <v>*</v>
      </c>
    </row>
    <row r="1388" spans="1:15" x14ac:dyDescent="0.25">
      <c r="A1388" s="4" t="s">
        <v>395</v>
      </c>
      <c r="N1388" s="7"/>
      <c r="O1388" s="7" t="str">
        <f ca="1">getCodigoBackend(N1388,A1388,VLOOKUP(N1388,setup!$A$8:$H$58,2),VLOOKUP(N1388,setup!$A$8:$H$58,3),VLOOKUP(N1388,setup!$A$8:$H$58,4),VLOOKUP(N1388,setup!$A$8:$H$58,5),VLOOKUP(N1388,setup!$A$8:$H$58,6),VLOOKUP(N1388,setup!$A$8:$H$58,7), VLOOKUP(0,setup!$A$8:$H$58,2),VLOOKUP(0,setup!$A$8:$H$58,5),VLOOKUP(N1388,setup!$A$8:$H$58,8))</f>
        <v>* @param $campo</v>
      </c>
    </row>
    <row r="1389" spans="1:15" x14ac:dyDescent="0.25">
      <c r="A1389" s="4" t="s">
        <v>396</v>
      </c>
      <c r="N1389" s="7"/>
      <c r="O1389" s="7" t="str">
        <f ca="1">getCodigoBackend(N1389,A1389,VLOOKUP(N1389,setup!$A$8:$H$58,2),VLOOKUP(N1389,setup!$A$8:$H$58,3),VLOOKUP(N1389,setup!$A$8:$H$58,4),VLOOKUP(N1389,setup!$A$8:$H$58,5),VLOOKUP(N1389,setup!$A$8:$H$58,6),VLOOKUP(N1389,setup!$A$8:$H$58,7), VLOOKUP(0,setup!$A$8:$H$58,2),VLOOKUP(0,setup!$A$8:$H$58,5),VLOOKUP(N1389,setup!$A$8:$H$58,8))</f>
        <v>* @param $tamanho</v>
      </c>
    </row>
    <row r="1390" spans="1:15" x14ac:dyDescent="0.25">
      <c r="A1390" s="4" t="s">
        <v>397</v>
      </c>
      <c r="N1390" s="7"/>
      <c r="O1390" s="7" t="str">
        <f ca="1">getCodigoBackend(N1390,A1390,VLOOKUP(N1390,setup!$A$8:$H$58,2),VLOOKUP(N1390,setup!$A$8:$H$58,3),VLOOKUP(N1390,setup!$A$8:$H$58,4),VLOOKUP(N1390,setup!$A$8:$H$58,5),VLOOKUP(N1390,setup!$A$8:$H$58,6),VLOOKUP(N1390,setup!$A$8:$H$58,7), VLOOKUP(0,setup!$A$8:$H$58,2),VLOOKUP(0,setup!$A$8:$H$58,5),VLOOKUP(N1390,setup!$A$8:$H$58,8))</f>
        <v>* @param $coment</v>
      </c>
    </row>
    <row r="1391" spans="1:15" x14ac:dyDescent="0.25">
      <c r="A1391" s="4" t="s">
        <v>20</v>
      </c>
      <c r="N1391" s="7"/>
      <c r="O1391" s="7" t="str">
        <f ca="1">getCodigoBackend(N1391,A1391,VLOOKUP(N1391,setup!$A$8:$H$58,2),VLOOKUP(N1391,setup!$A$8:$H$58,3),VLOOKUP(N1391,setup!$A$8:$H$58,4),VLOOKUP(N1391,setup!$A$8:$H$58,5),VLOOKUP(N1391,setup!$A$8:$H$58,6),VLOOKUP(N1391,setup!$A$8:$H$58,7), VLOOKUP(0,setup!$A$8:$H$58,2),VLOOKUP(0,setup!$A$8:$H$58,5),VLOOKUP(N1391,setup!$A$8:$H$58,8))</f>
        <v>*</v>
      </c>
    </row>
    <row r="1392" spans="1:15" x14ac:dyDescent="0.25">
      <c r="A1392" s="4" t="s">
        <v>398</v>
      </c>
      <c r="N1392" s="7"/>
      <c r="O1392" s="7" t="str">
        <f ca="1">getCodigoBackend(N1392,A1392,VLOOKUP(N1392,setup!$A$8:$H$58,2),VLOOKUP(N1392,setup!$A$8:$H$58,3),VLOOKUP(N1392,setup!$A$8:$H$58,4),VLOOKUP(N1392,setup!$A$8:$H$58,5),VLOOKUP(N1392,setup!$A$8:$H$58,6),VLOOKUP(N1392,setup!$A$8:$H$58,7), VLOOKUP(0,setup!$A$8:$H$58,2),VLOOKUP(0,setup!$A$8:$H$58,5),VLOOKUP(N1392,setup!$A$8:$H$58,8))</f>
        <v>* @return DTOPadrao</v>
      </c>
    </row>
    <row r="1393" spans="1:15" x14ac:dyDescent="0.25">
      <c r="A1393" s="4" t="s">
        <v>360</v>
      </c>
      <c r="N1393" s="7"/>
      <c r="O1393" s="7" t="str">
        <f ca="1">getCodigoBackend(N1393,A1393,VLOOKUP(N1393,setup!$A$8:$H$58,2),VLOOKUP(N1393,setup!$A$8:$H$58,3),VLOOKUP(N1393,setup!$A$8:$H$58,4),VLOOKUP(N1393,setup!$A$8:$H$58,5),VLOOKUP(N1393,setup!$A$8:$H$58,6),VLOOKUP(N1393,setup!$A$8:$H$58,7), VLOOKUP(0,setup!$A$8:$H$58,2),VLOOKUP(0,setup!$A$8:$H$58,5),VLOOKUP(N1393,setup!$A$8:$H$58,8))</f>
        <v xml:space="preserve">*/ </v>
      </c>
    </row>
    <row r="1394" spans="1:15" x14ac:dyDescent="0.25">
      <c r="A1394" s="2" t="s">
        <v>399</v>
      </c>
      <c r="N1394" s="7"/>
      <c r="O1394" s="7" t="str">
        <f ca="1">getCodigoBackend(N1394,A1394,VLOOKUP(N1394,setup!$A$8:$H$58,2),VLOOKUP(N1394,setup!$A$8:$H$58,3),VLOOKUP(N1394,setup!$A$8:$H$58,4),VLOOKUP(N1394,setup!$A$8:$H$58,5),VLOOKUP(N1394,setup!$A$8:$H$58,6),VLOOKUP(N1394,setup!$A$8:$H$58,7), VLOOKUP(0,setup!$A$8:$H$58,2),VLOOKUP(0,setup!$A$8:$H$58,5),VLOOKUP(N1394,setup!$A$8:$H$58,8))</f>
        <v xml:space="preserve">    public function validarTamanhoCampo($campo, $tamanho, $coment)    </v>
      </c>
    </row>
    <row r="1395" spans="1:15" x14ac:dyDescent="0.25">
      <c r="A1395" s="6" t="s">
        <v>379</v>
      </c>
      <c r="N1395" s="7"/>
      <c r="O1395" s="7" t="str">
        <f ca="1">getCodigoBackend(N1395,A1395,VLOOKUP(N1395,setup!$A$8:$H$58,2),VLOOKUP(N1395,setup!$A$8:$H$58,3),VLOOKUP(N1395,setup!$A$8:$H$58,4),VLOOKUP(N1395,setup!$A$8:$H$58,5),VLOOKUP(N1395,setup!$A$8:$H$58,6),VLOOKUP(N1395,setup!$A$8:$H$58,7), VLOOKUP(0,setup!$A$8:$H$58,2),VLOOKUP(0,setup!$A$8:$H$58,5),VLOOKUP(N1395,setup!$A$8:$H$58,8))</f>
        <v xml:space="preserve">    {</v>
      </c>
    </row>
    <row r="1396" spans="1:15" x14ac:dyDescent="0.25">
      <c r="A1396" s="4" t="s">
        <v>207</v>
      </c>
      <c r="N1396" s="7"/>
      <c r="O1396" s="7" t="str">
        <f ca="1">getCodigoBackend(N1396,A1396,VLOOKUP(N1396,setup!$A$8:$H$58,2),VLOOKUP(N1396,setup!$A$8:$H$58,3),VLOOKUP(N1396,setup!$A$8:$H$58,4),VLOOKUP(N1396,setup!$A$8:$H$58,5),VLOOKUP(N1396,setup!$A$8:$H$58,6),VLOOKUP(N1396,setup!$A$8:$H$58,7), VLOOKUP(0,setup!$A$8:$H$58,2),VLOOKUP(0,setup!$A$8:$H$58,5),VLOOKUP(N1396,setup!$A$8:$H$58,8))</f>
        <v xml:space="preserve">       // retorno default</v>
      </c>
    </row>
    <row r="1397" spans="1:15" x14ac:dyDescent="0.25">
      <c r="A1397" s="8" t="s">
        <v>208</v>
      </c>
      <c r="N1397" s="7"/>
      <c r="O1397" s="7" t="str">
        <f ca="1">getCodigoBackend(N1397,A1397,VLOOKUP(N1397,setup!$A$8:$H$58,2),VLOOKUP(N1397,setup!$A$8:$H$58,3),VLOOKUP(N1397,setup!$A$8:$H$58,4),VLOOKUP(N1397,setup!$A$8:$H$58,5),VLOOKUP(N1397,setup!$A$8:$H$58,6),VLOOKUP(N1397,setup!$A$8:$H$58,7), VLOOKUP(0,setup!$A$8:$H$58,2),VLOOKUP(0,setup!$A$8:$H$58,5),VLOOKUP(N1397,setup!$A$8:$H$58,8))</f>
        <v xml:space="preserve">       $retorno = new DTOPadrao();</v>
      </c>
    </row>
    <row r="1398" spans="1:15" x14ac:dyDescent="0.25">
      <c r="A1398" s="8" t="s">
        <v>209</v>
      </c>
      <c r="N1398" s="7"/>
      <c r="O1398" s="7" t="str">
        <f ca="1">getCodigoBackend(N1398,A1398,VLOOKUP(N1398,setup!$A$8:$H$58,2),VLOOKUP(N1398,setup!$A$8:$H$58,3),VLOOKUP(N1398,setup!$A$8:$H$58,4),VLOOKUP(N1398,setup!$A$8:$H$58,5),VLOOKUP(N1398,setup!$A$8:$H$58,6),VLOOKUP(N1398,setup!$A$8:$H$58,7), VLOOKUP(0,setup!$A$8:$H$58,2),VLOOKUP(0,setup!$A$8:$H$58,5),VLOOKUP(N1398,setup!$A$8:$H$58,8))</f>
        <v xml:space="preserve">       $retorno-&gt;msgcode = ConstantesMensagem::COMANDO_REALIZADO_COM_SUCESSO;</v>
      </c>
    </row>
    <row r="1399" spans="1:15" x14ac:dyDescent="0.25">
      <c r="A1399" s="8" t="s">
        <v>210</v>
      </c>
      <c r="N1399" s="7"/>
      <c r="O1399" s="7" t="str">
        <f ca="1">getCodigoBackend(N1399,A1399,VLOOKUP(N1399,setup!$A$8:$H$58,2),VLOOKUP(N1399,setup!$A$8:$H$58,3),VLOOKUP(N1399,setup!$A$8:$H$58,4),VLOOKUP(N1399,setup!$A$8:$H$58,5),VLOOKUP(N1399,setup!$A$8:$H$58,6),VLOOKUP(N1399,setup!$A$8:$H$58,7), VLOOKUP(0,setup!$A$8:$H$58,2),VLOOKUP(0,setup!$A$8:$H$58,5),VLOOKUP(N1399,setup!$A$8:$H$58,8))</f>
        <v xml:space="preserve">       $retorno-&gt;msgcodeString = MensagemCache::getInstance()-&gt;getMensagem($retorno-&gt;msgcode);</v>
      </c>
    </row>
    <row r="1400" spans="1:15" x14ac:dyDescent="0.25">
      <c r="A1400" s="5" t="s">
        <v>211</v>
      </c>
      <c r="N1400" s="7"/>
      <c r="O1400" s="7" t="str">
        <f ca="1">getCodigoBackend(N1400,A1400,VLOOKUP(N1400,setup!$A$8:$H$58,2),VLOOKUP(N1400,setup!$A$8:$H$58,3),VLOOKUP(N1400,setup!$A$8:$H$58,4),VLOOKUP(N1400,setup!$A$8:$H$58,5),VLOOKUP(N1400,setup!$A$8:$H$58,6),VLOOKUP(N1400,setup!$A$8:$H$58,7), VLOOKUP(0,setup!$A$8:$H$58,2),VLOOKUP(0,setup!$A$8:$H$58,5),VLOOKUP(N1400,setup!$A$8:$H$58,8))</f>
        <v xml:space="preserve">   </v>
      </c>
    </row>
    <row r="1401" spans="1:15" x14ac:dyDescent="0.25">
      <c r="A1401" s="8" t="s">
        <v>400</v>
      </c>
      <c r="O1401" s="7" t="str">
        <f ca="1">getCodigoBackend(N1401,A1401,VLOOKUP(N1401,setup!$A$8:$H$58,2),VLOOKUP(N1401,setup!$A$8:$H$58,3),VLOOKUP(N1401,setup!$A$8:$H$58,4),VLOOKUP(N1401,setup!$A$8:$H$58,5),VLOOKUP(N1401,setup!$A$8:$H$58,6),VLOOKUP(N1401,setup!$A$8:$H$58,7), VLOOKUP(0,setup!$A$8:$H$58,2),VLOOKUP(0,setup!$A$8:$H$58,5),VLOOKUP(N1401,setup!$A$8:$H$58,8))</f>
        <v xml:space="preserve">       if(strlen($campo) &gt; $tamanho){</v>
      </c>
    </row>
    <row r="1402" spans="1:15" x14ac:dyDescent="0.25">
      <c r="A1402" s="8" t="s">
        <v>212</v>
      </c>
      <c r="O1402" s="7" t="str">
        <f ca="1">getCodigoBackend(N1402,A1402,VLOOKUP(N1402,setup!$A$8:$H$58,2),VLOOKUP(N1402,setup!$A$8:$H$58,3),VLOOKUP(N1402,setup!$A$8:$H$58,4),VLOOKUP(N1402,setup!$A$8:$H$58,5),VLOOKUP(N1402,setup!$A$8:$H$58,6),VLOOKUP(N1402,setup!$A$8:$H$58,7), VLOOKUP(0,setup!$A$8:$H$58,2),VLOOKUP(0,setup!$A$8:$H$58,5),VLOOKUP(N1402,setup!$A$8:$H$58,8))</f>
        <v xml:space="preserve">          $retorno-&gt;msgcode = ConstantesMensagem::TAMANHO_DO_CAMPO_EXCEDE_LIMITE_PERMITIDO;</v>
      </c>
    </row>
    <row r="1403" spans="1:15" x14ac:dyDescent="0.25">
      <c r="A1403" s="6" t="s">
        <v>213</v>
      </c>
      <c r="O1403" s="7" t="str">
        <f ca="1">getCodigoBackend(N1403,A1403,VLOOKUP(N1403,setup!$A$8:$H$58,2),VLOOKUP(N1403,setup!$A$8:$H$58,3),VLOOKUP(N1403,setup!$A$8:$H$58,4),VLOOKUP(N1403,setup!$A$8:$H$58,5),VLOOKUP(N1403,setup!$A$8:$H$58,6),VLOOKUP(N1403,setup!$A$8:$H$58,7), VLOOKUP(0,setup!$A$8:$H$58,2),VLOOKUP(0,setup!$A$8:$H$58,5),VLOOKUP(N1403,setup!$A$8:$H$58,8))</f>
        <v xml:space="preserve">          $retorno-&gt;msgcodeString = MensagemCache::getInstance()-&gt;getMensagemParametrizada($retorno-&gt;msgcode</v>
      </c>
    </row>
    <row r="1404" spans="1:15" x14ac:dyDescent="0.25">
      <c r="A1404" s="14" t="s">
        <v>214</v>
      </c>
      <c r="O1404" s="7" t="str">
        <f ca="1">getCodigoBackend(N1404,A1404,VLOOKUP(N1404,setup!$A$8:$H$58,2),VLOOKUP(N1404,setup!$A$8:$H$58,3),VLOOKUP(N1404,setup!$A$8:$H$58,4),VLOOKUP(N1404,setup!$A$8:$H$58,5),VLOOKUP(N1404,setup!$A$8:$H$58,6),VLOOKUP(N1404,setup!$A$8:$H$58,7), VLOOKUP(0,setup!$A$8:$H$58,2),VLOOKUP(0,setup!$A$8:$H$58,5),VLOOKUP(N1404,setup!$A$8:$H$58,8))</f>
        <v xml:space="preserve">          ,[</v>
      </c>
    </row>
    <row r="1405" spans="1:15" x14ac:dyDescent="0.25">
      <c r="A1405" s="14" t="s">
        <v>401</v>
      </c>
      <c r="O1405" s="7" t="str">
        <f ca="1">getCodigoBackend(N1405,A1405,VLOOKUP(N1405,setup!$A$8:$H$58,2),VLOOKUP(N1405,setup!$A$8:$H$58,3),VLOOKUP(N1405,setup!$A$8:$H$58,4),VLOOKUP(N1405,setup!$A$8:$H$58,5),VLOOKUP(N1405,setup!$A$8:$H$58,6),VLOOKUP(N1405,setup!$A$8:$H$58,7), VLOOKUP(0,setup!$A$8:$H$58,2),VLOOKUP(0,setup!$A$8:$H$58,5),VLOOKUP(N1405,setup!$A$8:$H$58,8))</f>
        <v xml:space="preserve">             ConstantesVariavel::P1 =&gt; $coment,</v>
      </c>
    </row>
    <row r="1406" spans="1:15" x14ac:dyDescent="0.25">
      <c r="A1406" s="6" t="s">
        <v>402</v>
      </c>
      <c r="O1406" s="7" t="str">
        <f ca="1">getCodigoBackend(N1406,A1406,VLOOKUP(N1406,setup!$A$8:$H$58,2),VLOOKUP(N1406,setup!$A$8:$H$58,3),VLOOKUP(N1406,setup!$A$8:$H$58,4),VLOOKUP(N1406,setup!$A$8:$H$58,5),VLOOKUP(N1406,setup!$A$8:$H$58,6),VLOOKUP(N1406,setup!$A$8:$H$58,7), VLOOKUP(0,setup!$A$8:$H$58,2),VLOOKUP(0,setup!$A$8:$H$58,5),VLOOKUP(N1406,setup!$A$8:$H$58,8))</f>
        <v xml:space="preserve">             ConstantesVariavel::P2 =&gt; $tamanho,</v>
      </c>
    </row>
    <row r="1407" spans="1:15" x14ac:dyDescent="0.25">
      <c r="A1407" s="6" t="s">
        <v>215</v>
      </c>
      <c r="O1407" s="7" t="str">
        <f ca="1">getCodigoBackend(N1407,A1407,VLOOKUP(N1407,setup!$A$8:$H$58,2),VLOOKUP(N1407,setup!$A$8:$H$58,3),VLOOKUP(N1407,setup!$A$8:$H$58,4),VLOOKUP(N1407,setup!$A$8:$H$58,5),VLOOKUP(N1407,setup!$A$8:$H$58,6),VLOOKUP(N1407,setup!$A$8:$H$58,7), VLOOKUP(0,setup!$A$8:$H$58,2),VLOOKUP(0,setup!$A$8:$H$58,5),VLOOKUP(N1407,setup!$A$8:$H$58,8))</f>
        <v xml:space="preserve">           ]);</v>
      </c>
    </row>
    <row r="1408" spans="1:15" x14ac:dyDescent="0.25">
      <c r="A1408" s="5" t="s">
        <v>180</v>
      </c>
      <c r="O1408" s="7" t="str">
        <f ca="1">getCodigoBackend(N1408,A1408,VLOOKUP(N1408,setup!$A$8:$H$58,2),VLOOKUP(N1408,setup!$A$8:$H$58,3),VLOOKUP(N1408,setup!$A$8:$H$58,4),VLOOKUP(N1408,setup!$A$8:$H$58,5),VLOOKUP(N1408,setup!$A$8:$H$58,6),VLOOKUP(N1408,setup!$A$8:$H$58,7), VLOOKUP(0,setup!$A$8:$H$58,2),VLOOKUP(0,setup!$A$8:$H$58,5),VLOOKUP(N1408,setup!$A$8:$H$58,8))</f>
        <v xml:space="preserve">       }</v>
      </c>
    </row>
    <row r="1409" spans="1:15" x14ac:dyDescent="0.25">
      <c r="A1409" s="6" t="s">
        <v>218</v>
      </c>
      <c r="O1409" s="7" t="str">
        <f ca="1">getCodigoBackend(N1409,A1409,VLOOKUP(N1409,setup!$A$8:$H$58,2),VLOOKUP(N1409,setup!$A$8:$H$58,3),VLOOKUP(N1409,setup!$A$8:$H$58,4),VLOOKUP(N1409,setup!$A$8:$H$58,5),VLOOKUP(N1409,setup!$A$8:$H$58,6),VLOOKUP(N1409,setup!$A$8:$H$58,7), VLOOKUP(0,setup!$A$8:$H$58,2),VLOOKUP(0,setup!$A$8:$H$58,5),VLOOKUP(N1409,setup!$A$8:$H$58,8))</f>
        <v xml:space="preserve">       return $retorno;</v>
      </c>
    </row>
    <row r="1410" spans="1:15" x14ac:dyDescent="0.25">
      <c r="A1410" s="6" t="s">
        <v>162</v>
      </c>
      <c r="O1410" s="7" t="str">
        <f ca="1">getCodigoBackend(N1410,A1410,VLOOKUP(N1410,setup!$A$8:$H$58,2),VLOOKUP(N1410,setup!$A$8:$H$58,3),VLOOKUP(N1410,setup!$A$8:$H$58,4),VLOOKUP(N1410,setup!$A$8:$H$58,5),VLOOKUP(N1410,setup!$A$8:$H$58,6),VLOOKUP(N1410,setup!$A$8:$H$58,7), VLOOKUP(0,setup!$A$8:$H$58,2),VLOOKUP(0,setup!$A$8:$H$58,5),VLOOKUP(N1410,setup!$A$8:$H$58,8))</f>
        <v xml:space="preserve">   }</v>
      </c>
    </row>
    <row r="1411" spans="1:15" x14ac:dyDescent="0.25">
      <c r="A1411" s="6"/>
      <c r="O1411" s="7" t="str">
        <f ca="1">getCodigoBackend(N1411,A1411,VLOOKUP(N1411,setup!$A$8:$H$58,2),VLOOKUP(N1411,setup!$A$8:$H$58,3),VLOOKUP(N1411,setup!$A$8:$H$58,4),VLOOKUP(N1411,setup!$A$8:$H$58,5),VLOOKUP(N1411,setup!$A$8:$H$58,6),VLOOKUP(N1411,setup!$A$8:$H$58,7), VLOOKUP(0,setup!$A$8:$H$58,2),VLOOKUP(0,setup!$A$8:$H$58,5),VLOOKUP(N1411,setup!$A$8:$H$58,8))</f>
        <v/>
      </c>
    </row>
    <row r="1412" spans="1:15" x14ac:dyDescent="0.25">
      <c r="A1412" s="6"/>
      <c r="O1412" s="7" t="str">
        <f ca="1">getCodigoBackend(N1412,A1412,VLOOKUP(N1412,setup!$A$8:$H$58,2),VLOOKUP(N1412,setup!$A$8:$H$58,3),VLOOKUP(N1412,setup!$A$8:$H$58,4),VLOOKUP(N1412,setup!$A$8:$H$58,5),VLOOKUP(N1412,setup!$A$8:$H$58,6),VLOOKUP(N1412,setup!$A$8:$H$58,7), VLOOKUP(0,setup!$A$8:$H$58,2),VLOOKUP(0,setup!$A$8:$H$58,5),VLOOKUP(N1412,setup!$A$8:$H$58,8))</f>
        <v/>
      </c>
    </row>
    <row r="1413" spans="1:15" x14ac:dyDescent="0.25">
      <c r="A1413" s="6" t="s">
        <v>28</v>
      </c>
      <c r="O1413" s="7" t="str">
        <f ca="1">getCodigoBackend(N1413,A1413,VLOOKUP(N1413,setup!$A$8:$H$58,2),VLOOKUP(N1413,setup!$A$8:$H$58,3),VLOOKUP(N1413,setup!$A$8:$H$58,4),VLOOKUP(N1413,setup!$A$8:$H$58,5),VLOOKUP(N1413,setup!$A$8:$H$58,6),VLOOKUP(N1413,setup!$A$8:$H$58,7), VLOOKUP(0,setup!$A$8:$H$58,2),VLOOKUP(0,setup!$A$8:$H$58,5),VLOOKUP(N1413,setup!$A$8:$H$58,8))</f>
        <v>}</v>
      </c>
    </row>
    <row r="1414" spans="1:15" x14ac:dyDescent="0.25">
      <c r="A1414" s="2" t="s">
        <v>29</v>
      </c>
      <c r="O1414" s="7" t="str">
        <f ca="1">getCodigoBackend(N1414,A1414,VLOOKUP(N1414,setup!$A$8:$H$58,2),VLOOKUP(N1414,setup!$A$8:$H$58,3),VLOOKUP(N1414,setup!$A$8:$H$58,4),VLOOKUP(N1414,setup!$A$8:$H$58,5),VLOOKUP(N1414,setup!$A$8:$H$58,6),VLOOKUP(N1414,setup!$A$8:$H$58,7), VLOOKUP(0,setup!$A$8:$H$58,2),VLOOKUP(0,setup!$A$8:$H$58,5),VLOOKUP(N1414,setup!$A$8:$H$58,8))</f>
        <v>?&gt;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46AC4-EEAB-4744-B6BF-87719354F741}">
  <sheetPr codeName="Sheet7"/>
  <dimension ref="A3:O305"/>
  <sheetViews>
    <sheetView topLeftCell="A118" workbookViewId="0">
      <selection activeCell="O118" sqref="O1:O1048576"/>
    </sheetView>
  </sheetViews>
  <sheetFormatPr defaultRowHeight="15" x14ac:dyDescent="0.25"/>
  <sheetData>
    <row r="3" spans="1:15" x14ac:dyDescent="0.25">
      <c r="A3" s="2"/>
      <c r="O3" t="str">
        <f>SUBSTITUTE(SUBSTITUTE(A3,"${dto}",setup!$C$3),"${pk}",setup!$E$8)</f>
        <v/>
      </c>
    </row>
    <row r="4" spans="1:15" x14ac:dyDescent="0.25">
      <c r="A4" s="2" t="s">
        <v>16</v>
      </c>
      <c r="O4" s="7" t="str">
        <f ca="1">getCodigoBackend(N4,A4,VLOOKUP(N4,setup!$A$8:$H$58,2),VLOOKUP(N4,setup!$A$8:$H$58,3),VLOOKUP(N4,setup!$A$8:$H$58,4),VLOOKUP(N4,setup!$A$8:$H$58,5),VLOOKUP(N4,setup!$A$8:$H$58,6),VLOOKUP(N4,setup!$A$8:$H$58,7), VLOOKUP(0,setup!$A$8:$H$58,2),VLOOKUP(0,setup!$A$8:$H$58,5),VLOOKUP(N4,setup!$A$8:$H$58,8))</f>
        <v>&lt;?php</v>
      </c>
    </row>
    <row r="5" spans="1:15" x14ac:dyDescent="0.25">
      <c r="O5" s="7" t="str">
        <f ca="1">getCodigoBackend(N5,A5,VLOOKUP(N5,setup!$A$8:$H$58,2),VLOOKUP(N5,setup!$A$8:$H$58,3),VLOOKUP(N5,setup!$A$8:$H$58,4),VLOOKUP(N5,setup!$A$8:$H$58,5),VLOOKUP(N5,setup!$A$8:$H$58,6),VLOOKUP(N5,setup!$A$8:$H$58,7), VLOOKUP(0,setup!$A$8:$H$58,2),VLOOKUP(0,setup!$A$8:$H$58,5),VLOOKUP(N5,setup!$A$8:$H$58,8))</f>
        <v/>
      </c>
    </row>
    <row r="6" spans="1:15" x14ac:dyDescent="0.25">
      <c r="A6" s="5" t="s">
        <v>117</v>
      </c>
      <c r="O6" s="7" t="str">
        <f ca="1">getCodigoBackend(N6,A6,VLOOKUP(N6,setup!$A$8:$H$58,2),VLOOKUP(N6,setup!$A$8:$H$58,3),VLOOKUP(N6,setup!$A$8:$H$58,4),VLOOKUP(N6,setup!$A$8:$H$58,5),VLOOKUP(N6,setup!$A$8:$H$58,6),VLOOKUP(N6,setup!$A$8:$H$58,7), VLOOKUP(0,setup!$A$8:$H$58,2),VLOOKUP(0,setup!$A$8:$H$58,5),VLOOKUP(N6,setup!$A$8:$H$58,8))</f>
        <v>require_once '../interfaces/DAO.php';</v>
      </c>
    </row>
    <row r="7" spans="1:15" x14ac:dyDescent="0.25">
      <c r="O7" s="7" t="str">
        <f ca="1">getCodigoBackend(N7,A7,VLOOKUP(N7,setup!$A$8:$H$58,2),VLOOKUP(N7,setup!$A$8:$H$58,3),VLOOKUP(N7,setup!$A$8:$H$58,4),VLOOKUP(N7,setup!$A$8:$H$58,5),VLOOKUP(N7,setup!$A$8:$H$58,6),VLOOKUP(N7,setup!$A$8:$H$58,7), VLOOKUP(0,setup!$A$8:$H$58,2),VLOOKUP(0,setup!$A$8:$H$58,5),VLOOKUP(N7,setup!$A$8:$H$58,8))</f>
        <v/>
      </c>
    </row>
    <row r="8" spans="1:15" x14ac:dyDescent="0.25">
      <c r="A8" s="4" t="s">
        <v>19</v>
      </c>
      <c r="O8" s="7" t="str">
        <f ca="1">getCodigoBackend(N8,A8,VLOOKUP(N8,setup!$A$8:$H$58,2),VLOOKUP(N8,setup!$A$8:$H$58,3),VLOOKUP(N8,setup!$A$8:$H$58,4),VLOOKUP(N8,setup!$A$8:$H$58,5),VLOOKUP(N8,setup!$A$8:$H$58,6),VLOOKUP(N8,setup!$A$8:$H$58,7), VLOOKUP(0,setup!$A$8:$H$58,2),VLOOKUP(0,setup!$A$8:$H$58,5),VLOOKUP(N8,setup!$A$8:$H$58,8))</f>
        <v>/**</v>
      </c>
    </row>
    <row r="9" spans="1:15" x14ac:dyDescent="0.25">
      <c r="A9" s="4" t="s">
        <v>20</v>
      </c>
      <c r="O9" s="7" t="str">
        <f ca="1">getCodigoBackend(N9,A9,VLOOKUP(N9,setup!$A$8:$H$58,2),VLOOKUP(N9,setup!$A$8:$H$58,3),VLOOKUP(N9,setup!$A$8:$H$58,4),VLOOKUP(N9,setup!$A$8:$H$58,5),VLOOKUP(N9,setup!$A$8:$H$58,6),VLOOKUP(N9,setup!$A$8:$H$58,7), VLOOKUP(0,setup!$A$8:$H$58,2),VLOOKUP(0,setup!$A$8:$H$58,5),VLOOKUP(N9,setup!$A$8:$H$58,8))</f>
        <v>*</v>
      </c>
    </row>
    <row r="10" spans="1:15" x14ac:dyDescent="0.25">
      <c r="A10" s="4" t="s">
        <v>297</v>
      </c>
      <c r="O10" s="7" t="str">
        <f ca="1">getCodigoBackend(N10,A10,VLOOKUP(N10,setup!$A$8:$H$58,2),VLOOKUP(N10,setup!$A$8:$H$58,3),VLOOKUP(N10,setup!$A$8:$H$58,4),VLOOKUP(N10,setup!$A$8:$H$58,5),VLOOKUP(N10,setup!$A$8:$H$58,6),VLOOKUP(N10,setup!$A$8:$H$58,7), VLOOKUP(0,setup!$A$8:$H$58,2),VLOOKUP(0,setup!$A$8:$H$58,5),VLOOKUP(N10,setup!$A$8:$H$58,8))</f>
        <v>* CampanhaCashbackResgatePixDAO - Interface dos métodos de acesso aos dados da tabela CAMPANHA_CASHBACK_RESGATE_PIX</v>
      </c>
    </row>
    <row r="11" spans="1:15" x14ac:dyDescent="0.25">
      <c r="A11" s="4" t="s">
        <v>298</v>
      </c>
      <c r="O11" s="7" t="str">
        <f ca="1">getCodigoBackend(N11,A11,VLOOKUP(N11,setup!$A$8:$H$58,2),VLOOKUP(N11,setup!$A$8:$H$58,3),VLOOKUP(N11,setup!$A$8:$H$58,4),VLOOKUP(N11,setup!$A$8:$H$58,5),VLOOKUP(N11,setup!$A$8:$H$58,6),VLOOKUP(N11,setup!$A$8:$H$58,7), VLOOKUP(0,setup!$A$8:$H$58,2),VLOOKUP(0,setup!$A$8:$H$58,5),VLOOKUP(N11,setup!$A$8:$H$58,8))</f>
        <v xml:space="preserve">* Camada de dados CampanhaCashbackResgatePix - camada responsável SOMENTE pela acesso aos dados do sistema. </v>
      </c>
    </row>
    <row r="12" spans="1:15" x14ac:dyDescent="0.25">
      <c r="A12" s="4" t="s">
        <v>255</v>
      </c>
      <c r="O12" s="7" t="str">
        <f ca="1">getCodigoBackend(N12,A12,VLOOKUP(N12,setup!$A$8:$H$58,2),VLOOKUP(N12,setup!$A$8:$H$58,3),VLOOKUP(N12,setup!$A$8:$H$58,4),VLOOKUP(N12,setup!$A$8:$H$58,5),VLOOKUP(N12,setup!$A$8:$H$58,6),VLOOKUP(N12,setup!$A$8:$H$58,7), VLOOKUP(0,setup!$A$8:$H$58,2),VLOOKUP(0,setup!$A$8:$H$58,5),VLOOKUP(N12,setup!$A$8:$H$58,8))</f>
        <v xml:space="preserve">* Não é uma camada visível para outros dispositivos, como as camadas de apresentação e aplicação. </v>
      </c>
    </row>
    <row r="13" spans="1:15" x14ac:dyDescent="0.25">
      <c r="A13" s="4" t="s">
        <v>20</v>
      </c>
      <c r="O13" s="7" t="str">
        <f ca="1">getCodigoBackend(N13,A13,VLOOKUP(N13,setup!$A$8:$H$58,2),VLOOKUP(N13,setup!$A$8:$H$58,3),VLOOKUP(N13,setup!$A$8:$H$58,4),VLOOKUP(N13,setup!$A$8:$H$58,5),VLOOKUP(N13,setup!$A$8:$H$58,6),VLOOKUP(N13,setup!$A$8:$H$58,7), VLOOKUP(0,setup!$A$8:$H$58,2),VLOOKUP(0,setup!$A$8:$H$58,5),VLOOKUP(N13,setup!$A$8:$H$58,8))</f>
        <v>*</v>
      </c>
    </row>
    <row r="14" spans="1:15" x14ac:dyDescent="0.25">
      <c r="A14" s="4" t="s">
        <v>260</v>
      </c>
      <c r="O14" s="7" t="str">
        <f ca="1">getCodigoBackend(N14,A14,VLOOKUP(N14,setup!$A$8:$H$58,2),VLOOKUP(N14,setup!$A$8:$H$58,3),VLOOKUP(N14,setup!$A$8:$H$58,4),VLOOKUP(N14,setup!$A$8:$H$58,5),VLOOKUP(N14,setup!$A$8:$H$58,6),VLOOKUP(N14,setup!$A$8:$H$58,7), VLOOKUP(0,setup!$A$8:$H$58,2),VLOOKUP(0,setup!$A$8:$H$58,5),VLOOKUP(N14,setup!$A$8:$H$58,8))</f>
        <v>* Changelog:</v>
      </c>
    </row>
    <row r="15" spans="1:15" x14ac:dyDescent="0.25">
      <c r="A15" s="4" t="s">
        <v>75</v>
      </c>
      <c r="O15" s="7" t="str">
        <f ca="1">getCodigoBackend(N15,A15,VLOOKUP(N15,setup!$A$8:$H$58,2),VLOOKUP(N15,setup!$A$8:$H$58,3),VLOOKUP(N15,setup!$A$8:$H$58,4),VLOOKUP(N15,setup!$A$8:$H$58,5),VLOOKUP(N15,setup!$A$8:$H$58,6),VLOOKUP(N15,setup!$A$8:$H$58,7), VLOOKUP(0,setup!$A$8:$H$58,2),VLOOKUP(0,setup!$A$8:$H$58,5),VLOOKUP(N15,setup!$A$8:$H$58,8))</f>
        <v xml:space="preserve">* </v>
      </c>
    </row>
    <row r="16" spans="1:15" x14ac:dyDescent="0.25">
      <c r="A16" s="4" t="s">
        <v>254</v>
      </c>
      <c r="O16" s="7" t="str">
        <f ca="1">getCodigoBackend(N16,A16,VLOOKUP(N16,setup!$A$8:$H$58,2),VLOOKUP(N16,setup!$A$8:$H$58,3),VLOOKUP(N16,setup!$A$8:$H$58,4),VLOOKUP(N16,setup!$A$8:$H$58,5),VLOOKUP(N16,setup!$A$8:$H$58,6),VLOOKUP(N16,setup!$A$8:$H$58,7), VLOOKUP(0,setup!$A$8:$H$58,2),VLOOKUP(0,setup!$A$8:$H$58,5),VLOOKUP(N16,setup!$A$8:$H$58,8))</f>
        <v>* @autor Julio Cesar Vitorino</v>
      </c>
    </row>
    <row r="17" spans="1:15" x14ac:dyDescent="0.25">
      <c r="A17" s="4" t="s">
        <v>240</v>
      </c>
      <c r="O17" s="7" t="str">
        <f ca="1">getCodigoBackend(N17,A17,VLOOKUP(N17,setup!$A$8:$H$58,2),VLOOKUP(N17,setup!$A$8:$H$58,3),VLOOKUP(N17,setup!$A$8:$H$58,4),VLOOKUP(N17,setup!$A$8:$H$58,5),VLOOKUP(N17,setup!$A$8:$H$58,6),VLOOKUP(N17,setup!$A$8:$H$58,7), VLOOKUP(0,setup!$A$8:$H$58,2),VLOOKUP(0,setup!$A$8:$H$58,5),VLOOKUP(N17,setup!$A$8:$H$58,8))</f>
        <v>* @since 26/07/2021 15:11:48</v>
      </c>
    </row>
    <row r="18" spans="1:15" x14ac:dyDescent="0.25">
      <c r="A18" s="4" t="s">
        <v>20</v>
      </c>
      <c r="O18" s="7" t="str">
        <f ca="1">getCodigoBackend(N18,A18,VLOOKUP(N18,setup!$A$8:$H$58,2),VLOOKUP(N18,setup!$A$8:$H$58,3),VLOOKUP(N18,setup!$A$8:$H$58,4),VLOOKUP(N18,setup!$A$8:$H$58,5),VLOOKUP(N18,setup!$A$8:$H$58,6),VLOOKUP(N18,setup!$A$8:$H$58,7), VLOOKUP(0,setup!$A$8:$H$58,2),VLOOKUP(0,setup!$A$8:$H$58,5),VLOOKUP(N18,setup!$A$8:$H$58,8))</f>
        <v>*</v>
      </c>
    </row>
    <row r="19" spans="1:15" x14ac:dyDescent="0.25">
      <c r="A19" s="4" t="s">
        <v>21</v>
      </c>
      <c r="O19" s="7" t="str">
        <f ca="1">getCodigoBackend(N19,A19,VLOOKUP(N19,setup!$A$8:$H$58,2),VLOOKUP(N19,setup!$A$8:$H$58,3),VLOOKUP(N19,setup!$A$8:$H$58,4),VLOOKUP(N19,setup!$A$8:$H$58,5),VLOOKUP(N19,setup!$A$8:$H$58,6),VLOOKUP(N19,setup!$A$8:$H$58,7), VLOOKUP(0,setup!$A$8:$H$58,2),VLOOKUP(0,setup!$A$8:$H$58,5),VLOOKUP(N19,setup!$A$8:$H$58,8))</f>
        <v>*/</v>
      </c>
    </row>
    <row r="20" spans="1:15" x14ac:dyDescent="0.25">
      <c r="A20" s="4"/>
      <c r="O20" s="7" t="str">
        <f ca="1">getCodigoBackend(N20,A20,VLOOKUP(N20,setup!$A$8:$H$58,2),VLOOKUP(N20,setup!$A$8:$H$58,3),VLOOKUP(N20,setup!$A$8:$H$58,4),VLOOKUP(N20,setup!$A$8:$H$58,5),VLOOKUP(N20,setup!$A$8:$H$58,6),VLOOKUP(N20,setup!$A$8:$H$58,7), VLOOKUP(0,setup!$A$8:$H$58,2),VLOOKUP(0,setup!$A$8:$H$58,5),VLOOKUP(N20,setup!$A$8:$H$58,8))</f>
        <v/>
      </c>
    </row>
    <row r="21" spans="1:15" x14ac:dyDescent="0.25">
      <c r="A21" s="2" t="s">
        <v>292</v>
      </c>
      <c r="O21" s="7" t="str">
        <f ca="1">getCodigoBackend(N21,A21,VLOOKUP(N21,setup!$A$8:$H$58,2),VLOOKUP(N21,setup!$A$8:$H$58,3),VLOOKUP(N21,setup!$A$8:$H$58,4),VLOOKUP(N21,setup!$A$8:$H$58,5),VLOOKUP(N21,setup!$A$8:$H$58,6),VLOOKUP(N21,setup!$A$8:$H$58,7), VLOOKUP(0,setup!$A$8:$H$58,2),VLOOKUP(0,setup!$A$8:$H$58,5),VLOOKUP(N21,setup!$A$8:$H$58,8))</f>
        <v>interface CampanhaCashbackResgatePixDAO extends DAO</v>
      </c>
    </row>
    <row r="22" spans="1:15" x14ac:dyDescent="0.25">
      <c r="A22" s="6" t="s">
        <v>22</v>
      </c>
      <c r="O22" s="7" t="str">
        <f ca="1">getCodigoBackend(N22,A22,VLOOKUP(N22,setup!$A$8:$H$58,2),VLOOKUP(N22,setup!$A$8:$H$58,3),VLOOKUP(N22,setup!$A$8:$H$58,4),VLOOKUP(N22,setup!$A$8:$H$58,5),VLOOKUP(N22,setup!$A$8:$H$58,6),VLOOKUP(N22,setup!$A$8:$H$58,7), VLOOKUP(0,setup!$A$8:$H$58,2),VLOOKUP(0,setup!$A$8:$H$58,5),VLOOKUP(N22,setup!$A$8:$H$58,8))</f>
        <v>{</v>
      </c>
    </row>
    <row r="23" spans="1:15" x14ac:dyDescent="0.25">
      <c r="A23" s="6" t="s">
        <v>293</v>
      </c>
      <c r="O23" s="7" t="str">
        <f ca="1">getCodigoBackend(N23,A23,VLOOKUP(N23,setup!$A$8:$H$58,2),VLOOKUP(N23,setup!$A$8:$H$58,3),VLOOKUP(N23,setup!$A$8:$H$58,4),VLOOKUP(N23,setup!$A$8:$H$58,5),VLOOKUP(N23,setup!$A$8:$H$58,6),VLOOKUP(N23,setup!$A$8:$H$58,7), VLOOKUP(0,setup!$A$8:$H$58,2),VLOOKUP(0,setup!$A$8:$H$58,5),VLOOKUP(N23,setup!$A$8:$H$58,8))</f>
        <v>    public function updateStatus($id, $status);</v>
      </c>
    </row>
    <row r="24" spans="1:15" x14ac:dyDescent="0.25">
      <c r="A24" s="2" t="s">
        <v>294</v>
      </c>
      <c r="O24" s="7" t="str">
        <f ca="1">getCodigoBackend(N24,A24,VLOOKUP(N24,setup!$A$8:$H$58,2),VLOOKUP(N24,setup!$A$8:$H$58,3),VLOOKUP(N24,setup!$A$8:$H$58,4),VLOOKUP(N24,setup!$A$8:$H$58,5),VLOOKUP(N24,setup!$A$8:$H$58,6),VLOOKUP(N24,setup!$A$8:$H$58,7), VLOOKUP(0,setup!$A$8:$H$58,2),VLOOKUP(0,setup!$A$8:$H$58,5),VLOOKUP(N24,setup!$A$8:$H$58,8))</f>
        <v xml:space="preserve">    public function listCampanhaCashbackResgatePixStatus($status);</v>
      </c>
    </row>
    <row r="25" spans="1:15" x14ac:dyDescent="0.25">
      <c r="A25" s="2" t="s">
        <v>295</v>
      </c>
      <c r="O25" s="7" t="str">
        <f ca="1">getCodigoBackend(N25,A25,VLOOKUP(N25,setup!$A$8:$H$58,2),VLOOKUP(N25,setup!$A$8:$H$58,3),VLOOKUP(N25,setup!$A$8:$H$58,4),VLOOKUP(N25,setup!$A$8:$H$58,5),VLOOKUP(N25,setup!$A$8:$H$58,6),VLOOKUP(N25,setup!$A$8:$H$58,7), VLOOKUP(0,setup!$A$8:$H$58,2),VLOOKUP(0,setup!$A$8:$H$58,5),VLOOKUP(N25,setup!$A$8:$H$58,8))</f>
        <v xml:space="preserve">    public function countCampanhaCashbackResgatePixPorStatus($status);</v>
      </c>
    </row>
    <row r="26" spans="1:15" x14ac:dyDescent="0.25">
      <c r="A26" s="2" t="s">
        <v>296</v>
      </c>
      <c r="O26" s="7" t="str">
        <f ca="1">getCodigoBackend(N26,A26,VLOOKUP(N26,setup!$A$8:$H$58,2),VLOOKUP(N26,setup!$A$8:$H$58,3),VLOOKUP(N26,setup!$A$8:$H$58,4),VLOOKUP(N26,setup!$A$8:$H$58,5),VLOOKUP(N26,setup!$A$8:$H$58,6),VLOOKUP(N26,setup!$A$8:$H$58,7), VLOOKUP(0,setup!$A$8:$H$58,2),VLOOKUP(0,setup!$A$8:$H$58,5),VLOOKUP(N26,setup!$A$8:$H$58,8))</f>
        <v xml:space="preserve">    public function listCampanhaCashbackResgatePixPorStatus($status, $pag, $qtde, $coluna, $ordem);</v>
      </c>
    </row>
    <row r="27" spans="1:15" x14ac:dyDescent="0.25">
      <c r="A27" s="2" t="s">
        <v>658</v>
      </c>
      <c r="O27" s="7" t="str">
        <f ca="1">getCodigoBackend(N27,A27,VLOOKUP(N27,setup!$A$8:$H$58,2),VLOOKUP(N27,setup!$A$8:$H$58,3),VLOOKUP(N27,setup!$A$8:$H$58,4),VLOOKUP(N27,setup!$A$8:$H$58,5),VLOOKUP(N27,setup!$A$8:$H$58,6),VLOOKUP(N27,setup!$A$8:$H$58,7), VLOOKUP(0,setup!$A$8:$H$58,2),VLOOKUP(0,setup!$A$8:$H$58,5),VLOOKUP(N27,setup!$A$8:$H$58,8))</f>
        <v xml:space="preserve">    public function countCampanhaCashbackResgatePixPorUsuaIdStatus($usuaid, $status);</v>
      </c>
    </row>
    <row r="28" spans="1:15" x14ac:dyDescent="0.25">
      <c r="A28" s="2" t="s">
        <v>659</v>
      </c>
      <c r="O28" s="7" t="str">
        <f ca="1">getCodigoBackend(N28,A28,VLOOKUP(N28,setup!$A$8:$H$58,2),VLOOKUP(N28,setup!$A$8:$H$58,3),VLOOKUP(N28,setup!$A$8:$H$58,4),VLOOKUP(N28,setup!$A$8:$H$58,5),VLOOKUP(N28,setup!$A$8:$H$58,6),VLOOKUP(N28,setup!$A$8:$H$58,7), VLOOKUP(0,setup!$A$8:$H$58,2),VLOOKUP(0,setup!$A$8:$H$58,5),VLOOKUP(N28,setup!$A$8:$H$58,8))</f>
        <v xml:space="preserve">    public function listCampanhaCashbackResgatePixPorUsuaIdStatus($usuaid, $status, $pag, $qtde, $coluna, $ordem);</v>
      </c>
    </row>
    <row r="29" spans="1:15" x14ac:dyDescent="0.25">
      <c r="A29" s="2"/>
      <c r="O29" s="7" t="str">
        <f ca="1">getCodigoBackend(N29,A29,VLOOKUP(N29,setup!$A$8:$H$58,2),VLOOKUP(N29,setup!$A$8:$H$58,3),VLOOKUP(N29,setup!$A$8:$H$58,4),VLOOKUP(N29,setup!$A$8:$H$58,5),VLOOKUP(N29,setup!$A$8:$H$58,6),VLOOKUP(N29,setup!$A$8:$H$58,7), VLOOKUP(0,setup!$A$8:$H$58,2),VLOOKUP(0,setup!$A$8:$H$58,5),VLOOKUP(N29,setup!$A$8:$H$58,8))</f>
        <v/>
      </c>
    </row>
    <row r="30" spans="1:15" x14ac:dyDescent="0.25">
      <c r="A30" s="29" t="s">
        <v>806</v>
      </c>
      <c r="N30">
        <v>1</v>
      </c>
      <c r="O30" s="7" t="str">
        <f ca="1">getCodigoBackend(N30,A30,VLOOKUP(N30,setup!$A$8:$H$58,2),VLOOKUP(N30,setup!$A$8:$H$58,3),VLOOKUP(N30,setup!$A$8:$H$58,4),VLOOKUP(N30,setup!$A$8:$H$58,5),VLOOKUP(N30,setup!$A$8:$H$58,6),VLOOKUP(N30,setup!$A$8:$H$58,7), VLOOKUP(0,setup!$A$8:$H$58,2),VLOOKUP(0,setup!$A$8:$H$58,5),VLOOKUP(N30,setup!$A$8:$H$58,8))</f>
        <v xml:space="preserve">    public function loadMaxIdcampanhacashbackPK($idCampanhaCashback,$status);</v>
      </c>
    </row>
    <row r="31" spans="1:15" x14ac:dyDescent="0.25">
      <c r="A31" s="2"/>
      <c r="O31" s="7" t="str">
        <f ca="1">getCodigoBackend(N31,A31,VLOOKUP(N31,setup!$A$8:$H$58,2),VLOOKUP(N31,setup!$A$8:$H$58,3),VLOOKUP(N31,setup!$A$8:$H$58,4),VLOOKUP(N31,setup!$A$8:$H$58,5),VLOOKUP(N31,setup!$A$8:$H$58,6),VLOOKUP(N31,setup!$A$8:$H$58,7), VLOOKUP(0,setup!$A$8:$H$58,2),VLOOKUP(0,setup!$A$8:$H$58,5),VLOOKUP(N31,setup!$A$8:$H$58,8))</f>
        <v/>
      </c>
    </row>
    <row r="32" spans="1:15" x14ac:dyDescent="0.25">
      <c r="A32" s="29" t="s">
        <v>760</v>
      </c>
      <c r="N32">
        <v>1</v>
      </c>
      <c r="O32" s="7" t="str">
        <f ca="1">getCodigoBackend(N32,A32,VLOOKUP(N32,setup!$A$8:$H$58,2),VLOOKUP(N32,setup!$A$8:$H$58,3),VLOOKUP(N32,setup!$A$8:$H$58,4),VLOOKUP(N32,setup!$A$8:$H$58,5),VLOOKUP(N32,setup!$A$8:$H$58,6),VLOOKUP(N32,setup!$A$8:$H$58,7), VLOOKUP(0,setup!$A$8:$H$58,2),VLOOKUP(0,setup!$A$8:$H$58,5),VLOOKUP(N32,setup!$A$8:$H$58,8))</f>
        <v xml:space="preserve">    public function loadIdcampanhacashback($idCampanhaCashback);</v>
      </c>
    </row>
    <row r="33" spans="1:15" x14ac:dyDescent="0.25">
      <c r="A33" s="29" t="s">
        <v>760</v>
      </c>
      <c r="N33">
        <f>N32+1</f>
        <v>2</v>
      </c>
      <c r="O33" s="7" t="str">
        <f ca="1">getCodigoBackend(N33,A33,VLOOKUP(N33,setup!$A$8:$H$58,2),VLOOKUP(N33,setup!$A$8:$H$58,3),VLOOKUP(N33,setup!$A$8:$H$58,4),VLOOKUP(N33,setup!$A$8:$H$58,5),VLOOKUP(N33,setup!$A$8:$H$58,6),VLOOKUP(N33,setup!$A$8:$H$58,7), VLOOKUP(0,setup!$A$8:$H$58,2),VLOOKUP(0,setup!$A$8:$H$58,5),VLOOKUP(N33,setup!$A$8:$H$58,8))</f>
        <v xml:space="preserve">    public function loadIdusuariosolicitante($idUsuarioSolicitante);</v>
      </c>
    </row>
    <row r="34" spans="1:15" x14ac:dyDescent="0.25">
      <c r="A34" s="29" t="s">
        <v>760</v>
      </c>
      <c r="N34">
        <f t="shared" ref="N34:N78" si="0">N33+1</f>
        <v>3</v>
      </c>
      <c r="O34" s="7" t="str">
        <f ca="1">getCodigoBackend(N34,A34,VLOOKUP(N34,setup!$A$8:$H$58,2),VLOOKUP(N34,setup!$A$8:$H$58,3),VLOOKUP(N34,setup!$A$8:$H$58,4),VLOOKUP(N34,setup!$A$8:$H$58,5),VLOOKUP(N34,setup!$A$8:$H$58,6),VLOOKUP(N34,setup!$A$8:$H$58,7), VLOOKUP(0,setup!$A$8:$H$58,2),VLOOKUP(0,setup!$A$8:$H$58,5),VLOOKUP(N34,setup!$A$8:$H$58,8))</f>
        <v xml:space="preserve">    public function loadTipochavepix($tipoChavePix);</v>
      </c>
    </row>
    <row r="35" spans="1:15" x14ac:dyDescent="0.25">
      <c r="A35" s="29" t="s">
        <v>760</v>
      </c>
      <c r="N35">
        <f t="shared" si="0"/>
        <v>4</v>
      </c>
      <c r="O35" s="7" t="str">
        <f ca="1">getCodigoBackend(N35,A35,VLOOKUP(N35,setup!$A$8:$H$58,2),VLOOKUP(N35,setup!$A$8:$H$58,3),VLOOKUP(N35,setup!$A$8:$H$58,4),VLOOKUP(N35,setup!$A$8:$H$58,5),VLOOKUP(N35,setup!$A$8:$H$58,6),VLOOKUP(N35,setup!$A$8:$H$58,7), VLOOKUP(0,setup!$A$8:$H$58,2),VLOOKUP(0,setup!$A$8:$H$58,5),VLOOKUP(N35,setup!$A$8:$H$58,8))</f>
        <v xml:space="preserve">    public function loadChavepix($chavePix);</v>
      </c>
    </row>
    <row r="36" spans="1:15" x14ac:dyDescent="0.25">
      <c r="A36" s="29" t="s">
        <v>760</v>
      </c>
      <c r="N36">
        <f t="shared" si="0"/>
        <v>5</v>
      </c>
      <c r="O36" s="7" t="str">
        <f ca="1">getCodigoBackend(N36,A36,VLOOKUP(N36,setup!$A$8:$H$58,2),VLOOKUP(N36,setup!$A$8:$H$58,3),VLOOKUP(N36,setup!$A$8:$H$58,4),VLOOKUP(N36,setup!$A$8:$H$58,5),VLOOKUP(N36,setup!$A$8:$H$58,6),VLOOKUP(N36,setup!$A$8:$H$58,7), VLOOKUP(0,setup!$A$8:$H$58,2),VLOOKUP(0,setup!$A$8:$H$58,5),VLOOKUP(N36,setup!$A$8:$H$58,8))</f>
        <v xml:space="preserve">    public function loadValorresgate($valorResgate);</v>
      </c>
    </row>
    <row r="37" spans="1:15" x14ac:dyDescent="0.25">
      <c r="A37" s="29" t="s">
        <v>760</v>
      </c>
      <c r="N37">
        <f t="shared" si="0"/>
        <v>6</v>
      </c>
      <c r="O37" s="7" t="str">
        <f ca="1">getCodigoBackend(N37,A37,VLOOKUP(N37,setup!$A$8:$H$58,2),VLOOKUP(N37,setup!$A$8:$H$58,3),VLOOKUP(N37,setup!$A$8:$H$58,4),VLOOKUP(N37,setup!$A$8:$H$58,5),VLOOKUP(N37,setup!$A$8:$H$58,6),VLOOKUP(N37,setup!$A$8:$H$58,7), VLOOKUP(0,setup!$A$8:$H$58,2),VLOOKUP(0,setup!$A$8:$H$58,5),VLOOKUP(N37,setup!$A$8:$H$58,8))</f>
        <v xml:space="preserve">    public function loadAutenticacaobco($autenticacaoBco);</v>
      </c>
    </row>
    <row r="38" spans="1:15" x14ac:dyDescent="0.25">
      <c r="A38" s="29" t="s">
        <v>760</v>
      </c>
      <c r="N38">
        <f t="shared" si="0"/>
        <v>7</v>
      </c>
      <c r="O38" s="7" t="str">
        <f ca="1">getCodigoBackend(N38,A38,VLOOKUP(N38,setup!$A$8:$H$58,2),VLOOKUP(N38,setup!$A$8:$H$58,3),VLOOKUP(N38,setup!$A$8:$H$58,4),VLOOKUP(N38,setup!$A$8:$H$58,5),VLOOKUP(N38,setup!$A$8:$H$58,6),VLOOKUP(N38,setup!$A$8:$H$58,7), VLOOKUP(0,setup!$A$8:$H$58,2),VLOOKUP(0,setup!$A$8:$H$58,5),VLOOKUP(N38,setup!$A$8:$H$58,8))</f>
        <v xml:space="preserve">    public function loadEstagiorealtime($estagioRealTime);</v>
      </c>
    </row>
    <row r="39" spans="1:15" x14ac:dyDescent="0.25">
      <c r="A39" s="29" t="s">
        <v>760</v>
      </c>
      <c r="N39">
        <f t="shared" si="0"/>
        <v>8</v>
      </c>
      <c r="O39" s="7" t="str">
        <f ca="1">getCodigoBackend(N39,A39,VLOOKUP(N39,setup!$A$8:$H$58,2),VLOOKUP(N39,setup!$A$8:$H$58,3),VLOOKUP(N39,setup!$A$8:$H$58,4),VLOOKUP(N39,setup!$A$8:$H$58,5),VLOOKUP(N39,setup!$A$8:$H$58,6),VLOOKUP(N39,setup!$A$8:$H$58,7), VLOOKUP(0,setup!$A$8:$H$58,2),VLOOKUP(0,setup!$A$8:$H$58,5),VLOOKUP(N39,setup!$A$8:$H$58,8))</f>
        <v xml:space="preserve">    public function loadDtestagioanalise($dtEstagioAnalise);</v>
      </c>
    </row>
    <row r="40" spans="1:15" x14ac:dyDescent="0.25">
      <c r="A40" s="29" t="s">
        <v>760</v>
      </c>
      <c r="N40">
        <f t="shared" si="0"/>
        <v>9</v>
      </c>
      <c r="O40" s="7" t="str">
        <f ca="1">getCodigoBackend(N40,A40,VLOOKUP(N40,setup!$A$8:$H$58,2),VLOOKUP(N40,setup!$A$8:$H$58,3),VLOOKUP(N40,setup!$A$8:$H$58,4),VLOOKUP(N40,setup!$A$8:$H$58,5),VLOOKUP(N40,setup!$A$8:$H$58,6),VLOOKUP(N40,setup!$A$8:$H$58,7), VLOOKUP(0,setup!$A$8:$H$58,2),VLOOKUP(0,setup!$A$8:$H$58,5),VLOOKUP(N40,setup!$A$8:$H$58,8))</f>
        <v xml:space="preserve">    public function loadDtestagiofinanceiro($dtEstagioFinanceiro);</v>
      </c>
    </row>
    <row r="41" spans="1:15" x14ac:dyDescent="0.25">
      <c r="A41" s="29" t="s">
        <v>760</v>
      </c>
      <c r="N41">
        <f t="shared" si="0"/>
        <v>10</v>
      </c>
      <c r="O41" s="7" t="str">
        <f ca="1">getCodigoBackend(N41,A41,VLOOKUP(N41,setup!$A$8:$H$58,2),VLOOKUP(N41,setup!$A$8:$H$58,3),VLOOKUP(N41,setup!$A$8:$H$58,4),VLOOKUP(N41,setup!$A$8:$H$58,5),VLOOKUP(N41,setup!$A$8:$H$58,6),VLOOKUP(N41,setup!$A$8:$H$58,7), VLOOKUP(0,setup!$A$8:$H$58,2),VLOOKUP(0,setup!$A$8:$H$58,5),VLOOKUP(N41,setup!$A$8:$H$58,8))</f>
        <v xml:space="preserve">    public function loadDtestagioerro($dtEstagioErro);</v>
      </c>
    </row>
    <row r="42" spans="1:15" x14ac:dyDescent="0.25">
      <c r="A42" s="29" t="s">
        <v>760</v>
      </c>
      <c r="N42">
        <f t="shared" si="0"/>
        <v>11</v>
      </c>
      <c r="O42" s="7" t="str">
        <f ca="1">getCodigoBackend(N42,A42,VLOOKUP(N42,setup!$A$8:$H$58,2),VLOOKUP(N42,setup!$A$8:$H$58,3),VLOOKUP(N42,setup!$A$8:$H$58,4),VLOOKUP(N42,setup!$A$8:$H$58,5),VLOOKUP(N42,setup!$A$8:$H$58,6),VLOOKUP(N42,setup!$A$8:$H$58,7), VLOOKUP(0,setup!$A$8:$H$58,2),VLOOKUP(0,setup!$A$8:$H$58,5),VLOOKUP(N42,setup!$A$8:$H$58,8))</f>
        <v xml:space="preserve">    public function loadDtestagiotranfbco($dtEstagioTranfBco);</v>
      </c>
    </row>
    <row r="43" spans="1:15" x14ac:dyDescent="0.25">
      <c r="A43" s="29" t="s">
        <v>760</v>
      </c>
      <c r="N43">
        <f t="shared" si="0"/>
        <v>12</v>
      </c>
      <c r="O43" s="7" t="str">
        <f ca="1">getCodigoBackend(N43,A43,VLOOKUP(N43,setup!$A$8:$H$58,2),VLOOKUP(N43,setup!$A$8:$H$58,3),VLOOKUP(N43,setup!$A$8:$H$58,4),VLOOKUP(N43,setup!$A$8:$H$58,5),VLOOKUP(N43,setup!$A$8:$H$58,6),VLOOKUP(N43,setup!$A$8:$H$58,7), VLOOKUP(0,setup!$A$8:$H$58,2),VLOOKUP(0,setup!$A$8:$H$58,5),VLOOKUP(N43,setup!$A$8:$H$58,8))</f>
        <v xml:space="preserve">    public function loadTxtlivreestagiort($txtLivreEstagioRT);</v>
      </c>
    </row>
    <row r="44" spans="1:15" x14ac:dyDescent="0.25">
      <c r="A44" s="29" t="s">
        <v>760</v>
      </c>
      <c r="N44">
        <f t="shared" si="0"/>
        <v>13</v>
      </c>
      <c r="O44" s="7" t="e">
        <f>getCodigoBackend(N44,A44,VLOOKUP(N44,setup!$A$8:$H$58,2),VLOOKUP(N44,setup!$A$8:$H$58,3),VLOOKUP(N44,setup!$A$8:$H$58,4),VLOOKUP(N44,setup!$A$8:$H$58,5),VLOOKUP(N44,setup!$A$8:$H$58,6),VLOOKUP(N44,setup!$A$8:$H$58,7), VLOOKUP(0,setup!$A$8:$H$58,2),VLOOKUP(0,setup!$A$8:$H$58,5),VLOOKUP(N44,setup!$A$8:$H$58,8))</f>
        <v>#VALUE!</v>
      </c>
    </row>
    <row r="45" spans="1:15" x14ac:dyDescent="0.25">
      <c r="A45" s="29" t="s">
        <v>760</v>
      </c>
      <c r="N45">
        <f t="shared" si="0"/>
        <v>14</v>
      </c>
      <c r="O45" s="7" t="e">
        <f>getCodigoBackend(N45,A45,VLOOKUP(N45,setup!$A$8:$H$58,2),VLOOKUP(N45,setup!$A$8:$H$58,3),VLOOKUP(N45,setup!$A$8:$H$58,4),VLOOKUP(N45,setup!$A$8:$H$58,5),VLOOKUP(N45,setup!$A$8:$H$58,6),VLOOKUP(N45,setup!$A$8:$H$58,7), VLOOKUP(0,setup!$A$8:$H$58,2),VLOOKUP(0,setup!$A$8:$H$58,5),VLOOKUP(N45,setup!$A$8:$H$58,8))</f>
        <v>#VALUE!</v>
      </c>
    </row>
    <row r="46" spans="1:15" x14ac:dyDescent="0.25">
      <c r="A46" s="29" t="s">
        <v>760</v>
      </c>
      <c r="N46">
        <f t="shared" si="0"/>
        <v>15</v>
      </c>
      <c r="O46" s="7" t="e">
        <f>getCodigoBackend(N46,A46,VLOOKUP(N46,setup!$A$8:$H$58,2),VLOOKUP(N46,setup!$A$8:$H$58,3),VLOOKUP(N46,setup!$A$8:$H$58,4),VLOOKUP(N46,setup!$A$8:$H$58,5),VLOOKUP(N46,setup!$A$8:$H$58,6),VLOOKUP(N46,setup!$A$8:$H$58,7), VLOOKUP(0,setup!$A$8:$H$58,2),VLOOKUP(0,setup!$A$8:$H$58,5),VLOOKUP(N46,setup!$A$8:$H$58,8))</f>
        <v>#VALUE!</v>
      </c>
    </row>
    <row r="47" spans="1:15" x14ac:dyDescent="0.25">
      <c r="A47" s="29" t="s">
        <v>760</v>
      </c>
      <c r="N47">
        <f t="shared" si="0"/>
        <v>16</v>
      </c>
      <c r="O47" s="7" t="e">
        <f>getCodigoBackend(N47,A47,VLOOKUP(N47,setup!$A$8:$H$58,2),VLOOKUP(N47,setup!$A$8:$H$58,3),VLOOKUP(N47,setup!$A$8:$H$58,4),VLOOKUP(N47,setup!$A$8:$H$58,5),VLOOKUP(N47,setup!$A$8:$H$58,6),VLOOKUP(N47,setup!$A$8:$H$58,7), VLOOKUP(0,setup!$A$8:$H$58,2),VLOOKUP(0,setup!$A$8:$H$58,5),VLOOKUP(N47,setup!$A$8:$H$58,8))</f>
        <v>#VALUE!</v>
      </c>
    </row>
    <row r="48" spans="1:15" x14ac:dyDescent="0.25">
      <c r="A48" s="29" t="s">
        <v>760</v>
      </c>
      <c r="N48">
        <f t="shared" si="0"/>
        <v>17</v>
      </c>
      <c r="O48" s="7" t="e">
        <f>getCodigoBackend(N48,A48,VLOOKUP(N48,setup!$A$8:$H$58,2),VLOOKUP(N48,setup!$A$8:$H$58,3),VLOOKUP(N48,setup!$A$8:$H$58,4),VLOOKUP(N48,setup!$A$8:$H$58,5),VLOOKUP(N48,setup!$A$8:$H$58,6),VLOOKUP(N48,setup!$A$8:$H$58,7), VLOOKUP(0,setup!$A$8:$H$58,2),VLOOKUP(0,setup!$A$8:$H$58,5),VLOOKUP(N48,setup!$A$8:$H$58,8))</f>
        <v>#VALUE!</v>
      </c>
    </row>
    <row r="49" spans="1:15" x14ac:dyDescent="0.25">
      <c r="A49" s="29" t="s">
        <v>760</v>
      </c>
      <c r="N49">
        <f t="shared" si="0"/>
        <v>18</v>
      </c>
      <c r="O49" s="7" t="e">
        <f>getCodigoBackend(N49,A49,VLOOKUP(N49,setup!$A$8:$H$58,2),VLOOKUP(N49,setup!$A$8:$H$58,3),VLOOKUP(N49,setup!$A$8:$H$58,4),VLOOKUP(N49,setup!$A$8:$H$58,5),VLOOKUP(N49,setup!$A$8:$H$58,6),VLOOKUP(N49,setup!$A$8:$H$58,7), VLOOKUP(0,setup!$A$8:$H$58,2),VLOOKUP(0,setup!$A$8:$H$58,5),VLOOKUP(N49,setup!$A$8:$H$58,8))</f>
        <v>#VALUE!</v>
      </c>
    </row>
    <row r="50" spans="1:15" x14ac:dyDescent="0.25">
      <c r="A50" s="29" t="s">
        <v>760</v>
      </c>
      <c r="N50">
        <f t="shared" si="0"/>
        <v>19</v>
      </c>
      <c r="O50" s="7" t="e">
        <f>getCodigoBackend(N50,A50,VLOOKUP(N50,setup!$A$8:$H$58,2),VLOOKUP(N50,setup!$A$8:$H$58,3),VLOOKUP(N50,setup!$A$8:$H$58,4),VLOOKUP(N50,setup!$A$8:$H$58,5),VLOOKUP(N50,setup!$A$8:$H$58,6),VLOOKUP(N50,setup!$A$8:$H$58,7), VLOOKUP(0,setup!$A$8:$H$58,2),VLOOKUP(0,setup!$A$8:$H$58,5),VLOOKUP(N50,setup!$A$8:$H$58,8))</f>
        <v>#VALUE!</v>
      </c>
    </row>
    <row r="51" spans="1:15" x14ac:dyDescent="0.25">
      <c r="A51" s="29" t="s">
        <v>760</v>
      </c>
      <c r="N51">
        <f t="shared" si="0"/>
        <v>20</v>
      </c>
      <c r="O51" s="7" t="e">
        <f>getCodigoBackend(N51,A51,VLOOKUP(N51,setup!$A$8:$H$58,2),VLOOKUP(N51,setup!$A$8:$H$58,3),VLOOKUP(N51,setup!$A$8:$H$58,4),VLOOKUP(N51,setup!$A$8:$H$58,5),VLOOKUP(N51,setup!$A$8:$H$58,6),VLOOKUP(N51,setup!$A$8:$H$58,7), VLOOKUP(0,setup!$A$8:$H$58,2),VLOOKUP(0,setup!$A$8:$H$58,5),VLOOKUP(N51,setup!$A$8:$H$58,8))</f>
        <v>#VALUE!</v>
      </c>
    </row>
    <row r="52" spans="1:15" x14ac:dyDescent="0.25">
      <c r="A52" s="29" t="s">
        <v>760</v>
      </c>
      <c r="N52">
        <f t="shared" si="0"/>
        <v>21</v>
      </c>
      <c r="O52" s="7" t="e">
        <f>getCodigoBackend(N52,A52,VLOOKUP(N52,setup!$A$8:$H$58,2),VLOOKUP(N52,setup!$A$8:$H$58,3),VLOOKUP(N52,setup!$A$8:$H$58,4),VLOOKUP(N52,setup!$A$8:$H$58,5),VLOOKUP(N52,setup!$A$8:$H$58,6),VLOOKUP(N52,setup!$A$8:$H$58,7), VLOOKUP(0,setup!$A$8:$H$58,2),VLOOKUP(0,setup!$A$8:$H$58,5),VLOOKUP(N52,setup!$A$8:$H$58,8))</f>
        <v>#VALUE!</v>
      </c>
    </row>
    <row r="53" spans="1:15" x14ac:dyDescent="0.25">
      <c r="A53" s="29" t="s">
        <v>760</v>
      </c>
      <c r="N53">
        <f t="shared" si="0"/>
        <v>22</v>
      </c>
      <c r="O53" s="7" t="e">
        <f>getCodigoBackend(N53,A53,VLOOKUP(N53,setup!$A$8:$H$58,2),VLOOKUP(N53,setup!$A$8:$H$58,3),VLOOKUP(N53,setup!$A$8:$H$58,4),VLOOKUP(N53,setup!$A$8:$H$58,5),VLOOKUP(N53,setup!$A$8:$H$58,6),VLOOKUP(N53,setup!$A$8:$H$58,7), VLOOKUP(0,setup!$A$8:$H$58,2),VLOOKUP(0,setup!$A$8:$H$58,5),VLOOKUP(N53,setup!$A$8:$H$58,8))</f>
        <v>#VALUE!</v>
      </c>
    </row>
    <row r="54" spans="1:15" x14ac:dyDescent="0.25">
      <c r="A54" s="29" t="s">
        <v>760</v>
      </c>
      <c r="N54">
        <f t="shared" si="0"/>
        <v>23</v>
      </c>
      <c r="O54" s="7" t="e">
        <f>getCodigoBackend(N54,A54,VLOOKUP(N54,setup!$A$8:$H$58,2),VLOOKUP(N54,setup!$A$8:$H$58,3),VLOOKUP(N54,setup!$A$8:$H$58,4),VLOOKUP(N54,setup!$A$8:$H$58,5),VLOOKUP(N54,setup!$A$8:$H$58,6),VLOOKUP(N54,setup!$A$8:$H$58,7), VLOOKUP(0,setup!$A$8:$H$58,2),VLOOKUP(0,setup!$A$8:$H$58,5),VLOOKUP(N54,setup!$A$8:$H$58,8))</f>
        <v>#VALUE!</v>
      </c>
    </row>
    <row r="55" spans="1:15" x14ac:dyDescent="0.25">
      <c r="A55" s="29" t="s">
        <v>760</v>
      </c>
      <c r="N55">
        <f t="shared" si="0"/>
        <v>24</v>
      </c>
      <c r="O55" s="7" t="e">
        <f>getCodigoBackend(N55,A55,VLOOKUP(N55,setup!$A$8:$H$58,2),VLOOKUP(N55,setup!$A$8:$H$58,3),VLOOKUP(N55,setup!$A$8:$H$58,4),VLOOKUP(N55,setup!$A$8:$H$58,5),VLOOKUP(N55,setup!$A$8:$H$58,6),VLOOKUP(N55,setup!$A$8:$H$58,7), VLOOKUP(0,setup!$A$8:$H$58,2),VLOOKUP(0,setup!$A$8:$H$58,5),VLOOKUP(N55,setup!$A$8:$H$58,8))</f>
        <v>#VALUE!</v>
      </c>
    </row>
    <row r="56" spans="1:15" x14ac:dyDescent="0.25">
      <c r="A56" s="29" t="s">
        <v>760</v>
      </c>
      <c r="N56">
        <f t="shared" si="0"/>
        <v>25</v>
      </c>
      <c r="O56" s="7" t="e">
        <f>getCodigoBackend(N56,A56,VLOOKUP(N56,setup!$A$8:$H$58,2),VLOOKUP(N56,setup!$A$8:$H$58,3),VLOOKUP(N56,setup!$A$8:$H$58,4),VLOOKUP(N56,setup!$A$8:$H$58,5),VLOOKUP(N56,setup!$A$8:$H$58,6),VLOOKUP(N56,setup!$A$8:$H$58,7), VLOOKUP(0,setup!$A$8:$H$58,2),VLOOKUP(0,setup!$A$8:$H$58,5),VLOOKUP(N56,setup!$A$8:$H$58,8))</f>
        <v>#VALUE!</v>
      </c>
    </row>
    <row r="57" spans="1:15" x14ac:dyDescent="0.25">
      <c r="A57" s="29" t="s">
        <v>760</v>
      </c>
      <c r="N57">
        <f t="shared" si="0"/>
        <v>26</v>
      </c>
      <c r="O57" s="7" t="e">
        <f>getCodigoBackend(N57,A57,VLOOKUP(N57,setup!$A$8:$H$58,2),VLOOKUP(N57,setup!$A$8:$H$58,3),VLOOKUP(N57,setup!$A$8:$H$58,4),VLOOKUP(N57,setup!$A$8:$H$58,5),VLOOKUP(N57,setup!$A$8:$H$58,6),VLOOKUP(N57,setup!$A$8:$H$58,7), VLOOKUP(0,setup!$A$8:$H$58,2),VLOOKUP(0,setup!$A$8:$H$58,5),VLOOKUP(N57,setup!$A$8:$H$58,8))</f>
        <v>#VALUE!</v>
      </c>
    </row>
    <row r="58" spans="1:15" x14ac:dyDescent="0.25">
      <c r="A58" s="29" t="s">
        <v>760</v>
      </c>
      <c r="N58">
        <f t="shared" si="0"/>
        <v>27</v>
      </c>
      <c r="O58" s="7" t="e">
        <f>getCodigoBackend(N58,A58,VLOOKUP(N58,setup!$A$8:$H$58,2),VLOOKUP(N58,setup!$A$8:$H$58,3),VLOOKUP(N58,setup!$A$8:$H$58,4),VLOOKUP(N58,setup!$A$8:$H$58,5),VLOOKUP(N58,setup!$A$8:$H$58,6),VLOOKUP(N58,setup!$A$8:$H$58,7), VLOOKUP(0,setup!$A$8:$H$58,2),VLOOKUP(0,setup!$A$8:$H$58,5),VLOOKUP(N58,setup!$A$8:$H$58,8))</f>
        <v>#VALUE!</v>
      </c>
    </row>
    <row r="59" spans="1:15" x14ac:dyDescent="0.25">
      <c r="A59" s="29" t="s">
        <v>760</v>
      </c>
      <c r="N59">
        <f t="shared" si="0"/>
        <v>28</v>
      </c>
      <c r="O59" s="7" t="e">
        <f>getCodigoBackend(N59,A59,VLOOKUP(N59,setup!$A$8:$H$58,2),VLOOKUP(N59,setup!$A$8:$H$58,3),VLOOKUP(N59,setup!$A$8:$H$58,4),VLOOKUP(N59,setup!$A$8:$H$58,5),VLOOKUP(N59,setup!$A$8:$H$58,6),VLOOKUP(N59,setup!$A$8:$H$58,7), VLOOKUP(0,setup!$A$8:$H$58,2),VLOOKUP(0,setup!$A$8:$H$58,5),VLOOKUP(N59,setup!$A$8:$H$58,8))</f>
        <v>#VALUE!</v>
      </c>
    </row>
    <row r="60" spans="1:15" x14ac:dyDescent="0.25">
      <c r="A60" s="29" t="s">
        <v>760</v>
      </c>
      <c r="N60">
        <f t="shared" si="0"/>
        <v>29</v>
      </c>
      <c r="O60" s="7" t="e">
        <f>getCodigoBackend(N60,A60,VLOOKUP(N60,setup!$A$8:$H$58,2),VLOOKUP(N60,setup!$A$8:$H$58,3),VLOOKUP(N60,setup!$A$8:$H$58,4),VLOOKUP(N60,setup!$A$8:$H$58,5),VLOOKUP(N60,setup!$A$8:$H$58,6),VLOOKUP(N60,setup!$A$8:$H$58,7), VLOOKUP(0,setup!$A$8:$H$58,2),VLOOKUP(0,setup!$A$8:$H$58,5),VLOOKUP(N60,setup!$A$8:$H$58,8))</f>
        <v>#VALUE!</v>
      </c>
    </row>
    <row r="61" spans="1:15" x14ac:dyDescent="0.25">
      <c r="A61" s="29" t="s">
        <v>760</v>
      </c>
      <c r="N61">
        <f t="shared" si="0"/>
        <v>30</v>
      </c>
      <c r="O61" s="7" t="e">
        <f>getCodigoBackend(N61,A61,VLOOKUP(N61,setup!$A$8:$H$58,2),VLOOKUP(N61,setup!$A$8:$H$58,3),VLOOKUP(N61,setup!$A$8:$H$58,4),VLOOKUP(N61,setup!$A$8:$H$58,5),VLOOKUP(N61,setup!$A$8:$H$58,6),VLOOKUP(N61,setup!$A$8:$H$58,7), VLOOKUP(0,setup!$A$8:$H$58,2),VLOOKUP(0,setup!$A$8:$H$58,5),VLOOKUP(N61,setup!$A$8:$H$58,8))</f>
        <v>#VALUE!</v>
      </c>
    </row>
    <row r="62" spans="1:15" x14ac:dyDescent="0.25">
      <c r="A62" s="29" t="s">
        <v>760</v>
      </c>
      <c r="N62">
        <f t="shared" si="0"/>
        <v>31</v>
      </c>
      <c r="O62" s="7" t="e">
        <f>getCodigoBackend(N62,A62,VLOOKUP(N62,setup!$A$8:$H$58,2),VLOOKUP(N62,setup!$A$8:$H$58,3),VLOOKUP(N62,setup!$A$8:$H$58,4),VLOOKUP(N62,setup!$A$8:$H$58,5),VLOOKUP(N62,setup!$A$8:$H$58,6),VLOOKUP(N62,setup!$A$8:$H$58,7), VLOOKUP(0,setup!$A$8:$H$58,2),VLOOKUP(0,setup!$A$8:$H$58,5),VLOOKUP(N62,setup!$A$8:$H$58,8))</f>
        <v>#VALUE!</v>
      </c>
    </row>
    <row r="63" spans="1:15" x14ac:dyDescent="0.25">
      <c r="A63" s="29" t="s">
        <v>760</v>
      </c>
      <c r="N63">
        <f t="shared" si="0"/>
        <v>32</v>
      </c>
      <c r="O63" s="7" t="e">
        <f>getCodigoBackend(N63,A63,VLOOKUP(N63,setup!$A$8:$H$58,2),VLOOKUP(N63,setup!$A$8:$H$58,3),VLOOKUP(N63,setup!$A$8:$H$58,4),VLOOKUP(N63,setup!$A$8:$H$58,5),VLOOKUP(N63,setup!$A$8:$H$58,6),VLOOKUP(N63,setup!$A$8:$H$58,7), VLOOKUP(0,setup!$A$8:$H$58,2),VLOOKUP(0,setup!$A$8:$H$58,5),VLOOKUP(N63,setup!$A$8:$H$58,8))</f>
        <v>#VALUE!</v>
      </c>
    </row>
    <row r="64" spans="1:15" x14ac:dyDescent="0.25">
      <c r="A64" s="29" t="s">
        <v>760</v>
      </c>
      <c r="N64">
        <f t="shared" si="0"/>
        <v>33</v>
      </c>
      <c r="O64" s="7" t="e">
        <f>getCodigoBackend(N64,A64,VLOOKUP(N64,setup!$A$8:$H$58,2),VLOOKUP(N64,setup!$A$8:$H$58,3),VLOOKUP(N64,setup!$A$8:$H$58,4),VLOOKUP(N64,setup!$A$8:$H$58,5),VLOOKUP(N64,setup!$A$8:$H$58,6),VLOOKUP(N64,setup!$A$8:$H$58,7), VLOOKUP(0,setup!$A$8:$H$58,2),VLOOKUP(0,setup!$A$8:$H$58,5),VLOOKUP(N64,setup!$A$8:$H$58,8))</f>
        <v>#VALUE!</v>
      </c>
    </row>
    <row r="65" spans="1:15" x14ac:dyDescent="0.25">
      <c r="A65" s="29" t="s">
        <v>760</v>
      </c>
      <c r="N65">
        <f t="shared" si="0"/>
        <v>34</v>
      </c>
      <c r="O65" s="7" t="e">
        <f>getCodigoBackend(N65,A65,VLOOKUP(N65,setup!$A$8:$H$58,2),VLOOKUP(N65,setup!$A$8:$H$58,3),VLOOKUP(N65,setup!$A$8:$H$58,4),VLOOKUP(N65,setup!$A$8:$H$58,5),VLOOKUP(N65,setup!$A$8:$H$58,6),VLOOKUP(N65,setup!$A$8:$H$58,7), VLOOKUP(0,setup!$A$8:$H$58,2),VLOOKUP(0,setup!$A$8:$H$58,5),VLOOKUP(N65,setup!$A$8:$H$58,8))</f>
        <v>#VALUE!</v>
      </c>
    </row>
    <row r="66" spans="1:15" x14ac:dyDescent="0.25">
      <c r="A66" s="29" t="s">
        <v>760</v>
      </c>
      <c r="N66">
        <f t="shared" si="0"/>
        <v>35</v>
      </c>
      <c r="O66" s="7" t="e">
        <f>getCodigoBackend(N66,A66,VLOOKUP(N66,setup!$A$8:$H$58,2),VLOOKUP(N66,setup!$A$8:$H$58,3),VLOOKUP(N66,setup!$A$8:$H$58,4),VLOOKUP(N66,setup!$A$8:$H$58,5),VLOOKUP(N66,setup!$A$8:$H$58,6),VLOOKUP(N66,setup!$A$8:$H$58,7), VLOOKUP(0,setup!$A$8:$H$58,2),VLOOKUP(0,setup!$A$8:$H$58,5),VLOOKUP(N66,setup!$A$8:$H$58,8))</f>
        <v>#VALUE!</v>
      </c>
    </row>
    <row r="67" spans="1:15" x14ac:dyDescent="0.25">
      <c r="A67" s="29" t="s">
        <v>760</v>
      </c>
      <c r="N67">
        <f t="shared" si="0"/>
        <v>36</v>
      </c>
      <c r="O67" s="7" t="e">
        <f>getCodigoBackend(N67,A67,VLOOKUP(N67,setup!$A$8:$H$58,2),VLOOKUP(N67,setup!$A$8:$H$58,3),VLOOKUP(N67,setup!$A$8:$H$58,4),VLOOKUP(N67,setup!$A$8:$H$58,5),VLOOKUP(N67,setup!$A$8:$H$58,6),VLOOKUP(N67,setup!$A$8:$H$58,7), VLOOKUP(0,setup!$A$8:$H$58,2),VLOOKUP(0,setup!$A$8:$H$58,5),VLOOKUP(N67,setup!$A$8:$H$58,8))</f>
        <v>#VALUE!</v>
      </c>
    </row>
    <row r="68" spans="1:15" x14ac:dyDescent="0.25">
      <c r="A68" s="29" t="s">
        <v>760</v>
      </c>
      <c r="N68">
        <f t="shared" si="0"/>
        <v>37</v>
      </c>
      <c r="O68" s="7" t="e">
        <f>getCodigoBackend(N68,A68,VLOOKUP(N68,setup!$A$8:$H$58,2),VLOOKUP(N68,setup!$A$8:$H$58,3),VLOOKUP(N68,setup!$A$8:$H$58,4),VLOOKUP(N68,setup!$A$8:$H$58,5),VLOOKUP(N68,setup!$A$8:$H$58,6),VLOOKUP(N68,setup!$A$8:$H$58,7), VLOOKUP(0,setup!$A$8:$H$58,2),VLOOKUP(0,setup!$A$8:$H$58,5),VLOOKUP(N68,setup!$A$8:$H$58,8))</f>
        <v>#VALUE!</v>
      </c>
    </row>
    <row r="69" spans="1:15" x14ac:dyDescent="0.25">
      <c r="A69" s="29" t="s">
        <v>760</v>
      </c>
      <c r="N69">
        <f t="shared" si="0"/>
        <v>38</v>
      </c>
      <c r="O69" s="7" t="e">
        <f>getCodigoBackend(N69,A69,VLOOKUP(N69,setup!$A$8:$H$58,2),VLOOKUP(N69,setup!$A$8:$H$58,3),VLOOKUP(N69,setup!$A$8:$H$58,4),VLOOKUP(N69,setup!$A$8:$H$58,5),VLOOKUP(N69,setup!$A$8:$H$58,6),VLOOKUP(N69,setup!$A$8:$H$58,7), VLOOKUP(0,setup!$A$8:$H$58,2),VLOOKUP(0,setup!$A$8:$H$58,5),VLOOKUP(N69,setup!$A$8:$H$58,8))</f>
        <v>#VALUE!</v>
      </c>
    </row>
    <row r="70" spans="1:15" x14ac:dyDescent="0.25">
      <c r="A70" s="29" t="s">
        <v>760</v>
      </c>
      <c r="N70">
        <f t="shared" si="0"/>
        <v>39</v>
      </c>
      <c r="O70" s="7" t="e">
        <f>getCodigoBackend(N70,A70,VLOOKUP(N70,setup!$A$8:$H$58,2),VLOOKUP(N70,setup!$A$8:$H$58,3),VLOOKUP(N70,setup!$A$8:$H$58,4),VLOOKUP(N70,setup!$A$8:$H$58,5),VLOOKUP(N70,setup!$A$8:$H$58,6),VLOOKUP(N70,setup!$A$8:$H$58,7), VLOOKUP(0,setup!$A$8:$H$58,2),VLOOKUP(0,setup!$A$8:$H$58,5),VLOOKUP(N70,setup!$A$8:$H$58,8))</f>
        <v>#VALUE!</v>
      </c>
    </row>
    <row r="71" spans="1:15" x14ac:dyDescent="0.25">
      <c r="A71" s="29" t="s">
        <v>760</v>
      </c>
      <c r="N71">
        <f t="shared" si="0"/>
        <v>40</v>
      </c>
      <c r="O71" s="7" t="e">
        <f>getCodigoBackend(N71,A71,VLOOKUP(N71,setup!$A$8:$H$58,2),VLOOKUP(N71,setup!$A$8:$H$58,3),VLOOKUP(N71,setup!$A$8:$H$58,4),VLOOKUP(N71,setup!$A$8:$H$58,5),VLOOKUP(N71,setup!$A$8:$H$58,6),VLOOKUP(N71,setup!$A$8:$H$58,7), VLOOKUP(0,setup!$A$8:$H$58,2),VLOOKUP(0,setup!$A$8:$H$58,5),VLOOKUP(N71,setup!$A$8:$H$58,8))</f>
        <v>#VALUE!</v>
      </c>
    </row>
    <row r="72" spans="1:15" x14ac:dyDescent="0.25">
      <c r="A72" s="29" t="s">
        <v>760</v>
      </c>
      <c r="N72">
        <f t="shared" si="0"/>
        <v>41</v>
      </c>
      <c r="O72" s="7" t="e">
        <f>getCodigoBackend(N72,A72,VLOOKUP(N72,setup!$A$8:$H$58,2),VLOOKUP(N72,setup!$A$8:$H$58,3),VLOOKUP(N72,setup!$A$8:$H$58,4),VLOOKUP(N72,setup!$A$8:$H$58,5),VLOOKUP(N72,setup!$A$8:$H$58,6),VLOOKUP(N72,setup!$A$8:$H$58,7), VLOOKUP(0,setup!$A$8:$H$58,2),VLOOKUP(0,setup!$A$8:$H$58,5),VLOOKUP(N72,setup!$A$8:$H$58,8))</f>
        <v>#VALUE!</v>
      </c>
    </row>
    <row r="73" spans="1:15" x14ac:dyDescent="0.25">
      <c r="A73" s="29" t="s">
        <v>760</v>
      </c>
      <c r="N73">
        <f t="shared" si="0"/>
        <v>42</v>
      </c>
      <c r="O73" s="7" t="e">
        <f>getCodigoBackend(N73,A73,VLOOKUP(N73,setup!$A$8:$H$58,2),VLOOKUP(N73,setup!$A$8:$H$58,3),VLOOKUP(N73,setup!$A$8:$H$58,4),VLOOKUP(N73,setup!$A$8:$H$58,5),VLOOKUP(N73,setup!$A$8:$H$58,6),VLOOKUP(N73,setup!$A$8:$H$58,7), VLOOKUP(0,setup!$A$8:$H$58,2),VLOOKUP(0,setup!$A$8:$H$58,5),VLOOKUP(N73,setup!$A$8:$H$58,8))</f>
        <v>#VALUE!</v>
      </c>
    </row>
    <row r="74" spans="1:15" x14ac:dyDescent="0.25">
      <c r="A74" s="29" t="s">
        <v>760</v>
      </c>
      <c r="N74">
        <f t="shared" si="0"/>
        <v>43</v>
      </c>
      <c r="O74" s="7" t="e">
        <f>getCodigoBackend(N74,A74,VLOOKUP(N74,setup!$A$8:$H$58,2),VLOOKUP(N74,setup!$A$8:$H$58,3),VLOOKUP(N74,setup!$A$8:$H$58,4),VLOOKUP(N74,setup!$A$8:$H$58,5),VLOOKUP(N74,setup!$A$8:$H$58,6),VLOOKUP(N74,setup!$A$8:$H$58,7), VLOOKUP(0,setup!$A$8:$H$58,2),VLOOKUP(0,setup!$A$8:$H$58,5),VLOOKUP(N74,setup!$A$8:$H$58,8))</f>
        <v>#VALUE!</v>
      </c>
    </row>
    <row r="75" spans="1:15" x14ac:dyDescent="0.25">
      <c r="A75" s="29" t="s">
        <v>760</v>
      </c>
      <c r="N75">
        <f t="shared" si="0"/>
        <v>44</v>
      </c>
      <c r="O75" s="7" t="e">
        <f>getCodigoBackend(N75,A75,VLOOKUP(N75,setup!$A$8:$H$58,2),VLOOKUP(N75,setup!$A$8:$H$58,3),VLOOKUP(N75,setup!$A$8:$H$58,4),VLOOKUP(N75,setup!$A$8:$H$58,5),VLOOKUP(N75,setup!$A$8:$H$58,6),VLOOKUP(N75,setup!$A$8:$H$58,7), VLOOKUP(0,setup!$A$8:$H$58,2),VLOOKUP(0,setup!$A$8:$H$58,5),VLOOKUP(N75,setup!$A$8:$H$58,8))</f>
        <v>#VALUE!</v>
      </c>
    </row>
    <row r="76" spans="1:15" x14ac:dyDescent="0.25">
      <c r="A76" s="29" t="s">
        <v>760</v>
      </c>
      <c r="N76">
        <f t="shared" si="0"/>
        <v>45</v>
      </c>
      <c r="O76" s="7" t="e">
        <f>getCodigoBackend(N76,A76,VLOOKUP(N76,setup!$A$8:$H$58,2),VLOOKUP(N76,setup!$A$8:$H$58,3),VLOOKUP(N76,setup!$A$8:$H$58,4),VLOOKUP(N76,setup!$A$8:$H$58,5),VLOOKUP(N76,setup!$A$8:$H$58,6),VLOOKUP(N76,setup!$A$8:$H$58,7), VLOOKUP(0,setup!$A$8:$H$58,2),VLOOKUP(0,setup!$A$8:$H$58,5),VLOOKUP(N76,setup!$A$8:$H$58,8))</f>
        <v>#VALUE!</v>
      </c>
    </row>
    <row r="77" spans="1:15" x14ac:dyDescent="0.25">
      <c r="A77" s="29" t="s">
        <v>760</v>
      </c>
      <c r="N77">
        <f t="shared" si="0"/>
        <v>46</v>
      </c>
      <c r="O77" s="7" t="e">
        <f>getCodigoBackend(N77,A77,VLOOKUP(N77,setup!$A$8:$H$58,2),VLOOKUP(N77,setup!$A$8:$H$58,3),VLOOKUP(N77,setup!$A$8:$H$58,4),VLOOKUP(N77,setup!$A$8:$H$58,5),VLOOKUP(N77,setup!$A$8:$H$58,6),VLOOKUP(N77,setup!$A$8:$H$58,7), VLOOKUP(0,setup!$A$8:$H$58,2),VLOOKUP(0,setup!$A$8:$H$58,5),VLOOKUP(N77,setup!$A$8:$H$58,8))</f>
        <v>#VALUE!</v>
      </c>
    </row>
    <row r="78" spans="1:15" x14ac:dyDescent="0.25">
      <c r="A78" s="29" t="s">
        <v>760</v>
      </c>
      <c r="N78">
        <f t="shared" si="0"/>
        <v>47</v>
      </c>
      <c r="O78" s="7" t="e">
        <f>getCodigoBackend(N78,A78,VLOOKUP(N78,setup!$A$8:$H$58,2),VLOOKUP(N78,setup!$A$8:$H$58,3),VLOOKUP(N78,setup!$A$8:$H$58,4),VLOOKUP(N78,setup!$A$8:$H$58,5),VLOOKUP(N78,setup!$A$8:$H$58,6),VLOOKUP(N78,setup!$A$8:$H$58,7), VLOOKUP(0,setup!$A$8:$H$58,2),VLOOKUP(0,setup!$A$8:$H$58,5),VLOOKUP(N78,setup!$A$8:$H$58,8))</f>
        <v>#VALUE!</v>
      </c>
    </row>
    <row r="79" spans="1:15" x14ac:dyDescent="0.25">
      <c r="A79" s="29" t="s">
        <v>760</v>
      </c>
      <c r="N79">
        <f t="shared" ref="N79:N81" si="1">N78+1</f>
        <v>48</v>
      </c>
      <c r="O79" s="7" t="str">
        <f ca="1">getCodigoBackend(N79,A79,VLOOKUP(N79,setup!$A$8:$H$58,2),VLOOKUP(N79,setup!$A$8:$H$58,3),VLOOKUP(N79,setup!$A$8:$H$58,4),VLOOKUP(N79,setup!$A$8:$H$58,5),VLOOKUP(N79,setup!$A$8:$H$58,6),VLOOKUP(N79,setup!$A$8:$H$58,7), VLOOKUP(0,setup!$A$8:$H$58,2),VLOOKUP(0,setup!$A$8:$H$58,5),VLOOKUP(N79,setup!$A$8:$H$58,8))</f>
        <v xml:space="preserve">    public function loadStatus($status);</v>
      </c>
    </row>
    <row r="80" spans="1:15" x14ac:dyDescent="0.25">
      <c r="A80" s="29" t="s">
        <v>760</v>
      </c>
      <c r="N80">
        <f t="shared" si="1"/>
        <v>49</v>
      </c>
      <c r="O80" s="7" t="str">
        <f ca="1">getCodigoBackend(N80,A80,VLOOKUP(N80,setup!$A$8:$H$58,2),VLOOKUP(N80,setup!$A$8:$H$58,3),VLOOKUP(N80,setup!$A$8:$H$58,4),VLOOKUP(N80,setup!$A$8:$H$58,5),VLOOKUP(N80,setup!$A$8:$H$58,6),VLOOKUP(N80,setup!$A$8:$H$58,7), VLOOKUP(0,setup!$A$8:$H$58,2),VLOOKUP(0,setup!$A$8:$H$58,5),VLOOKUP(N80,setup!$A$8:$H$58,8))</f>
        <v xml:space="preserve">    public function loadDatacadastro($dataCadastro);</v>
      </c>
    </row>
    <row r="81" spans="1:15" x14ac:dyDescent="0.25">
      <c r="A81" s="29" t="s">
        <v>760</v>
      </c>
      <c r="N81">
        <f t="shared" si="1"/>
        <v>50</v>
      </c>
      <c r="O81" s="7" t="str">
        <f ca="1">getCodigoBackend(N81,A81,VLOOKUP(N81,setup!$A$8:$H$58,2),VLOOKUP(N81,setup!$A$8:$H$58,3),VLOOKUP(N81,setup!$A$8:$H$58,4),VLOOKUP(N81,setup!$A$8:$H$58,5),VLOOKUP(N81,setup!$A$8:$H$58,6),VLOOKUP(N81,setup!$A$8:$H$58,7), VLOOKUP(0,setup!$A$8:$H$58,2),VLOOKUP(0,setup!$A$8:$H$58,5),VLOOKUP(N81,setup!$A$8:$H$58,8))</f>
        <v xml:space="preserve">    public function loadDataatualizacao($dataAtualizacao);</v>
      </c>
    </row>
    <row r="82" spans="1:15" x14ac:dyDescent="0.25">
      <c r="A82" s="2"/>
      <c r="O82" s="7" t="str">
        <f ca="1">getCodigoBackend(N82,A82,VLOOKUP(N82,setup!$A$8:$H$58,2),VLOOKUP(N82,setup!$A$8:$H$58,3),VLOOKUP(N82,setup!$A$8:$H$58,4),VLOOKUP(N82,setup!$A$8:$H$58,5),VLOOKUP(N82,setup!$A$8:$H$58,6),VLOOKUP(N82,setup!$A$8:$H$58,7), VLOOKUP(0,setup!$A$8:$H$58,2),VLOOKUP(0,setup!$A$8:$H$58,5),VLOOKUP(N82,setup!$A$8:$H$58,8))</f>
        <v/>
      </c>
    </row>
    <row r="83" spans="1:15" x14ac:dyDescent="0.25">
      <c r="A83" s="29" t="s">
        <v>761</v>
      </c>
      <c r="N83">
        <v>1</v>
      </c>
      <c r="O83" s="7" t="str">
        <f ca="1">getCodigoBackend(N83,A83,VLOOKUP(N83,setup!$A$8:$H$58,2),VLOOKUP(N83,setup!$A$8:$H$58,3),VLOOKUP(N83,setup!$A$8:$H$58,4),VLOOKUP(N83,setup!$A$8:$H$58,5),VLOOKUP(N83,setup!$A$8:$H$58,6),VLOOKUP(N83,setup!$A$8:$H$58,7), VLOOKUP(0,setup!$A$8:$H$58,2),VLOOKUP(0,setup!$A$8:$H$58,5),VLOOKUP(N83,setup!$A$8:$H$58,8))</f>
        <v xml:space="preserve">    public function updateIdcampanhacashback($id, $idCampanhaCashback);</v>
      </c>
    </row>
    <row r="84" spans="1:15" x14ac:dyDescent="0.25">
      <c r="A84" s="29" t="s">
        <v>761</v>
      </c>
      <c r="N84">
        <f>N83+1</f>
        <v>2</v>
      </c>
      <c r="O84" s="7" t="str">
        <f ca="1">getCodigoBackend(N84,A84,VLOOKUP(N84,setup!$A$8:$H$58,2),VLOOKUP(N84,setup!$A$8:$H$58,3),VLOOKUP(N84,setup!$A$8:$H$58,4),VLOOKUP(N84,setup!$A$8:$H$58,5),VLOOKUP(N84,setup!$A$8:$H$58,6),VLOOKUP(N84,setup!$A$8:$H$58,7), VLOOKUP(0,setup!$A$8:$H$58,2),VLOOKUP(0,setup!$A$8:$H$58,5),VLOOKUP(N84,setup!$A$8:$H$58,8))</f>
        <v xml:space="preserve">    public function updateIdusuariosolicitante($id, $idUsuarioSolicitante);</v>
      </c>
    </row>
    <row r="85" spans="1:15" x14ac:dyDescent="0.25">
      <c r="A85" s="29" t="s">
        <v>761</v>
      </c>
      <c r="N85">
        <f t="shared" ref="N85:N130" si="2">N84+1</f>
        <v>3</v>
      </c>
      <c r="O85" s="7" t="str">
        <f ca="1">getCodigoBackend(N85,A85,VLOOKUP(N85,setup!$A$8:$H$58,2),VLOOKUP(N85,setup!$A$8:$H$58,3),VLOOKUP(N85,setup!$A$8:$H$58,4),VLOOKUP(N85,setup!$A$8:$H$58,5),VLOOKUP(N85,setup!$A$8:$H$58,6),VLOOKUP(N85,setup!$A$8:$H$58,7), VLOOKUP(0,setup!$A$8:$H$58,2),VLOOKUP(0,setup!$A$8:$H$58,5),VLOOKUP(N85,setup!$A$8:$H$58,8))</f>
        <v xml:space="preserve">    public function updateTipochavepix($id, $tipoChavePix);</v>
      </c>
    </row>
    <row r="86" spans="1:15" x14ac:dyDescent="0.25">
      <c r="A86" s="29" t="s">
        <v>761</v>
      </c>
      <c r="N86">
        <f t="shared" si="2"/>
        <v>4</v>
      </c>
      <c r="O86" s="7" t="str">
        <f ca="1">getCodigoBackend(N86,A86,VLOOKUP(N86,setup!$A$8:$H$58,2),VLOOKUP(N86,setup!$A$8:$H$58,3),VLOOKUP(N86,setup!$A$8:$H$58,4),VLOOKUP(N86,setup!$A$8:$H$58,5),VLOOKUP(N86,setup!$A$8:$H$58,6),VLOOKUP(N86,setup!$A$8:$H$58,7), VLOOKUP(0,setup!$A$8:$H$58,2),VLOOKUP(0,setup!$A$8:$H$58,5),VLOOKUP(N86,setup!$A$8:$H$58,8))</f>
        <v xml:space="preserve">    public function updateChavepix($id, $chavePix);</v>
      </c>
    </row>
    <row r="87" spans="1:15" x14ac:dyDescent="0.25">
      <c r="A87" s="29" t="s">
        <v>761</v>
      </c>
      <c r="N87">
        <f t="shared" si="2"/>
        <v>5</v>
      </c>
      <c r="O87" s="7" t="str">
        <f ca="1">getCodigoBackend(N87,A87,VLOOKUP(N87,setup!$A$8:$H$58,2),VLOOKUP(N87,setup!$A$8:$H$58,3),VLOOKUP(N87,setup!$A$8:$H$58,4),VLOOKUP(N87,setup!$A$8:$H$58,5),VLOOKUP(N87,setup!$A$8:$H$58,6),VLOOKUP(N87,setup!$A$8:$H$58,7), VLOOKUP(0,setup!$A$8:$H$58,2),VLOOKUP(0,setup!$A$8:$H$58,5),VLOOKUP(N87,setup!$A$8:$H$58,8))</f>
        <v xml:space="preserve">    public function updateValorresgate($id, $valorResgate);</v>
      </c>
    </row>
    <row r="88" spans="1:15" x14ac:dyDescent="0.25">
      <c r="A88" s="29" t="s">
        <v>761</v>
      </c>
      <c r="N88">
        <f t="shared" si="2"/>
        <v>6</v>
      </c>
      <c r="O88" s="7" t="str">
        <f ca="1">getCodigoBackend(N88,A88,VLOOKUP(N88,setup!$A$8:$H$58,2),VLOOKUP(N88,setup!$A$8:$H$58,3),VLOOKUP(N88,setup!$A$8:$H$58,4),VLOOKUP(N88,setup!$A$8:$H$58,5),VLOOKUP(N88,setup!$A$8:$H$58,6),VLOOKUP(N88,setup!$A$8:$H$58,7), VLOOKUP(0,setup!$A$8:$H$58,2),VLOOKUP(0,setup!$A$8:$H$58,5),VLOOKUP(N88,setup!$A$8:$H$58,8))</f>
        <v xml:space="preserve">    public function updateAutenticacaobco($id, $autenticacaoBco);</v>
      </c>
    </row>
    <row r="89" spans="1:15" x14ac:dyDescent="0.25">
      <c r="A89" s="29" t="s">
        <v>761</v>
      </c>
      <c r="N89">
        <f t="shared" si="2"/>
        <v>7</v>
      </c>
      <c r="O89" s="7" t="str">
        <f ca="1">getCodigoBackend(N89,A89,VLOOKUP(N89,setup!$A$8:$H$58,2),VLOOKUP(N89,setup!$A$8:$H$58,3),VLOOKUP(N89,setup!$A$8:$H$58,4),VLOOKUP(N89,setup!$A$8:$H$58,5),VLOOKUP(N89,setup!$A$8:$H$58,6),VLOOKUP(N89,setup!$A$8:$H$58,7), VLOOKUP(0,setup!$A$8:$H$58,2),VLOOKUP(0,setup!$A$8:$H$58,5),VLOOKUP(N89,setup!$A$8:$H$58,8))</f>
        <v xml:space="preserve">    public function updateEstagiorealtime($id, $estagioRealTime);</v>
      </c>
    </row>
    <row r="90" spans="1:15" x14ac:dyDescent="0.25">
      <c r="A90" s="29" t="s">
        <v>761</v>
      </c>
      <c r="N90">
        <f t="shared" si="2"/>
        <v>8</v>
      </c>
      <c r="O90" s="7" t="str">
        <f ca="1">getCodigoBackend(N90,A90,VLOOKUP(N90,setup!$A$8:$H$58,2),VLOOKUP(N90,setup!$A$8:$H$58,3),VLOOKUP(N90,setup!$A$8:$H$58,4),VLOOKUP(N90,setup!$A$8:$H$58,5),VLOOKUP(N90,setup!$A$8:$H$58,6),VLOOKUP(N90,setup!$A$8:$H$58,7), VLOOKUP(0,setup!$A$8:$H$58,2),VLOOKUP(0,setup!$A$8:$H$58,5),VLOOKUP(N90,setup!$A$8:$H$58,8))</f>
        <v xml:space="preserve">    public function updateDtestagioanalise($id, $dtEstagioAnalise);</v>
      </c>
    </row>
    <row r="91" spans="1:15" x14ac:dyDescent="0.25">
      <c r="A91" s="29" t="s">
        <v>761</v>
      </c>
      <c r="N91">
        <f t="shared" si="2"/>
        <v>9</v>
      </c>
      <c r="O91" s="7" t="str">
        <f ca="1">getCodigoBackend(N91,A91,VLOOKUP(N91,setup!$A$8:$H$58,2),VLOOKUP(N91,setup!$A$8:$H$58,3),VLOOKUP(N91,setup!$A$8:$H$58,4),VLOOKUP(N91,setup!$A$8:$H$58,5),VLOOKUP(N91,setup!$A$8:$H$58,6),VLOOKUP(N91,setup!$A$8:$H$58,7), VLOOKUP(0,setup!$A$8:$H$58,2),VLOOKUP(0,setup!$A$8:$H$58,5),VLOOKUP(N91,setup!$A$8:$H$58,8))</f>
        <v xml:space="preserve">    public function updateDtestagiofinanceiro($id, $dtEstagioFinanceiro);</v>
      </c>
    </row>
    <row r="92" spans="1:15" x14ac:dyDescent="0.25">
      <c r="A92" s="29" t="s">
        <v>761</v>
      </c>
      <c r="N92">
        <f t="shared" si="2"/>
        <v>10</v>
      </c>
      <c r="O92" s="7" t="str">
        <f ca="1">getCodigoBackend(N92,A92,VLOOKUP(N92,setup!$A$8:$H$58,2),VLOOKUP(N92,setup!$A$8:$H$58,3),VLOOKUP(N92,setup!$A$8:$H$58,4),VLOOKUP(N92,setup!$A$8:$H$58,5),VLOOKUP(N92,setup!$A$8:$H$58,6),VLOOKUP(N92,setup!$A$8:$H$58,7), VLOOKUP(0,setup!$A$8:$H$58,2),VLOOKUP(0,setup!$A$8:$H$58,5),VLOOKUP(N92,setup!$A$8:$H$58,8))</f>
        <v xml:space="preserve">    public function updateDtestagioerro($id, $dtEstagioErro);</v>
      </c>
    </row>
    <row r="93" spans="1:15" x14ac:dyDescent="0.25">
      <c r="A93" s="29" t="s">
        <v>761</v>
      </c>
      <c r="N93">
        <f t="shared" si="2"/>
        <v>11</v>
      </c>
      <c r="O93" s="7" t="str">
        <f ca="1">getCodigoBackend(N93,A93,VLOOKUP(N93,setup!$A$8:$H$58,2),VLOOKUP(N93,setup!$A$8:$H$58,3),VLOOKUP(N93,setup!$A$8:$H$58,4),VLOOKUP(N93,setup!$A$8:$H$58,5),VLOOKUP(N93,setup!$A$8:$H$58,6),VLOOKUP(N93,setup!$A$8:$H$58,7), VLOOKUP(0,setup!$A$8:$H$58,2),VLOOKUP(0,setup!$A$8:$H$58,5),VLOOKUP(N93,setup!$A$8:$H$58,8))</f>
        <v xml:space="preserve">    public function updateDtestagiotranfbco($id, $dtEstagioTranfBco);</v>
      </c>
    </row>
    <row r="94" spans="1:15" x14ac:dyDescent="0.25">
      <c r="A94" s="29" t="s">
        <v>761</v>
      </c>
      <c r="N94">
        <f t="shared" si="2"/>
        <v>12</v>
      </c>
      <c r="O94" s="7" t="str">
        <f ca="1">getCodigoBackend(N94,A94,VLOOKUP(N94,setup!$A$8:$H$58,2),VLOOKUP(N94,setup!$A$8:$H$58,3),VLOOKUP(N94,setup!$A$8:$H$58,4),VLOOKUP(N94,setup!$A$8:$H$58,5),VLOOKUP(N94,setup!$A$8:$H$58,6),VLOOKUP(N94,setup!$A$8:$H$58,7), VLOOKUP(0,setup!$A$8:$H$58,2),VLOOKUP(0,setup!$A$8:$H$58,5),VLOOKUP(N94,setup!$A$8:$H$58,8))</f>
        <v xml:space="preserve">    public function updateTxtlivreestagiort($id, $txtLivreEstagioRT);</v>
      </c>
    </row>
    <row r="95" spans="1:15" x14ac:dyDescent="0.25">
      <c r="A95" s="29" t="s">
        <v>761</v>
      </c>
      <c r="N95">
        <f t="shared" si="2"/>
        <v>13</v>
      </c>
      <c r="O95" s="7" t="e">
        <f>getCodigoBackend(N95,A95,VLOOKUP(N95,setup!$A$8:$H$58,2),VLOOKUP(N95,setup!$A$8:$H$58,3),VLOOKUP(N95,setup!$A$8:$H$58,4),VLOOKUP(N95,setup!$A$8:$H$58,5),VLOOKUP(N95,setup!$A$8:$H$58,6),VLOOKUP(N95,setup!$A$8:$H$58,7), VLOOKUP(0,setup!$A$8:$H$58,2),VLOOKUP(0,setup!$A$8:$H$58,5),VLOOKUP(N95,setup!$A$8:$H$58,8))</f>
        <v>#VALUE!</v>
      </c>
    </row>
    <row r="96" spans="1:15" x14ac:dyDescent="0.25">
      <c r="A96" s="29" t="s">
        <v>761</v>
      </c>
      <c r="N96">
        <f t="shared" si="2"/>
        <v>14</v>
      </c>
      <c r="O96" s="7" t="e">
        <f>getCodigoBackend(N96,A96,VLOOKUP(N96,setup!$A$8:$H$58,2),VLOOKUP(N96,setup!$A$8:$H$58,3),VLOOKUP(N96,setup!$A$8:$H$58,4),VLOOKUP(N96,setup!$A$8:$H$58,5),VLOOKUP(N96,setup!$A$8:$H$58,6),VLOOKUP(N96,setup!$A$8:$H$58,7), VLOOKUP(0,setup!$A$8:$H$58,2),VLOOKUP(0,setup!$A$8:$H$58,5),VLOOKUP(N96,setup!$A$8:$H$58,8))</f>
        <v>#VALUE!</v>
      </c>
    </row>
    <row r="97" spans="1:15" x14ac:dyDescent="0.25">
      <c r="A97" s="29" t="s">
        <v>761</v>
      </c>
      <c r="N97">
        <f t="shared" si="2"/>
        <v>15</v>
      </c>
      <c r="O97" s="7" t="e">
        <f>getCodigoBackend(N97,A97,VLOOKUP(N97,setup!$A$8:$H$58,2),VLOOKUP(N97,setup!$A$8:$H$58,3),VLOOKUP(N97,setup!$A$8:$H$58,4),VLOOKUP(N97,setup!$A$8:$H$58,5),VLOOKUP(N97,setup!$A$8:$H$58,6),VLOOKUP(N97,setup!$A$8:$H$58,7), VLOOKUP(0,setup!$A$8:$H$58,2),VLOOKUP(0,setup!$A$8:$H$58,5),VLOOKUP(N97,setup!$A$8:$H$58,8))</f>
        <v>#VALUE!</v>
      </c>
    </row>
    <row r="98" spans="1:15" x14ac:dyDescent="0.25">
      <c r="A98" s="29" t="s">
        <v>761</v>
      </c>
      <c r="N98">
        <f t="shared" si="2"/>
        <v>16</v>
      </c>
      <c r="O98" s="7" t="e">
        <f>getCodigoBackend(N98,A98,VLOOKUP(N98,setup!$A$8:$H$58,2),VLOOKUP(N98,setup!$A$8:$H$58,3),VLOOKUP(N98,setup!$A$8:$H$58,4),VLOOKUP(N98,setup!$A$8:$H$58,5),VLOOKUP(N98,setup!$A$8:$H$58,6),VLOOKUP(N98,setup!$A$8:$H$58,7), VLOOKUP(0,setup!$A$8:$H$58,2),VLOOKUP(0,setup!$A$8:$H$58,5),VLOOKUP(N98,setup!$A$8:$H$58,8))</f>
        <v>#VALUE!</v>
      </c>
    </row>
    <row r="99" spans="1:15" x14ac:dyDescent="0.25">
      <c r="A99" s="29" t="s">
        <v>761</v>
      </c>
      <c r="N99">
        <f t="shared" si="2"/>
        <v>17</v>
      </c>
      <c r="O99" s="7" t="e">
        <f>getCodigoBackend(N99,A99,VLOOKUP(N99,setup!$A$8:$H$58,2),VLOOKUP(N99,setup!$A$8:$H$58,3),VLOOKUP(N99,setup!$A$8:$H$58,4),VLOOKUP(N99,setup!$A$8:$H$58,5),VLOOKUP(N99,setup!$A$8:$H$58,6),VLOOKUP(N99,setup!$A$8:$H$58,7), VLOOKUP(0,setup!$A$8:$H$58,2),VLOOKUP(0,setup!$A$8:$H$58,5),VLOOKUP(N99,setup!$A$8:$H$58,8))</f>
        <v>#VALUE!</v>
      </c>
    </row>
    <row r="100" spans="1:15" x14ac:dyDescent="0.25">
      <c r="A100" s="29" t="s">
        <v>761</v>
      </c>
      <c r="N100">
        <f t="shared" si="2"/>
        <v>18</v>
      </c>
      <c r="O100" s="7" t="e">
        <f>getCodigoBackend(N100,A100,VLOOKUP(N100,setup!$A$8:$H$58,2),VLOOKUP(N100,setup!$A$8:$H$58,3),VLOOKUP(N100,setup!$A$8:$H$58,4),VLOOKUP(N100,setup!$A$8:$H$58,5),VLOOKUP(N100,setup!$A$8:$H$58,6),VLOOKUP(N100,setup!$A$8:$H$58,7), VLOOKUP(0,setup!$A$8:$H$58,2),VLOOKUP(0,setup!$A$8:$H$58,5),VLOOKUP(N100,setup!$A$8:$H$58,8))</f>
        <v>#VALUE!</v>
      </c>
    </row>
    <row r="101" spans="1:15" x14ac:dyDescent="0.25">
      <c r="A101" s="29" t="s">
        <v>761</v>
      </c>
      <c r="N101">
        <f t="shared" si="2"/>
        <v>19</v>
      </c>
      <c r="O101" s="7" t="e">
        <f>getCodigoBackend(N101,A101,VLOOKUP(N101,setup!$A$8:$H$58,2),VLOOKUP(N101,setup!$A$8:$H$58,3),VLOOKUP(N101,setup!$A$8:$H$58,4),VLOOKUP(N101,setup!$A$8:$H$58,5),VLOOKUP(N101,setup!$A$8:$H$58,6),VLOOKUP(N101,setup!$A$8:$H$58,7), VLOOKUP(0,setup!$A$8:$H$58,2),VLOOKUP(0,setup!$A$8:$H$58,5),VLOOKUP(N101,setup!$A$8:$H$58,8))</f>
        <v>#VALUE!</v>
      </c>
    </row>
    <row r="102" spans="1:15" x14ac:dyDescent="0.25">
      <c r="A102" s="29" t="s">
        <v>761</v>
      </c>
      <c r="N102">
        <f t="shared" si="2"/>
        <v>20</v>
      </c>
      <c r="O102" s="7" t="e">
        <f>getCodigoBackend(N102,A102,VLOOKUP(N102,setup!$A$8:$H$58,2),VLOOKUP(N102,setup!$A$8:$H$58,3),VLOOKUP(N102,setup!$A$8:$H$58,4),VLOOKUP(N102,setup!$A$8:$H$58,5),VLOOKUP(N102,setup!$A$8:$H$58,6),VLOOKUP(N102,setup!$A$8:$H$58,7), VLOOKUP(0,setup!$A$8:$H$58,2),VLOOKUP(0,setup!$A$8:$H$58,5),VLOOKUP(N102,setup!$A$8:$H$58,8))</f>
        <v>#VALUE!</v>
      </c>
    </row>
    <row r="103" spans="1:15" x14ac:dyDescent="0.25">
      <c r="A103" s="29" t="s">
        <v>761</v>
      </c>
      <c r="N103">
        <f t="shared" si="2"/>
        <v>21</v>
      </c>
      <c r="O103" s="7" t="e">
        <f>getCodigoBackend(N103,A103,VLOOKUP(N103,setup!$A$8:$H$58,2),VLOOKUP(N103,setup!$A$8:$H$58,3),VLOOKUP(N103,setup!$A$8:$H$58,4),VLOOKUP(N103,setup!$A$8:$H$58,5),VLOOKUP(N103,setup!$A$8:$H$58,6),VLOOKUP(N103,setup!$A$8:$H$58,7), VLOOKUP(0,setup!$A$8:$H$58,2),VLOOKUP(0,setup!$A$8:$H$58,5),VLOOKUP(N103,setup!$A$8:$H$58,8))</f>
        <v>#VALUE!</v>
      </c>
    </row>
    <row r="104" spans="1:15" x14ac:dyDescent="0.25">
      <c r="A104" s="29" t="s">
        <v>761</v>
      </c>
      <c r="N104">
        <f t="shared" si="2"/>
        <v>22</v>
      </c>
      <c r="O104" s="7" t="e">
        <f>getCodigoBackend(N104,A104,VLOOKUP(N104,setup!$A$8:$H$58,2),VLOOKUP(N104,setup!$A$8:$H$58,3),VLOOKUP(N104,setup!$A$8:$H$58,4),VLOOKUP(N104,setup!$A$8:$H$58,5),VLOOKUP(N104,setup!$A$8:$H$58,6),VLOOKUP(N104,setup!$A$8:$H$58,7), VLOOKUP(0,setup!$A$8:$H$58,2),VLOOKUP(0,setup!$A$8:$H$58,5),VLOOKUP(N104,setup!$A$8:$H$58,8))</f>
        <v>#VALUE!</v>
      </c>
    </row>
    <row r="105" spans="1:15" x14ac:dyDescent="0.25">
      <c r="A105" s="29" t="s">
        <v>761</v>
      </c>
      <c r="N105">
        <f t="shared" si="2"/>
        <v>23</v>
      </c>
      <c r="O105" s="7" t="e">
        <f>getCodigoBackend(N105,A105,VLOOKUP(N105,setup!$A$8:$H$58,2),VLOOKUP(N105,setup!$A$8:$H$58,3),VLOOKUP(N105,setup!$A$8:$H$58,4),VLOOKUP(N105,setup!$A$8:$H$58,5),VLOOKUP(N105,setup!$A$8:$H$58,6),VLOOKUP(N105,setup!$A$8:$H$58,7), VLOOKUP(0,setup!$A$8:$H$58,2),VLOOKUP(0,setup!$A$8:$H$58,5),VLOOKUP(N105,setup!$A$8:$H$58,8))</f>
        <v>#VALUE!</v>
      </c>
    </row>
    <row r="106" spans="1:15" x14ac:dyDescent="0.25">
      <c r="A106" s="29" t="s">
        <v>761</v>
      </c>
      <c r="N106">
        <f t="shared" si="2"/>
        <v>24</v>
      </c>
      <c r="O106" s="7" t="e">
        <f>getCodigoBackend(N106,A106,VLOOKUP(N106,setup!$A$8:$H$58,2),VLOOKUP(N106,setup!$A$8:$H$58,3),VLOOKUP(N106,setup!$A$8:$H$58,4),VLOOKUP(N106,setup!$A$8:$H$58,5),VLOOKUP(N106,setup!$A$8:$H$58,6),VLOOKUP(N106,setup!$A$8:$H$58,7), VLOOKUP(0,setup!$A$8:$H$58,2),VLOOKUP(0,setup!$A$8:$H$58,5),VLOOKUP(N106,setup!$A$8:$H$58,8))</f>
        <v>#VALUE!</v>
      </c>
    </row>
    <row r="107" spans="1:15" x14ac:dyDescent="0.25">
      <c r="A107" s="29" t="s">
        <v>761</v>
      </c>
      <c r="N107">
        <f t="shared" si="2"/>
        <v>25</v>
      </c>
      <c r="O107" s="7" t="e">
        <f>getCodigoBackend(N107,A107,VLOOKUP(N107,setup!$A$8:$H$58,2),VLOOKUP(N107,setup!$A$8:$H$58,3),VLOOKUP(N107,setup!$A$8:$H$58,4),VLOOKUP(N107,setup!$A$8:$H$58,5),VLOOKUP(N107,setup!$A$8:$H$58,6),VLOOKUP(N107,setup!$A$8:$H$58,7), VLOOKUP(0,setup!$A$8:$H$58,2),VLOOKUP(0,setup!$A$8:$H$58,5),VLOOKUP(N107,setup!$A$8:$H$58,8))</f>
        <v>#VALUE!</v>
      </c>
    </row>
    <row r="108" spans="1:15" x14ac:dyDescent="0.25">
      <c r="A108" s="29" t="s">
        <v>761</v>
      </c>
      <c r="N108">
        <f t="shared" si="2"/>
        <v>26</v>
      </c>
      <c r="O108" s="7" t="e">
        <f>getCodigoBackend(N108,A108,VLOOKUP(N108,setup!$A$8:$H$58,2),VLOOKUP(N108,setup!$A$8:$H$58,3),VLOOKUP(N108,setup!$A$8:$H$58,4),VLOOKUP(N108,setup!$A$8:$H$58,5),VLOOKUP(N108,setup!$A$8:$H$58,6),VLOOKUP(N108,setup!$A$8:$H$58,7), VLOOKUP(0,setup!$A$8:$H$58,2),VLOOKUP(0,setup!$A$8:$H$58,5),VLOOKUP(N108,setup!$A$8:$H$58,8))</f>
        <v>#VALUE!</v>
      </c>
    </row>
    <row r="109" spans="1:15" x14ac:dyDescent="0.25">
      <c r="A109" s="29" t="s">
        <v>761</v>
      </c>
      <c r="N109">
        <f t="shared" si="2"/>
        <v>27</v>
      </c>
      <c r="O109" s="7" t="e">
        <f>getCodigoBackend(N109,A109,VLOOKUP(N109,setup!$A$8:$H$58,2),VLOOKUP(N109,setup!$A$8:$H$58,3),VLOOKUP(N109,setup!$A$8:$H$58,4),VLOOKUP(N109,setup!$A$8:$H$58,5),VLOOKUP(N109,setup!$A$8:$H$58,6),VLOOKUP(N109,setup!$A$8:$H$58,7), VLOOKUP(0,setup!$A$8:$H$58,2),VLOOKUP(0,setup!$A$8:$H$58,5),VLOOKUP(N109,setup!$A$8:$H$58,8))</f>
        <v>#VALUE!</v>
      </c>
    </row>
    <row r="110" spans="1:15" x14ac:dyDescent="0.25">
      <c r="A110" s="29" t="s">
        <v>761</v>
      </c>
      <c r="N110">
        <f t="shared" si="2"/>
        <v>28</v>
      </c>
      <c r="O110" s="7" t="e">
        <f>getCodigoBackend(N110,A110,VLOOKUP(N110,setup!$A$8:$H$58,2),VLOOKUP(N110,setup!$A$8:$H$58,3),VLOOKUP(N110,setup!$A$8:$H$58,4),VLOOKUP(N110,setup!$A$8:$H$58,5),VLOOKUP(N110,setup!$A$8:$H$58,6),VLOOKUP(N110,setup!$A$8:$H$58,7), VLOOKUP(0,setup!$A$8:$H$58,2),VLOOKUP(0,setup!$A$8:$H$58,5),VLOOKUP(N110,setup!$A$8:$H$58,8))</f>
        <v>#VALUE!</v>
      </c>
    </row>
    <row r="111" spans="1:15" x14ac:dyDescent="0.25">
      <c r="A111" s="29" t="s">
        <v>761</v>
      </c>
      <c r="N111">
        <f t="shared" si="2"/>
        <v>29</v>
      </c>
      <c r="O111" s="7" t="e">
        <f>getCodigoBackend(N111,A111,VLOOKUP(N111,setup!$A$8:$H$58,2),VLOOKUP(N111,setup!$A$8:$H$58,3),VLOOKUP(N111,setup!$A$8:$H$58,4),VLOOKUP(N111,setup!$A$8:$H$58,5),VLOOKUP(N111,setup!$A$8:$H$58,6),VLOOKUP(N111,setup!$A$8:$H$58,7), VLOOKUP(0,setup!$A$8:$H$58,2),VLOOKUP(0,setup!$A$8:$H$58,5),VLOOKUP(N111,setup!$A$8:$H$58,8))</f>
        <v>#VALUE!</v>
      </c>
    </row>
    <row r="112" spans="1:15" x14ac:dyDescent="0.25">
      <c r="A112" s="29" t="s">
        <v>761</v>
      </c>
      <c r="N112">
        <f t="shared" si="2"/>
        <v>30</v>
      </c>
      <c r="O112" s="7" t="e">
        <f>getCodigoBackend(N112,A112,VLOOKUP(N112,setup!$A$8:$H$58,2),VLOOKUP(N112,setup!$A$8:$H$58,3),VLOOKUP(N112,setup!$A$8:$H$58,4),VLOOKUP(N112,setup!$A$8:$H$58,5),VLOOKUP(N112,setup!$A$8:$H$58,6),VLOOKUP(N112,setup!$A$8:$H$58,7), VLOOKUP(0,setup!$A$8:$H$58,2),VLOOKUP(0,setup!$A$8:$H$58,5),VLOOKUP(N112,setup!$A$8:$H$58,8))</f>
        <v>#VALUE!</v>
      </c>
    </row>
    <row r="113" spans="1:15" x14ac:dyDescent="0.25">
      <c r="A113" s="29" t="s">
        <v>761</v>
      </c>
      <c r="N113">
        <f t="shared" si="2"/>
        <v>31</v>
      </c>
      <c r="O113" s="7" t="e">
        <f>getCodigoBackend(N113,A113,VLOOKUP(N113,setup!$A$8:$H$58,2),VLOOKUP(N113,setup!$A$8:$H$58,3),VLOOKUP(N113,setup!$A$8:$H$58,4),VLOOKUP(N113,setup!$A$8:$H$58,5),VLOOKUP(N113,setup!$A$8:$H$58,6),VLOOKUP(N113,setup!$A$8:$H$58,7), VLOOKUP(0,setup!$A$8:$H$58,2),VLOOKUP(0,setup!$A$8:$H$58,5),VLOOKUP(N113,setup!$A$8:$H$58,8))</f>
        <v>#VALUE!</v>
      </c>
    </row>
    <row r="114" spans="1:15" x14ac:dyDescent="0.25">
      <c r="A114" s="29" t="s">
        <v>761</v>
      </c>
      <c r="N114">
        <f t="shared" si="2"/>
        <v>32</v>
      </c>
      <c r="O114" s="7" t="e">
        <f>getCodigoBackend(N114,A114,VLOOKUP(N114,setup!$A$8:$H$58,2),VLOOKUP(N114,setup!$A$8:$H$58,3),VLOOKUP(N114,setup!$A$8:$H$58,4),VLOOKUP(N114,setup!$A$8:$H$58,5),VLOOKUP(N114,setup!$A$8:$H$58,6),VLOOKUP(N114,setup!$A$8:$H$58,7), VLOOKUP(0,setup!$A$8:$H$58,2),VLOOKUP(0,setup!$A$8:$H$58,5),VLOOKUP(N114,setup!$A$8:$H$58,8))</f>
        <v>#VALUE!</v>
      </c>
    </row>
    <row r="115" spans="1:15" x14ac:dyDescent="0.25">
      <c r="A115" s="29" t="s">
        <v>761</v>
      </c>
      <c r="N115">
        <f t="shared" si="2"/>
        <v>33</v>
      </c>
      <c r="O115" s="7" t="e">
        <f>getCodigoBackend(N115,A115,VLOOKUP(N115,setup!$A$8:$H$58,2),VLOOKUP(N115,setup!$A$8:$H$58,3),VLOOKUP(N115,setup!$A$8:$H$58,4),VLOOKUP(N115,setup!$A$8:$H$58,5),VLOOKUP(N115,setup!$A$8:$H$58,6),VLOOKUP(N115,setup!$A$8:$H$58,7), VLOOKUP(0,setup!$A$8:$H$58,2),VLOOKUP(0,setup!$A$8:$H$58,5),VLOOKUP(N115,setup!$A$8:$H$58,8))</f>
        <v>#VALUE!</v>
      </c>
    </row>
    <row r="116" spans="1:15" x14ac:dyDescent="0.25">
      <c r="A116" s="29" t="s">
        <v>761</v>
      </c>
      <c r="N116">
        <f t="shared" si="2"/>
        <v>34</v>
      </c>
      <c r="O116" s="7" t="e">
        <f>getCodigoBackend(N116,A116,VLOOKUP(N116,setup!$A$8:$H$58,2),VLOOKUP(N116,setup!$A$8:$H$58,3),VLOOKUP(N116,setup!$A$8:$H$58,4),VLOOKUP(N116,setup!$A$8:$H$58,5),VLOOKUP(N116,setup!$A$8:$H$58,6),VLOOKUP(N116,setup!$A$8:$H$58,7), VLOOKUP(0,setup!$A$8:$H$58,2),VLOOKUP(0,setup!$A$8:$H$58,5),VLOOKUP(N116,setup!$A$8:$H$58,8))</f>
        <v>#VALUE!</v>
      </c>
    </row>
    <row r="117" spans="1:15" x14ac:dyDescent="0.25">
      <c r="A117" s="29" t="s">
        <v>761</v>
      </c>
      <c r="N117">
        <f t="shared" si="2"/>
        <v>35</v>
      </c>
      <c r="O117" s="7" t="e">
        <f>getCodigoBackend(N117,A117,VLOOKUP(N117,setup!$A$8:$H$58,2),VLOOKUP(N117,setup!$A$8:$H$58,3),VLOOKUP(N117,setup!$A$8:$H$58,4),VLOOKUP(N117,setup!$A$8:$H$58,5),VLOOKUP(N117,setup!$A$8:$H$58,6),VLOOKUP(N117,setup!$A$8:$H$58,7), VLOOKUP(0,setup!$A$8:$H$58,2),VLOOKUP(0,setup!$A$8:$H$58,5),VLOOKUP(N117,setup!$A$8:$H$58,8))</f>
        <v>#VALUE!</v>
      </c>
    </row>
    <row r="118" spans="1:15" x14ac:dyDescent="0.25">
      <c r="A118" s="29" t="s">
        <v>761</v>
      </c>
      <c r="N118">
        <f t="shared" si="2"/>
        <v>36</v>
      </c>
      <c r="O118" s="7" t="e">
        <f>getCodigoBackend(N118,A118,VLOOKUP(N118,setup!$A$8:$H$58,2),VLOOKUP(N118,setup!$A$8:$H$58,3),VLOOKUP(N118,setup!$A$8:$H$58,4),VLOOKUP(N118,setup!$A$8:$H$58,5),VLOOKUP(N118,setup!$A$8:$H$58,6),VLOOKUP(N118,setup!$A$8:$H$58,7), VLOOKUP(0,setup!$A$8:$H$58,2),VLOOKUP(0,setup!$A$8:$H$58,5),VLOOKUP(N118,setup!$A$8:$H$58,8))</f>
        <v>#VALUE!</v>
      </c>
    </row>
    <row r="119" spans="1:15" x14ac:dyDescent="0.25">
      <c r="A119" s="29" t="s">
        <v>761</v>
      </c>
      <c r="N119">
        <f t="shared" si="2"/>
        <v>37</v>
      </c>
      <c r="O119" s="7" t="e">
        <f>getCodigoBackend(N119,A119,VLOOKUP(N119,setup!$A$8:$H$58,2),VLOOKUP(N119,setup!$A$8:$H$58,3),VLOOKUP(N119,setup!$A$8:$H$58,4),VLOOKUP(N119,setup!$A$8:$H$58,5),VLOOKUP(N119,setup!$A$8:$H$58,6),VLOOKUP(N119,setup!$A$8:$H$58,7), VLOOKUP(0,setup!$A$8:$H$58,2),VLOOKUP(0,setup!$A$8:$H$58,5),VLOOKUP(N119,setup!$A$8:$H$58,8))</f>
        <v>#VALUE!</v>
      </c>
    </row>
    <row r="120" spans="1:15" x14ac:dyDescent="0.25">
      <c r="A120" s="29" t="s">
        <v>761</v>
      </c>
      <c r="N120">
        <f t="shared" si="2"/>
        <v>38</v>
      </c>
      <c r="O120" s="7" t="e">
        <f>getCodigoBackend(N120,A120,VLOOKUP(N120,setup!$A$8:$H$58,2),VLOOKUP(N120,setup!$A$8:$H$58,3),VLOOKUP(N120,setup!$A$8:$H$58,4),VLOOKUP(N120,setup!$A$8:$H$58,5),VLOOKUP(N120,setup!$A$8:$H$58,6),VLOOKUP(N120,setup!$A$8:$H$58,7), VLOOKUP(0,setup!$A$8:$H$58,2),VLOOKUP(0,setup!$A$8:$H$58,5),VLOOKUP(N120,setup!$A$8:$H$58,8))</f>
        <v>#VALUE!</v>
      </c>
    </row>
    <row r="121" spans="1:15" x14ac:dyDescent="0.25">
      <c r="A121" s="29" t="s">
        <v>761</v>
      </c>
      <c r="N121">
        <f t="shared" si="2"/>
        <v>39</v>
      </c>
      <c r="O121" s="7" t="e">
        <f>getCodigoBackend(N121,A121,VLOOKUP(N121,setup!$A$8:$H$58,2),VLOOKUP(N121,setup!$A$8:$H$58,3),VLOOKUP(N121,setup!$A$8:$H$58,4),VLOOKUP(N121,setup!$A$8:$H$58,5),VLOOKUP(N121,setup!$A$8:$H$58,6),VLOOKUP(N121,setup!$A$8:$H$58,7), VLOOKUP(0,setup!$A$8:$H$58,2),VLOOKUP(0,setup!$A$8:$H$58,5),VLOOKUP(N121,setup!$A$8:$H$58,8))</f>
        <v>#VALUE!</v>
      </c>
    </row>
    <row r="122" spans="1:15" x14ac:dyDescent="0.25">
      <c r="A122" s="29" t="s">
        <v>761</v>
      </c>
      <c r="N122">
        <f t="shared" si="2"/>
        <v>40</v>
      </c>
      <c r="O122" s="7" t="e">
        <f>getCodigoBackend(N122,A122,VLOOKUP(N122,setup!$A$8:$H$58,2),VLOOKUP(N122,setup!$A$8:$H$58,3),VLOOKUP(N122,setup!$A$8:$H$58,4),VLOOKUP(N122,setup!$A$8:$H$58,5),VLOOKUP(N122,setup!$A$8:$H$58,6),VLOOKUP(N122,setup!$A$8:$H$58,7), VLOOKUP(0,setup!$A$8:$H$58,2),VLOOKUP(0,setup!$A$8:$H$58,5),VLOOKUP(N122,setup!$A$8:$H$58,8))</f>
        <v>#VALUE!</v>
      </c>
    </row>
    <row r="123" spans="1:15" x14ac:dyDescent="0.25">
      <c r="A123" s="29" t="s">
        <v>761</v>
      </c>
      <c r="N123">
        <f t="shared" si="2"/>
        <v>41</v>
      </c>
      <c r="O123" s="7" t="e">
        <f>getCodigoBackend(N123,A123,VLOOKUP(N123,setup!$A$8:$H$58,2),VLOOKUP(N123,setup!$A$8:$H$58,3),VLOOKUP(N123,setup!$A$8:$H$58,4),VLOOKUP(N123,setup!$A$8:$H$58,5),VLOOKUP(N123,setup!$A$8:$H$58,6),VLOOKUP(N123,setup!$A$8:$H$58,7), VLOOKUP(0,setup!$A$8:$H$58,2),VLOOKUP(0,setup!$A$8:$H$58,5),VLOOKUP(N123,setup!$A$8:$H$58,8))</f>
        <v>#VALUE!</v>
      </c>
    </row>
    <row r="124" spans="1:15" x14ac:dyDescent="0.25">
      <c r="A124" s="29" t="s">
        <v>761</v>
      </c>
      <c r="N124">
        <f t="shared" si="2"/>
        <v>42</v>
      </c>
      <c r="O124" s="7" t="e">
        <f>getCodigoBackend(N124,A124,VLOOKUP(N124,setup!$A$8:$H$58,2),VLOOKUP(N124,setup!$A$8:$H$58,3),VLOOKUP(N124,setup!$A$8:$H$58,4),VLOOKUP(N124,setup!$A$8:$H$58,5),VLOOKUP(N124,setup!$A$8:$H$58,6),VLOOKUP(N124,setup!$A$8:$H$58,7), VLOOKUP(0,setup!$A$8:$H$58,2),VLOOKUP(0,setup!$A$8:$H$58,5),VLOOKUP(N124,setup!$A$8:$H$58,8))</f>
        <v>#VALUE!</v>
      </c>
    </row>
    <row r="125" spans="1:15" x14ac:dyDescent="0.25">
      <c r="A125" s="29" t="s">
        <v>761</v>
      </c>
      <c r="N125">
        <f t="shared" si="2"/>
        <v>43</v>
      </c>
      <c r="O125" s="7" t="e">
        <f>getCodigoBackend(N125,A125,VLOOKUP(N125,setup!$A$8:$H$58,2),VLOOKUP(N125,setup!$A$8:$H$58,3),VLOOKUP(N125,setup!$A$8:$H$58,4),VLOOKUP(N125,setup!$A$8:$H$58,5),VLOOKUP(N125,setup!$A$8:$H$58,6),VLOOKUP(N125,setup!$A$8:$H$58,7), VLOOKUP(0,setup!$A$8:$H$58,2),VLOOKUP(0,setup!$A$8:$H$58,5),VLOOKUP(N125,setup!$A$8:$H$58,8))</f>
        <v>#VALUE!</v>
      </c>
    </row>
    <row r="126" spans="1:15" x14ac:dyDescent="0.25">
      <c r="A126" s="29" t="s">
        <v>761</v>
      </c>
      <c r="N126">
        <f t="shared" si="2"/>
        <v>44</v>
      </c>
      <c r="O126" s="7" t="e">
        <f>getCodigoBackend(N126,A126,VLOOKUP(N126,setup!$A$8:$H$58,2),VLOOKUP(N126,setup!$A$8:$H$58,3),VLOOKUP(N126,setup!$A$8:$H$58,4),VLOOKUP(N126,setup!$A$8:$H$58,5),VLOOKUP(N126,setup!$A$8:$H$58,6),VLOOKUP(N126,setup!$A$8:$H$58,7), VLOOKUP(0,setup!$A$8:$H$58,2),VLOOKUP(0,setup!$A$8:$H$58,5),VLOOKUP(N126,setup!$A$8:$H$58,8))</f>
        <v>#VALUE!</v>
      </c>
    </row>
    <row r="127" spans="1:15" x14ac:dyDescent="0.25">
      <c r="A127" s="29" t="s">
        <v>761</v>
      </c>
      <c r="N127">
        <f t="shared" si="2"/>
        <v>45</v>
      </c>
      <c r="O127" s="7" t="e">
        <f>getCodigoBackend(N127,A127,VLOOKUP(N127,setup!$A$8:$H$58,2),VLOOKUP(N127,setup!$A$8:$H$58,3),VLOOKUP(N127,setup!$A$8:$H$58,4),VLOOKUP(N127,setup!$A$8:$H$58,5),VLOOKUP(N127,setup!$A$8:$H$58,6),VLOOKUP(N127,setup!$A$8:$H$58,7), VLOOKUP(0,setup!$A$8:$H$58,2),VLOOKUP(0,setup!$A$8:$H$58,5),VLOOKUP(N127,setup!$A$8:$H$58,8))</f>
        <v>#VALUE!</v>
      </c>
    </row>
    <row r="128" spans="1:15" x14ac:dyDescent="0.25">
      <c r="A128" s="29" t="s">
        <v>761</v>
      </c>
      <c r="N128">
        <f t="shared" si="2"/>
        <v>46</v>
      </c>
      <c r="O128" s="7" t="e">
        <f>getCodigoBackend(N128,A128,VLOOKUP(N128,setup!$A$8:$H$58,2),VLOOKUP(N128,setup!$A$8:$H$58,3),VLOOKUP(N128,setup!$A$8:$H$58,4),VLOOKUP(N128,setup!$A$8:$H$58,5),VLOOKUP(N128,setup!$A$8:$H$58,6),VLOOKUP(N128,setup!$A$8:$H$58,7), VLOOKUP(0,setup!$A$8:$H$58,2),VLOOKUP(0,setup!$A$8:$H$58,5),VLOOKUP(N128,setup!$A$8:$H$58,8))</f>
        <v>#VALUE!</v>
      </c>
    </row>
    <row r="129" spans="1:15" x14ac:dyDescent="0.25">
      <c r="A129" s="29" t="s">
        <v>761</v>
      </c>
      <c r="N129">
        <f t="shared" si="2"/>
        <v>47</v>
      </c>
      <c r="O129" s="7" t="e">
        <f>getCodigoBackend(N129,A129,VLOOKUP(N129,setup!$A$8:$H$58,2),VLOOKUP(N129,setup!$A$8:$H$58,3),VLOOKUP(N129,setup!$A$8:$H$58,4),VLOOKUP(N129,setup!$A$8:$H$58,5),VLOOKUP(N129,setup!$A$8:$H$58,6),VLOOKUP(N129,setup!$A$8:$H$58,7), VLOOKUP(0,setup!$A$8:$H$58,2),VLOOKUP(0,setup!$A$8:$H$58,5),VLOOKUP(N129,setup!$A$8:$H$58,8))</f>
        <v>#VALUE!</v>
      </c>
    </row>
    <row r="130" spans="1:15" x14ac:dyDescent="0.25">
      <c r="A130" s="29" t="s">
        <v>761</v>
      </c>
      <c r="N130">
        <f t="shared" si="2"/>
        <v>48</v>
      </c>
      <c r="O130" s="7" t="str">
        <f ca="1">getCodigoBackend(N130,A130,VLOOKUP(N130,setup!$A$8:$H$58,2),VLOOKUP(N130,setup!$A$8:$H$58,3),VLOOKUP(N130,setup!$A$8:$H$58,4),VLOOKUP(N130,setup!$A$8:$H$58,5),VLOOKUP(N130,setup!$A$8:$H$58,6),VLOOKUP(N130,setup!$A$8:$H$58,7), VLOOKUP(0,setup!$A$8:$H$58,2),VLOOKUP(0,setup!$A$8:$H$58,5),VLOOKUP(N130,setup!$A$8:$H$58,8))</f>
        <v xml:space="preserve">    public function updateStatus($id, $status);</v>
      </c>
    </row>
    <row r="131" spans="1:15" x14ac:dyDescent="0.25">
      <c r="A131" s="29"/>
      <c r="O131" s="7" t="str">
        <f ca="1">getCodigoBackend(N131,A131,VLOOKUP(N131,setup!$A$8:$H$58,2),VLOOKUP(N131,setup!$A$8:$H$58,3),VLOOKUP(N131,setup!$A$8:$H$58,4),VLOOKUP(N131,setup!$A$8:$H$58,5),VLOOKUP(N131,setup!$A$8:$H$58,6),VLOOKUP(N131,setup!$A$8:$H$58,7), VLOOKUP(0,setup!$A$8:$H$58,2),VLOOKUP(0,setup!$A$8:$H$58,5),VLOOKUP(N131,setup!$A$8:$H$58,8))</f>
        <v/>
      </c>
    </row>
    <row r="132" spans="1:15" x14ac:dyDescent="0.25">
      <c r="A132" s="29"/>
      <c r="O132" s="7" t="str">
        <f ca="1">getCodigoBackend(N132,A132,VLOOKUP(N132,setup!$A$8:$H$58,2),VLOOKUP(N132,setup!$A$8:$H$58,3),VLOOKUP(N132,setup!$A$8:$H$58,4),VLOOKUP(N132,setup!$A$8:$H$58,5),VLOOKUP(N132,setup!$A$8:$H$58,6),VLOOKUP(N132,setup!$A$8:$H$58,7), VLOOKUP(0,setup!$A$8:$H$58,2),VLOOKUP(0,setup!$A$8:$H$58,5),VLOOKUP(N132,setup!$A$8:$H$58,8))</f>
        <v/>
      </c>
    </row>
    <row r="133" spans="1:15" x14ac:dyDescent="0.25">
      <c r="A133" s="29"/>
      <c r="O133" s="7" t="str">
        <f ca="1">getCodigoBackend(N133,A133,VLOOKUP(N133,setup!$A$8:$H$58,2),VLOOKUP(N133,setup!$A$8:$H$58,3),VLOOKUP(N133,setup!$A$8:$H$58,4),VLOOKUP(N133,setup!$A$8:$H$58,5),VLOOKUP(N133,setup!$A$8:$H$58,6),VLOOKUP(N133,setup!$A$8:$H$58,7), VLOOKUP(0,setup!$A$8:$H$58,2),VLOOKUP(0,setup!$A$8:$H$58,5),VLOOKUP(N133,setup!$A$8:$H$58,8))</f>
        <v/>
      </c>
    </row>
    <row r="134" spans="1:15" x14ac:dyDescent="0.25">
      <c r="A134" s="2"/>
      <c r="O134" s="7" t="str">
        <f ca="1">getCodigoBackend(N134,A134,VLOOKUP(N134,setup!$A$8:$H$58,2),VLOOKUP(N134,setup!$A$8:$H$58,3),VLOOKUP(N134,setup!$A$8:$H$58,4),VLOOKUP(N134,setup!$A$8:$H$58,5),VLOOKUP(N134,setup!$A$8:$H$58,6),VLOOKUP(N134,setup!$A$8:$H$58,7), VLOOKUP(0,setup!$A$8:$H$58,2),VLOOKUP(0,setup!$A$8:$H$58,5),VLOOKUP(N134,setup!$A$8:$H$58,8))</f>
        <v/>
      </c>
    </row>
    <row r="135" spans="1:15" x14ac:dyDescent="0.25">
      <c r="A135" s="2"/>
      <c r="O135" s="7" t="str">
        <f ca="1">getCodigoBackend(N135,A135,VLOOKUP(N135,setup!$A$8:$H$58,2),VLOOKUP(N135,setup!$A$8:$H$58,3),VLOOKUP(N135,setup!$A$8:$H$58,4),VLOOKUP(N135,setup!$A$8:$H$58,5),VLOOKUP(N135,setup!$A$8:$H$58,6),VLOOKUP(N135,setup!$A$8:$H$58,7), VLOOKUP(0,setup!$A$8:$H$58,2),VLOOKUP(0,setup!$A$8:$H$58,5),VLOOKUP(N135,setup!$A$8:$H$58,8))</f>
        <v/>
      </c>
    </row>
    <row r="136" spans="1:15" x14ac:dyDescent="0.25">
      <c r="A136" s="6" t="s">
        <v>28</v>
      </c>
      <c r="O136" s="7" t="str">
        <f ca="1">getCodigoBackend(N136,A136,VLOOKUP(N136,setup!$A$8:$H$58,2),VLOOKUP(N136,setup!$A$8:$H$58,3),VLOOKUP(N136,setup!$A$8:$H$58,4),VLOOKUP(N136,setup!$A$8:$H$58,5),VLOOKUP(N136,setup!$A$8:$H$58,6),VLOOKUP(N136,setup!$A$8:$H$58,7), VLOOKUP(0,setup!$A$8:$H$58,2),VLOOKUP(0,setup!$A$8:$H$58,5),VLOOKUP(N136,setup!$A$8:$H$58,8))</f>
        <v>}</v>
      </c>
    </row>
    <row r="137" spans="1:15" x14ac:dyDescent="0.25">
      <c r="A137" s="2" t="s">
        <v>29</v>
      </c>
      <c r="O137" s="7" t="str">
        <f ca="1">getCodigoBackend(N137,A137,VLOOKUP(N137,setup!$A$8:$H$58,2),VLOOKUP(N137,setup!$A$8:$H$58,3),VLOOKUP(N137,setup!$A$8:$H$58,4),VLOOKUP(N137,setup!$A$8:$H$58,5),VLOOKUP(N137,setup!$A$8:$H$58,6),VLOOKUP(N137,setup!$A$8:$H$58,7), VLOOKUP(0,setup!$A$8:$H$58,2),VLOOKUP(0,setup!$A$8:$H$58,5),VLOOKUP(N137,setup!$A$8:$H$58,8))</f>
        <v>?&gt;</v>
      </c>
    </row>
    <row r="138" spans="1:15" x14ac:dyDescent="0.25">
      <c r="A138" s="6"/>
      <c r="O138" s="7" t="str">
        <f ca="1">getCodigoBackend(N138,A138,VLOOKUP(N138,setup!$A$8:$H$58,2),VLOOKUP(N138,setup!$A$8:$H$58,3),VLOOKUP(N138,setup!$A$8:$H$58,4),VLOOKUP(N138,setup!$A$8:$H$58,5),VLOOKUP(N138,setup!$A$8:$H$58,6),VLOOKUP(N138,setup!$A$8:$H$58,7), VLOOKUP(0,setup!$A$8:$H$58,2),VLOOKUP(0,setup!$A$8:$H$58,5),VLOOKUP(N138,setup!$A$8:$H$58,8))</f>
        <v/>
      </c>
    </row>
    <row r="139" spans="1:15" x14ac:dyDescent="0.25">
      <c r="O139" s="7" t="str">
        <f ca="1">getCodigoBackend(N139,A139,VLOOKUP(N139,setup!$A$8:$H$58,2),VLOOKUP(N139,setup!$A$8:$H$58,3),VLOOKUP(N139,setup!$A$8:$H$58,4),VLOOKUP(N139,setup!$A$8:$H$58,5),VLOOKUP(N139,setup!$A$8:$H$58,6),VLOOKUP(N139,setup!$A$8:$H$58,7), VLOOKUP(0,setup!$A$8:$H$58,2),VLOOKUP(0,setup!$A$8:$H$58,5),VLOOKUP(N139,setup!$A$8:$H$58,8))</f>
        <v/>
      </c>
    </row>
    <row r="140" spans="1:15" x14ac:dyDescent="0.25">
      <c r="O140" s="7" t="str">
        <f ca="1">getCodigoBackend(N140,A140,VLOOKUP(N140,setup!$A$8:$H$58,2),VLOOKUP(N140,setup!$A$8:$H$58,3),VLOOKUP(N140,setup!$A$8:$H$58,4),VLOOKUP(N140,setup!$A$8:$H$58,5),VLOOKUP(N140,setup!$A$8:$H$58,6),VLOOKUP(N140,setup!$A$8:$H$58,7), VLOOKUP(0,setup!$A$8:$H$58,2),VLOOKUP(0,setup!$A$8:$H$58,5),VLOOKUP(N140,setup!$A$8:$H$58,8))</f>
        <v/>
      </c>
    </row>
    <row r="141" spans="1:15" x14ac:dyDescent="0.25">
      <c r="O141" s="7" t="str">
        <f ca="1">getCodigoBackend(N141,A141,VLOOKUP(N141,setup!$A$8:$H$58,2),VLOOKUP(N141,setup!$A$8:$H$58,3),VLOOKUP(N141,setup!$A$8:$H$58,4),VLOOKUP(N141,setup!$A$8:$H$58,5),VLOOKUP(N141,setup!$A$8:$H$58,6),VLOOKUP(N141,setup!$A$8:$H$58,7), VLOOKUP(0,setup!$A$8:$H$58,2),VLOOKUP(0,setup!$A$8:$H$58,5),VLOOKUP(N141,setup!$A$8:$H$58,8))</f>
        <v/>
      </c>
    </row>
    <row r="142" spans="1:15" x14ac:dyDescent="0.25">
      <c r="O142" s="7" t="str">
        <f ca="1">getCodigoBackend(N142,A142,VLOOKUP(N142,setup!$A$8:$H$58,2),VLOOKUP(N142,setup!$A$8:$H$58,3),VLOOKUP(N142,setup!$A$8:$H$58,4),VLOOKUP(N142,setup!$A$8:$H$58,5),VLOOKUP(N142,setup!$A$8:$H$58,6),VLOOKUP(N142,setup!$A$8:$H$58,7), VLOOKUP(0,setup!$A$8:$H$58,2),VLOOKUP(0,setup!$A$8:$H$58,5),VLOOKUP(N142,setup!$A$8:$H$58,8))</f>
        <v/>
      </c>
    </row>
    <row r="143" spans="1:15" x14ac:dyDescent="0.25">
      <c r="O143" s="7" t="str">
        <f ca="1">getCodigoBackend(N143,A143,VLOOKUP(N143,setup!$A$8:$H$58,2),VLOOKUP(N143,setup!$A$8:$H$58,3),VLOOKUP(N143,setup!$A$8:$H$58,4),VLOOKUP(N143,setup!$A$8:$H$58,5),VLOOKUP(N143,setup!$A$8:$H$58,6),VLOOKUP(N143,setup!$A$8:$H$58,7), VLOOKUP(0,setup!$A$8:$H$58,2),VLOOKUP(0,setup!$A$8:$H$58,5),VLOOKUP(N143,setup!$A$8:$H$58,8))</f>
        <v/>
      </c>
    </row>
    <row r="144" spans="1:15" x14ac:dyDescent="0.25">
      <c r="O144" s="7" t="str">
        <f ca="1">getCodigoBackend(N144,A144,VLOOKUP(N144,setup!$A$8:$H$58,2),VLOOKUP(N144,setup!$A$8:$H$58,3),VLOOKUP(N144,setup!$A$8:$H$58,4),VLOOKUP(N144,setup!$A$8:$H$58,5),VLOOKUP(N144,setup!$A$8:$H$58,6),VLOOKUP(N144,setup!$A$8:$H$58,7), VLOOKUP(0,setup!$A$8:$H$58,2),VLOOKUP(0,setup!$A$8:$H$58,5),VLOOKUP(N144,setup!$A$8:$H$58,8))</f>
        <v/>
      </c>
    </row>
    <row r="161" spans="1:1" x14ac:dyDescent="0.25">
      <c r="A161" s="6"/>
    </row>
    <row r="162" spans="1:1" x14ac:dyDescent="0.25">
      <c r="A162" s="6"/>
    </row>
    <row r="163" spans="1:1" x14ac:dyDescent="0.25">
      <c r="A163" s="6"/>
    </row>
    <row r="164" spans="1:1" x14ac:dyDescent="0.25">
      <c r="A164" s="6"/>
    </row>
    <row r="165" spans="1:1" x14ac:dyDescent="0.25">
      <c r="A165" s="3"/>
    </row>
    <row r="166" spans="1:1" x14ac:dyDescent="0.25">
      <c r="A166" s="6"/>
    </row>
    <row r="167" spans="1:1" x14ac:dyDescent="0.25">
      <c r="A167" s="6"/>
    </row>
    <row r="168" spans="1:1" x14ac:dyDescent="0.25">
      <c r="A168" s="3"/>
    </row>
    <row r="169" spans="1:1" x14ac:dyDescent="0.25">
      <c r="A169" s="3"/>
    </row>
    <row r="170" spans="1:1" x14ac:dyDescent="0.25">
      <c r="A170" s="6"/>
    </row>
    <row r="171" spans="1:1" x14ac:dyDescent="0.25">
      <c r="A171" s="6"/>
    </row>
    <row r="172" spans="1:1" x14ac:dyDescent="0.25">
      <c r="A172" s="6"/>
    </row>
    <row r="173" spans="1:1" x14ac:dyDescent="0.25">
      <c r="A173" s="6"/>
    </row>
    <row r="174" spans="1:1" x14ac:dyDescent="0.25">
      <c r="A174" s="6"/>
    </row>
    <row r="175" spans="1:1" x14ac:dyDescent="0.25">
      <c r="A175" s="6"/>
    </row>
    <row r="176" spans="1:1" x14ac:dyDescent="0.25">
      <c r="A176" s="6"/>
    </row>
    <row r="177" spans="1:1" x14ac:dyDescent="0.25">
      <c r="A177" s="6"/>
    </row>
    <row r="178" spans="1:1" x14ac:dyDescent="0.25">
      <c r="A178" s="6"/>
    </row>
    <row r="179" spans="1:1" x14ac:dyDescent="0.25">
      <c r="A179" s="6"/>
    </row>
    <row r="180" spans="1:1" x14ac:dyDescent="0.25">
      <c r="A180" s="6"/>
    </row>
    <row r="181" spans="1:1" x14ac:dyDescent="0.25">
      <c r="A181" s="6"/>
    </row>
    <row r="182" spans="1:1" x14ac:dyDescent="0.25">
      <c r="A182" s="6"/>
    </row>
    <row r="183" spans="1:1" x14ac:dyDescent="0.25">
      <c r="A183" s="6"/>
    </row>
    <row r="184" spans="1:1" x14ac:dyDescent="0.25">
      <c r="A184" s="3"/>
    </row>
    <row r="185" spans="1:1" x14ac:dyDescent="0.25">
      <c r="A185" s="6"/>
    </row>
    <row r="186" spans="1:1" x14ac:dyDescent="0.25">
      <c r="A186" s="6"/>
    </row>
    <row r="187" spans="1:1" x14ac:dyDescent="0.25">
      <c r="A187" s="6"/>
    </row>
    <row r="188" spans="1:1" x14ac:dyDescent="0.25">
      <c r="A188" s="6"/>
    </row>
    <row r="189" spans="1:1" x14ac:dyDescent="0.25">
      <c r="A189" s="6"/>
    </row>
    <row r="190" spans="1:1" x14ac:dyDescent="0.25">
      <c r="A190" s="6"/>
    </row>
    <row r="191" spans="1:1" x14ac:dyDescent="0.25">
      <c r="A191" s="6"/>
    </row>
    <row r="192" spans="1:1" x14ac:dyDescent="0.25">
      <c r="A192" s="6"/>
    </row>
    <row r="193" spans="1:1" x14ac:dyDescent="0.25">
      <c r="A193" s="6"/>
    </row>
    <row r="194" spans="1:1" x14ac:dyDescent="0.25">
      <c r="A194" s="3"/>
    </row>
    <row r="195" spans="1:1" x14ac:dyDescent="0.25">
      <c r="A195" s="6"/>
    </row>
    <row r="196" spans="1:1" x14ac:dyDescent="0.25">
      <c r="A196" s="6"/>
    </row>
    <row r="197" spans="1:1" x14ac:dyDescent="0.25">
      <c r="A197" s="6"/>
    </row>
    <row r="198" spans="1:1" x14ac:dyDescent="0.25">
      <c r="A198" s="6"/>
    </row>
    <row r="199" spans="1:1" x14ac:dyDescent="0.25">
      <c r="A199" s="6"/>
    </row>
    <row r="200" spans="1:1" x14ac:dyDescent="0.25">
      <c r="A200" s="6"/>
    </row>
    <row r="201" spans="1:1" x14ac:dyDescent="0.25">
      <c r="A201" s="6"/>
    </row>
    <row r="202" spans="1:1" x14ac:dyDescent="0.25">
      <c r="A202" s="3"/>
    </row>
    <row r="203" spans="1:1" x14ac:dyDescent="0.25">
      <c r="A203" s="6"/>
    </row>
    <row r="204" spans="1:1" x14ac:dyDescent="0.25">
      <c r="A204" s="6"/>
    </row>
    <row r="205" spans="1:1" x14ac:dyDescent="0.25">
      <c r="A205" s="3"/>
    </row>
    <row r="206" spans="1:1" x14ac:dyDescent="0.25">
      <c r="A206" s="3"/>
    </row>
    <row r="207" spans="1:1" x14ac:dyDescent="0.25">
      <c r="A207" s="6"/>
    </row>
    <row r="208" spans="1:1" x14ac:dyDescent="0.25">
      <c r="A208" s="6"/>
    </row>
    <row r="209" spans="1:1" x14ac:dyDescent="0.25">
      <c r="A209" s="6"/>
    </row>
    <row r="210" spans="1:1" x14ac:dyDescent="0.25">
      <c r="A210" s="6"/>
    </row>
    <row r="211" spans="1:1" x14ac:dyDescent="0.25">
      <c r="A211" s="6"/>
    </row>
    <row r="212" spans="1:1" x14ac:dyDescent="0.25">
      <c r="A212" s="6"/>
    </row>
    <row r="213" spans="1:1" x14ac:dyDescent="0.25">
      <c r="A213" s="6"/>
    </row>
    <row r="214" spans="1:1" x14ac:dyDescent="0.25">
      <c r="A214" s="6"/>
    </row>
    <row r="215" spans="1:1" x14ac:dyDescent="0.25">
      <c r="A215" s="6"/>
    </row>
    <row r="216" spans="1:1" x14ac:dyDescent="0.25">
      <c r="A216" s="6"/>
    </row>
    <row r="217" spans="1:1" x14ac:dyDescent="0.25">
      <c r="A217" s="6"/>
    </row>
    <row r="218" spans="1:1" x14ac:dyDescent="0.25">
      <c r="A218" s="6"/>
    </row>
    <row r="219" spans="1:1" x14ac:dyDescent="0.25">
      <c r="A219" s="3"/>
    </row>
    <row r="220" spans="1:1" x14ac:dyDescent="0.25">
      <c r="A220" s="6"/>
    </row>
    <row r="221" spans="1:1" x14ac:dyDescent="0.25">
      <c r="A221" s="6"/>
    </row>
    <row r="222" spans="1:1" x14ac:dyDescent="0.25">
      <c r="A222" s="6"/>
    </row>
    <row r="223" spans="1:1" x14ac:dyDescent="0.25">
      <c r="A223" s="6"/>
    </row>
    <row r="224" spans="1:1" x14ac:dyDescent="0.25">
      <c r="A224" s="6"/>
    </row>
    <row r="225" spans="1:1" x14ac:dyDescent="0.25">
      <c r="A225" s="6"/>
    </row>
    <row r="226" spans="1:1" x14ac:dyDescent="0.25">
      <c r="A226" s="6"/>
    </row>
    <row r="227" spans="1:1" x14ac:dyDescent="0.25">
      <c r="A227" s="6"/>
    </row>
    <row r="228" spans="1:1" x14ac:dyDescent="0.25">
      <c r="A228" s="6"/>
    </row>
    <row r="229" spans="1:1" x14ac:dyDescent="0.25">
      <c r="A229" s="3"/>
    </row>
    <row r="230" spans="1:1" x14ac:dyDescent="0.25">
      <c r="A230" s="6"/>
    </row>
    <row r="231" spans="1:1" x14ac:dyDescent="0.25">
      <c r="A231" s="6"/>
    </row>
    <row r="232" spans="1:1" x14ac:dyDescent="0.25">
      <c r="A232" s="6"/>
    </row>
    <row r="233" spans="1:1" x14ac:dyDescent="0.25">
      <c r="A233" s="6"/>
    </row>
    <row r="234" spans="1:1" x14ac:dyDescent="0.25">
      <c r="A234" s="6"/>
    </row>
    <row r="235" spans="1:1" x14ac:dyDescent="0.25">
      <c r="A235" s="6"/>
    </row>
    <row r="236" spans="1:1" x14ac:dyDescent="0.25">
      <c r="A236" s="6"/>
    </row>
    <row r="237" spans="1:1" x14ac:dyDescent="0.25">
      <c r="A237" s="3"/>
    </row>
    <row r="238" spans="1:1" x14ac:dyDescent="0.25">
      <c r="A238" s="6"/>
    </row>
    <row r="239" spans="1:1" x14ac:dyDescent="0.25">
      <c r="A239" s="6"/>
    </row>
    <row r="240" spans="1:1" x14ac:dyDescent="0.25">
      <c r="A240" s="3"/>
    </row>
    <row r="241" spans="1:1" x14ac:dyDescent="0.25">
      <c r="A241" s="6"/>
    </row>
    <row r="242" spans="1:1" x14ac:dyDescent="0.25">
      <c r="A242" s="6"/>
    </row>
    <row r="243" spans="1:1" x14ac:dyDescent="0.25">
      <c r="A243" s="6"/>
    </row>
    <row r="244" spans="1:1" x14ac:dyDescent="0.25">
      <c r="A244" s="6"/>
    </row>
    <row r="245" spans="1:1" x14ac:dyDescent="0.25">
      <c r="A245" s="6"/>
    </row>
    <row r="246" spans="1:1" x14ac:dyDescent="0.25">
      <c r="A246" s="6"/>
    </row>
    <row r="247" spans="1:1" x14ac:dyDescent="0.25">
      <c r="A247" s="6"/>
    </row>
    <row r="248" spans="1:1" x14ac:dyDescent="0.25">
      <c r="A248" s="6"/>
    </row>
    <row r="249" spans="1:1" x14ac:dyDescent="0.25">
      <c r="A249" s="6"/>
    </row>
    <row r="250" spans="1:1" x14ac:dyDescent="0.25">
      <c r="A250" s="6"/>
    </row>
    <row r="251" spans="1:1" x14ac:dyDescent="0.25">
      <c r="A251" s="6"/>
    </row>
    <row r="252" spans="1:1" x14ac:dyDescent="0.25">
      <c r="A252" s="6"/>
    </row>
    <row r="253" spans="1:1" x14ac:dyDescent="0.25">
      <c r="A253" s="6"/>
    </row>
    <row r="254" spans="1:1" x14ac:dyDescent="0.25">
      <c r="A254" s="6"/>
    </row>
    <row r="255" spans="1:1" x14ac:dyDescent="0.25">
      <c r="A255" s="6"/>
    </row>
    <row r="256" spans="1:1" x14ac:dyDescent="0.25">
      <c r="A256" s="6"/>
    </row>
    <row r="257" spans="1:1" x14ac:dyDescent="0.25">
      <c r="A257" s="3"/>
    </row>
    <row r="258" spans="1:1" x14ac:dyDescent="0.25">
      <c r="A258" s="6"/>
    </row>
    <row r="259" spans="1:1" x14ac:dyDescent="0.25">
      <c r="A259" s="6"/>
    </row>
    <row r="260" spans="1:1" x14ac:dyDescent="0.25">
      <c r="A260" s="6"/>
    </row>
    <row r="261" spans="1:1" x14ac:dyDescent="0.25">
      <c r="A261" s="6"/>
    </row>
    <row r="262" spans="1:1" x14ac:dyDescent="0.25">
      <c r="A262" s="6"/>
    </row>
    <row r="263" spans="1:1" x14ac:dyDescent="0.25">
      <c r="A263" s="6"/>
    </row>
    <row r="264" spans="1:1" x14ac:dyDescent="0.25">
      <c r="A264" s="6"/>
    </row>
    <row r="265" spans="1:1" x14ac:dyDescent="0.25">
      <c r="A265" s="3"/>
    </row>
    <row r="266" spans="1:1" x14ac:dyDescent="0.25">
      <c r="A266" s="6"/>
    </row>
    <row r="267" spans="1:1" x14ac:dyDescent="0.25">
      <c r="A267" s="6"/>
    </row>
    <row r="268" spans="1:1" x14ac:dyDescent="0.25">
      <c r="A268" s="3"/>
    </row>
    <row r="269" spans="1:1" x14ac:dyDescent="0.25">
      <c r="A269" s="3"/>
    </row>
    <row r="270" spans="1:1" x14ac:dyDescent="0.25">
      <c r="A270" s="6"/>
    </row>
    <row r="271" spans="1:1" x14ac:dyDescent="0.25">
      <c r="A271" s="6"/>
    </row>
    <row r="272" spans="1:1" x14ac:dyDescent="0.25">
      <c r="A272" s="6"/>
    </row>
    <row r="273" spans="1:1" x14ac:dyDescent="0.25">
      <c r="A273" s="6"/>
    </row>
    <row r="274" spans="1:1" x14ac:dyDescent="0.25">
      <c r="A274" s="6"/>
    </row>
    <row r="275" spans="1:1" x14ac:dyDescent="0.25">
      <c r="A275" s="6"/>
    </row>
    <row r="276" spans="1:1" x14ac:dyDescent="0.25">
      <c r="A276" s="6"/>
    </row>
    <row r="277" spans="1:1" x14ac:dyDescent="0.25">
      <c r="A277" s="6"/>
    </row>
    <row r="278" spans="1:1" x14ac:dyDescent="0.25">
      <c r="A278" s="6"/>
    </row>
    <row r="279" spans="1:1" x14ac:dyDescent="0.25">
      <c r="A279" s="6"/>
    </row>
    <row r="280" spans="1:1" x14ac:dyDescent="0.25">
      <c r="A280" s="6"/>
    </row>
    <row r="281" spans="1:1" x14ac:dyDescent="0.25">
      <c r="A281" s="6"/>
    </row>
    <row r="282" spans="1:1" x14ac:dyDescent="0.25">
      <c r="A282" s="6"/>
    </row>
    <row r="283" spans="1:1" x14ac:dyDescent="0.25">
      <c r="A283" s="6"/>
    </row>
    <row r="284" spans="1:1" x14ac:dyDescent="0.25">
      <c r="A284" s="6"/>
    </row>
    <row r="285" spans="1:1" x14ac:dyDescent="0.25">
      <c r="A285" s="6"/>
    </row>
    <row r="286" spans="1:1" x14ac:dyDescent="0.25">
      <c r="A286" s="6"/>
    </row>
    <row r="287" spans="1:1" x14ac:dyDescent="0.25">
      <c r="A287" s="6"/>
    </row>
    <row r="288" spans="1:1" x14ac:dyDescent="0.25">
      <c r="A288" s="6"/>
    </row>
    <row r="289" spans="1:1" x14ac:dyDescent="0.25">
      <c r="A289" s="6"/>
    </row>
    <row r="290" spans="1:1" x14ac:dyDescent="0.25">
      <c r="A290" s="3"/>
    </row>
    <row r="291" spans="1:1" x14ac:dyDescent="0.25">
      <c r="A291" s="6"/>
    </row>
    <row r="292" spans="1:1" x14ac:dyDescent="0.25">
      <c r="A292" s="6"/>
    </row>
    <row r="293" spans="1:1" x14ac:dyDescent="0.25">
      <c r="A293" s="6"/>
    </row>
    <row r="294" spans="1:1" x14ac:dyDescent="0.25">
      <c r="A294" s="6"/>
    </row>
    <row r="295" spans="1:1" x14ac:dyDescent="0.25">
      <c r="A295" s="6"/>
    </row>
    <row r="296" spans="1:1" x14ac:dyDescent="0.25">
      <c r="A296" s="6"/>
    </row>
    <row r="297" spans="1:1" x14ac:dyDescent="0.25">
      <c r="A297" s="6"/>
    </row>
    <row r="298" spans="1:1" x14ac:dyDescent="0.25">
      <c r="A298" s="3"/>
    </row>
    <row r="299" spans="1:1" x14ac:dyDescent="0.25">
      <c r="A299" s="6"/>
    </row>
    <row r="300" spans="1:1" x14ac:dyDescent="0.25">
      <c r="A300" s="6"/>
    </row>
    <row r="301" spans="1:1" x14ac:dyDescent="0.25">
      <c r="A301" s="3"/>
    </row>
    <row r="302" spans="1:1" x14ac:dyDescent="0.25">
      <c r="A302" s="3"/>
    </row>
    <row r="303" spans="1:1" x14ac:dyDescent="0.25">
      <c r="A303" s="6"/>
    </row>
    <row r="304" spans="1:1" x14ac:dyDescent="0.25">
      <c r="A304" s="3"/>
    </row>
    <row r="305" spans="1:1" x14ac:dyDescent="0.25">
      <c r="A305" s="2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44B3F-3753-4322-8EC9-E92242BE3672}">
  <sheetPr codeName="Sheet8"/>
  <dimension ref="A1:O322"/>
  <sheetViews>
    <sheetView workbookViewId="0">
      <selection activeCell="O1" sqref="O1:O1048576"/>
    </sheetView>
  </sheetViews>
  <sheetFormatPr defaultRowHeight="15" x14ac:dyDescent="0.25"/>
  <sheetData>
    <row r="1" spans="1:15" x14ac:dyDescent="0.25">
      <c r="A1" t="s">
        <v>116</v>
      </c>
    </row>
    <row r="3" spans="1:15" x14ac:dyDescent="0.25">
      <c r="A3" s="2"/>
      <c r="O3" t="str">
        <f>SUBSTITUTE(SUBSTITUTE(A3,"${dto}",setup!$C$3),"${pk}",setup!$E$8)</f>
        <v/>
      </c>
    </row>
    <row r="4" spans="1:15" x14ac:dyDescent="0.25">
      <c r="A4" s="2" t="s">
        <v>16</v>
      </c>
      <c r="O4" s="7" t="str">
        <f ca="1">getCodigoBackend(N4,A4,VLOOKUP(N4,setup!$A$8:$H$58,2),VLOOKUP(N4,setup!$A$8:$H$58,3),VLOOKUP(N4,setup!$A$8:$H$58,4),VLOOKUP(N4,setup!$A$8:$H$58,5),VLOOKUP(N4,setup!$A$8:$H$58,6),VLOOKUP(N4,setup!$A$8:$H$58,7), VLOOKUP(0,setup!$A$8:$H$58,2),VLOOKUP(0,setup!$A$8:$H$58,5),VLOOKUP(N4,setup!$A$8:$H$58,8))</f>
        <v>&lt;?php</v>
      </c>
    </row>
    <row r="5" spans="1:15" x14ac:dyDescent="0.25">
      <c r="O5" s="7" t="str">
        <f ca="1">getCodigoBackend(N5,A5,VLOOKUP(N5,setup!$A$8:$H$58,2),VLOOKUP(N5,setup!$A$8:$H$58,3),VLOOKUP(N5,setup!$A$8:$H$58,4),VLOOKUP(N5,setup!$A$8:$H$58,5),VLOOKUP(N5,setup!$A$8:$H$58,6),VLOOKUP(N5,setup!$A$8:$H$58,7), VLOOKUP(0,setup!$A$8:$H$58,2),VLOOKUP(0,setup!$A$8:$H$58,5),VLOOKUP(N5,setup!$A$8:$H$58,8))</f>
        <v/>
      </c>
    </row>
    <row r="6" spans="1:15" x14ac:dyDescent="0.25">
      <c r="A6" s="4" t="s">
        <v>76</v>
      </c>
      <c r="O6" s="7" t="str">
        <f ca="1">getCodigoBackend(N6,A6,VLOOKUP(N6,setup!$A$8:$H$58,2),VLOOKUP(N6,setup!$A$8:$H$58,3),VLOOKUP(N6,setup!$A$8:$H$58,4),VLOOKUP(N6,setup!$A$8:$H$58,5),VLOOKUP(N6,setup!$A$8:$H$58,6),VLOOKUP(N6,setup!$A$8:$H$58,7), VLOOKUP(0,setup!$A$8:$H$58,2),VLOOKUP(0,setup!$A$8:$H$58,5),VLOOKUP(N6,setup!$A$8:$H$58,8))</f>
        <v>// importar dependências</v>
      </c>
    </row>
    <row r="7" spans="1:15" x14ac:dyDescent="0.25">
      <c r="A7" s="5" t="s">
        <v>102</v>
      </c>
      <c r="O7" s="7" t="str">
        <f ca="1">getCodigoBackend(N7,A7,VLOOKUP(N7,setup!$A$8:$H$58,2),VLOOKUP(N7,setup!$A$8:$H$58,3),VLOOKUP(N7,setup!$A$8:$H$58,4),VLOOKUP(N7,setup!$A$8:$H$58,5),VLOOKUP(N7,setup!$A$8:$H$58,6),VLOOKUP(N7,setup!$A$8:$H$58,7), VLOOKUP(0,setup!$A$8:$H$58,2),VLOOKUP(0,setup!$A$8:$H$58,5),VLOOKUP(N7,setup!$A$8:$H$58,8))</f>
        <v>require_once '../daofactory/DmlSql.php';</v>
      </c>
    </row>
    <row r="8" spans="1:15" x14ac:dyDescent="0.25">
      <c r="A8" s="4"/>
      <c r="O8" s="7" t="str">
        <f ca="1">getCodigoBackend(N8,A8,VLOOKUP(N8,setup!$A$8:$H$58,2),VLOOKUP(N8,setup!$A$8:$H$58,3),VLOOKUP(N8,setup!$A$8:$H$58,4),VLOOKUP(N8,setup!$A$8:$H$58,5),VLOOKUP(N8,setup!$A$8:$H$58,6),VLOOKUP(N8,setup!$A$8:$H$58,7), VLOOKUP(0,setup!$A$8:$H$58,2),VLOOKUP(0,setup!$A$8:$H$58,5),VLOOKUP(N8,setup!$A$8:$H$58,8))</f>
        <v/>
      </c>
    </row>
    <row r="9" spans="1:15" x14ac:dyDescent="0.25">
      <c r="A9" s="4" t="s">
        <v>19</v>
      </c>
      <c r="O9" s="7" t="str">
        <f ca="1">getCodigoBackend(N9,A9,VLOOKUP(N9,setup!$A$8:$H$58,2),VLOOKUP(N9,setup!$A$8:$H$58,3),VLOOKUP(N9,setup!$A$8:$H$58,4),VLOOKUP(N9,setup!$A$8:$H$58,5),VLOOKUP(N9,setup!$A$8:$H$58,6),VLOOKUP(N9,setup!$A$8:$H$58,7), VLOOKUP(0,setup!$A$8:$H$58,2),VLOOKUP(0,setup!$A$8:$H$58,5),VLOOKUP(N9,setup!$A$8:$H$58,8))</f>
        <v>/**</v>
      </c>
    </row>
    <row r="10" spans="1:15" x14ac:dyDescent="0.25">
      <c r="A10" s="4" t="s">
        <v>20</v>
      </c>
      <c r="O10" s="7" t="str">
        <f ca="1">getCodigoBackend(N10,A10,VLOOKUP(N10,setup!$A$8:$H$58,2),VLOOKUP(N10,setup!$A$8:$H$58,3),VLOOKUP(N10,setup!$A$8:$H$58,4),VLOOKUP(N10,setup!$A$8:$H$58,5),VLOOKUP(N10,setup!$A$8:$H$58,6),VLOOKUP(N10,setup!$A$8:$H$58,7), VLOOKUP(0,setup!$A$8:$H$58,2),VLOOKUP(0,setup!$A$8:$H$58,5),VLOOKUP(N10,setup!$A$8:$H$58,8))</f>
        <v>*</v>
      </c>
    </row>
    <row r="11" spans="1:15" x14ac:dyDescent="0.25">
      <c r="A11" s="4" t="s">
        <v>300</v>
      </c>
      <c r="O11" s="7" t="str">
        <f ca="1">getCodigoBackend(N11,A11,VLOOKUP(N11,setup!$A$8:$H$58,2),VLOOKUP(N11,setup!$A$8:$H$58,3),VLOOKUP(N11,setup!$A$8:$H$58,4),VLOOKUP(N11,setup!$A$8:$H$58,5),VLOOKUP(N11,setup!$A$8:$H$58,6),VLOOKUP(N11,setup!$A$8:$H$58,7), VLOOKUP(0,setup!$A$8:$H$58,2),VLOOKUP(0,setup!$A$8:$H$58,5),VLOOKUP(N11,setup!$A$8:$H$58,8))</f>
        <v xml:space="preserve">* DmlSqlCampanhaCashbackResgatePix - Classe de com todos os comandos DML e DDL (se necessário) para apoio </v>
      </c>
    </row>
    <row r="12" spans="1:15" x14ac:dyDescent="0.25">
      <c r="A12" s="4" t="s">
        <v>301</v>
      </c>
      <c r="O12" s="7" t="str">
        <f ca="1">getCodigoBackend(N12,A12,VLOOKUP(N12,setup!$A$8:$H$58,2),VLOOKUP(N12,setup!$A$8:$H$58,3),VLOOKUP(N12,setup!$A$8:$H$58,4),VLOOKUP(N12,setup!$A$8:$H$58,5),VLOOKUP(N12,setup!$A$8:$H$58,6),VLOOKUP(N12,setup!$A$8:$H$58,7), VLOOKUP(0,setup!$A$8:$H$58,2),VLOOKUP(0,setup!$A$8:$H$58,5),VLOOKUP(N12,setup!$A$8:$H$58,8))</f>
        <v>* a classe MySQLCampanhaCashbackResgatePixDAO</v>
      </c>
    </row>
    <row r="13" spans="1:15" x14ac:dyDescent="0.25">
      <c r="A13" s="4" t="s">
        <v>255</v>
      </c>
      <c r="O13" s="7" t="str">
        <f ca="1">getCodigoBackend(N13,A13,VLOOKUP(N13,setup!$A$8:$H$58,2),VLOOKUP(N13,setup!$A$8:$H$58,3),VLOOKUP(N13,setup!$A$8:$H$58,4),VLOOKUP(N13,setup!$A$8:$H$58,5),VLOOKUP(N13,setup!$A$8:$H$58,6),VLOOKUP(N13,setup!$A$8:$H$58,7), VLOOKUP(0,setup!$A$8:$H$58,2),VLOOKUP(0,setup!$A$8:$H$58,5),VLOOKUP(N13,setup!$A$8:$H$58,8))</f>
        <v xml:space="preserve">* Não é uma camada visível para outros dispositivos, como as camadas de apresentação e aplicação. </v>
      </c>
    </row>
    <row r="14" spans="1:15" x14ac:dyDescent="0.25">
      <c r="A14" s="4" t="s">
        <v>20</v>
      </c>
      <c r="O14" s="7" t="str">
        <f ca="1">getCodigoBackend(N14,A14,VLOOKUP(N14,setup!$A$8:$H$58,2),VLOOKUP(N14,setup!$A$8:$H$58,3),VLOOKUP(N14,setup!$A$8:$H$58,4),VLOOKUP(N14,setup!$A$8:$H$58,5),VLOOKUP(N14,setup!$A$8:$H$58,6),VLOOKUP(N14,setup!$A$8:$H$58,7), VLOOKUP(0,setup!$A$8:$H$58,2),VLOOKUP(0,setup!$A$8:$H$58,5),VLOOKUP(N14,setup!$A$8:$H$58,8))</f>
        <v>*</v>
      </c>
    </row>
    <row r="15" spans="1:15" x14ac:dyDescent="0.25">
      <c r="A15" s="4" t="s">
        <v>20</v>
      </c>
      <c r="O15" s="7" t="str">
        <f ca="1">getCodigoBackend(N15,A15,VLOOKUP(N15,setup!$A$8:$H$58,2),VLOOKUP(N15,setup!$A$8:$H$58,3),VLOOKUP(N15,setup!$A$8:$H$58,4),VLOOKUP(N15,setup!$A$8:$H$58,5),VLOOKUP(N15,setup!$A$8:$H$58,6),VLOOKUP(N15,setup!$A$8:$H$58,7), VLOOKUP(0,setup!$A$8:$H$58,2),VLOOKUP(0,setup!$A$8:$H$58,5),VLOOKUP(N15,setup!$A$8:$H$58,8))</f>
        <v>*</v>
      </c>
    </row>
    <row r="16" spans="1:15" x14ac:dyDescent="0.25">
      <c r="A16" s="4" t="s">
        <v>256</v>
      </c>
      <c r="O16" s="7" t="str">
        <f ca="1">getCodigoBackend(N16,A16,VLOOKUP(N16,setup!$A$8:$H$58,2),VLOOKUP(N16,setup!$A$8:$H$58,3),VLOOKUP(N16,setup!$A$8:$H$58,4),VLOOKUP(N16,setup!$A$8:$H$58,5),VLOOKUP(N16,setup!$A$8:$H$58,6),VLOOKUP(N16,setup!$A$8:$H$58,7), VLOOKUP(0,setup!$A$8:$H$58,2),VLOOKUP(0,setup!$A$8:$H$58,5),VLOOKUP(N16,setup!$A$8:$H$58,8))</f>
        <v>* Responsabilidades dessa classe</v>
      </c>
    </row>
    <row r="17" spans="1:15" x14ac:dyDescent="0.25">
      <c r="A17" s="4" t="s">
        <v>20</v>
      </c>
      <c r="O17" s="7" t="str">
        <f ca="1">getCodigoBackend(N17,A17,VLOOKUP(N17,setup!$A$8:$H$58,2),VLOOKUP(N17,setup!$A$8:$H$58,3),VLOOKUP(N17,setup!$A$8:$H$58,4),VLOOKUP(N17,setup!$A$8:$H$58,5),VLOOKUP(N17,setup!$A$8:$H$58,6),VLOOKUP(N17,setup!$A$8:$H$58,7), VLOOKUP(0,setup!$A$8:$H$58,2),VLOOKUP(0,setup!$A$8:$H$58,5),VLOOKUP(N17,setup!$A$8:$H$58,8))</f>
        <v>*</v>
      </c>
    </row>
    <row r="18" spans="1:15" x14ac:dyDescent="0.25">
      <c r="A18" s="4" t="s">
        <v>302</v>
      </c>
      <c r="O18" s="7" t="str">
        <f ca="1">getCodigoBackend(N18,A18,VLOOKUP(N18,setup!$A$8:$H$58,2),VLOOKUP(N18,setup!$A$8:$H$58,3),VLOOKUP(N18,setup!$A$8:$H$58,4),VLOOKUP(N18,setup!$A$8:$H$58,5),VLOOKUP(N18,setup!$A$8:$H$58,6),VLOOKUP(N18,setup!$A$8:$H$58,7), VLOOKUP(0,setup!$A$8:$H$58,2),VLOOKUP(0,setup!$A$8:$H$58,5),VLOOKUP(N18,setup!$A$8:$H$58,8))</f>
        <v>* 1) Receber os dados de pesquisa ou CRUD</v>
      </c>
    </row>
    <row r="19" spans="1:15" x14ac:dyDescent="0.25">
      <c r="A19" s="4" t="s">
        <v>303</v>
      </c>
      <c r="O19" s="7" t="str">
        <f ca="1">getCodigoBackend(N19,A19,VLOOKUP(N19,setup!$A$8:$H$58,2),VLOOKUP(N19,setup!$A$8:$H$58,3),VLOOKUP(N19,setup!$A$8:$H$58,4),VLOOKUP(N19,setup!$A$8:$H$58,5),VLOOKUP(N19,setup!$A$8:$H$58,6),VLOOKUP(N19,setup!$A$8:$H$58,7), VLOOKUP(0,setup!$A$8:$H$58,2),VLOOKUP(0,setup!$A$8:$H$58,5),VLOOKUP(N19,setup!$A$8:$H$58,8))</f>
        <v>* 2) Processar o pedido no banco de dados</v>
      </c>
    </row>
    <row r="20" spans="1:15" x14ac:dyDescent="0.25">
      <c r="A20" s="4" t="s">
        <v>304</v>
      </c>
      <c r="O20" s="7" t="str">
        <f ca="1">getCodigoBackend(N20,A20,VLOOKUP(N20,setup!$A$8:$H$58,2),VLOOKUP(N20,setup!$A$8:$H$58,3),VLOOKUP(N20,setup!$A$8:$H$58,4),VLOOKUP(N20,setup!$A$8:$H$58,5),VLOOKUP(N20,setup!$A$8:$H$58,6),VLOOKUP(N20,setup!$A$8:$H$58,7), VLOOKUP(0,setup!$A$8:$H$58,2),VLOOKUP(0,setup!$A$8:$H$58,5),VLOOKUP(N20,setup!$A$8:$H$58,8))</f>
        <v>* 3) Retornar um CampanhaCashbackResgatePixDTO, Array[]&lt;CampanhaCashbackResgatePixDTO&gt; ou falha em modo booleano</v>
      </c>
    </row>
    <row r="21" spans="1:15" x14ac:dyDescent="0.25">
      <c r="A21" s="4" t="s">
        <v>20</v>
      </c>
      <c r="O21" s="7" t="str">
        <f ca="1">getCodigoBackend(N21,A21,VLOOKUP(N21,setup!$A$8:$H$58,2),VLOOKUP(N21,setup!$A$8:$H$58,3),VLOOKUP(N21,setup!$A$8:$H$58,4),VLOOKUP(N21,setup!$A$8:$H$58,5),VLOOKUP(N21,setup!$A$8:$H$58,6),VLOOKUP(N21,setup!$A$8:$H$58,7), VLOOKUP(0,setup!$A$8:$H$58,2),VLOOKUP(0,setup!$A$8:$H$58,5),VLOOKUP(N21,setup!$A$8:$H$58,8))</f>
        <v>*</v>
      </c>
    </row>
    <row r="22" spans="1:15" x14ac:dyDescent="0.25">
      <c r="A22" s="4" t="s">
        <v>20</v>
      </c>
      <c r="O22" s="7" t="str">
        <f ca="1">getCodigoBackend(N22,A22,VLOOKUP(N22,setup!$A$8:$H$58,2),VLOOKUP(N22,setup!$A$8:$H$58,3),VLOOKUP(N22,setup!$A$8:$H$58,4),VLOOKUP(N22,setup!$A$8:$H$58,5),VLOOKUP(N22,setup!$A$8:$H$58,6),VLOOKUP(N22,setup!$A$8:$H$58,7), VLOOKUP(0,setup!$A$8:$H$58,2),VLOOKUP(0,setup!$A$8:$H$58,5),VLOOKUP(N22,setup!$A$8:$H$58,8))</f>
        <v>*</v>
      </c>
    </row>
    <row r="23" spans="1:15" x14ac:dyDescent="0.25">
      <c r="A23" s="4" t="s">
        <v>260</v>
      </c>
      <c r="O23" s="7" t="str">
        <f ca="1">getCodigoBackend(N23,A23,VLOOKUP(N23,setup!$A$8:$H$58,2),VLOOKUP(N23,setup!$A$8:$H$58,3),VLOOKUP(N23,setup!$A$8:$H$58,4),VLOOKUP(N23,setup!$A$8:$H$58,5),VLOOKUP(N23,setup!$A$8:$H$58,6),VLOOKUP(N23,setup!$A$8:$H$58,7), VLOOKUP(0,setup!$A$8:$H$58,2),VLOOKUP(0,setup!$A$8:$H$58,5),VLOOKUP(N23,setup!$A$8:$H$58,8))</f>
        <v>* Changelog:</v>
      </c>
    </row>
    <row r="24" spans="1:15" x14ac:dyDescent="0.25">
      <c r="A24" s="4" t="s">
        <v>20</v>
      </c>
      <c r="O24" s="7" t="str">
        <f ca="1">getCodigoBackend(N24,A24,VLOOKUP(N24,setup!$A$8:$H$58,2),VLOOKUP(N24,setup!$A$8:$H$58,3),VLOOKUP(N24,setup!$A$8:$H$58,4),VLOOKUP(N24,setup!$A$8:$H$58,5),VLOOKUP(N24,setup!$A$8:$H$58,6),VLOOKUP(N24,setup!$A$8:$H$58,7), VLOOKUP(0,setup!$A$8:$H$58,2),VLOOKUP(0,setup!$A$8:$H$58,5),VLOOKUP(N24,setup!$A$8:$H$58,8))</f>
        <v>*</v>
      </c>
    </row>
    <row r="25" spans="1:15" x14ac:dyDescent="0.25">
      <c r="A25" s="4" t="s">
        <v>75</v>
      </c>
      <c r="O25" s="7" t="str">
        <f ca="1">getCodigoBackend(N25,A25,VLOOKUP(N25,setup!$A$8:$H$58,2),VLOOKUP(N25,setup!$A$8:$H$58,3),VLOOKUP(N25,setup!$A$8:$H$58,4),VLOOKUP(N25,setup!$A$8:$H$58,5),VLOOKUP(N25,setup!$A$8:$H$58,6),VLOOKUP(N25,setup!$A$8:$H$58,7), VLOOKUP(0,setup!$A$8:$H$58,2),VLOOKUP(0,setup!$A$8:$H$58,5),VLOOKUP(N25,setup!$A$8:$H$58,8))</f>
        <v xml:space="preserve">* </v>
      </c>
    </row>
    <row r="26" spans="1:15" x14ac:dyDescent="0.25">
      <c r="A26" s="4" t="s">
        <v>254</v>
      </c>
      <c r="O26" s="7" t="str">
        <f ca="1">getCodigoBackend(N26,A26,VLOOKUP(N26,setup!$A$8:$H$58,2),VLOOKUP(N26,setup!$A$8:$H$58,3),VLOOKUP(N26,setup!$A$8:$H$58,4),VLOOKUP(N26,setup!$A$8:$H$58,5),VLOOKUP(N26,setup!$A$8:$H$58,6),VLOOKUP(N26,setup!$A$8:$H$58,7), VLOOKUP(0,setup!$A$8:$H$58,2),VLOOKUP(0,setup!$A$8:$H$58,5),VLOOKUP(N26,setup!$A$8:$H$58,8))</f>
        <v>* @autor Julio Cesar Vitorino</v>
      </c>
    </row>
    <row r="27" spans="1:15" x14ac:dyDescent="0.25">
      <c r="A27" s="4" t="s">
        <v>240</v>
      </c>
      <c r="O27" s="7" t="str">
        <f ca="1">getCodigoBackend(N27,A27,VLOOKUP(N27,setup!$A$8:$H$58,2),VLOOKUP(N27,setup!$A$8:$H$58,3),VLOOKUP(N27,setup!$A$8:$H$58,4),VLOOKUP(N27,setup!$A$8:$H$58,5),VLOOKUP(N27,setup!$A$8:$H$58,6),VLOOKUP(N27,setup!$A$8:$H$58,7), VLOOKUP(0,setup!$A$8:$H$58,2),VLOOKUP(0,setup!$A$8:$H$58,5),VLOOKUP(N27,setup!$A$8:$H$58,8))</f>
        <v>* @since 26/07/2021 15:11:48</v>
      </c>
    </row>
    <row r="28" spans="1:15" x14ac:dyDescent="0.25">
      <c r="A28" s="4" t="s">
        <v>20</v>
      </c>
      <c r="O28" s="7" t="str">
        <f ca="1">getCodigoBackend(N28,A28,VLOOKUP(N28,setup!$A$8:$H$58,2),VLOOKUP(N28,setup!$A$8:$H$58,3),VLOOKUP(N28,setup!$A$8:$H$58,4),VLOOKUP(N28,setup!$A$8:$H$58,5),VLOOKUP(N28,setup!$A$8:$H$58,6),VLOOKUP(N28,setup!$A$8:$H$58,7), VLOOKUP(0,setup!$A$8:$H$58,2),VLOOKUP(0,setup!$A$8:$H$58,5),VLOOKUP(N28,setup!$A$8:$H$58,8))</f>
        <v>*</v>
      </c>
    </row>
    <row r="29" spans="1:15" x14ac:dyDescent="0.25">
      <c r="A29" s="4" t="s">
        <v>21</v>
      </c>
      <c r="O29" s="7" t="str">
        <f ca="1">getCodigoBackend(N29,A29,VLOOKUP(N29,setup!$A$8:$H$58,2),VLOOKUP(N29,setup!$A$8:$H$58,3),VLOOKUP(N29,setup!$A$8:$H$58,4),VLOOKUP(N29,setup!$A$8:$H$58,5),VLOOKUP(N29,setup!$A$8:$H$58,6),VLOOKUP(N29,setup!$A$8:$H$58,7), VLOOKUP(0,setup!$A$8:$H$58,2),VLOOKUP(0,setup!$A$8:$H$58,5),VLOOKUP(N29,setup!$A$8:$H$58,8))</f>
        <v>*/</v>
      </c>
    </row>
    <row r="30" spans="1:15" x14ac:dyDescent="0.25">
      <c r="A30" s="4"/>
      <c r="O30" s="7" t="str">
        <f ca="1">getCodigoBackend(N30,A30,VLOOKUP(N30,setup!$A$8:$H$58,2),VLOOKUP(N30,setup!$A$8:$H$58,3),VLOOKUP(N30,setup!$A$8:$H$58,4),VLOOKUP(N30,setup!$A$8:$H$58,5),VLOOKUP(N30,setup!$A$8:$H$58,6),VLOOKUP(N30,setup!$A$8:$H$58,7), VLOOKUP(0,setup!$A$8:$H$58,2),VLOOKUP(0,setup!$A$8:$H$58,5),VLOOKUP(N30,setup!$A$8:$H$58,8))</f>
        <v/>
      </c>
    </row>
    <row r="31" spans="1:15" x14ac:dyDescent="0.25">
      <c r="A31" s="2" t="s">
        <v>299</v>
      </c>
      <c r="O31" s="7" t="str">
        <f ca="1">getCodigoBackend(N31,A31,VLOOKUP(N31,setup!$A$8:$H$58,2),VLOOKUP(N31,setup!$A$8:$H$58,3),VLOOKUP(N31,setup!$A$8:$H$58,4),VLOOKUP(N31,setup!$A$8:$H$58,5),VLOOKUP(N31,setup!$A$8:$H$58,6),VLOOKUP(N31,setup!$A$8:$H$58,7), VLOOKUP(0,setup!$A$8:$H$58,2),VLOOKUP(0,setup!$A$8:$H$58,5),VLOOKUP(N31,setup!$A$8:$H$58,8))</f>
        <v>class DmlSqlCampanhaCashbackResgatePix extends DmlSql</v>
      </c>
    </row>
    <row r="32" spans="1:15" x14ac:dyDescent="0.25">
      <c r="A32" s="6" t="s">
        <v>22</v>
      </c>
      <c r="O32" s="7" t="str">
        <f ca="1">getCodigoBackend(N32,A32,VLOOKUP(N32,setup!$A$8:$H$58,2),VLOOKUP(N32,setup!$A$8:$H$58,3),VLOOKUP(N32,setup!$A$8:$H$58,4),VLOOKUP(N32,setup!$A$8:$H$58,5),VLOOKUP(N32,setup!$A$8:$H$58,6),VLOOKUP(N32,setup!$A$8:$H$58,7), VLOOKUP(0,setup!$A$8:$H$58,2),VLOOKUP(0,setup!$A$8:$H$58,5),VLOOKUP(N32,setup!$A$8:$H$58,8))</f>
        <v>{</v>
      </c>
    </row>
    <row r="33" spans="1:15" x14ac:dyDescent="0.25">
      <c r="O33" s="7" t="str">
        <f ca="1">getCodigoBackend(N33,A33,VLOOKUP(N33,setup!$A$8:$H$58,2),VLOOKUP(N33,setup!$A$8:$H$58,3),VLOOKUP(N33,setup!$A$8:$H$58,4),VLOOKUP(N33,setup!$A$8:$H$58,5),VLOOKUP(N33,setup!$A$8:$H$58,6),VLOOKUP(N33,setup!$A$8:$H$58,7), VLOOKUP(0,setup!$A$8:$H$58,2),VLOOKUP(0,setup!$A$8:$H$58,5),VLOOKUP(N33,setup!$A$8:$H$58,8))</f>
        <v/>
      </c>
    </row>
    <row r="34" spans="1:15" x14ac:dyDescent="0.25">
      <c r="A34" s="6" t="s">
        <v>103</v>
      </c>
      <c r="O34" s="7" t="str">
        <f ca="1">getCodigoBackend(N34,A34,VLOOKUP(N34,setup!$A$8:$H$58,2),VLOOKUP(N34,setup!$A$8:$H$58,3),VLOOKUP(N34,setup!$A$8:$H$58,4),VLOOKUP(N34,setup!$A$8:$H$58,5),VLOOKUP(N34,setup!$A$8:$H$58,6),VLOOKUP(N34,setup!$A$8:$H$58,7), VLOOKUP(0,setup!$A$8:$H$58,2),VLOOKUP(0,setup!$A$8:$H$58,5),VLOOKUP(N34,setup!$A$8:$H$58,8))</f>
        <v>    // Tabela</v>
      </c>
    </row>
    <row r="35" spans="1:15" x14ac:dyDescent="0.25">
      <c r="A35" s="6" t="s">
        <v>113</v>
      </c>
      <c r="O35" s="7" t="str">
        <f ca="1">getCodigoBackend(N35,A35,VLOOKUP(N35,setup!$A$8:$H$58,2),VLOOKUP(N35,setup!$A$8:$H$58,3),VLOOKUP(N35,setup!$A$8:$H$58,4),VLOOKUP(N35,setup!$A$8:$H$58,5),VLOOKUP(N35,setup!$A$8:$H$58,6),VLOOKUP(N35,setup!$A$8:$H$58,7), VLOOKUP(0,setup!$A$8:$H$58,2),VLOOKUP(0,setup!$A$8:$H$58,5),VLOOKUP(N35,setup!$A$8:$H$58,8))</f>
        <v>    const TABELA = 'CAMPANHA_CASHBACK_RESGATE_PIX';</v>
      </c>
    </row>
    <row r="36" spans="1:15" x14ac:dyDescent="0.25">
      <c r="O36" s="7" t="str">
        <f ca="1">getCodigoBackend(N36,A36,VLOOKUP(N36,setup!$A$8:$H$58,2),VLOOKUP(N36,setup!$A$8:$H$58,3),VLOOKUP(N36,setup!$A$8:$H$58,4),VLOOKUP(N36,setup!$A$8:$H$58,5),VLOOKUP(N36,setup!$A$8:$H$58,6),VLOOKUP(N36,setup!$A$8:$H$58,7), VLOOKUP(0,setup!$A$8:$H$58,2),VLOOKUP(0,setup!$A$8:$H$58,5),VLOOKUP(N36,setup!$A$8:$H$58,8))</f>
        <v/>
      </c>
    </row>
    <row r="37" spans="1:15" x14ac:dyDescent="0.25">
      <c r="A37" s="6" t="s">
        <v>104</v>
      </c>
      <c r="O37" s="7" t="str">
        <f ca="1">getCodigoBackend(N37,A37,VLOOKUP(N37,setup!$A$8:$H$58,2),VLOOKUP(N37,setup!$A$8:$H$58,3),VLOOKUP(N37,setup!$A$8:$H$58,4),VLOOKUP(N37,setup!$A$8:$H$58,5),VLOOKUP(N37,setup!$A$8:$H$58,6),VLOOKUP(N37,setup!$A$8:$H$58,7), VLOOKUP(0,setup!$A$8:$H$58,2),VLOOKUP(0,setup!$A$8:$H$58,5),VLOOKUP(N37,setup!$A$8:$H$58,8))</f>
        <v>    // colunas da tabela</v>
      </c>
    </row>
    <row r="38" spans="1:15" x14ac:dyDescent="0.25">
      <c r="A38" s="6" t="str">
        <f>CONCATENATE("    const ${campo} = '${campo}';")</f>
        <v xml:space="preserve">    const ${campo} = '${campo}';</v>
      </c>
      <c r="N38">
        <v>0</v>
      </c>
      <c r="O38" s="7" t="str">
        <f ca="1">getCodigoBackend(N38,A38,VLOOKUP(N38,setup!$A$8:$H$58,2),VLOOKUP(N38,setup!$A$8:$H$58,3),VLOOKUP(N38,setup!$A$8:$H$58,4),VLOOKUP(N38,setup!$A$8:$H$58,5),VLOOKUP(N38,setup!$A$8:$H$58,6),VLOOKUP(N38,setup!$A$8:$H$58,7), VLOOKUP(0,setup!$A$8:$H$58,2),VLOOKUP(0,setup!$A$8:$H$58,5),VLOOKUP(N38,setup!$A$8:$H$58,8))</f>
        <v xml:space="preserve">    const CCRP_ID = 'CCRP_ID';</v>
      </c>
    </row>
    <row r="39" spans="1:15" x14ac:dyDescent="0.25">
      <c r="A39" s="6" t="str">
        <f t="shared" ref="A39:A88" si="0">CONCATENATE("    const ${campo} = '${campo}';")</f>
        <v xml:space="preserve">    const ${campo} = '${campo}';</v>
      </c>
      <c r="N39">
        <f>N38+1</f>
        <v>1</v>
      </c>
      <c r="O39" s="7" t="str">
        <f ca="1">getCodigoBackend(N39,A39,VLOOKUP(N39,setup!$A$8:$H$58,2),VLOOKUP(N39,setup!$A$8:$H$58,3),VLOOKUP(N39,setup!$A$8:$H$58,4),VLOOKUP(N39,setup!$A$8:$H$58,5),VLOOKUP(N39,setup!$A$8:$H$58,6),VLOOKUP(N39,setup!$A$8:$H$58,7), VLOOKUP(0,setup!$A$8:$H$58,2),VLOOKUP(0,setup!$A$8:$H$58,5),VLOOKUP(N39,setup!$A$8:$H$58,8))</f>
        <v xml:space="preserve">    const CACA_ID = 'CACA_ID';</v>
      </c>
    </row>
    <row r="40" spans="1:15" x14ac:dyDescent="0.25">
      <c r="A40" s="6" t="str">
        <f t="shared" si="0"/>
        <v xml:space="preserve">    const ${campo} = '${campo}';</v>
      </c>
      <c r="N40">
        <f t="shared" ref="N40:N46" si="1">N39+1</f>
        <v>2</v>
      </c>
      <c r="O40" s="7" t="str">
        <f ca="1">getCodigoBackend(N40,A40,VLOOKUP(N40,setup!$A$8:$H$58,2),VLOOKUP(N40,setup!$A$8:$H$58,3),VLOOKUP(N40,setup!$A$8:$H$58,4),VLOOKUP(N40,setup!$A$8:$H$58,5),VLOOKUP(N40,setup!$A$8:$H$58,6),VLOOKUP(N40,setup!$A$8:$H$58,7), VLOOKUP(0,setup!$A$8:$H$58,2),VLOOKUP(0,setup!$A$8:$H$58,5),VLOOKUP(N40,setup!$A$8:$H$58,8))</f>
        <v xml:space="preserve">    const USUA_ID = 'USUA_ID';</v>
      </c>
    </row>
    <row r="41" spans="1:15" x14ac:dyDescent="0.25">
      <c r="A41" s="6" t="str">
        <f t="shared" si="0"/>
        <v xml:space="preserve">    const ${campo} = '${campo}';</v>
      </c>
      <c r="N41">
        <f t="shared" si="1"/>
        <v>3</v>
      </c>
      <c r="O41" s="7" t="str">
        <f ca="1">getCodigoBackend(N41,A41,VLOOKUP(N41,setup!$A$8:$H$58,2),VLOOKUP(N41,setup!$A$8:$H$58,3),VLOOKUP(N41,setup!$A$8:$H$58,4),VLOOKUP(N41,setup!$A$8:$H$58,5),VLOOKUP(N41,setup!$A$8:$H$58,6),VLOOKUP(N41,setup!$A$8:$H$58,7), VLOOKUP(0,setup!$A$8:$H$58,2),VLOOKUP(0,setup!$A$8:$H$58,5),VLOOKUP(N41,setup!$A$8:$H$58,8))</f>
        <v xml:space="preserve">    const CCRP_IN_TIPO_CHAVE_PIX = 'CCRP_IN_TIPO_CHAVE_PIX';</v>
      </c>
    </row>
    <row r="42" spans="1:15" x14ac:dyDescent="0.25">
      <c r="A42" s="6" t="str">
        <f t="shared" si="0"/>
        <v xml:space="preserve">    const ${campo} = '${campo}';</v>
      </c>
      <c r="N42">
        <f t="shared" si="1"/>
        <v>4</v>
      </c>
      <c r="O42" s="7" t="str">
        <f ca="1">getCodigoBackend(N42,A42,VLOOKUP(N42,setup!$A$8:$H$58,2),VLOOKUP(N42,setup!$A$8:$H$58,3),VLOOKUP(N42,setup!$A$8:$H$58,4),VLOOKUP(N42,setup!$A$8:$H$58,5),VLOOKUP(N42,setup!$A$8:$H$58,6),VLOOKUP(N42,setup!$A$8:$H$58,7), VLOOKUP(0,setup!$A$8:$H$58,2),VLOOKUP(0,setup!$A$8:$H$58,5),VLOOKUP(N42,setup!$A$8:$H$58,8))</f>
        <v xml:space="preserve">    const CCRP_TX_CHAVE_PIX = 'CCRP_TX_CHAVE_PIX';</v>
      </c>
    </row>
    <row r="43" spans="1:15" x14ac:dyDescent="0.25">
      <c r="A43" s="6" t="str">
        <f t="shared" si="0"/>
        <v xml:space="preserve">    const ${campo} = '${campo}';</v>
      </c>
      <c r="N43">
        <f t="shared" si="1"/>
        <v>5</v>
      </c>
      <c r="O43" s="7" t="str">
        <f ca="1">getCodigoBackend(N43,A43,VLOOKUP(N43,setup!$A$8:$H$58,2),VLOOKUP(N43,setup!$A$8:$H$58,3),VLOOKUP(N43,setup!$A$8:$H$58,4),VLOOKUP(N43,setup!$A$8:$H$58,5),VLOOKUP(N43,setup!$A$8:$H$58,6),VLOOKUP(N43,setup!$A$8:$H$58,7), VLOOKUP(0,setup!$A$8:$H$58,2),VLOOKUP(0,setup!$A$8:$H$58,5),VLOOKUP(N43,setup!$A$8:$H$58,8))</f>
        <v xml:space="preserve">    const CCRP_VL_RESGATE = 'CCRP_VL_RESGATE';</v>
      </c>
    </row>
    <row r="44" spans="1:15" x14ac:dyDescent="0.25">
      <c r="A44" s="6" t="str">
        <f t="shared" si="0"/>
        <v xml:space="preserve">    const ${campo} = '${campo}';</v>
      </c>
      <c r="N44">
        <f t="shared" si="1"/>
        <v>6</v>
      </c>
      <c r="O44" s="7" t="str">
        <f ca="1">getCodigoBackend(N44,A44,VLOOKUP(N44,setup!$A$8:$H$58,2),VLOOKUP(N44,setup!$A$8:$H$58,3),VLOOKUP(N44,setup!$A$8:$H$58,4),VLOOKUP(N44,setup!$A$8:$H$58,5),VLOOKUP(N44,setup!$A$8:$H$58,6),VLOOKUP(N44,setup!$A$8:$H$58,7), VLOOKUP(0,setup!$A$8:$H$58,2),VLOOKUP(0,setup!$A$8:$H$58,5),VLOOKUP(N44,setup!$A$8:$H$58,8))</f>
        <v xml:space="preserve">    const CCRP_TX_AUTENT_BCO = 'CCRP_TX_AUTENT_BCO';</v>
      </c>
    </row>
    <row r="45" spans="1:15" x14ac:dyDescent="0.25">
      <c r="A45" s="6" t="str">
        <f t="shared" si="0"/>
        <v xml:space="preserve">    const ${campo} = '${campo}';</v>
      </c>
      <c r="N45">
        <f t="shared" si="1"/>
        <v>7</v>
      </c>
      <c r="O45" s="7" t="str">
        <f ca="1">getCodigoBackend(N45,A45,VLOOKUP(N45,setup!$A$8:$H$58,2),VLOOKUP(N45,setup!$A$8:$H$58,3),VLOOKUP(N45,setup!$A$8:$H$58,4),VLOOKUP(N45,setup!$A$8:$H$58,5),VLOOKUP(N45,setup!$A$8:$H$58,6),VLOOKUP(N45,setup!$A$8:$H$58,7), VLOOKUP(0,setup!$A$8:$H$58,2),VLOOKUP(0,setup!$A$8:$H$58,5),VLOOKUP(N45,setup!$A$8:$H$58,8))</f>
        <v xml:space="preserve">    const CCRP_IN_ESTAGIO_RT = 'CCRP_IN_ESTAGIO_RT';</v>
      </c>
    </row>
    <row r="46" spans="1:15" x14ac:dyDescent="0.25">
      <c r="A46" s="6" t="str">
        <f t="shared" si="0"/>
        <v xml:space="preserve">    const ${campo} = '${campo}';</v>
      </c>
      <c r="N46">
        <f t="shared" si="1"/>
        <v>8</v>
      </c>
      <c r="O46" s="7" t="str">
        <f ca="1">getCodigoBackend(N46,A46,VLOOKUP(N46,setup!$A$8:$H$58,2),VLOOKUP(N46,setup!$A$8:$H$58,3),VLOOKUP(N46,setup!$A$8:$H$58,4),VLOOKUP(N46,setup!$A$8:$H$58,5),VLOOKUP(N46,setup!$A$8:$H$58,6),VLOOKUP(N46,setup!$A$8:$H$58,7), VLOOKUP(0,setup!$A$8:$H$58,2),VLOOKUP(0,setup!$A$8:$H$58,5),VLOOKUP(N46,setup!$A$8:$H$58,8))</f>
        <v xml:space="preserve">    const CCRP_DT_ESTAGIO_ANALISE = 'CCRP_DT_ESTAGIO_ANALISE';</v>
      </c>
    </row>
    <row r="47" spans="1:15" x14ac:dyDescent="0.25">
      <c r="A47" s="6" t="str">
        <f t="shared" si="0"/>
        <v xml:space="preserve">    const ${campo} = '${campo}';</v>
      </c>
      <c r="N47">
        <f t="shared" ref="N47:N88" si="2">N46+1</f>
        <v>9</v>
      </c>
      <c r="O47" s="7" t="str">
        <f ca="1">getCodigoBackend(N47,A47,VLOOKUP(N47,setup!$A$8:$H$58,2),VLOOKUP(N47,setup!$A$8:$H$58,3),VLOOKUP(N47,setup!$A$8:$H$58,4),VLOOKUP(N47,setup!$A$8:$H$58,5),VLOOKUP(N47,setup!$A$8:$H$58,6),VLOOKUP(N47,setup!$A$8:$H$58,7), VLOOKUP(0,setup!$A$8:$H$58,2),VLOOKUP(0,setup!$A$8:$H$58,5),VLOOKUP(N47,setup!$A$8:$H$58,8))</f>
        <v xml:space="preserve">    const CCRP_DT_ESTAGIO_FINANCEIRO = 'CCRP_DT_ESTAGIO_FINANCEIRO';</v>
      </c>
    </row>
    <row r="48" spans="1:15" x14ac:dyDescent="0.25">
      <c r="A48" s="6" t="str">
        <f t="shared" si="0"/>
        <v xml:space="preserve">    const ${campo} = '${campo}';</v>
      </c>
      <c r="N48">
        <f t="shared" si="2"/>
        <v>10</v>
      </c>
      <c r="O48" s="7" t="str">
        <f ca="1">getCodigoBackend(N48,A48,VLOOKUP(N48,setup!$A$8:$H$58,2),VLOOKUP(N48,setup!$A$8:$H$58,3),VLOOKUP(N48,setup!$A$8:$H$58,4),VLOOKUP(N48,setup!$A$8:$H$58,5),VLOOKUP(N48,setup!$A$8:$H$58,6),VLOOKUP(N48,setup!$A$8:$H$58,7), VLOOKUP(0,setup!$A$8:$H$58,2),VLOOKUP(0,setup!$A$8:$H$58,5),VLOOKUP(N48,setup!$A$8:$H$58,8))</f>
        <v xml:space="preserve">    const CCRP_DT_ESTAGIO_ERRO = 'CCRP_DT_ESTAGIO_ERRO';</v>
      </c>
    </row>
    <row r="49" spans="1:15" x14ac:dyDescent="0.25">
      <c r="A49" s="6" t="str">
        <f t="shared" si="0"/>
        <v xml:space="preserve">    const ${campo} = '${campo}';</v>
      </c>
      <c r="N49">
        <f t="shared" si="2"/>
        <v>11</v>
      </c>
      <c r="O49" s="7" t="str">
        <f ca="1">getCodigoBackend(N49,A49,VLOOKUP(N49,setup!$A$8:$H$58,2),VLOOKUP(N49,setup!$A$8:$H$58,3),VLOOKUP(N49,setup!$A$8:$H$58,4),VLOOKUP(N49,setup!$A$8:$H$58,5),VLOOKUP(N49,setup!$A$8:$H$58,6),VLOOKUP(N49,setup!$A$8:$H$58,7), VLOOKUP(0,setup!$A$8:$H$58,2),VLOOKUP(0,setup!$A$8:$H$58,5),VLOOKUP(N49,setup!$A$8:$H$58,8))</f>
        <v xml:space="preserve">    const CCRP_DT_ESTAGIO_TRANSF_BCO = 'CCRP_DT_ESTAGIO_TRANSF_BCO';</v>
      </c>
    </row>
    <row r="50" spans="1:15" x14ac:dyDescent="0.25">
      <c r="A50" s="6" t="str">
        <f t="shared" si="0"/>
        <v xml:space="preserve">    const ${campo} = '${campo}';</v>
      </c>
      <c r="N50">
        <f t="shared" si="2"/>
        <v>12</v>
      </c>
      <c r="O50" s="7" t="str">
        <f ca="1">getCodigoBackend(N50,A50,VLOOKUP(N50,setup!$A$8:$H$58,2),VLOOKUP(N50,setup!$A$8:$H$58,3),VLOOKUP(N50,setup!$A$8:$H$58,4),VLOOKUP(N50,setup!$A$8:$H$58,5),VLOOKUP(N50,setup!$A$8:$H$58,6),VLOOKUP(N50,setup!$A$8:$H$58,7), VLOOKUP(0,setup!$A$8:$H$58,2),VLOOKUP(0,setup!$A$8:$H$58,5),VLOOKUP(N50,setup!$A$8:$H$58,8))</f>
        <v xml:space="preserve">    const CCRP_TX_LIVRE_ESTAGIO_RT = 'CCRP_TX_LIVRE_ESTAGIO_RT';</v>
      </c>
    </row>
    <row r="51" spans="1:15" x14ac:dyDescent="0.25">
      <c r="A51" s="6" t="str">
        <f t="shared" si="0"/>
        <v xml:space="preserve">    const ${campo} = '${campo}';</v>
      </c>
      <c r="N51">
        <f t="shared" si="2"/>
        <v>13</v>
      </c>
      <c r="O51" s="7" t="e">
        <f>getCodigoBackend(N51,A51,VLOOKUP(N51,setup!$A$8:$H$58,2),VLOOKUP(N51,setup!$A$8:$H$58,3),VLOOKUP(N51,setup!$A$8:$H$58,4),VLOOKUP(N51,setup!$A$8:$H$58,5),VLOOKUP(N51,setup!$A$8:$H$58,6),VLOOKUP(N51,setup!$A$8:$H$58,7), VLOOKUP(0,setup!$A$8:$H$58,2),VLOOKUP(0,setup!$A$8:$H$58,5),VLOOKUP(N51,setup!$A$8:$H$58,8))</f>
        <v>#VALUE!</v>
      </c>
    </row>
    <row r="52" spans="1:15" x14ac:dyDescent="0.25">
      <c r="A52" s="6" t="str">
        <f t="shared" si="0"/>
        <v xml:space="preserve">    const ${campo} = '${campo}';</v>
      </c>
      <c r="N52">
        <f t="shared" si="2"/>
        <v>14</v>
      </c>
      <c r="O52" s="7" t="e">
        <f>getCodigoBackend(N52,A52,VLOOKUP(N52,setup!$A$8:$H$58,2),VLOOKUP(N52,setup!$A$8:$H$58,3),VLOOKUP(N52,setup!$A$8:$H$58,4),VLOOKUP(N52,setup!$A$8:$H$58,5),VLOOKUP(N52,setup!$A$8:$H$58,6),VLOOKUP(N52,setup!$A$8:$H$58,7), VLOOKUP(0,setup!$A$8:$H$58,2),VLOOKUP(0,setup!$A$8:$H$58,5),VLOOKUP(N52,setup!$A$8:$H$58,8))</f>
        <v>#VALUE!</v>
      </c>
    </row>
    <row r="53" spans="1:15" x14ac:dyDescent="0.25">
      <c r="A53" s="6" t="str">
        <f t="shared" si="0"/>
        <v xml:space="preserve">    const ${campo} = '${campo}';</v>
      </c>
      <c r="N53">
        <f t="shared" si="2"/>
        <v>15</v>
      </c>
      <c r="O53" s="7" t="e">
        <f>getCodigoBackend(N53,A53,VLOOKUP(N53,setup!$A$8:$H$58,2),VLOOKUP(N53,setup!$A$8:$H$58,3),VLOOKUP(N53,setup!$A$8:$H$58,4),VLOOKUP(N53,setup!$A$8:$H$58,5),VLOOKUP(N53,setup!$A$8:$H$58,6),VLOOKUP(N53,setup!$A$8:$H$58,7), VLOOKUP(0,setup!$A$8:$H$58,2),VLOOKUP(0,setup!$A$8:$H$58,5),VLOOKUP(N53,setup!$A$8:$H$58,8))</f>
        <v>#VALUE!</v>
      </c>
    </row>
    <row r="54" spans="1:15" x14ac:dyDescent="0.25">
      <c r="A54" s="6" t="str">
        <f t="shared" si="0"/>
        <v xml:space="preserve">    const ${campo} = '${campo}';</v>
      </c>
      <c r="N54">
        <f t="shared" si="2"/>
        <v>16</v>
      </c>
      <c r="O54" s="7" t="e">
        <f>getCodigoBackend(N54,A54,VLOOKUP(N54,setup!$A$8:$H$58,2),VLOOKUP(N54,setup!$A$8:$H$58,3),VLOOKUP(N54,setup!$A$8:$H$58,4),VLOOKUP(N54,setup!$A$8:$H$58,5),VLOOKUP(N54,setup!$A$8:$H$58,6),VLOOKUP(N54,setup!$A$8:$H$58,7), VLOOKUP(0,setup!$A$8:$H$58,2),VLOOKUP(0,setup!$A$8:$H$58,5),VLOOKUP(N54,setup!$A$8:$H$58,8))</f>
        <v>#VALUE!</v>
      </c>
    </row>
    <row r="55" spans="1:15" x14ac:dyDescent="0.25">
      <c r="A55" s="6" t="str">
        <f t="shared" si="0"/>
        <v xml:space="preserve">    const ${campo} = '${campo}';</v>
      </c>
      <c r="N55">
        <f t="shared" si="2"/>
        <v>17</v>
      </c>
      <c r="O55" s="7" t="e">
        <f>getCodigoBackend(N55,A55,VLOOKUP(N55,setup!$A$8:$H$58,2),VLOOKUP(N55,setup!$A$8:$H$58,3),VLOOKUP(N55,setup!$A$8:$H$58,4),VLOOKUP(N55,setup!$A$8:$H$58,5),VLOOKUP(N55,setup!$A$8:$H$58,6),VLOOKUP(N55,setup!$A$8:$H$58,7), VLOOKUP(0,setup!$A$8:$H$58,2),VLOOKUP(0,setup!$A$8:$H$58,5),VLOOKUP(N55,setup!$A$8:$H$58,8))</f>
        <v>#VALUE!</v>
      </c>
    </row>
    <row r="56" spans="1:15" x14ac:dyDescent="0.25">
      <c r="A56" s="6" t="str">
        <f t="shared" si="0"/>
        <v xml:space="preserve">    const ${campo} = '${campo}';</v>
      </c>
      <c r="N56">
        <f t="shared" si="2"/>
        <v>18</v>
      </c>
      <c r="O56" s="7" t="e">
        <f>getCodigoBackend(N56,A56,VLOOKUP(N56,setup!$A$8:$H$58,2),VLOOKUP(N56,setup!$A$8:$H$58,3),VLOOKUP(N56,setup!$A$8:$H$58,4),VLOOKUP(N56,setup!$A$8:$H$58,5),VLOOKUP(N56,setup!$A$8:$H$58,6),VLOOKUP(N56,setup!$A$8:$H$58,7), VLOOKUP(0,setup!$A$8:$H$58,2),VLOOKUP(0,setup!$A$8:$H$58,5),VLOOKUP(N56,setup!$A$8:$H$58,8))</f>
        <v>#VALUE!</v>
      </c>
    </row>
    <row r="57" spans="1:15" x14ac:dyDescent="0.25">
      <c r="A57" s="6" t="str">
        <f t="shared" si="0"/>
        <v xml:space="preserve">    const ${campo} = '${campo}';</v>
      </c>
      <c r="N57">
        <f t="shared" si="2"/>
        <v>19</v>
      </c>
      <c r="O57" s="7" t="e">
        <f>getCodigoBackend(N57,A57,VLOOKUP(N57,setup!$A$8:$H$58,2),VLOOKUP(N57,setup!$A$8:$H$58,3),VLOOKUP(N57,setup!$A$8:$H$58,4),VLOOKUP(N57,setup!$A$8:$H$58,5),VLOOKUP(N57,setup!$A$8:$H$58,6),VLOOKUP(N57,setup!$A$8:$H$58,7), VLOOKUP(0,setup!$A$8:$H$58,2),VLOOKUP(0,setup!$A$8:$H$58,5),VLOOKUP(N57,setup!$A$8:$H$58,8))</f>
        <v>#VALUE!</v>
      </c>
    </row>
    <row r="58" spans="1:15" x14ac:dyDescent="0.25">
      <c r="A58" s="6" t="str">
        <f t="shared" si="0"/>
        <v xml:space="preserve">    const ${campo} = '${campo}';</v>
      </c>
      <c r="N58">
        <f t="shared" si="2"/>
        <v>20</v>
      </c>
      <c r="O58" s="7" t="e">
        <f>getCodigoBackend(N58,A58,VLOOKUP(N58,setup!$A$8:$H$58,2),VLOOKUP(N58,setup!$A$8:$H$58,3),VLOOKUP(N58,setup!$A$8:$H$58,4),VLOOKUP(N58,setup!$A$8:$H$58,5),VLOOKUP(N58,setup!$A$8:$H$58,6),VLOOKUP(N58,setup!$A$8:$H$58,7), VLOOKUP(0,setup!$A$8:$H$58,2),VLOOKUP(0,setup!$A$8:$H$58,5),VLOOKUP(N58,setup!$A$8:$H$58,8))</f>
        <v>#VALUE!</v>
      </c>
    </row>
    <row r="59" spans="1:15" x14ac:dyDescent="0.25">
      <c r="A59" s="6" t="str">
        <f t="shared" si="0"/>
        <v xml:space="preserve">    const ${campo} = '${campo}';</v>
      </c>
      <c r="N59">
        <f t="shared" si="2"/>
        <v>21</v>
      </c>
      <c r="O59" s="7" t="e">
        <f>getCodigoBackend(N59,A59,VLOOKUP(N59,setup!$A$8:$H$58,2),VLOOKUP(N59,setup!$A$8:$H$58,3),VLOOKUP(N59,setup!$A$8:$H$58,4),VLOOKUP(N59,setup!$A$8:$H$58,5),VLOOKUP(N59,setup!$A$8:$H$58,6),VLOOKUP(N59,setup!$A$8:$H$58,7), VLOOKUP(0,setup!$A$8:$H$58,2),VLOOKUP(0,setup!$A$8:$H$58,5),VLOOKUP(N59,setup!$A$8:$H$58,8))</f>
        <v>#VALUE!</v>
      </c>
    </row>
    <row r="60" spans="1:15" x14ac:dyDescent="0.25">
      <c r="A60" s="6" t="str">
        <f t="shared" si="0"/>
        <v xml:space="preserve">    const ${campo} = '${campo}';</v>
      </c>
      <c r="N60">
        <f t="shared" si="2"/>
        <v>22</v>
      </c>
      <c r="O60" s="7" t="e">
        <f>getCodigoBackend(N60,A60,VLOOKUP(N60,setup!$A$8:$H$58,2),VLOOKUP(N60,setup!$A$8:$H$58,3),VLOOKUP(N60,setup!$A$8:$H$58,4),VLOOKUP(N60,setup!$A$8:$H$58,5),VLOOKUP(N60,setup!$A$8:$H$58,6),VLOOKUP(N60,setup!$A$8:$H$58,7), VLOOKUP(0,setup!$A$8:$H$58,2),VLOOKUP(0,setup!$A$8:$H$58,5),VLOOKUP(N60,setup!$A$8:$H$58,8))</f>
        <v>#VALUE!</v>
      </c>
    </row>
    <row r="61" spans="1:15" x14ac:dyDescent="0.25">
      <c r="A61" s="6" t="str">
        <f t="shared" si="0"/>
        <v xml:space="preserve">    const ${campo} = '${campo}';</v>
      </c>
      <c r="N61">
        <f t="shared" si="2"/>
        <v>23</v>
      </c>
      <c r="O61" s="7" t="e">
        <f>getCodigoBackend(N61,A61,VLOOKUP(N61,setup!$A$8:$H$58,2),VLOOKUP(N61,setup!$A$8:$H$58,3),VLOOKUP(N61,setup!$A$8:$H$58,4),VLOOKUP(N61,setup!$A$8:$H$58,5),VLOOKUP(N61,setup!$A$8:$H$58,6),VLOOKUP(N61,setup!$A$8:$H$58,7), VLOOKUP(0,setup!$A$8:$H$58,2),VLOOKUP(0,setup!$A$8:$H$58,5),VLOOKUP(N61,setup!$A$8:$H$58,8))</f>
        <v>#VALUE!</v>
      </c>
    </row>
    <row r="62" spans="1:15" x14ac:dyDescent="0.25">
      <c r="A62" s="6" t="str">
        <f t="shared" si="0"/>
        <v xml:space="preserve">    const ${campo} = '${campo}';</v>
      </c>
      <c r="N62">
        <f t="shared" si="2"/>
        <v>24</v>
      </c>
      <c r="O62" s="7" t="e">
        <f>getCodigoBackend(N62,A62,VLOOKUP(N62,setup!$A$8:$H$58,2),VLOOKUP(N62,setup!$A$8:$H$58,3),VLOOKUP(N62,setup!$A$8:$H$58,4),VLOOKUP(N62,setup!$A$8:$H$58,5),VLOOKUP(N62,setup!$A$8:$H$58,6),VLOOKUP(N62,setup!$A$8:$H$58,7), VLOOKUP(0,setup!$A$8:$H$58,2),VLOOKUP(0,setup!$A$8:$H$58,5),VLOOKUP(N62,setup!$A$8:$H$58,8))</f>
        <v>#VALUE!</v>
      </c>
    </row>
    <row r="63" spans="1:15" x14ac:dyDescent="0.25">
      <c r="A63" s="6" t="str">
        <f t="shared" si="0"/>
        <v xml:space="preserve">    const ${campo} = '${campo}';</v>
      </c>
      <c r="N63">
        <f t="shared" si="2"/>
        <v>25</v>
      </c>
      <c r="O63" s="7" t="e">
        <f>getCodigoBackend(N63,A63,VLOOKUP(N63,setup!$A$8:$H$58,2),VLOOKUP(N63,setup!$A$8:$H$58,3),VLOOKUP(N63,setup!$A$8:$H$58,4),VLOOKUP(N63,setup!$A$8:$H$58,5),VLOOKUP(N63,setup!$A$8:$H$58,6),VLOOKUP(N63,setup!$A$8:$H$58,7), VLOOKUP(0,setup!$A$8:$H$58,2),VLOOKUP(0,setup!$A$8:$H$58,5),VLOOKUP(N63,setup!$A$8:$H$58,8))</f>
        <v>#VALUE!</v>
      </c>
    </row>
    <row r="64" spans="1:15" x14ac:dyDescent="0.25">
      <c r="A64" s="6" t="str">
        <f t="shared" si="0"/>
        <v xml:space="preserve">    const ${campo} = '${campo}';</v>
      </c>
      <c r="N64">
        <f t="shared" si="2"/>
        <v>26</v>
      </c>
      <c r="O64" s="7" t="e">
        <f>getCodigoBackend(N64,A64,VLOOKUP(N64,setup!$A$8:$H$58,2),VLOOKUP(N64,setup!$A$8:$H$58,3),VLOOKUP(N64,setup!$A$8:$H$58,4),VLOOKUP(N64,setup!$A$8:$H$58,5),VLOOKUP(N64,setup!$A$8:$H$58,6),VLOOKUP(N64,setup!$A$8:$H$58,7), VLOOKUP(0,setup!$A$8:$H$58,2),VLOOKUP(0,setup!$A$8:$H$58,5),VLOOKUP(N64,setup!$A$8:$H$58,8))</f>
        <v>#VALUE!</v>
      </c>
    </row>
    <row r="65" spans="1:15" x14ac:dyDescent="0.25">
      <c r="A65" s="6" t="str">
        <f t="shared" si="0"/>
        <v xml:space="preserve">    const ${campo} = '${campo}';</v>
      </c>
      <c r="N65">
        <f t="shared" si="2"/>
        <v>27</v>
      </c>
      <c r="O65" s="7" t="e">
        <f>getCodigoBackend(N65,A65,VLOOKUP(N65,setup!$A$8:$H$58,2),VLOOKUP(N65,setup!$A$8:$H$58,3),VLOOKUP(N65,setup!$A$8:$H$58,4),VLOOKUP(N65,setup!$A$8:$H$58,5),VLOOKUP(N65,setup!$A$8:$H$58,6),VLOOKUP(N65,setup!$A$8:$H$58,7), VLOOKUP(0,setup!$A$8:$H$58,2),VLOOKUP(0,setup!$A$8:$H$58,5),VLOOKUP(N65,setup!$A$8:$H$58,8))</f>
        <v>#VALUE!</v>
      </c>
    </row>
    <row r="66" spans="1:15" x14ac:dyDescent="0.25">
      <c r="A66" s="6" t="str">
        <f t="shared" si="0"/>
        <v xml:space="preserve">    const ${campo} = '${campo}';</v>
      </c>
      <c r="N66">
        <f t="shared" si="2"/>
        <v>28</v>
      </c>
      <c r="O66" s="7" t="e">
        <f>getCodigoBackend(N66,A66,VLOOKUP(N66,setup!$A$8:$H$58,2),VLOOKUP(N66,setup!$A$8:$H$58,3),VLOOKUP(N66,setup!$A$8:$H$58,4),VLOOKUP(N66,setup!$A$8:$H$58,5),VLOOKUP(N66,setup!$A$8:$H$58,6),VLOOKUP(N66,setup!$A$8:$H$58,7), VLOOKUP(0,setup!$A$8:$H$58,2),VLOOKUP(0,setup!$A$8:$H$58,5),VLOOKUP(N66,setup!$A$8:$H$58,8))</f>
        <v>#VALUE!</v>
      </c>
    </row>
    <row r="67" spans="1:15" x14ac:dyDescent="0.25">
      <c r="A67" s="6" t="str">
        <f t="shared" si="0"/>
        <v xml:space="preserve">    const ${campo} = '${campo}';</v>
      </c>
      <c r="N67">
        <f t="shared" si="2"/>
        <v>29</v>
      </c>
      <c r="O67" s="7" t="e">
        <f>getCodigoBackend(N67,A67,VLOOKUP(N67,setup!$A$8:$H$58,2),VLOOKUP(N67,setup!$A$8:$H$58,3),VLOOKUP(N67,setup!$A$8:$H$58,4),VLOOKUP(N67,setup!$A$8:$H$58,5),VLOOKUP(N67,setup!$A$8:$H$58,6),VLOOKUP(N67,setup!$A$8:$H$58,7), VLOOKUP(0,setup!$A$8:$H$58,2),VLOOKUP(0,setup!$A$8:$H$58,5),VLOOKUP(N67,setup!$A$8:$H$58,8))</f>
        <v>#VALUE!</v>
      </c>
    </row>
    <row r="68" spans="1:15" x14ac:dyDescent="0.25">
      <c r="A68" s="6" t="str">
        <f t="shared" si="0"/>
        <v xml:space="preserve">    const ${campo} = '${campo}';</v>
      </c>
      <c r="N68">
        <f t="shared" si="2"/>
        <v>30</v>
      </c>
      <c r="O68" s="7" t="e">
        <f>getCodigoBackend(N68,A68,VLOOKUP(N68,setup!$A$8:$H$58,2),VLOOKUP(N68,setup!$A$8:$H$58,3),VLOOKUP(N68,setup!$A$8:$H$58,4),VLOOKUP(N68,setup!$A$8:$H$58,5),VLOOKUP(N68,setup!$A$8:$H$58,6),VLOOKUP(N68,setup!$A$8:$H$58,7), VLOOKUP(0,setup!$A$8:$H$58,2),VLOOKUP(0,setup!$A$8:$H$58,5),VLOOKUP(N68,setup!$A$8:$H$58,8))</f>
        <v>#VALUE!</v>
      </c>
    </row>
    <row r="69" spans="1:15" x14ac:dyDescent="0.25">
      <c r="A69" s="6" t="str">
        <f t="shared" si="0"/>
        <v xml:space="preserve">    const ${campo} = '${campo}';</v>
      </c>
      <c r="N69">
        <f t="shared" si="2"/>
        <v>31</v>
      </c>
      <c r="O69" s="7" t="e">
        <f>getCodigoBackend(N69,A69,VLOOKUP(N69,setup!$A$8:$H$58,2),VLOOKUP(N69,setup!$A$8:$H$58,3),VLOOKUP(N69,setup!$A$8:$H$58,4),VLOOKUP(N69,setup!$A$8:$H$58,5),VLOOKUP(N69,setup!$A$8:$H$58,6),VLOOKUP(N69,setup!$A$8:$H$58,7), VLOOKUP(0,setup!$A$8:$H$58,2),VLOOKUP(0,setup!$A$8:$H$58,5),VLOOKUP(N69,setup!$A$8:$H$58,8))</f>
        <v>#VALUE!</v>
      </c>
    </row>
    <row r="70" spans="1:15" x14ac:dyDescent="0.25">
      <c r="A70" s="6" t="str">
        <f t="shared" si="0"/>
        <v xml:space="preserve">    const ${campo} = '${campo}';</v>
      </c>
      <c r="N70">
        <f t="shared" si="2"/>
        <v>32</v>
      </c>
      <c r="O70" s="7" t="e">
        <f>getCodigoBackend(N70,A70,VLOOKUP(N70,setup!$A$8:$H$58,2),VLOOKUP(N70,setup!$A$8:$H$58,3),VLOOKUP(N70,setup!$A$8:$H$58,4),VLOOKUP(N70,setup!$A$8:$H$58,5),VLOOKUP(N70,setup!$A$8:$H$58,6),VLOOKUP(N70,setup!$A$8:$H$58,7), VLOOKUP(0,setup!$A$8:$H$58,2),VLOOKUP(0,setup!$A$8:$H$58,5),VLOOKUP(N70,setup!$A$8:$H$58,8))</f>
        <v>#VALUE!</v>
      </c>
    </row>
    <row r="71" spans="1:15" x14ac:dyDescent="0.25">
      <c r="A71" s="6" t="str">
        <f t="shared" si="0"/>
        <v xml:space="preserve">    const ${campo} = '${campo}';</v>
      </c>
      <c r="N71">
        <f t="shared" si="2"/>
        <v>33</v>
      </c>
      <c r="O71" s="7" t="e">
        <f>getCodigoBackend(N71,A71,VLOOKUP(N71,setup!$A$8:$H$58,2),VLOOKUP(N71,setup!$A$8:$H$58,3),VLOOKUP(N71,setup!$A$8:$H$58,4),VLOOKUP(N71,setup!$A$8:$H$58,5),VLOOKUP(N71,setup!$A$8:$H$58,6),VLOOKUP(N71,setup!$A$8:$H$58,7), VLOOKUP(0,setup!$A$8:$H$58,2),VLOOKUP(0,setup!$A$8:$H$58,5),VLOOKUP(N71,setup!$A$8:$H$58,8))</f>
        <v>#VALUE!</v>
      </c>
    </row>
    <row r="72" spans="1:15" x14ac:dyDescent="0.25">
      <c r="A72" s="6" t="str">
        <f t="shared" si="0"/>
        <v xml:space="preserve">    const ${campo} = '${campo}';</v>
      </c>
      <c r="N72">
        <f t="shared" si="2"/>
        <v>34</v>
      </c>
      <c r="O72" s="7" t="e">
        <f>getCodigoBackend(N72,A72,VLOOKUP(N72,setup!$A$8:$H$58,2),VLOOKUP(N72,setup!$A$8:$H$58,3),VLOOKUP(N72,setup!$A$8:$H$58,4),VLOOKUP(N72,setup!$A$8:$H$58,5),VLOOKUP(N72,setup!$A$8:$H$58,6),VLOOKUP(N72,setup!$A$8:$H$58,7), VLOOKUP(0,setup!$A$8:$H$58,2),VLOOKUP(0,setup!$A$8:$H$58,5),VLOOKUP(N72,setup!$A$8:$H$58,8))</f>
        <v>#VALUE!</v>
      </c>
    </row>
    <row r="73" spans="1:15" x14ac:dyDescent="0.25">
      <c r="A73" s="6" t="str">
        <f t="shared" si="0"/>
        <v xml:space="preserve">    const ${campo} = '${campo}';</v>
      </c>
      <c r="N73">
        <f t="shared" si="2"/>
        <v>35</v>
      </c>
      <c r="O73" s="7" t="e">
        <f>getCodigoBackend(N73,A73,VLOOKUP(N73,setup!$A$8:$H$58,2),VLOOKUP(N73,setup!$A$8:$H$58,3),VLOOKUP(N73,setup!$A$8:$H$58,4),VLOOKUP(N73,setup!$A$8:$H$58,5),VLOOKUP(N73,setup!$A$8:$H$58,6),VLOOKUP(N73,setup!$A$8:$H$58,7), VLOOKUP(0,setup!$A$8:$H$58,2),VLOOKUP(0,setup!$A$8:$H$58,5),VLOOKUP(N73,setup!$A$8:$H$58,8))</f>
        <v>#VALUE!</v>
      </c>
    </row>
    <row r="74" spans="1:15" x14ac:dyDescent="0.25">
      <c r="A74" s="6" t="str">
        <f t="shared" si="0"/>
        <v xml:space="preserve">    const ${campo} = '${campo}';</v>
      </c>
      <c r="N74">
        <f t="shared" si="2"/>
        <v>36</v>
      </c>
      <c r="O74" s="7" t="e">
        <f>getCodigoBackend(N74,A74,VLOOKUP(N74,setup!$A$8:$H$58,2),VLOOKUP(N74,setup!$A$8:$H$58,3),VLOOKUP(N74,setup!$A$8:$H$58,4),VLOOKUP(N74,setup!$A$8:$H$58,5),VLOOKUP(N74,setup!$A$8:$H$58,6),VLOOKUP(N74,setup!$A$8:$H$58,7), VLOOKUP(0,setup!$A$8:$H$58,2),VLOOKUP(0,setup!$A$8:$H$58,5),VLOOKUP(N74,setup!$A$8:$H$58,8))</f>
        <v>#VALUE!</v>
      </c>
    </row>
    <row r="75" spans="1:15" x14ac:dyDescent="0.25">
      <c r="A75" s="6" t="str">
        <f t="shared" si="0"/>
        <v xml:space="preserve">    const ${campo} = '${campo}';</v>
      </c>
      <c r="N75">
        <f t="shared" si="2"/>
        <v>37</v>
      </c>
      <c r="O75" s="7" t="e">
        <f>getCodigoBackend(N75,A75,VLOOKUP(N75,setup!$A$8:$H$58,2),VLOOKUP(N75,setup!$A$8:$H$58,3),VLOOKUP(N75,setup!$A$8:$H$58,4),VLOOKUP(N75,setup!$A$8:$H$58,5),VLOOKUP(N75,setup!$A$8:$H$58,6),VLOOKUP(N75,setup!$A$8:$H$58,7), VLOOKUP(0,setup!$A$8:$H$58,2),VLOOKUP(0,setup!$A$8:$H$58,5),VLOOKUP(N75,setup!$A$8:$H$58,8))</f>
        <v>#VALUE!</v>
      </c>
    </row>
    <row r="76" spans="1:15" x14ac:dyDescent="0.25">
      <c r="A76" s="6" t="str">
        <f t="shared" si="0"/>
        <v xml:space="preserve">    const ${campo} = '${campo}';</v>
      </c>
      <c r="N76">
        <f t="shared" si="2"/>
        <v>38</v>
      </c>
      <c r="O76" s="7" t="e">
        <f>getCodigoBackend(N76,A76,VLOOKUP(N76,setup!$A$8:$H$58,2),VLOOKUP(N76,setup!$A$8:$H$58,3),VLOOKUP(N76,setup!$A$8:$H$58,4),VLOOKUP(N76,setup!$A$8:$H$58,5),VLOOKUP(N76,setup!$A$8:$H$58,6),VLOOKUP(N76,setup!$A$8:$H$58,7), VLOOKUP(0,setup!$A$8:$H$58,2),VLOOKUP(0,setup!$A$8:$H$58,5),VLOOKUP(N76,setup!$A$8:$H$58,8))</f>
        <v>#VALUE!</v>
      </c>
    </row>
    <row r="77" spans="1:15" x14ac:dyDescent="0.25">
      <c r="A77" s="6" t="str">
        <f t="shared" si="0"/>
        <v xml:space="preserve">    const ${campo} = '${campo}';</v>
      </c>
      <c r="N77">
        <f t="shared" si="2"/>
        <v>39</v>
      </c>
      <c r="O77" s="7" t="e">
        <f>getCodigoBackend(N77,A77,VLOOKUP(N77,setup!$A$8:$H$58,2),VLOOKUP(N77,setup!$A$8:$H$58,3),VLOOKUP(N77,setup!$A$8:$H$58,4),VLOOKUP(N77,setup!$A$8:$H$58,5),VLOOKUP(N77,setup!$A$8:$H$58,6),VLOOKUP(N77,setup!$A$8:$H$58,7), VLOOKUP(0,setup!$A$8:$H$58,2),VLOOKUP(0,setup!$A$8:$H$58,5),VLOOKUP(N77,setup!$A$8:$H$58,8))</f>
        <v>#VALUE!</v>
      </c>
    </row>
    <row r="78" spans="1:15" x14ac:dyDescent="0.25">
      <c r="A78" s="6" t="str">
        <f t="shared" si="0"/>
        <v xml:space="preserve">    const ${campo} = '${campo}';</v>
      </c>
      <c r="N78">
        <f t="shared" si="2"/>
        <v>40</v>
      </c>
      <c r="O78" s="7" t="e">
        <f>getCodigoBackend(N78,A78,VLOOKUP(N78,setup!$A$8:$H$58,2),VLOOKUP(N78,setup!$A$8:$H$58,3),VLOOKUP(N78,setup!$A$8:$H$58,4),VLOOKUP(N78,setup!$A$8:$H$58,5),VLOOKUP(N78,setup!$A$8:$H$58,6),VLOOKUP(N78,setup!$A$8:$H$58,7), VLOOKUP(0,setup!$A$8:$H$58,2),VLOOKUP(0,setup!$A$8:$H$58,5),VLOOKUP(N78,setup!$A$8:$H$58,8))</f>
        <v>#VALUE!</v>
      </c>
    </row>
    <row r="79" spans="1:15" x14ac:dyDescent="0.25">
      <c r="A79" s="6" t="str">
        <f t="shared" si="0"/>
        <v xml:space="preserve">    const ${campo} = '${campo}';</v>
      </c>
      <c r="N79">
        <f t="shared" si="2"/>
        <v>41</v>
      </c>
      <c r="O79" s="7" t="e">
        <f>getCodigoBackend(N79,A79,VLOOKUP(N79,setup!$A$8:$H$58,2),VLOOKUP(N79,setup!$A$8:$H$58,3),VLOOKUP(N79,setup!$A$8:$H$58,4),VLOOKUP(N79,setup!$A$8:$H$58,5),VLOOKUP(N79,setup!$A$8:$H$58,6),VLOOKUP(N79,setup!$A$8:$H$58,7), VLOOKUP(0,setup!$A$8:$H$58,2),VLOOKUP(0,setup!$A$8:$H$58,5),VLOOKUP(N79,setup!$A$8:$H$58,8))</f>
        <v>#VALUE!</v>
      </c>
    </row>
    <row r="80" spans="1:15" x14ac:dyDescent="0.25">
      <c r="A80" s="6" t="str">
        <f t="shared" si="0"/>
        <v xml:space="preserve">    const ${campo} = '${campo}';</v>
      </c>
      <c r="N80">
        <f t="shared" si="2"/>
        <v>42</v>
      </c>
      <c r="O80" s="7" t="e">
        <f>getCodigoBackend(N80,A80,VLOOKUP(N80,setup!$A$8:$H$58,2),VLOOKUP(N80,setup!$A$8:$H$58,3),VLOOKUP(N80,setup!$A$8:$H$58,4),VLOOKUP(N80,setup!$A$8:$H$58,5),VLOOKUP(N80,setup!$A$8:$H$58,6),VLOOKUP(N80,setup!$A$8:$H$58,7), VLOOKUP(0,setup!$A$8:$H$58,2),VLOOKUP(0,setup!$A$8:$H$58,5),VLOOKUP(N80,setup!$A$8:$H$58,8))</f>
        <v>#VALUE!</v>
      </c>
    </row>
    <row r="81" spans="1:15" x14ac:dyDescent="0.25">
      <c r="A81" s="6" t="str">
        <f t="shared" si="0"/>
        <v xml:space="preserve">    const ${campo} = '${campo}';</v>
      </c>
      <c r="N81">
        <f t="shared" si="2"/>
        <v>43</v>
      </c>
      <c r="O81" s="7" t="e">
        <f>getCodigoBackend(N81,A81,VLOOKUP(N81,setup!$A$8:$H$58,2),VLOOKUP(N81,setup!$A$8:$H$58,3),VLOOKUP(N81,setup!$A$8:$H$58,4),VLOOKUP(N81,setup!$A$8:$H$58,5),VLOOKUP(N81,setup!$A$8:$H$58,6),VLOOKUP(N81,setup!$A$8:$H$58,7), VLOOKUP(0,setup!$A$8:$H$58,2),VLOOKUP(0,setup!$A$8:$H$58,5),VLOOKUP(N81,setup!$A$8:$H$58,8))</f>
        <v>#VALUE!</v>
      </c>
    </row>
    <row r="82" spans="1:15" x14ac:dyDescent="0.25">
      <c r="A82" s="6" t="str">
        <f t="shared" si="0"/>
        <v xml:space="preserve">    const ${campo} = '${campo}';</v>
      </c>
      <c r="N82">
        <f t="shared" si="2"/>
        <v>44</v>
      </c>
      <c r="O82" s="7" t="e">
        <f>getCodigoBackend(N82,A82,VLOOKUP(N82,setup!$A$8:$H$58,2),VLOOKUP(N82,setup!$A$8:$H$58,3),VLOOKUP(N82,setup!$A$8:$H$58,4),VLOOKUP(N82,setup!$A$8:$H$58,5),VLOOKUP(N82,setup!$A$8:$H$58,6),VLOOKUP(N82,setup!$A$8:$H$58,7), VLOOKUP(0,setup!$A$8:$H$58,2),VLOOKUP(0,setup!$A$8:$H$58,5),VLOOKUP(N82,setup!$A$8:$H$58,8))</f>
        <v>#VALUE!</v>
      </c>
    </row>
    <row r="83" spans="1:15" x14ac:dyDescent="0.25">
      <c r="A83" s="6" t="str">
        <f t="shared" si="0"/>
        <v xml:space="preserve">    const ${campo} = '${campo}';</v>
      </c>
      <c r="N83">
        <f t="shared" si="2"/>
        <v>45</v>
      </c>
      <c r="O83" s="7" t="e">
        <f>getCodigoBackend(N83,A83,VLOOKUP(N83,setup!$A$8:$H$58,2),VLOOKUP(N83,setup!$A$8:$H$58,3),VLOOKUP(N83,setup!$A$8:$H$58,4),VLOOKUP(N83,setup!$A$8:$H$58,5),VLOOKUP(N83,setup!$A$8:$H$58,6),VLOOKUP(N83,setup!$A$8:$H$58,7), VLOOKUP(0,setup!$A$8:$H$58,2),VLOOKUP(0,setup!$A$8:$H$58,5),VLOOKUP(N83,setup!$A$8:$H$58,8))</f>
        <v>#VALUE!</v>
      </c>
    </row>
    <row r="84" spans="1:15" x14ac:dyDescent="0.25">
      <c r="A84" s="6" t="str">
        <f t="shared" si="0"/>
        <v xml:space="preserve">    const ${campo} = '${campo}';</v>
      </c>
      <c r="N84">
        <f t="shared" si="2"/>
        <v>46</v>
      </c>
      <c r="O84" s="7" t="e">
        <f>getCodigoBackend(N84,A84,VLOOKUP(N84,setup!$A$8:$H$58,2),VLOOKUP(N84,setup!$A$8:$H$58,3),VLOOKUP(N84,setup!$A$8:$H$58,4),VLOOKUP(N84,setup!$A$8:$H$58,5),VLOOKUP(N84,setup!$A$8:$H$58,6),VLOOKUP(N84,setup!$A$8:$H$58,7), VLOOKUP(0,setup!$A$8:$H$58,2),VLOOKUP(0,setup!$A$8:$H$58,5),VLOOKUP(N84,setup!$A$8:$H$58,8))</f>
        <v>#VALUE!</v>
      </c>
    </row>
    <row r="85" spans="1:15" x14ac:dyDescent="0.25">
      <c r="A85" s="6" t="str">
        <f t="shared" si="0"/>
        <v xml:space="preserve">    const ${campo} = '${campo}';</v>
      </c>
      <c r="N85">
        <f t="shared" si="2"/>
        <v>47</v>
      </c>
      <c r="O85" s="7" t="e">
        <f>getCodigoBackend(N85,A85,VLOOKUP(N85,setup!$A$8:$H$58,2),VLOOKUP(N85,setup!$A$8:$H$58,3),VLOOKUP(N85,setup!$A$8:$H$58,4),VLOOKUP(N85,setup!$A$8:$H$58,5),VLOOKUP(N85,setup!$A$8:$H$58,6),VLOOKUP(N85,setup!$A$8:$H$58,7), VLOOKUP(0,setup!$A$8:$H$58,2),VLOOKUP(0,setup!$A$8:$H$58,5),VLOOKUP(N85,setup!$A$8:$H$58,8))</f>
        <v>#VALUE!</v>
      </c>
    </row>
    <row r="86" spans="1:15" x14ac:dyDescent="0.25">
      <c r="A86" s="6" t="str">
        <f t="shared" si="0"/>
        <v xml:space="preserve">    const ${campo} = '${campo}';</v>
      </c>
      <c r="N86">
        <f t="shared" si="2"/>
        <v>48</v>
      </c>
      <c r="O86" s="7" t="str">
        <f ca="1">getCodigoBackend(N86,A86,VLOOKUP(N86,setup!$A$8:$H$58,2),VLOOKUP(N86,setup!$A$8:$H$58,3),VLOOKUP(N86,setup!$A$8:$H$58,4),VLOOKUP(N86,setup!$A$8:$H$58,5),VLOOKUP(N86,setup!$A$8:$H$58,6),VLOOKUP(N86,setup!$A$8:$H$58,7), VLOOKUP(0,setup!$A$8:$H$58,2),VLOOKUP(0,setup!$A$8:$H$58,5),VLOOKUP(N86,setup!$A$8:$H$58,8))</f>
        <v xml:space="preserve">    const CCRP_IN_STATUS = 'CCRP_IN_STATUS';</v>
      </c>
    </row>
    <row r="87" spans="1:15" x14ac:dyDescent="0.25">
      <c r="A87" s="6" t="str">
        <f t="shared" si="0"/>
        <v xml:space="preserve">    const ${campo} = '${campo}';</v>
      </c>
      <c r="N87">
        <f t="shared" si="2"/>
        <v>49</v>
      </c>
      <c r="O87" s="7" t="str">
        <f ca="1">getCodigoBackend(N87,A87,VLOOKUP(N87,setup!$A$8:$H$58,2),VLOOKUP(N87,setup!$A$8:$H$58,3),VLOOKUP(N87,setup!$A$8:$H$58,4),VLOOKUP(N87,setup!$A$8:$H$58,5),VLOOKUP(N87,setup!$A$8:$H$58,6),VLOOKUP(N87,setup!$A$8:$H$58,7), VLOOKUP(0,setup!$A$8:$H$58,2),VLOOKUP(0,setup!$A$8:$H$58,5),VLOOKUP(N87,setup!$A$8:$H$58,8))</f>
        <v xml:space="preserve">    const CCRP_DT_CADASTRO = 'CCRP_DT_CADASTRO';</v>
      </c>
    </row>
    <row r="88" spans="1:15" x14ac:dyDescent="0.25">
      <c r="A88" s="6" t="str">
        <f t="shared" si="0"/>
        <v xml:space="preserve">    const ${campo} = '${campo}';</v>
      </c>
      <c r="N88">
        <f t="shared" si="2"/>
        <v>50</v>
      </c>
      <c r="O88" s="7" t="str">
        <f ca="1">getCodigoBackend(N88,A88,VLOOKUP(N88,setup!$A$8:$H$58,2),VLOOKUP(N88,setup!$A$8:$H$58,3),VLOOKUP(N88,setup!$A$8:$H$58,4),VLOOKUP(N88,setup!$A$8:$H$58,5),VLOOKUP(N88,setup!$A$8:$H$58,6),VLOOKUP(N88,setup!$A$8:$H$58,7), VLOOKUP(0,setup!$A$8:$H$58,2),VLOOKUP(0,setup!$A$8:$H$58,5),VLOOKUP(N88,setup!$A$8:$H$58,8))</f>
        <v xml:space="preserve">    const CCRP_DT_UPDATE = 'CCRP_DT_UPDATE';</v>
      </c>
    </row>
    <row r="89" spans="1:15" x14ac:dyDescent="0.25">
      <c r="A89" s="6"/>
      <c r="O89" s="7" t="str">
        <f ca="1">getCodigoBackend(N89,A89,VLOOKUP(N89,setup!$A$8:$H$58,2),VLOOKUP(N89,setup!$A$8:$H$58,3),VLOOKUP(N89,setup!$A$8:$H$58,4),VLOOKUP(N89,setup!$A$8:$H$58,5),VLOOKUP(N89,setup!$A$8:$H$58,6),VLOOKUP(N89,setup!$A$8:$H$58,7), VLOOKUP(0,setup!$A$8:$H$58,2),VLOOKUP(0,setup!$A$8:$H$58,5),VLOOKUP(N89,setup!$A$8:$H$58,8))</f>
        <v/>
      </c>
    </row>
    <row r="90" spans="1:15" x14ac:dyDescent="0.25">
      <c r="A90" s="6" t="s">
        <v>105</v>
      </c>
      <c r="O90" s="7" t="str">
        <f ca="1">getCodigoBackend(N90,A90,VLOOKUP(N90,setup!$A$8:$H$58,2),VLOOKUP(N90,setup!$A$8:$H$58,3),VLOOKUP(N90,setup!$A$8:$H$58,4),VLOOKUP(N90,setup!$A$8:$H$58,5),VLOOKUP(N90,setup!$A$8:$H$58,6),VLOOKUP(N90,setup!$A$8:$H$58,7), VLOOKUP(0,setup!$A$8:$H$58,2),VLOOKUP(0,setup!$A$8:$H$58,5),VLOOKUP(N90,setup!$A$8:$H$58,8))</f>
        <v>    // Comandos DML</v>
      </c>
    </row>
    <row r="91" spans="1:15" x14ac:dyDescent="0.25">
      <c r="A91" s="6" t="s">
        <v>106</v>
      </c>
      <c r="O91" s="7" t="str">
        <f ca="1">getCodigoBackend(N91,A91,VLOOKUP(N91,setup!$A$8:$H$58,2),VLOOKUP(N91,setup!$A$8:$H$58,3),VLOOKUP(N91,setup!$A$8:$H$58,4),VLOOKUP(N91,setup!$A$8:$H$58,5),VLOOKUP(N91,setup!$A$8:$H$58,6),VLOOKUP(N91,setup!$A$8:$H$58,7), VLOOKUP(0,setup!$A$8:$H$58,2),VLOOKUP(0,setup!$A$8:$H$58,5),VLOOKUP(N91,setup!$A$8:$H$58,8))</f>
        <v>    const INS = 'INSERT INTO `' . self::TABELA . '` ('</v>
      </c>
    </row>
    <row r="92" spans="1:15" x14ac:dyDescent="0.25">
      <c r="A92" s="6"/>
      <c r="N92">
        <v>0</v>
      </c>
      <c r="O92" s="7" t="str">
        <f ca="1">getCodigoBackend(N92,A92,VLOOKUP(N92,setup!$A$8:$H$58,2),VLOOKUP(N92,setup!$A$8:$H$58,3),VLOOKUP(N92,setup!$A$8:$H$58,4),VLOOKUP(N92,setup!$A$8:$H$58,5),VLOOKUP(N92,setup!$A$8:$H$58,6),VLOOKUP(N92,setup!$A$8:$H$58,7), VLOOKUP(0,setup!$A$8:$H$58,2),VLOOKUP(0,setup!$A$8:$H$58,5),VLOOKUP(N92,setup!$A$8:$H$58,8))</f>
        <v/>
      </c>
    </row>
    <row r="93" spans="1:15" x14ac:dyDescent="0.25">
      <c r="A93" s="6" t="str">
        <f>CONCATENATE("        . ' `' . self::${campo} . '`, '")</f>
        <v>        . ' `' . self::${campo} . '`, '</v>
      </c>
      <c r="N93">
        <f>N92+1</f>
        <v>1</v>
      </c>
      <c r="O93" s="7" t="str">
        <f ca="1">getCodigoBackend(N93,A93,VLOOKUP(N93,setup!$A$8:$H$58,2),VLOOKUP(N93,setup!$A$8:$H$58,3),VLOOKUP(N93,setup!$A$8:$H$58,4),VLOOKUP(N93,setup!$A$8:$H$58,5),VLOOKUP(N93,setup!$A$8:$H$58,6),VLOOKUP(N93,setup!$A$8:$H$58,7), VLOOKUP(0,setup!$A$8:$H$58,2),VLOOKUP(0,setup!$A$8:$H$58,5),VLOOKUP(N93,setup!$A$8:$H$58,8))</f>
        <v>        . ' `' . self::CACA_ID . '`, '</v>
      </c>
    </row>
    <row r="94" spans="1:15" x14ac:dyDescent="0.25">
      <c r="A94" s="6" t="str">
        <f t="shared" ref="A94:A139" si="3">CONCATENATE("        . ' `' . self::${campo} . '`, '")</f>
        <v>        . ' `' . self::${campo} . '`, '</v>
      </c>
      <c r="N94">
        <f t="shared" ref="N94:N139" si="4">N93+1</f>
        <v>2</v>
      </c>
      <c r="O94" s="7" t="str">
        <f ca="1">getCodigoBackend(N94,A94,VLOOKUP(N94,setup!$A$8:$H$58,2),VLOOKUP(N94,setup!$A$8:$H$58,3),VLOOKUP(N94,setup!$A$8:$H$58,4),VLOOKUP(N94,setup!$A$8:$H$58,5),VLOOKUP(N94,setup!$A$8:$H$58,6),VLOOKUP(N94,setup!$A$8:$H$58,7), VLOOKUP(0,setup!$A$8:$H$58,2),VLOOKUP(0,setup!$A$8:$H$58,5),VLOOKUP(N94,setup!$A$8:$H$58,8))</f>
        <v>        . ' `' . self::USUA_ID . '`, '</v>
      </c>
    </row>
    <row r="95" spans="1:15" x14ac:dyDescent="0.25">
      <c r="A95" s="6" t="str">
        <f t="shared" si="3"/>
        <v>        . ' `' . self::${campo} . '`, '</v>
      </c>
      <c r="N95">
        <f t="shared" si="4"/>
        <v>3</v>
      </c>
      <c r="O95" s="7" t="str">
        <f ca="1">getCodigoBackend(N95,A95,VLOOKUP(N95,setup!$A$8:$H$58,2),VLOOKUP(N95,setup!$A$8:$H$58,3),VLOOKUP(N95,setup!$A$8:$H$58,4),VLOOKUP(N95,setup!$A$8:$H$58,5),VLOOKUP(N95,setup!$A$8:$H$58,6),VLOOKUP(N95,setup!$A$8:$H$58,7), VLOOKUP(0,setup!$A$8:$H$58,2),VLOOKUP(0,setup!$A$8:$H$58,5),VLOOKUP(N95,setup!$A$8:$H$58,8))</f>
        <v>        . ' `' . self::CCRP_IN_TIPO_CHAVE_PIX . '`, '</v>
      </c>
    </row>
    <row r="96" spans="1:15" x14ac:dyDescent="0.25">
      <c r="A96" s="6" t="str">
        <f t="shared" si="3"/>
        <v>        . ' `' . self::${campo} . '`, '</v>
      </c>
      <c r="N96">
        <f t="shared" si="4"/>
        <v>4</v>
      </c>
      <c r="O96" s="7" t="str">
        <f ca="1">getCodigoBackend(N96,A96,VLOOKUP(N96,setup!$A$8:$H$58,2),VLOOKUP(N96,setup!$A$8:$H$58,3),VLOOKUP(N96,setup!$A$8:$H$58,4),VLOOKUP(N96,setup!$A$8:$H$58,5),VLOOKUP(N96,setup!$A$8:$H$58,6),VLOOKUP(N96,setup!$A$8:$H$58,7), VLOOKUP(0,setup!$A$8:$H$58,2),VLOOKUP(0,setup!$A$8:$H$58,5),VLOOKUP(N96,setup!$A$8:$H$58,8))</f>
        <v>        . ' `' . self::CCRP_TX_CHAVE_PIX . '`, '</v>
      </c>
    </row>
    <row r="97" spans="1:15" x14ac:dyDescent="0.25">
      <c r="A97" s="6" t="str">
        <f t="shared" si="3"/>
        <v>        . ' `' . self::${campo} . '`, '</v>
      </c>
      <c r="N97">
        <f t="shared" si="4"/>
        <v>5</v>
      </c>
      <c r="O97" s="7" t="str">
        <f ca="1">getCodigoBackend(N97,A97,VLOOKUP(N97,setup!$A$8:$H$58,2),VLOOKUP(N97,setup!$A$8:$H$58,3),VLOOKUP(N97,setup!$A$8:$H$58,4),VLOOKUP(N97,setup!$A$8:$H$58,5),VLOOKUP(N97,setup!$A$8:$H$58,6),VLOOKUP(N97,setup!$A$8:$H$58,7), VLOOKUP(0,setup!$A$8:$H$58,2),VLOOKUP(0,setup!$A$8:$H$58,5),VLOOKUP(N97,setup!$A$8:$H$58,8))</f>
        <v>        . ' `' . self::CCRP_VL_RESGATE . '`, '</v>
      </c>
    </row>
    <row r="98" spans="1:15" x14ac:dyDescent="0.25">
      <c r="A98" s="6" t="str">
        <f t="shared" si="3"/>
        <v>        . ' `' . self::${campo} . '`, '</v>
      </c>
      <c r="N98">
        <f t="shared" si="4"/>
        <v>6</v>
      </c>
      <c r="O98" s="7" t="str">
        <f ca="1">getCodigoBackend(N98,A98,VLOOKUP(N98,setup!$A$8:$H$58,2),VLOOKUP(N98,setup!$A$8:$H$58,3),VLOOKUP(N98,setup!$A$8:$H$58,4),VLOOKUP(N98,setup!$A$8:$H$58,5),VLOOKUP(N98,setup!$A$8:$H$58,6),VLOOKUP(N98,setup!$A$8:$H$58,7), VLOOKUP(0,setup!$A$8:$H$58,2),VLOOKUP(0,setup!$A$8:$H$58,5),VLOOKUP(N98,setup!$A$8:$H$58,8))</f>
        <v>        . ' `' . self::CCRP_TX_AUTENT_BCO . '`, '</v>
      </c>
    </row>
    <row r="99" spans="1:15" x14ac:dyDescent="0.25">
      <c r="A99" s="6" t="str">
        <f t="shared" si="3"/>
        <v>        . ' `' . self::${campo} . '`, '</v>
      </c>
      <c r="N99">
        <f t="shared" si="4"/>
        <v>7</v>
      </c>
      <c r="O99" s="7" t="str">
        <f ca="1">getCodigoBackend(N99,A99,VLOOKUP(N99,setup!$A$8:$H$58,2),VLOOKUP(N99,setup!$A$8:$H$58,3),VLOOKUP(N99,setup!$A$8:$H$58,4),VLOOKUP(N99,setup!$A$8:$H$58,5),VLOOKUP(N99,setup!$A$8:$H$58,6),VLOOKUP(N99,setup!$A$8:$H$58,7), VLOOKUP(0,setup!$A$8:$H$58,2),VLOOKUP(0,setup!$A$8:$H$58,5),VLOOKUP(N99,setup!$A$8:$H$58,8))</f>
        <v>        . ' `' . self::CCRP_IN_ESTAGIO_RT . '`, '</v>
      </c>
    </row>
    <row r="100" spans="1:15" x14ac:dyDescent="0.25">
      <c r="A100" s="6" t="str">
        <f t="shared" si="3"/>
        <v>        . ' `' . self::${campo} . '`, '</v>
      </c>
      <c r="N100">
        <f t="shared" si="4"/>
        <v>8</v>
      </c>
      <c r="O100" s="7" t="str">
        <f ca="1">getCodigoBackend(N100,A100,VLOOKUP(N100,setup!$A$8:$H$58,2),VLOOKUP(N100,setup!$A$8:$H$58,3),VLOOKUP(N100,setup!$A$8:$H$58,4),VLOOKUP(N100,setup!$A$8:$H$58,5),VLOOKUP(N100,setup!$A$8:$H$58,6),VLOOKUP(N100,setup!$A$8:$H$58,7), VLOOKUP(0,setup!$A$8:$H$58,2),VLOOKUP(0,setup!$A$8:$H$58,5),VLOOKUP(N100,setup!$A$8:$H$58,8))</f>
        <v>        . ' `' . self::CCRP_DT_ESTAGIO_ANALISE . '`, '</v>
      </c>
    </row>
    <row r="101" spans="1:15" x14ac:dyDescent="0.25">
      <c r="A101" s="6" t="str">
        <f t="shared" si="3"/>
        <v>        . ' `' . self::${campo} . '`, '</v>
      </c>
      <c r="N101">
        <f t="shared" si="4"/>
        <v>9</v>
      </c>
      <c r="O101" s="7" t="str">
        <f ca="1">getCodigoBackend(N101,A101,VLOOKUP(N101,setup!$A$8:$H$58,2),VLOOKUP(N101,setup!$A$8:$H$58,3),VLOOKUP(N101,setup!$A$8:$H$58,4),VLOOKUP(N101,setup!$A$8:$H$58,5),VLOOKUP(N101,setup!$A$8:$H$58,6),VLOOKUP(N101,setup!$A$8:$H$58,7), VLOOKUP(0,setup!$A$8:$H$58,2),VLOOKUP(0,setup!$A$8:$H$58,5),VLOOKUP(N101,setup!$A$8:$H$58,8))</f>
        <v>        . ' `' . self::CCRP_DT_ESTAGIO_FINANCEIRO . '`, '</v>
      </c>
    </row>
    <row r="102" spans="1:15" x14ac:dyDescent="0.25">
      <c r="A102" s="6" t="str">
        <f t="shared" si="3"/>
        <v>        . ' `' . self::${campo} . '`, '</v>
      </c>
      <c r="N102">
        <f t="shared" si="4"/>
        <v>10</v>
      </c>
      <c r="O102" s="7" t="str">
        <f ca="1">getCodigoBackend(N102,A102,VLOOKUP(N102,setup!$A$8:$H$58,2),VLOOKUP(N102,setup!$A$8:$H$58,3),VLOOKUP(N102,setup!$A$8:$H$58,4),VLOOKUP(N102,setup!$A$8:$H$58,5),VLOOKUP(N102,setup!$A$8:$H$58,6),VLOOKUP(N102,setup!$A$8:$H$58,7), VLOOKUP(0,setup!$A$8:$H$58,2),VLOOKUP(0,setup!$A$8:$H$58,5),VLOOKUP(N102,setup!$A$8:$H$58,8))</f>
        <v>        . ' `' . self::CCRP_DT_ESTAGIO_ERRO . '`, '</v>
      </c>
    </row>
    <row r="103" spans="1:15" x14ac:dyDescent="0.25">
      <c r="A103" s="6" t="str">
        <f t="shared" si="3"/>
        <v>        . ' `' . self::${campo} . '`, '</v>
      </c>
      <c r="N103">
        <f t="shared" si="4"/>
        <v>11</v>
      </c>
      <c r="O103" s="7" t="str">
        <f ca="1">getCodigoBackend(N103,A103,VLOOKUP(N103,setup!$A$8:$H$58,2),VLOOKUP(N103,setup!$A$8:$H$58,3),VLOOKUP(N103,setup!$A$8:$H$58,4),VLOOKUP(N103,setup!$A$8:$H$58,5),VLOOKUP(N103,setup!$A$8:$H$58,6),VLOOKUP(N103,setup!$A$8:$H$58,7), VLOOKUP(0,setup!$A$8:$H$58,2),VLOOKUP(0,setup!$A$8:$H$58,5),VLOOKUP(N103,setup!$A$8:$H$58,8))</f>
        <v>        . ' `' . self::CCRP_DT_ESTAGIO_TRANSF_BCO . '`, '</v>
      </c>
    </row>
    <row r="104" spans="1:15" x14ac:dyDescent="0.25">
      <c r="A104" s="6" t="str">
        <f t="shared" si="3"/>
        <v>        . ' `' . self::${campo} . '`, '</v>
      </c>
      <c r="N104">
        <f t="shared" si="4"/>
        <v>12</v>
      </c>
      <c r="O104" s="7" t="str">
        <f ca="1">getCodigoBackend(N104,A104,VLOOKUP(N104,setup!$A$8:$H$58,2),VLOOKUP(N104,setup!$A$8:$H$58,3),VLOOKUP(N104,setup!$A$8:$H$58,4),VLOOKUP(N104,setup!$A$8:$H$58,5),VLOOKUP(N104,setup!$A$8:$H$58,6),VLOOKUP(N104,setup!$A$8:$H$58,7), VLOOKUP(0,setup!$A$8:$H$58,2),VLOOKUP(0,setup!$A$8:$H$58,5),VLOOKUP(N104,setup!$A$8:$H$58,8))</f>
        <v>        . ' `' . self::CCRP_TX_LIVRE_ESTAGIO_RT . '`, '</v>
      </c>
    </row>
    <row r="105" spans="1:15" x14ac:dyDescent="0.25">
      <c r="A105" s="6" t="str">
        <f t="shared" si="3"/>
        <v>        . ' `' . self::${campo} . '`, '</v>
      </c>
      <c r="N105">
        <f t="shared" si="4"/>
        <v>13</v>
      </c>
      <c r="O105" s="7" t="e">
        <f>getCodigoBackend(N105,A105,VLOOKUP(N105,setup!$A$8:$H$58,2),VLOOKUP(N105,setup!$A$8:$H$58,3),VLOOKUP(N105,setup!$A$8:$H$58,4),VLOOKUP(N105,setup!$A$8:$H$58,5),VLOOKUP(N105,setup!$A$8:$H$58,6),VLOOKUP(N105,setup!$A$8:$H$58,7), VLOOKUP(0,setup!$A$8:$H$58,2),VLOOKUP(0,setup!$A$8:$H$58,5),VLOOKUP(N105,setup!$A$8:$H$58,8))</f>
        <v>#VALUE!</v>
      </c>
    </row>
    <row r="106" spans="1:15" x14ac:dyDescent="0.25">
      <c r="A106" s="6" t="str">
        <f t="shared" si="3"/>
        <v>        . ' `' . self::${campo} . '`, '</v>
      </c>
      <c r="N106">
        <f t="shared" si="4"/>
        <v>14</v>
      </c>
      <c r="O106" s="7" t="e">
        <f>getCodigoBackend(N106,A106,VLOOKUP(N106,setup!$A$8:$H$58,2),VLOOKUP(N106,setup!$A$8:$H$58,3),VLOOKUP(N106,setup!$A$8:$H$58,4),VLOOKUP(N106,setup!$A$8:$H$58,5),VLOOKUP(N106,setup!$A$8:$H$58,6),VLOOKUP(N106,setup!$A$8:$H$58,7), VLOOKUP(0,setup!$A$8:$H$58,2),VLOOKUP(0,setup!$A$8:$H$58,5),VLOOKUP(N106,setup!$A$8:$H$58,8))</f>
        <v>#VALUE!</v>
      </c>
    </row>
    <row r="107" spans="1:15" x14ac:dyDescent="0.25">
      <c r="A107" s="6" t="str">
        <f t="shared" si="3"/>
        <v>        . ' `' . self::${campo} . '`, '</v>
      </c>
      <c r="N107">
        <f t="shared" si="4"/>
        <v>15</v>
      </c>
      <c r="O107" s="7" t="e">
        <f>getCodigoBackend(N107,A107,VLOOKUP(N107,setup!$A$8:$H$58,2),VLOOKUP(N107,setup!$A$8:$H$58,3),VLOOKUP(N107,setup!$A$8:$H$58,4),VLOOKUP(N107,setup!$A$8:$H$58,5),VLOOKUP(N107,setup!$A$8:$H$58,6),VLOOKUP(N107,setup!$A$8:$H$58,7), VLOOKUP(0,setup!$A$8:$H$58,2),VLOOKUP(0,setup!$A$8:$H$58,5),VLOOKUP(N107,setup!$A$8:$H$58,8))</f>
        <v>#VALUE!</v>
      </c>
    </row>
    <row r="108" spans="1:15" x14ac:dyDescent="0.25">
      <c r="A108" s="6" t="str">
        <f t="shared" si="3"/>
        <v>        . ' `' . self::${campo} . '`, '</v>
      </c>
      <c r="N108">
        <f t="shared" si="4"/>
        <v>16</v>
      </c>
      <c r="O108" s="7" t="e">
        <f>getCodigoBackend(N108,A108,VLOOKUP(N108,setup!$A$8:$H$58,2),VLOOKUP(N108,setup!$A$8:$H$58,3),VLOOKUP(N108,setup!$A$8:$H$58,4),VLOOKUP(N108,setup!$A$8:$H$58,5),VLOOKUP(N108,setup!$A$8:$H$58,6),VLOOKUP(N108,setup!$A$8:$H$58,7), VLOOKUP(0,setup!$A$8:$H$58,2),VLOOKUP(0,setup!$A$8:$H$58,5),VLOOKUP(N108,setup!$A$8:$H$58,8))</f>
        <v>#VALUE!</v>
      </c>
    </row>
    <row r="109" spans="1:15" x14ac:dyDescent="0.25">
      <c r="A109" s="6" t="str">
        <f t="shared" si="3"/>
        <v>        . ' `' . self::${campo} . '`, '</v>
      </c>
      <c r="N109">
        <f t="shared" si="4"/>
        <v>17</v>
      </c>
      <c r="O109" s="7" t="e">
        <f>getCodigoBackend(N109,A109,VLOOKUP(N109,setup!$A$8:$H$58,2),VLOOKUP(N109,setup!$A$8:$H$58,3),VLOOKUP(N109,setup!$A$8:$H$58,4),VLOOKUP(N109,setup!$A$8:$H$58,5),VLOOKUP(N109,setup!$A$8:$H$58,6),VLOOKUP(N109,setup!$A$8:$H$58,7), VLOOKUP(0,setup!$A$8:$H$58,2),VLOOKUP(0,setup!$A$8:$H$58,5),VLOOKUP(N109,setup!$A$8:$H$58,8))</f>
        <v>#VALUE!</v>
      </c>
    </row>
    <row r="110" spans="1:15" x14ac:dyDescent="0.25">
      <c r="A110" s="6" t="str">
        <f t="shared" si="3"/>
        <v>        . ' `' . self::${campo} . '`, '</v>
      </c>
      <c r="N110">
        <f t="shared" si="4"/>
        <v>18</v>
      </c>
      <c r="O110" s="7" t="e">
        <f>getCodigoBackend(N110,A110,VLOOKUP(N110,setup!$A$8:$H$58,2),VLOOKUP(N110,setup!$A$8:$H$58,3),VLOOKUP(N110,setup!$A$8:$H$58,4),VLOOKUP(N110,setup!$A$8:$H$58,5),VLOOKUP(N110,setup!$A$8:$H$58,6),VLOOKUP(N110,setup!$A$8:$H$58,7), VLOOKUP(0,setup!$A$8:$H$58,2),VLOOKUP(0,setup!$A$8:$H$58,5),VLOOKUP(N110,setup!$A$8:$H$58,8))</f>
        <v>#VALUE!</v>
      </c>
    </row>
    <row r="111" spans="1:15" x14ac:dyDescent="0.25">
      <c r="A111" s="6" t="str">
        <f t="shared" si="3"/>
        <v>        . ' `' . self::${campo} . '`, '</v>
      </c>
      <c r="N111">
        <f t="shared" si="4"/>
        <v>19</v>
      </c>
      <c r="O111" s="7" t="e">
        <f>getCodigoBackend(N111,A111,VLOOKUP(N111,setup!$A$8:$H$58,2),VLOOKUP(N111,setup!$A$8:$H$58,3),VLOOKUP(N111,setup!$A$8:$H$58,4),VLOOKUP(N111,setup!$A$8:$H$58,5),VLOOKUP(N111,setup!$A$8:$H$58,6),VLOOKUP(N111,setup!$A$8:$H$58,7), VLOOKUP(0,setup!$A$8:$H$58,2),VLOOKUP(0,setup!$A$8:$H$58,5),VLOOKUP(N111,setup!$A$8:$H$58,8))</f>
        <v>#VALUE!</v>
      </c>
    </row>
    <row r="112" spans="1:15" x14ac:dyDescent="0.25">
      <c r="A112" s="6" t="str">
        <f t="shared" si="3"/>
        <v>        . ' `' . self::${campo} . '`, '</v>
      </c>
      <c r="N112">
        <f t="shared" si="4"/>
        <v>20</v>
      </c>
      <c r="O112" s="7" t="e">
        <f>getCodigoBackend(N112,A112,VLOOKUP(N112,setup!$A$8:$H$58,2),VLOOKUP(N112,setup!$A$8:$H$58,3),VLOOKUP(N112,setup!$A$8:$H$58,4),VLOOKUP(N112,setup!$A$8:$H$58,5),VLOOKUP(N112,setup!$A$8:$H$58,6),VLOOKUP(N112,setup!$A$8:$H$58,7), VLOOKUP(0,setup!$A$8:$H$58,2),VLOOKUP(0,setup!$A$8:$H$58,5),VLOOKUP(N112,setup!$A$8:$H$58,8))</f>
        <v>#VALUE!</v>
      </c>
    </row>
    <row r="113" spans="1:15" x14ac:dyDescent="0.25">
      <c r="A113" s="6" t="str">
        <f t="shared" si="3"/>
        <v>        . ' `' . self::${campo} . '`, '</v>
      </c>
      <c r="N113">
        <f t="shared" si="4"/>
        <v>21</v>
      </c>
      <c r="O113" s="7" t="e">
        <f>getCodigoBackend(N113,A113,VLOOKUP(N113,setup!$A$8:$H$58,2),VLOOKUP(N113,setup!$A$8:$H$58,3),VLOOKUP(N113,setup!$A$8:$H$58,4),VLOOKUP(N113,setup!$A$8:$H$58,5),VLOOKUP(N113,setup!$A$8:$H$58,6),VLOOKUP(N113,setup!$A$8:$H$58,7), VLOOKUP(0,setup!$A$8:$H$58,2),VLOOKUP(0,setup!$A$8:$H$58,5),VLOOKUP(N113,setup!$A$8:$H$58,8))</f>
        <v>#VALUE!</v>
      </c>
    </row>
    <row r="114" spans="1:15" x14ac:dyDescent="0.25">
      <c r="A114" s="6" t="str">
        <f t="shared" si="3"/>
        <v>        . ' `' . self::${campo} . '`, '</v>
      </c>
      <c r="N114">
        <f t="shared" si="4"/>
        <v>22</v>
      </c>
      <c r="O114" s="7" t="e">
        <f>getCodigoBackend(N114,A114,VLOOKUP(N114,setup!$A$8:$H$58,2),VLOOKUP(N114,setup!$A$8:$H$58,3),VLOOKUP(N114,setup!$A$8:$H$58,4),VLOOKUP(N114,setup!$A$8:$H$58,5),VLOOKUP(N114,setup!$A$8:$H$58,6),VLOOKUP(N114,setup!$A$8:$H$58,7), VLOOKUP(0,setup!$A$8:$H$58,2),VLOOKUP(0,setup!$A$8:$H$58,5),VLOOKUP(N114,setup!$A$8:$H$58,8))</f>
        <v>#VALUE!</v>
      </c>
    </row>
    <row r="115" spans="1:15" x14ac:dyDescent="0.25">
      <c r="A115" s="6" t="str">
        <f t="shared" si="3"/>
        <v>        . ' `' . self::${campo} . '`, '</v>
      </c>
      <c r="N115">
        <f t="shared" si="4"/>
        <v>23</v>
      </c>
      <c r="O115" s="7" t="e">
        <f>getCodigoBackend(N115,A115,VLOOKUP(N115,setup!$A$8:$H$58,2),VLOOKUP(N115,setup!$A$8:$H$58,3),VLOOKUP(N115,setup!$A$8:$H$58,4),VLOOKUP(N115,setup!$A$8:$H$58,5),VLOOKUP(N115,setup!$A$8:$H$58,6),VLOOKUP(N115,setup!$A$8:$H$58,7), VLOOKUP(0,setup!$A$8:$H$58,2),VLOOKUP(0,setup!$A$8:$H$58,5),VLOOKUP(N115,setup!$A$8:$H$58,8))</f>
        <v>#VALUE!</v>
      </c>
    </row>
    <row r="116" spans="1:15" x14ac:dyDescent="0.25">
      <c r="A116" s="6" t="str">
        <f t="shared" si="3"/>
        <v>        . ' `' . self::${campo} . '`, '</v>
      </c>
      <c r="N116">
        <f t="shared" si="4"/>
        <v>24</v>
      </c>
      <c r="O116" s="7" t="e">
        <f>getCodigoBackend(N116,A116,VLOOKUP(N116,setup!$A$8:$H$58,2),VLOOKUP(N116,setup!$A$8:$H$58,3),VLOOKUP(N116,setup!$A$8:$H$58,4),VLOOKUP(N116,setup!$A$8:$H$58,5),VLOOKUP(N116,setup!$A$8:$H$58,6),VLOOKUP(N116,setup!$A$8:$H$58,7), VLOOKUP(0,setup!$A$8:$H$58,2),VLOOKUP(0,setup!$A$8:$H$58,5),VLOOKUP(N116,setup!$A$8:$H$58,8))</f>
        <v>#VALUE!</v>
      </c>
    </row>
    <row r="117" spans="1:15" x14ac:dyDescent="0.25">
      <c r="A117" s="6" t="str">
        <f t="shared" si="3"/>
        <v>        . ' `' . self::${campo} . '`, '</v>
      </c>
      <c r="N117">
        <f t="shared" si="4"/>
        <v>25</v>
      </c>
      <c r="O117" s="7" t="e">
        <f>getCodigoBackend(N117,A117,VLOOKUP(N117,setup!$A$8:$H$58,2),VLOOKUP(N117,setup!$A$8:$H$58,3),VLOOKUP(N117,setup!$A$8:$H$58,4),VLOOKUP(N117,setup!$A$8:$H$58,5),VLOOKUP(N117,setup!$A$8:$H$58,6),VLOOKUP(N117,setup!$A$8:$H$58,7), VLOOKUP(0,setup!$A$8:$H$58,2),VLOOKUP(0,setup!$A$8:$H$58,5),VLOOKUP(N117,setup!$A$8:$H$58,8))</f>
        <v>#VALUE!</v>
      </c>
    </row>
    <row r="118" spans="1:15" x14ac:dyDescent="0.25">
      <c r="A118" s="6" t="str">
        <f t="shared" si="3"/>
        <v>        . ' `' . self::${campo} . '`, '</v>
      </c>
      <c r="N118">
        <f t="shared" si="4"/>
        <v>26</v>
      </c>
      <c r="O118" s="7" t="e">
        <f>getCodigoBackend(N118,A118,VLOOKUP(N118,setup!$A$8:$H$58,2),VLOOKUP(N118,setup!$A$8:$H$58,3),VLOOKUP(N118,setup!$A$8:$H$58,4),VLOOKUP(N118,setup!$A$8:$H$58,5),VLOOKUP(N118,setup!$A$8:$H$58,6),VLOOKUP(N118,setup!$A$8:$H$58,7), VLOOKUP(0,setup!$A$8:$H$58,2),VLOOKUP(0,setup!$A$8:$H$58,5),VLOOKUP(N118,setup!$A$8:$H$58,8))</f>
        <v>#VALUE!</v>
      </c>
    </row>
    <row r="119" spans="1:15" x14ac:dyDescent="0.25">
      <c r="A119" s="6" t="str">
        <f t="shared" si="3"/>
        <v>        . ' `' . self::${campo} . '`, '</v>
      </c>
      <c r="N119">
        <f t="shared" si="4"/>
        <v>27</v>
      </c>
      <c r="O119" s="7" t="e">
        <f>getCodigoBackend(N119,A119,VLOOKUP(N119,setup!$A$8:$H$58,2),VLOOKUP(N119,setup!$A$8:$H$58,3),VLOOKUP(N119,setup!$A$8:$H$58,4),VLOOKUP(N119,setup!$A$8:$H$58,5),VLOOKUP(N119,setup!$A$8:$H$58,6),VLOOKUP(N119,setup!$A$8:$H$58,7), VLOOKUP(0,setup!$A$8:$H$58,2),VLOOKUP(0,setup!$A$8:$H$58,5),VLOOKUP(N119,setup!$A$8:$H$58,8))</f>
        <v>#VALUE!</v>
      </c>
    </row>
    <row r="120" spans="1:15" x14ac:dyDescent="0.25">
      <c r="A120" s="6" t="str">
        <f t="shared" si="3"/>
        <v>        . ' `' . self::${campo} . '`, '</v>
      </c>
      <c r="N120">
        <f t="shared" si="4"/>
        <v>28</v>
      </c>
      <c r="O120" s="7" t="e">
        <f>getCodigoBackend(N120,A120,VLOOKUP(N120,setup!$A$8:$H$58,2),VLOOKUP(N120,setup!$A$8:$H$58,3),VLOOKUP(N120,setup!$A$8:$H$58,4),VLOOKUP(N120,setup!$A$8:$H$58,5),VLOOKUP(N120,setup!$A$8:$H$58,6),VLOOKUP(N120,setup!$A$8:$H$58,7), VLOOKUP(0,setup!$A$8:$H$58,2),VLOOKUP(0,setup!$A$8:$H$58,5),VLOOKUP(N120,setup!$A$8:$H$58,8))</f>
        <v>#VALUE!</v>
      </c>
    </row>
    <row r="121" spans="1:15" x14ac:dyDescent="0.25">
      <c r="A121" s="6" t="str">
        <f t="shared" si="3"/>
        <v>        . ' `' . self::${campo} . '`, '</v>
      </c>
      <c r="N121">
        <f t="shared" si="4"/>
        <v>29</v>
      </c>
      <c r="O121" s="7" t="e">
        <f>getCodigoBackend(N121,A121,VLOOKUP(N121,setup!$A$8:$H$58,2),VLOOKUP(N121,setup!$A$8:$H$58,3),VLOOKUP(N121,setup!$A$8:$H$58,4),VLOOKUP(N121,setup!$A$8:$H$58,5),VLOOKUP(N121,setup!$A$8:$H$58,6),VLOOKUP(N121,setup!$A$8:$H$58,7), VLOOKUP(0,setup!$A$8:$H$58,2),VLOOKUP(0,setup!$A$8:$H$58,5),VLOOKUP(N121,setup!$A$8:$H$58,8))</f>
        <v>#VALUE!</v>
      </c>
    </row>
    <row r="122" spans="1:15" x14ac:dyDescent="0.25">
      <c r="A122" s="6" t="str">
        <f t="shared" si="3"/>
        <v>        . ' `' . self::${campo} . '`, '</v>
      </c>
      <c r="N122">
        <f t="shared" si="4"/>
        <v>30</v>
      </c>
      <c r="O122" s="7" t="e">
        <f>getCodigoBackend(N122,A122,VLOOKUP(N122,setup!$A$8:$H$58,2),VLOOKUP(N122,setup!$A$8:$H$58,3),VLOOKUP(N122,setup!$A$8:$H$58,4),VLOOKUP(N122,setup!$A$8:$H$58,5),VLOOKUP(N122,setup!$A$8:$H$58,6),VLOOKUP(N122,setup!$A$8:$H$58,7), VLOOKUP(0,setup!$A$8:$H$58,2),VLOOKUP(0,setup!$A$8:$H$58,5),VLOOKUP(N122,setup!$A$8:$H$58,8))</f>
        <v>#VALUE!</v>
      </c>
    </row>
    <row r="123" spans="1:15" x14ac:dyDescent="0.25">
      <c r="A123" s="6" t="str">
        <f t="shared" si="3"/>
        <v>        . ' `' . self::${campo} . '`, '</v>
      </c>
      <c r="N123">
        <f t="shared" si="4"/>
        <v>31</v>
      </c>
      <c r="O123" s="7" t="e">
        <f>getCodigoBackend(N123,A123,VLOOKUP(N123,setup!$A$8:$H$58,2),VLOOKUP(N123,setup!$A$8:$H$58,3),VLOOKUP(N123,setup!$A$8:$H$58,4),VLOOKUP(N123,setup!$A$8:$H$58,5),VLOOKUP(N123,setup!$A$8:$H$58,6),VLOOKUP(N123,setup!$A$8:$H$58,7), VLOOKUP(0,setup!$A$8:$H$58,2),VLOOKUP(0,setup!$A$8:$H$58,5),VLOOKUP(N123,setup!$A$8:$H$58,8))</f>
        <v>#VALUE!</v>
      </c>
    </row>
    <row r="124" spans="1:15" x14ac:dyDescent="0.25">
      <c r="A124" s="6" t="str">
        <f t="shared" si="3"/>
        <v>        . ' `' . self::${campo} . '`, '</v>
      </c>
      <c r="N124">
        <f t="shared" si="4"/>
        <v>32</v>
      </c>
      <c r="O124" s="7" t="e">
        <f>getCodigoBackend(N124,A124,VLOOKUP(N124,setup!$A$8:$H$58,2),VLOOKUP(N124,setup!$A$8:$H$58,3),VLOOKUP(N124,setup!$A$8:$H$58,4),VLOOKUP(N124,setup!$A$8:$H$58,5),VLOOKUP(N124,setup!$A$8:$H$58,6),VLOOKUP(N124,setup!$A$8:$H$58,7), VLOOKUP(0,setup!$A$8:$H$58,2),VLOOKUP(0,setup!$A$8:$H$58,5),VLOOKUP(N124,setup!$A$8:$H$58,8))</f>
        <v>#VALUE!</v>
      </c>
    </row>
    <row r="125" spans="1:15" x14ac:dyDescent="0.25">
      <c r="A125" s="6" t="str">
        <f t="shared" si="3"/>
        <v>        . ' `' . self::${campo} . '`, '</v>
      </c>
      <c r="N125">
        <f t="shared" si="4"/>
        <v>33</v>
      </c>
      <c r="O125" s="7" t="e">
        <f>getCodigoBackend(N125,A125,VLOOKUP(N125,setup!$A$8:$H$58,2),VLOOKUP(N125,setup!$A$8:$H$58,3),VLOOKUP(N125,setup!$A$8:$H$58,4),VLOOKUP(N125,setup!$A$8:$H$58,5),VLOOKUP(N125,setup!$A$8:$H$58,6),VLOOKUP(N125,setup!$A$8:$H$58,7), VLOOKUP(0,setup!$A$8:$H$58,2),VLOOKUP(0,setup!$A$8:$H$58,5),VLOOKUP(N125,setup!$A$8:$H$58,8))</f>
        <v>#VALUE!</v>
      </c>
    </row>
    <row r="126" spans="1:15" x14ac:dyDescent="0.25">
      <c r="A126" s="6" t="str">
        <f t="shared" si="3"/>
        <v>        . ' `' . self::${campo} . '`, '</v>
      </c>
      <c r="N126">
        <f t="shared" si="4"/>
        <v>34</v>
      </c>
      <c r="O126" s="7" t="e">
        <f>getCodigoBackend(N126,A126,VLOOKUP(N126,setup!$A$8:$H$58,2),VLOOKUP(N126,setup!$A$8:$H$58,3),VLOOKUP(N126,setup!$A$8:$H$58,4),VLOOKUP(N126,setup!$A$8:$H$58,5),VLOOKUP(N126,setup!$A$8:$H$58,6),VLOOKUP(N126,setup!$A$8:$H$58,7), VLOOKUP(0,setup!$A$8:$H$58,2),VLOOKUP(0,setup!$A$8:$H$58,5),VLOOKUP(N126,setup!$A$8:$H$58,8))</f>
        <v>#VALUE!</v>
      </c>
    </row>
    <row r="127" spans="1:15" x14ac:dyDescent="0.25">
      <c r="A127" s="6" t="str">
        <f t="shared" si="3"/>
        <v>        . ' `' . self::${campo} . '`, '</v>
      </c>
      <c r="N127">
        <f t="shared" si="4"/>
        <v>35</v>
      </c>
      <c r="O127" s="7" t="e">
        <f>getCodigoBackend(N127,A127,VLOOKUP(N127,setup!$A$8:$H$58,2),VLOOKUP(N127,setup!$A$8:$H$58,3),VLOOKUP(N127,setup!$A$8:$H$58,4),VLOOKUP(N127,setup!$A$8:$H$58,5),VLOOKUP(N127,setup!$A$8:$H$58,6),VLOOKUP(N127,setup!$A$8:$H$58,7), VLOOKUP(0,setup!$A$8:$H$58,2),VLOOKUP(0,setup!$A$8:$H$58,5),VLOOKUP(N127,setup!$A$8:$H$58,8))</f>
        <v>#VALUE!</v>
      </c>
    </row>
    <row r="128" spans="1:15" x14ac:dyDescent="0.25">
      <c r="A128" s="6" t="str">
        <f t="shared" si="3"/>
        <v>        . ' `' . self::${campo} . '`, '</v>
      </c>
      <c r="N128">
        <f t="shared" si="4"/>
        <v>36</v>
      </c>
      <c r="O128" s="7" t="e">
        <f>getCodigoBackend(N128,A128,VLOOKUP(N128,setup!$A$8:$H$58,2),VLOOKUP(N128,setup!$A$8:$H$58,3),VLOOKUP(N128,setup!$A$8:$H$58,4),VLOOKUP(N128,setup!$A$8:$H$58,5),VLOOKUP(N128,setup!$A$8:$H$58,6),VLOOKUP(N128,setup!$A$8:$H$58,7), VLOOKUP(0,setup!$A$8:$H$58,2),VLOOKUP(0,setup!$A$8:$H$58,5),VLOOKUP(N128,setup!$A$8:$H$58,8))</f>
        <v>#VALUE!</v>
      </c>
    </row>
    <row r="129" spans="1:15" x14ac:dyDescent="0.25">
      <c r="A129" s="6" t="str">
        <f t="shared" si="3"/>
        <v>        . ' `' . self::${campo} . '`, '</v>
      </c>
      <c r="N129">
        <f t="shared" si="4"/>
        <v>37</v>
      </c>
      <c r="O129" s="7" t="e">
        <f>getCodigoBackend(N129,A129,VLOOKUP(N129,setup!$A$8:$H$58,2),VLOOKUP(N129,setup!$A$8:$H$58,3),VLOOKUP(N129,setup!$A$8:$H$58,4),VLOOKUP(N129,setup!$A$8:$H$58,5),VLOOKUP(N129,setup!$A$8:$H$58,6),VLOOKUP(N129,setup!$A$8:$H$58,7), VLOOKUP(0,setup!$A$8:$H$58,2),VLOOKUP(0,setup!$A$8:$H$58,5),VLOOKUP(N129,setup!$A$8:$H$58,8))</f>
        <v>#VALUE!</v>
      </c>
    </row>
    <row r="130" spans="1:15" x14ac:dyDescent="0.25">
      <c r="A130" s="6" t="str">
        <f t="shared" si="3"/>
        <v>        . ' `' . self::${campo} . '`, '</v>
      </c>
      <c r="N130">
        <f t="shared" si="4"/>
        <v>38</v>
      </c>
      <c r="O130" s="7" t="e">
        <f>getCodigoBackend(N130,A130,VLOOKUP(N130,setup!$A$8:$H$58,2),VLOOKUP(N130,setup!$A$8:$H$58,3),VLOOKUP(N130,setup!$A$8:$H$58,4),VLOOKUP(N130,setup!$A$8:$H$58,5),VLOOKUP(N130,setup!$A$8:$H$58,6),VLOOKUP(N130,setup!$A$8:$H$58,7), VLOOKUP(0,setup!$A$8:$H$58,2),VLOOKUP(0,setup!$A$8:$H$58,5),VLOOKUP(N130,setup!$A$8:$H$58,8))</f>
        <v>#VALUE!</v>
      </c>
    </row>
    <row r="131" spans="1:15" x14ac:dyDescent="0.25">
      <c r="A131" s="6" t="str">
        <f t="shared" si="3"/>
        <v>        . ' `' . self::${campo} . '`, '</v>
      </c>
      <c r="N131">
        <f t="shared" si="4"/>
        <v>39</v>
      </c>
      <c r="O131" s="7" t="e">
        <f>getCodigoBackend(N131,A131,VLOOKUP(N131,setup!$A$8:$H$58,2),VLOOKUP(N131,setup!$A$8:$H$58,3),VLOOKUP(N131,setup!$A$8:$H$58,4),VLOOKUP(N131,setup!$A$8:$H$58,5),VLOOKUP(N131,setup!$A$8:$H$58,6),VLOOKUP(N131,setup!$A$8:$H$58,7), VLOOKUP(0,setup!$A$8:$H$58,2),VLOOKUP(0,setup!$A$8:$H$58,5),VLOOKUP(N131,setup!$A$8:$H$58,8))</f>
        <v>#VALUE!</v>
      </c>
    </row>
    <row r="132" spans="1:15" x14ac:dyDescent="0.25">
      <c r="A132" s="6" t="str">
        <f t="shared" si="3"/>
        <v>        . ' `' . self::${campo} . '`, '</v>
      </c>
      <c r="N132">
        <f t="shared" si="4"/>
        <v>40</v>
      </c>
      <c r="O132" s="7" t="e">
        <f>getCodigoBackend(N132,A132,VLOOKUP(N132,setup!$A$8:$H$58,2),VLOOKUP(N132,setup!$A$8:$H$58,3),VLOOKUP(N132,setup!$A$8:$H$58,4),VLOOKUP(N132,setup!$A$8:$H$58,5),VLOOKUP(N132,setup!$A$8:$H$58,6),VLOOKUP(N132,setup!$A$8:$H$58,7), VLOOKUP(0,setup!$A$8:$H$58,2),VLOOKUP(0,setup!$A$8:$H$58,5),VLOOKUP(N132,setup!$A$8:$H$58,8))</f>
        <v>#VALUE!</v>
      </c>
    </row>
    <row r="133" spans="1:15" x14ac:dyDescent="0.25">
      <c r="A133" s="6" t="str">
        <f t="shared" si="3"/>
        <v>        . ' `' . self::${campo} . '`, '</v>
      </c>
      <c r="N133">
        <f t="shared" si="4"/>
        <v>41</v>
      </c>
      <c r="O133" s="7" t="e">
        <f>getCodigoBackend(N133,A133,VLOOKUP(N133,setup!$A$8:$H$58,2),VLOOKUP(N133,setup!$A$8:$H$58,3),VLOOKUP(N133,setup!$A$8:$H$58,4),VLOOKUP(N133,setup!$A$8:$H$58,5),VLOOKUP(N133,setup!$A$8:$H$58,6),VLOOKUP(N133,setup!$A$8:$H$58,7), VLOOKUP(0,setup!$A$8:$H$58,2),VLOOKUP(0,setup!$A$8:$H$58,5),VLOOKUP(N133,setup!$A$8:$H$58,8))</f>
        <v>#VALUE!</v>
      </c>
    </row>
    <row r="134" spans="1:15" x14ac:dyDescent="0.25">
      <c r="A134" s="6" t="str">
        <f t="shared" si="3"/>
        <v>        . ' `' . self::${campo} . '`, '</v>
      </c>
      <c r="N134">
        <f t="shared" si="4"/>
        <v>42</v>
      </c>
      <c r="O134" s="7" t="e">
        <f>getCodigoBackend(N134,A134,VLOOKUP(N134,setup!$A$8:$H$58,2),VLOOKUP(N134,setup!$A$8:$H$58,3),VLOOKUP(N134,setup!$A$8:$H$58,4),VLOOKUP(N134,setup!$A$8:$H$58,5),VLOOKUP(N134,setup!$A$8:$H$58,6),VLOOKUP(N134,setup!$A$8:$H$58,7), VLOOKUP(0,setup!$A$8:$H$58,2),VLOOKUP(0,setup!$A$8:$H$58,5),VLOOKUP(N134,setup!$A$8:$H$58,8))</f>
        <v>#VALUE!</v>
      </c>
    </row>
    <row r="135" spans="1:15" x14ac:dyDescent="0.25">
      <c r="A135" s="6" t="str">
        <f t="shared" si="3"/>
        <v>        . ' `' . self::${campo} . '`, '</v>
      </c>
      <c r="N135">
        <f t="shared" si="4"/>
        <v>43</v>
      </c>
      <c r="O135" s="7" t="e">
        <f>getCodigoBackend(N135,A135,VLOOKUP(N135,setup!$A$8:$H$58,2),VLOOKUP(N135,setup!$A$8:$H$58,3),VLOOKUP(N135,setup!$A$8:$H$58,4),VLOOKUP(N135,setup!$A$8:$H$58,5),VLOOKUP(N135,setup!$A$8:$H$58,6),VLOOKUP(N135,setup!$A$8:$H$58,7), VLOOKUP(0,setup!$A$8:$H$58,2),VLOOKUP(0,setup!$A$8:$H$58,5),VLOOKUP(N135,setup!$A$8:$H$58,8))</f>
        <v>#VALUE!</v>
      </c>
    </row>
    <row r="136" spans="1:15" x14ac:dyDescent="0.25">
      <c r="A136" s="6" t="str">
        <f t="shared" si="3"/>
        <v>        . ' `' . self::${campo} . '`, '</v>
      </c>
      <c r="N136">
        <f t="shared" si="4"/>
        <v>44</v>
      </c>
      <c r="O136" s="7" t="e">
        <f>getCodigoBackend(N136,A136,VLOOKUP(N136,setup!$A$8:$H$58,2),VLOOKUP(N136,setup!$A$8:$H$58,3),VLOOKUP(N136,setup!$A$8:$H$58,4),VLOOKUP(N136,setup!$A$8:$H$58,5),VLOOKUP(N136,setup!$A$8:$H$58,6),VLOOKUP(N136,setup!$A$8:$H$58,7), VLOOKUP(0,setup!$A$8:$H$58,2),VLOOKUP(0,setup!$A$8:$H$58,5),VLOOKUP(N136,setup!$A$8:$H$58,8))</f>
        <v>#VALUE!</v>
      </c>
    </row>
    <row r="137" spans="1:15" x14ac:dyDescent="0.25">
      <c r="A137" s="6" t="str">
        <f t="shared" si="3"/>
        <v>        . ' `' . self::${campo} . '`, '</v>
      </c>
      <c r="N137">
        <f t="shared" si="4"/>
        <v>45</v>
      </c>
      <c r="O137" s="7" t="e">
        <f>getCodigoBackend(N137,A137,VLOOKUP(N137,setup!$A$8:$H$58,2),VLOOKUP(N137,setup!$A$8:$H$58,3),VLOOKUP(N137,setup!$A$8:$H$58,4),VLOOKUP(N137,setup!$A$8:$H$58,5),VLOOKUP(N137,setup!$A$8:$H$58,6),VLOOKUP(N137,setup!$A$8:$H$58,7), VLOOKUP(0,setup!$A$8:$H$58,2),VLOOKUP(0,setup!$A$8:$H$58,5),VLOOKUP(N137,setup!$A$8:$H$58,8))</f>
        <v>#VALUE!</v>
      </c>
    </row>
    <row r="138" spans="1:15" x14ac:dyDescent="0.25">
      <c r="A138" s="6" t="str">
        <f t="shared" si="3"/>
        <v>        . ' `' . self::${campo} . '`, '</v>
      </c>
      <c r="N138">
        <f t="shared" si="4"/>
        <v>46</v>
      </c>
      <c r="O138" s="7" t="e">
        <f>getCodigoBackend(N138,A138,VLOOKUP(N138,setup!$A$8:$H$58,2),VLOOKUP(N138,setup!$A$8:$H$58,3),VLOOKUP(N138,setup!$A$8:$H$58,4),VLOOKUP(N138,setup!$A$8:$H$58,5),VLOOKUP(N138,setup!$A$8:$H$58,6),VLOOKUP(N138,setup!$A$8:$H$58,7), VLOOKUP(0,setup!$A$8:$H$58,2),VLOOKUP(0,setup!$A$8:$H$58,5),VLOOKUP(N138,setup!$A$8:$H$58,8))</f>
        <v>#VALUE!</v>
      </c>
    </row>
    <row r="139" spans="1:15" x14ac:dyDescent="0.25">
      <c r="A139" s="6" t="str">
        <f t="shared" si="3"/>
        <v>        . ' `' . self::${campo} . '`, '</v>
      </c>
      <c r="N139">
        <f t="shared" si="4"/>
        <v>47</v>
      </c>
      <c r="O139" s="7" t="e">
        <f>getCodigoBackend(N139,A139,VLOOKUP(N139,setup!$A$8:$H$58,2),VLOOKUP(N139,setup!$A$8:$H$58,3),VLOOKUP(N139,setup!$A$8:$H$58,4),VLOOKUP(N139,setup!$A$8:$H$58,5),VLOOKUP(N139,setup!$A$8:$H$58,6),VLOOKUP(N139,setup!$A$8:$H$58,7), VLOOKUP(0,setup!$A$8:$H$58,2),VLOOKUP(0,setup!$A$8:$H$58,5),VLOOKUP(N139,setup!$A$8:$H$58,8))</f>
        <v>#VALUE!</v>
      </c>
    </row>
    <row r="140" spans="1:15" x14ac:dyDescent="0.25">
      <c r="A140" s="6" t="s">
        <v>107</v>
      </c>
      <c r="O140" s="7" t="str">
        <f ca="1">getCodigoBackend(N140,A140,VLOOKUP(N140,setup!$A$8:$H$58,2),VLOOKUP(N140,setup!$A$8:$H$58,3),VLOOKUP(N140,setup!$A$8:$H$58,4),VLOOKUP(N140,setup!$A$8:$H$58,5),VLOOKUP(N140,setup!$A$8:$H$58,6),VLOOKUP(N140,setup!$A$8:$H$58,7), VLOOKUP(0,setup!$A$8:$H$58,2),VLOOKUP(0,setup!$A$8:$H$58,5),VLOOKUP(N140,setup!$A$8:$H$58,8))</f>
        <v>        . ') VALUES (?,?,?,?,?,?,?,?,?,?,?)';</v>
      </c>
    </row>
    <row r="141" spans="1:15" x14ac:dyDescent="0.25">
      <c r="O141" s="7" t="str">
        <f ca="1">getCodigoBackend(N141,A141,VLOOKUP(N141,setup!$A$8:$H$58,2),VLOOKUP(N141,setup!$A$8:$H$58,3),VLOOKUP(N141,setup!$A$8:$H$58,4),VLOOKUP(N141,setup!$A$8:$H$58,5),VLOOKUP(N141,setup!$A$8:$H$58,6),VLOOKUP(N141,setup!$A$8:$H$58,7), VLOOKUP(0,setup!$A$8:$H$58,2),VLOOKUP(0,setup!$A$8:$H$58,5),VLOOKUP(N141,setup!$A$8:$H$58,8))</f>
        <v/>
      </c>
    </row>
    <row r="142" spans="1:15" x14ac:dyDescent="0.25">
      <c r="A142" t="s">
        <v>108</v>
      </c>
      <c r="O142" s="7" t="str">
        <f ca="1">getCodigoBackend(N142,A142,VLOOKUP(N142,setup!$A$8:$H$58,2),VLOOKUP(N142,setup!$A$8:$H$58,3),VLOOKUP(N142,setup!$A$8:$H$58,4),VLOOKUP(N142,setup!$A$8:$H$58,5),VLOOKUP(N142,setup!$A$8:$H$58,6),VLOOKUP(N142,setup!$A$8:$H$58,7), VLOOKUP(0,setup!$A$8:$H$58,2),VLOOKUP(0,setup!$A$8:$H$58,5),VLOOKUP(N142,setup!$A$8:$H$58,8))</f>
        <v>    const DEL_PK = 'DELETE from `' . self::TABELA . '` ' .</v>
      </c>
    </row>
    <row r="143" spans="1:15" x14ac:dyDescent="0.25">
      <c r="A143" s="6" t="str">
        <f>CONCATENATE("    'WHERE ' . ' `' . self::${campo} . '` = ? ' ;")</f>
        <v>    'WHERE ' . ' `' . self::${campo} . '` = ? ' ;</v>
      </c>
      <c r="N143">
        <v>0</v>
      </c>
      <c r="O143" s="7" t="str">
        <f ca="1">getCodigoBackend(N143,A143,VLOOKUP(N143,setup!$A$8:$H$58,2),VLOOKUP(N143,setup!$A$8:$H$58,3),VLOOKUP(N143,setup!$A$8:$H$58,4),VLOOKUP(N143,setup!$A$8:$H$58,5),VLOOKUP(N143,setup!$A$8:$H$58,6),VLOOKUP(N143,setup!$A$8:$H$58,7), VLOOKUP(0,setup!$A$8:$H$58,2),VLOOKUP(0,setup!$A$8:$H$58,5),VLOOKUP(N143,setup!$A$8:$H$58,8))</f>
        <v>    'WHERE ' . ' `' . self::CCRP_ID . '` = ? ' ;</v>
      </c>
    </row>
    <row r="144" spans="1:15" x14ac:dyDescent="0.25">
      <c r="O144" s="7" t="str">
        <f ca="1">getCodigoBackend(N144,A144,VLOOKUP(N144,setup!$A$8:$H$58,2),VLOOKUP(N144,setup!$A$8:$H$58,3),VLOOKUP(N144,setup!$A$8:$H$58,4),VLOOKUP(N144,setup!$A$8:$H$58,5),VLOOKUP(N144,setup!$A$8:$H$58,6),VLOOKUP(N144,setup!$A$8:$H$58,7), VLOOKUP(0,setup!$A$8:$H$58,2),VLOOKUP(0,setup!$A$8:$H$58,5),VLOOKUP(N144,setup!$A$8:$H$58,8))</f>
        <v/>
      </c>
    </row>
    <row r="145" spans="1:15" x14ac:dyDescent="0.25">
      <c r="A145" t="s">
        <v>109</v>
      </c>
      <c r="O145" s="7" t="str">
        <f ca="1">getCodigoBackend(N145,A145,VLOOKUP(N145,setup!$A$8:$H$58,2),VLOOKUP(N145,setup!$A$8:$H$58,3),VLOOKUP(N145,setup!$A$8:$H$58,4),VLOOKUP(N145,setup!$A$8:$H$58,5),VLOOKUP(N145,setup!$A$8:$H$58,6),VLOOKUP(N145,setup!$A$8:$H$58,7), VLOOKUP(0,setup!$A$8:$H$58,2),VLOOKUP(0,setup!$A$8:$H$58,5),VLOOKUP(N145,setup!$A$8:$H$58,8))</f>
        <v>    const UPD_PK = 'UPDATE `' . self::TABELA . '` set '</v>
      </c>
    </row>
    <row r="146" spans="1:15" x14ac:dyDescent="0.25">
      <c r="A146" s="6"/>
      <c r="O146" s="7" t="str">
        <f ca="1">getCodigoBackend(N146,A146,VLOOKUP(N146,setup!$A$8:$H$58,2),VLOOKUP(N146,setup!$A$8:$H$58,3),VLOOKUP(N146,setup!$A$8:$H$58,4),VLOOKUP(N146,setup!$A$8:$H$58,5),VLOOKUP(N146,setup!$A$8:$H$58,6),VLOOKUP(N146,setup!$A$8:$H$58,7), VLOOKUP(0,setup!$A$8:$H$58,2),VLOOKUP(0,setup!$A$8:$H$58,5),VLOOKUP(N146,setup!$A$8:$H$58,8))</f>
        <v/>
      </c>
    </row>
    <row r="147" spans="1:15" x14ac:dyDescent="0.25">
      <c r="A147" s="6" t="str">
        <f>CONCATENATE("    . ' `' . self::${campo} . '` = ?, '")</f>
        <v>    . ' `' . self::${campo} . '` = ?, '</v>
      </c>
      <c r="N147">
        <f>N146+1</f>
        <v>1</v>
      </c>
      <c r="O147" s="7" t="str">
        <f ca="1">getCodigoBackend(N147,A147,VLOOKUP(N147,setup!$A$8:$H$58,2),VLOOKUP(N147,setup!$A$8:$H$58,3),VLOOKUP(N147,setup!$A$8:$H$58,4),VLOOKUP(N147,setup!$A$8:$H$58,5),VLOOKUP(N147,setup!$A$8:$H$58,6),VLOOKUP(N147,setup!$A$8:$H$58,7), VLOOKUP(0,setup!$A$8:$H$58,2),VLOOKUP(0,setup!$A$8:$H$58,5),VLOOKUP(N147,setup!$A$8:$H$58,8))</f>
        <v>    . ' `' . self::CACA_ID . '` = ?, '</v>
      </c>
    </row>
    <row r="148" spans="1:15" x14ac:dyDescent="0.25">
      <c r="A148" s="6" t="str">
        <f t="shared" ref="A148:A192" si="5">CONCATENATE("    . ' `' . self::${campo} . '` = ?, '")</f>
        <v>    . ' `' . self::${campo} . '` = ?, '</v>
      </c>
      <c r="N148">
        <f t="shared" ref="N148:N196" si="6">N147+1</f>
        <v>2</v>
      </c>
      <c r="O148" s="7" t="str">
        <f ca="1">getCodigoBackend(N148,A148,VLOOKUP(N148,setup!$A$8:$H$58,2),VLOOKUP(N148,setup!$A$8:$H$58,3),VLOOKUP(N148,setup!$A$8:$H$58,4),VLOOKUP(N148,setup!$A$8:$H$58,5),VLOOKUP(N148,setup!$A$8:$H$58,6),VLOOKUP(N148,setup!$A$8:$H$58,7), VLOOKUP(0,setup!$A$8:$H$58,2),VLOOKUP(0,setup!$A$8:$H$58,5),VLOOKUP(N148,setup!$A$8:$H$58,8))</f>
        <v>    . ' `' . self::USUA_ID . '` = ?, '</v>
      </c>
    </row>
    <row r="149" spans="1:15" x14ac:dyDescent="0.25">
      <c r="A149" s="6" t="str">
        <f t="shared" si="5"/>
        <v>    . ' `' . self::${campo} . '` = ?, '</v>
      </c>
      <c r="N149">
        <f t="shared" si="6"/>
        <v>3</v>
      </c>
      <c r="O149" s="7" t="str">
        <f ca="1">getCodigoBackend(N149,A149,VLOOKUP(N149,setup!$A$8:$H$58,2),VLOOKUP(N149,setup!$A$8:$H$58,3),VLOOKUP(N149,setup!$A$8:$H$58,4),VLOOKUP(N149,setup!$A$8:$H$58,5),VLOOKUP(N149,setup!$A$8:$H$58,6),VLOOKUP(N149,setup!$A$8:$H$58,7), VLOOKUP(0,setup!$A$8:$H$58,2),VLOOKUP(0,setup!$A$8:$H$58,5),VLOOKUP(N149,setup!$A$8:$H$58,8))</f>
        <v>    . ' `' . self::CCRP_IN_TIPO_CHAVE_PIX . '` = ?, '</v>
      </c>
    </row>
    <row r="150" spans="1:15" x14ac:dyDescent="0.25">
      <c r="A150" s="6" t="str">
        <f t="shared" si="5"/>
        <v>    . ' `' . self::${campo} . '` = ?, '</v>
      </c>
      <c r="N150">
        <f t="shared" si="6"/>
        <v>4</v>
      </c>
      <c r="O150" s="7" t="str">
        <f ca="1">getCodigoBackend(N150,A150,VLOOKUP(N150,setup!$A$8:$H$58,2),VLOOKUP(N150,setup!$A$8:$H$58,3),VLOOKUP(N150,setup!$A$8:$H$58,4),VLOOKUP(N150,setup!$A$8:$H$58,5),VLOOKUP(N150,setup!$A$8:$H$58,6),VLOOKUP(N150,setup!$A$8:$H$58,7), VLOOKUP(0,setup!$A$8:$H$58,2),VLOOKUP(0,setup!$A$8:$H$58,5),VLOOKUP(N150,setup!$A$8:$H$58,8))</f>
        <v>    . ' `' . self::CCRP_TX_CHAVE_PIX . '` = ?, '</v>
      </c>
    </row>
    <row r="151" spans="1:15" x14ac:dyDescent="0.25">
      <c r="A151" s="6" t="str">
        <f t="shared" si="5"/>
        <v>    . ' `' . self::${campo} . '` = ?, '</v>
      </c>
      <c r="N151">
        <f t="shared" si="6"/>
        <v>5</v>
      </c>
      <c r="O151" s="7" t="str">
        <f ca="1">getCodigoBackend(N151,A151,VLOOKUP(N151,setup!$A$8:$H$58,2),VLOOKUP(N151,setup!$A$8:$H$58,3),VLOOKUP(N151,setup!$A$8:$H$58,4),VLOOKUP(N151,setup!$A$8:$H$58,5),VLOOKUP(N151,setup!$A$8:$H$58,6),VLOOKUP(N151,setup!$A$8:$H$58,7), VLOOKUP(0,setup!$A$8:$H$58,2),VLOOKUP(0,setup!$A$8:$H$58,5),VLOOKUP(N151,setup!$A$8:$H$58,8))</f>
        <v>    . ' `' . self::CCRP_VL_RESGATE . '` = ?, '</v>
      </c>
    </row>
    <row r="152" spans="1:15" x14ac:dyDescent="0.25">
      <c r="A152" s="6" t="str">
        <f t="shared" si="5"/>
        <v>    . ' `' . self::${campo} . '` = ?, '</v>
      </c>
      <c r="N152">
        <f t="shared" si="6"/>
        <v>6</v>
      </c>
      <c r="O152" s="7" t="str">
        <f ca="1">getCodigoBackend(N152,A152,VLOOKUP(N152,setup!$A$8:$H$58,2),VLOOKUP(N152,setup!$A$8:$H$58,3),VLOOKUP(N152,setup!$A$8:$H$58,4),VLOOKUP(N152,setup!$A$8:$H$58,5),VLOOKUP(N152,setup!$A$8:$H$58,6),VLOOKUP(N152,setup!$A$8:$H$58,7), VLOOKUP(0,setup!$A$8:$H$58,2),VLOOKUP(0,setup!$A$8:$H$58,5),VLOOKUP(N152,setup!$A$8:$H$58,8))</f>
        <v>    . ' `' . self::CCRP_TX_AUTENT_BCO . '` = ?, '</v>
      </c>
    </row>
    <row r="153" spans="1:15" x14ac:dyDescent="0.25">
      <c r="A153" s="6" t="str">
        <f t="shared" si="5"/>
        <v>    . ' `' . self::${campo} . '` = ?, '</v>
      </c>
      <c r="N153">
        <f t="shared" si="6"/>
        <v>7</v>
      </c>
      <c r="O153" s="7" t="str">
        <f ca="1">getCodigoBackend(N153,A153,VLOOKUP(N153,setup!$A$8:$H$58,2),VLOOKUP(N153,setup!$A$8:$H$58,3),VLOOKUP(N153,setup!$A$8:$H$58,4),VLOOKUP(N153,setup!$A$8:$H$58,5),VLOOKUP(N153,setup!$A$8:$H$58,6),VLOOKUP(N153,setup!$A$8:$H$58,7), VLOOKUP(0,setup!$A$8:$H$58,2),VLOOKUP(0,setup!$A$8:$H$58,5),VLOOKUP(N153,setup!$A$8:$H$58,8))</f>
        <v>    . ' `' . self::CCRP_IN_ESTAGIO_RT . '` = ?, '</v>
      </c>
    </row>
    <row r="154" spans="1:15" x14ac:dyDescent="0.25">
      <c r="A154" s="6" t="str">
        <f t="shared" si="5"/>
        <v>    . ' `' . self::${campo} . '` = ?, '</v>
      </c>
      <c r="N154">
        <f t="shared" si="6"/>
        <v>8</v>
      </c>
      <c r="O154" s="7" t="str">
        <f ca="1">getCodigoBackend(N154,A154,VLOOKUP(N154,setup!$A$8:$H$58,2),VLOOKUP(N154,setup!$A$8:$H$58,3),VLOOKUP(N154,setup!$A$8:$H$58,4),VLOOKUP(N154,setup!$A$8:$H$58,5),VLOOKUP(N154,setup!$A$8:$H$58,6),VLOOKUP(N154,setup!$A$8:$H$58,7), VLOOKUP(0,setup!$A$8:$H$58,2),VLOOKUP(0,setup!$A$8:$H$58,5),VLOOKUP(N154,setup!$A$8:$H$58,8))</f>
        <v>    . ' `' . self::CCRP_DT_ESTAGIO_ANALISE . '` = ?, '</v>
      </c>
    </row>
    <row r="155" spans="1:15" x14ac:dyDescent="0.25">
      <c r="A155" s="6" t="str">
        <f t="shared" si="5"/>
        <v>    . ' `' . self::${campo} . '` = ?, '</v>
      </c>
      <c r="N155">
        <f t="shared" si="6"/>
        <v>9</v>
      </c>
      <c r="O155" s="7" t="str">
        <f ca="1">getCodigoBackend(N155,A155,VLOOKUP(N155,setup!$A$8:$H$58,2),VLOOKUP(N155,setup!$A$8:$H$58,3),VLOOKUP(N155,setup!$A$8:$H$58,4),VLOOKUP(N155,setup!$A$8:$H$58,5),VLOOKUP(N155,setup!$A$8:$H$58,6),VLOOKUP(N155,setup!$A$8:$H$58,7), VLOOKUP(0,setup!$A$8:$H$58,2),VLOOKUP(0,setup!$A$8:$H$58,5),VLOOKUP(N155,setup!$A$8:$H$58,8))</f>
        <v>    . ' `' . self::CCRP_DT_ESTAGIO_FINANCEIRO . '` = ?, '</v>
      </c>
    </row>
    <row r="156" spans="1:15" x14ac:dyDescent="0.25">
      <c r="A156" s="6" t="str">
        <f t="shared" si="5"/>
        <v>    . ' `' . self::${campo} . '` = ?, '</v>
      </c>
      <c r="N156">
        <f t="shared" si="6"/>
        <v>10</v>
      </c>
      <c r="O156" s="7" t="str">
        <f ca="1">getCodigoBackend(N156,A156,VLOOKUP(N156,setup!$A$8:$H$58,2),VLOOKUP(N156,setup!$A$8:$H$58,3),VLOOKUP(N156,setup!$A$8:$H$58,4),VLOOKUP(N156,setup!$A$8:$H$58,5),VLOOKUP(N156,setup!$A$8:$H$58,6),VLOOKUP(N156,setup!$A$8:$H$58,7), VLOOKUP(0,setup!$A$8:$H$58,2),VLOOKUP(0,setup!$A$8:$H$58,5),VLOOKUP(N156,setup!$A$8:$H$58,8))</f>
        <v>    . ' `' . self::CCRP_DT_ESTAGIO_ERRO . '` = ?, '</v>
      </c>
    </row>
    <row r="157" spans="1:15" x14ac:dyDescent="0.25">
      <c r="A157" s="6" t="str">
        <f t="shared" si="5"/>
        <v>    . ' `' . self::${campo} . '` = ?, '</v>
      </c>
      <c r="N157">
        <f t="shared" si="6"/>
        <v>11</v>
      </c>
      <c r="O157" s="7" t="str">
        <f ca="1">getCodigoBackend(N157,A157,VLOOKUP(N157,setup!$A$8:$H$58,2),VLOOKUP(N157,setup!$A$8:$H$58,3),VLOOKUP(N157,setup!$A$8:$H$58,4),VLOOKUP(N157,setup!$A$8:$H$58,5),VLOOKUP(N157,setup!$A$8:$H$58,6),VLOOKUP(N157,setup!$A$8:$H$58,7), VLOOKUP(0,setup!$A$8:$H$58,2),VLOOKUP(0,setup!$A$8:$H$58,5),VLOOKUP(N157,setup!$A$8:$H$58,8))</f>
        <v>    . ' `' . self::CCRP_DT_ESTAGIO_TRANSF_BCO . '` = ?, '</v>
      </c>
    </row>
    <row r="158" spans="1:15" x14ac:dyDescent="0.25">
      <c r="A158" s="6" t="str">
        <f t="shared" si="5"/>
        <v>    . ' `' . self::${campo} . '` = ?, '</v>
      </c>
      <c r="N158">
        <f t="shared" si="6"/>
        <v>12</v>
      </c>
      <c r="O158" s="7" t="str">
        <f ca="1">getCodigoBackend(N158,A158,VLOOKUP(N158,setup!$A$8:$H$58,2),VLOOKUP(N158,setup!$A$8:$H$58,3),VLOOKUP(N158,setup!$A$8:$H$58,4),VLOOKUP(N158,setup!$A$8:$H$58,5),VLOOKUP(N158,setup!$A$8:$H$58,6),VLOOKUP(N158,setup!$A$8:$H$58,7), VLOOKUP(0,setup!$A$8:$H$58,2),VLOOKUP(0,setup!$A$8:$H$58,5),VLOOKUP(N158,setup!$A$8:$H$58,8))</f>
        <v>    . ' `' . self::CCRP_TX_LIVRE_ESTAGIO_RT . '` = ?, '</v>
      </c>
    </row>
    <row r="159" spans="1:15" x14ac:dyDescent="0.25">
      <c r="A159" s="6" t="str">
        <f t="shared" si="5"/>
        <v>    . ' `' . self::${campo} . '` = ?, '</v>
      </c>
      <c r="N159">
        <f t="shared" si="6"/>
        <v>13</v>
      </c>
      <c r="O159" s="7" t="e">
        <f>getCodigoBackend(N159,A159,VLOOKUP(N159,setup!$A$8:$H$58,2),VLOOKUP(N159,setup!$A$8:$H$58,3),VLOOKUP(N159,setup!$A$8:$H$58,4),VLOOKUP(N159,setup!$A$8:$H$58,5),VLOOKUP(N159,setup!$A$8:$H$58,6),VLOOKUP(N159,setup!$A$8:$H$58,7), VLOOKUP(0,setup!$A$8:$H$58,2),VLOOKUP(0,setup!$A$8:$H$58,5),VLOOKUP(N159,setup!$A$8:$H$58,8))</f>
        <v>#VALUE!</v>
      </c>
    </row>
    <row r="160" spans="1:15" x14ac:dyDescent="0.25">
      <c r="A160" s="6" t="str">
        <f t="shared" si="5"/>
        <v>    . ' `' . self::${campo} . '` = ?, '</v>
      </c>
      <c r="N160">
        <f t="shared" si="6"/>
        <v>14</v>
      </c>
      <c r="O160" s="7" t="e">
        <f>getCodigoBackend(N160,A160,VLOOKUP(N160,setup!$A$8:$H$58,2),VLOOKUP(N160,setup!$A$8:$H$58,3),VLOOKUP(N160,setup!$A$8:$H$58,4),VLOOKUP(N160,setup!$A$8:$H$58,5),VLOOKUP(N160,setup!$A$8:$H$58,6),VLOOKUP(N160,setup!$A$8:$H$58,7), VLOOKUP(0,setup!$A$8:$H$58,2),VLOOKUP(0,setup!$A$8:$H$58,5),VLOOKUP(N160,setup!$A$8:$H$58,8))</f>
        <v>#VALUE!</v>
      </c>
    </row>
    <row r="161" spans="1:15" x14ac:dyDescent="0.25">
      <c r="A161" s="6" t="str">
        <f t="shared" si="5"/>
        <v>    . ' `' . self::${campo} . '` = ?, '</v>
      </c>
      <c r="N161">
        <f t="shared" si="6"/>
        <v>15</v>
      </c>
      <c r="O161" s="7" t="e">
        <f>getCodigoBackend(N161,A161,VLOOKUP(N161,setup!$A$8:$H$58,2),VLOOKUP(N161,setup!$A$8:$H$58,3),VLOOKUP(N161,setup!$A$8:$H$58,4),VLOOKUP(N161,setup!$A$8:$H$58,5),VLOOKUP(N161,setup!$A$8:$H$58,6),VLOOKUP(N161,setup!$A$8:$H$58,7), VLOOKUP(0,setup!$A$8:$H$58,2),VLOOKUP(0,setup!$A$8:$H$58,5),VLOOKUP(N161,setup!$A$8:$H$58,8))</f>
        <v>#VALUE!</v>
      </c>
    </row>
    <row r="162" spans="1:15" x14ac:dyDescent="0.25">
      <c r="A162" s="6" t="str">
        <f t="shared" si="5"/>
        <v>    . ' `' . self::${campo} . '` = ?, '</v>
      </c>
      <c r="N162">
        <f t="shared" si="6"/>
        <v>16</v>
      </c>
      <c r="O162" s="7" t="e">
        <f>getCodigoBackend(N162,A162,VLOOKUP(N162,setup!$A$8:$H$58,2),VLOOKUP(N162,setup!$A$8:$H$58,3),VLOOKUP(N162,setup!$A$8:$H$58,4),VLOOKUP(N162,setup!$A$8:$H$58,5),VLOOKUP(N162,setup!$A$8:$H$58,6),VLOOKUP(N162,setup!$A$8:$H$58,7), VLOOKUP(0,setup!$A$8:$H$58,2),VLOOKUP(0,setup!$A$8:$H$58,5),VLOOKUP(N162,setup!$A$8:$H$58,8))</f>
        <v>#VALUE!</v>
      </c>
    </row>
    <row r="163" spans="1:15" x14ac:dyDescent="0.25">
      <c r="A163" s="6" t="str">
        <f t="shared" si="5"/>
        <v>    . ' `' . self::${campo} . '` = ?, '</v>
      </c>
      <c r="N163">
        <f t="shared" si="6"/>
        <v>17</v>
      </c>
      <c r="O163" s="7" t="e">
        <f>getCodigoBackend(N163,A163,VLOOKUP(N163,setup!$A$8:$H$58,2),VLOOKUP(N163,setup!$A$8:$H$58,3),VLOOKUP(N163,setup!$A$8:$H$58,4),VLOOKUP(N163,setup!$A$8:$H$58,5),VLOOKUP(N163,setup!$A$8:$H$58,6),VLOOKUP(N163,setup!$A$8:$H$58,7), VLOOKUP(0,setup!$A$8:$H$58,2),VLOOKUP(0,setup!$A$8:$H$58,5),VLOOKUP(N163,setup!$A$8:$H$58,8))</f>
        <v>#VALUE!</v>
      </c>
    </row>
    <row r="164" spans="1:15" x14ac:dyDescent="0.25">
      <c r="A164" s="6" t="str">
        <f t="shared" si="5"/>
        <v>    . ' `' . self::${campo} . '` = ?, '</v>
      </c>
      <c r="N164">
        <f t="shared" si="6"/>
        <v>18</v>
      </c>
      <c r="O164" s="7" t="e">
        <f>getCodigoBackend(N164,A164,VLOOKUP(N164,setup!$A$8:$H$58,2),VLOOKUP(N164,setup!$A$8:$H$58,3),VLOOKUP(N164,setup!$A$8:$H$58,4),VLOOKUP(N164,setup!$A$8:$H$58,5),VLOOKUP(N164,setup!$A$8:$H$58,6),VLOOKUP(N164,setup!$A$8:$H$58,7), VLOOKUP(0,setup!$A$8:$H$58,2),VLOOKUP(0,setup!$A$8:$H$58,5),VLOOKUP(N164,setup!$A$8:$H$58,8))</f>
        <v>#VALUE!</v>
      </c>
    </row>
    <row r="165" spans="1:15" x14ac:dyDescent="0.25">
      <c r="A165" s="6" t="str">
        <f t="shared" si="5"/>
        <v>    . ' `' . self::${campo} . '` = ?, '</v>
      </c>
      <c r="N165">
        <f t="shared" si="6"/>
        <v>19</v>
      </c>
      <c r="O165" s="7" t="e">
        <f>getCodigoBackend(N165,A165,VLOOKUP(N165,setup!$A$8:$H$58,2),VLOOKUP(N165,setup!$A$8:$H$58,3),VLOOKUP(N165,setup!$A$8:$H$58,4),VLOOKUP(N165,setup!$A$8:$H$58,5),VLOOKUP(N165,setup!$A$8:$H$58,6),VLOOKUP(N165,setup!$A$8:$H$58,7), VLOOKUP(0,setup!$A$8:$H$58,2),VLOOKUP(0,setup!$A$8:$H$58,5),VLOOKUP(N165,setup!$A$8:$H$58,8))</f>
        <v>#VALUE!</v>
      </c>
    </row>
    <row r="166" spans="1:15" x14ac:dyDescent="0.25">
      <c r="A166" s="6" t="str">
        <f t="shared" si="5"/>
        <v>    . ' `' . self::${campo} . '` = ?, '</v>
      </c>
      <c r="N166">
        <f t="shared" si="6"/>
        <v>20</v>
      </c>
      <c r="O166" s="7" t="e">
        <f>getCodigoBackend(N166,A166,VLOOKUP(N166,setup!$A$8:$H$58,2),VLOOKUP(N166,setup!$A$8:$H$58,3),VLOOKUP(N166,setup!$A$8:$H$58,4),VLOOKUP(N166,setup!$A$8:$H$58,5),VLOOKUP(N166,setup!$A$8:$H$58,6),VLOOKUP(N166,setup!$A$8:$H$58,7), VLOOKUP(0,setup!$A$8:$H$58,2),VLOOKUP(0,setup!$A$8:$H$58,5),VLOOKUP(N166,setup!$A$8:$H$58,8))</f>
        <v>#VALUE!</v>
      </c>
    </row>
    <row r="167" spans="1:15" x14ac:dyDescent="0.25">
      <c r="A167" s="6" t="str">
        <f t="shared" si="5"/>
        <v>    . ' `' . self::${campo} . '` = ?, '</v>
      </c>
      <c r="N167">
        <f t="shared" si="6"/>
        <v>21</v>
      </c>
      <c r="O167" s="7" t="e">
        <f>getCodigoBackend(N167,A167,VLOOKUP(N167,setup!$A$8:$H$58,2),VLOOKUP(N167,setup!$A$8:$H$58,3),VLOOKUP(N167,setup!$A$8:$H$58,4),VLOOKUP(N167,setup!$A$8:$H$58,5),VLOOKUP(N167,setup!$A$8:$H$58,6),VLOOKUP(N167,setup!$A$8:$H$58,7), VLOOKUP(0,setup!$A$8:$H$58,2),VLOOKUP(0,setup!$A$8:$H$58,5),VLOOKUP(N167,setup!$A$8:$H$58,8))</f>
        <v>#VALUE!</v>
      </c>
    </row>
    <row r="168" spans="1:15" x14ac:dyDescent="0.25">
      <c r="A168" s="6" t="str">
        <f t="shared" si="5"/>
        <v>    . ' `' . self::${campo} . '` = ?, '</v>
      </c>
      <c r="N168">
        <f t="shared" si="6"/>
        <v>22</v>
      </c>
      <c r="O168" s="7" t="e">
        <f>getCodigoBackend(N168,A168,VLOOKUP(N168,setup!$A$8:$H$58,2),VLOOKUP(N168,setup!$A$8:$H$58,3),VLOOKUP(N168,setup!$A$8:$H$58,4),VLOOKUP(N168,setup!$A$8:$H$58,5),VLOOKUP(N168,setup!$A$8:$H$58,6),VLOOKUP(N168,setup!$A$8:$H$58,7), VLOOKUP(0,setup!$A$8:$H$58,2),VLOOKUP(0,setup!$A$8:$H$58,5),VLOOKUP(N168,setup!$A$8:$H$58,8))</f>
        <v>#VALUE!</v>
      </c>
    </row>
    <row r="169" spans="1:15" x14ac:dyDescent="0.25">
      <c r="A169" s="6" t="str">
        <f t="shared" si="5"/>
        <v>    . ' `' . self::${campo} . '` = ?, '</v>
      </c>
      <c r="N169">
        <f t="shared" si="6"/>
        <v>23</v>
      </c>
      <c r="O169" s="7" t="e">
        <f>getCodigoBackend(N169,A169,VLOOKUP(N169,setup!$A$8:$H$58,2),VLOOKUP(N169,setup!$A$8:$H$58,3),VLOOKUP(N169,setup!$A$8:$H$58,4),VLOOKUP(N169,setup!$A$8:$H$58,5),VLOOKUP(N169,setup!$A$8:$H$58,6),VLOOKUP(N169,setup!$A$8:$H$58,7), VLOOKUP(0,setup!$A$8:$H$58,2),VLOOKUP(0,setup!$A$8:$H$58,5),VLOOKUP(N169,setup!$A$8:$H$58,8))</f>
        <v>#VALUE!</v>
      </c>
    </row>
    <row r="170" spans="1:15" x14ac:dyDescent="0.25">
      <c r="A170" s="6" t="str">
        <f t="shared" si="5"/>
        <v>    . ' `' . self::${campo} . '` = ?, '</v>
      </c>
      <c r="N170">
        <f t="shared" si="6"/>
        <v>24</v>
      </c>
      <c r="O170" s="7" t="e">
        <f>getCodigoBackend(N170,A170,VLOOKUP(N170,setup!$A$8:$H$58,2),VLOOKUP(N170,setup!$A$8:$H$58,3),VLOOKUP(N170,setup!$A$8:$H$58,4),VLOOKUP(N170,setup!$A$8:$H$58,5),VLOOKUP(N170,setup!$A$8:$H$58,6),VLOOKUP(N170,setup!$A$8:$H$58,7), VLOOKUP(0,setup!$A$8:$H$58,2),VLOOKUP(0,setup!$A$8:$H$58,5),VLOOKUP(N170,setup!$A$8:$H$58,8))</f>
        <v>#VALUE!</v>
      </c>
    </row>
    <row r="171" spans="1:15" x14ac:dyDescent="0.25">
      <c r="A171" s="6" t="str">
        <f t="shared" si="5"/>
        <v>    . ' `' . self::${campo} . '` = ?, '</v>
      </c>
      <c r="N171">
        <f t="shared" si="6"/>
        <v>25</v>
      </c>
      <c r="O171" s="7" t="e">
        <f>getCodigoBackend(N171,A171,VLOOKUP(N171,setup!$A$8:$H$58,2),VLOOKUP(N171,setup!$A$8:$H$58,3),VLOOKUP(N171,setup!$A$8:$H$58,4),VLOOKUP(N171,setup!$A$8:$H$58,5),VLOOKUP(N171,setup!$A$8:$H$58,6),VLOOKUP(N171,setup!$A$8:$H$58,7), VLOOKUP(0,setup!$A$8:$H$58,2),VLOOKUP(0,setup!$A$8:$H$58,5),VLOOKUP(N171,setup!$A$8:$H$58,8))</f>
        <v>#VALUE!</v>
      </c>
    </row>
    <row r="172" spans="1:15" x14ac:dyDescent="0.25">
      <c r="A172" s="6" t="str">
        <f t="shared" si="5"/>
        <v>    . ' `' . self::${campo} . '` = ?, '</v>
      </c>
      <c r="N172">
        <f t="shared" si="6"/>
        <v>26</v>
      </c>
      <c r="O172" s="7" t="e">
        <f>getCodigoBackend(N172,A172,VLOOKUP(N172,setup!$A$8:$H$58,2),VLOOKUP(N172,setup!$A$8:$H$58,3),VLOOKUP(N172,setup!$A$8:$H$58,4),VLOOKUP(N172,setup!$A$8:$H$58,5),VLOOKUP(N172,setup!$A$8:$H$58,6),VLOOKUP(N172,setup!$A$8:$H$58,7), VLOOKUP(0,setup!$A$8:$H$58,2),VLOOKUP(0,setup!$A$8:$H$58,5),VLOOKUP(N172,setup!$A$8:$H$58,8))</f>
        <v>#VALUE!</v>
      </c>
    </row>
    <row r="173" spans="1:15" x14ac:dyDescent="0.25">
      <c r="A173" s="6" t="str">
        <f t="shared" si="5"/>
        <v>    . ' `' . self::${campo} . '` = ?, '</v>
      </c>
      <c r="N173">
        <f t="shared" si="6"/>
        <v>27</v>
      </c>
      <c r="O173" s="7" t="e">
        <f>getCodigoBackend(N173,A173,VLOOKUP(N173,setup!$A$8:$H$58,2),VLOOKUP(N173,setup!$A$8:$H$58,3),VLOOKUP(N173,setup!$A$8:$H$58,4),VLOOKUP(N173,setup!$A$8:$H$58,5),VLOOKUP(N173,setup!$A$8:$H$58,6),VLOOKUP(N173,setup!$A$8:$H$58,7), VLOOKUP(0,setup!$A$8:$H$58,2),VLOOKUP(0,setup!$A$8:$H$58,5),VLOOKUP(N173,setup!$A$8:$H$58,8))</f>
        <v>#VALUE!</v>
      </c>
    </row>
    <row r="174" spans="1:15" x14ac:dyDescent="0.25">
      <c r="A174" s="6" t="str">
        <f t="shared" si="5"/>
        <v>    . ' `' . self::${campo} . '` = ?, '</v>
      </c>
      <c r="N174">
        <f t="shared" si="6"/>
        <v>28</v>
      </c>
      <c r="O174" s="7" t="e">
        <f>getCodigoBackend(N174,A174,VLOOKUP(N174,setup!$A$8:$H$58,2),VLOOKUP(N174,setup!$A$8:$H$58,3),VLOOKUP(N174,setup!$A$8:$H$58,4),VLOOKUP(N174,setup!$A$8:$H$58,5),VLOOKUP(N174,setup!$A$8:$H$58,6),VLOOKUP(N174,setup!$A$8:$H$58,7), VLOOKUP(0,setup!$A$8:$H$58,2),VLOOKUP(0,setup!$A$8:$H$58,5),VLOOKUP(N174,setup!$A$8:$H$58,8))</f>
        <v>#VALUE!</v>
      </c>
    </row>
    <row r="175" spans="1:15" x14ac:dyDescent="0.25">
      <c r="A175" s="6" t="str">
        <f t="shared" si="5"/>
        <v>    . ' `' . self::${campo} . '` = ?, '</v>
      </c>
      <c r="N175">
        <f t="shared" si="6"/>
        <v>29</v>
      </c>
      <c r="O175" s="7" t="e">
        <f>getCodigoBackend(N175,A175,VLOOKUP(N175,setup!$A$8:$H$58,2),VLOOKUP(N175,setup!$A$8:$H$58,3),VLOOKUP(N175,setup!$A$8:$H$58,4),VLOOKUP(N175,setup!$A$8:$H$58,5),VLOOKUP(N175,setup!$A$8:$H$58,6),VLOOKUP(N175,setup!$A$8:$H$58,7), VLOOKUP(0,setup!$A$8:$H$58,2),VLOOKUP(0,setup!$A$8:$H$58,5),VLOOKUP(N175,setup!$A$8:$H$58,8))</f>
        <v>#VALUE!</v>
      </c>
    </row>
    <row r="176" spans="1:15" x14ac:dyDescent="0.25">
      <c r="A176" s="6" t="str">
        <f t="shared" si="5"/>
        <v>    . ' `' . self::${campo} . '` = ?, '</v>
      </c>
      <c r="N176">
        <f t="shared" si="6"/>
        <v>30</v>
      </c>
      <c r="O176" s="7" t="e">
        <f>getCodigoBackend(N176,A176,VLOOKUP(N176,setup!$A$8:$H$58,2),VLOOKUP(N176,setup!$A$8:$H$58,3),VLOOKUP(N176,setup!$A$8:$H$58,4),VLOOKUP(N176,setup!$A$8:$H$58,5),VLOOKUP(N176,setup!$A$8:$H$58,6),VLOOKUP(N176,setup!$A$8:$H$58,7), VLOOKUP(0,setup!$A$8:$H$58,2),VLOOKUP(0,setup!$A$8:$H$58,5),VLOOKUP(N176,setup!$A$8:$H$58,8))</f>
        <v>#VALUE!</v>
      </c>
    </row>
    <row r="177" spans="1:15" x14ac:dyDescent="0.25">
      <c r="A177" s="6" t="str">
        <f t="shared" si="5"/>
        <v>    . ' `' . self::${campo} . '` = ?, '</v>
      </c>
      <c r="N177">
        <f t="shared" si="6"/>
        <v>31</v>
      </c>
      <c r="O177" s="7" t="e">
        <f>getCodigoBackend(N177,A177,VLOOKUP(N177,setup!$A$8:$H$58,2),VLOOKUP(N177,setup!$A$8:$H$58,3),VLOOKUP(N177,setup!$A$8:$H$58,4),VLOOKUP(N177,setup!$A$8:$H$58,5),VLOOKUP(N177,setup!$A$8:$H$58,6),VLOOKUP(N177,setup!$A$8:$H$58,7), VLOOKUP(0,setup!$A$8:$H$58,2),VLOOKUP(0,setup!$A$8:$H$58,5),VLOOKUP(N177,setup!$A$8:$H$58,8))</f>
        <v>#VALUE!</v>
      </c>
    </row>
    <row r="178" spans="1:15" x14ac:dyDescent="0.25">
      <c r="A178" s="6" t="str">
        <f t="shared" si="5"/>
        <v>    . ' `' . self::${campo} . '` = ?, '</v>
      </c>
      <c r="N178">
        <f t="shared" si="6"/>
        <v>32</v>
      </c>
      <c r="O178" s="7" t="e">
        <f>getCodigoBackend(N178,A178,VLOOKUP(N178,setup!$A$8:$H$58,2),VLOOKUP(N178,setup!$A$8:$H$58,3),VLOOKUP(N178,setup!$A$8:$H$58,4),VLOOKUP(N178,setup!$A$8:$H$58,5),VLOOKUP(N178,setup!$A$8:$H$58,6),VLOOKUP(N178,setup!$A$8:$H$58,7), VLOOKUP(0,setup!$A$8:$H$58,2),VLOOKUP(0,setup!$A$8:$H$58,5),VLOOKUP(N178,setup!$A$8:$H$58,8))</f>
        <v>#VALUE!</v>
      </c>
    </row>
    <row r="179" spans="1:15" x14ac:dyDescent="0.25">
      <c r="A179" s="6" t="str">
        <f t="shared" si="5"/>
        <v>    . ' `' . self::${campo} . '` = ?, '</v>
      </c>
      <c r="N179">
        <f t="shared" si="6"/>
        <v>33</v>
      </c>
      <c r="O179" s="7" t="e">
        <f>getCodigoBackend(N179,A179,VLOOKUP(N179,setup!$A$8:$H$58,2),VLOOKUP(N179,setup!$A$8:$H$58,3),VLOOKUP(N179,setup!$A$8:$H$58,4),VLOOKUP(N179,setup!$A$8:$H$58,5),VLOOKUP(N179,setup!$A$8:$H$58,6),VLOOKUP(N179,setup!$A$8:$H$58,7), VLOOKUP(0,setup!$A$8:$H$58,2),VLOOKUP(0,setup!$A$8:$H$58,5),VLOOKUP(N179,setup!$A$8:$H$58,8))</f>
        <v>#VALUE!</v>
      </c>
    </row>
    <row r="180" spans="1:15" x14ac:dyDescent="0.25">
      <c r="A180" s="6" t="str">
        <f t="shared" si="5"/>
        <v>    . ' `' . self::${campo} . '` = ?, '</v>
      </c>
      <c r="N180">
        <f t="shared" si="6"/>
        <v>34</v>
      </c>
      <c r="O180" s="7" t="e">
        <f>getCodigoBackend(N180,A180,VLOOKUP(N180,setup!$A$8:$H$58,2),VLOOKUP(N180,setup!$A$8:$H$58,3),VLOOKUP(N180,setup!$A$8:$H$58,4),VLOOKUP(N180,setup!$A$8:$H$58,5),VLOOKUP(N180,setup!$A$8:$H$58,6),VLOOKUP(N180,setup!$A$8:$H$58,7), VLOOKUP(0,setup!$A$8:$H$58,2),VLOOKUP(0,setup!$A$8:$H$58,5),VLOOKUP(N180,setup!$A$8:$H$58,8))</f>
        <v>#VALUE!</v>
      </c>
    </row>
    <row r="181" spans="1:15" x14ac:dyDescent="0.25">
      <c r="A181" s="6" t="str">
        <f t="shared" si="5"/>
        <v>    . ' `' . self::${campo} . '` = ?, '</v>
      </c>
      <c r="N181">
        <f t="shared" si="6"/>
        <v>35</v>
      </c>
      <c r="O181" s="7" t="e">
        <f>getCodigoBackend(N181,A181,VLOOKUP(N181,setup!$A$8:$H$58,2),VLOOKUP(N181,setup!$A$8:$H$58,3),VLOOKUP(N181,setup!$A$8:$H$58,4),VLOOKUP(N181,setup!$A$8:$H$58,5),VLOOKUP(N181,setup!$A$8:$H$58,6),VLOOKUP(N181,setup!$A$8:$H$58,7), VLOOKUP(0,setup!$A$8:$H$58,2),VLOOKUP(0,setup!$A$8:$H$58,5),VLOOKUP(N181,setup!$A$8:$H$58,8))</f>
        <v>#VALUE!</v>
      </c>
    </row>
    <row r="182" spans="1:15" x14ac:dyDescent="0.25">
      <c r="A182" s="6" t="str">
        <f t="shared" si="5"/>
        <v>    . ' `' . self::${campo} . '` = ?, '</v>
      </c>
      <c r="N182">
        <f t="shared" si="6"/>
        <v>36</v>
      </c>
      <c r="O182" s="7" t="e">
        <f>getCodigoBackend(N182,A182,VLOOKUP(N182,setup!$A$8:$H$58,2),VLOOKUP(N182,setup!$A$8:$H$58,3),VLOOKUP(N182,setup!$A$8:$H$58,4),VLOOKUP(N182,setup!$A$8:$H$58,5),VLOOKUP(N182,setup!$A$8:$H$58,6),VLOOKUP(N182,setup!$A$8:$H$58,7), VLOOKUP(0,setup!$A$8:$H$58,2),VLOOKUP(0,setup!$A$8:$H$58,5),VLOOKUP(N182,setup!$A$8:$H$58,8))</f>
        <v>#VALUE!</v>
      </c>
    </row>
    <row r="183" spans="1:15" x14ac:dyDescent="0.25">
      <c r="A183" s="6" t="str">
        <f t="shared" si="5"/>
        <v>    . ' `' . self::${campo} . '` = ?, '</v>
      </c>
      <c r="N183">
        <f t="shared" si="6"/>
        <v>37</v>
      </c>
      <c r="O183" s="7" t="e">
        <f>getCodigoBackend(N183,A183,VLOOKUP(N183,setup!$A$8:$H$58,2),VLOOKUP(N183,setup!$A$8:$H$58,3),VLOOKUP(N183,setup!$A$8:$H$58,4),VLOOKUP(N183,setup!$A$8:$H$58,5),VLOOKUP(N183,setup!$A$8:$H$58,6),VLOOKUP(N183,setup!$A$8:$H$58,7), VLOOKUP(0,setup!$A$8:$H$58,2),VLOOKUP(0,setup!$A$8:$H$58,5),VLOOKUP(N183,setup!$A$8:$H$58,8))</f>
        <v>#VALUE!</v>
      </c>
    </row>
    <row r="184" spans="1:15" x14ac:dyDescent="0.25">
      <c r="A184" s="6" t="str">
        <f t="shared" si="5"/>
        <v>    . ' `' . self::${campo} . '` = ?, '</v>
      </c>
      <c r="N184">
        <f t="shared" si="6"/>
        <v>38</v>
      </c>
      <c r="O184" s="7" t="e">
        <f>getCodigoBackend(N184,A184,VLOOKUP(N184,setup!$A$8:$H$58,2),VLOOKUP(N184,setup!$A$8:$H$58,3),VLOOKUP(N184,setup!$A$8:$H$58,4),VLOOKUP(N184,setup!$A$8:$H$58,5),VLOOKUP(N184,setup!$A$8:$H$58,6),VLOOKUP(N184,setup!$A$8:$H$58,7), VLOOKUP(0,setup!$A$8:$H$58,2),VLOOKUP(0,setup!$A$8:$H$58,5),VLOOKUP(N184,setup!$A$8:$H$58,8))</f>
        <v>#VALUE!</v>
      </c>
    </row>
    <row r="185" spans="1:15" x14ac:dyDescent="0.25">
      <c r="A185" s="6" t="str">
        <f t="shared" si="5"/>
        <v>    . ' `' . self::${campo} . '` = ?, '</v>
      </c>
      <c r="N185">
        <f t="shared" si="6"/>
        <v>39</v>
      </c>
      <c r="O185" s="7" t="e">
        <f>getCodigoBackend(N185,A185,VLOOKUP(N185,setup!$A$8:$H$58,2),VLOOKUP(N185,setup!$A$8:$H$58,3),VLOOKUP(N185,setup!$A$8:$H$58,4),VLOOKUP(N185,setup!$A$8:$H$58,5),VLOOKUP(N185,setup!$A$8:$H$58,6),VLOOKUP(N185,setup!$A$8:$H$58,7), VLOOKUP(0,setup!$A$8:$H$58,2),VLOOKUP(0,setup!$A$8:$H$58,5),VLOOKUP(N185,setup!$A$8:$H$58,8))</f>
        <v>#VALUE!</v>
      </c>
    </row>
    <row r="186" spans="1:15" x14ac:dyDescent="0.25">
      <c r="A186" s="6" t="str">
        <f t="shared" si="5"/>
        <v>    . ' `' . self::${campo} . '` = ?, '</v>
      </c>
      <c r="N186">
        <f t="shared" si="6"/>
        <v>40</v>
      </c>
      <c r="O186" s="7" t="e">
        <f>getCodigoBackend(N186,A186,VLOOKUP(N186,setup!$A$8:$H$58,2),VLOOKUP(N186,setup!$A$8:$H$58,3),VLOOKUP(N186,setup!$A$8:$H$58,4),VLOOKUP(N186,setup!$A$8:$H$58,5),VLOOKUP(N186,setup!$A$8:$H$58,6),VLOOKUP(N186,setup!$A$8:$H$58,7), VLOOKUP(0,setup!$A$8:$H$58,2),VLOOKUP(0,setup!$A$8:$H$58,5),VLOOKUP(N186,setup!$A$8:$H$58,8))</f>
        <v>#VALUE!</v>
      </c>
    </row>
    <row r="187" spans="1:15" x14ac:dyDescent="0.25">
      <c r="A187" s="6" t="str">
        <f t="shared" si="5"/>
        <v>    . ' `' . self::${campo} . '` = ?, '</v>
      </c>
      <c r="N187">
        <f t="shared" si="6"/>
        <v>41</v>
      </c>
      <c r="O187" s="7" t="e">
        <f>getCodigoBackend(N187,A187,VLOOKUP(N187,setup!$A$8:$H$58,2),VLOOKUP(N187,setup!$A$8:$H$58,3),VLOOKUP(N187,setup!$A$8:$H$58,4),VLOOKUP(N187,setup!$A$8:$H$58,5),VLOOKUP(N187,setup!$A$8:$H$58,6),VLOOKUP(N187,setup!$A$8:$H$58,7), VLOOKUP(0,setup!$A$8:$H$58,2),VLOOKUP(0,setup!$A$8:$H$58,5),VLOOKUP(N187,setup!$A$8:$H$58,8))</f>
        <v>#VALUE!</v>
      </c>
    </row>
    <row r="188" spans="1:15" x14ac:dyDescent="0.25">
      <c r="A188" s="6" t="str">
        <f t="shared" si="5"/>
        <v>    . ' `' . self::${campo} . '` = ?, '</v>
      </c>
      <c r="N188">
        <f t="shared" si="6"/>
        <v>42</v>
      </c>
      <c r="O188" s="7" t="e">
        <f>getCodigoBackend(N188,A188,VLOOKUP(N188,setup!$A$8:$H$58,2),VLOOKUP(N188,setup!$A$8:$H$58,3),VLOOKUP(N188,setup!$A$8:$H$58,4),VLOOKUP(N188,setup!$A$8:$H$58,5),VLOOKUP(N188,setup!$A$8:$H$58,6),VLOOKUP(N188,setup!$A$8:$H$58,7), VLOOKUP(0,setup!$A$8:$H$58,2),VLOOKUP(0,setup!$A$8:$H$58,5),VLOOKUP(N188,setup!$A$8:$H$58,8))</f>
        <v>#VALUE!</v>
      </c>
    </row>
    <row r="189" spans="1:15" x14ac:dyDescent="0.25">
      <c r="A189" s="6" t="str">
        <f t="shared" si="5"/>
        <v>    . ' `' . self::${campo} . '` = ?, '</v>
      </c>
      <c r="N189">
        <f t="shared" si="6"/>
        <v>43</v>
      </c>
      <c r="O189" s="7" t="e">
        <f>getCodigoBackend(N189,A189,VLOOKUP(N189,setup!$A$8:$H$58,2),VLOOKUP(N189,setup!$A$8:$H$58,3),VLOOKUP(N189,setup!$A$8:$H$58,4),VLOOKUP(N189,setup!$A$8:$H$58,5),VLOOKUP(N189,setup!$A$8:$H$58,6),VLOOKUP(N189,setup!$A$8:$H$58,7), VLOOKUP(0,setup!$A$8:$H$58,2),VLOOKUP(0,setup!$A$8:$H$58,5),VLOOKUP(N189,setup!$A$8:$H$58,8))</f>
        <v>#VALUE!</v>
      </c>
    </row>
    <row r="190" spans="1:15" x14ac:dyDescent="0.25">
      <c r="A190" s="6" t="str">
        <f t="shared" si="5"/>
        <v>    . ' `' . self::${campo} . '` = ?, '</v>
      </c>
      <c r="N190">
        <f t="shared" si="6"/>
        <v>44</v>
      </c>
      <c r="O190" s="7" t="e">
        <f>getCodigoBackend(N190,A190,VLOOKUP(N190,setup!$A$8:$H$58,2),VLOOKUP(N190,setup!$A$8:$H$58,3),VLOOKUP(N190,setup!$A$8:$H$58,4),VLOOKUP(N190,setup!$A$8:$H$58,5),VLOOKUP(N190,setup!$A$8:$H$58,6),VLOOKUP(N190,setup!$A$8:$H$58,7), VLOOKUP(0,setup!$A$8:$H$58,2),VLOOKUP(0,setup!$A$8:$H$58,5),VLOOKUP(N190,setup!$A$8:$H$58,8))</f>
        <v>#VALUE!</v>
      </c>
    </row>
    <row r="191" spans="1:15" x14ac:dyDescent="0.25">
      <c r="A191" s="6" t="str">
        <f t="shared" si="5"/>
        <v>    . ' `' . self::${campo} . '` = ?, '</v>
      </c>
      <c r="N191">
        <f t="shared" si="6"/>
        <v>45</v>
      </c>
      <c r="O191" s="7" t="e">
        <f>getCodigoBackend(N191,A191,VLOOKUP(N191,setup!$A$8:$H$58,2),VLOOKUP(N191,setup!$A$8:$H$58,3),VLOOKUP(N191,setup!$A$8:$H$58,4),VLOOKUP(N191,setup!$A$8:$H$58,5),VLOOKUP(N191,setup!$A$8:$H$58,6),VLOOKUP(N191,setup!$A$8:$H$58,7), VLOOKUP(0,setup!$A$8:$H$58,2),VLOOKUP(0,setup!$A$8:$H$58,5),VLOOKUP(N191,setup!$A$8:$H$58,8))</f>
        <v>#VALUE!</v>
      </c>
    </row>
    <row r="192" spans="1:15" x14ac:dyDescent="0.25">
      <c r="A192" s="6" t="str">
        <f t="shared" si="5"/>
        <v>    . ' `' . self::${campo} . '` = ?, '</v>
      </c>
      <c r="N192">
        <f t="shared" si="6"/>
        <v>46</v>
      </c>
      <c r="O192" s="7" t="e">
        <f>getCodigoBackend(N192,A192,VLOOKUP(N192,setup!$A$8:$H$58,2),VLOOKUP(N192,setup!$A$8:$H$58,3),VLOOKUP(N192,setup!$A$8:$H$58,4),VLOOKUP(N192,setup!$A$8:$H$58,5),VLOOKUP(N192,setup!$A$8:$H$58,6),VLOOKUP(N192,setup!$A$8:$H$58,7), VLOOKUP(0,setup!$A$8:$H$58,2),VLOOKUP(0,setup!$A$8:$H$58,5),VLOOKUP(N192,setup!$A$8:$H$58,8))</f>
        <v>#VALUE!</v>
      </c>
    </row>
    <row r="193" spans="1:15" x14ac:dyDescent="0.25">
      <c r="A193" s="6" t="str">
        <f>CONCATENATE("    . ' `' . self::${campo} . '` = ? '")</f>
        <v>    . ' `' . self::${campo} . '` = ? '</v>
      </c>
      <c r="N193">
        <f t="shared" si="6"/>
        <v>47</v>
      </c>
      <c r="O193" s="7" t="e">
        <f>getCodigoBackend(N193,A193,VLOOKUP(N193,setup!$A$8:$H$58,2),VLOOKUP(N193,setup!$A$8:$H$58,3),VLOOKUP(N193,setup!$A$8:$H$58,4),VLOOKUP(N193,setup!$A$8:$H$58,5),VLOOKUP(N193,setup!$A$8:$H$58,6),VLOOKUP(N193,setup!$A$8:$H$58,7), VLOOKUP(0,setup!$A$8:$H$58,2),VLOOKUP(0,setup!$A$8:$H$58,5),VLOOKUP(N193,setup!$A$8:$H$58,8))</f>
        <v>#VALUE!</v>
      </c>
    </row>
    <row r="194" spans="1:15" x14ac:dyDescent="0.25">
      <c r="A194" s="6"/>
      <c r="N194">
        <f t="shared" si="6"/>
        <v>48</v>
      </c>
      <c r="O194" s="7" t="str">
        <f ca="1">getCodigoBackend(N194,A194,VLOOKUP(N194,setup!$A$8:$H$58,2),VLOOKUP(N194,setup!$A$8:$H$58,3),VLOOKUP(N194,setup!$A$8:$H$58,4),VLOOKUP(N194,setup!$A$8:$H$58,5),VLOOKUP(N194,setup!$A$8:$H$58,6),VLOOKUP(N194,setup!$A$8:$H$58,7), VLOOKUP(0,setup!$A$8:$H$58,2),VLOOKUP(0,setup!$A$8:$H$58,5),VLOOKUP(N194,setup!$A$8:$H$58,8))</f>
        <v/>
      </c>
    </row>
    <row r="195" spans="1:15" x14ac:dyDescent="0.25">
      <c r="A195" s="6"/>
      <c r="N195">
        <f t="shared" si="6"/>
        <v>49</v>
      </c>
      <c r="O195" s="7" t="str">
        <f ca="1">getCodigoBackend(N195,A195,VLOOKUP(N195,setup!$A$8:$H$58,2),VLOOKUP(N195,setup!$A$8:$H$58,3),VLOOKUP(N195,setup!$A$8:$H$58,4),VLOOKUP(N195,setup!$A$8:$H$58,5),VLOOKUP(N195,setup!$A$8:$H$58,6),VLOOKUP(N195,setup!$A$8:$H$58,7), VLOOKUP(0,setup!$A$8:$H$58,2),VLOOKUP(0,setup!$A$8:$H$58,5),VLOOKUP(N195,setup!$A$8:$H$58,8))</f>
        <v/>
      </c>
    </row>
    <row r="196" spans="1:15" x14ac:dyDescent="0.25">
      <c r="A196" s="6"/>
      <c r="N196">
        <f t="shared" si="6"/>
        <v>50</v>
      </c>
      <c r="O196" s="7" t="str">
        <f ca="1">getCodigoBackend(N196,A196,VLOOKUP(N196,setup!$A$8:$H$58,2),VLOOKUP(N196,setup!$A$8:$H$58,3),VLOOKUP(N196,setup!$A$8:$H$58,4),VLOOKUP(N196,setup!$A$8:$H$58,5),VLOOKUP(N196,setup!$A$8:$H$58,6),VLOOKUP(N196,setup!$A$8:$H$58,7), VLOOKUP(0,setup!$A$8:$H$58,2),VLOOKUP(0,setup!$A$8:$H$58,5),VLOOKUP(N196,setup!$A$8:$H$58,8))</f>
        <v/>
      </c>
    </row>
    <row r="197" spans="1:15" x14ac:dyDescent="0.25">
      <c r="A197" s="6" t="str">
        <f>CONCATENATE("    . 'WHERE ' . ' `' . self::${pk} . '` = ? ' ;")</f>
        <v>    . 'WHERE ' . ' `' . self::${pk} . '` = ? ' ;</v>
      </c>
      <c r="O197" s="7" t="str">
        <f ca="1">getCodigoBackend(N197,A197,VLOOKUP(N197,setup!$A$8:$H$58,2),VLOOKUP(N197,setup!$A$8:$H$58,3),VLOOKUP(N197,setup!$A$8:$H$58,4),VLOOKUP(N197,setup!$A$8:$H$58,5),VLOOKUP(N197,setup!$A$8:$H$58,6),VLOOKUP(N197,setup!$A$8:$H$58,7), VLOOKUP(0,setup!$A$8:$H$58,2),VLOOKUP(0,setup!$A$8:$H$58,5),VLOOKUP(N197,setup!$A$8:$H$58,8))</f>
        <v>    . 'WHERE ' . ' `' . self::CCRP_ID . '` = ? ' ;</v>
      </c>
    </row>
    <row r="198" spans="1:15" x14ac:dyDescent="0.25">
      <c r="O198" s="7" t="str">
        <f ca="1">getCodigoBackend(N198,A198,VLOOKUP(N198,setup!$A$8:$H$58,2),VLOOKUP(N198,setup!$A$8:$H$58,3),VLOOKUP(N198,setup!$A$8:$H$58,4),VLOOKUP(N198,setup!$A$8:$H$58,5),VLOOKUP(N198,setup!$A$8:$H$58,6),VLOOKUP(N198,setup!$A$8:$H$58,7), VLOOKUP(0,setup!$A$8:$H$58,2),VLOOKUP(0,setup!$A$8:$H$58,5),VLOOKUP(N198,setup!$A$8:$H$58,8))</f>
        <v/>
      </c>
    </row>
    <row r="199" spans="1:15" x14ac:dyDescent="0.25">
      <c r="A199" s="6" t="s">
        <v>110</v>
      </c>
      <c r="O199" s="7" t="str">
        <f ca="1">getCodigoBackend(N199,A199,VLOOKUP(N199,setup!$A$8:$H$58,2),VLOOKUP(N199,setup!$A$8:$H$58,3),VLOOKUP(N199,setup!$A$8:$H$58,4),VLOOKUP(N199,setup!$A$8:$H$58,5),VLOOKUP(N199,setup!$A$8:$H$58,6),VLOOKUP(N199,setup!$A$8:$H$58,7), VLOOKUP(0,setup!$A$8:$H$58,2),VLOOKUP(0,setup!$A$8:$H$58,5),VLOOKUP(N199,setup!$A$8:$H$58,8))</f>
        <v>    const UPD_STATUS = 'UPDATE `' . self::TABELA . '` set '</v>
      </c>
    </row>
    <row r="200" spans="1:15" x14ac:dyDescent="0.25">
      <c r="A200" s="6" t="str">
        <f>CONCATENATE("    . ' `' . self::${campo} . '` = ? '")</f>
        <v>    . ' `' . self::${campo} . '` = ? '</v>
      </c>
      <c r="N200">
        <v>48</v>
      </c>
      <c r="O200" s="7" t="str">
        <f ca="1">getCodigoBackend(N200,A200,VLOOKUP(N200,setup!$A$8:$H$58,2),VLOOKUP(N200,setup!$A$8:$H$58,3),VLOOKUP(N200,setup!$A$8:$H$58,4),VLOOKUP(N200,setup!$A$8:$H$58,5),VLOOKUP(N200,setup!$A$8:$H$58,6),VLOOKUP(N200,setup!$A$8:$H$58,7), VLOOKUP(0,setup!$A$8:$H$58,2),VLOOKUP(0,setup!$A$8:$H$58,5),VLOOKUP(N200,setup!$A$8:$H$58,8))</f>
        <v>    . ' `' . self::CCRP_IN_STATUS . '` = ? '</v>
      </c>
    </row>
    <row r="201" spans="1:15" x14ac:dyDescent="0.25">
      <c r="A201" s="6" t="str">
        <f>CONCATENATE("    . 'WHERE ' . ' `' . self::${pk} . '` = ? ' ;")</f>
        <v>    . 'WHERE ' . ' `' . self::${pk} . '` = ? ' ;</v>
      </c>
      <c r="O201" s="7" t="str">
        <f ca="1">getCodigoBackend(N201,A201,VLOOKUP(N201,setup!$A$8:$H$58,2),VLOOKUP(N201,setup!$A$8:$H$58,3),VLOOKUP(N201,setup!$A$8:$H$58,4),VLOOKUP(N201,setup!$A$8:$H$58,5),VLOOKUP(N201,setup!$A$8:$H$58,6),VLOOKUP(N201,setup!$A$8:$H$58,7), VLOOKUP(0,setup!$A$8:$H$58,2),VLOOKUP(0,setup!$A$8:$H$58,5),VLOOKUP(N201,setup!$A$8:$H$58,8))</f>
        <v>    . 'WHERE ' . ' `' . self::CCRP_ID . '` = ? ' ;</v>
      </c>
    </row>
    <row r="202" spans="1:15" x14ac:dyDescent="0.25">
      <c r="A202" s="6"/>
      <c r="O202" s="7" t="str">
        <f ca="1">getCodigoBackend(N202,A202,VLOOKUP(N202,setup!$A$8:$H$58,2),VLOOKUP(N202,setup!$A$8:$H$58,3),VLOOKUP(N202,setup!$A$8:$H$58,4),VLOOKUP(N202,setup!$A$8:$H$58,5),VLOOKUP(N202,setup!$A$8:$H$58,6),VLOOKUP(N202,setup!$A$8:$H$58,7), VLOOKUP(0,setup!$A$8:$H$58,2),VLOOKUP(0,setup!$A$8:$H$58,5),VLOOKUP(N202,setup!$A$8:$H$58,8))</f>
        <v/>
      </c>
    </row>
    <row r="203" spans="1:15" x14ac:dyDescent="0.25">
      <c r="A203" s="29" t="s">
        <v>813</v>
      </c>
      <c r="O203" s="7" t="str">
        <f ca="1">getCodigoBackend(N203,A203,VLOOKUP(N203,setup!$A$8:$H$58,2),VLOOKUP(N203,setup!$A$8:$H$58,3),VLOOKUP(N203,setup!$A$8:$H$58,4),VLOOKUP(N203,setup!$A$8:$H$58,5),VLOOKUP(N203,setup!$A$8:$H$58,6),VLOOKUP(N203,setup!$A$8:$H$58,7), VLOOKUP(0,setup!$A$8:$H$58,2),VLOOKUP(0,setup!$A$8:$H$58,5),VLOOKUP(N203,setup!$A$8:$H$58,8))</f>
        <v>const SELECT_MAX_PK = 'SELECT MAX(CCRP_ID) AS maxid FROM `'.self::TABELA.'` ';</v>
      </c>
    </row>
    <row r="204" spans="1:15" x14ac:dyDescent="0.25">
      <c r="A204" s="29"/>
      <c r="O204" s="7" t="str">
        <f ca="1">getCodigoBackend(N204,A204,VLOOKUP(N204,setup!$A$8:$H$58,2),VLOOKUP(N204,setup!$A$8:$H$58,3),VLOOKUP(N204,setup!$A$8:$H$58,4),VLOOKUP(N204,setup!$A$8:$H$58,5),VLOOKUP(N204,setup!$A$8:$H$58,6),VLOOKUP(N204,setup!$A$8:$H$58,7), VLOOKUP(0,setup!$A$8:$H$58,2),VLOOKUP(0,setup!$A$8:$H$58,5),VLOOKUP(N204,setup!$A$8:$H$58,8))</f>
        <v/>
      </c>
    </row>
    <row r="205" spans="1:15" x14ac:dyDescent="0.25">
      <c r="A205" s="6"/>
      <c r="O205" s="7" t="str">
        <f ca="1">getCodigoBackend(N205,A205,VLOOKUP(N205,setup!$A$8:$H$58,2),VLOOKUP(N205,setup!$A$8:$H$58,3),VLOOKUP(N205,setup!$A$8:$H$58,4),VLOOKUP(N205,setup!$A$8:$H$58,5),VLOOKUP(N205,setup!$A$8:$H$58,6),VLOOKUP(N205,setup!$A$8:$H$58,7), VLOOKUP(0,setup!$A$8:$H$58,2),VLOOKUP(0,setup!$A$8:$H$58,5),VLOOKUP(N205,setup!$A$8:$H$58,8))</f>
        <v/>
      </c>
    </row>
    <row r="206" spans="1:15" x14ac:dyDescent="0.25">
      <c r="A206" s="6" t="s">
        <v>111</v>
      </c>
      <c r="O206" s="7" t="str">
        <f ca="1">getCodigoBackend(N206,A206,VLOOKUP(N206,setup!$A$8:$H$58,2),VLOOKUP(N206,setup!$A$8:$H$58,3),VLOOKUP(N206,setup!$A$8:$H$58,4),VLOOKUP(N206,setup!$A$8:$H$58,5),VLOOKUP(N206,setup!$A$8:$H$58,6),VLOOKUP(N206,setup!$A$8:$H$58,7), VLOOKUP(0,setup!$A$8:$H$58,2),VLOOKUP(0,setup!$A$8:$H$58,5),VLOOKUP(N206,setup!$A$8:$H$58,8))</f>
        <v xml:space="preserve">    const SELECT = 'SELECT ' </v>
      </c>
    </row>
    <row r="207" spans="1:15" x14ac:dyDescent="0.25">
      <c r="A207" s="6" t="str">
        <f>CONCATENATE("        . ' `' . self::${campo} . '`, ' ")</f>
        <v xml:space="preserve">        . ' `' . self::${campo} . '`, ' </v>
      </c>
      <c r="N207">
        <v>0</v>
      </c>
      <c r="O207" s="7" t="str">
        <f ca="1">getCodigoBackend(N207,A207,VLOOKUP(N207,setup!$A$8:$H$58,2),VLOOKUP(N207,setup!$A$8:$H$58,3),VLOOKUP(N207,setup!$A$8:$H$58,4),VLOOKUP(N207,setup!$A$8:$H$58,5),VLOOKUP(N207,setup!$A$8:$H$58,6),VLOOKUP(N207,setup!$A$8:$H$58,7), VLOOKUP(0,setup!$A$8:$H$58,2),VLOOKUP(0,setup!$A$8:$H$58,5),VLOOKUP(N207,setup!$A$8:$H$58,8))</f>
        <v xml:space="preserve">        . ' `' . self::CCRP_ID . '`, ' </v>
      </c>
    </row>
    <row r="208" spans="1:15" x14ac:dyDescent="0.25">
      <c r="A208" s="6" t="str">
        <f t="shared" ref="A208:A256" si="7">CONCATENATE("        . ' `' . self::${campo} . '`, ' ")</f>
        <v xml:space="preserve">        . ' `' . self::${campo} . '`, ' </v>
      </c>
      <c r="N208">
        <f>N207+1</f>
        <v>1</v>
      </c>
      <c r="O208" s="7" t="str">
        <f ca="1">getCodigoBackend(N208,A208,VLOOKUP(N208,setup!$A$8:$H$58,2),VLOOKUP(N208,setup!$A$8:$H$58,3),VLOOKUP(N208,setup!$A$8:$H$58,4),VLOOKUP(N208,setup!$A$8:$H$58,5),VLOOKUP(N208,setup!$A$8:$H$58,6),VLOOKUP(N208,setup!$A$8:$H$58,7), VLOOKUP(0,setup!$A$8:$H$58,2),VLOOKUP(0,setup!$A$8:$H$58,5),VLOOKUP(N208,setup!$A$8:$H$58,8))</f>
        <v xml:space="preserve">        . ' `' . self::CACA_ID . '`, ' </v>
      </c>
    </row>
    <row r="209" spans="1:15" x14ac:dyDescent="0.25">
      <c r="A209" s="6" t="str">
        <f t="shared" si="7"/>
        <v xml:space="preserve">        . ' `' . self::${campo} . '`, ' </v>
      </c>
      <c r="N209">
        <f t="shared" ref="N209:N238" si="8">N208+1</f>
        <v>2</v>
      </c>
      <c r="O209" s="7" t="str">
        <f ca="1">getCodigoBackend(N209,A209,VLOOKUP(N209,setup!$A$8:$H$58,2),VLOOKUP(N209,setup!$A$8:$H$58,3),VLOOKUP(N209,setup!$A$8:$H$58,4),VLOOKUP(N209,setup!$A$8:$H$58,5),VLOOKUP(N209,setup!$A$8:$H$58,6),VLOOKUP(N209,setup!$A$8:$H$58,7), VLOOKUP(0,setup!$A$8:$H$58,2),VLOOKUP(0,setup!$A$8:$H$58,5),VLOOKUP(N209,setup!$A$8:$H$58,8))</f>
        <v xml:space="preserve">        . ' `' . self::USUA_ID . '`, ' </v>
      </c>
    </row>
    <row r="210" spans="1:15" x14ac:dyDescent="0.25">
      <c r="A210" s="6" t="str">
        <f t="shared" si="7"/>
        <v xml:space="preserve">        . ' `' . self::${campo} . '`, ' </v>
      </c>
      <c r="N210">
        <f t="shared" si="8"/>
        <v>3</v>
      </c>
      <c r="O210" s="7" t="str">
        <f ca="1">getCodigoBackend(N210,A210,VLOOKUP(N210,setup!$A$8:$H$58,2),VLOOKUP(N210,setup!$A$8:$H$58,3),VLOOKUP(N210,setup!$A$8:$H$58,4),VLOOKUP(N210,setup!$A$8:$H$58,5),VLOOKUP(N210,setup!$A$8:$H$58,6),VLOOKUP(N210,setup!$A$8:$H$58,7), VLOOKUP(0,setup!$A$8:$H$58,2),VLOOKUP(0,setup!$A$8:$H$58,5),VLOOKUP(N210,setup!$A$8:$H$58,8))</f>
        <v xml:space="preserve">        . ' `' . self::CCRP_IN_TIPO_CHAVE_PIX . '`, ' </v>
      </c>
    </row>
    <row r="211" spans="1:15" x14ac:dyDescent="0.25">
      <c r="A211" s="6" t="str">
        <f t="shared" si="7"/>
        <v xml:space="preserve">        . ' `' . self::${campo} . '`, ' </v>
      </c>
      <c r="N211">
        <f t="shared" si="8"/>
        <v>4</v>
      </c>
      <c r="O211" s="7" t="str">
        <f ca="1">getCodigoBackend(N211,A211,VLOOKUP(N211,setup!$A$8:$H$58,2),VLOOKUP(N211,setup!$A$8:$H$58,3),VLOOKUP(N211,setup!$A$8:$H$58,4),VLOOKUP(N211,setup!$A$8:$H$58,5),VLOOKUP(N211,setup!$A$8:$H$58,6),VLOOKUP(N211,setup!$A$8:$H$58,7), VLOOKUP(0,setup!$A$8:$H$58,2),VLOOKUP(0,setup!$A$8:$H$58,5),VLOOKUP(N211,setup!$A$8:$H$58,8))</f>
        <v xml:space="preserve">        . ' `' . self::CCRP_TX_CHAVE_PIX . '`, ' </v>
      </c>
    </row>
    <row r="212" spans="1:15" x14ac:dyDescent="0.25">
      <c r="A212" s="6" t="str">
        <f t="shared" si="7"/>
        <v xml:space="preserve">        . ' `' . self::${campo} . '`, ' </v>
      </c>
      <c r="N212">
        <f t="shared" si="8"/>
        <v>5</v>
      </c>
      <c r="O212" s="7" t="str">
        <f ca="1">getCodigoBackend(N212,A212,VLOOKUP(N212,setup!$A$8:$H$58,2),VLOOKUP(N212,setup!$A$8:$H$58,3),VLOOKUP(N212,setup!$A$8:$H$58,4),VLOOKUP(N212,setup!$A$8:$H$58,5),VLOOKUP(N212,setup!$A$8:$H$58,6),VLOOKUP(N212,setup!$A$8:$H$58,7), VLOOKUP(0,setup!$A$8:$H$58,2),VLOOKUP(0,setup!$A$8:$H$58,5),VLOOKUP(N212,setup!$A$8:$H$58,8))</f>
        <v xml:space="preserve">        . ' `' . self::CCRP_VL_RESGATE . '`, ' </v>
      </c>
    </row>
    <row r="213" spans="1:15" x14ac:dyDescent="0.25">
      <c r="A213" s="6" t="str">
        <f t="shared" si="7"/>
        <v xml:space="preserve">        . ' `' . self::${campo} . '`, ' </v>
      </c>
      <c r="N213">
        <f t="shared" si="8"/>
        <v>6</v>
      </c>
      <c r="O213" s="7" t="str">
        <f ca="1">getCodigoBackend(N213,A213,VLOOKUP(N213,setup!$A$8:$H$58,2),VLOOKUP(N213,setup!$A$8:$H$58,3),VLOOKUP(N213,setup!$A$8:$H$58,4),VLOOKUP(N213,setup!$A$8:$H$58,5),VLOOKUP(N213,setup!$A$8:$H$58,6),VLOOKUP(N213,setup!$A$8:$H$58,7), VLOOKUP(0,setup!$A$8:$H$58,2),VLOOKUP(0,setup!$A$8:$H$58,5),VLOOKUP(N213,setup!$A$8:$H$58,8))</f>
        <v xml:space="preserve">        . ' `' . self::CCRP_TX_AUTENT_BCO . '`, ' </v>
      </c>
    </row>
    <row r="214" spans="1:15" x14ac:dyDescent="0.25">
      <c r="A214" s="6" t="str">
        <f t="shared" si="7"/>
        <v xml:space="preserve">        . ' `' . self::${campo} . '`, ' </v>
      </c>
      <c r="N214">
        <f t="shared" si="8"/>
        <v>7</v>
      </c>
      <c r="O214" s="7" t="str">
        <f ca="1">getCodigoBackend(N214,A214,VLOOKUP(N214,setup!$A$8:$H$58,2),VLOOKUP(N214,setup!$A$8:$H$58,3),VLOOKUP(N214,setup!$A$8:$H$58,4),VLOOKUP(N214,setup!$A$8:$H$58,5),VLOOKUP(N214,setup!$A$8:$H$58,6),VLOOKUP(N214,setup!$A$8:$H$58,7), VLOOKUP(0,setup!$A$8:$H$58,2),VLOOKUP(0,setup!$A$8:$H$58,5),VLOOKUP(N214,setup!$A$8:$H$58,8))</f>
        <v xml:space="preserve">        . ' `' . self::CCRP_IN_ESTAGIO_RT . '`, ' </v>
      </c>
    </row>
    <row r="215" spans="1:15" x14ac:dyDescent="0.25">
      <c r="A215" s="6" t="str">
        <f t="shared" si="7"/>
        <v xml:space="preserve">        . ' `' . self::${campo} . '`, ' </v>
      </c>
      <c r="N215">
        <f t="shared" si="8"/>
        <v>8</v>
      </c>
      <c r="O215" s="7" t="str">
        <f ca="1">getCodigoBackend(N215,A215,VLOOKUP(N215,setup!$A$8:$H$58,2),VLOOKUP(N215,setup!$A$8:$H$58,3),VLOOKUP(N215,setup!$A$8:$H$58,4),VLOOKUP(N215,setup!$A$8:$H$58,5),VLOOKUP(N215,setup!$A$8:$H$58,6),VLOOKUP(N215,setup!$A$8:$H$58,7), VLOOKUP(0,setup!$A$8:$H$58,2),VLOOKUP(0,setup!$A$8:$H$58,5),VLOOKUP(N215,setup!$A$8:$H$58,8))</f>
        <v xml:space="preserve">        . ' `' . self::CCRP_DT_ESTAGIO_ANALISE . '`, ' </v>
      </c>
    </row>
    <row r="216" spans="1:15" x14ac:dyDescent="0.25">
      <c r="A216" s="6" t="str">
        <f t="shared" si="7"/>
        <v xml:space="preserve">        . ' `' . self::${campo} . '`, ' </v>
      </c>
      <c r="N216">
        <f t="shared" si="8"/>
        <v>9</v>
      </c>
      <c r="O216" s="7" t="str">
        <f ca="1">getCodigoBackend(N216,A216,VLOOKUP(N216,setup!$A$8:$H$58,2),VLOOKUP(N216,setup!$A$8:$H$58,3),VLOOKUP(N216,setup!$A$8:$H$58,4),VLOOKUP(N216,setup!$A$8:$H$58,5),VLOOKUP(N216,setup!$A$8:$H$58,6),VLOOKUP(N216,setup!$A$8:$H$58,7), VLOOKUP(0,setup!$A$8:$H$58,2),VLOOKUP(0,setup!$A$8:$H$58,5),VLOOKUP(N216,setup!$A$8:$H$58,8))</f>
        <v xml:space="preserve">        . ' `' . self::CCRP_DT_ESTAGIO_FINANCEIRO . '`, ' </v>
      </c>
    </row>
    <row r="217" spans="1:15" x14ac:dyDescent="0.25">
      <c r="A217" s="6" t="str">
        <f t="shared" si="7"/>
        <v xml:space="preserve">        . ' `' . self::${campo} . '`, ' </v>
      </c>
      <c r="N217">
        <f t="shared" si="8"/>
        <v>10</v>
      </c>
      <c r="O217" s="7" t="str">
        <f ca="1">getCodigoBackend(N217,A217,VLOOKUP(N217,setup!$A$8:$H$58,2),VLOOKUP(N217,setup!$A$8:$H$58,3),VLOOKUP(N217,setup!$A$8:$H$58,4),VLOOKUP(N217,setup!$A$8:$H$58,5),VLOOKUP(N217,setup!$A$8:$H$58,6),VLOOKUP(N217,setup!$A$8:$H$58,7), VLOOKUP(0,setup!$A$8:$H$58,2),VLOOKUP(0,setup!$A$8:$H$58,5),VLOOKUP(N217,setup!$A$8:$H$58,8))</f>
        <v xml:space="preserve">        . ' `' . self::CCRP_DT_ESTAGIO_ERRO . '`, ' </v>
      </c>
    </row>
    <row r="218" spans="1:15" x14ac:dyDescent="0.25">
      <c r="A218" s="6" t="str">
        <f t="shared" si="7"/>
        <v xml:space="preserve">        . ' `' . self::${campo} . '`, ' </v>
      </c>
      <c r="N218">
        <f t="shared" si="8"/>
        <v>11</v>
      </c>
      <c r="O218" s="7" t="str">
        <f ca="1">getCodigoBackend(N218,A218,VLOOKUP(N218,setup!$A$8:$H$58,2),VLOOKUP(N218,setup!$A$8:$H$58,3),VLOOKUP(N218,setup!$A$8:$H$58,4),VLOOKUP(N218,setup!$A$8:$H$58,5),VLOOKUP(N218,setup!$A$8:$H$58,6),VLOOKUP(N218,setup!$A$8:$H$58,7), VLOOKUP(0,setup!$A$8:$H$58,2),VLOOKUP(0,setup!$A$8:$H$58,5),VLOOKUP(N218,setup!$A$8:$H$58,8))</f>
        <v xml:space="preserve">        . ' `' . self::CCRP_DT_ESTAGIO_TRANSF_BCO . '`, ' </v>
      </c>
    </row>
    <row r="219" spans="1:15" x14ac:dyDescent="0.25">
      <c r="A219" s="6" t="str">
        <f t="shared" si="7"/>
        <v xml:space="preserve">        . ' `' . self::${campo} . '`, ' </v>
      </c>
      <c r="N219">
        <f t="shared" si="8"/>
        <v>12</v>
      </c>
      <c r="O219" s="7" t="str">
        <f ca="1">getCodigoBackend(N219,A219,VLOOKUP(N219,setup!$A$8:$H$58,2),VLOOKUP(N219,setup!$A$8:$H$58,3),VLOOKUP(N219,setup!$A$8:$H$58,4),VLOOKUP(N219,setup!$A$8:$H$58,5),VLOOKUP(N219,setup!$A$8:$H$58,6),VLOOKUP(N219,setup!$A$8:$H$58,7), VLOOKUP(0,setup!$A$8:$H$58,2),VLOOKUP(0,setup!$A$8:$H$58,5),VLOOKUP(N219,setup!$A$8:$H$58,8))</f>
        <v xml:space="preserve">        . ' `' . self::CCRP_TX_LIVRE_ESTAGIO_RT . '`, ' </v>
      </c>
    </row>
    <row r="220" spans="1:15" x14ac:dyDescent="0.25">
      <c r="A220" s="6" t="str">
        <f t="shared" si="7"/>
        <v xml:space="preserve">        . ' `' . self::${campo} . '`, ' </v>
      </c>
      <c r="N220">
        <f t="shared" si="8"/>
        <v>13</v>
      </c>
      <c r="O220" s="7" t="e">
        <f>getCodigoBackend(N220,A220,VLOOKUP(N220,setup!$A$8:$H$58,2),VLOOKUP(N220,setup!$A$8:$H$58,3),VLOOKUP(N220,setup!$A$8:$H$58,4),VLOOKUP(N220,setup!$A$8:$H$58,5),VLOOKUP(N220,setup!$A$8:$H$58,6),VLOOKUP(N220,setup!$A$8:$H$58,7), VLOOKUP(0,setup!$A$8:$H$58,2),VLOOKUP(0,setup!$A$8:$H$58,5),VLOOKUP(N220,setup!$A$8:$H$58,8))</f>
        <v>#VALUE!</v>
      </c>
    </row>
    <row r="221" spans="1:15" x14ac:dyDescent="0.25">
      <c r="A221" s="6" t="str">
        <f t="shared" si="7"/>
        <v xml:space="preserve">        . ' `' . self::${campo} . '`, ' </v>
      </c>
      <c r="N221">
        <f t="shared" si="8"/>
        <v>14</v>
      </c>
      <c r="O221" s="7" t="e">
        <f>getCodigoBackend(N221,A221,VLOOKUP(N221,setup!$A$8:$H$58,2),VLOOKUP(N221,setup!$A$8:$H$58,3),VLOOKUP(N221,setup!$A$8:$H$58,4),VLOOKUP(N221,setup!$A$8:$H$58,5),VLOOKUP(N221,setup!$A$8:$H$58,6),VLOOKUP(N221,setup!$A$8:$H$58,7), VLOOKUP(0,setup!$A$8:$H$58,2),VLOOKUP(0,setup!$A$8:$H$58,5),VLOOKUP(N221,setup!$A$8:$H$58,8))</f>
        <v>#VALUE!</v>
      </c>
    </row>
    <row r="222" spans="1:15" x14ac:dyDescent="0.25">
      <c r="A222" s="6" t="str">
        <f t="shared" si="7"/>
        <v xml:space="preserve">        . ' `' . self::${campo} . '`, ' </v>
      </c>
      <c r="N222">
        <f t="shared" si="8"/>
        <v>15</v>
      </c>
      <c r="O222" s="7" t="e">
        <f>getCodigoBackend(N222,A222,VLOOKUP(N222,setup!$A$8:$H$58,2),VLOOKUP(N222,setup!$A$8:$H$58,3),VLOOKUP(N222,setup!$A$8:$H$58,4),VLOOKUP(N222,setup!$A$8:$H$58,5),VLOOKUP(N222,setup!$A$8:$H$58,6),VLOOKUP(N222,setup!$A$8:$H$58,7), VLOOKUP(0,setup!$A$8:$H$58,2),VLOOKUP(0,setup!$A$8:$H$58,5),VLOOKUP(N222,setup!$A$8:$H$58,8))</f>
        <v>#VALUE!</v>
      </c>
    </row>
    <row r="223" spans="1:15" x14ac:dyDescent="0.25">
      <c r="A223" s="6" t="str">
        <f t="shared" si="7"/>
        <v xml:space="preserve">        . ' `' . self::${campo} . '`, ' </v>
      </c>
      <c r="N223">
        <f t="shared" si="8"/>
        <v>16</v>
      </c>
      <c r="O223" s="7" t="e">
        <f>getCodigoBackend(N223,A223,VLOOKUP(N223,setup!$A$8:$H$58,2),VLOOKUP(N223,setup!$A$8:$H$58,3),VLOOKUP(N223,setup!$A$8:$H$58,4),VLOOKUP(N223,setup!$A$8:$H$58,5),VLOOKUP(N223,setup!$A$8:$H$58,6),VLOOKUP(N223,setup!$A$8:$H$58,7), VLOOKUP(0,setup!$A$8:$H$58,2),VLOOKUP(0,setup!$A$8:$H$58,5),VLOOKUP(N223,setup!$A$8:$H$58,8))</f>
        <v>#VALUE!</v>
      </c>
    </row>
    <row r="224" spans="1:15" x14ac:dyDescent="0.25">
      <c r="A224" s="6" t="str">
        <f t="shared" si="7"/>
        <v xml:space="preserve">        . ' `' . self::${campo} . '`, ' </v>
      </c>
      <c r="N224">
        <f t="shared" si="8"/>
        <v>17</v>
      </c>
      <c r="O224" s="7" t="e">
        <f>getCodigoBackend(N224,A224,VLOOKUP(N224,setup!$A$8:$H$58,2),VLOOKUP(N224,setup!$A$8:$H$58,3),VLOOKUP(N224,setup!$A$8:$H$58,4),VLOOKUP(N224,setup!$A$8:$H$58,5),VLOOKUP(N224,setup!$A$8:$H$58,6),VLOOKUP(N224,setup!$A$8:$H$58,7), VLOOKUP(0,setup!$A$8:$H$58,2),VLOOKUP(0,setup!$A$8:$H$58,5),VLOOKUP(N224,setup!$A$8:$H$58,8))</f>
        <v>#VALUE!</v>
      </c>
    </row>
    <row r="225" spans="1:15" x14ac:dyDescent="0.25">
      <c r="A225" s="6" t="str">
        <f t="shared" si="7"/>
        <v xml:space="preserve">        . ' `' . self::${campo} . '`, ' </v>
      </c>
      <c r="N225">
        <f t="shared" si="8"/>
        <v>18</v>
      </c>
      <c r="O225" s="7" t="e">
        <f>getCodigoBackend(N225,A225,VLOOKUP(N225,setup!$A$8:$H$58,2),VLOOKUP(N225,setup!$A$8:$H$58,3),VLOOKUP(N225,setup!$A$8:$H$58,4),VLOOKUP(N225,setup!$A$8:$H$58,5),VLOOKUP(N225,setup!$A$8:$H$58,6),VLOOKUP(N225,setup!$A$8:$H$58,7), VLOOKUP(0,setup!$A$8:$H$58,2),VLOOKUP(0,setup!$A$8:$H$58,5),VLOOKUP(N225,setup!$A$8:$H$58,8))</f>
        <v>#VALUE!</v>
      </c>
    </row>
    <row r="226" spans="1:15" x14ac:dyDescent="0.25">
      <c r="A226" s="6" t="str">
        <f t="shared" si="7"/>
        <v xml:space="preserve">        . ' `' . self::${campo} . '`, ' </v>
      </c>
      <c r="N226">
        <f t="shared" si="8"/>
        <v>19</v>
      </c>
      <c r="O226" s="7" t="e">
        <f>getCodigoBackend(N226,A226,VLOOKUP(N226,setup!$A$8:$H$58,2),VLOOKUP(N226,setup!$A$8:$H$58,3),VLOOKUP(N226,setup!$A$8:$H$58,4),VLOOKUP(N226,setup!$A$8:$H$58,5),VLOOKUP(N226,setup!$A$8:$H$58,6),VLOOKUP(N226,setup!$A$8:$H$58,7), VLOOKUP(0,setup!$A$8:$H$58,2),VLOOKUP(0,setup!$A$8:$H$58,5),VLOOKUP(N226,setup!$A$8:$H$58,8))</f>
        <v>#VALUE!</v>
      </c>
    </row>
    <row r="227" spans="1:15" x14ac:dyDescent="0.25">
      <c r="A227" s="6" t="str">
        <f t="shared" si="7"/>
        <v xml:space="preserve">        . ' `' . self::${campo} . '`, ' </v>
      </c>
      <c r="N227">
        <f t="shared" si="8"/>
        <v>20</v>
      </c>
      <c r="O227" s="7" t="e">
        <f>getCodigoBackend(N227,A227,VLOOKUP(N227,setup!$A$8:$H$58,2),VLOOKUP(N227,setup!$A$8:$H$58,3),VLOOKUP(N227,setup!$A$8:$H$58,4),VLOOKUP(N227,setup!$A$8:$H$58,5),VLOOKUP(N227,setup!$A$8:$H$58,6),VLOOKUP(N227,setup!$A$8:$H$58,7), VLOOKUP(0,setup!$A$8:$H$58,2),VLOOKUP(0,setup!$A$8:$H$58,5),VLOOKUP(N227,setup!$A$8:$H$58,8))</f>
        <v>#VALUE!</v>
      </c>
    </row>
    <row r="228" spans="1:15" x14ac:dyDescent="0.25">
      <c r="A228" s="6" t="str">
        <f t="shared" si="7"/>
        <v xml:space="preserve">        . ' `' . self::${campo} . '`, ' </v>
      </c>
      <c r="N228">
        <f t="shared" si="8"/>
        <v>21</v>
      </c>
      <c r="O228" s="7" t="e">
        <f>getCodigoBackend(N228,A228,VLOOKUP(N228,setup!$A$8:$H$58,2),VLOOKUP(N228,setup!$A$8:$H$58,3),VLOOKUP(N228,setup!$A$8:$H$58,4),VLOOKUP(N228,setup!$A$8:$H$58,5),VLOOKUP(N228,setup!$A$8:$H$58,6),VLOOKUP(N228,setup!$A$8:$H$58,7), VLOOKUP(0,setup!$A$8:$H$58,2),VLOOKUP(0,setup!$A$8:$H$58,5),VLOOKUP(N228,setup!$A$8:$H$58,8))</f>
        <v>#VALUE!</v>
      </c>
    </row>
    <row r="229" spans="1:15" x14ac:dyDescent="0.25">
      <c r="A229" s="6" t="str">
        <f t="shared" si="7"/>
        <v xml:space="preserve">        . ' `' . self::${campo} . '`, ' </v>
      </c>
      <c r="N229">
        <f t="shared" si="8"/>
        <v>22</v>
      </c>
      <c r="O229" s="7" t="e">
        <f>getCodigoBackend(N229,A229,VLOOKUP(N229,setup!$A$8:$H$58,2),VLOOKUP(N229,setup!$A$8:$H$58,3),VLOOKUP(N229,setup!$A$8:$H$58,4),VLOOKUP(N229,setup!$A$8:$H$58,5),VLOOKUP(N229,setup!$A$8:$H$58,6),VLOOKUP(N229,setup!$A$8:$H$58,7), VLOOKUP(0,setup!$A$8:$H$58,2),VLOOKUP(0,setup!$A$8:$H$58,5),VLOOKUP(N229,setup!$A$8:$H$58,8))</f>
        <v>#VALUE!</v>
      </c>
    </row>
    <row r="230" spans="1:15" x14ac:dyDescent="0.25">
      <c r="A230" s="6" t="str">
        <f t="shared" si="7"/>
        <v xml:space="preserve">        . ' `' . self::${campo} . '`, ' </v>
      </c>
      <c r="N230">
        <f t="shared" si="8"/>
        <v>23</v>
      </c>
      <c r="O230" s="7" t="e">
        <f>getCodigoBackend(N230,A230,VLOOKUP(N230,setup!$A$8:$H$58,2),VLOOKUP(N230,setup!$A$8:$H$58,3),VLOOKUP(N230,setup!$A$8:$H$58,4),VLOOKUP(N230,setup!$A$8:$H$58,5),VLOOKUP(N230,setup!$A$8:$H$58,6),VLOOKUP(N230,setup!$A$8:$H$58,7), VLOOKUP(0,setup!$A$8:$H$58,2),VLOOKUP(0,setup!$A$8:$H$58,5),VLOOKUP(N230,setup!$A$8:$H$58,8))</f>
        <v>#VALUE!</v>
      </c>
    </row>
    <row r="231" spans="1:15" x14ac:dyDescent="0.25">
      <c r="A231" s="6" t="str">
        <f t="shared" si="7"/>
        <v xml:space="preserve">        . ' `' . self::${campo} . '`, ' </v>
      </c>
      <c r="N231">
        <f t="shared" si="8"/>
        <v>24</v>
      </c>
      <c r="O231" s="7" t="e">
        <f>getCodigoBackend(N231,A231,VLOOKUP(N231,setup!$A$8:$H$58,2),VLOOKUP(N231,setup!$A$8:$H$58,3),VLOOKUP(N231,setup!$A$8:$H$58,4),VLOOKUP(N231,setup!$A$8:$H$58,5),VLOOKUP(N231,setup!$A$8:$H$58,6),VLOOKUP(N231,setup!$A$8:$H$58,7), VLOOKUP(0,setup!$A$8:$H$58,2),VLOOKUP(0,setup!$A$8:$H$58,5),VLOOKUP(N231,setup!$A$8:$H$58,8))</f>
        <v>#VALUE!</v>
      </c>
    </row>
    <row r="232" spans="1:15" x14ac:dyDescent="0.25">
      <c r="A232" s="6" t="str">
        <f t="shared" si="7"/>
        <v xml:space="preserve">        . ' `' . self::${campo} . '`, ' </v>
      </c>
      <c r="N232">
        <f t="shared" si="8"/>
        <v>25</v>
      </c>
      <c r="O232" s="7" t="e">
        <f>getCodigoBackend(N232,A232,VLOOKUP(N232,setup!$A$8:$H$58,2),VLOOKUP(N232,setup!$A$8:$H$58,3),VLOOKUP(N232,setup!$A$8:$H$58,4),VLOOKUP(N232,setup!$A$8:$H$58,5),VLOOKUP(N232,setup!$A$8:$H$58,6),VLOOKUP(N232,setup!$A$8:$H$58,7), VLOOKUP(0,setup!$A$8:$H$58,2),VLOOKUP(0,setup!$A$8:$H$58,5),VLOOKUP(N232,setup!$A$8:$H$58,8))</f>
        <v>#VALUE!</v>
      </c>
    </row>
    <row r="233" spans="1:15" x14ac:dyDescent="0.25">
      <c r="A233" s="6" t="str">
        <f t="shared" si="7"/>
        <v xml:space="preserve">        . ' `' . self::${campo} . '`, ' </v>
      </c>
      <c r="N233">
        <f t="shared" si="8"/>
        <v>26</v>
      </c>
      <c r="O233" s="7" t="e">
        <f>getCodigoBackend(N233,A233,VLOOKUP(N233,setup!$A$8:$H$58,2),VLOOKUP(N233,setup!$A$8:$H$58,3),VLOOKUP(N233,setup!$A$8:$H$58,4),VLOOKUP(N233,setup!$A$8:$H$58,5),VLOOKUP(N233,setup!$A$8:$H$58,6),VLOOKUP(N233,setup!$A$8:$H$58,7), VLOOKUP(0,setup!$A$8:$H$58,2),VLOOKUP(0,setup!$A$8:$H$58,5),VLOOKUP(N233,setup!$A$8:$H$58,8))</f>
        <v>#VALUE!</v>
      </c>
    </row>
    <row r="234" spans="1:15" x14ac:dyDescent="0.25">
      <c r="A234" s="6" t="str">
        <f t="shared" si="7"/>
        <v xml:space="preserve">        . ' `' . self::${campo} . '`, ' </v>
      </c>
      <c r="N234">
        <f t="shared" si="8"/>
        <v>27</v>
      </c>
      <c r="O234" s="7" t="e">
        <f>getCodigoBackend(N234,A234,VLOOKUP(N234,setup!$A$8:$H$58,2),VLOOKUP(N234,setup!$A$8:$H$58,3),VLOOKUP(N234,setup!$A$8:$H$58,4),VLOOKUP(N234,setup!$A$8:$H$58,5),VLOOKUP(N234,setup!$A$8:$H$58,6),VLOOKUP(N234,setup!$A$8:$H$58,7), VLOOKUP(0,setup!$A$8:$H$58,2),VLOOKUP(0,setup!$A$8:$H$58,5),VLOOKUP(N234,setup!$A$8:$H$58,8))</f>
        <v>#VALUE!</v>
      </c>
    </row>
    <row r="235" spans="1:15" x14ac:dyDescent="0.25">
      <c r="A235" s="6" t="str">
        <f t="shared" si="7"/>
        <v xml:space="preserve">        . ' `' . self::${campo} . '`, ' </v>
      </c>
      <c r="N235">
        <f t="shared" si="8"/>
        <v>28</v>
      </c>
      <c r="O235" s="7" t="e">
        <f>getCodigoBackend(N235,A235,VLOOKUP(N235,setup!$A$8:$H$58,2),VLOOKUP(N235,setup!$A$8:$H$58,3),VLOOKUP(N235,setup!$A$8:$H$58,4),VLOOKUP(N235,setup!$A$8:$H$58,5),VLOOKUP(N235,setup!$A$8:$H$58,6),VLOOKUP(N235,setup!$A$8:$H$58,7), VLOOKUP(0,setup!$A$8:$H$58,2),VLOOKUP(0,setup!$A$8:$H$58,5),VLOOKUP(N235,setup!$A$8:$H$58,8))</f>
        <v>#VALUE!</v>
      </c>
    </row>
    <row r="236" spans="1:15" x14ac:dyDescent="0.25">
      <c r="A236" s="6" t="str">
        <f t="shared" si="7"/>
        <v xml:space="preserve">        . ' `' . self::${campo} . '`, ' </v>
      </c>
      <c r="N236">
        <f t="shared" si="8"/>
        <v>29</v>
      </c>
      <c r="O236" s="7" t="e">
        <f>getCodigoBackend(N236,A236,VLOOKUP(N236,setup!$A$8:$H$58,2),VLOOKUP(N236,setup!$A$8:$H$58,3),VLOOKUP(N236,setup!$A$8:$H$58,4),VLOOKUP(N236,setup!$A$8:$H$58,5),VLOOKUP(N236,setup!$A$8:$H$58,6),VLOOKUP(N236,setup!$A$8:$H$58,7), VLOOKUP(0,setup!$A$8:$H$58,2),VLOOKUP(0,setup!$A$8:$H$58,5),VLOOKUP(N236,setup!$A$8:$H$58,8))</f>
        <v>#VALUE!</v>
      </c>
    </row>
    <row r="237" spans="1:15" x14ac:dyDescent="0.25">
      <c r="A237" s="6" t="str">
        <f t="shared" si="7"/>
        <v xml:space="preserve">        . ' `' . self::${campo} . '`, ' </v>
      </c>
      <c r="N237">
        <f t="shared" si="8"/>
        <v>30</v>
      </c>
      <c r="O237" s="7" t="e">
        <f>getCodigoBackend(N237,A237,VLOOKUP(N237,setup!$A$8:$H$58,2),VLOOKUP(N237,setup!$A$8:$H$58,3),VLOOKUP(N237,setup!$A$8:$H$58,4),VLOOKUP(N237,setup!$A$8:$H$58,5),VLOOKUP(N237,setup!$A$8:$H$58,6),VLOOKUP(N237,setup!$A$8:$H$58,7), VLOOKUP(0,setup!$A$8:$H$58,2),VLOOKUP(0,setup!$A$8:$H$58,5),VLOOKUP(N237,setup!$A$8:$H$58,8))</f>
        <v>#VALUE!</v>
      </c>
    </row>
    <row r="238" spans="1:15" x14ac:dyDescent="0.25">
      <c r="A238" s="6" t="str">
        <f t="shared" si="7"/>
        <v xml:space="preserve">        . ' `' . self::${campo} . '`, ' </v>
      </c>
      <c r="N238">
        <f t="shared" si="8"/>
        <v>31</v>
      </c>
      <c r="O238" s="7" t="e">
        <f>getCodigoBackend(N238,A238,VLOOKUP(N238,setup!$A$8:$H$58,2),VLOOKUP(N238,setup!$A$8:$H$58,3),VLOOKUP(N238,setup!$A$8:$H$58,4),VLOOKUP(N238,setup!$A$8:$H$58,5),VLOOKUP(N238,setup!$A$8:$H$58,6),VLOOKUP(N238,setup!$A$8:$H$58,7), VLOOKUP(0,setup!$A$8:$H$58,2),VLOOKUP(0,setup!$A$8:$H$58,5),VLOOKUP(N238,setup!$A$8:$H$58,8))</f>
        <v>#VALUE!</v>
      </c>
    </row>
    <row r="239" spans="1:15" x14ac:dyDescent="0.25">
      <c r="A239" s="6" t="str">
        <f t="shared" si="7"/>
        <v xml:space="preserve">        . ' `' . self::${campo} . '`, ' </v>
      </c>
      <c r="N239">
        <f t="shared" ref="N239:N257" si="9">N238+1</f>
        <v>32</v>
      </c>
      <c r="O239" s="7" t="e">
        <f>getCodigoBackend(N239,A239,VLOOKUP(N239,setup!$A$8:$H$58,2),VLOOKUP(N239,setup!$A$8:$H$58,3),VLOOKUP(N239,setup!$A$8:$H$58,4),VLOOKUP(N239,setup!$A$8:$H$58,5),VLOOKUP(N239,setup!$A$8:$H$58,6),VLOOKUP(N239,setup!$A$8:$H$58,7), VLOOKUP(0,setup!$A$8:$H$58,2),VLOOKUP(0,setup!$A$8:$H$58,5),VLOOKUP(N239,setup!$A$8:$H$58,8))</f>
        <v>#VALUE!</v>
      </c>
    </row>
    <row r="240" spans="1:15" x14ac:dyDescent="0.25">
      <c r="A240" s="6" t="str">
        <f t="shared" si="7"/>
        <v xml:space="preserve">        . ' `' . self::${campo} . '`, ' </v>
      </c>
      <c r="N240">
        <f t="shared" si="9"/>
        <v>33</v>
      </c>
      <c r="O240" s="7" t="e">
        <f>getCodigoBackend(N240,A240,VLOOKUP(N240,setup!$A$8:$H$58,2),VLOOKUP(N240,setup!$A$8:$H$58,3),VLOOKUP(N240,setup!$A$8:$H$58,4),VLOOKUP(N240,setup!$A$8:$H$58,5),VLOOKUP(N240,setup!$A$8:$H$58,6),VLOOKUP(N240,setup!$A$8:$H$58,7), VLOOKUP(0,setup!$A$8:$H$58,2),VLOOKUP(0,setup!$A$8:$H$58,5),VLOOKUP(N240,setup!$A$8:$H$58,8))</f>
        <v>#VALUE!</v>
      </c>
    </row>
    <row r="241" spans="1:15" x14ac:dyDescent="0.25">
      <c r="A241" s="6" t="str">
        <f t="shared" si="7"/>
        <v xml:space="preserve">        . ' `' . self::${campo} . '`, ' </v>
      </c>
      <c r="N241">
        <f t="shared" si="9"/>
        <v>34</v>
      </c>
      <c r="O241" s="7" t="e">
        <f>getCodigoBackend(N241,A241,VLOOKUP(N241,setup!$A$8:$H$58,2),VLOOKUP(N241,setup!$A$8:$H$58,3),VLOOKUP(N241,setup!$A$8:$H$58,4),VLOOKUP(N241,setup!$A$8:$H$58,5),VLOOKUP(N241,setup!$A$8:$H$58,6),VLOOKUP(N241,setup!$A$8:$H$58,7), VLOOKUP(0,setup!$A$8:$H$58,2),VLOOKUP(0,setup!$A$8:$H$58,5),VLOOKUP(N241,setup!$A$8:$H$58,8))</f>
        <v>#VALUE!</v>
      </c>
    </row>
    <row r="242" spans="1:15" x14ac:dyDescent="0.25">
      <c r="A242" s="6" t="str">
        <f t="shared" si="7"/>
        <v xml:space="preserve">        . ' `' . self::${campo} . '`, ' </v>
      </c>
      <c r="N242">
        <f t="shared" si="9"/>
        <v>35</v>
      </c>
      <c r="O242" s="7" t="e">
        <f>getCodigoBackend(N242,A242,VLOOKUP(N242,setup!$A$8:$H$58,2),VLOOKUP(N242,setup!$A$8:$H$58,3),VLOOKUP(N242,setup!$A$8:$H$58,4),VLOOKUP(N242,setup!$A$8:$H$58,5),VLOOKUP(N242,setup!$A$8:$H$58,6),VLOOKUP(N242,setup!$A$8:$H$58,7), VLOOKUP(0,setup!$A$8:$H$58,2),VLOOKUP(0,setup!$A$8:$H$58,5),VLOOKUP(N242,setup!$A$8:$H$58,8))</f>
        <v>#VALUE!</v>
      </c>
    </row>
    <row r="243" spans="1:15" x14ac:dyDescent="0.25">
      <c r="A243" s="6" t="str">
        <f t="shared" si="7"/>
        <v xml:space="preserve">        . ' `' . self::${campo} . '`, ' </v>
      </c>
      <c r="N243">
        <f t="shared" si="9"/>
        <v>36</v>
      </c>
      <c r="O243" s="7" t="e">
        <f>getCodigoBackend(N243,A243,VLOOKUP(N243,setup!$A$8:$H$58,2),VLOOKUP(N243,setup!$A$8:$H$58,3),VLOOKUP(N243,setup!$A$8:$H$58,4),VLOOKUP(N243,setup!$A$8:$H$58,5),VLOOKUP(N243,setup!$A$8:$H$58,6),VLOOKUP(N243,setup!$A$8:$H$58,7), VLOOKUP(0,setup!$A$8:$H$58,2),VLOOKUP(0,setup!$A$8:$H$58,5),VLOOKUP(N243,setup!$A$8:$H$58,8))</f>
        <v>#VALUE!</v>
      </c>
    </row>
    <row r="244" spans="1:15" x14ac:dyDescent="0.25">
      <c r="A244" s="6" t="str">
        <f t="shared" si="7"/>
        <v xml:space="preserve">        . ' `' . self::${campo} . '`, ' </v>
      </c>
      <c r="N244">
        <f t="shared" si="9"/>
        <v>37</v>
      </c>
      <c r="O244" s="7" t="e">
        <f>getCodigoBackend(N244,A244,VLOOKUP(N244,setup!$A$8:$H$58,2),VLOOKUP(N244,setup!$A$8:$H$58,3),VLOOKUP(N244,setup!$A$8:$H$58,4),VLOOKUP(N244,setup!$A$8:$H$58,5),VLOOKUP(N244,setup!$A$8:$H$58,6),VLOOKUP(N244,setup!$A$8:$H$58,7), VLOOKUP(0,setup!$A$8:$H$58,2),VLOOKUP(0,setup!$A$8:$H$58,5),VLOOKUP(N244,setup!$A$8:$H$58,8))</f>
        <v>#VALUE!</v>
      </c>
    </row>
    <row r="245" spans="1:15" x14ac:dyDescent="0.25">
      <c r="A245" s="6" t="str">
        <f t="shared" si="7"/>
        <v xml:space="preserve">        . ' `' . self::${campo} . '`, ' </v>
      </c>
      <c r="N245">
        <f t="shared" si="9"/>
        <v>38</v>
      </c>
      <c r="O245" s="7" t="e">
        <f>getCodigoBackend(N245,A245,VLOOKUP(N245,setup!$A$8:$H$58,2),VLOOKUP(N245,setup!$A$8:$H$58,3),VLOOKUP(N245,setup!$A$8:$H$58,4),VLOOKUP(N245,setup!$A$8:$H$58,5),VLOOKUP(N245,setup!$A$8:$H$58,6),VLOOKUP(N245,setup!$A$8:$H$58,7), VLOOKUP(0,setup!$A$8:$H$58,2),VLOOKUP(0,setup!$A$8:$H$58,5),VLOOKUP(N245,setup!$A$8:$H$58,8))</f>
        <v>#VALUE!</v>
      </c>
    </row>
    <row r="246" spans="1:15" x14ac:dyDescent="0.25">
      <c r="A246" s="6" t="str">
        <f t="shared" si="7"/>
        <v xml:space="preserve">        . ' `' . self::${campo} . '`, ' </v>
      </c>
      <c r="N246">
        <f t="shared" si="9"/>
        <v>39</v>
      </c>
      <c r="O246" s="7" t="e">
        <f>getCodigoBackend(N246,A246,VLOOKUP(N246,setup!$A$8:$H$58,2),VLOOKUP(N246,setup!$A$8:$H$58,3),VLOOKUP(N246,setup!$A$8:$H$58,4),VLOOKUP(N246,setup!$A$8:$H$58,5),VLOOKUP(N246,setup!$A$8:$H$58,6),VLOOKUP(N246,setup!$A$8:$H$58,7), VLOOKUP(0,setup!$A$8:$H$58,2),VLOOKUP(0,setup!$A$8:$H$58,5),VLOOKUP(N246,setup!$A$8:$H$58,8))</f>
        <v>#VALUE!</v>
      </c>
    </row>
    <row r="247" spans="1:15" x14ac:dyDescent="0.25">
      <c r="A247" s="6" t="str">
        <f t="shared" si="7"/>
        <v xml:space="preserve">        . ' `' . self::${campo} . '`, ' </v>
      </c>
      <c r="N247">
        <f t="shared" si="9"/>
        <v>40</v>
      </c>
      <c r="O247" s="7" t="e">
        <f>getCodigoBackend(N247,A247,VLOOKUP(N247,setup!$A$8:$H$58,2),VLOOKUP(N247,setup!$A$8:$H$58,3),VLOOKUP(N247,setup!$A$8:$H$58,4),VLOOKUP(N247,setup!$A$8:$H$58,5),VLOOKUP(N247,setup!$A$8:$H$58,6),VLOOKUP(N247,setup!$A$8:$H$58,7), VLOOKUP(0,setup!$A$8:$H$58,2),VLOOKUP(0,setup!$A$8:$H$58,5),VLOOKUP(N247,setup!$A$8:$H$58,8))</f>
        <v>#VALUE!</v>
      </c>
    </row>
    <row r="248" spans="1:15" x14ac:dyDescent="0.25">
      <c r="A248" s="6" t="str">
        <f t="shared" si="7"/>
        <v xml:space="preserve">        . ' `' . self::${campo} . '`, ' </v>
      </c>
      <c r="N248">
        <f t="shared" si="9"/>
        <v>41</v>
      </c>
      <c r="O248" s="7" t="e">
        <f>getCodigoBackend(N248,A248,VLOOKUP(N248,setup!$A$8:$H$58,2),VLOOKUP(N248,setup!$A$8:$H$58,3),VLOOKUP(N248,setup!$A$8:$H$58,4),VLOOKUP(N248,setup!$A$8:$H$58,5),VLOOKUP(N248,setup!$A$8:$H$58,6),VLOOKUP(N248,setup!$A$8:$H$58,7), VLOOKUP(0,setup!$A$8:$H$58,2),VLOOKUP(0,setup!$A$8:$H$58,5),VLOOKUP(N248,setup!$A$8:$H$58,8))</f>
        <v>#VALUE!</v>
      </c>
    </row>
    <row r="249" spans="1:15" x14ac:dyDescent="0.25">
      <c r="A249" s="6" t="str">
        <f t="shared" si="7"/>
        <v xml:space="preserve">        . ' `' . self::${campo} . '`, ' </v>
      </c>
      <c r="N249">
        <f t="shared" si="9"/>
        <v>42</v>
      </c>
      <c r="O249" s="7" t="e">
        <f>getCodigoBackend(N249,A249,VLOOKUP(N249,setup!$A$8:$H$58,2),VLOOKUP(N249,setup!$A$8:$H$58,3),VLOOKUP(N249,setup!$A$8:$H$58,4),VLOOKUP(N249,setup!$A$8:$H$58,5),VLOOKUP(N249,setup!$A$8:$H$58,6),VLOOKUP(N249,setup!$A$8:$H$58,7), VLOOKUP(0,setup!$A$8:$H$58,2),VLOOKUP(0,setup!$A$8:$H$58,5),VLOOKUP(N249,setup!$A$8:$H$58,8))</f>
        <v>#VALUE!</v>
      </c>
    </row>
    <row r="250" spans="1:15" x14ac:dyDescent="0.25">
      <c r="A250" s="6" t="str">
        <f t="shared" si="7"/>
        <v xml:space="preserve">        . ' `' . self::${campo} . '`, ' </v>
      </c>
      <c r="N250">
        <f t="shared" si="9"/>
        <v>43</v>
      </c>
      <c r="O250" s="7" t="e">
        <f>getCodigoBackend(N250,A250,VLOOKUP(N250,setup!$A$8:$H$58,2),VLOOKUP(N250,setup!$A$8:$H$58,3),VLOOKUP(N250,setup!$A$8:$H$58,4),VLOOKUP(N250,setup!$A$8:$H$58,5),VLOOKUP(N250,setup!$A$8:$H$58,6),VLOOKUP(N250,setup!$A$8:$H$58,7), VLOOKUP(0,setup!$A$8:$H$58,2),VLOOKUP(0,setup!$A$8:$H$58,5),VLOOKUP(N250,setup!$A$8:$H$58,8))</f>
        <v>#VALUE!</v>
      </c>
    </row>
    <row r="251" spans="1:15" x14ac:dyDescent="0.25">
      <c r="A251" s="6" t="str">
        <f t="shared" si="7"/>
        <v xml:space="preserve">        . ' `' . self::${campo} . '`, ' </v>
      </c>
      <c r="N251">
        <f t="shared" si="9"/>
        <v>44</v>
      </c>
      <c r="O251" s="7" t="e">
        <f>getCodigoBackend(N251,A251,VLOOKUP(N251,setup!$A$8:$H$58,2),VLOOKUP(N251,setup!$A$8:$H$58,3),VLOOKUP(N251,setup!$A$8:$H$58,4),VLOOKUP(N251,setup!$A$8:$H$58,5),VLOOKUP(N251,setup!$A$8:$H$58,6),VLOOKUP(N251,setup!$A$8:$H$58,7), VLOOKUP(0,setup!$A$8:$H$58,2),VLOOKUP(0,setup!$A$8:$H$58,5),VLOOKUP(N251,setup!$A$8:$H$58,8))</f>
        <v>#VALUE!</v>
      </c>
    </row>
    <row r="252" spans="1:15" x14ac:dyDescent="0.25">
      <c r="A252" s="6" t="str">
        <f t="shared" si="7"/>
        <v xml:space="preserve">        . ' `' . self::${campo} . '`, ' </v>
      </c>
      <c r="N252">
        <f t="shared" si="9"/>
        <v>45</v>
      </c>
      <c r="O252" s="7" t="e">
        <f>getCodigoBackend(N252,A252,VLOOKUP(N252,setup!$A$8:$H$58,2),VLOOKUP(N252,setup!$A$8:$H$58,3),VLOOKUP(N252,setup!$A$8:$H$58,4),VLOOKUP(N252,setup!$A$8:$H$58,5),VLOOKUP(N252,setup!$A$8:$H$58,6),VLOOKUP(N252,setup!$A$8:$H$58,7), VLOOKUP(0,setup!$A$8:$H$58,2),VLOOKUP(0,setup!$A$8:$H$58,5),VLOOKUP(N252,setup!$A$8:$H$58,8))</f>
        <v>#VALUE!</v>
      </c>
    </row>
    <row r="253" spans="1:15" x14ac:dyDescent="0.25">
      <c r="A253" s="6" t="str">
        <f t="shared" si="7"/>
        <v xml:space="preserve">        . ' `' . self::${campo} . '`, ' </v>
      </c>
      <c r="N253">
        <f t="shared" si="9"/>
        <v>46</v>
      </c>
      <c r="O253" s="7" t="e">
        <f>getCodigoBackend(N253,A253,VLOOKUP(N253,setup!$A$8:$H$58,2),VLOOKUP(N253,setup!$A$8:$H$58,3),VLOOKUP(N253,setup!$A$8:$H$58,4),VLOOKUP(N253,setup!$A$8:$H$58,5),VLOOKUP(N253,setup!$A$8:$H$58,6),VLOOKUP(N253,setup!$A$8:$H$58,7), VLOOKUP(0,setup!$A$8:$H$58,2),VLOOKUP(0,setup!$A$8:$H$58,5),VLOOKUP(N253,setup!$A$8:$H$58,8))</f>
        <v>#VALUE!</v>
      </c>
    </row>
    <row r="254" spans="1:15" x14ac:dyDescent="0.25">
      <c r="A254" s="6" t="str">
        <f t="shared" si="7"/>
        <v xml:space="preserve">        . ' `' . self::${campo} . '`, ' </v>
      </c>
      <c r="N254">
        <f t="shared" si="9"/>
        <v>47</v>
      </c>
      <c r="O254" s="7" t="e">
        <f>getCodigoBackend(N254,A254,VLOOKUP(N254,setup!$A$8:$H$58,2),VLOOKUP(N254,setup!$A$8:$H$58,3),VLOOKUP(N254,setup!$A$8:$H$58,4),VLOOKUP(N254,setup!$A$8:$H$58,5),VLOOKUP(N254,setup!$A$8:$H$58,6),VLOOKUP(N254,setup!$A$8:$H$58,7), VLOOKUP(0,setup!$A$8:$H$58,2),VLOOKUP(0,setup!$A$8:$H$58,5),VLOOKUP(N254,setup!$A$8:$H$58,8))</f>
        <v>#VALUE!</v>
      </c>
    </row>
    <row r="255" spans="1:15" x14ac:dyDescent="0.25">
      <c r="A255" s="6" t="str">
        <f t="shared" si="7"/>
        <v xml:space="preserve">        . ' `' . self::${campo} . '`, ' </v>
      </c>
      <c r="N255">
        <f t="shared" si="9"/>
        <v>48</v>
      </c>
      <c r="O255" s="7" t="str">
        <f ca="1">getCodigoBackend(N255,A255,VLOOKUP(N255,setup!$A$8:$H$58,2),VLOOKUP(N255,setup!$A$8:$H$58,3),VLOOKUP(N255,setup!$A$8:$H$58,4),VLOOKUP(N255,setup!$A$8:$H$58,5),VLOOKUP(N255,setup!$A$8:$H$58,6),VLOOKUP(N255,setup!$A$8:$H$58,7), VLOOKUP(0,setup!$A$8:$H$58,2),VLOOKUP(0,setup!$A$8:$H$58,5),VLOOKUP(N255,setup!$A$8:$H$58,8))</f>
        <v xml:space="preserve">        . ' `' . self::CCRP_IN_STATUS . '`, ' </v>
      </c>
    </row>
    <row r="256" spans="1:15" x14ac:dyDescent="0.25">
      <c r="A256" s="6" t="str">
        <f t="shared" si="7"/>
        <v xml:space="preserve">        . ' `' . self::${campo} . '`, ' </v>
      </c>
      <c r="N256">
        <f t="shared" si="9"/>
        <v>49</v>
      </c>
      <c r="O256" s="7" t="str">
        <f ca="1">getCodigoBackend(N256,A256,VLOOKUP(N256,setup!$A$8:$H$58,2),VLOOKUP(N256,setup!$A$8:$H$58,3),VLOOKUP(N256,setup!$A$8:$H$58,4),VLOOKUP(N256,setup!$A$8:$H$58,5),VLOOKUP(N256,setup!$A$8:$H$58,6),VLOOKUP(N256,setup!$A$8:$H$58,7), VLOOKUP(0,setup!$A$8:$H$58,2),VLOOKUP(0,setup!$A$8:$H$58,5),VLOOKUP(N256,setup!$A$8:$H$58,8))</f>
        <v xml:space="preserve">        . ' `' . self::CCRP_DT_CADASTRO . '`, ' </v>
      </c>
    </row>
    <row r="257" spans="1:15" x14ac:dyDescent="0.25">
      <c r="A257" s="6" t="str">
        <f>CONCATENATE("        . ' `' . self::${campo} . '` ' ")</f>
        <v xml:space="preserve">        . ' `' . self::${campo} . '` ' </v>
      </c>
      <c r="N257">
        <f t="shared" si="9"/>
        <v>50</v>
      </c>
      <c r="O257" s="7" t="str">
        <f ca="1">getCodigoBackend(N257,A257,VLOOKUP(N257,setup!$A$8:$H$58,2),VLOOKUP(N257,setup!$A$8:$H$58,3),VLOOKUP(N257,setup!$A$8:$H$58,4),VLOOKUP(N257,setup!$A$8:$H$58,5),VLOOKUP(N257,setup!$A$8:$H$58,6),VLOOKUP(N257,setup!$A$8:$H$58,7), VLOOKUP(0,setup!$A$8:$H$58,2),VLOOKUP(0,setup!$A$8:$H$58,5),VLOOKUP(N257,setup!$A$8:$H$58,8))</f>
        <v xml:space="preserve">        . ' `' . self::CCRP_DT_UPDATE . '` ' </v>
      </c>
    </row>
    <row r="258" spans="1:15" x14ac:dyDescent="0.25">
      <c r="A258" s="6" t="s">
        <v>112</v>
      </c>
      <c r="O258" s="7" t="str">
        <f ca="1">getCodigoBackend(N258,A258,VLOOKUP(N258,setup!$A$8:$H$58,2),VLOOKUP(N258,setup!$A$8:$H$58,3),VLOOKUP(N258,setup!$A$8:$H$58,4),VLOOKUP(N258,setup!$A$8:$H$58,5),VLOOKUP(N258,setup!$A$8:$H$58,6),VLOOKUP(N258,setup!$A$8:$H$58,7), VLOOKUP(0,setup!$A$8:$H$58,2),VLOOKUP(0,setup!$A$8:$H$58,5),VLOOKUP(N258,setup!$A$8:$H$58,8))</f>
        <v>        . ' FROM `'.self::TABELA.'` ';</v>
      </c>
    </row>
    <row r="259" spans="1:15" x14ac:dyDescent="0.25">
      <c r="A259" s="6"/>
      <c r="O259" s="7" t="str">
        <f ca="1">getCodigoBackend(N259,A259,VLOOKUP(N259,setup!$A$8:$H$58,2),VLOOKUP(N259,setup!$A$8:$H$58,3),VLOOKUP(N259,setup!$A$8:$H$58,4),VLOOKUP(N259,setup!$A$8:$H$58,5),VLOOKUP(N259,setup!$A$8:$H$58,6),VLOOKUP(N259,setup!$A$8:$H$58,7), VLOOKUP(0,setup!$A$8:$H$58,2),VLOOKUP(0,setup!$A$8:$H$58,5),VLOOKUP(N259,setup!$A$8:$H$58,8))</f>
        <v/>
      </c>
    </row>
    <row r="260" spans="1:15" x14ac:dyDescent="0.25">
      <c r="A260" s="6" t="s">
        <v>186</v>
      </c>
      <c r="O260" s="7" t="str">
        <f ca="1">getCodigoBackend(N260,A260,VLOOKUP(N260,setup!$A$8:$H$58,2),VLOOKUP(N260,setup!$A$8:$H$58,3),VLOOKUP(N260,setup!$A$8:$H$58,4),VLOOKUP(N260,setup!$A$8:$H$58,5),VLOOKUP(N260,setup!$A$8:$H$58,6),VLOOKUP(N260,setup!$A$8:$H$58,7), VLOOKUP(0,setup!$A$8:$H$58,2),VLOOKUP(0,setup!$A$8:$H$58,5),VLOOKUP(N260,setup!$A$8:$H$58,8))</f>
        <v>    const SQL_COUNT = 'SELECT COUNT(*) AS contador '</v>
      </c>
    </row>
    <row r="261" spans="1:15" x14ac:dyDescent="0.25">
      <c r="A261" s="6" t="s">
        <v>187</v>
      </c>
      <c r="O261" s="7" t="str">
        <f ca="1">getCodigoBackend(N261,A261,VLOOKUP(N261,setup!$A$8:$H$58,2),VLOOKUP(N261,setup!$A$8:$H$58,3),VLOOKUP(N261,setup!$A$8:$H$58,4),VLOOKUP(N261,setup!$A$8:$H$58,5),VLOOKUP(N261,setup!$A$8:$H$58,6),VLOOKUP(N261,setup!$A$8:$H$58,7), VLOOKUP(0,setup!$A$8:$H$58,2),VLOOKUP(0,setup!$A$8:$H$58,5),VLOOKUP(N261,setup!$A$8:$H$58,8))</f>
        <v>    . ' FROM `'.self::TABELA.'` ';</v>
      </c>
    </row>
    <row r="262" spans="1:15" x14ac:dyDescent="0.25">
      <c r="A262" s="6"/>
      <c r="O262" s="7" t="str">
        <f ca="1">getCodigoBackend(N262,A262,VLOOKUP(N262,setup!$A$8:$H$58,2),VLOOKUP(N262,setup!$A$8:$H$58,3),VLOOKUP(N262,setup!$A$8:$H$58,4),VLOOKUP(N262,setup!$A$8:$H$58,5),VLOOKUP(N262,setup!$A$8:$H$58,6),VLOOKUP(N262,setup!$A$8:$H$58,7), VLOOKUP(0,setup!$A$8:$H$58,2),VLOOKUP(0,setup!$A$8:$H$58,5),VLOOKUP(N262,setup!$A$8:$H$58,8))</f>
        <v/>
      </c>
    </row>
    <row r="263" spans="1:15" x14ac:dyDescent="0.25">
      <c r="A263" s="29" t="s">
        <v>762</v>
      </c>
      <c r="N263">
        <v>1</v>
      </c>
      <c r="O263" s="7" t="str">
        <f ca="1">getCodigoBackend(N263,A263,VLOOKUP(N263,setup!$A$8:$H$58,2),VLOOKUP(N263,setup!$A$8:$H$58,3),VLOOKUP(N263,setup!$A$8:$H$58,4),VLOOKUP(N263,setup!$A$8:$H$58,5),VLOOKUP(N263,setup!$A$8:$H$58,6),VLOOKUP(N263,setup!$A$8:$H$58,7), VLOOKUP(0,setup!$A$8:$H$58,2),VLOOKUP(0,setup!$A$8:$H$58,5),VLOOKUP(N263,setup!$A$8:$H$58,8))</f>
        <v>    const UPD_CAMPANHA_CASHBACK_RESGATE_PIX_CACA_ID_PK = 'UPDATE `' . self::TABELA . '` set ' . ' `' . self::CACA_ID . '` = ? ' . 'WHERE ' . ' `' . self::CCRP_ID . '` = ? ' ;</v>
      </c>
    </row>
    <row r="264" spans="1:15" x14ac:dyDescent="0.25">
      <c r="A264" s="29" t="s">
        <v>762</v>
      </c>
      <c r="N264">
        <f>N263+1</f>
        <v>2</v>
      </c>
      <c r="O264" s="7" t="str">
        <f ca="1">getCodigoBackend(N264,A264,VLOOKUP(N264,setup!$A$8:$H$58,2),VLOOKUP(N264,setup!$A$8:$H$58,3),VLOOKUP(N264,setup!$A$8:$H$58,4),VLOOKUP(N264,setup!$A$8:$H$58,5),VLOOKUP(N264,setup!$A$8:$H$58,6),VLOOKUP(N264,setup!$A$8:$H$58,7), VLOOKUP(0,setup!$A$8:$H$58,2),VLOOKUP(0,setup!$A$8:$H$58,5),VLOOKUP(N264,setup!$A$8:$H$58,8))</f>
        <v>    const UPD_CAMPANHA_CASHBACK_RESGATE_PIX_USUA_ID_PK = 'UPDATE `' . self::TABELA . '` set ' . ' `' . self::USUA_ID . '` = ? ' . 'WHERE ' . ' `' . self::CCRP_ID . '` = ? ' ;</v>
      </c>
    </row>
    <row r="265" spans="1:15" x14ac:dyDescent="0.25">
      <c r="A265" s="29" t="s">
        <v>762</v>
      </c>
      <c r="N265">
        <f t="shared" ref="N265:N312" si="10">N264+1</f>
        <v>3</v>
      </c>
      <c r="O265" s="7" t="str">
        <f ca="1">getCodigoBackend(N265,A265,VLOOKUP(N265,setup!$A$8:$H$58,2),VLOOKUP(N265,setup!$A$8:$H$58,3),VLOOKUP(N265,setup!$A$8:$H$58,4),VLOOKUP(N265,setup!$A$8:$H$58,5),VLOOKUP(N265,setup!$A$8:$H$58,6),VLOOKUP(N265,setup!$A$8:$H$58,7), VLOOKUP(0,setup!$A$8:$H$58,2),VLOOKUP(0,setup!$A$8:$H$58,5),VLOOKUP(N265,setup!$A$8:$H$58,8))</f>
        <v>    const UPD_CAMPANHA_CASHBACK_RESGATE_PIX_CCRP_IN_TIPO_CHAVE_PIX_PK = 'UPDATE `' . self::TABELA . '` set ' . ' `' . self::CCRP_IN_TIPO_CHAVE_PIX . '` = ? ' . 'WHERE ' . ' `' . self::CCRP_ID . '` = ? ' ;</v>
      </c>
    </row>
    <row r="266" spans="1:15" x14ac:dyDescent="0.25">
      <c r="A266" s="29" t="s">
        <v>762</v>
      </c>
      <c r="N266">
        <f t="shared" si="10"/>
        <v>4</v>
      </c>
      <c r="O266" s="7" t="str">
        <f ca="1">getCodigoBackend(N266,A266,VLOOKUP(N266,setup!$A$8:$H$58,2),VLOOKUP(N266,setup!$A$8:$H$58,3),VLOOKUP(N266,setup!$A$8:$H$58,4),VLOOKUP(N266,setup!$A$8:$H$58,5),VLOOKUP(N266,setup!$A$8:$H$58,6),VLOOKUP(N266,setup!$A$8:$H$58,7), VLOOKUP(0,setup!$A$8:$H$58,2),VLOOKUP(0,setup!$A$8:$H$58,5),VLOOKUP(N266,setup!$A$8:$H$58,8))</f>
        <v>    const UPD_CAMPANHA_CASHBACK_RESGATE_PIX_CCRP_TX_CHAVE_PIX_PK = 'UPDATE `' . self::TABELA . '` set ' . ' `' . self::CCRP_TX_CHAVE_PIX . '` = ? ' . 'WHERE ' . ' `' . self::CCRP_ID . '` = ? ' ;</v>
      </c>
    </row>
    <row r="267" spans="1:15" x14ac:dyDescent="0.25">
      <c r="A267" s="29" t="s">
        <v>762</v>
      </c>
      <c r="N267">
        <f t="shared" si="10"/>
        <v>5</v>
      </c>
      <c r="O267" s="7" t="str">
        <f ca="1">getCodigoBackend(N267,A267,VLOOKUP(N267,setup!$A$8:$H$58,2),VLOOKUP(N267,setup!$A$8:$H$58,3),VLOOKUP(N267,setup!$A$8:$H$58,4),VLOOKUP(N267,setup!$A$8:$H$58,5),VLOOKUP(N267,setup!$A$8:$H$58,6),VLOOKUP(N267,setup!$A$8:$H$58,7), VLOOKUP(0,setup!$A$8:$H$58,2),VLOOKUP(0,setup!$A$8:$H$58,5),VLOOKUP(N267,setup!$A$8:$H$58,8))</f>
        <v>    const UPD_CAMPANHA_CASHBACK_RESGATE_PIX_CCRP_VL_RESGATE_PK = 'UPDATE `' . self::TABELA . '` set ' . ' `' . self::CCRP_VL_RESGATE . '` = ? ' . 'WHERE ' . ' `' . self::CCRP_ID . '` = ? ' ;</v>
      </c>
    </row>
    <row r="268" spans="1:15" x14ac:dyDescent="0.25">
      <c r="A268" s="29" t="s">
        <v>762</v>
      </c>
      <c r="N268">
        <f t="shared" si="10"/>
        <v>6</v>
      </c>
      <c r="O268" s="7" t="str">
        <f ca="1">getCodigoBackend(N268,A268,VLOOKUP(N268,setup!$A$8:$H$58,2),VLOOKUP(N268,setup!$A$8:$H$58,3),VLOOKUP(N268,setup!$A$8:$H$58,4),VLOOKUP(N268,setup!$A$8:$H$58,5),VLOOKUP(N268,setup!$A$8:$H$58,6),VLOOKUP(N268,setup!$A$8:$H$58,7), VLOOKUP(0,setup!$A$8:$H$58,2),VLOOKUP(0,setup!$A$8:$H$58,5),VLOOKUP(N268,setup!$A$8:$H$58,8))</f>
        <v>    const UPD_CAMPANHA_CASHBACK_RESGATE_PIX_CCRP_TX_AUTENT_BCO_PK = 'UPDATE `' . self::TABELA . '` set ' . ' `' . self::CCRP_TX_AUTENT_BCO . '` = ? ' . 'WHERE ' . ' `' . self::CCRP_ID . '` = ? ' ;</v>
      </c>
    </row>
    <row r="269" spans="1:15" x14ac:dyDescent="0.25">
      <c r="A269" s="29" t="s">
        <v>762</v>
      </c>
      <c r="N269">
        <f t="shared" si="10"/>
        <v>7</v>
      </c>
      <c r="O269" s="7" t="str">
        <f ca="1">getCodigoBackend(N269,A269,VLOOKUP(N269,setup!$A$8:$H$58,2),VLOOKUP(N269,setup!$A$8:$H$58,3),VLOOKUP(N269,setup!$A$8:$H$58,4),VLOOKUP(N269,setup!$A$8:$H$58,5),VLOOKUP(N269,setup!$A$8:$H$58,6),VLOOKUP(N269,setup!$A$8:$H$58,7), VLOOKUP(0,setup!$A$8:$H$58,2),VLOOKUP(0,setup!$A$8:$H$58,5),VLOOKUP(N269,setup!$A$8:$H$58,8))</f>
        <v>    const UPD_CAMPANHA_CASHBACK_RESGATE_PIX_CCRP_IN_ESTAGIO_RT_PK = 'UPDATE `' . self::TABELA . '` set ' . ' `' . self::CCRP_IN_ESTAGIO_RT . '` = ? ' . 'WHERE ' . ' `' . self::CCRP_ID . '` = ? ' ;</v>
      </c>
    </row>
    <row r="270" spans="1:15" x14ac:dyDescent="0.25">
      <c r="A270" s="29" t="s">
        <v>762</v>
      </c>
      <c r="N270">
        <f t="shared" si="10"/>
        <v>8</v>
      </c>
      <c r="O270" s="7" t="str">
        <f ca="1">getCodigoBackend(N270,A270,VLOOKUP(N270,setup!$A$8:$H$58,2),VLOOKUP(N270,setup!$A$8:$H$58,3),VLOOKUP(N270,setup!$A$8:$H$58,4),VLOOKUP(N270,setup!$A$8:$H$58,5),VLOOKUP(N270,setup!$A$8:$H$58,6),VLOOKUP(N270,setup!$A$8:$H$58,7), VLOOKUP(0,setup!$A$8:$H$58,2),VLOOKUP(0,setup!$A$8:$H$58,5),VLOOKUP(N270,setup!$A$8:$H$58,8))</f>
        <v>    const UPD_CAMPANHA_CASHBACK_RESGATE_PIX_CCRP_DT_ESTAGIO_ANALISE_PK = 'UPDATE `' . self::TABELA . '` set ' . ' `' . self::CCRP_DT_ESTAGIO_ANALISE . '` = ? ' . 'WHERE ' . ' `' . self::CCRP_ID . '` = ? ' ;</v>
      </c>
    </row>
    <row r="271" spans="1:15" x14ac:dyDescent="0.25">
      <c r="A271" s="29" t="s">
        <v>762</v>
      </c>
      <c r="N271">
        <f t="shared" si="10"/>
        <v>9</v>
      </c>
      <c r="O271" s="7" t="str">
        <f ca="1">getCodigoBackend(N271,A271,VLOOKUP(N271,setup!$A$8:$H$58,2),VLOOKUP(N271,setup!$A$8:$H$58,3),VLOOKUP(N271,setup!$A$8:$H$58,4),VLOOKUP(N271,setup!$A$8:$H$58,5),VLOOKUP(N271,setup!$A$8:$H$58,6),VLOOKUP(N271,setup!$A$8:$H$58,7), VLOOKUP(0,setup!$A$8:$H$58,2),VLOOKUP(0,setup!$A$8:$H$58,5),VLOOKUP(N271,setup!$A$8:$H$58,8))</f>
        <v>    const UPD_CAMPANHA_CASHBACK_RESGATE_PIX_CCRP_DT_ESTAGIO_FINANCEIRO_PK = 'UPDATE `' . self::TABELA . '` set ' . ' `' . self::CCRP_DT_ESTAGIO_FINANCEIRO . '` = ? ' . 'WHERE ' . ' `' . self::CCRP_ID . '` = ? ' ;</v>
      </c>
    </row>
    <row r="272" spans="1:15" x14ac:dyDescent="0.25">
      <c r="A272" s="29" t="s">
        <v>762</v>
      </c>
      <c r="N272">
        <f t="shared" si="10"/>
        <v>10</v>
      </c>
      <c r="O272" s="7" t="str">
        <f ca="1">getCodigoBackend(N272,A272,VLOOKUP(N272,setup!$A$8:$H$58,2),VLOOKUP(N272,setup!$A$8:$H$58,3),VLOOKUP(N272,setup!$A$8:$H$58,4),VLOOKUP(N272,setup!$A$8:$H$58,5),VLOOKUP(N272,setup!$A$8:$H$58,6),VLOOKUP(N272,setup!$A$8:$H$58,7), VLOOKUP(0,setup!$A$8:$H$58,2),VLOOKUP(0,setup!$A$8:$H$58,5),VLOOKUP(N272,setup!$A$8:$H$58,8))</f>
        <v>    const UPD_CAMPANHA_CASHBACK_RESGATE_PIX_CCRP_DT_ESTAGIO_ERRO_PK = 'UPDATE `' . self::TABELA . '` set ' . ' `' . self::CCRP_DT_ESTAGIO_ERRO . '` = ? ' . 'WHERE ' . ' `' . self::CCRP_ID . '` = ? ' ;</v>
      </c>
    </row>
    <row r="273" spans="1:15" x14ac:dyDescent="0.25">
      <c r="A273" s="29" t="s">
        <v>762</v>
      </c>
      <c r="N273">
        <f t="shared" si="10"/>
        <v>11</v>
      </c>
      <c r="O273" s="7" t="str">
        <f ca="1">getCodigoBackend(N273,A273,VLOOKUP(N273,setup!$A$8:$H$58,2),VLOOKUP(N273,setup!$A$8:$H$58,3),VLOOKUP(N273,setup!$A$8:$H$58,4),VLOOKUP(N273,setup!$A$8:$H$58,5),VLOOKUP(N273,setup!$A$8:$H$58,6),VLOOKUP(N273,setup!$A$8:$H$58,7), VLOOKUP(0,setup!$A$8:$H$58,2),VLOOKUP(0,setup!$A$8:$H$58,5),VLOOKUP(N273,setup!$A$8:$H$58,8))</f>
        <v>    const UPD_CAMPANHA_CASHBACK_RESGATE_PIX_CCRP_DT_ESTAGIO_TRANSF_BCO_PK = 'UPDATE `' . self::TABELA . '` set ' . ' `' . self::CCRP_DT_ESTAGIO_TRANSF_BCO . '` = ? ' . 'WHERE ' . ' `' . self::CCRP_ID . '` = ? ' ;</v>
      </c>
    </row>
    <row r="274" spans="1:15" x14ac:dyDescent="0.25">
      <c r="A274" s="29" t="s">
        <v>762</v>
      </c>
      <c r="N274">
        <f t="shared" si="10"/>
        <v>12</v>
      </c>
      <c r="O274" s="7" t="str">
        <f ca="1">getCodigoBackend(N274,A274,VLOOKUP(N274,setup!$A$8:$H$58,2),VLOOKUP(N274,setup!$A$8:$H$58,3),VLOOKUP(N274,setup!$A$8:$H$58,4),VLOOKUP(N274,setup!$A$8:$H$58,5),VLOOKUP(N274,setup!$A$8:$H$58,6),VLOOKUP(N274,setup!$A$8:$H$58,7), VLOOKUP(0,setup!$A$8:$H$58,2),VLOOKUP(0,setup!$A$8:$H$58,5),VLOOKUP(N274,setup!$A$8:$H$58,8))</f>
        <v>    const UPD_CAMPANHA_CASHBACK_RESGATE_PIX_CCRP_TX_LIVRE_ESTAGIO_RT_PK = 'UPDATE `' . self::TABELA . '` set ' . ' `' . self::CCRP_TX_LIVRE_ESTAGIO_RT . '` = ? ' . 'WHERE ' . ' `' . self::CCRP_ID . '` = ? ' ;</v>
      </c>
    </row>
    <row r="275" spans="1:15" x14ac:dyDescent="0.25">
      <c r="A275" s="29" t="s">
        <v>762</v>
      </c>
      <c r="N275">
        <f t="shared" si="10"/>
        <v>13</v>
      </c>
      <c r="O275" s="7" t="e">
        <f>getCodigoBackend(N275,A275,VLOOKUP(N275,setup!$A$8:$H$58,2),VLOOKUP(N275,setup!$A$8:$H$58,3),VLOOKUP(N275,setup!$A$8:$H$58,4),VLOOKUP(N275,setup!$A$8:$H$58,5),VLOOKUP(N275,setup!$A$8:$H$58,6),VLOOKUP(N275,setup!$A$8:$H$58,7), VLOOKUP(0,setup!$A$8:$H$58,2),VLOOKUP(0,setup!$A$8:$H$58,5),VLOOKUP(N275,setup!$A$8:$H$58,8))</f>
        <v>#VALUE!</v>
      </c>
    </row>
    <row r="276" spans="1:15" x14ac:dyDescent="0.25">
      <c r="A276" s="29" t="s">
        <v>762</v>
      </c>
      <c r="N276">
        <f t="shared" si="10"/>
        <v>14</v>
      </c>
      <c r="O276" s="7" t="e">
        <f>getCodigoBackend(N276,A276,VLOOKUP(N276,setup!$A$8:$H$58,2),VLOOKUP(N276,setup!$A$8:$H$58,3),VLOOKUP(N276,setup!$A$8:$H$58,4),VLOOKUP(N276,setup!$A$8:$H$58,5),VLOOKUP(N276,setup!$A$8:$H$58,6),VLOOKUP(N276,setup!$A$8:$H$58,7), VLOOKUP(0,setup!$A$8:$H$58,2),VLOOKUP(0,setup!$A$8:$H$58,5),VLOOKUP(N276,setup!$A$8:$H$58,8))</f>
        <v>#VALUE!</v>
      </c>
    </row>
    <row r="277" spans="1:15" x14ac:dyDescent="0.25">
      <c r="A277" s="29" t="s">
        <v>762</v>
      </c>
      <c r="N277">
        <f t="shared" si="10"/>
        <v>15</v>
      </c>
      <c r="O277" s="7" t="e">
        <f>getCodigoBackend(N277,A277,VLOOKUP(N277,setup!$A$8:$H$58,2),VLOOKUP(N277,setup!$A$8:$H$58,3),VLOOKUP(N277,setup!$A$8:$H$58,4),VLOOKUP(N277,setup!$A$8:$H$58,5),VLOOKUP(N277,setup!$A$8:$H$58,6),VLOOKUP(N277,setup!$A$8:$H$58,7), VLOOKUP(0,setup!$A$8:$H$58,2),VLOOKUP(0,setup!$A$8:$H$58,5),VLOOKUP(N277,setup!$A$8:$H$58,8))</f>
        <v>#VALUE!</v>
      </c>
    </row>
    <row r="278" spans="1:15" x14ac:dyDescent="0.25">
      <c r="A278" s="29" t="s">
        <v>762</v>
      </c>
      <c r="N278">
        <f t="shared" si="10"/>
        <v>16</v>
      </c>
      <c r="O278" s="7" t="e">
        <f>getCodigoBackend(N278,A278,VLOOKUP(N278,setup!$A$8:$H$58,2),VLOOKUP(N278,setup!$A$8:$H$58,3),VLOOKUP(N278,setup!$A$8:$H$58,4),VLOOKUP(N278,setup!$A$8:$H$58,5),VLOOKUP(N278,setup!$A$8:$H$58,6),VLOOKUP(N278,setup!$A$8:$H$58,7), VLOOKUP(0,setup!$A$8:$H$58,2),VLOOKUP(0,setup!$A$8:$H$58,5),VLOOKUP(N278,setup!$A$8:$H$58,8))</f>
        <v>#VALUE!</v>
      </c>
    </row>
    <row r="279" spans="1:15" x14ac:dyDescent="0.25">
      <c r="A279" s="29" t="s">
        <v>762</v>
      </c>
      <c r="N279">
        <f t="shared" si="10"/>
        <v>17</v>
      </c>
      <c r="O279" s="7" t="e">
        <f>getCodigoBackend(N279,A279,VLOOKUP(N279,setup!$A$8:$H$58,2),VLOOKUP(N279,setup!$A$8:$H$58,3),VLOOKUP(N279,setup!$A$8:$H$58,4),VLOOKUP(N279,setup!$A$8:$H$58,5),VLOOKUP(N279,setup!$A$8:$H$58,6),VLOOKUP(N279,setup!$A$8:$H$58,7), VLOOKUP(0,setup!$A$8:$H$58,2),VLOOKUP(0,setup!$A$8:$H$58,5),VLOOKUP(N279,setup!$A$8:$H$58,8))</f>
        <v>#VALUE!</v>
      </c>
    </row>
    <row r="280" spans="1:15" x14ac:dyDescent="0.25">
      <c r="A280" s="29" t="s">
        <v>762</v>
      </c>
      <c r="N280">
        <f t="shared" si="10"/>
        <v>18</v>
      </c>
      <c r="O280" s="7" t="e">
        <f>getCodigoBackend(N280,A280,VLOOKUP(N280,setup!$A$8:$H$58,2),VLOOKUP(N280,setup!$A$8:$H$58,3),VLOOKUP(N280,setup!$A$8:$H$58,4),VLOOKUP(N280,setup!$A$8:$H$58,5),VLOOKUP(N280,setup!$A$8:$H$58,6),VLOOKUP(N280,setup!$A$8:$H$58,7), VLOOKUP(0,setup!$A$8:$H$58,2),VLOOKUP(0,setup!$A$8:$H$58,5),VLOOKUP(N280,setup!$A$8:$H$58,8))</f>
        <v>#VALUE!</v>
      </c>
    </row>
    <row r="281" spans="1:15" x14ac:dyDescent="0.25">
      <c r="A281" s="29" t="s">
        <v>762</v>
      </c>
      <c r="N281">
        <f t="shared" si="10"/>
        <v>19</v>
      </c>
      <c r="O281" s="7" t="e">
        <f>getCodigoBackend(N281,A281,VLOOKUP(N281,setup!$A$8:$H$58,2),VLOOKUP(N281,setup!$A$8:$H$58,3),VLOOKUP(N281,setup!$A$8:$H$58,4),VLOOKUP(N281,setup!$A$8:$H$58,5),VLOOKUP(N281,setup!$A$8:$H$58,6),VLOOKUP(N281,setup!$A$8:$H$58,7), VLOOKUP(0,setup!$A$8:$H$58,2),VLOOKUP(0,setup!$A$8:$H$58,5),VLOOKUP(N281,setup!$A$8:$H$58,8))</f>
        <v>#VALUE!</v>
      </c>
    </row>
    <row r="282" spans="1:15" x14ac:dyDescent="0.25">
      <c r="A282" s="29" t="s">
        <v>762</v>
      </c>
      <c r="N282">
        <f t="shared" si="10"/>
        <v>20</v>
      </c>
      <c r="O282" s="7" t="e">
        <f>getCodigoBackend(N282,A282,VLOOKUP(N282,setup!$A$8:$H$58,2),VLOOKUP(N282,setup!$A$8:$H$58,3),VLOOKUP(N282,setup!$A$8:$H$58,4),VLOOKUP(N282,setup!$A$8:$H$58,5),VLOOKUP(N282,setup!$A$8:$H$58,6),VLOOKUP(N282,setup!$A$8:$H$58,7), VLOOKUP(0,setup!$A$8:$H$58,2),VLOOKUP(0,setup!$A$8:$H$58,5),VLOOKUP(N282,setup!$A$8:$H$58,8))</f>
        <v>#VALUE!</v>
      </c>
    </row>
    <row r="283" spans="1:15" x14ac:dyDescent="0.25">
      <c r="A283" s="29" t="s">
        <v>762</v>
      </c>
      <c r="N283">
        <f t="shared" si="10"/>
        <v>21</v>
      </c>
      <c r="O283" s="7" t="e">
        <f>getCodigoBackend(N283,A283,VLOOKUP(N283,setup!$A$8:$H$58,2),VLOOKUP(N283,setup!$A$8:$H$58,3),VLOOKUP(N283,setup!$A$8:$H$58,4),VLOOKUP(N283,setup!$A$8:$H$58,5),VLOOKUP(N283,setup!$A$8:$H$58,6),VLOOKUP(N283,setup!$A$8:$H$58,7), VLOOKUP(0,setup!$A$8:$H$58,2),VLOOKUP(0,setup!$A$8:$H$58,5),VLOOKUP(N283,setup!$A$8:$H$58,8))</f>
        <v>#VALUE!</v>
      </c>
    </row>
    <row r="284" spans="1:15" x14ac:dyDescent="0.25">
      <c r="A284" s="29" t="s">
        <v>762</v>
      </c>
      <c r="N284">
        <f t="shared" si="10"/>
        <v>22</v>
      </c>
      <c r="O284" s="7" t="e">
        <f>getCodigoBackend(N284,A284,VLOOKUP(N284,setup!$A$8:$H$58,2),VLOOKUP(N284,setup!$A$8:$H$58,3),VLOOKUP(N284,setup!$A$8:$H$58,4),VLOOKUP(N284,setup!$A$8:$H$58,5),VLOOKUP(N284,setup!$A$8:$H$58,6),VLOOKUP(N284,setup!$A$8:$H$58,7), VLOOKUP(0,setup!$A$8:$H$58,2),VLOOKUP(0,setup!$A$8:$H$58,5),VLOOKUP(N284,setup!$A$8:$H$58,8))</f>
        <v>#VALUE!</v>
      </c>
    </row>
    <row r="285" spans="1:15" x14ac:dyDescent="0.25">
      <c r="A285" s="29" t="s">
        <v>762</v>
      </c>
      <c r="N285">
        <f t="shared" si="10"/>
        <v>23</v>
      </c>
      <c r="O285" s="7" t="e">
        <f>getCodigoBackend(N285,A285,VLOOKUP(N285,setup!$A$8:$H$58,2),VLOOKUP(N285,setup!$A$8:$H$58,3),VLOOKUP(N285,setup!$A$8:$H$58,4),VLOOKUP(N285,setup!$A$8:$H$58,5),VLOOKUP(N285,setup!$A$8:$H$58,6),VLOOKUP(N285,setup!$A$8:$H$58,7), VLOOKUP(0,setup!$A$8:$H$58,2),VLOOKUP(0,setup!$A$8:$H$58,5),VLOOKUP(N285,setup!$A$8:$H$58,8))</f>
        <v>#VALUE!</v>
      </c>
    </row>
    <row r="286" spans="1:15" x14ac:dyDescent="0.25">
      <c r="A286" s="29" t="s">
        <v>762</v>
      </c>
      <c r="N286">
        <f t="shared" si="10"/>
        <v>24</v>
      </c>
      <c r="O286" s="7" t="e">
        <f>getCodigoBackend(N286,A286,VLOOKUP(N286,setup!$A$8:$H$58,2),VLOOKUP(N286,setup!$A$8:$H$58,3),VLOOKUP(N286,setup!$A$8:$H$58,4),VLOOKUP(N286,setup!$A$8:$H$58,5),VLOOKUP(N286,setup!$A$8:$H$58,6),VLOOKUP(N286,setup!$A$8:$H$58,7), VLOOKUP(0,setup!$A$8:$H$58,2),VLOOKUP(0,setup!$A$8:$H$58,5),VLOOKUP(N286,setup!$A$8:$H$58,8))</f>
        <v>#VALUE!</v>
      </c>
    </row>
    <row r="287" spans="1:15" x14ac:dyDescent="0.25">
      <c r="A287" s="29" t="s">
        <v>762</v>
      </c>
      <c r="N287">
        <f t="shared" si="10"/>
        <v>25</v>
      </c>
      <c r="O287" s="7" t="e">
        <f>getCodigoBackend(N287,A287,VLOOKUP(N287,setup!$A$8:$H$58,2),VLOOKUP(N287,setup!$A$8:$H$58,3),VLOOKUP(N287,setup!$A$8:$H$58,4),VLOOKUP(N287,setup!$A$8:$H$58,5),VLOOKUP(N287,setup!$A$8:$H$58,6),VLOOKUP(N287,setup!$A$8:$H$58,7), VLOOKUP(0,setup!$A$8:$H$58,2),VLOOKUP(0,setup!$A$8:$H$58,5),VLOOKUP(N287,setup!$A$8:$H$58,8))</f>
        <v>#VALUE!</v>
      </c>
    </row>
    <row r="288" spans="1:15" x14ac:dyDescent="0.25">
      <c r="A288" s="29" t="s">
        <v>762</v>
      </c>
      <c r="N288">
        <f t="shared" si="10"/>
        <v>26</v>
      </c>
      <c r="O288" s="7" t="e">
        <f>getCodigoBackend(N288,A288,VLOOKUP(N288,setup!$A$8:$H$58,2),VLOOKUP(N288,setup!$A$8:$H$58,3),VLOOKUP(N288,setup!$A$8:$H$58,4),VLOOKUP(N288,setup!$A$8:$H$58,5),VLOOKUP(N288,setup!$A$8:$H$58,6),VLOOKUP(N288,setup!$A$8:$H$58,7), VLOOKUP(0,setup!$A$8:$H$58,2),VLOOKUP(0,setup!$A$8:$H$58,5),VLOOKUP(N288,setup!$A$8:$H$58,8))</f>
        <v>#VALUE!</v>
      </c>
    </row>
    <row r="289" spans="1:15" x14ac:dyDescent="0.25">
      <c r="A289" s="29" t="s">
        <v>762</v>
      </c>
      <c r="N289">
        <f t="shared" si="10"/>
        <v>27</v>
      </c>
      <c r="O289" s="7" t="e">
        <f>getCodigoBackend(N289,A289,VLOOKUP(N289,setup!$A$8:$H$58,2),VLOOKUP(N289,setup!$A$8:$H$58,3),VLOOKUP(N289,setup!$A$8:$H$58,4),VLOOKUP(N289,setup!$A$8:$H$58,5),VLOOKUP(N289,setup!$A$8:$H$58,6),VLOOKUP(N289,setup!$A$8:$H$58,7), VLOOKUP(0,setup!$A$8:$H$58,2),VLOOKUP(0,setup!$A$8:$H$58,5),VLOOKUP(N289,setup!$A$8:$H$58,8))</f>
        <v>#VALUE!</v>
      </c>
    </row>
    <row r="290" spans="1:15" x14ac:dyDescent="0.25">
      <c r="A290" s="29" t="s">
        <v>762</v>
      </c>
      <c r="N290">
        <f t="shared" si="10"/>
        <v>28</v>
      </c>
      <c r="O290" s="7" t="e">
        <f>getCodigoBackend(N290,A290,VLOOKUP(N290,setup!$A$8:$H$58,2),VLOOKUP(N290,setup!$A$8:$H$58,3),VLOOKUP(N290,setup!$A$8:$H$58,4),VLOOKUP(N290,setup!$A$8:$H$58,5),VLOOKUP(N290,setup!$A$8:$H$58,6),VLOOKUP(N290,setup!$A$8:$H$58,7), VLOOKUP(0,setup!$A$8:$H$58,2),VLOOKUP(0,setup!$A$8:$H$58,5),VLOOKUP(N290,setup!$A$8:$H$58,8))</f>
        <v>#VALUE!</v>
      </c>
    </row>
    <row r="291" spans="1:15" x14ac:dyDescent="0.25">
      <c r="A291" s="29" t="s">
        <v>762</v>
      </c>
      <c r="N291">
        <f t="shared" si="10"/>
        <v>29</v>
      </c>
      <c r="O291" s="7" t="e">
        <f>getCodigoBackend(N291,A291,VLOOKUP(N291,setup!$A$8:$H$58,2),VLOOKUP(N291,setup!$A$8:$H$58,3),VLOOKUP(N291,setup!$A$8:$H$58,4),VLOOKUP(N291,setup!$A$8:$H$58,5),VLOOKUP(N291,setup!$A$8:$H$58,6),VLOOKUP(N291,setup!$A$8:$H$58,7), VLOOKUP(0,setup!$A$8:$H$58,2),VLOOKUP(0,setup!$A$8:$H$58,5),VLOOKUP(N291,setup!$A$8:$H$58,8))</f>
        <v>#VALUE!</v>
      </c>
    </row>
    <row r="292" spans="1:15" x14ac:dyDescent="0.25">
      <c r="A292" s="29" t="s">
        <v>762</v>
      </c>
      <c r="N292">
        <f t="shared" si="10"/>
        <v>30</v>
      </c>
      <c r="O292" s="7" t="e">
        <f>getCodigoBackend(N292,A292,VLOOKUP(N292,setup!$A$8:$H$58,2),VLOOKUP(N292,setup!$A$8:$H$58,3),VLOOKUP(N292,setup!$A$8:$H$58,4),VLOOKUP(N292,setup!$A$8:$H$58,5),VLOOKUP(N292,setup!$A$8:$H$58,6),VLOOKUP(N292,setup!$A$8:$H$58,7), VLOOKUP(0,setup!$A$8:$H$58,2),VLOOKUP(0,setup!$A$8:$H$58,5),VLOOKUP(N292,setup!$A$8:$H$58,8))</f>
        <v>#VALUE!</v>
      </c>
    </row>
    <row r="293" spans="1:15" x14ac:dyDescent="0.25">
      <c r="A293" s="29" t="s">
        <v>762</v>
      </c>
      <c r="N293">
        <f t="shared" si="10"/>
        <v>31</v>
      </c>
      <c r="O293" s="7" t="e">
        <f>getCodigoBackend(N293,A293,VLOOKUP(N293,setup!$A$8:$H$58,2),VLOOKUP(N293,setup!$A$8:$H$58,3),VLOOKUP(N293,setup!$A$8:$H$58,4),VLOOKUP(N293,setup!$A$8:$H$58,5),VLOOKUP(N293,setup!$A$8:$H$58,6),VLOOKUP(N293,setup!$A$8:$H$58,7), VLOOKUP(0,setup!$A$8:$H$58,2),VLOOKUP(0,setup!$A$8:$H$58,5),VLOOKUP(N293,setup!$A$8:$H$58,8))</f>
        <v>#VALUE!</v>
      </c>
    </row>
    <row r="294" spans="1:15" x14ac:dyDescent="0.25">
      <c r="A294" s="29" t="s">
        <v>762</v>
      </c>
      <c r="N294">
        <f t="shared" si="10"/>
        <v>32</v>
      </c>
      <c r="O294" s="7" t="e">
        <f>getCodigoBackend(N294,A294,VLOOKUP(N294,setup!$A$8:$H$58,2),VLOOKUP(N294,setup!$A$8:$H$58,3),VLOOKUP(N294,setup!$A$8:$H$58,4),VLOOKUP(N294,setup!$A$8:$H$58,5),VLOOKUP(N294,setup!$A$8:$H$58,6),VLOOKUP(N294,setup!$A$8:$H$58,7), VLOOKUP(0,setup!$A$8:$H$58,2),VLOOKUP(0,setup!$A$8:$H$58,5),VLOOKUP(N294,setup!$A$8:$H$58,8))</f>
        <v>#VALUE!</v>
      </c>
    </row>
    <row r="295" spans="1:15" x14ac:dyDescent="0.25">
      <c r="A295" s="29" t="s">
        <v>762</v>
      </c>
      <c r="N295">
        <f t="shared" si="10"/>
        <v>33</v>
      </c>
      <c r="O295" s="7" t="e">
        <f>getCodigoBackend(N295,A295,VLOOKUP(N295,setup!$A$8:$H$58,2),VLOOKUP(N295,setup!$A$8:$H$58,3),VLOOKUP(N295,setup!$A$8:$H$58,4),VLOOKUP(N295,setup!$A$8:$H$58,5),VLOOKUP(N295,setup!$A$8:$H$58,6),VLOOKUP(N295,setup!$A$8:$H$58,7), VLOOKUP(0,setup!$A$8:$H$58,2),VLOOKUP(0,setup!$A$8:$H$58,5),VLOOKUP(N295,setup!$A$8:$H$58,8))</f>
        <v>#VALUE!</v>
      </c>
    </row>
    <row r="296" spans="1:15" x14ac:dyDescent="0.25">
      <c r="A296" s="29" t="s">
        <v>762</v>
      </c>
      <c r="N296">
        <f t="shared" si="10"/>
        <v>34</v>
      </c>
      <c r="O296" s="7" t="e">
        <f>getCodigoBackend(N296,A296,VLOOKUP(N296,setup!$A$8:$H$58,2),VLOOKUP(N296,setup!$A$8:$H$58,3),VLOOKUP(N296,setup!$A$8:$H$58,4),VLOOKUP(N296,setup!$A$8:$H$58,5),VLOOKUP(N296,setup!$A$8:$H$58,6),VLOOKUP(N296,setup!$A$8:$H$58,7), VLOOKUP(0,setup!$A$8:$H$58,2),VLOOKUP(0,setup!$A$8:$H$58,5),VLOOKUP(N296,setup!$A$8:$H$58,8))</f>
        <v>#VALUE!</v>
      </c>
    </row>
    <row r="297" spans="1:15" x14ac:dyDescent="0.25">
      <c r="A297" s="29" t="s">
        <v>762</v>
      </c>
      <c r="N297">
        <f t="shared" si="10"/>
        <v>35</v>
      </c>
      <c r="O297" s="7" t="e">
        <f>getCodigoBackend(N297,A297,VLOOKUP(N297,setup!$A$8:$H$58,2),VLOOKUP(N297,setup!$A$8:$H$58,3),VLOOKUP(N297,setup!$A$8:$H$58,4),VLOOKUP(N297,setup!$A$8:$H$58,5),VLOOKUP(N297,setup!$A$8:$H$58,6),VLOOKUP(N297,setup!$A$8:$H$58,7), VLOOKUP(0,setup!$A$8:$H$58,2),VLOOKUP(0,setup!$A$8:$H$58,5),VLOOKUP(N297,setup!$A$8:$H$58,8))</f>
        <v>#VALUE!</v>
      </c>
    </row>
    <row r="298" spans="1:15" x14ac:dyDescent="0.25">
      <c r="A298" s="29" t="s">
        <v>762</v>
      </c>
      <c r="N298">
        <f t="shared" si="10"/>
        <v>36</v>
      </c>
      <c r="O298" s="7" t="e">
        <f>getCodigoBackend(N298,A298,VLOOKUP(N298,setup!$A$8:$H$58,2),VLOOKUP(N298,setup!$A$8:$H$58,3),VLOOKUP(N298,setup!$A$8:$H$58,4),VLOOKUP(N298,setup!$A$8:$H$58,5),VLOOKUP(N298,setup!$A$8:$H$58,6),VLOOKUP(N298,setup!$A$8:$H$58,7), VLOOKUP(0,setup!$A$8:$H$58,2),VLOOKUP(0,setup!$A$8:$H$58,5),VLOOKUP(N298,setup!$A$8:$H$58,8))</f>
        <v>#VALUE!</v>
      </c>
    </row>
    <row r="299" spans="1:15" x14ac:dyDescent="0.25">
      <c r="A299" s="29" t="s">
        <v>762</v>
      </c>
      <c r="N299">
        <f t="shared" si="10"/>
        <v>37</v>
      </c>
      <c r="O299" s="7" t="e">
        <f>getCodigoBackend(N299,A299,VLOOKUP(N299,setup!$A$8:$H$58,2),VLOOKUP(N299,setup!$A$8:$H$58,3),VLOOKUP(N299,setup!$A$8:$H$58,4),VLOOKUP(N299,setup!$A$8:$H$58,5),VLOOKUP(N299,setup!$A$8:$H$58,6),VLOOKUP(N299,setup!$A$8:$H$58,7), VLOOKUP(0,setup!$A$8:$H$58,2),VLOOKUP(0,setup!$A$8:$H$58,5),VLOOKUP(N299,setup!$A$8:$H$58,8))</f>
        <v>#VALUE!</v>
      </c>
    </row>
    <row r="300" spans="1:15" x14ac:dyDescent="0.25">
      <c r="A300" s="29" t="s">
        <v>762</v>
      </c>
      <c r="N300">
        <f t="shared" si="10"/>
        <v>38</v>
      </c>
      <c r="O300" s="7" t="e">
        <f>getCodigoBackend(N300,A300,VLOOKUP(N300,setup!$A$8:$H$58,2),VLOOKUP(N300,setup!$A$8:$H$58,3),VLOOKUP(N300,setup!$A$8:$H$58,4),VLOOKUP(N300,setup!$A$8:$H$58,5),VLOOKUP(N300,setup!$A$8:$H$58,6),VLOOKUP(N300,setup!$A$8:$H$58,7), VLOOKUP(0,setup!$A$8:$H$58,2),VLOOKUP(0,setup!$A$8:$H$58,5),VLOOKUP(N300,setup!$A$8:$H$58,8))</f>
        <v>#VALUE!</v>
      </c>
    </row>
    <row r="301" spans="1:15" x14ac:dyDescent="0.25">
      <c r="A301" s="29" t="s">
        <v>762</v>
      </c>
      <c r="N301">
        <f t="shared" si="10"/>
        <v>39</v>
      </c>
      <c r="O301" s="7" t="e">
        <f>getCodigoBackend(N301,A301,VLOOKUP(N301,setup!$A$8:$H$58,2),VLOOKUP(N301,setup!$A$8:$H$58,3),VLOOKUP(N301,setup!$A$8:$H$58,4),VLOOKUP(N301,setup!$A$8:$H$58,5),VLOOKUP(N301,setup!$A$8:$H$58,6),VLOOKUP(N301,setup!$A$8:$H$58,7), VLOOKUP(0,setup!$A$8:$H$58,2),VLOOKUP(0,setup!$A$8:$H$58,5),VLOOKUP(N301,setup!$A$8:$H$58,8))</f>
        <v>#VALUE!</v>
      </c>
    </row>
    <row r="302" spans="1:15" x14ac:dyDescent="0.25">
      <c r="A302" s="29" t="s">
        <v>762</v>
      </c>
      <c r="N302">
        <f t="shared" si="10"/>
        <v>40</v>
      </c>
      <c r="O302" s="7" t="e">
        <f>getCodigoBackend(N302,A302,VLOOKUP(N302,setup!$A$8:$H$58,2),VLOOKUP(N302,setup!$A$8:$H$58,3),VLOOKUP(N302,setup!$A$8:$H$58,4),VLOOKUP(N302,setup!$A$8:$H$58,5),VLOOKUP(N302,setup!$A$8:$H$58,6),VLOOKUP(N302,setup!$A$8:$H$58,7), VLOOKUP(0,setup!$A$8:$H$58,2),VLOOKUP(0,setup!$A$8:$H$58,5),VLOOKUP(N302,setup!$A$8:$H$58,8))</f>
        <v>#VALUE!</v>
      </c>
    </row>
    <row r="303" spans="1:15" x14ac:dyDescent="0.25">
      <c r="A303" s="29" t="s">
        <v>762</v>
      </c>
      <c r="N303">
        <f t="shared" si="10"/>
        <v>41</v>
      </c>
      <c r="O303" s="7" t="e">
        <f>getCodigoBackend(N303,A303,VLOOKUP(N303,setup!$A$8:$H$58,2),VLOOKUP(N303,setup!$A$8:$H$58,3),VLOOKUP(N303,setup!$A$8:$H$58,4),VLOOKUP(N303,setup!$A$8:$H$58,5),VLOOKUP(N303,setup!$A$8:$H$58,6),VLOOKUP(N303,setup!$A$8:$H$58,7), VLOOKUP(0,setup!$A$8:$H$58,2),VLOOKUP(0,setup!$A$8:$H$58,5),VLOOKUP(N303,setup!$A$8:$H$58,8))</f>
        <v>#VALUE!</v>
      </c>
    </row>
    <row r="304" spans="1:15" x14ac:dyDescent="0.25">
      <c r="A304" s="29" t="s">
        <v>762</v>
      </c>
      <c r="N304">
        <f t="shared" si="10"/>
        <v>42</v>
      </c>
      <c r="O304" s="7" t="e">
        <f>getCodigoBackend(N304,A304,VLOOKUP(N304,setup!$A$8:$H$58,2),VLOOKUP(N304,setup!$A$8:$H$58,3),VLOOKUP(N304,setup!$A$8:$H$58,4),VLOOKUP(N304,setup!$A$8:$H$58,5),VLOOKUP(N304,setup!$A$8:$H$58,6),VLOOKUP(N304,setup!$A$8:$H$58,7), VLOOKUP(0,setup!$A$8:$H$58,2),VLOOKUP(0,setup!$A$8:$H$58,5),VLOOKUP(N304,setup!$A$8:$H$58,8))</f>
        <v>#VALUE!</v>
      </c>
    </row>
    <row r="305" spans="1:15" x14ac:dyDescent="0.25">
      <c r="A305" s="29" t="s">
        <v>762</v>
      </c>
      <c r="N305">
        <f t="shared" si="10"/>
        <v>43</v>
      </c>
      <c r="O305" s="7" t="e">
        <f>getCodigoBackend(N305,A305,VLOOKUP(N305,setup!$A$8:$H$58,2),VLOOKUP(N305,setup!$A$8:$H$58,3),VLOOKUP(N305,setup!$A$8:$H$58,4),VLOOKUP(N305,setup!$A$8:$H$58,5),VLOOKUP(N305,setup!$A$8:$H$58,6),VLOOKUP(N305,setup!$A$8:$H$58,7), VLOOKUP(0,setup!$A$8:$H$58,2),VLOOKUP(0,setup!$A$8:$H$58,5),VLOOKUP(N305,setup!$A$8:$H$58,8))</f>
        <v>#VALUE!</v>
      </c>
    </row>
    <row r="306" spans="1:15" x14ac:dyDescent="0.25">
      <c r="A306" s="29" t="s">
        <v>762</v>
      </c>
      <c r="N306">
        <f t="shared" si="10"/>
        <v>44</v>
      </c>
      <c r="O306" s="7" t="e">
        <f>getCodigoBackend(N306,A306,VLOOKUP(N306,setup!$A$8:$H$58,2),VLOOKUP(N306,setup!$A$8:$H$58,3),VLOOKUP(N306,setup!$A$8:$H$58,4),VLOOKUP(N306,setup!$A$8:$H$58,5),VLOOKUP(N306,setup!$A$8:$H$58,6),VLOOKUP(N306,setup!$A$8:$H$58,7), VLOOKUP(0,setup!$A$8:$H$58,2),VLOOKUP(0,setup!$A$8:$H$58,5),VLOOKUP(N306,setup!$A$8:$H$58,8))</f>
        <v>#VALUE!</v>
      </c>
    </row>
    <row r="307" spans="1:15" x14ac:dyDescent="0.25">
      <c r="A307" s="29" t="s">
        <v>762</v>
      </c>
      <c r="N307">
        <f t="shared" si="10"/>
        <v>45</v>
      </c>
      <c r="O307" s="7" t="e">
        <f>getCodigoBackend(N307,A307,VLOOKUP(N307,setup!$A$8:$H$58,2),VLOOKUP(N307,setup!$A$8:$H$58,3),VLOOKUP(N307,setup!$A$8:$H$58,4),VLOOKUP(N307,setup!$A$8:$H$58,5),VLOOKUP(N307,setup!$A$8:$H$58,6),VLOOKUP(N307,setup!$A$8:$H$58,7), VLOOKUP(0,setup!$A$8:$H$58,2),VLOOKUP(0,setup!$A$8:$H$58,5),VLOOKUP(N307,setup!$A$8:$H$58,8))</f>
        <v>#VALUE!</v>
      </c>
    </row>
    <row r="308" spans="1:15" x14ac:dyDescent="0.25">
      <c r="A308" s="29" t="s">
        <v>762</v>
      </c>
      <c r="N308">
        <f t="shared" si="10"/>
        <v>46</v>
      </c>
      <c r="O308" s="7" t="e">
        <f>getCodigoBackend(N308,A308,VLOOKUP(N308,setup!$A$8:$H$58,2),VLOOKUP(N308,setup!$A$8:$H$58,3),VLOOKUP(N308,setup!$A$8:$H$58,4),VLOOKUP(N308,setup!$A$8:$H$58,5),VLOOKUP(N308,setup!$A$8:$H$58,6),VLOOKUP(N308,setup!$A$8:$H$58,7), VLOOKUP(0,setup!$A$8:$H$58,2),VLOOKUP(0,setup!$A$8:$H$58,5),VLOOKUP(N308,setup!$A$8:$H$58,8))</f>
        <v>#VALUE!</v>
      </c>
    </row>
    <row r="309" spans="1:15" x14ac:dyDescent="0.25">
      <c r="A309" s="29" t="s">
        <v>762</v>
      </c>
      <c r="N309">
        <f t="shared" si="10"/>
        <v>47</v>
      </c>
      <c r="O309" s="7" t="e">
        <f>getCodigoBackend(N309,A309,VLOOKUP(N309,setup!$A$8:$H$58,2),VLOOKUP(N309,setup!$A$8:$H$58,3),VLOOKUP(N309,setup!$A$8:$H$58,4),VLOOKUP(N309,setup!$A$8:$H$58,5),VLOOKUP(N309,setup!$A$8:$H$58,6),VLOOKUP(N309,setup!$A$8:$H$58,7), VLOOKUP(0,setup!$A$8:$H$58,2),VLOOKUP(0,setup!$A$8:$H$58,5),VLOOKUP(N309,setup!$A$8:$H$58,8))</f>
        <v>#VALUE!</v>
      </c>
    </row>
    <row r="310" spans="1:15" x14ac:dyDescent="0.25">
      <c r="A310" s="29" t="s">
        <v>762</v>
      </c>
      <c r="N310">
        <f t="shared" si="10"/>
        <v>48</v>
      </c>
      <c r="O310" s="7" t="str">
        <f ca="1">getCodigoBackend(N310,A310,VLOOKUP(N310,setup!$A$8:$H$58,2),VLOOKUP(N310,setup!$A$8:$H$58,3),VLOOKUP(N310,setup!$A$8:$H$58,4),VLOOKUP(N310,setup!$A$8:$H$58,5),VLOOKUP(N310,setup!$A$8:$H$58,6),VLOOKUP(N310,setup!$A$8:$H$58,7), VLOOKUP(0,setup!$A$8:$H$58,2),VLOOKUP(0,setup!$A$8:$H$58,5),VLOOKUP(N310,setup!$A$8:$H$58,8))</f>
        <v>    const UPD_CAMPANHA_CASHBACK_RESGATE_PIX_CCRP_IN_STATUS_PK = 'UPDATE `' . self::TABELA . '` set ' . ' `' . self::CCRP_IN_STATUS . '` = ? ' . 'WHERE ' . ' `' . self::CCRP_ID . '` = ? ' ;</v>
      </c>
    </row>
    <row r="311" spans="1:15" x14ac:dyDescent="0.25">
      <c r="A311" s="29" t="s">
        <v>762</v>
      </c>
      <c r="N311">
        <f t="shared" si="10"/>
        <v>49</v>
      </c>
      <c r="O311" s="7" t="str">
        <f ca="1">getCodigoBackend(N311,A311,VLOOKUP(N311,setup!$A$8:$H$58,2),VLOOKUP(N311,setup!$A$8:$H$58,3),VLOOKUP(N311,setup!$A$8:$H$58,4),VLOOKUP(N311,setup!$A$8:$H$58,5),VLOOKUP(N311,setup!$A$8:$H$58,6),VLOOKUP(N311,setup!$A$8:$H$58,7), VLOOKUP(0,setup!$A$8:$H$58,2),VLOOKUP(0,setup!$A$8:$H$58,5),VLOOKUP(N311,setup!$A$8:$H$58,8))</f>
        <v>    const UPD_CAMPANHA_CASHBACK_RESGATE_PIX_CCRP_DT_CADASTRO_PK = 'UPDATE `' . self::TABELA . '` set ' . ' `' . self::CCRP_DT_CADASTRO . '` = ? ' . 'WHERE ' . ' `' . self::CCRP_ID . '` = ? ' ;</v>
      </c>
    </row>
    <row r="312" spans="1:15" x14ac:dyDescent="0.25">
      <c r="A312" s="29" t="s">
        <v>762</v>
      </c>
      <c r="N312">
        <f t="shared" si="10"/>
        <v>50</v>
      </c>
      <c r="O312" s="7" t="str">
        <f ca="1">getCodigoBackend(N312,A312,VLOOKUP(N312,setup!$A$8:$H$58,2),VLOOKUP(N312,setup!$A$8:$H$58,3),VLOOKUP(N312,setup!$A$8:$H$58,4),VLOOKUP(N312,setup!$A$8:$H$58,5),VLOOKUP(N312,setup!$A$8:$H$58,6),VLOOKUP(N312,setup!$A$8:$H$58,7), VLOOKUP(0,setup!$A$8:$H$58,2),VLOOKUP(0,setup!$A$8:$H$58,5),VLOOKUP(N312,setup!$A$8:$H$58,8))</f>
        <v>    const UPD_CAMPANHA_CASHBACK_RESGATE_PIX_CCRP_DT_UPDATE_PK = 'UPDATE `' . self::TABELA . '` set ' . ' `' . self::CCRP_DT_UPDATE . '` = ? ' . 'WHERE ' . ' `' . self::CCRP_ID . '` = ? ' ;</v>
      </c>
    </row>
    <row r="313" spans="1:15" x14ac:dyDescent="0.25">
      <c r="A313" s="6"/>
      <c r="O313" s="7" t="str">
        <f ca="1">getCodigoBackend(N313,A313,VLOOKUP(N313,setup!$A$8:$H$58,2),VLOOKUP(N313,setup!$A$8:$H$58,3),VLOOKUP(N313,setup!$A$8:$H$58,4),VLOOKUP(N313,setup!$A$8:$H$58,5),VLOOKUP(N313,setup!$A$8:$H$58,6),VLOOKUP(N313,setup!$A$8:$H$58,7), VLOOKUP(0,setup!$A$8:$H$58,2),VLOOKUP(0,setup!$A$8:$H$58,5),VLOOKUP(N313,setup!$A$8:$H$58,8))</f>
        <v/>
      </c>
    </row>
    <row r="314" spans="1:15" x14ac:dyDescent="0.25">
      <c r="A314" s="6"/>
      <c r="O314" s="7" t="str">
        <f ca="1">getCodigoBackend(N314,A314,VLOOKUP(N314,setup!$A$8:$H$58,2),VLOOKUP(N314,setup!$A$8:$H$58,3),VLOOKUP(N314,setup!$A$8:$H$58,4),VLOOKUP(N314,setup!$A$8:$H$58,5),VLOOKUP(N314,setup!$A$8:$H$58,6),VLOOKUP(N314,setup!$A$8:$H$58,7), VLOOKUP(0,setup!$A$8:$H$58,2),VLOOKUP(0,setup!$A$8:$H$58,5),VLOOKUP(N314,setup!$A$8:$H$58,8))</f>
        <v/>
      </c>
    </row>
    <row r="315" spans="1:15" x14ac:dyDescent="0.25">
      <c r="A315" s="6"/>
      <c r="O315" s="7" t="str">
        <f ca="1">getCodigoBackend(N315,A315,VLOOKUP(N315,setup!$A$8:$H$58,2),VLOOKUP(N315,setup!$A$8:$H$58,3),VLOOKUP(N315,setup!$A$8:$H$58,4),VLOOKUP(N315,setup!$A$8:$H$58,5),VLOOKUP(N315,setup!$A$8:$H$58,6),VLOOKUP(N315,setup!$A$8:$H$58,7), VLOOKUP(0,setup!$A$8:$H$58,2),VLOOKUP(0,setup!$A$8:$H$58,5),VLOOKUP(N315,setup!$A$8:$H$58,8))</f>
        <v/>
      </c>
    </row>
    <row r="316" spans="1:15" x14ac:dyDescent="0.25">
      <c r="A316" s="29" t="s">
        <v>28</v>
      </c>
      <c r="O316" s="7" t="str">
        <f ca="1">getCodigoBackend(N316,A316,VLOOKUP(N316,setup!$A$8:$H$58,2),VLOOKUP(N316,setup!$A$8:$H$58,3),VLOOKUP(N316,setup!$A$8:$H$58,4),VLOOKUP(N316,setup!$A$8:$H$58,5),VLOOKUP(N316,setup!$A$8:$H$58,6),VLOOKUP(N316,setup!$A$8:$H$58,7), VLOOKUP(0,setup!$A$8:$H$58,2),VLOOKUP(0,setup!$A$8:$H$58,5),VLOOKUP(N316,setup!$A$8:$H$58,8))</f>
        <v>}</v>
      </c>
    </row>
    <row r="317" spans="1:15" x14ac:dyDescent="0.25">
      <c r="A317" s="29" t="s">
        <v>29</v>
      </c>
      <c r="O317" s="7" t="str">
        <f ca="1">getCodigoBackend(N317,A317,VLOOKUP(N317,setup!$A$8:$H$58,2),VLOOKUP(N317,setup!$A$8:$H$58,3),VLOOKUP(N317,setup!$A$8:$H$58,4),VLOOKUP(N317,setup!$A$8:$H$58,5),VLOOKUP(N317,setup!$A$8:$H$58,6),VLOOKUP(N317,setup!$A$8:$H$58,7), VLOOKUP(0,setup!$A$8:$H$58,2),VLOOKUP(0,setup!$A$8:$H$58,5),VLOOKUP(N317,setup!$A$8:$H$58,8))</f>
        <v>?&gt;</v>
      </c>
    </row>
    <row r="318" spans="1:15" x14ac:dyDescent="0.25">
      <c r="A318" s="29"/>
      <c r="O318" s="7" t="str">
        <f ca="1">getCodigoBackend(N318,A318,VLOOKUP(N318,setup!$A$8:$H$58,2),VLOOKUP(N318,setup!$A$8:$H$58,3),VLOOKUP(N318,setup!$A$8:$H$58,4),VLOOKUP(N318,setup!$A$8:$H$58,5),VLOOKUP(N318,setup!$A$8:$H$58,6),VLOOKUP(N318,setup!$A$8:$H$58,7), VLOOKUP(0,setup!$A$8:$H$58,2),VLOOKUP(0,setup!$A$8:$H$58,5),VLOOKUP(N318,setup!$A$8:$H$58,8))</f>
        <v/>
      </c>
    </row>
    <row r="319" spans="1:15" x14ac:dyDescent="0.25">
      <c r="O319" t="str">
        <f>SUBSTITUTE(SUBSTITUTE(SUBSTITUTE(SUBSTITUTE(A319,"${dto}",setup!$C$3),"${pk}",setup!$E$8),"${tabela}",setup!$C$2),CONCATENATE("${",N319,"}"),VLOOKUP(N319,setup!$A$8:$B$58,2))</f>
        <v/>
      </c>
    </row>
    <row r="320" spans="1:15" x14ac:dyDescent="0.25">
      <c r="O320" t="str">
        <f>SUBSTITUTE(SUBSTITUTE(SUBSTITUTE(SUBSTITUTE(A320,"${dto}",setup!$C$3),"${pk}",setup!$E$8),"${tabela}",setup!$C$2),CONCATENATE("${",N320,"}"),VLOOKUP(N320,setup!$A$8:$B$58,2))</f>
        <v/>
      </c>
    </row>
    <row r="321" spans="15:15" x14ac:dyDescent="0.25">
      <c r="O321" t="str">
        <f>SUBSTITUTE(SUBSTITUTE(SUBSTITUTE(SUBSTITUTE(A321,"${dto}",setup!$C$3),"${pk}",setup!$E$8),"${tabela}",setup!$C$2),CONCATENATE("${",N321,"}"),VLOOKUP(N321,setup!$A$8:$B$58,2))</f>
        <v/>
      </c>
    </row>
    <row r="322" spans="15:15" x14ac:dyDescent="0.25">
      <c r="O322" t="str">
        <f>SUBSTITUTE(SUBSTITUTE(SUBSTITUTE(SUBSTITUTE(A322,"${dto}",setup!$C$3),"${pk}",setup!$E$8),"${tabela}",setup!$C$2),CONCATENATE("${",N322,"}"),VLOOKUP(N322,setup!$A$8:$B$58,2))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67F9C3-055E-4FA6-8371-17AEE34504CC}">
  <sheetPr codeName="Sheet9"/>
  <dimension ref="A3:O1144"/>
  <sheetViews>
    <sheetView topLeftCell="A539" workbookViewId="0">
      <selection activeCell="O552" sqref="O1:O1048576"/>
    </sheetView>
  </sheetViews>
  <sheetFormatPr defaultRowHeight="15" x14ac:dyDescent="0.25"/>
  <sheetData>
    <row r="3" spans="1:15" x14ac:dyDescent="0.25">
      <c r="A3" s="2"/>
      <c r="O3" t="str">
        <f>SUBSTITUTE(SUBSTITUTE(A3,"${dto}",setup!$C$3),"${pk}",setup!$E$8)</f>
        <v/>
      </c>
    </row>
    <row r="4" spans="1:15" x14ac:dyDescent="0.25">
      <c r="A4" s="2" t="s">
        <v>16</v>
      </c>
      <c r="O4" s="7" t="str">
        <f ca="1">getCodigoBackend(N4,A4,VLOOKUP(N4,setup!$A$8:$H$58,2),VLOOKUP(N4,setup!$A$8:$H$58,3),VLOOKUP(N4,setup!$A$8:$H$58,4),VLOOKUP(N4,setup!$A$8:$H$58,5),VLOOKUP(N4,setup!$A$8:$H$58,6),VLOOKUP(N4,setup!$A$8:$H$58,7), VLOOKUP(0,setup!$A$8:$H$58,2),VLOOKUP(0,setup!$A$8:$H$58,5),VLOOKUP(N4,setup!$A$8:$H$58,8))</f>
        <v>&lt;?php</v>
      </c>
    </row>
    <row r="5" spans="1:15" x14ac:dyDescent="0.25">
      <c r="A5" s="3"/>
      <c r="O5" s="7" t="str">
        <f ca="1">getCodigoBackend(N5,A5,VLOOKUP(N5,setup!$A$8:$H$58,2),VLOOKUP(N5,setup!$A$8:$H$58,3),VLOOKUP(N5,setup!$A$8:$H$58,4),VLOOKUP(N5,setup!$A$8:$H$58,5),VLOOKUP(N5,setup!$A$8:$H$58,6),VLOOKUP(N5,setup!$A$8:$H$58,7), VLOOKUP(0,setup!$A$8:$H$58,2),VLOOKUP(0,setup!$A$8:$H$58,5),VLOOKUP(N5,setup!$A$8:$H$58,8))</f>
        <v/>
      </c>
    </row>
    <row r="6" spans="1:15" x14ac:dyDescent="0.25">
      <c r="A6" s="4" t="s">
        <v>19</v>
      </c>
      <c r="O6" s="7" t="str">
        <f ca="1">getCodigoBackend(N6,A6,VLOOKUP(N6,setup!$A$8:$H$58,2),VLOOKUP(N6,setup!$A$8:$H$58,3),VLOOKUP(N6,setup!$A$8:$H$58,4),VLOOKUP(N6,setup!$A$8:$H$58,5),VLOOKUP(N6,setup!$A$8:$H$58,6),VLOOKUP(N6,setup!$A$8:$H$58,7), VLOOKUP(0,setup!$A$8:$H$58,2),VLOOKUP(0,setup!$A$8:$H$58,5),VLOOKUP(N6,setup!$A$8:$H$58,8))</f>
        <v>/**</v>
      </c>
    </row>
    <row r="7" spans="1:15" x14ac:dyDescent="0.25">
      <c r="A7" s="4" t="s">
        <v>305</v>
      </c>
      <c r="O7" s="7" t="str">
        <f ca="1">getCodigoBackend(N7,A7,VLOOKUP(N7,setup!$A$8:$H$58,2),VLOOKUP(N7,setup!$A$8:$H$58,3),VLOOKUP(N7,setup!$A$8:$H$58,4),VLOOKUP(N7,setup!$A$8:$H$58,5),VLOOKUP(N7,setup!$A$8:$H$58,6),VLOOKUP(N7,setup!$A$8:$H$58,7), VLOOKUP(0,setup!$A$8:$H$58,2),VLOOKUP(0,setup!$A$8:$H$58,5),VLOOKUP(N7,setup!$A$8:$H$58,8))</f>
        <v>* MySqlKinghostCampanhaCashbackResgatePixDAO - Implementação DAO</v>
      </c>
    </row>
    <row r="8" spans="1:15" x14ac:dyDescent="0.25">
      <c r="A8" s="4" t="s">
        <v>20</v>
      </c>
      <c r="O8" s="7" t="str">
        <f ca="1">getCodigoBackend(N8,A8,VLOOKUP(N8,setup!$A$8:$H$58,2),VLOOKUP(N8,setup!$A$8:$H$58,3),VLOOKUP(N8,setup!$A$8:$H$58,4),VLOOKUP(N8,setup!$A$8:$H$58,5),VLOOKUP(N8,setup!$A$8:$H$58,6),VLOOKUP(N8,setup!$A$8:$H$58,7), VLOOKUP(0,setup!$A$8:$H$58,2),VLOOKUP(0,setup!$A$8:$H$58,5),VLOOKUP(N8,setup!$A$8:$H$58,8))</f>
        <v>*</v>
      </c>
    </row>
    <row r="9" spans="1:15" x14ac:dyDescent="0.25">
      <c r="A9" s="4" t="s">
        <v>423</v>
      </c>
      <c r="O9" s="7" t="str">
        <f ca="1">getCodigoBackend(N9,A9,VLOOKUP(N9,setup!$A$8:$H$58,2),VLOOKUP(N9,setup!$A$8:$H$58,3),VLOOKUP(N9,setup!$A$8:$H$58,4),VLOOKUP(N9,setup!$A$8:$H$58,5),VLOOKUP(N9,setup!$A$8:$H$58,6),VLOOKUP(N9,setup!$A$8:$H$58,7), VLOOKUP(0,setup!$A$8:$H$58,2),VLOOKUP(0,setup!$A$8:$H$58,5),VLOOKUP(N9,setup!$A$8:$H$58,8))</f>
        <v xml:space="preserve">* Classe de com todos os comandos DML e DDL (se necessário) para apoio </v>
      </c>
    </row>
    <row r="10" spans="1:15" x14ac:dyDescent="0.25">
      <c r="A10" s="4" t="s">
        <v>425</v>
      </c>
      <c r="O10" s="7" t="str">
        <f ca="1">getCodigoBackend(N10,A10,VLOOKUP(N10,setup!$A$8:$H$58,2),VLOOKUP(N10,setup!$A$8:$H$58,3),VLOOKUP(N10,setup!$A$8:$H$58,4),VLOOKUP(N10,setup!$A$8:$H$58,5),VLOOKUP(N10,setup!$A$8:$H$58,6),VLOOKUP(N10,setup!$A$8:$H$58,7), VLOOKUP(0,setup!$A$8:$H$58,2),VLOOKUP(0,setup!$A$8:$H$58,5),VLOOKUP(N10,setup!$A$8:$H$58,8))</f>
        <v>* a classe MySqlKinghostCampanhaCashbackResgatePixDAO</v>
      </c>
    </row>
    <row r="11" spans="1:15" x14ac:dyDescent="0.25">
      <c r="A11" s="4" t="s">
        <v>255</v>
      </c>
      <c r="O11" s="7" t="str">
        <f ca="1">getCodigoBackend(N11,A11,VLOOKUP(N11,setup!$A$8:$H$58,2),VLOOKUP(N11,setup!$A$8:$H$58,3),VLOOKUP(N11,setup!$A$8:$H$58,4),VLOOKUP(N11,setup!$A$8:$H$58,5),VLOOKUP(N11,setup!$A$8:$H$58,6),VLOOKUP(N11,setup!$A$8:$H$58,7), VLOOKUP(0,setup!$A$8:$H$58,2),VLOOKUP(0,setup!$A$8:$H$58,5),VLOOKUP(N11,setup!$A$8:$H$58,8))</f>
        <v xml:space="preserve">* Não é uma camada visível para outros dispositivos, como as camadas de apresentação e aplicação. </v>
      </c>
    </row>
    <row r="12" spans="1:15" x14ac:dyDescent="0.25">
      <c r="A12" s="4" t="s">
        <v>20</v>
      </c>
      <c r="O12" s="7" t="str">
        <f ca="1">getCodigoBackend(N12,A12,VLOOKUP(N12,setup!$A$8:$H$58,2),VLOOKUP(N12,setup!$A$8:$H$58,3),VLOOKUP(N12,setup!$A$8:$H$58,4),VLOOKUP(N12,setup!$A$8:$H$58,5),VLOOKUP(N12,setup!$A$8:$H$58,6),VLOOKUP(N12,setup!$A$8:$H$58,7), VLOOKUP(0,setup!$A$8:$H$58,2),VLOOKUP(0,setup!$A$8:$H$58,5),VLOOKUP(N12,setup!$A$8:$H$58,8))</f>
        <v>*</v>
      </c>
    </row>
    <row r="13" spans="1:15" x14ac:dyDescent="0.25">
      <c r="A13" s="4" t="s">
        <v>20</v>
      </c>
      <c r="O13" s="7" t="str">
        <f ca="1">getCodigoBackend(N13,A13,VLOOKUP(N13,setup!$A$8:$H$58,2),VLOOKUP(N13,setup!$A$8:$H$58,3),VLOOKUP(N13,setup!$A$8:$H$58,4),VLOOKUP(N13,setup!$A$8:$H$58,5),VLOOKUP(N13,setup!$A$8:$H$58,6),VLOOKUP(N13,setup!$A$8:$H$58,7), VLOOKUP(0,setup!$A$8:$H$58,2),VLOOKUP(0,setup!$A$8:$H$58,5),VLOOKUP(N13,setup!$A$8:$H$58,8))</f>
        <v>*</v>
      </c>
    </row>
    <row r="14" spans="1:15" x14ac:dyDescent="0.25">
      <c r="A14" s="4" t="s">
        <v>424</v>
      </c>
      <c r="O14" s="7" t="str">
        <f ca="1">getCodigoBackend(N14,A14,VLOOKUP(N14,setup!$A$8:$H$58,2),VLOOKUP(N14,setup!$A$8:$H$58,3),VLOOKUP(N14,setup!$A$8:$H$58,4),VLOOKUP(N14,setup!$A$8:$H$58,5),VLOOKUP(N14,setup!$A$8:$H$58,6),VLOOKUP(N14,setup!$A$8:$H$58,7), VLOOKUP(0,setup!$A$8:$H$58,2),VLOOKUP(0,setup!$A$8:$H$58,5),VLOOKUP(N14,setup!$A$8:$H$58,8))</f>
        <v>* Tabela principal de atuação: CAMPANHA_CASHBACK_RESGATE_PIX</v>
      </c>
    </row>
    <row r="15" spans="1:15" x14ac:dyDescent="0.25">
      <c r="A15" s="4" t="s">
        <v>20</v>
      </c>
      <c r="O15" s="7" t="str">
        <f ca="1">getCodigoBackend(N15,A15,VLOOKUP(N15,setup!$A$8:$H$58,2),VLOOKUP(N15,setup!$A$8:$H$58,3),VLOOKUP(N15,setup!$A$8:$H$58,4),VLOOKUP(N15,setup!$A$8:$H$58,5),VLOOKUP(N15,setup!$A$8:$H$58,6),VLOOKUP(N15,setup!$A$8:$H$58,7), VLOOKUP(0,setup!$A$8:$H$58,2),VLOOKUP(0,setup!$A$8:$H$58,5),VLOOKUP(N15,setup!$A$8:$H$58,8))</f>
        <v>*</v>
      </c>
    </row>
    <row r="16" spans="1:15" x14ac:dyDescent="0.25">
      <c r="A16" s="4" t="s">
        <v>260</v>
      </c>
      <c r="O16" s="7" t="str">
        <f ca="1">getCodigoBackend(N16,A16,VLOOKUP(N16,setup!$A$8:$H$58,2),VLOOKUP(N16,setup!$A$8:$H$58,3),VLOOKUP(N16,setup!$A$8:$H$58,4),VLOOKUP(N16,setup!$A$8:$H$58,5),VLOOKUP(N16,setup!$A$8:$H$58,6),VLOOKUP(N16,setup!$A$8:$H$58,7), VLOOKUP(0,setup!$A$8:$H$58,2),VLOOKUP(0,setup!$A$8:$H$58,5),VLOOKUP(N16,setup!$A$8:$H$58,8))</f>
        <v>* Changelog:</v>
      </c>
    </row>
    <row r="17" spans="1:15" x14ac:dyDescent="0.25">
      <c r="A17" s="4" t="s">
        <v>20</v>
      </c>
      <c r="O17" s="7" t="str">
        <f ca="1">getCodigoBackend(N17,A17,VLOOKUP(N17,setup!$A$8:$H$58,2),VLOOKUP(N17,setup!$A$8:$H$58,3),VLOOKUP(N17,setup!$A$8:$H$58,4),VLOOKUP(N17,setup!$A$8:$H$58,5),VLOOKUP(N17,setup!$A$8:$H$58,6),VLOOKUP(N17,setup!$A$8:$H$58,7), VLOOKUP(0,setup!$A$8:$H$58,2),VLOOKUP(0,setup!$A$8:$H$58,5),VLOOKUP(N17,setup!$A$8:$H$58,8))</f>
        <v>*</v>
      </c>
    </row>
    <row r="18" spans="1:15" x14ac:dyDescent="0.25">
      <c r="A18" s="4" t="s">
        <v>75</v>
      </c>
      <c r="O18" s="7" t="str">
        <f ca="1">getCodigoBackend(N18,A18,VLOOKUP(N18,setup!$A$8:$H$58,2),VLOOKUP(N18,setup!$A$8:$H$58,3),VLOOKUP(N18,setup!$A$8:$H$58,4),VLOOKUP(N18,setup!$A$8:$H$58,5),VLOOKUP(N18,setup!$A$8:$H$58,6),VLOOKUP(N18,setup!$A$8:$H$58,7), VLOOKUP(0,setup!$A$8:$H$58,2),VLOOKUP(0,setup!$A$8:$H$58,5),VLOOKUP(N18,setup!$A$8:$H$58,8))</f>
        <v xml:space="preserve">* </v>
      </c>
    </row>
    <row r="19" spans="1:15" x14ac:dyDescent="0.25">
      <c r="A19" s="4" t="s">
        <v>426</v>
      </c>
      <c r="O19" s="7" t="str">
        <f ca="1">getCodigoBackend(N19,A19,VLOOKUP(N19,setup!$A$8:$H$58,2),VLOOKUP(N19,setup!$A$8:$H$58,3),VLOOKUP(N19,setup!$A$8:$H$58,4),VLOOKUP(N19,setup!$A$8:$H$58,5),VLOOKUP(N19,setup!$A$8:$H$58,6),VLOOKUP(N19,setup!$A$8:$H$58,7), VLOOKUP(0,setup!$A$8:$H$58,2),VLOOKUP(0,setup!$A$8:$H$58,5),VLOOKUP(N19,setup!$A$8:$H$58,8))</f>
        <v>* @author Julio Cesar Vitorino</v>
      </c>
    </row>
    <row r="20" spans="1:15" x14ac:dyDescent="0.25">
      <c r="A20" s="4" t="s">
        <v>422</v>
      </c>
      <c r="O20" s="7" t="str">
        <f ca="1">getCodigoBackend(N20,A20,VLOOKUP(N20,setup!$A$8:$H$58,2),VLOOKUP(N20,setup!$A$8:$H$58,3),VLOOKUP(N20,setup!$A$8:$H$58,4),VLOOKUP(N20,setup!$A$8:$H$58,5),VLOOKUP(N20,setup!$A$8:$H$58,6),VLOOKUP(N20,setup!$A$8:$H$58,7), VLOOKUP(0,setup!$A$8:$H$58,2),VLOOKUP(0,setup!$A$8:$H$58,5),VLOOKUP(N20,setup!$A$8:$H$58,8))</f>
        <v>* @since 23/08/2019 10:06:20</v>
      </c>
    </row>
    <row r="21" spans="1:15" x14ac:dyDescent="0.25">
      <c r="A21" s="4" t="s">
        <v>20</v>
      </c>
      <c r="O21" s="7" t="str">
        <f ca="1">getCodigoBackend(N21,A21,VLOOKUP(N21,setup!$A$8:$H$58,2),VLOOKUP(N21,setup!$A$8:$H$58,3),VLOOKUP(N21,setup!$A$8:$H$58,4),VLOOKUP(N21,setup!$A$8:$H$58,5),VLOOKUP(N21,setup!$A$8:$H$58,6),VLOOKUP(N21,setup!$A$8:$H$58,7), VLOOKUP(0,setup!$A$8:$H$58,2),VLOOKUP(0,setup!$A$8:$H$58,5),VLOOKUP(N21,setup!$A$8:$H$58,8))</f>
        <v>*</v>
      </c>
    </row>
    <row r="22" spans="1:15" x14ac:dyDescent="0.25">
      <c r="A22" s="4" t="s">
        <v>21</v>
      </c>
      <c r="O22" s="7" t="str">
        <f ca="1">getCodigoBackend(N22,A22,VLOOKUP(N22,setup!$A$8:$H$58,2),VLOOKUP(N22,setup!$A$8:$H$58,3),VLOOKUP(N22,setup!$A$8:$H$58,4),VLOOKUP(N22,setup!$A$8:$H$58,5),VLOOKUP(N22,setup!$A$8:$H$58,6),VLOOKUP(N22,setup!$A$8:$H$58,7), VLOOKUP(0,setup!$A$8:$H$58,2),VLOOKUP(0,setup!$A$8:$H$58,5),VLOOKUP(N22,setup!$A$8:$H$58,8))</f>
        <v>*/</v>
      </c>
    </row>
    <row r="23" spans="1:15" x14ac:dyDescent="0.25">
      <c r="A23" s="5" t="s">
        <v>306</v>
      </c>
      <c r="O23" s="7" t="str">
        <f ca="1">getCodigoBackend(N23,A23,VLOOKUP(N23,setup!$A$8:$H$58,2),VLOOKUP(N23,setup!$A$8:$H$58,3),VLOOKUP(N23,setup!$A$8:$H$58,4),VLOOKUP(N23,setup!$A$8:$H$58,5),VLOOKUP(N23,setup!$A$8:$H$58,6),VLOOKUP(N23,setup!$A$8:$H$58,7), VLOOKUP(0,setup!$A$8:$H$58,2),VLOOKUP(0,setup!$A$8:$H$58,5),VLOOKUP(N23,setup!$A$8:$H$58,8))</f>
        <v>require_once 'CampanhaCashbackResgatePixDTO.php';</v>
      </c>
    </row>
    <row r="24" spans="1:15" x14ac:dyDescent="0.25">
      <c r="A24" s="5" t="s">
        <v>307</v>
      </c>
      <c r="O24" s="7" t="str">
        <f ca="1">getCodigoBackend(N24,A24,VLOOKUP(N24,setup!$A$8:$H$58,2),VLOOKUP(N24,setup!$A$8:$H$58,3),VLOOKUP(N24,setup!$A$8:$H$58,4),VLOOKUP(N24,setup!$A$8:$H$58,5),VLOOKUP(N24,setup!$A$8:$H$58,6),VLOOKUP(N24,setup!$A$8:$H$58,7), VLOOKUP(0,setup!$A$8:$H$58,2),VLOOKUP(0,setup!$A$8:$H$58,5),VLOOKUP(N24,setup!$A$8:$H$58,8))</f>
        <v>require_once 'CampanhaCashbackResgatePixDAO.php';</v>
      </c>
    </row>
    <row r="25" spans="1:15" x14ac:dyDescent="0.25">
      <c r="A25" s="5" t="s">
        <v>308</v>
      </c>
      <c r="O25" s="7" t="str">
        <f ca="1">getCodigoBackend(N25,A25,VLOOKUP(N25,setup!$A$8:$H$58,2),VLOOKUP(N25,setup!$A$8:$H$58,3),VLOOKUP(N25,setup!$A$8:$H$58,4),VLOOKUP(N25,setup!$A$8:$H$58,5),VLOOKUP(N25,setup!$A$8:$H$58,6),VLOOKUP(N25,setup!$A$8:$H$58,7), VLOOKUP(0,setup!$A$8:$H$58,2),VLOOKUP(0,setup!$A$8:$H$58,5),VLOOKUP(N25,setup!$A$8:$H$58,8))</f>
        <v>require_once 'DmlSqlCampanhaCashbackResgatePix.php';</v>
      </c>
    </row>
    <row r="26" spans="1:15" x14ac:dyDescent="0.25">
      <c r="A26" s="3"/>
      <c r="O26" s="7" t="str">
        <f ca="1">getCodigoBackend(N26,A26,VLOOKUP(N26,setup!$A$8:$H$58,2),VLOOKUP(N26,setup!$A$8:$H$58,3),VLOOKUP(N26,setup!$A$8:$H$58,4),VLOOKUP(N26,setup!$A$8:$H$58,5),VLOOKUP(N26,setup!$A$8:$H$58,6),VLOOKUP(N26,setup!$A$8:$H$58,7), VLOOKUP(0,setup!$A$8:$H$58,2),VLOOKUP(0,setup!$A$8:$H$58,5),VLOOKUP(N26,setup!$A$8:$H$58,8))</f>
        <v/>
      </c>
    </row>
    <row r="27" spans="1:15" x14ac:dyDescent="0.25">
      <c r="A27" s="5" t="s">
        <v>934</v>
      </c>
      <c r="O27" s="7" t="str">
        <f ca="1">getCodigoBackend(N27,A27,VLOOKUP(N27,setup!$A$8:$H$58,2),VLOOKUP(N27,setup!$A$8:$H$58,3),VLOOKUP(N27,setup!$A$8:$H$58,4),VLOOKUP(N27,setup!$A$8:$H$58,5),VLOOKUP(N27,setup!$A$8:$H$58,6),VLOOKUP(N27,setup!$A$8:$H$58,7), VLOOKUP(0,setup!$A$8:$H$58,2),VLOOKUP(0,setup!$A$8:$H$58,5),VLOOKUP(N27,setup!$A$8:$H$58,8))</f>
        <v>require_once '../mensagem/ConstantesMensagem.php';</v>
      </c>
    </row>
    <row r="28" spans="1:15" x14ac:dyDescent="0.25">
      <c r="A28" s="5" t="s">
        <v>935</v>
      </c>
      <c r="O28" s="7" t="str">
        <f ca="1">getCodigoBackend(N28,A28,VLOOKUP(N28,setup!$A$8:$H$58,2),VLOOKUP(N28,setup!$A$8:$H$58,3),VLOOKUP(N28,setup!$A$8:$H$58,4),VLOOKUP(N28,setup!$A$8:$H$58,5),VLOOKUP(N28,setup!$A$8:$H$58,6),VLOOKUP(N28,setup!$A$8:$H$58,7), VLOOKUP(0,setup!$A$8:$H$58,2),VLOOKUP(0,setup!$A$8:$H$58,5),VLOOKUP(N28,setup!$A$8:$H$58,8))</f>
        <v>require_once '../mensagem/MensagemCache.php';</v>
      </c>
    </row>
    <row r="29" spans="1:15" x14ac:dyDescent="0.25">
      <c r="A29" s="5" t="s">
        <v>84</v>
      </c>
      <c r="O29" s="7" t="str">
        <f ca="1">getCodigoBackend(N29,A29,VLOOKUP(N29,setup!$A$8:$H$58,2),VLOOKUP(N29,setup!$A$8:$H$58,3),VLOOKUP(N29,setup!$A$8:$H$58,4),VLOOKUP(N29,setup!$A$8:$H$58,5),VLOOKUP(N29,setup!$A$8:$H$58,6),VLOOKUP(N29,setup!$A$8:$H$58,7), VLOOKUP(0,setup!$A$8:$H$58,2),VLOOKUP(0,setup!$A$8:$H$58,5),VLOOKUP(N29,setup!$A$8:$H$58,8))</f>
        <v>require_once '../variavel/VariavelCache.php';</v>
      </c>
    </row>
    <row r="30" spans="1:15" x14ac:dyDescent="0.25">
      <c r="A30" s="5" t="s">
        <v>102</v>
      </c>
      <c r="O30" s="7" t="str">
        <f ca="1">getCodigoBackend(N30,A30,VLOOKUP(N30,setup!$A$8:$H$58,2),VLOOKUP(N30,setup!$A$8:$H$58,3),VLOOKUP(N30,setup!$A$8:$H$58,4),VLOOKUP(N30,setup!$A$8:$H$58,5),VLOOKUP(N30,setup!$A$8:$H$58,6),VLOOKUP(N30,setup!$A$8:$H$58,7), VLOOKUP(0,setup!$A$8:$H$58,2),VLOOKUP(0,setup!$A$8:$H$58,5),VLOOKUP(N30,setup!$A$8:$H$58,8))</f>
        <v>require_once '../daofactory/DmlSql.php';</v>
      </c>
    </row>
    <row r="31" spans="1:15" x14ac:dyDescent="0.25">
      <c r="A31" s="3"/>
      <c r="O31" s="7" t="str">
        <f ca="1">getCodigoBackend(N31,A31,VLOOKUP(N31,setup!$A$8:$H$58,2),VLOOKUP(N31,setup!$A$8:$H$58,3),VLOOKUP(N31,setup!$A$8:$H$58,4),VLOOKUP(N31,setup!$A$8:$H$58,5),VLOOKUP(N31,setup!$A$8:$H$58,6),VLOOKUP(N31,setup!$A$8:$H$58,7), VLOOKUP(0,setup!$A$8:$H$58,2),VLOOKUP(0,setup!$A$8:$H$58,5),VLOOKUP(N31,setup!$A$8:$H$58,8))</f>
        <v/>
      </c>
    </row>
    <row r="32" spans="1:15" x14ac:dyDescent="0.25">
      <c r="A32" s="2" t="s">
        <v>309</v>
      </c>
      <c r="O32" s="7" t="str">
        <f ca="1">getCodigoBackend(N32,A32,VLOOKUP(N32,setup!$A$8:$H$58,2),VLOOKUP(N32,setup!$A$8:$H$58,3),VLOOKUP(N32,setup!$A$8:$H$58,4),VLOOKUP(N32,setup!$A$8:$H$58,5),VLOOKUP(N32,setup!$A$8:$H$58,6),VLOOKUP(N32,setup!$A$8:$H$58,7), VLOOKUP(0,setup!$A$8:$H$58,2),VLOOKUP(0,setup!$A$8:$H$58,5),VLOOKUP(N32,setup!$A$8:$H$58,8))</f>
        <v>class MySqlKinghostCampanhaCashbackResgatePixDAO implements CampanhaCashbackResgatePixDAO</v>
      </c>
    </row>
    <row r="33" spans="1:15" x14ac:dyDescent="0.25">
      <c r="A33" s="6" t="s">
        <v>22</v>
      </c>
      <c r="O33" s="7" t="str">
        <f ca="1">getCodigoBackend(N33,A33,VLOOKUP(N33,setup!$A$8:$H$58,2),VLOOKUP(N33,setup!$A$8:$H$58,3),VLOOKUP(N33,setup!$A$8:$H$58,4),VLOOKUP(N33,setup!$A$8:$H$58,5),VLOOKUP(N33,setup!$A$8:$H$58,6),VLOOKUP(N33,setup!$A$8:$H$58,7), VLOOKUP(0,setup!$A$8:$H$58,2),VLOOKUP(0,setup!$A$8:$H$58,5),VLOOKUP(N33,setup!$A$8:$H$58,8))</f>
        <v>{</v>
      </c>
    </row>
    <row r="34" spans="1:15" x14ac:dyDescent="0.25">
      <c r="A34" s="6" t="s">
        <v>118</v>
      </c>
      <c r="O34" s="7" t="str">
        <f ca="1">getCodigoBackend(N34,A34,VLOOKUP(N34,setup!$A$8:$H$58,2),VLOOKUP(N34,setup!$A$8:$H$58,3),VLOOKUP(N34,setup!$A$8:$H$58,4),VLOOKUP(N34,setup!$A$8:$H$58,5),VLOOKUP(N34,setup!$A$8:$H$58,6),VLOOKUP(N34,setup!$A$8:$H$58,7), VLOOKUP(0,setup!$A$8:$H$58,2),VLOOKUP(0,setup!$A$8:$H$58,5),VLOOKUP(N34,setup!$A$8:$H$58,8))</f>
        <v>    private $daofactory;</v>
      </c>
    </row>
    <row r="35" spans="1:15" x14ac:dyDescent="0.25">
      <c r="A35" s="3"/>
      <c r="O35" s="7" t="str">
        <f ca="1">getCodigoBackend(N35,A35,VLOOKUP(N35,setup!$A$8:$H$58,2),VLOOKUP(N35,setup!$A$8:$H$58,3),VLOOKUP(N35,setup!$A$8:$H$58,4),VLOOKUP(N35,setup!$A$8:$H$58,5),VLOOKUP(N35,setup!$A$8:$H$58,6),VLOOKUP(N35,setup!$A$8:$H$58,7), VLOOKUP(0,setup!$A$8:$H$58,2),VLOOKUP(0,setup!$A$8:$H$58,5),VLOOKUP(N35,setup!$A$8:$H$58,8))</f>
        <v/>
      </c>
    </row>
    <row r="36" spans="1:15" x14ac:dyDescent="0.25">
      <c r="A36" s="6" t="s">
        <v>119</v>
      </c>
      <c r="O36" s="7" t="str">
        <f ca="1">getCodigoBackend(N36,A36,VLOOKUP(N36,setup!$A$8:$H$58,2),VLOOKUP(N36,setup!$A$8:$H$58,3),VLOOKUP(N36,setup!$A$8:$H$58,4),VLOOKUP(N36,setup!$A$8:$H$58,5),VLOOKUP(N36,setup!$A$8:$H$58,6),VLOOKUP(N36,setup!$A$8:$H$58,7), VLOOKUP(0,setup!$A$8:$H$58,2),VLOOKUP(0,setup!$A$8:$H$58,5),VLOOKUP(N36,setup!$A$8:$H$58,8))</f>
        <v>    function __construct($daofactory)</v>
      </c>
    </row>
    <row r="37" spans="1:15" x14ac:dyDescent="0.25">
      <c r="A37" s="6" t="s">
        <v>38</v>
      </c>
      <c r="O37" s="7" t="str">
        <f ca="1">getCodigoBackend(N37,A37,VLOOKUP(N37,setup!$A$8:$H$58,2),VLOOKUP(N37,setup!$A$8:$H$58,3),VLOOKUP(N37,setup!$A$8:$H$58,4),VLOOKUP(N37,setup!$A$8:$H$58,5),VLOOKUP(N37,setup!$A$8:$H$58,6),VLOOKUP(N37,setup!$A$8:$H$58,7), VLOOKUP(0,setup!$A$8:$H$58,2),VLOOKUP(0,setup!$A$8:$H$58,5),VLOOKUP(N37,setup!$A$8:$H$58,8))</f>
        <v>    {</v>
      </c>
    </row>
    <row r="38" spans="1:15" x14ac:dyDescent="0.25">
      <c r="A38" s="6" t="s">
        <v>120</v>
      </c>
      <c r="O38" s="7" t="str">
        <f ca="1">getCodigoBackend(N38,A38,VLOOKUP(N38,setup!$A$8:$H$58,2),VLOOKUP(N38,setup!$A$8:$H$58,3),VLOOKUP(N38,setup!$A$8:$H$58,4),VLOOKUP(N38,setup!$A$8:$H$58,5),VLOOKUP(N38,setup!$A$8:$H$58,6),VLOOKUP(N38,setup!$A$8:$H$58,7), VLOOKUP(0,setup!$A$8:$H$58,2),VLOOKUP(0,setup!$A$8:$H$58,5),VLOOKUP(N38,setup!$A$8:$H$58,8))</f>
        <v>        $this-&gt;daofactory = $daofactory;</v>
      </c>
    </row>
    <row r="39" spans="1:15" x14ac:dyDescent="0.25">
      <c r="A39" s="6" t="s">
        <v>62</v>
      </c>
      <c r="O39" s="7" t="str">
        <f ca="1">getCodigoBackend(N39,A39,VLOOKUP(N39,setup!$A$8:$H$58,2),VLOOKUP(N39,setup!$A$8:$H$58,3),VLOOKUP(N39,setup!$A$8:$H$58,4),VLOOKUP(N39,setup!$A$8:$H$58,5),VLOOKUP(N39,setup!$A$8:$H$58,6),VLOOKUP(N39,setup!$A$8:$H$58,7), VLOOKUP(0,setup!$A$8:$H$58,2),VLOOKUP(0,setup!$A$8:$H$58,5),VLOOKUP(N39,setup!$A$8:$H$58,8))</f>
        <v>    }</v>
      </c>
    </row>
    <row r="40" spans="1:15" x14ac:dyDescent="0.25">
      <c r="A40" s="6"/>
      <c r="O40" s="7" t="str">
        <f ca="1">getCodigoBackend(N40,A40,VLOOKUP(N40,setup!$A$8:$H$58,2),VLOOKUP(N40,setup!$A$8:$H$58,3),VLOOKUP(N40,setup!$A$8:$H$58,4),VLOOKUP(N40,setup!$A$8:$H$58,5),VLOOKUP(N40,setup!$A$8:$H$58,6),VLOOKUP(N40,setup!$A$8:$H$58,7), VLOOKUP(0,setup!$A$8:$H$58,2),VLOOKUP(0,setup!$A$8:$H$58,5),VLOOKUP(N40,setup!$A$8:$H$58,8))</f>
        <v/>
      </c>
    </row>
    <row r="41" spans="1:15" x14ac:dyDescent="0.25">
      <c r="A41" s="6"/>
      <c r="O41" s="7" t="str">
        <f ca="1">getCodigoBackend(N41,A41,VLOOKUP(N41,setup!$A$8:$H$58,2),VLOOKUP(N41,setup!$A$8:$H$58,3),VLOOKUP(N41,setup!$A$8:$H$58,4),VLOOKUP(N41,setup!$A$8:$H$58,5),VLOOKUP(N41,setup!$A$8:$H$58,6),VLOOKUP(N41,setup!$A$8:$H$58,7), VLOOKUP(0,setup!$A$8:$H$58,2),VLOOKUP(0,setup!$A$8:$H$58,5),VLOOKUP(N41,setup!$A$8:$H$58,8))</f>
        <v/>
      </c>
    </row>
    <row r="42" spans="1:15" x14ac:dyDescent="0.25">
      <c r="A42" s="29" t="s">
        <v>19</v>
      </c>
      <c r="N42">
        <v>1</v>
      </c>
      <c r="O42" s="7" t="str">
        <f ca="1">getCodigoBackend(N42,A42,VLOOKUP(N42,setup!$A$8:$H$58,2),VLOOKUP(N42,setup!$A$8:$H$58,3),VLOOKUP(N42,setup!$A$8:$H$58,4),VLOOKUP(N42,setup!$A$8:$H$58,5),VLOOKUP(N42,setup!$A$8:$H$58,6),VLOOKUP(N42,setup!$A$8:$H$58,7), VLOOKUP(0,setup!$A$8:$H$58,2),VLOOKUP(0,setup!$A$8:$H$58,5),VLOOKUP(N42,setup!$A$8:$H$58,8))</f>
        <v>/**</v>
      </c>
    </row>
    <row r="43" spans="1:15" x14ac:dyDescent="0.25">
      <c r="A43" s="29" t="s">
        <v>807</v>
      </c>
      <c r="N43">
        <v>1</v>
      </c>
      <c r="O43" s="7" t="str">
        <f ca="1">getCodigoBackend(N43,A43,VLOOKUP(N43,setup!$A$8:$H$58,2),VLOOKUP(N43,setup!$A$8:$H$58,3),VLOOKUP(N43,setup!$A$8:$H$58,4),VLOOKUP(N43,setup!$A$8:$H$58,5),VLOOKUP(N43,setup!$A$8:$H$58,6),VLOOKUP(N43,setup!$A$8:$H$58,7), VLOOKUP(0,setup!$A$8:$H$58,2),VLOOKUP(0,setup!$A$8:$H$58,5),VLOOKUP(N43,setup!$A$8:$H$58,8))</f>
        <v>* loadMaxIdcampanhacashbackPK() - Carrega um MaxID (pk) para um ${CAMPO} e status</v>
      </c>
    </row>
    <row r="44" spans="1:15" x14ac:dyDescent="0.25">
      <c r="A44" s="29" t="s">
        <v>20</v>
      </c>
      <c r="N44">
        <v>1</v>
      </c>
      <c r="O44" s="7" t="str">
        <f ca="1">getCodigoBackend(N44,A44,VLOOKUP(N44,setup!$A$8:$H$58,2),VLOOKUP(N44,setup!$A$8:$H$58,3),VLOOKUP(N44,setup!$A$8:$H$58,4),VLOOKUP(N44,setup!$A$8:$H$58,5),VLOOKUP(N44,setup!$A$8:$H$58,6),VLOOKUP(N44,setup!$A$8:$H$58,7), VLOOKUP(0,setup!$A$8:$H$58,2),VLOOKUP(0,setup!$A$8:$H$58,5),VLOOKUP(N44,setup!$A$8:$H$58,8))</f>
        <v>*</v>
      </c>
    </row>
    <row r="45" spans="1:15" x14ac:dyDescent="0.25">
      <c r="A45" s="29" t="s">
        <v>756</v>
      </c>
      <c r="N45">
        <v>1</v>
      </c>
      <c r="O45" s="7" t="str">
        <f ca="1">getCodigoBackend(N45,A45,VLOOKUP(N45,setup!$A$8:$H$58,2),VLOOKUP(N45,setup!$A$8:$H$58,3),VLOOKUP(N45,setup!$A$8:$H$58,4),VLOOKUP(N45,setup!$A$8:$H$58,5),VLOOKUP(N45,setup!$A$8:$H$58,6),VLOOKUP(N45,setup!$A$8:$H$58,7), VLOOKUP(0,setup!$A$8:$H$58,2),VLOOKUP(0,setup!$A$8:$H$58,5),VLOOKUP(N45,setup!$A$8:$H$58,8))</f>
        <v>* @param $idCampanhaCashback</v>
      </c>
    </row>
    <row r="46" spans="1:15" x14ac:dyDescent="0.25">
      <c r="A46" s="29" t="s">
        <v>275</v>
      </c>
      <c r="N46">
        <v>1</v>
      </c>
      <c r="O46" s="7" t="str">
        <f ca="1">getCodigoBackend(N46,A46,VLOOKUP(N46,setup!$A$8:$H$58,2),VLOOKUP(N46,setup!$A$8:$H$58,3),VLOOKUP(N46,setup!$A$8:$H$58,4),VLOOKUP(N46,setup!$A$8:$H$58,5),VLOOKUP(N46,setup!$A$8:$H$58,6),VLOOKUP(N46,setup!$A$8:$H$58,7), VLOOKUP(0,setup!$A$8:$H$58,2),VLOOKUP(0,setup!$A$8:$H$58,5),VLOOKUP(N46,setup!$A$8:$H$58,8))</f>
        <v>* @param $status</v>
      </c>
    </row>
    <row r="47" spans="1:15" x14ac:dyDescent="0.25">
      <c r="A47" s="29" t="s">
        <v>359</v>
      </c>
      <c r="N47">
        <v>1</v>
      </c>
      <c r="O47" s="7" t="str">
        <f ca="1">getCodigoBackend(N47,A47,VLOOKUP(N47,setup!$A$8:$H$58,2),VLOOKUP(N47,setup!$A$8:$H$58,3),VLOOKUP(N47,setup!$A$8:$H$58,4),VLOOKUP(N47,setup!$A$8:$H$58,5),VLOOKUP(N47,setup!$A$8:$H$58,6),VLOOKUP(N47,setup!$A$8:$H$58,7), VLOOKUP(0,setup!$A$8:$H$58,2),VLOOKUP(0,setup!$A$8:$H$58,5),VLOOKUP(N47,setup!$A$8:$H$58,8))</f>
        <v>* @return $dto</v>
      </c>
    </row>
    <row r="48" spans="1:15" x14ac:dyDescent="0.25">
      <c r="A48" s="29" t="s">
        <v>360</v>
      </c>
      <c r="N48">
        <v>1</v>
      </c>
      <c r="O48" s="7" t="str">
        <f ca="1">getCodigoBackend(N48,A48,VLOOKUP(N48,setup!$A$8:$H$58,2),VLOOKUP(N48,setup!$A$8:$H$58,3),VLOOKUP(N48,setup!$A$8:$H$58,4),VLOOKUP(N48,setup!$A$8:$H$58,5),VLOOKUP(N48,setup!$A$8:$H$58,6),VLOOKUP(N48,setup!$A$8:$H$58,7), VLOOKUP(0,setup!$A$8:$H$58,2),VLOOKUP(0,setup!$A$8:$H$58,5),VLOOKUP(N48,setup!$A$8:$H$58,8))</f>
        <v xml:space="preserve">*/ </v>
      </c>
    </row>
    <row r="49" spans="1:15" x14ac:dyDescent="0.25">
      <c r="A49" s="29"/>
      <c r="N49">
        <v>1</v>
      </c>
      <c r="O49" s="7" t="str">
        <f ca="1">getCodigoBackend(N49,A49,VLOOKUP(N49,setup!$A$8:$H$58,2),VLOOKUP(N49,setup!$A$8:$H$58,3),VLOOKUP(N49,setup!$A$8:$H$58,4),VLOOKUP(N49,setup!$A$8:$H$58,5),VLOOKUP(N49,setup!$A$8:$H$58,6),VLOOKUP(N49,setup!$A$8:$H$58,7), VLOOKUP(0,setup!$A$8:$H$58,2),VLOOKUP(0,setup!$A$8:$H$58,5),VLOOKUP(N49,setup!$A$8:$H$58,8))</f>
        <v/>
      </c>
    </row>
    <row r="50" spans="1:15" x14ac:dyDescent="0.25">
      <c r="A50" s="29" t="s">
        <v>808</v>
      </c>
      <c r="N50">
        <v>1</v>
      </c>
      <c r="O50" s="7" t="str">
        <f ca="1">getCodigoBackend(N50,A50,VLOOKUP(N50,setup!$A$8:$H$58,2),VLOOKUP(N50,setup!$A$8:$H$58,3),VLOOKUP(N50,setup!$A$8:$H$58,4),VLOOKUP(N50,setup!$A$8:$H$58,5),VLOOKUP(N50,setup!$A$8:$H$58,6),VLOOKUP(N50,setup!$A$8:$H$58,7), VLOOKUP(0,setup!$A$8:$H$58,2),VLOOKUP(0,setup!$A$8:$H$58,5),VLOOKUP(N50,setup!$A$8:$H$58,8))</f>
        <v xml:space="preserve">    public function loadMaxIdcampanhacashbackPK($idCampanhaCashback,$status)</v>
      </c>
    </row>
    <row r="51" spans="1:15" x14ac:dyDescent="0.25">
      <c r="A51" s="29" t="s">
        <v>763</v>
      </c>
      <c r="N51">
        <v>1</v>
      </c>
      <c r="O51" s="7" t="str">
        <f ca="1">getCodigoBackend(N51,A51,VLOOKUP(N51,setup!$A$8:$H$58,2),VLOOKUP(N51,setup!$A$8:$H$58,3),VLOOKUP(N51,setup!$A$8:$H$58,4),VLOOKUP(N51,setup!$A$8:$H$58,5),VLOOKUP(N51,setup!$A$8:$H$58,6),VLOOKUP(N51,setup!$A$8:$H$58,7), VLOOKUP(0,setup!$A$8:$H$58,2),VLOOKUP(0,setup!$A$8:$H$58,5),VLOOKUP(N51,setup!$A$8:$H$58,8))</f>
        <v xml:space="preserve">    {   </v>
      </c>
    </row>
    <row r="52" spans="1:15" x14ac:dyDescent="0.25">
      <c r="A52" s="29" t="s">
        <v>809</v>
      </c>
      <c r="N52">
        <v>1</v>
      </c>
      <c r="O52" s="7" t="str">
        <f ca="1">getCodigoBackend(N52,A52,VLOOKUP(N52,setup!$A$8:$H$58,2),VLOOKUP(N52,setup!$A$8:$H$58,3),VLOOKUP(N52,setup!$A$8:$H$58,4),VLOOKUP(N52,setup!$A$8:$H$58,5),VLOOKUP(N52,setup!$A$8:$H$58,6),VLOOKUP(N52,setup!$A$8:$H$58,7), VLOOKUP(0,setup!$A$8:$H$58,2),VLOOKUP(0,setup!$A$8:$H$58,5),VLOOKUP(N52,setup!$A$8:$H$58,8))</f>
        <v xml:space="preserve">        $retorno = 0;</v>
      </c>
    </row>
    <row r="53" spans="1:15" x14ac:dyDescent="0.25">
      <c r="A53" s="29" t="s">
        <v>765</v>
      </c>
      <c r="N53">
        <v>1</v>
      </c>
      <c r="O53" s="7" t="str">
        <f ca="1">getCodigoBackend(N53,A53,VLOOKUP(N53,setup!$A$8:$H$58,2),VLOOKUP(N53,setup!$A$8:$H$58,3),VLOOKUP(N53,setup!$A$8:$H$58,4),VLOOKUP(N53,setup!$A$8:$H$58,5),VLOOKUP(N53,setup!$A$8:$H$58,6),VLOOKUP(N53,setup!$A$8:$H$58,7), VLOOKUP(0,setup!$A$8:$H$58,2),VLOOKUP(0,setup!$A$8:$H$58,5),VLOOKUP(N53,setup!$A$8:$H$58,8))</f>
        <v xml:space="preserve">        // prepara sessão, query, troca de valores, acoplagem do resultado e o fetch</v>
      </c>
    </row>
    <row r="54" spans="1:15" x14ac:dyDescent="0.25">
      <c r="A54" s="29" t="s">
        <v>766</v>
      </c>
      <c r="N54">
        <v>1</v>
      </c>
      <c r="O54" s="7" t="str">
        <f ca="1">getCodigoBackend(N54,A54,VLOOKUP(N54,setup!$A$8:$H$58,2),VLOOKUP(N54,setup!$A$8:$H$58,3),VLOOKUP(N54,setup!$A$8:$H$58,4),VLOOKUP(N54,setup!$A$8:$H$58,5),VLOOKUP(N54,setup!$A$8:$H$58,6),VLOOKUP(N54,setup!$A$8:$H$58,7), VLOOKUP(0,setup!$A$8:$H$58,2),VLOOKUP(0,setup!$A$8:$H$58,5),VLOOKUP(N54,setup!$A$8:$H$58,8))</f>
        <v xml:space="preserve">        $conexao = $this-&gt;daofactory-&gt;getSession();</v>
      </c>
    </row>
    <row r="55" spans="1:15" x14ac:dyDescent="0.25">
      <c r="A55" s="29" t="s">
        <v>854</v>
      </c>
      <c r="N55">
        <v>1</v>
      </c>
      <c r="O55" s="7" t="str">
        <f ca="1">getCodigoBackend(N55,A55,VLOOKUP(N55,setup!$A$8:$H$58,2),VLOOKUP(N55,setup!$A$8:$H$58,3),VLOOKUP(N55,setup!$A$8:$H$58,4),VLOOKUP(N55,setup!$A$8:$H$58,5),VLOOKUP(N55,setup!$A$8:$H$58,6),VLOOKUP(N55,setup!$A$8:$H$58,7), VLOOKUP(0,setup!$A$8:$H$58,2),VLOOKUP(0,setup!$A$8:$H$58,5),VLOOKUP(N55,setup!$A$8:$H$58,8))</f>
        <v xml:space="preserve">        $sql = DmlSqlCampanhaCashbackResgatePix::SELECT_MAX_PK . ' WHERE ' </v>
      </c>
    </row>
    <row r="56" spans="1:15" x14ac:dyDescent="0.25">
      <c r="A56" s="29" t="s">
        <v>855</v>
      </c>
      <c r="N56">
        <v>1</v>
      </c>
      <c r="O56" s="7" t="str">
        <f ca="1">getCodigoBackend(N56,A56,VLOOKUP(N56,setup!$A$8:$H$58,2),VLOOKUP(N56,setup!$A$8:$H$58,3),VLOOKUP(N56,setup!$A$8:$H$58,4),VLOOKUP(N56,setup!$A$8:$H$58,5),VLOOKUP(N56,setup!$A$8:$H$58,6),VLOOKUP(N56,setup!$A$8:$H$58,7), VLOOKUP(0,setup!$A$8:$H$58,2),VLOOKUP(0,setup!$A$8:$H$58,5),VLOOKUP(N56,setup!$A$8:$H$58,8))</f>
        <v xml:space="preserve">        . DmlSqlCampanhaCashbackResgatePix::CACA_ID . " = $idCampanhaCashback "</v>
      </c>
    </row>
    <row r="57" spans="1:15" x14ac:dyDescent="0.25">
      <c r="A57" s="29" t="s">
        <v>885</v>
      </c>
      <c r="N57">
        <v>1</v>
      </c>
      <c r="O57" s="7" t="str">
        <f ca="1">getCodigoBackend(N57,A57,VLOOKUP(N57,setup!$A$8:$H$58,2),VLOOKUP(N57,setup!$A$8:$H$58,3),VLOOKUP(N57,setup!$A$8:$H$58,4),VLOOKUP(N57,setup!$A$8:$H$58,5),VLOOKUP(N57,setup!$A$8:$H$58,6),VLOOKUP(N57,setup!$A$8:$H$58,7), VLOOKUP(0,setup!$A$8:$H$58,2),VLOOKUP(0,setup!$A$8:$H$58,5),VLOOKUP(N57,setup!$A$8:$H$58,8))</f>
        <v xml:space="preserve">        . " AND " . DmlSqlCampanhaCashbackResgatePix::CCRP_IN_STATUS . " = '$status'";</v>
      </c>
    </row>
    <row r="58" spans="1:15" x14ac:dyDescent="0.25">
      <c r="A58" s="29"/>
      <c r="N58">
        <v>1</v>
      </c>
      <c r="O58" s="7" t="str">
        <f ca="1">getCodigoBackend(N58,A58,VLOOKUP(N58,setup!$A$8:$H$58,2),VLOOKUP(N58,setup!$A$8:$H$58,3),VLOOKUP(N58,setup!$A$8:$H$58,4),VLOOKUP(N58,setup!$A$8:$H$58,5),VLOOKUP(N58,setup!$A$8:$H$58,6),VLOOKUP(N58,setup!$A$8:$H$58,7), VLOOKUP(0,setup!$A$8:$H$58,2),VLOOKUP(0,setup!$A$8:$H$58,5),VLOOKUP(N58,setup!$A$8:$H$58,8))</f>
        <v/>
      </c>
    </row>
    <row r="59" spans="1:15" x14ac:dyDescent="0.25">
      <c r="A59" s="29" t="s">
        <v>811</v>
      </c>
      <c r="N59">
        <v>1</v>
      </c>
      <c r="O59" s="7" t="str">
        <f ca="1">getCodigoBackend(N59,A59,VLOOKUP(N59,setup!$A$8:$H$58,2),VLOOKUP(N59,setup!$A$8:$H$58,3),VLOOKUP(N59,setup!$A$8:$H$58,4),VLOOKUP(N59,setup!$A$8:$H$58,5),VLOOKUP(N59,setup!$A$8:$H$58,6),VLOOKUP(N59,setup!$A$8:$H$58,7), VLOOKUP(0,setup!$A$8:$H$58,2),VLOOKUP(0,setup!$A$8:$H$58,5),VLOOKUP(N59,setup!$A$8:$H$58,8))</f>
        <v xml:space="preserve">        $res = $conexao-&gt;query($sql);</v>
      </c>
    </row>
    <row r="60" spans="1:15" x14ac:dyDescent="0.25">
      <c r="A60" s="29" t="s">
        <v>778</v>
      </c>
      <c r="N60">
        <v>1</v>
      </c>
      <c r="O60" s="7" t="str">
        <f ca="1">getCodigoBackend(N60,A60,VLOOKUP(N60,setup!$A$8:$H$58,2),VLOOKUP(N60,setup!$A$8:$H$58,3),VLOOKUP(N60,setup!$A$8:$H$58,4),VLOOKUP(N60,setup!$A$8:$H$58,5),VLOOKUP(N60,setup!$A$8:$H$58,6),VLOOKUP(N60,setup!$A$8:$H$58,7), VLOOKUP(0,setup!$A$8:$H$58,2),VLOOKUP(0,setup!$A$8:$H$58,5),VLOOKUP(N60,setup!$A$8:$H$58,8))</f>
        <v xml:space="preserve">        if ($res){</v>
      </c>
    </row>
    <row r="61" spans="1:15" x14ac:dyDescent="0.25">
      <c r="A61" s="29" t="s">
        <v>810</v>
      </c>
      <c r="N61">
        <v>1</v>
      </c>
      <c r="O61" s="7" t="str">
        <f ca="1">getCodigoBackend(N61,A61,VLOOKUP(N61,setup!$A$8:$H$58,2),VLOOKUP(N61,setup!$A$8:$H$58,3),VLOOKUP(N61,setup!$A$8:$H$58,4),VLOOKUP(N61,setup!$A$8:$H$58,5),VLOOKUP(N61,setup!$A$8:$H$58,6),VLOOKUP(N61,setup!$A$8:$H$58,7), VLOOKUP(0,setup!$A$8:$H$58,2),VLOOKUP(0,setup!$A$8:$H$58,5),VLOOKUP(N61,setup!$A$8:$H$58,8))</f>
        <v xml:space="preserve">            $tmp = $res-&gt;fetch_assoc();</v>
      </c>
    </row>
    <row r="62" spans="1:15" x14ac:dyDescent="0.25">
      <c r="A62" s="29" t="s">
        <v>812</v>
      </c>
      <c r="N62">
        <v>1</v>
      </c>
      <c r="O62" s="7" t="str">
        <f ca="1">getCodigoBackend(N62,A62,VLOOKUP(N62,setup!$A$8:$H$58,2),VLOOKUP(N62,setup!$A$8:$H$58,3),VLOOKUP(N62,setup!$A$8:$H$58,4),VLOOKUP(N62,setup!$A$8:$H$58,5),VLOOKUP(N62,setup!$A$8:$H$58,6),VLOOKUP(N62,setup!$A$8:$H$58,7), VLOOKUP(0,setup!$A$8:$H$58,2),VLOOKUP(0,setup!$A$8:$H$58,5),VLOOKUP(N62,setup!$A$8:$H$58,8))</f>
        <v xml:space="preserve">            $retorno = $tmp['maxid'] == NULL ? 0 : $tmp['maxid'];</v>
      </c>
    </row>
    <row r="63" spans="1:15" x14ac:dyDescent="0.25">
      <c r="A63" s="29" t="s">
        <v>157</v>
      </c>
      <c r="N63">
        <v>1</v>
      </c>
      <c r="O63" s="7" t="str">
        <f ca="1">getCodigoBackend(N63,A63,VLOOKUP(N63,setup!$A$8:$H$58,2),VLOOKUP(N63,setup!$A$8:$H$58,3),VLOOKUP(N63,setup!$A$8:$H$58,4),VLOOKUP(N63,setup!$A$8:$H$58,5),VLOOKUP(N63,setup!$A$8:$H$58,6),VLOOKUP(N63,setup!$A$8:$H$58,7), VLOOKUP(0,setup!$A$8:$H$58,2),VLOOKUP(0,setup!$A$8:$H$58,5),VLOOKUP(N63,setup!$A$8:$H$58,8))</f>
        <v xml:space="preserve">        }</v>
      </c>
    </row>
    <row r="64" spans="1:15" x14ac:dyDescent="0.25">
      <c r="A64" s="29" t="s">
        <v>743</v>
      </c>
      <c r="N64">
        <v>1</v>
      </c>
      <c r="O64" s="7" t="str">
        <f ca="1">getCodigoBackend(N64,A64,VLOOKUP(N64,setup!$A$8:$H$58,2),VLOOKUP(N64,setup!$A$8:$H$58,3),VLOOKUP(N64,setup!$A$8:$H$58,4),VLOOKUP(N64,setup!$A$8:$H$58,5),VLOOKUP(N64,setup!$A$8:$H$58,6),VLOOKUP(N64,setup!$A$8:$H$58,7), VLOOKUP(0,setup!$A$8:$H$58,2),VLOOKUP(0,setup!$A$8:$H$58,5),VLOOKUP(N64,setup!$A$8:$H$58,8))</f>
        <v xml:space="preserve">        return $retorno;</v>
      </c>
    </row>
    <row r="65" spans="1:15" x14ac:dyDescent="0.25">
      <c r="A65" s="29"/>
      <c r="N65">
        <v>1</v>
      </c>
      <c r="O65" s="7" t="str">
        <f ca="1">getCodigoBackend(N65,A65,VLOOKUP(N65,setup!$A$8:$H$58,2),VLOOKUP(N65,setup!$A$8:$H$58,3),VLOOKUP(N65,setup!$A$8:$H$58,4),VLOOKUP(N65,setup!$A$8:$H$58,5),VLOOKUP(N65,setup!$A$8:$H$58,6),VLOOKUP(N65,setup!$A$8:$H$58,7), VLOOKUP(0,setup!$A$8:$H$58,2),VLOOKUP(0,setup!$A$8:$H$58,5),VLOOKUP(N65,setup!$A$8:$H$58,8))</f>
        <v/>
      </c>
    </row>
    <row r="66" spans="1:15" x14ac:dyDescent="0.25">
      <c r="A66" s="29" t="s">
        <v>406</v>
      </c>
      <c r="N66">
        <v>1</v>
      </c>
      <c r="O66" s="7" t="str">
        <f ca="1">getCodigoBackend(N66,A66,VLOOKUP(N66,setup!$A$8:$H$58,2),VLOOKUP(N66,setup!$A$8:$H$58,3),VLOOKUP(N66,setup!$A$8:$H$58,4),VLOOKUP(N66,setup!$A$8:$H$58,5),VLOOKUP(N66,setup!$A$8:$H$58,6),VLOOKUP(N66,setup!$A$8:$H$58,7), VLOOKUP(0,setup!$A$8:$H$58,2),VLOOKUP(0,setup!$A$8:$H$58,5),VLOOKUP(N66,setup!$A$8:$H$58,8))</f>
        <v xml:space="preserve">    }</v>
      </c>
    </row>
    <row r="67" spans="1:15" x14ac:dyDescent="0.25">
      <c r="A67" s="6"/>
      <c r="O67" s="7" t="str">
        <f ca="1">getCodigoBackend(N67,A67,VLOOKUP(N67,setup!$A$8:$H$58,2),VLOOKUP(N67,setup!$A$8:$H$58,3),VLOOKUP(N67,setup!$A$8:$H$58,4),VLOOKUP(N67,setup!$A$8:$H$58,5),VLOOKUP(N67,setup!$A$8:$H$58,6),VLOOKUP(N67,setup!$A$8:$H$58,7), VLOOKUP(0,setup!$A$8:$H$58,2),VLOOKUP(0,setup!$A$8:$H$58,5),VLOOKUP(N67,setup!$A$8:$H$58,8))</f>
        <v/>
      </c>
    </row>
    <row r="68" spans="1:15" x14ac:dyDescent="0.25">
      <c r="A68" s="4" t="s">
        <v>19</v>
      </c>
      <c r="O68" s="7" t="str">
        <f ca="1">getCodigoBackend(N68,A68,VLOOKUP(N68,setup!$A$8:$H$58,2),VLOOKUP(N68,setup!$A$8:$H$58,3),VLOOKUP(N68,setup!$A$8:$H$58,4),VLOOKUP(N68,setup!$A$8:$H$58,5),VLOOKUP(N68,setup!$A$8:$H$58,6),VLOOKUP(N68,setup!$A$8:$H$58,7), VLOOKUP(0,setup!$A$8:$H$58,2),VLOOKUP(0,setup!$A$8:$H$58,5),VLOOKUP(N68,setup!$A$8:$H$58,8))</f>
        <v>/**</v>
      </c>
    </row>
    <row r="69" spans="1:15" x14ac:dyDescent="0.25">
      <c r="A69" s="4" t="s">
        <v>434</v>
      </c>
      <c r="O69" s="7" t="str">
        <f ca="1">getCodigoBackend(N69,A69,VLOOKUP(N69,setup!$A$8:$H$58,2),VLOOKUP(N69,setup!$A$8:$H$58,3),VLOOKUP(N69,setup!$A$8:$H$58,4),VLOOKUP(N69,setup!$A$8:$H$58,5),VLOOKUP(N69,setup!$A$8:$H$58,6),VLOOKUP(N69,setup!$A$8:$H$58,7), VLOOKUP(0,setup!$A$8:$H$58,2),VLOOKUP(0,setup!$A$8:$H$58,5),VLOOKUP(N69,setup!$A$8:$H$58,8))</f>
        <v>* load() - Carrega apenas um registro com base no campo id do DTO = (TIPO_EMPREENDIMENTO::TIEM_ID)</v>
      </c>
    </row>
    <row r="70" spans="1:15" x14ac:dyDescent="0.25">
      <c r="A70" s="4" t="s">
        <v>20</v>
      </c>
      <c r="O70" s="7" t="str">
        <f ca="1">getCodigoBackend(N70,A70,VLOOKUP(N70,setup!$A$8:$H$58,2),VLOOKUP(N70,setup!$A$8:$H$58,3),VLOOKUP(N70,setup!$A$8:$H$58,4),VLOOKUP(N70,setup!$A$8:$H$58,5),VLOOKUP(N70,setup!$A$8:$H$58,6),VLOOKUP(N70,setup!$A$8:$H$58,7), VLOOKUP(0,setup!$A$8:$H$58,2),VLOOKUP(0,setup!$A$8:$H$58,5),VLOOKUP(N70,setup!$A$8:$H$58,8))</f>
        <v>*</v>
      </c>
    </row>
    <row r="71" spans="1:15" x14ac:dyDescent="0.25">
      <c r="A71" s="4" t="s">
        <v>433</v>
      </c>
      <c r="O71" s="7" t="str">
        <f ca="1">getCodigoBackend(N71,A71,VLOOKUP(N71,setup!$A$8:$H$58,2),VLOOKUP(N71,setup!$A$8:$H$58,3),VLOOKUP(N71,setup!$A$8:$H$58,4),VLOOKUP(N71,setup!$A$8:$H$58,5),VLOOKUP(N71,setup!$A$8:$H$58,6),VLOOKUP(N71,setup!$A$8:$H$58,7), VLOOKUP(0,setup!$A$8:$H$58,2),VLOOKUP(0,setup!$A$8:$H$58,5),VLOOKUP(N71,setup!$A$8:$H$58,8))</f>
        <v>* @param $dto</v>
      </c>
    </row>
    <row r="72" spans="1:15" x14ac:dyDescent="0.25">
      <c r="A72" s="4" t="s">
        <v>362</v>
      </c>
      <c r="O72" s="7" t="str">
        <f ca="1">getCodigoBackend(N72,A72,VLOOKUP(N72,setup!$A$8:$H$58,2),VLOOKUP(N72,setup!$A$8:$H$58,3),VLOOKUP(N72,setup!$A$8:$H$58,4),VLOOKUP(N72,setup!$A$8:$H$58,5),VLOOKUP(N72,setup!$A$8:$H$58,6),VLOOKUP(N72,setup!$A$8:$H$58,7), VLOOKUP(0,setup!$A$8:$H$58,2),VLOOKUP(0,setup!$A$8:$H$58,5),VLOOKUP(N72,setup!$A$8:$H$58,8))</f>
        <v>* @return $dto</v>
      </c>
    </row>
    <row r="73" spans="1:15" x14ac:dyDescent="0.25">
      <c r="A73" s="4" t="s">
        <v>363</v>
      </c>
      <c r="O73" s="7" t="str">
        <f ca="1">getCodigoBackend(N73,A73,VLOOKUP(N73,setup!$A$8:$H$58,2),VLOOKUP(N73,setup!$A$8:$H$58,3),VLOOKUP(N73,setup!$A$8:$H$58,4),VLOOKUP(N73,setup!$A$8:$H$58,5),VLOOKUP(N73,setup!$A$8:$H$58,6),VLOOKUP(N73,setup!$A$8:$H$58,7), VLOOKUP(0,setup!$A$8:$H$58,2),VLOOKUP(0,setup!$A$8:$H$58,5),VLOOKUP(N73,setup!$A$8:$H$58,8))</f>
        <v xml:space="preserve">*/ </v>
      </c>
    </row>
    <row r="74" spans="1:15" x14ac:dyDescent="0.25">
      <c r="A74" s="6" t="s">
        <v>121</v>
      </c>
      <c r="O74" s="7" t="str">
        <f ca="1">getCodigoBackend(N74,A74,VLOOKUP(N74,setup!$A$8:$H$58,2),VLOOKUP(N74,setup!$A$8:$H$58,3),VLOOKUP(N74,setup!$A$8:$H$58,4),VLOOKUP(N74,setup!$A$8:$H$58,5),VLOOKUP(N74,setup!$A$8:$H$58,6),VLOOKUP(N74,setup!$A$8:$H$58,7), VLOOKUP(0,setup!$A$8:$H$58,2),VLOOKUP(0,setup!$A$8:$H$58,5),VLOOKUP(N74,setup!$A$8:$H$58,8))</f>
        <v>    public function load($dto)  {   }</v>
      </c>
    </row>
    <row r="75" spans="1:15" x14ac:dyDescent="0.25">
      <c r="A75" s="6"/>
      <c r="O75" s="7" t="str">
        <f ca="1">getCodigoBackend(N75,A75,VLOOKUP(N75,setup!$A$8:$H$58,2),VLOOKUP(N75,setup!$A$8:$H$58,3),VLOOKUP(N75,setup!$A$8:$H$58,4),VLOOKUP(N75,setup!$A$8:$H$58,5),VLOOKUP(N75,setup!$A$8:$H$58,6),VLOOKUP(N75,setup!$A$8:$H$58,7), VLOOKUP(0,setup!$A$8:$H$58,2),VLOOKUP(0,setup!$A$8:$H$58,5),VLOOKUP(N75,setup!$A$8:$H$58,8))</f>
        <v/>
      </c>
    </row>
    <row r="76" spans="1:15" x14ac:dyDescent="0.25">
      <c r="A76" s="4" t="s">
        <v>19</v>
      </c>
      <c r="O76" s="7" t="str">
        <f ca="1">getCodigoBackend(N76,A76,VLOOKUP(N76,setup!$A$8:$H$58,2),VLOOKUP(N76,setup!$A$8:$H$58,3),VLOOKUP(N76,setup!$A$8:$H$58,4),VLOOKUP(N76,setup!$A$8:$H$58,5),VLOOKUP(N76,setup!$A$8:$H$58,6),VLOOKUP(N76,setup!$A$8:$H$58,7), VLOOKUP(0,setup!$A$8:$H$58,2),VLOOKUP(0,setup!$A$8:$H$58,5),VLOOKUP(N76,setup!$A$8:$H$58,8))</f>
        <v>/**</v>
      </c>
    </row>
    <row r="77" spans="1:15" x14ac:dyDescent="0.25">
      <c r="A77" s="4" t="s">
        <v>435</v>
      </c>
      <c r="O77" s="7" t="str">
        <f ca="1">getCodigoBackend(N77,A77,VLOOKUP(N77,setup!$A$8:$H$58,2),VLOOKUP(N77,setup!$A$8:$H$58,3),VLOOKUP(N77,setup!$A$8:$H$58,4),VLOOKUP(N77,setup!$A$8:$H$58,5),VLOOKUP(N77,setup!$A$8:$H$58,6),VLOOKUP(N77,setup!$A$8:$H$58,7), VLOOKUP(0,setup!$A$8:$H$58,2),VLOOKUP(0,setup!$A$8:$H$58,5),VLOOKUP(N77,setup!$A$8:$H$58,8))</f>
        <v>* listAll() - Lista todos os registros provenientes de CAMPANHA_CASHBACK_RESGATE_PIX sem critério de paginação</v>
      </c>
    </row>
    <row r="78" spans="1:15" x14ac:dyDescent="0.25">
      <c r="A78" s="4" t="s">
        <v>20</v>
      </c>
      <c r="O78" s="7" t="str">
        <f ca="1">getCodigoBackend(N78,A78,VLOOKUP(N78,setup!$A$8:$H$58,2),VLOOKUP(N78,setup!$A$8:$H$58,3),VLOOKUP(N78,setup!$A$8:$H$58,4),VLOOKUP(N78,setup!$A$8:$H$58,5),VLOOKUP(N78,setup!$A$8:$H$58,6),VLOOKUP(N78,setup!$A$8:$H$58,7), VLOOKUP(0,setup!$A$8:$H$58,2),VLOOKUP(0,setup!$A$8:$H$58,5),VLOOKUP(N78,setup!$A$8:$H$58,8))</f>
        <v>*</v>
      </c>
    </row>
    <row r="79" spans="1:15" x14ac:dyDescent="0.25">
      <c r="A79" s="4" t="s">
        <v>436</v>
      </c>
      <c r="O79" s="7" t="str">
        <f ca="1">getCodigoBackend(N79,A79,VLOOKUP(N79,setup!$A$8:$H$58,2),VLOOKUP(N79,setup!$A$8:$H$58,3),VLOOKUP(N79,setup!$A$8:$H$58,4),VLOOKUP(N79,setup!$A$8:$H$58,5),VLOOKUP(N79,setup!$A$8:$H$58,6),VLOOKUP(N79,setup!$A$8:$H$58,7), VLOOKUP(0,setup!$A$8:$H$58,2),VLOOKUP(0,setup!$A$8:$H$58,5),VLOOKUP(N79,setup!$A$8:$H$58,8))</f>
        <v>* @return List&lt;CampanhaCashbackResgatePixDTO&gt;[]</v>
      </c>
    </row>
    <row r="80" spans="1:15" x14ac:dyDescent="0.25">
      <c r="A80" s="4" t="s">
        <v>363</v>
      </c>
      <c r="O80" s="7" t="str">
        <f ca="1">getCodigoBackend(N80,A80,VLOOKUP(N80,setup!$A$8:$H$58,2),VLOOKUP(N80,setup!$A$8:$H$58,3),VLOOKUP(N80,setup!$A$8:$H$58,4),VLOOKUP(N80,setup!$A$8:$H$58,5),VLOOKUP(N80,setup!$A$8:$H$58,6),VLOOKUP(N80,setup!$A$8:$H$58,7), VLOOKUP(0,setup!$A$8:$H$58,2),VLOOKUP(0,setup!$A$8:$H$58,5),VLOOKUP(N80,setup!$A$8:$H$58,8))</f>
        <v xml:space="preserve">*/ </v>
      </c>
    </row>
    <row r="81" spans="1:15" ht="15.75" customHeight="1" x14ac:dyDescent="0.25">
      <c r="A81" s="6" t="s">
        <v>122</v>
      </c>
      <c r="O81" s="7" t="str">
        <f ca="1">getCodigoBackend(N81,A81,VLOOKUP(N81,setup!$A$8:$H$58,2),VLOOKUP(N81,setup!$A$8:$H$58,3),VLOOKUP(N81,setup!$A$8:$H$58,4),VLOOKUP(N81,setup!$A$8:$H$58,5),VLOOKUP(N81,setup!$A$8:$H$58,6),VLOOKUP(N81,setup!$A$8:$H$58,7), VLOOKUP(0,setup!$A$8:$H$58,2),VLOOKUP(0,setup!$A$8:$H$58,5),VLOOKUP(N81,setup!$A$8:$H$58,8))</f>
        <v>    public function listAll()   {   }</v>
      </c>
    </row>
    <row r="82" spans="1:15" ht="15.75" customHeight="1" x14ac:dyDescent="0.25">
      <c r="A82" s="6"/>
      <c r="O82" s="7" t="str">
        <f ca="1">getCodigoBackend(N82,A82,VLOOKUP(N82,setup!$A$8:$H$58,2),VLOOKUP(N82,setup!$A$8:$H$58,3),VLOOKUP(N82,setup!$A$8:$H$58,4),VLOOKUP(N82,setup!$A$8:$H$58,5),VLOOKUP(N82,setup!$A$8:$H$58,6),VLOOKUP(N82,setup!$A$8:$H$58,7), VLOOKUP(0,setup!$A$8:$H$58,2),VLOOKUP(0,setup!$A$8:$H$58,5),VLOOKUP(N82,setup!$A$8:$H$58,8))</f>
        <v/>
      </c>
    </row>
    <row r="83" spans="1:15" ht="15.75" customHeight="1" x14ac:dyDescent="0.25">
      <c r="A83" s="4" t="s">
        <v>19</v>
      </c>
      <c r="O83" s="7" t="str">
        <f ca="1">getCodigoBackend(N83,A83,VLOOKUP(N83,setup!$A$8:$H$58,2),VLOOKUP(N83,setup!$A$8:$H$58,3),VLOOKUP(N83,setup!$A$8:$H$58,4),VLOOKUP(N83,setup!$A$8:$H$58,5),VLOOKUP(N83,setup!$A$8:$H$58,6),VLOOKUP(N83,setup!$A$8:$H$58,7), VLOOKUP(0,setup!$A$8:$H$58,2),VLOOKUP(0,setup!$A$8:$H$58,5),VLOOKUP(N83,setup!$A$8:$H$58,8))</f>
        <v>/**</v>
      </c>
    </row>
    <row r="84" spans="1:15" ht="15.75" customHeight="1" x14ac:dyDescent="0.25">
      <c r="A84" s="4" t="s">
        <v>437</v>
      </c>
      <c r="O84" s="7" t="str">
        <f ca="1">getCodigoBackend(N84,A84,VLOOKUP(N84,setup!$A$8:$H$58,2),VLOOKUP(N84,setup!$A$8:$H$58,3),VLOOKUP(N84,setup!$A$8:$H$58,4),VLOOKUP(N84,setup!$A$8:$H$58,5),VLOOKUP(N84,setup!$A$8:$H$58,6),VLOOKUP(N84,setup!$A$8:$H$58,7), VLOOKUP(0,setup!$A$8:$H$58,2),VLOOKUP(0,setup!$A$8:$H$58,5),VLOOKUP(N84,setup!$A$8:$H$58,8))</f>
        <v>* update() - atualiza apenas um registro com base no dto CampanhaCashbackResgatePixDTO-&gt;id</v>
      </c>
    </row>
    <row r="85" spans="1:15" ht="15.75" customHeight="1" x14ac:dyDescent="0.25">
      <c r="A85" s="4" t="s">
        <v>361</v>
      </c>
      <c r="O85" s="7" t="str">
        <f ca="1">getCodigoBackend(N85,A85,VLOOKUP(N85,setup!$A$8:$H$58,2),VLOOKUP(N85,setup!$A$8:$H$58,3),VLOOKUP(N85,setup!$A$8:$H$58,4),VLOOKUP(N85,setup!$A$8:$H$58,5),VLOOKUP(N85,setup!$A$8:$H$58,6),VLOOKUP(N85,setup!$A$8:$H$58,7), VLOOKUP(0,setup!$A$8:$H$58,2),VLOOKUP(0,setup!$A$8:$H$58,5),VLOOKUP(N85,setup!$A$8:$H$58,8))</f>
        <v>* @param $daofactory</v>
      </c>
    </row>
    <row r="86" spans="1:15" ht="15.75" customHeight="1" x14ac:dyDescent="0.25">
      <c r="A86" s="4" t="s">
        <v>20</v>
      </c>
      <c r="O86" s="7" t="str">
        <f ca="1">getCodigoBackend(N86,A86,VLOOKUP(N86,setup!$A$8:$H$58,2),VLOOKUP(N86,setup!$A$8:$H$58,3),VLOOKUP(N86,setup!$A$8:$H$58,4),VLOOKUP(N86,setup!$A$8:$H$58,5),VLOOKUP(N86,setup!$A$8:$H$58,6),VLOOKUP(N86,setup!$A$8:$H$58,7), VLOOKUP(0,setup!$A$8:$H$58,2),VLOOKUP(0,setup!$A$8:$H$58,5),VLOOKUP(N86,setup!$A$8:$H$58,8))</f>
        <v>*</v>
      </c>
    </row>
    <row r="87" spans="1:15" ht="15.75" customHeight="1" x14ac:dyDescent="0.25">
      <c r="A87" s="4" t="s">
        <v>438</v>
      </c>
      <c r="O87" s="7" t="str">
        <f ca="1">getCodigoBackend(N87,A87,VLOOKUP(N87,setup!$A$8:$H$58,2),VLOOKUP(N87,setup!$A$8:$H$58,3),VLOOKUP(N87,setup!$A$8:$H$58,4),VLOOKUP(N87,setup!$A$8:$H$58,5),VLOOKUP(N87,setup!$A$8:$H$58,6),VLOOKUP(N87,setup!$A$8:$H$58,7), VLOOKUP(0,setup!$A$8:$H$58,2),VLOOKUP(0,setup!$A$8:$H$58,5),VLOOKUP(N87,setup!$A$8:$H$58,8))</f>
        <v>* @return boolean</v>
      </c>
    </row>
    <row r="88" spans="1:15" ht="15.75" customHeight="1" x14ac:dyDescent="0.25">
      <c r="A88" s="4" t="s">
        <v>363</v>
      </c>
      <c r="O88" s="7" t="str">
        <f ca="1">getCodigoBackend(N88,A88,VLOOKUP(N88,setup!$A$8:$H$58,2),VLOOKUP(N88,setup!$A$8:$H$58,3),VLOOKUP(N88,setup!$A$8:$H$58,4),VLOOKUP(N88,setup!$A$8:$H$58,5),VLOOKUP(N88,setup!$A$8:$H$58,6),VLOOKUP(N88,setup!$A$8:$H$58,7), VLOOKUP(0,setup!$A$8:$H$58,2),VLOOKUP(0,setup!$A$8:$H$58,5),VLOOKUP(N88,setup!$A$8:$H$58,8))</f>
        <v xml:space="preserve">*/ </v>
      </c>
    </row>
    <row r="89" spans="1:15" x14ac:dyDescent="0.25">
      <c r="A89" s="6" t="s">
        <v>123</v>
      </c>
      <c r="O89" s="7" t="str">
        <f ca="1">getCodigoBackend(N89,A89,VLOOKUP(N89,setup!$A$8:$H$58,2),VLOOKUP(N89,setup!$A$8:$H$58,3),VLOOKUP(N89,setup!$A$8:$H$58,4),VLOOKUP(N89,setup!$A$8:$H$58,5),VLOOKUP(N89,setup!$A$8:$H$58,6),VLOOKUP(N89,setup!$A$8:$H$58,7), VLOOKUP(0,setup!$A$8:$H$58,2),VLOOKUP(0,setup!$A$8:$H$58,5),VLOOKUP(N89,setup!$A$8:$H$58,8))</f>
        <v>    public function update($dto)</v>
      </c>
    </row>
    <row r="90" spans="1:15" x14ac:dyDescent="0.25">
      <c r="A90" s="6" t="s">
        <v>90</v>
      </c>
      <c r="O90" s="7" t="str">
        <f ca="1">getCodigoBackend(N90,A90,VLOOKUP(N90,setup!$A$8:$H$58,2),VLOOKUP(N90,setup!$A$8:$H$58,3),VLOOKUP(N90,setup!$A$8:$H$58,4),VLOOKUP(N90,setup!$A$8:$H$58,5),VLOOKUP(N90,setup!$A$8:$H$58,6),VLOOKUP(N90,setup!$A$8:$H$58,7), VLOOKUP(0,setup!$A$8:$H$58,2),VLOOKUP(0,setup!$A$8:$H$58,5),VLOOKUP(N90,setup!$A$8:$H$58,8))</f>
        <v>    {   </v>
      </c>
    </row>
    <row r="91" spans="1:15" x14ac:dyDescent="0.25">
      <c r="A91" s="6" t="s">
        <v>124</v>
      </c>
      <c r="O91" s="7" t="str">
        <f ca="1">getCodigoBackend(N91,A91,VLOOKUP(N91,setup!$A$8:$H$58,2),VLOOKUP(N91,setup!$A$8:$H$58,3),VLOOKUP(N91,setup!$A$8:$H$58,4),VLOOKUP(N91,setup!$A$8:$H$58,5),VLOOKUP(N91,setup!$A$8:$H$58,6),VLOOKUP(N91,setup!$A$8:$H$58,7), VLOOKUP(0,setup!$A$8:$H$58,2),VLOOKUP(0,setup!$A$8:$H$58,5),VLOOKUP(N91,setup!$A$8:$H$58,8))</f>
        <v>        $retorno = false;</v>
      </c>
    </row>
    <row r="92" spans="1:15" x14ac:dyDescent="0.25">
      <c r="A92" s="3"/>
      <c r="O92" s="7" t="str">
        <f ca="1">getCodigoBackend(N92,A92,VLOOKUP(N92,setup!$A$8:$H$58,2),VLOOKUP(N92,setup!$A$8:$H$58,3),VLOOKUP(N92,setup!$A$8:$H$58,4),VLOOKUP(N92,setup!$A$8:$H$58,5),VLOOKUP(N92,setup!$A$8:$H$58,6),VLOOKUP(N92,setup!$A$8:$H$58,7), VLOOKUP(0,setup!$A$8:$H$58,2),VLOOKUP(0,setup!$A$8:$H$58,5),VLOOKUP(N92,setup!$A$8:$H$58,8))</f>
        <v/>
      </c>
    </row>
    <row r="93" spans="1:15" x14ac:dyDescent="0.25">
      <c r="A93" s="6" t="s">
        <v>125</v>
      </c>
      <c r="O93" s="7" t="str">
        <f ca="1">getCodigoBackend(N93,A93,VLOOKUP(N93,setup!$A$8:$H$58,2),VLOOKUP(N93,setup!$A$8:$H$58,3),VLOOKUP(N93,setup!$A$8:$H$58,4),VLOOKUP(N93,setup!$A$8:$H$58,5),VLOOKUP(N93,setup!$A$8:$H$58,6),VLOOKUP(N93,setup!$A$8:$H$58,7), VLOOKUP(0,setup!$A$8:$H$58,2),VLOOKUP(0,setup!$A$8:$H$58,5),VLOOKUP(N93,setup!$A$8:$H$58,8))</f>
        <v>        // prepara sessão, query, troca de valores, acoplagem do resultado e o fetch</v>
      </c>
    </row>
    <row r="94" spans="1:15" x14ac:dyDescent="0.25">
      <c r="A94" s="6" t="s">
        <v>126</v>
      </c>
      <c r="O94" s="7" t="str">
        <f ca="1">getCodigoBackend(N94,A94,VLOOKUP(N94,setup!$A$8:$H$58,2),VLOOKUP(N94,setup!$A$8:$H$58,3),VLOOKUP(N94,setup!$A$8:$H$58,4),VLOOKUP(N94,setup!$A$8:$H$58,5),VLOOKUP(N94,setup!$A$8:$H$58,6),VLOOKUP(N94,setup!$A$8:$H$58,7), VLOOKUP(0,setup!$A$8:$H$58,2),VLOOKUP(0,setup!$A$8:$H$58,5),VLOOKUP(N94,setup!$A$8:$H$58,8))</f>
        <v>        $conexao = $this-&gt;daofactory-&gt;getSession();</v>
      </c>
    </row>
    <row r="95" spans="1:15" x14ac:dyDescent="0.25">
      <c r="A95" s="6" t="s">
        <v>310</v>
      </c>
      <c r="O95" s="7" t="str">
        <f ca="1">getCodigoBackend(N95,A95,VLOOKUP(N95,setup!$A$8:$H$58,2),VLOOKUP(N95,setup!$A$8:$H$58,3),VLOOKUP(N95,setup!$A$8:$H$58,4),VLOOKUP(N95,setup!$A$8:$H$58,5),VLOOKUP(N95,setup!$A$8:$H$58,6),VLOOKUP(N95,setup!$A$8:$H$58,7), VLOOKUP(0,setup!$A$8:$H$58,2),VLOOKUP(0,setup!$A$8:$H$58,5),VLOOKUP(N95,setup!$A$8:$H$58,8))</f>
        <v>        $stmt = $conexao-&gt;prepare(DmlSqlCampanhaCashbackResgatePix::UPD_PK);</v>
      </c>
    </row>
    <row r="96" spans="1:15" x14ac:dyDescent="0.25">
      <c r="A96" s="6" t="str">
        <f>CONCATENATE("        $stmt-&gt;bind_param(DmlSql::${mysql} ")</f>
        <v xml:space="preserve">        $stmt-&gt;bind_param(DmlSql::${mysql} </v>
      </c>
      <c r="N96">
        <v>1</v>
      </c>
      <c r="O96" s="7" t="str">
        <f ca="1">getCodigoBackend(N96,A96,VLOOKUP(N96,setup!$A$8:$H$58,2),VLOOKUP(N96,setup!$A$8:$H$58,3),VLOOKUP(N96,setup!$A$8:$H$58,4),VLOOKUP(N96,setup!$A$8:$H$58,5),VLOOKUP(N96,setup!$A$8:$H$58,6),VLOOKUP(N96,setup!$A$8:$H$58,7), VLOOKUP(0,setup!$A$8:$H$58,2),VLOOKUP(0,setup!$A$8:$H$58,5),VLOOKUP(N96,setup!$A$8:$H$58,8))</f>
        <v xml:space="preserve">        $stmt-&gt;bind_param(DmlSql::INTEGER_TYPE </v>
      </c>
    </row>
    <row r="97" spans="1:15" x14ac:dyDescent="0.25">
      <c r="A97" s="6" t="str">
        <f>CONCATENATE("                            . DmlSql::${mysql} ")</f>
        <v xml:space="preserve">                            . DmlSql::${mysql} </v>
      </c>
      <c r="N97">
        <f>N96+1</f>
        <v>2</v>
      </c>
      <c r="O97" s="7" t="str">
        <f ca="1">getCodigoBackend(N97,A97,VLOOKUP(N97,setup!$A$8:$H$58,2),VLOOKUP(N97,setup!$A$8:$H$58,3),VLOOKUP(N97,setup!$A$8:$H$58,4),VLOOKUP(N97,setup!$A$8:$H$58,5),VLOOKUP(N97,setup!$A$8:$H$58,6),VLOOKUP(N97,setup!$A$8:$H$58,7), VLOOKUP(0,setup!$A$8:$H$58,2),VLOOKUP(0,setup!$A$8:$H$58,5),VLOOKUP(N97,setup!$A$8:$H$58,8))</f>
        <v xml:space="preserve">                            . DmlSql::INTEGER_TYPE </v>
      </c>
    </row>
    <row r="98" spans="1:15" x14ac:dyDescent="0.25">
      <c r="A98" s="6" t="str">
        <f t="shared" ref="A98:A142" si="0">CONCATENATE("                            . DmlSql::${mysql} ")</f>
        <v xml:space="preserve">                            . DmlSql::${mysql} </v>
      </c>
      <c r="N98">
        <f t="shared" ref="N98:N103" si="1">N97+1</f>
        <v>3</v>
      </c>
      <c r="O98" s="7" t="str">
        <f ca="1">getCodigoBackend(N98,A98,VLOOKUP(N98,setup!$A$8:$H$58,2),VLOOKUP(N98,setup!$A$8:$H$58,3),VLOOKUP(N98,setup!$A$8:$H$58,4),VLOOKUP(N98,setup!$A$8:$H$58,5),VLOOKUP(N98,setup!$A$8:$H$58,6),VLOOKUP(N98,setup!$A$8:$H$58,7), VLOOKUP(0,setup!$A$8:$H$58,2),VLOOKUP(0,setup!$A$8:$H$58,5),VLOOKUP(N98,setup!$A$8:$H$58,8))</f>
        <v xml:space="preserve">                            . DmlSql::INTEGER_TYPE </v>
      </c>
    </row>
    <row r="99" spans="1:15" x14ac:dyDescent="0.25">
      <c r="A99" s="6" t="str">
        <f t="shared" si="0"/>
        <v xml:space="preserve">                            . DmlSql::${mysql} </v>
      </c>
      <c r="N99">
        <f t="shared" si="1"/>
        <v>4</v>
      </c>
      <c r="O99" s="7" t="str">
        <f ca="1">getCodigoBackend(N99,A99,VLOOKUP(N99,setup!$A$8:$H$58,2),VLOOKUP(N99,setup!$A$8:$H$58,3),VLOOKUP(N99,setup!$A$8:$H$58,4),VLOOKUP(N99,setup!$A$8:$H$58,5),VLOOKUP(N99,setup!$A$8:$H$58,6),VLOOKUP(N99,setup!$A$8:$H$58,7), VLOOKUP(0,setup!$A$8:$H$58,2),VLOOKUP(0,setup!$A$8:$H$58,5),VLOOKUP(N99,setup!$A$8:$H$58,8))</f>
        <v xml:space="preserve">                            . DmlSql::STRING_TYPE </v>
      </c>
    </row>
    <row r="100" spans="1:15" x14ac:dyDescent="0.25">
      <c r="A100" s="6" t="str">
        <f t="shared" si="0"/>
        <v xml:space="preserve">                            . DmlSql::${mysql} </v>
      </c>
      <c r="N100">
        <f t="shared" si="1"/>
        <v>5</v>
      </c>
      <c r="O100" s="7" t="str">
        <f ca="1">getCodigoBackend(N100,A100,VLOOKUP(N100,setup!$A$8:$H$58,2),VLOOKUP(N100,setup!$A$8:$H$58,3),VLOOKUP(N100,setup!$A$8:$H$58,4),VLOOKUP(N100,setup!$A$8:$H$58,5),VLOOKUP(N100,setup!$A$8:$H$58,6),VLOOKUP(N100,setup!$A$8:$H$58,7), VLOOKUP(0,setup!$A$8:$H$58,2),VLOOKUP(0,setup!$A$8:$H$58,5),VLOOKUP(N100,setup!$A$8:$H$58,8))</f>
        <v xml:space="preserve">                            . DmlSql::STRING_TYPE </v>
      </c>
    </row>
    <row r="101" spans="1:15" x14ac:dyDescent="0.25">
      <c r="A101" s="6" t="str">
        <f t="shared" si="0"/>
        <v xml:space="preserve">                            . DmlSql::${mysql} </v>
      </c>
      <c r="N101">
        <f t="shared" si="1"/>
        <v>6</v>
      </c>
      <c r="O101" s="7" t="str">
        <f ca="1">getCodigoBackend(N101,A101,VLOOKUP(N101,setup!$A$8:$H$58,2),VLOOKUP(N101,setup!$A$8:$H$58,3),VLOOKUP(N101,setup!$A$8:$H$58,4),VLOOKUP(N101,setup!$A$8:$H$58,5),VLOOKUP(N101,setup!$A$8:$H$58,6),VLOOKUP(N101,setup!$A$8:$H$58,7), VLOOKUP(0,setup!$A$8:$H$58,2),VLOOKUP(0,setup!$A$8:$H$58,5),VLOOKUP(N101,setup!$A$8:$H$58,8))</f>
        <v xml:space="preserve">                            . DmlSql::STRING_TYPE </v>
      </c>
    </row>
    <row r="102" spans="1:15" x14ac:dyDescent="0.25">
      <c r="A102" s="6" t="str">
        <f t="shared" si="0"/>
        <v xml:space="preserve">                            . DmlSql::${mysql} </v>
      </c>
      <c r="N102">
        <f t="shared" si="1"/>
        <v>7</v>
      </c>
      <c r="O102" s="7" t="str">
        <f ca="1">getCodigoBackend(N102,A102,VLOOKUP(N102,setup!$A$8:$H$58,2),VLOOKUP(N102,setup!$A$8:$H$58,3),VLOOKUP(N102,setup!$A$8:$H$58,4),VLOOKUP(N102,setup!$A$8:$H$58,5),VLOOKUP(N102,setup!$A$8:$H$58,6),VLOOKUP(N102,setup!$A$8:$H$58,7), VLOOKUP(0,setup!$A$8:$H$58,2),VLOOKUP(0,setup!$A$8:$H$58,5),VLOOKUP(N102,setup!$A$8:$H$58,8))</f>
        <v xml:space="preserve">                            . DmlSql::INTEGER_TYPE </v>
      </c>
    </row>
    <row r="103" spans="1:15" x14ac:dyDescent="0.25">
      <c r="A103" s="6" t="str">
        <f t="shared" si="0"/>
        <v xml:space="preserve">                            . DmlSql::${mysql} </v>
      </c>
      <c r="N103">
        <f t="shared" si="1"/>
        <v>8</v>
      </c>
      <c r="O103" s="7" t="str">
        <f ca="1">getCodigoBackend(N103,A103,VLOOKUP(N103,setup!$A$8:$H$58,2),VLOOKUP(N103,setup!$A$8:$H$58,3),VLOOKUP(N103,setup!$A$8:$H$58,4),VLOOKUP(N103,setup!$A$8:$H$58,5),VLOOKUP(N103,setup!$A$8:$H$58,6),VLOOKUP(N103,setup!$A$8:$H$58,7), VLOOKUP(0,setup!$A$8:$H$58,2),VLOOKUP(0,setup!$A$8:$H$58,5),VLOOKUP(N103,setup!$A$8:$H$58,8))</f>
        <v xml:space="preserve">                            . DmlSql::STRING_TYPE </v>
      </c>
    </row>
    <row r="104" spans="1:15" x14ac:dyDescent="0.25">
      <c r="A104" s="6" t="str">
        <f t="shared" si="0"/>
        <v xml:space="preserve">                            . DmlSql::${mysql} </v>
      </c>
      <c r="N104">
        <f>N103+1</f>
        <v>9</v>
      </c>
      <c r="O104" s="7" t="str">
        <f ca="1">getCodigoBackend(N104,A104,VLOOKUP(N104,setup!$A$8:$H$58,2),VLOOKUP(N104,setup!$A$8:$H$58,3),VLOOKUP(N104,setup!$A$8:$H$58,4),VLOOKUP(N104,setup!$A$8:$H$58,5),VLOOKUP(N104,setup!$A$8:$H$58,6),VLOOKUP(N104,setup!$A$8:$H$58,7), VLOOKUP(0,setup!$A$8:$H$58,2),VLOOKUP(0,setup!$A$8:$H$58,5),VLOOKUP(N104,setup!$A$8:$H$58,8))</f>
        <v xml:space="preserve">                            . DmlSql::STRING_TYPE </v>
      </c>
    </row>
    <row r="105" spans="1:15" x14ac:dyDescent="0.25">
      <c r="A105" s="6" t="str">
        <f t="shared" si="0"/>
        <v xml:space="preserve">                            . DmlSql::${mysql} </v>
      </c>
      <c r="N105">
        <f t="shared" ref="N105:N130" si="2">N104+1</f>
        <v>10</v>
      </c>
      <c r="O105" s="7" t="str">
        <f ca="1">getCodigoBackend(N105,A105,VLOOKUP(N105,setup!$A$8:$H$58,2),VLOOKUP(N105,setup!$A$8:$H$58,3),VLOOKUP(N105,setup!$A$8:$H$58,4),VLOOKUP(N105,setup!$A$8:$H$58,5),VLOOKUP(N105,setup!$A$8:$H$58,6),VLOOKUP(N105,setup!$A$8:$H$58,7), VLOOKUP(0,setup!$A$8:$H$58,2),VLOOKUP(0,setup!$A$8:$H$58,5),VLOOKUP(N105,setup!$A$8:$H$58,8))</f>
        <v xml:space="preserve">                            . DmlSql::STRING_TYPE </v>
      </c>
    </row>
    <row r="106" spans="1:15" x14ac:dyDescent="0.25">
      <c r="A106" s="6" t="str">
        <f t="shared" si="0"/>
        <v xml:space="preserve">                            . DmlSql::${mysql} </v>
      </c>
      <c r="N106">
        <f t="shared" si="2"/>
        <v>11</v>
      </c>
      <c r="O106" s="7" t="str">
        <f ca="1">getCodigoBackend(N106,A106,VLOOKUP(N106,setup!$A$8:$H$58,2),VLOOKUP(N106,setup!$A$8:$H$58,3),VLOOKUP(N106,setup!$A$8:$H$58,4),VLOOKUP(N106,setup!$A$8:$H$58,5),VLOOKUP(N106,setup!$A$8:$H$58,6),VLOOKUP(N106,setup!$A$8:$H$58,7), VLOOKUP(0,setup!$A$8:$H$58,2),VLOOKUP(0,setup!$A$8:$H$58,5),VLOOKUP(N106,setup!$A$8:$H$58,8))</f>
        <v xml:space="preserve">                            . DmlSql::STRING_TYPE </v>
      </c>
    </row>
    <row r="107" spans="1:15" x14ac:dyDescent="0.25">
      <c r="A107" s="6" t="str">
        <f t="shared" si="0"/>
        <v xml:space="preserve">                            . DmlSql::${mysql} </v>
      </c>
      <c r="N107">
        <f t="shared" si="2"/>
        <v>12</v>
      </c>
      <c r="O107" s="7" t="str">
        <f ca="1">getCodigoBackend(N107,A107,VLOOKUP(N107,setup!$A$8:$H$58,2),VLOOKUP(N107,setup!$A$8:$H$58,3),VLOOKUP(N107,setup!$A$8:$H$58,4),VLOOKUP(N107,setup!$A$8:$H$58,5),VLOOKUP(N107,setup!$A$8:$H$58,6),VLOOKUP(N107,setup!$A$8:$H$58,7), VLOOKUP(0,setup!$A$8:$H$58,2),VLOOKUP(0,setup!$A$8:$H$58,5),VLOOKUP(N107,setup!$A$8:$H$58,8))</f>
        <v xml:space="preserve">                            . DmlSql::STRING_TYPE </v>
      </c>
    </row>
    <row r="108" spans="1:15" x14ac:dyDescent="0.25">
      <c r="A108" s="6" t="str">
        <f t="shared" si="0"/>
        <v xml:space="preserve">                            . DmlSql::${mysql} </v>
      </c>
      <c r="N108">
        <f t="shared" si="2"/>
        <v>13</v>
      </c>
      <c r="O108" s="7" t="e">
        <f>getCodigoBackend(N108,A108,VLOOKUP(N108,setup!$A$8:$H$58,2),VLOOKUP(N108,setup!$A$8:$H$58,3),VLOOKUP(N108,setup!$A$8:$H$58,4),VLOOKUP(N108,setup!$A$8:$H$58,5),VLOOKUP(N108,setup!$A$8:$H$58,6),VLOOKUP(N108,setup!$A$8:$H$58,7), VLOOKUP(0,setup!$A$8:$H$58,2),VLOOKUP(0,setup!$A$8:$H$58,5),VLOOKUP(N108,setup!$A$8:$H$58,8))</f>
        <v>#VALUE!</v>
      </c>
    </row>
    <row r="109" spans="1:15" x14ac:dyDescent="0.25">
      <c r="A109" s="6" t="str">
        <f t="shared" si="0"/>
        <v xml:space="preserve">                            . DmlSql::${mysql} </v>
      </c>
      <c r="N109">
        <f t="shared" si="2"/>
        <v>14</v>
      </c>
      <c r="O109" s="7" t="e">
        <f>getCodigoBackend(N109,A109,VLOOKUP(N109,setup!$A$8:$H$58,2),VLOOKUP(N109,setup!$A$8:$H$58,3),VLOOKUP(N109,setup!$A$8:$H$58,4),VLOOKUP(N109,setup!$A$8:$H$58,5),VLOOKUP(N109,setup!$A$8:$H$58,6),VLOOKUP(N109,setup!$A$8:$H$58,7), VLOOKUP(0,setup!$A$8:$H$58,2),VLOOKUP(0,setup!$A$8:$H$58,5),VLOOKUP(N109,setup!$A$8:$H$58,8))</f>
        <v>#VALUE!</v>
      </c>
    </row>
    <row r="110" spans="1:15" x14ac:dyDescent="0.25">
      <c r="A110" s="6" t="str">
        <f t="shared" si="0"/>
        <v xml:space="preserve">                            . DmlSql::${mysql} </v>
      </c>
      <c r="N110">
        <f t="shared" si="2"/>
        <v>15</v>
      </c>
      <c r="O110" s="7" t="e">
        <f>getCodigoBackend(N110,A110,VLOOKUP(N110,setup!$A$8:$H$58,2),VLOOKUP(N110,setup!$A$8:$H$58,3),VLOOKUP(N110,setup!$A$8:$H$58,4),VLOOKUP(N110,setup!$A$8:$H$58,5),VLOOKUP(N110,setup!$A$8:$H$58,6),VLOOKUP(N110,setup!$A$8:$H$58,7), VLOOKUP(0,setup!$A$8:$H$58,2),VLOOKUP(0,setup!$A$8:$H$58,5),VLOOKUP(N110,setup!$A$8:$H$58,8))</f>
        <v>#VALUE!</v>
      </c>
    </row>
    <row r="111" spans="1:15" x14ac:dyDescent="0.25">
      <c r="A111" s="6" t="str">
        <f t="shared" si="0"/>
        <v xml:space="preserve">                            . DmlSql::${mysql} </v>
      </c>
      <c r="N111">
        <f t="shared" si="2"/>
        <v>16</v>
      </c>
      <c r="O111" s="7" t="e">
        <f>getCodigoBackend(N111,A111,VLOOKUP(N111,setup!$A$8:$H$58,2),VLOOKUP(N111,setup!$A$8:$H$58,3),VLOOKUP(N111,setup!$A$8:$H$58,4),VLOOKUP(N111,setup!$A$8:$H$58,5),VLOOKUP(N111,setup!$A$8:$H$58,6),VLOOKUP(N111,setup!$A$8:$H$58,7), VLOOKUP(0,setup!$A$8:$H$58,2),VLOOKUP(0,setup!$A$8:$H$58,5),VLOOKUP(N111,setup!$A$8:$H$58,8))</f>
        <v>#VALUE!</v>
      </c>
    </row>
    <row r="112" spans="1:15" x14ac:dyDescent="0.25">
      <c r="A112" s="6" t="str">
        <f t="shared" si="0"/>
        <v xml:space="preserve">                            . DmlSql::${mysql} </v>
      </c>
      <c r="N112">
        <f t="shared" si="2"/>
        <v>17</v>
      </c>
      <c r="O112" s="7" t="e">
        <f>getCodigoBackend(N112,A112,VLOOKUP(N112,setup!$A$8:$H$58,2),VLOOKUP(N112,setup!$A$8:$H$58,3),VLOOKUP(N112,setup!$A$8:$H$58,4),VLOOKUP(N112,setup!$A$8:$H$58,5),VLOOKUP(N112,setup!$A$8:$H$58,6),VLOOKUP(N112,setup!$A$8:$H$58,7), VLOOKUP(0,setup!$A$8:$H$58,2),VLOOKUP(0,setup!$A$8:$H$58,5),VLOOKUP(N112,setup!$A$8:$H$58,8))</f>
        <v>#VALUE!</v>
      </c>
    </row>
    <row r="113" spans="1:15" x14ac:dyDescent="0.25">
      <c r="A113" s="6" t="str">
        <f t="shared" si="0"/>
        <v xml:space="preserve">                            . DmlSql::${mysql} </v>
      </c>
      <c r="N113">
        <f t="shared" si="2"/>
        <v>18</v>
      </c>
      <c r="O113" s="7" t="e">
        <f>getCodigoBackend(N113,A113,VLOOKUP(N113,setup!$A$8:$H$58,2),VLOOKUP(N113,setup!$A$8:$H$58,3),VLOOKUP(N113,setup!$A$8:$H$58,4),VLOOKUP(N113,setup!$A$8:$H$58,5),VLOOKUP(N113,setup!$A$8:$H$58,6),VLOOKUP(N113,setup!$A$8:$H$58,7), VLOOKUP(0,setup!$A$8:$H$58,2),VLOOKUP(0,setup!$A$8:$H$58,5),VLOOKUP(N113,setup!$A$8:$H$58,8))</f>
        <v>#VALUE!</v>
      </c>
    </row>
    <row r="114" spans="1:15" x14ac:dyDescent="0.25">
      <c r="A114" s="6" t="str">
        <f t="shared" si="0"/>
        <v xml:space="preserve">                            . DmlSql::${mysql} </v>
      </c>
      <c r="N114">
        <f t="shared" si="2"/>
        <v>19</v>
      </c>
      <c r="O114" s="7" t="e">
        <f>getCodigoBackend(N114,A114,VLOOKUP(N114,setup!$A$8:$H$58,2),VLOOKUP(N114,setup!$A$8:$H$58,3),VLOOKUP(N114,setup!$A$8:$H$58,4),VLOOKUP(N114,setup!$A$8:$H$58,5),VLOOKUP(N114,setup!$A$8:$H$58,6),VLOOKUP(N114,setup!$A$8:$H$58,7), VLOOKUP(0,setup!$A$8:$H$58,2),VLOOKUP(0,setup!$A$8:$H$58,5),VLOOKUP(N114,setup!$A$8:$H$58,8))</f>
        <v>#VALUE!</v>
      </c>
    </row>
    <row r="115" spans="1:15" x14ac:dyDescent="0.25">
      <c r="A115" s="6" t="str">
        <f t="shared" si="0"/>
        <v xml:space="preserve">                            . DmlSql::${mysql} </v>
      </c>
      <c r="N115">
        <f t="shared" si="2"/>
        <v>20</v>
      </c>
      <c r="O115" s="7" t="e">
        <f>getCodigoBackend(N115,A115,VLOOKUP(N115,setup!$A$8:$H$58,2),VLOOKUP(N115,setup!$A$8:$H$58,3),VLOOKUP(N115,setup!$A$8:$H$58,4),VLOOKUP(N115,setup!$A$8:$H$58,5),VLOOKUP(N115,setup!$A$8:$H$58,6),VLOOKUP(N115,setup!$A$8:$H$58,7), VLOOKUP(0,setup!$A$8:$H$58,2),VLOOKUP(0,setup!$A$8:$H$58,5),VLOOKUP(N115,setup!$A$8:$H$58,8))</f>
        <v>#VALUE!</v>
      </c>
    </row>
    <row r="116" spans="1:15" x14ac:dyDescent="0.25">
      <c r="A116" s="6" t="str">
        <f t="shared" si="0"/>
        <v xml:space="preserve">                            . DmlSql::${mysql} </v>
      </c>
      <c r="N116">
        <f t="shared" si="2"/>
        <v>21</v>
      </c>
      <c r="O116" s="7" t="e">
        <f>getCodigoBackend(N116,A116,VLOOKUP(N116,setup!$A$8:$H$58,2),VLOOKUP(N116,setup!$A$8:$H$58,3),VLOOKUP(N116,setup!$A$8:$H$58,4),VLOOKUP(N116,setup!$A$8:$H$58,5),VLOOKUP(N116,setup!$A$8:$H$58,6),VLOOKUP(N116,setup!$A$8:$H$58,7), VLOOKUP(0,setup!$A$8:$H$58,2),VLOOKUP(0,setup!$A$8:$H$58,5),VLOOKUP(N116,setup!$A$8:$H$58,8))</f>
        <v>#VALUE!</v>
      </c>
    </row>
    <row r="117" spans="1:15" x14ac:dyDescent="0.25">
      <c r="A117" s="6" t="str">
        <f t="shared" si="0"/>
        <v xml:space="preserve">                            . DmlSql::${mysql} </v>
      </c>
      <c r="N117">
        <f t="shared" si="2"/>
        <v>22</v>
      </c>
      <c r="O117" s="7" t="e">
        <f>getCodigoBackend(N117,A117,VLOOKUP(N117,setup!$A$8:$H$58,2),VLOOKUP(N117,setup!$A$8:$H$58,3),VLOOKUP(N117,setup!$A$8:$H$58,4),VLOOKUP(N117,setup!$A$8:$H$58,5),VLOOKUP(N117,setup!$A$8:$H$58,6),VLOOKUP(N117,setup!$A$8:$H$58,7), VLOOKUP(0,setup!$A$8:$H$58,2),VLOOKUP(0,setup!$A$8:$H$58,5),VLOOKUP(N117,setup!$A$8:$H$58,8))</f>
        <v>#VALUE!</v>
      </c>
    </row>
    <row r="118" spans="1:15" x14ac:dyDescent="0.25">
      <c r="A118" s="6" t="str">
        <f t="shared" si="0"/>
        <v xml:space="preserve">                            . DmlSql::${mysql} </v>
      </c>
      <c r="N118">
        <f t="shared" si="2"/>
        <v>23</v>
      </c>
      <c r="O118" s="7" t="e">
        <f>getCodigoBackend(N118,A118,VLOOKUP(N118,setup!$A$8:$H$58,2),VLOOKUP(N118,setup!$A$8:$H$58,3),VLOOKUP(N118,setup!$A$8:$H$58,4),VLOOKUP(N118,setup!$A$8:$H$58,5),VLOOKUP(N118,setup!$A$8:$H$58,6),VLOOKUP(N118,setup!$A$8:$H$58,7), VLOOKUP(0,setup!$A$8:$H$58,2),VLOOKUP(0,setup!$A$8:$H$58,5),VLOOKUP(N118,setup!$A$8:$H$58,8))</f>
        <v>#VALUE!</v>
      </c>
    </row>
    <row r="119" spans="1:15" x14ac:dyDescent="0.25">
      <c r="A119" s="6" t="str">
        <f t="shared" si="0"/>
        <v xml:space="preserve">                            . DmlSql::${mysql} </v>
      </c>
      <c r="N119">
        <f t="shared" si="2"/>
        <v>24</v>
      </c>
      <c r="O119" s="7" t="e">
        <f>getCodigoBackend(N119,A119,VLOOKUP(N119,setup!$A$8:$H$58,2),VLOOKUP(N119,setup!$A$8:$H$58,3),VLOOKUP(N119,setup!$A$8:$H$58,4),VLOOKUP(N119,setup!$A$8:$H$58,5),VLOOKUP(N119,setup!$A$8:$H$58,6),VLOOKUP(N119,setup!$A$8:$H$58,7), VLOOKUP(0,setup!$A$8:$H$58,2),VLOOKUP(0,setup!$A$8:$H$58,5),VLOOKUP(N119,setup!$A$8:$H$58,8))</f>
        <v>#VALUE!</v>
      </c>
    </row>
    <row r="120" spans="1:15" x14ac:dyDescent="0.25">
      <c r="A120" s="6" t="str">
        <f t="shared" si="0"/>
        <v xml:space="preserve">                            . DmlSql::${mysql} </v>
      </c>
      <c r="N120">
        <f t="shared" si="2"/>
        <v>25</v>
      </c>
      <c r="O120" s="7" t="e">
        <f>getCodigoBackend(N120,A120,VLOOKUP(N120,setup!$A$8:$H$58,2),VLOOKUP(N120,setup!$A$8:$H$58,3),VLOOKUP(N120,setup!$A$8:$H$58,4),VLOOKUP(N120,setup!$A$8:$H$58,5),VLOOKUP(N120,setup!$A$8:$H$58,6),VLOOKUP(N120,setup!$A$8:$H$58,7), VLOOKUP(0,setup!$A$8:$H$58,2),VLOOKUP(0,setup!$A$8:$H$58,5),VLOOKUP(N120,setup!$A$8:$H$58,8))</f>
        <v>#VALUE!</v>
      </c>
    </row>
    <row r="121" spans="1:15" x14ac:dyDescent="0.25">
      <c r="A121" s="6" t="str">
        <f t="shared" si="0"/>
        <v xml:space="preserve">                            . DmlSql::${mysql} </v>
      </c>
      <c r="N121">
        <f t="shared" si="2"/>
        <v>26</v>
      </c>
      <c r="O121" s="7" t="e">
        <f>getCodigoBackend(N121,A121,VLOOKUP(N121,setup!$A$8:$H$58,2),VLOOKUP(N121,setup!$A$8:$H$58,3),VLOOKUP(N121,setup!$A$8:$H$58,4),VLOOKUP(N121,setup!$A$8:$H$58,5),VLOOKUP(N121,setup!$A$8:$H$58,6),VLOOKUP(N121,setup!$A$8:$H$58,7), VLOOKUP(0,setup!$A$8:$H$58,2),VLOOKUP(0,setup!$A$8:$H$58,5),VLOOKUP(N121,setup!$A$8:$H$58,8))</f>
        <v>#VALUE!</v>
      </c>
    </row>
    <row r="122" spans="1:15" x14ac:dyDescent="0.25">
      <c r="A122" s="6" t="str">
        <f t="shared" si="0"/>
        <v xml:space="preserve">                            . DmlSql::${mysql} </v>
      </c>
      <c r="N122">
        <f t="shared" si="2"/>
        <v>27</v>
      </c>
      <c r="O122" s="7" t="e">
        <f>getCodigoBackend(N122,A122,VLOOKUP(N122,setup!$A$8:$H$58,2),VLOOKUP(N122,setup!$A$8:$H$58,3),VLOOKUP(N122,setup!$A$8:$H$58,4),VLOOKUP(N122,setup!$A$8:$H$58,5),VLOOKUP(N122,setup!$A$8:$H$58,6),VLOOKUP(N122,setup!$A$8:$H$58,7), VLOOKUP(0,setup!$A$8:$H$58,2),VLOOKUP(0,setup!$A$8:$H$58,5),VLOOKUP(N122,setup!$A$8:$H$58,8))</f>
        <v>#VALUE!</v>
      </c>
    </row>
    <row r="123" spans="1:15" x14ac:dyDescent="0.25">
      <c r="A123" s="6" t="str">
        <f t="shared" si="0"/>
        <v xml:space="preserve">                            . DmlSql::${mysql} </v>
      </c>
      <c r="N123">
        <f t="shared" si="2"/>
        <v>28</v>
      </c>
      <c r="O123" s="7" t="e">
        <f>getCodigoBackend(N123,A123,VLOOKUP(N123,setup!$A$8:$H$58,2),VLOOKUP(N123,setup!$A$8:$H$58,3),VLOOKUP(N123,setup!$A$8:$H$58,4),VLOOKUP(N123,setup!$A$8:$H$58,5),VLOOKUP(N123,setup!$A$8:$H$58,6),VLOOKUP(N123,setup!$A$8:$H$58,7), VLOOKUP(0,setup!$A$8:$H$58,2),VLOOKUP(0,setup!$A$8:$H$58,5),VLOOKUP(N123,setup!$A$8:$H$58,8))</f>
        <v>#VALUE!</v>
      </c>
    </row>
    <row r="124" spans="1:15" x14ac:dyDescent="0.25">
      <c r="A124" s="6" t="str">
        <f t="shared" si="0"/>
        <v xml:space="preserve">                            . DmlSql::${mysql} </v>
      </c>
      <c r="N124">
        <f t="shared" si="2"/>
        <v>29</v>
      </c>
      <c r="O124" s="7" t="e">
        <f>getCodigoBackend(N124,A124,VLOOKUP(N124,setup!$A$8:$H$58,2),VLOOKUP(N124,setup!$A$8:$H$58,3),VLOOKUP(N124,setup!$A$8:$H$58,4),VLOOKUP(N124,setup!$A$8:$H$58,5),VLOOKUP(N124,setup!$A$8:$H$58,6),VLOOKUP(N124,setup!$A$8:$H$58,7), VLOOKUP(0,setup!$A$8:$H$58,2),VLOOKUP(0,setup!$A$8:$H$58,5),VLOOKUP(N124,setup!$A$8:$H$58,8))</f>
        <v>#VALUE!</v>
      </c>
    </row>
    <row r="125" spans="1:15" x14ac:dyDescent="0.25">
      <c r="A125" s="6" t="str">
        <f t="shared" si="0"/>
        <v xml:space="preserve">                            . DmlSql::${mysql} </v>
      </c>
      <c r="N125">
        <f t="shared" si="2"/>
        <v>30</v>
      </c>
      <c r="O125" s="7" t="e">
        <f>getCodigoBackend(N125,A125,VLOOKUP(N125,setup!$A$8:$H$58,2),VLOOKUP(N125,setup!$A$8:$H$58,3),VLOOKUP(N125,setup!$A$8:$H$58,4),VLOOKUP(N125,setup!$A$8:$H$58,5),VLOOKUP(N125,setup!$A$8:$H$58,6),VLOOKUP(N125,setup!$A$8:$H$58,7), VLOOKUP(0,setup!$A$8:$H$58,2),VLOOKUP(0,setup!$A$8:$H$58,5),VLOOKUP(N125,setup!$A$8:$H$58,8))</f>
        <v>#VALUE!</v>
      </c>
    </row>
    <row r="126" spans="1:15" x14ac:dyDescent="0.25">
      <c r="A126" s="6" t="str">
        <f t="shared" si="0"/>
        <v xml:space="preserve">                            . DmlSql::${mysql} </v>
      </c>
      <c r="N126">
        <f t="shared" si="2"/>
        <v>31</v>
      </c>
      <c r="O126" s="7" t="e">
        <f>getCodigoBackend(N126,A126,VLOOKUP(N126,setup!$A$8:$H$58,2),VLOOKUP(N126,setup!$A$8:$H$58,3),VLOOKUP(N126,setup!$A$8:$H$58,4),VLOOKUP(N126,setup!$A$8:$H$58,5),VLOOKUP(N126,setup!$A$8:$H$58,6),VLOOKUP(N126,setup!$A$8:$H$58,7), VLOOKUP(0,setup!$A$8:$H$58,2),VLOOKUP(0,setup!$A$8:$H$58,5),VLOOKUP(N126,setup!$A$8:$H$58,8))</f>
        <v>#VALUE!</v>
      </c>
    </row>
    <row r="127" spans="1:15" x14ac:dyDescent="0.25">
      <c r="A127" s="6" t="str">
        <f t="shared" si="0"/>
        <v xml:space="preserve">                            . DmlSql::${mysql} </v>
      </c>
      <c r="N127">
        <f t="shared" si="2"/>
        <v>32</v>
      </c>
      <c r="O127" s="7" t="e">
        <f>getCodigoBackend(N127,A127,VLOOKUP(N127,setup!$A$8:$H$58,2),VLOOKUP(N127,setup!$A$8:$H$58,3),VLOOKUP(N127,setup!$A$8:$H$58,4),VLOOKUP(N127,setup!$A$8:$H$58,5),VLOOKUP(N127,setup!$A$8:$H$58,6),VLOOKUP(N127,setup!$A$8:$H$58,7), VLOOKUP(0,setup!$A$8:$H$58,2),VLOOKUP(0,setup!$A$8:$H$58,5),VLOOKUP(N127,setup!$A$8:$H$58,8))</f>
        <v>#VALUE!</v>
      </c>
    </row>
    <row r="128" spans="1:15" x14ac:dyDescent="0.25">
      <c r="A128" s="6" t="str">
        <f t="shared" si="0"/>
        <v xml:space="preserve">                            . DmlSql::${mysql} </v>
      </c>
      <c r="N128">
        <f t="shared" si="2"/>
        <v>33</v>
      </c>
      <c r="O128" s="7" t="e">
        <f>getCodigoBackend(N128,A128,VLOOKUP(N128,setup!$A$8:$H$58,2),VLOOKUP(N128,setup!$A$8:$H$58,3),VLOOKUP(N128,setup!$A$8:$H$58,4),VLOOKUP(N128,setup!$A$8:$H$58,5),VLOOKUP(N128,setup!$A$8:$H$58,6),VLOOKUP(N128,setup!$A$8:$H$58,7), VLOOKUP(0,setup!$A$8:$H$58,2),VLOOKUP(0,setup!$A$8:$H$58,5),VLOOKUP(N128,setup!$A$8:$H$58,8))</f>
        <v>#VALUE!</v>
      </c>
    </row>
    <row r="129" spans="1:15" x14ac:dyDescent="0.25">
      <c r="A129" s="6" t="str">
        <f t="shared" si="0"/>
        <v xml:space="preserve">                            . DmlSql::${mysql} </v>
      </c>
      <c r="N129">
        <f t="shared" si="2"/>
        <v>34</v>
      </c>
      <c r="O129" s="7" t="e">
        <f>getCodigoBackend(N129,A129,VLOOKUP(N129,setup!$A$8:$H$58,2),VLOOKUP(N129,setup!$A$8:$H$58,3),VLOOKUP(N129,setup!$A$8:$H$58,4),VLOOKUP(N129,setup!$A$8:$H$58,5),VLOOKUP(N129,setup!$A$8:$H$58,6),VLOOKUP(N129,setup!$A$8:$H$58,7), VLOOKUP(0,setup!$A$8:$H$58,2),VLOOKUP(0,setup!$A$8:$H$58,5),VLOOKUP(N129,setup!$A$8:$H$58,8))</f>
        <v>#VALUE!</v>
      </c>
    </row>
    <row r="130" spans="1:15" x14ac:dyDescent="0.25">
      <c r="A130" s="6" t="str">
        <f t="shared" si="0"/>
        <v xml:space="preserve">                            . DmlSql::${mysql} </v>
      </c>
      <c r="N130">
        <f t="shared" si="2"/>
        <v>35</v>
      </c>
      <c r="O130" s="7" t="e">
        <f>getCodigoBackend(N130,A130,VLOOKUP(N130,setup!$A$8:$H$58,2),VLOOKUP(N130,setup!$A$8:$H$58,3),VLOOKUP(N130,setup!$A$8:$H$58,4),VLOOKUP(N130,setup!$A$8:$H$58,5),VLOOKUP(N130,setup!$A$8:$H$58,6),VLOOKUP(N130,setup!$A$8:$H$58,7), VLOOKUP(0,setup!$A$8:$H$58,2),VLOOKUP(0,setup!$A$8:$H$58,5),VLOOKUP(N130,setup!$A$8:$H$58,8))</f>
        <v>#VALUE!</v>
      </c>
    </row>
    <row r="131" spans="1:15" x14ac:dyDescent="0.25">
      <c r="A131" s="6" t="str">
        <f t="shared" si="0"/>
        <v xml:space="preserve">                            . DmlSql::${mysql} </v>
      </c>
      <c r="N131">
        <f>N130+1</f>
        <v>36</v>
      </c>
      <c r="O131" s="7" t="e">
        <f>getCodigoBackend(N131,A131,VLOOKUP(N131,setup!$A$8:$H$58,2),VLOOKUP(N131,setup!$A$8:$H$58,3),VLOOKUP(N131,setup!$A$8:$H$58,4),VLOOKUP(N131,setup!$A$8:$H$58,5),VLOOKUP(N131,setup!$A$8:$H$58,6),VLOOKUP(N131,setup!$A$8:$H$58,7), VLOOKUP(0,setup!$A$8:$H$58,2),VLOOKUP(0,setup!$A$8:$H$58,5),VLOOKUP(N131,setup!$A$8:$H$58,8))</f>
        <v>#VALUE!</v>
      </c>
    </row>
    <row r="132" spans="1:15" x14ac:dyDescent="0.25">
      <c r="A132" s="6" t="str">
        <f t="shared" si="0"/>
        <v xml:space="preserve">                            . DmlSql::${mysql} </v>
      </c>
      <c r="N132">
        <f t="shared" ref="N132:N145" si="3">N131+1</f>
        <v>37</v>
      </c>
      <c r="O132" s="7" t="e">
        <f>getCodigoBackend(N132,A132,VLOOKUP(N132,setup!$A$8:$H$58,2),VLOOKUP(N132,setup!$A$8:$H$58,3),VLOOKUP(N132,setup!$A$8:$H$58,4),VLOOKUP(N132,setup!$A$8:$H$58,5),VLOOKUP(N132,setup!$A$8:$H$58,6),VLOOKUP(N132,setup!$A$8:$H$58,7), VLOOKUP(0,setup!$A$8:$H$58,2),VLOOKUP(0,setup!$A$8:$H$58,5),VLOOKUP(N132,setup!$A$8:$H$58,8))</f>
        <v>#VALUE!</v>
      </c>
    </row>
    <row r="133" spans="1:15" x14ac:dyDescent="0.25">
      <c r="A133" s="6" t="str">
        <f t="shared" si="0"/>
        <v xml:space="preserve">                            . DmlSql::${mysql} </v>
      </c>
      <c r="N133">
        <f t="shared" si="3"/>
        <v>38</v>
      </c>
      <c r="O133" s="7" t="e">
        <f>getCodigoBackend(N133,A133,VLOOKUP(N133,setup!$A$8:$H$58,2),VLOOKUP(N133,setup!$A$8:$H$58,3),VLOOKUP(N133,setup!$A$8:$H$58,4),VLOOKUP(N133,setup!$A$8:$H$58,5),VLOOKUP(N133,setup!$A$8:$H$58,6),VLOOKUP(N133,setup!$A$8:$H$58,7), VLOOKUP(0,setup!$A$8:$H$58,2),VLOOKUP(0,setup!$A$8:$H$58,5),VLOOKUP(N133,setup!$A$8:$H$58,8))</f>
        <v>#VALUE!</v>
      </c>
    </row>
    <row r="134" spans="1:15" x14ac:dyDescent="0.25">
      <c r="A134" s="6" t="str">
        <f t="shared" si="0"/>
        <v xml:space="preserve">                            . DmlSql::${mysql} </v>
      </c>
      <c r="N134">
        <f t="shared" si="3"/>
        <v>39</v>
      </c>
      <c r="O134" s="7" t="e">
        <f>getCodigoBackend(N134,A134,VLOOKUP(N134,setup!$A$8:$H$58,2),VLOOKUP(N134,setup!$A$8:$H$58,3),VLOOKUP(N134,setup!$A$8:$H$58,4),VLOOKUP(N134,setup!$A$8:$H$58,5),VLOOKUP(N134,setup!$A$8:$H$58,6),VLOOKUP(N134,setup!$A$8:$H$58,7), VLOOKUP(0,setup!$A$8:$H$58,2),VLOOKUP(0,setup!$A$8:$H$58,5),VLOOKUP(N134,setup!$A$8:$H$58,8))</f>
        <v>#VALUE!</v>
      </c>
    </row>
    <row r="135" spans="1:15" x14ac:dyDescent="0.25">
      <c r="A135" s="6" t="str">
        <f t="shared" si="0"/>
        <v xml:space="preserve">                            . DmlSql::${mysql} </v>
      </c>
      <c r="N135">
        <f t="shared" si="3"/>
        <v>40</v>
      </c>
      <c r="O135" s="7" t="e">
        <f>getCodigoBackend(N135,A135,VLOOKUP(N135,setup!$A$8:$H$58,2),VLOOKUP(N135,setup!$A$8:$H$58,3),VLOOKUP(N135,setup!$A$8:$H$58,4),VLOOKUP(N135,setup!$A$8:$H$58,5),VLOOKUP(N135,setup!$A$8:$H$58,6),VLOOKUP(N135,setup!$A$8:$H$58,7), VLOOKUP(0,setup!$A$8:$H$58,2),VLOOKUP(0,setup!$A$8:$H$58,5),VLOOKUP(N135,setup!$A$8:$H$58,8))</f>
        <v>#VALUE!</v>
      </c>
    </row>
    <row r="136" spans="1:15" x14ac:dyDescent="0.25">
      <c r="A136" s="6" t="str">
        <f t="shared" si="0"/>
        <v xml:space="preserve">                            . DmlSql::${mysql} </v>
      </c>
      <c r="N136">
        <f t="shared" si="3"/>
        <v>41</v>
      </c>
      <c r="O136" s="7" t="e">
        <f>getCodigoBackend(N136,A136,VLOOKUP(N136,setup!$A$8:$H$58,2),VLOOKUP(N136,setup!$A$8:$H$58,3),VLOOKUP(N136,setup!$A$8:$H$58,4),VLOOKUP(N136,setup!$A$8:$H$58,5),VLOOKUP(N136,setup!$A$8:$H$58,6),VLOOKUP(N136,setup!$A$8:$H$58,7), VLOOKUP(0,setup!$A$8:$H$58,2),VLOOKUP(0,setup!$A$8:$H$58,5),VLOOKUP(N136,setup!$A$8:$H$58,8))</f>
        <v>#VALUE!</v>
      </c>
    </row>
    <row r="137" spans="1:15" x14ac:dyDescent="0.25">
      <c r="A137" s="6" t="str">
        <f t="shared" si="0"/>
        <v xml:space="preserve">                            . DmlSql::${mysql} </v>
      </c>
      <c r="N137">
        <f t="shared" si="3"/>
        <v>42</v>
      </c>
      <c r="O137" s="7" t="e">
        <f>getCodigoBackend(N137,A137,VLOOKUP(N137,setup!$A$8:$H$58,2),VLOOKUP(N137,setup!$A$8:$H$58,3),VLOOKUP(N137,setup!$A$8:$H$58,4),VLOOKUP(N137,setup!$A$8:$H$58,5),VLOOKUP(N137,setup!$A$8:$H$58,6),VLOOKUP(N137,setup!$A$8:$H$58,7), VLOOKUP(0,setup!$A$8:$H$58,2),VLOOKUP(0,setup!$A$8:$H$58,5),VLOOKUP(N137,setup!$A$8:$H$58,8))</f>
        <v>#VALUE!</v>
      </c>
    </row>
    <row r="138" spans="1:15" x14ac:dyDescent="0.25">
      <c r="A138" s="6" t="str">
        <f t="shared" si="0"/>
        <v xml:space="preserve">                            . DmlSql::${mysql} </v>
      </c>
      <c r="N138">
        <f t="shared" si="3"/>
        <v>43</v>
      </c>
      <c r="O138" s="7" t="e">
        <f>getCodigoBackend(N138,A138,VLOOKUP(N138,setup!$A$8:$H$58,2),VLOOKUP(N138,setup!$A$8:$H$58,3),VLOOKUP(N138,setup!$A$8:$H$58,4),VLOOKUP(N138,setup!$A$8:$H$58,5),VLOOKUP(N138,setup!$A$8:$H$58,6),VLOOKUP(N138,setup!$A$8:$H$58,7), VLOOKUP(0,setup!$A$8:$H$58,2),VLOOKUP(0,setup!$A$8:$H$58,5),VLOOKUP(N138,setup!$A$8:$H$58,8))</f>
        <v>#VALUE!</v>
      </c>
    </row>
    <row r="139" spans="1:15" x14ac:dyDescent="0.25">
      <c r="A139" s="6" t="str">
        <f t="shared" si="0"/>
        <v xml:space="preserve">                            . DmlSql::${mysql} </v>
      </c>
      <c r="N139">
        <f t="shared" si="3"/>
        <v>44</v>
      </c>
      <c r="O139" s="7" t="e">
        <f>getCodigoBackend(N139,A139,VLOOKUP(N139,setup!$A$8:$H$58,2),VLOOKUP(N139,setup!$A$8:$H$58,3),VLOOKUP(N139,setup!$A$8:$H$58,4),VLOOKUP(N139,setup!$A$8:$H$58,5),VLOOKUP(N139,setup!$A$8:$H$58,6),VLOOKUP(N139,setup!$A$8:$H$58,7), VLOOKUP(0,setup!$A$8:$H$58,2),VLOOKUP(0,setup!$A$8:$H$58,5),VLOOKUP(N139,setup!$A$8:$H$58,8))</f>
        <v>#VALUE!</v>
      </c>
    </row>
    <row r="140" spans="1:15" x14ac:dyDescent="0.25">
      <c r="A140" s="6" t="str">
        <f t="shared" si="0"/>
        <v xml:space="preserve">                            . DmlSql::${mysql} </v>
      </c>
      <c r="N140">
        <f t="shared" si="3"/>
        <v>45</v>
      </c>
      <c r="O140" s="7" t="e">
        <f>getCodigoBackend(N140,A140,VLOOKUP(N140,setup!$A$8:$H$58,2),VLOOKUP(N140,setup!$A$8:$H$58,3),VLOOKUP(N140,setup!$A$8:$H$58,4),VLOOKUP(N140,setup!$A$8:$H$58,5),VLOOKUP(N140,setup!$A$8:$H$58,6),VLOOKUP(N140,setup!$A$8:$H$58,7), VLOOKUP(0,setup!$A$8:$H$58,2),VLOOKUP(0,setup!$A$8:$H$58,5),VLOOKUP(N140,setup!$A$8:$H$58,8))</f>
        <v>#VALUE!</v>
      </c>
    </row>
    <row r="141" spans="1:15" x14ac:dyDescent="0.25">
      <c r="A141" s="6" t="str">
        <f t="shared" si="0"/>
        <v xml:space="preserve">                            . DmlSql::${mysql} </v>
      </c>
      <c r="N141">
        <f t="shared" si="3"/>
        <v>46</v>
      </c>
      <c r="O141" s="7" t="e">
        <f>getCodigoBackend(N141,A141,VLOOKUP(N141,setup!$A$8:$H$58,2),VLOOKUP(N141,setup!$A$8:$H$58,3),VLOOKUP(N141,setup!$A$8:$H$58,4),VLOOKUP(N141,setup!$A$8:$H$58,5),VLOOKUP(N141,setup!$A$8:$H$58,6),VLOOKUP(N141,setup!$A$8:$H$58,7), VLOOKUP(0,setup!$A$8:$H$58,2),VLOOKUP(0,setup!$A$8:$H$58,5),VLOOKUP(N141,setup!$A$8:$H$58,8))</f>
        <v>#VALUE!</v>
      </c>
    </row>
    <row r="142" spans="1:15" x14ac:dyDescent="0.25">
      <c r="A142" s="6" t="str">
        <f t="shared" si="0"/>
        <v xml:space="preserve">                            . DmlSql::${mysql} </v>
      </c>
      <c r="N142">
        <f t="shared" si="3"/>
        <v>47</v>
      </c>
      <c r="O142" s="7" t="e">
        <f>getCodigoBackend(N142,A142,VLOOKUP(N142,setup!$A$8:$H$58,2),VLOOKUP(N142,setup!$A$8:$H$58,3),VLOOKUP(N142,setup!$A$8:$H$58,4),VLOOKUP(N142,setup!$A$8:$H$58,5),VLOOKUP(N142,setup!$A$8:$H$58,6),VLOOKUP(N142,setup!$A$8:$H$58,7), VLOOKUP(0,setup!$A$8:$H$58,2),VLOOKUP(0,setup!$A$8:$H$58,5),VLOOKUP(N142,setup!$A$8:$H$58,8))</f>
        <v>#VALUE!</v>
      </c>
    </row>
    <row r="143" spans="1:15" x14ac:dyDescent="0.25">
      <c r="A143" s="6"/>
      <c r="N143">
        <f t="shared" si="3"/>
        <v>48</v>
      </c>
      <c r="O143" s="7" t="str">
        <f ca="1">getCodigoBackend(N143,A143,VLOOKUP(N143,setup!$A$8:$H$58,2),VLOOKUP(N143,setup!$A$8:$H$58,3),VLOOKUP(N143,setup!$A$8:$H$58,4),VLOOKUP(N143,setup!$A$8:$H$58,5),VLOOKUP(N143,setup!$A$8:$H$58,6),VLOOKUP(N143,setup!$A$8:$H$58,7), VLOOKUP(0,setup!$A$8:$H$58,2),VLOOKUP(0,setup!$A$8:$H$58,5),VLOOKUP(N143,setup!$A$8:$H$58,8))</f>
        <v/>
      </c>
    </row>
    <row r="144" spans="1:15" x14ac:dyDescent="0.25">
      <c r="A144" s="6"/>
      <c r="N144">
        <f t="shared" si="3"/>
        <v>49</v>
      </c>
      <c r="O144" s="7" t="str">
        <f ca="1">getCodigoBackend(N144,A144,VLOOKUP(N144,setup!$A$8:$H$58,2),VLOOKUP(N144,setup!$A$8:$H$58,3),VLOOKUP(N144,setup!$A$8:$H$58,4),VLOOKUP(N144,setup!$A$8:$H$58,5),VLOOKUP(N144,setup!$A$8:$H$58,6),VLOOKUP(N144,setup!$A$8:$H$58,7), VLOOKUP(0,setup!$A$8:$H$58,2),VLOOKUP(0,setup!$A$8:$H$58,5),VLOOKUP(N144,setup!$A$8:$H$58,8))</f>
        <v/>
      </c>
    </row>
    <row r="145" spans="1:15" x14ac:dyDescent="0.25">
      <c r="A145" s="6"/>
      <c r="N145">
        <f t="shared" si="3"/>
        <v>50</v>
      </c>
      <c r="O145" s="7" t="str">
        <f ca="1">getCodigoBackend(N145,A145,VLOOKUP(N145,setup!$A$8:$H$58,2),VLOOKUP(N145,setup!$A$8:$H$58,3),VLOOKUP(N145,setup!$A$8:$H$58,4),VLOOKUP(N145,setup!$A$8:$H$58,5),VLOOKUP(N145,setup!$A$8:$H$58,6),VLOOKUP(N145,setup!$A$8:$H$58,7), VLOOKUP(0,setup!$A$8:$H$58,2),VLOOKUP(0,setup!$A$8:$H$58,5),VLOOKUP(N145,setup!$A$8:$H$58,8))</f>
        <v/>
      </c>
    </row>
    <row r="146" spans="1:15" x14ac:dyDescent="0.25">
      <c r="A146" s="6" t="str">
        <f>CONCATENATE("                            . DmlSql::${mysql} ")</f>
        <v xml:space="preserve">                            . DmlSql::${mysql} </v>
      </c>
      <c r="N146" s="7">
        <v>0</v>
      </c>
      <c r="O146" s="7" t="str">
        <f ca="1">getCodigoBackend(N146,A146,VLOOKUP(N146,setup!$A$8:$H$58,2),VLOOKUP(N146,setup!$A$8:$H$58,3),VLOOKUP(N146,setup!$A$8:$H$58,4),VLOOKUP(N146,setup!$A$8:$H$58,5),VLOOKUP(N146,setup!$A$8:$H$58,6),VLOOKUP(N146,setup!$A$8:$H$58,7), VLOOKUP(0,setup!$A$8:$H$58,2),VLOOKUP(0,setup!$A$8:$H$58,5),VLOOKUP(N146,setup!$A$8:$H$58,8))</f>
        <v xml:space="preserve">                            . DmlSql::INTEGER_TYPE </v>
      </c>
    </row>
    <row r="147" spans="1:15" x14ac:dyDescent="0.25">
      <c r="A147" s="6" t="str">
        <f>CONCATENATE("                            ,$dto-&gt;${dto}")</f>
        <v>                            ,$dto-&gt;${dto}</v>
      </c>
      <c r="N147">
        <f>1</f>
        <v>1</v>
      </c>
      <c r="O147" s="7" t="str">
        <f ca="1">getCodigoBackend(N147,A147,VLOOKUP(N147,setup!$A$8:$H$58,2),VLOOKUP(N147,setup!$A$8:$H$58,3),VLOOKUP(N147,setup!$A$8:$H$58,4),VLOOKUP(N147,setup!$A$8:$H$58,5),VLOOKUP(N147,setup!$A$8:$H$58,6),VLOOKUP(N147,setup!$A$8:$H$58,7), VLOOKUP(0,setup!$A$8:$H$58,2),VLOOKUP(0,setup!$A$8:$H$58,5),VLOOKUP(N147,setup!$A$8:$H$58,8))</f>
        <v>                            ,$dto-&gt;idCampanhaCashback</v>
      </c>
    </row>
    <row r="148" spans="1:15" x14ac:dyDescent="0.25">
      <c r="A148" s="6" t="str">
        <f t="shared" ref="A148:A193" si="4">CONCATENATE("                            ,$dto-&gt;${dto}")</f>
        <v>                            ,$dto-&gt;${dto}</v>
      </c>
      <c r="N148">
        <f>N147+1</f>
        <v>2</v>
      </c>
      <c r="O148" s="7" t="str">
        <f ca="1">getCodigoBackend(N148,A148,VLOOKUP(N148,setup!$A$8:$H$58,2),VLOOKUP(N148,setup!$A$8:$H$58,3),VLOOKUP(N148,setup!$A$8:$H$58,4),VLOOKUP(N148,setup!$A$8:$H$58,5),VLOOKUP(N148,setup!$A$8:$H$58,6),VLOOKUP(N148,setup!$A$8:$H$58,7), VLOOKUP(0,setup!$A$8:$H$58,2),VLOOKUP(0,setup!$A$8:$H$58,5),VLOOKUP(N148,setup!$A$8:$H$58,8))</f>
        <v>                            ,$dto-&gt;idUsuarioSolicitante</v>
      </c>
    </row>
    <row r="149" spans="1:15" x14ac:dyDescent="0.25">
      <c r="A149" s="6" t="str">
        <f t="shared" si="4"/>
        <v>                            ,$dto-&gt;${dto}</v>
      </c>
      <c r="N149">
        <f t="shared" ref="N149:N196" si="5">N148+1</f>
        <v>3</v>
      </c>
      <c r="O149" s="7" t="str">
        <f ca="1">getCodigoBackend(N149,A149,VLOOKUP(N149,setup!$A$8:$H$58,2),VLOOKUP(N149,setup!$A$8:$H$58,3),VLOOKUP(N149,setup!$A$8:$H$58,4),VLOOKUP(N149,setup!$A$8:$H$58,5),VLOOKUP(N149,setup!$A$8:$H$58,6),VLOOKUP(N149,setup!$A$8:$H$58,7), VLOOKUP(0,setup!$A$8:$H$58,2),VLOOKUP(0,setup!$A$8:$H$58,5),VLOOKUP(N149,setup!$A$8:$H$58,8))</f>
        <v>                            ,$dto-&gt;tipoChavePix</v>
      </c>
    </row>
    <row r="150" spans="1:15" x14ac:dyDescent="0.25">
      <c r="A150" s="6" t="str">
        <f t="shared" si="4"/>
        <v>                            ,$dto-&gt;${dto}</v>
      </c>
      <c r="N150">
        <f t="shared" si="5"/>
        <v>4</v>
      </c>
      <c r="O150" s="7" t="str">
        <f ca="1">getCodigoBackend(N150,A150,VLOOKUP(N150,setup!$A$8:$H$58,2),VLOOKUP(N150,setup!$A$8:$H$58,3),VLOOKUP(N150,setup!$A$8:$H$58,4),VLOOKUP(N150,setup!$A$8:$H$58,5),VLOOKUP(N150,setup!$A$8:$H$58,6),VLOOKUP(N150,setup!$A$8:$H$58,7), VLOOKUP(0,setup!$A$8:$H$58,2),VLOOKUP(0,setup!$A$8:$H$58,5),VLOOKUP(N150,setup!$A$8:$H$58,8))</f>
        <v>                            ,$dto-&gt;chavePix</v>
      </c>
    </row>
    <row r="151" spans="1:15" x14ac:dyDescent="0.25">
      <c r="A151" s="6" t="str">
        <f t="shared" si="4"/>
        <v>                            ,$dto-&gt;${dto}</v>
      </c>
      <c r="N151">
        <f t="shared" si="5"/>
        <v>5</v>
      </c>
      <c r="O151" s="7" t="str">
        <f ca="1">getCodigoBackend(N151,A151,VLOOKUP(N151,setup!$A$8:$H$58,2),VLOOKUP(N151,setup!$A$8:$H$58,3),VLOOKUP(N151,setup!$A$8:$H$58,4),VLOOKUP(N151,setup!$A$8:$H$58,5),VLOOKUP(N151,setup!$A$8:$H$58,6),VLOOKUP(N151,setup!$A$8:$H$58,7), VLOOKUP(0,setup!$A$8:$H$58,2),VLOOKUP(0,setup!$A$8:$H$58,5),VLOOKUP(N151,setup!$A$8:$H$58,8))</f>
        <v>                            ,$dto-&gt;valorResgate</v>
      </c>
    </row>
    <row r="152" spans="1:15" x14ac:dyDescent="0.25">
      <c r="A152" s="6" t="str">
        <f t="shared" si="4"/>
        <v>                            ,$dto-&gt;${dto}</v>
      </c>
      <c r="N152">
        <f t="shared" si="5"/>
        <v>6</v>
      </c>
      <c r="O152" s="7" t="str">
        <f ca="1">getCodigoBackend(N152,A152,VLOOKUP(N152,setup!$A$8:$H$58,2),VLOOKUP(N152,setup!$A$8:$H$58,3),VLOOKUP(N152,setup!$A$8:$H$58,4),VLOOKUP(N152,setup!$A$8:$H$58,5),VLOOKUP(N152,setup!$A$8:$H$58,6),VLOOKUP(N152,setup!$A$8:$H$58,7), VLOOKUP(0,setup!$A$8:$H$58,2),VLOOKUP(0,setup!$A$8:$H$58,5),VLOOKUP(N152,setup!$A$8:$H$58,8))</f>
        <v>                            ,$dto-&gt;autenticacaoBco</v>
      </c>
    </row>
    <row r="153" spans="1:15" x14ac:dyDescent="0.25">
      <c r="A153" s="6" t="str">
        <f t="shared" si="4"/>
        <v>                            ,$dto-&gt;${dto}</v>
      </c>
      <c r="N153">
        <f t="shared" si="5"/>
        <v>7</v>
      </c>
      <c r="O153" s="7" t="str">
        <f ca="1">getCodigoBackend(N153,A153,VLOOKUP(N153,setup!$A$8:$H$58,2),VLOOKUP(N153,setup!$A$8:$H$58,3),VLOOKUP(N153,setup!$A$8:$H$58,4),VLOOKUP(N153,setup!$A$8:$H$58,5),VLOOKUP(N153,setup!$A$8:$H$58,6),VLOOKUP(N153,setup!$A$8:$H$58,7), VLOOKUP(0,setup!$A$8:$H$58,2),VLOOKUP(0,setup!$A$8:$H$58,5),VLOOKUP(N153,setup!$A$8:$H$58,8))</f>
        <v>                            ,$dto-&gt;estagioRealTime</v>
      </c>
    </row>
    <row r="154" spans="1:15" x14ac:dyDescent="0.25">
      <c r="A154" s="6" t="str">
        <f t="shared" si="4"/>
        <v>                            ,$dto-&gt;${dto}</v>
      </c>
      <c r="N154">
        <f t="shared" si="5"/>
        <v>8</v>
      </c>
      <c r="O154" s="7" t="str">
        <f ca="1">getCodigoBackend(N154,A154,VLOOKUP(N154,setup!$A$8:$H$58,2),VLOOKUP(N154,setup!$A$8:$H$58,3),VLOOKUP(N154,setup!$A$8:$H$58,4),VLOOKUP(N154,setup!$A$8:$H$58,5),VLOOKUP(N154,setup!$A$8:$H$58,6),VLOOKUP(N154,setup!$A$8:$H$58,7), VLOOKUP(0,setup!$A$8:$H$58,2),VLOOKUP(0,setup!$A$8:$H$58,5),VLOOKUP(N154,setup!$A$8:$H$58,8))</f>
        <v>                            ,$dto-&gt;dtEstagioAnalise</v>
      </c>
    </row>
    <row r="155" spans="1:15" x14ac:dyDescent="0.25">
      <c r="A155" s="6" t="str">
        <f t="shared" si="4"/>
        <v>                            ,$dto-&gt;${dto}</v>
      </c>
      <c r="N155">
        <f t="shared" si="5"/>
        <v>9</v>
      </c>
      <c r="O155" s="7" t="str">
        <f ca="1">getCodigoBackend(N155,A155,VLOOKUP(N155,setup!$A$8:$H$58,2),VLOOKUP(N155,setup!$A$8:$H$58,3),VLOOKUP(N155,setup!$A$8:$H$58,4),VLOOKUP(N155,setup!$A$8:$H$58,5),VLOOKUP(N155,setup!$A$8:$H$58,6),VLOOKUP(N155,setup!$A$8:$H$58,7), VLOOKUP(0,setup!$A$8:$H$58,2),VLOOKUP(0,setup!$A$8:$H$58,5),VLOOKUP(N155,setup!$A$8:$H$58,8))</f>
        <v>                            ,$dto-&gt;dtEstagioFinanceiro</v>
      </c>
    </row>
    <row r="156" spans="1:15" x14ac:dyDescent="0.25">
      <c r="A156" s="6" t="str">
        <f t="shared" si="4"/>
        <v>                            ,$dto-&gt;${dto}</v>
      </c>
      <c r="N156">
        <f t="shared" si="5"/>
        <v>10</v>
      </c>
      <c r="O156" s="7" t="str">
        <f ca="1">getCodigoBackend(N156,A156,VLOOKUP(N156,setup!$A$8:$H$58,2),VLOOKUP(N156,setup!$A$8:$H$58,3),VLOOKUP(N156,setup!$A$8:$H$58,4),VLOOKUP(N156,setup!$A$8:$H$58,5),VLOOKUP(N156,setup!$A$8:$H$58,6),VLOOKUP(N156,setup!$A$8:$H$58,7), VLOOKUP(0,setup!$A$8:$H$58,2),VLOOKUP(0,setup!$A$8:$H$58,5),VLOOKUP(N156,setup!$A$8:$H$58,8))</f>
        <v>                            ,$dto-&gt;dtEstagioErro</v>
      </c>
    </row>
    <row r="157" spans="1:15" x14ac:dyDescent="0.25">
      <c r="A157" s="6" t="str">
        <f t="shared" si="4"/>
        <v>                            ,$dto-&gt;${dto}</v>
      </c>
      <c r="N157">
        <f t="shared" si="5"/>
        <v>11</v>
      </c>
      <c r="O157" s="7" t="str">
        <f ca="1">getCodigoBackend(N157,A157,VLOOKUP(N157,setup!$A$8:$H$58,2),VLOOKUP(N157,setup!$A$8:$H$58,3),VLOOKUP(N157,setup!$A$8:$H$58,4),VLOOKUP(N157,setup!$A$8:$H$58,5),VLOOKUP(N157,setup!$A$8:$H$58,6),VLOOKUP(N157,setup!$A$8:$H$58,7), VLOOKUP(0,setup!$A$8:$H$58,2),VLOOKUP(0,setup!$A$8:$H$58,5),VLOOKUP(N157,setup!$A$8:$H$58,8))</f>
        <v>                            ,$dto-&gt;dtEstagioTranfBco</v>
      </c>
    </row>
    <row r="158" spans="1:15" x14ac:dyDescent="0.25">
      <c r="A158" s="6" t="str">
        <f t="shared" si="4"/>
        <v>                            ,$dto-&gt;${dto}</v>
      </c>
      <c r="N158">
        <f t="shared" si="5"/>
        <v>12</v>
      </c>
      <c r="O158" s="7" t="str">
        <f ca="1">getCodigoBackend(N158,A158,VLOOKUP(N158,setup!$A$8:$H$58,2),VLOOKUP(N158,setup!$A$8:$H$58,3),VLOOKUP(N158,setup!$A$8:$H$58,4),VLOOKUP(N158,setup!$A$8:$H$58,5),VLOOKUP(N158,setup!$A$8:$H$58,6),VLOOKUP(N158,setup!$A$8:$H$58,7), VLOOKUP(0,setup!$A$8:$H$58,2),VLOOKUP(0,setup!$A$8:$H$58,5),VLOOKUP(N158,setup!$A$8:$H$58,8))</f>
        <v>                            ,$dto-&gt;txtLivreEstagioRT</v>
      </c>
    </row>
    <row r="159" spans="1:15" x14ac:dyDescent="0.25">
      <c r="A159" s="6" t="str">
        <f t="shared" si="4"/>
        <v>                            ,$dto-&gt;${dto}</v>
      </c>
      <c r="N159">
        <f t="shared" si="5"/>
        <v>13</v>
      </c>
      <c r="O159" s="7" t="e">
        <f>getCodigoBackend(N159,A159,VLOOKUP(N159,setup!$A$8:$H$58,2),VLOOKUP(N159,setup!$A$8:$H$58,3),VLOOKUP(N159,setup!$A$8:$H$58,4),VLOOKUP(N159,setup!$A$8:$H$58,5),VLOOKUP(N159,setup!$A$8:$H$58,6),VLOOKUP(N159,setup!$A$8:$H$58,7), VLOOKUP(0,setup!$A$8:$H$58,2),VLOOKUP(0,setup!$A$8:$H$58,5),VLOOKUP(N159,setup!$A$8:$H$58,8))</f>
        <v>#VALUE!</v>
      </c>
    </row>
    <row r="160" spans="1:15" x14ac:dyDescent="0.25">
      <c r="A160" s="6" t="str">
        <f t="shared" si="4"/>
        <v>                            ,$dto-&gt;${dto}</v>
      </c>
      <c r="N160">
        <f t="shared" si="5"/>
        <v>14</v>
      </c>
      <c r="O160" s="7" t="e">
        <f>getCodigoBackend(N160,A160,VLOOKUP(N160,setup!$A$8:$H$58,2),VLOOKUP(N160,setup!$A$8:$H$58,3),VLOOKUP(N160,setup!$A$8:$H$58,4),VLOOKUP(N160,setup!$A$8:$H$58,5),VLOOKUP(N160,setup!$A$8:$H$58,6),VLOOKUP(N160,setup!$A$8:$H$58,7), VLOOKUP(0,setup!$A$8:$H$58,2),VLOOKUP(0,setup!$A$8:$H$58,5),VLOOKUP(N160,setup!$A$8:$H$58,8))</f>
        <v>#VALUE!</v>
      </c>
    </row>
    <row r="161" spans="1:15" x14ac:dyDescent="0.25">
      <c r="A161" s="6" t="str">
        <f t="shared" si="4"/>
        <v>                            ,$dto-&gt;${dto}</v>
      </c>
      <c r="N161">
        <f t="shared" si="5"/>
        <v>15</v>
      </c>
      <c r="O161" s="7" t="e">
        <f>getCodigoBackend(N161,A161,VLOOKUP(N161,setup!$A$8:$H$58,2),VLOOKUP(N161,setup!$A$8:$H$58,3),VLOOKUP(N161,setup!$A$8:$H$58,4),VLOOKUP(N161,setup!$A$8:$H$58,5),VLOOKUP(N161,setup!$A$8:$H$58,6),VLOOKUP(N161,setup!$A$8:$H$58,7), VLOOKUP(0,setup!$A$8:$H$58,2),VLOOKUP(0,setup!$A$8:$H$58,5),VLOOKUP(N161,setup!$A$8:$H$58,8))</f>
        <v>#VALUE!</v>
      </c>
    </row>
    <row r="162" spans="1:15" x14ac:dyDescent="0.25">
      <c r="A162" s="6" t="str">
        <f t="shared" si="4"/>
        <v>                            ,$dto-&gt;${dto}</v>
      </c>
      <c r="N162">
        <f t="shared" si="5"/>
        <v>16</v>
      </c>
      <c r="O162" s="7" t="e">
        <f>getCodigoBackend(N162,A162,VLOOKUP(N162,setup!$A$8:$H$58,2),VLOOKUP(N162,setup!$A$8:$H$58,3),VLOOKUP(N162,setup!$A$8:$H$58,4),VLOOKUP(N162,setup!$A$8:$H$58,5),VLOOKUP(N162,setup!$A$8:$H$58,6),VLOOKUP(N162,setup!$A$8:$H$58,7), VLOOKUP(0,setup!$A$8:$H$58,2),VLOOKUP(0,setup!$A$8:$H$58,5),VLOOKUP(N162,setup!$A$8:$H$58,8))</f>
        <v>#VALUE!</v>
      </c>
    </row>
    <row r="163" spans="1:15" x14ac:dyDescent="0.25">
      <c r="A163" s="6" t="str">
        <f t="shared" si="4"/>
        <v>                            ,$dto-&gt;${dto}</v>
      </c>
      <c r="N163">
        <f t="shared" si="5"/>
        <v>17</v>
      </c>
      <c r="O163" s="7" t="e">
        <f>getCodigoBackend(N163,A163,VLOOKUP(N163,setup!$A$8:$H$58,2),VLOOKUP(N163,setup!$A$8:$H$58,3),VLOOKUP(N163,setup!$A$8:$H$58,4),VLOOKUP(N163,setup!$A$8:$H$58,5),VLOOKUP(N163,setup!$A$8:$H$58,6),VLOOKUP(N163,setup!$A$8:$H$58,7), VLOOKUP(0,setup!$A$8:$H$58,2),VLOOKUP(0,setup!$A$8:$H$58,5),VLOOKUP(N163,setup!$A$8:$H$58,8))</f>
        <v>#VALUE!</v>
      </c>
    </row>
    <row r="164" spans="1:15" x14ac:dyDescent="0.25">
      <c r="A164" s="6" t="str">
        <f t="shared" si="4"/>
        <v>                            ,$dto-&gt;${dto}</v>
      </c>
      <c r="N164">
        <f t="shared" si="5"/>
        <v>18</v>
      </c>
      <c r="O164" s="7" t="e">
        <f>getCodigoBackend(N164,A164,VLOOKUP(N164,setup!$A$8:$H$58,2),VLOOKUP(N164,setup!$A$8:$H$58,3),VLOOKUP(N164,setup!$A$8:$H$58,4),VLOOKUP(N164,setup!$A$8:$H$58,5),VLOOKUP(N164,setup!$A$8:$H$58,6),VLOOKUP(N164,setup!$A$8:$H$58,7), VLOOKUP(0,setup!$A$8:$H$58,2),VLOOKUP(0,setup!$A$8:$H$58,5),VLOOKUP(N164,setup!$A$8:$H$58,8))</f>
        <v>#VALUE!</v>
      </c>
    </row>
    <row r="165" spans="1:15" x14ac:dyDescent="0.25">
      <c r="A165" s="6" t="str">
        <f t="shared" si="4"/>
        <v>                            ,$dto-&gt;${dto}</v>
      </c>
      <c r="N165">
        <f t="shared" si="5"/>
        <v>19</v>
      </c>
      <c r="O165" s="7" t="e">
        <f>getCodigoBackend(N165,A165,VLOOKUP(N165,setup!$A$8:$H$58,2),VLOOKUP(N165,setup!$A$8:$H$58,3),VLOOKUP(N165,setup!$A$8:$H$58,4),VLOOKUP(N165,setup!$A$8:$H$58,5),VLOOKUP(N165,setup!$A$8:$H$58,6),VLOOKUP(N165,setup!$A$8:$H$58,7), VLOOKUP(0,setup!$A$8:$H$58,2),VLOOKUP(0,setup!$A$8:$H$58,5),VLOOKUP(N165,setup!$A$8:$H$58,8))</f>
        <v>#VALUE!</v>
      </c>
    </row>
    <row r="166" spans="1:15" x14ac:dyDescent="0.25">
      <c r="A166" s="6" t="str">
        <f t="shared" si="4"/>
        <v>                            ,$dto-&gt;${dto}</v>
      </c>
      <c r="N166">
        <f t="shared" si="5"/>
        <v>20</v>
      </c>
      <c r="O166" s="7" t="e">
        <f>getCodigoBackend(N166,A166,VLOOKUP(N166,setup!$A$8:$H$58,2),VLOOKUP(N166,setup!$A$8:$H$58,3),VLOOKUP(N166,setup!$A$8:$H$58,4),VLOOKUP(N166,setup!$A$8:$H$58,5),VLOOKUP(N166,setup!$A$8:$H$58,6),VLOOKUP(N166,setup!$A$8:$H$58,7), VLOOKUP(0,setup!$A$8:$H$58,2),VLOOKUP(0,setup!$A$8:$H$58,5),VLOOKUP(N166,setup!$A$8:$H$58,8))</f>
        <v>#VALUE!</v>
      </c>
    </row>
    <row r="167" spans="1:15" x14ac:dyDescent="0.25">
      <c r="A167" s="6" t="str">
        <f t="shared" si="4"/>
        <v>                            ,$dto-&gt;${dto}</v>
      </c>
      <c r="N167">
        <f t="shared" si="5"/>
        <v>21</v>
      </c>
      <c r="O167" s="7" t="e">
        <f>getCodigoBackend(N167,A167,VLOOKUP(N167,setup!$A$8:$H$58,2),VLOOKUP(N167,setup!$A$8:$H$58,3),VLOOKUP(N167,setup!$A$8:$H$58,4),VLOOKUP(N167,setup!$A$8:$H$58,5),VLOOKUP(N167,setup!$A$8:$H$58,6),VLOOKUP(N167,setup!$A$8:$H$58,7), VLOOKUP(0,setup!$A$8:$H$58,2),VLOOKUP(0,setup!$A$8:$H$58,5),VLOOKUP(N167,setup!$A$8:$H$58,8))</f>
        <v>#VALUE!</v>
      </c>
    </row>
    <row r="168" spans="1:15" x14ac:dyDescent="0.25">
      <c r="A168" s="6" t="str">
        <f t="shared" si="4"/>
        <v>                            ,$dto-&gt;${dto}</v>
      </c>
      <c r="N168">
        <f t="shared" si="5"/>
        <v>22</v>
      </c>
      <c r="O168" s="7" t="e">
        <f>getCodigoBackend(N168,A168,VLOOKUP(N168,setup!$A$8:$H$58,2),VLOOKUP(N168,setup!$A$8:$H$58,3),VLOOKUP(N168,setup!$A$8:$H$58,4),VLOOKUP(N168,setup!$A$8:$H$58,5),VLOOKUP(N168,setup!$A$8:$H$58,6),VLOOKUP(N168,setup!$A$8:$H$58,7), VLOOKUP(0,setup!$A$8:$H$58,2),VLOOKUP(0,setup!$A$8:$H$58,5),VLOOKUP(N168,setup!$A$8:$H$58,8))</f>
        <v>#VALUE!</v>
      </c>
    </row>
    <row r="169" spans="1:15" x14ac:dyDescent="0.25">
      <c r="A169" s="6" t="str">
        <f t="shared" si="4"/>
        <v>                            ,$dto-&gt;${dto}</v>
      </c>
      <c r="N169">
        <f t="shared" si="5"/>
        <v>23</v>
      </c>
      <c r="O169" s="7" t="e">
        <f>getCodigoBackend(N169,A169,VLOOKUP(N169,setup!$A$8:$H$58,2),VLOOKUP(N169,setup!$A$8:$H$58,3),VLOOKUP(N169,setup!$A$8:$H$58,4),VLOOKUP(N169,setup!$A$8:$H$58,5),VLOOKUP(N169,setup!$A$8:$H$58,6),VLOOKUP(N169,setup!$A$8:$H$58,7), VLOOKUP(0,setup!$A$8:$H$58,2),VLOOKUP(0,setup!$A$8:$H$58,5),VLOOKUP(N169,setup!$A$8:$H$58,8))</f>
        <v>#VALUE!</v>
      </c>
    </row>
    <row r="170" spans="1:15" x14ac:dyDescent="0.25">
      <c r="A170" s="6" t="str">
        <f t="shared" si="4"/>
        <v>                            ,$dto-&gt;${dto}</v>
      </c>
      <c r="N170">
        <f t="shared" si="5"/>
        <v>24</v>
      </c>
      <c r="O170" s="7" t="e">
        <f>getCodigoBackend(N170,A170,VLOOKUP(N170,setup!$A$8:$H$58,2),VLOOKUP(N170,setup!$A$8:$H$58,3),VLOOKUP(N170,setup!$A$8:$H$58,4),VLOOKUP(N170,setup!$A$8:$H$58,5),VLOOKUP(N170,setup!$A$8:$H$58,6),VLOOKUP(N170,setup!$A$8:$H$58,7), VLOOKUP(0,setup!$A$8:$H$58,2),VLOOKUP(0,setup!$A$8:$H$58,5),VLOOKUP(N170,setup!$A$8:$H$58,8))</f>
        <v>#VALUE!</v>
      </c>
    </row>
    <row r="171" spans="1:15" x14ac:dyDescent="0.25">
      <c r="A171" s="6" t="str">
        <f t="shared" si="4"/>
        <v>                            ,$dto-&gt;${dto}</v>
      </c>
      <c r="N171">
        <f t="shared" si="5"/>
        <v>25</v>
      </c>
      <c r="O171" s="7" t="e">
        <f>getCodigoBackend(N171,A171,VLOOKUP(N171,setup!$A$8:$H$58,2),VLOOKUP(N171,setup!$A$8:$H$58,3),VLOOKUP(N171,setup!$A$8:$H$58,4),VLOOKUP(N171,setup!$A$8:$H$58,5),VLOOKUP(N171,setup!$A$8:$H$58,6),VLOOKUP(N171,setup!$A$8:$H$58,7), VLOOKUP(0,setup!$A$8:$H$58,2),VLOOKUP(0,setup!$A$8:$H$58,5),VLOOKUP(N171,setup!$A$8:$H$58,8))</f>
        <v>#VALUE!</v>
      </c>
    </row>
    <row r="172" spans="1:15" x14ac:dyDescent="0.25">
      <c r="A172" s="6" t="str">
        <f t="shared" si="4"/>
        <v>                            ,$dto-&gt;${dto}</v>
      </c>
      <c r="N172">
        <f t="shared" si="5"/>
        <v>26</v>
      </c>
      <c r="O172" s="7" t="e">
        <f>getCodigoBackend(N172,A172,VLOOKUP(N172,setup!$A$8:$H$58,2),VLOOKUP(N172,setup!$A$8:$H$58,3),VLOOKUP(N172,setup!$A$8:$H$58,4),VLOOKUP(N172,setup!$A$8:$H$58,5),VLOOKUP(N172,setup!$A$8:$H$58,6),VLOOKUP(N172,setup!$A$8:$H$58,7), VLOOKUP(0,setup!$A$8:$H$58,2),VLOOKUP(0,setup!$A$8:$H$58,5),VLOOKUP(N172,setup!$A$8:$H$58,8))</f>
        <v>#VALUE!</v>
      </c>
    </row>
    <row r="173" spans="1:15" x14ac:dyDescent="0.25">
      <c r="A173" s="6" t="str">
        <f t="shared" si="4"/>
        <v>                            ,$dto-&gt;${dto}</v>
      </c>
      <c r="N173">
        <f t="shared" si="5"/>
        <v>27</v>
      </c>
      <c r="O173" s="7" t="e">
        <f>getCodigoBackend(N173,A173,VLOOKUP(N173,setup!$A$8:$H$58,2),VLOOKUP(N173,setup!$A$8:$H$58,3),VLOOKUP(N173,setup!$A$8:$H$58,4),VLOOKUP(N173,setup!$A$8:$H$58,5),VLOOKUP(N173,setup!$A$8:$H$58,6),VLOOKUP(N173,setup!$A$8:$H$58,7), VLOOKUP(0,setup!$A$8:$H$58,2),VLOOKUP(0,setup!$A$8:$H$58,5),VLOOKUP(N173,setup!$A$8:$H$58,8))</f>
        <v>#VALUE!</v>
      </c>
    </row>
    <row r="174" spans="1:15" x14ac:dyDescent="0.25">
      <c r="A174" s="6" t="str">
        <f t="shared" si="4"/>
        <v>                            ,$dto-&gt;${dto}</v>
      </c>
      <c r="N174">
        <f t="shared" si="5"/>
        <v>28</v>
      </c>
      <c r="O174" s="7" t="e">
        <f>getCodigoBackend(N174,A174,VLOOKUP(N174,setup!$A$8:$H$58,2),VLOOKUP(N174,setup!$A$8:$H$58,3),VLOOKUP(N174,setup!$A$8:$H$58,4),VLOOKUP(N174,setup!$A$8:$H$58,5),VLOOKUP(N174,setup!$A$8:$H$58,6),VLOOKUP(N174,setup!$A$8:$H$58,7), VLOOKUP(0,setup!$A$8:$H$58,2),VLOOKUP(0,setup!$A$8:$H$58,5),VLOOKUP(N174,setup!$A$8:$H$58,8))</f>
        <v>#VALUE!</v>
      </c>
    </row>
    <row r="175" spans="1:15" x14ac:dyDescent="0.25">
      <c r="A175" s="6" t="str">
        <f t="shared" si="4"/>
        <v>                            ,$dto-&gt;${dto}</v>
      </c>
      <c r="N175">
        <f t="shared" si="5"/>
        <v>29</v>
      </c>
      <c r="O175" s="7" t="e">
        <f>getCodigoBackend(N175,A175,VLOOKUP(N175,setup!$A$8:$H$58,2),VLOOKUP(N175,setup!$A$8:$H$58,3),VLOOKUP(N175,setup!$A$8:$H$58,4),VLOOKUP(N175,setup!$A$8:$H$58,5),VLOOKUP(N175,setup!$A$8:$H$58,6),VLOOKUP(N175,setup!$A$8:$H$58,7), VLOOKUP(0,setup!$A$8:$H$58,2),VLOOKUP(0,setup!$A$8:$H$58,5),VLOOKUP(N175,setup!$A$8:$H$58,8))</f>
        <v>#VALUE!</v>
      </c>
    </row>
    <row r="176" spans="1:15" x14ac:dyDescent="0.25">
      <c r="A176" s="6" t="str">
        <f t="shared" si="4"/>
        <v>                            ,$dto-&gt;${dto}</v>
      </c>
      <c r="N176">
        <f t="shared" si="5"/>
        <v>30</v>
      </c>
      <c r="O176" s="7" t="e">
        <f>getCodigoBackend(N176,A176,VLOOKUP(N176,setup!$A$8:$H$58,2),VLOOKUP(N176,setup!$A$8:$H$58,3),VLOOKUP(N176,setup!$A$8:$H$58,4),VLOOKUP(N176,setup!$A$8:$H$58,5),VLOOKUP(N176,setup!$A$8:$H$58,6),VLOOKUP(N176,setup!$A$8:$H$58,7), VLOOKUP(0,setup!$A$8:$H$58,2),VLOOKUP(0,setup!$A$8:$H$58,5),VLOOKUP(N176,setup!$A$8:$H$58,8))</f>
        <v>#VALUE!</v>
      </c>
    </row>
    <row r="177" spans="1:15" x14ac:dyDescent="0.25">
      <c r="A177" s="6" t="str">
        <f t="shared" si="4"/>
        <v>                            ,$dto-&gt;${dto}</v>
      </c>
      <c r="N177">
        <f t="shared" si="5"/>
        <v>31</v>
      </c>
      <c r="O177" s="7" t="e">
        <f>getCodigoBackend(N177,A177,VLOOKUP(N177,setup!$A$8:$H$58,2),VLOOKUP(N177,setup!$A$8:$H$58,3),VLOOKUP(N177,setup!$A$8:$H$58,4),VLOOKUP(N177,setup!$A$8:$H$58,5),VLOOKUP(N177,setup!$A$8:$H$58,6),VLOOKUP(N177,setup!$A$8:$H$58,7), VLOOKUP(0,setup!$A$8:$H$58,2),VLOOKUP(0,setup!$A$8:$H$58,5),VLOOKUP(N177,setup!$A$8:$H$58,8))</f>
        <v>#VALUE!</v>
      </c>
    </row>
    <row r="178" spans="1:15" x14ac:dyDescent="0.25">
      <c r="A178" s="6" t="str">
        <f t="shared" si="4"/>
        <v>                            ,$dto-&gt;${dto}</v>
      </c>
      <c r="N178">
        <f t="shared" si="5"/>
        <v>32</v>
      </c>
      <c r="O178" s="7" t="e">
        <f>getCodigoBackend(N178,A178,VLOOKUP(N178,setup!$A$8:$H$58,2),VLOOKUP(N178,setup!$A$8:$H$58,3),VLOOKUP(N178,setup!$A$8:$H$58,4),VLOOKUP(N178,setup!$A$8:$H$58,5),VLOOKUP(N178,setup!$A$8:$H$58,6),VLOOKUP(N178,setup!$A$8:$H$58,7), VLOOKUP(0,setup!$A$8:$H$58,2),VLOOKUP(0,setup!$A$8:$H$58,5),VLOOKUP(N178,setup!$A$8:$H$58,8))</f>
        <v>#VALUE!</v>
      </c>
    </row>
    <row r="179" spans="1:15" x14ac:dyDescent="0.25">
      <c r="A179" s="6" t="str">
        <f t="shared" si="4"/>
        <v>                            ,$dto-&gt;${dto}</v>
      </c>
      <c r="N179">
        <f t="shared" si="5"/>
        <v>33</v>
      </c>
      <c r="O179" s="7" t="e">
        <f>getCodigoBackend(N179,A179,VLOOKUP(N179,setup!$A$8:$H$58,2),VLOOKUP(N179,setup!$A$8:$H$58,3),VLOOKUP(N179,setup!$A$8:$H$58,4),VLOOKUP(N179,setup!$A$8:$H$58,5),VLOOKUP(N179,setup!$A$8:$H$58,6),VLOOKUP(N179,setup!$A$8:$H$58,7), VLOOKUP(0,setup!$A$8:$H$58,2),VLOOKUP(0,setup!$A$8:$H$58,5),VLOOKUP(N179,setup!$A$8:$H$58,8))</f>
        <v>#VALUE!</v>
      </c>
    </row>
    <row r="180" spans="1:15" x14ac:dyDescent="0.25">
      <c r="A180" s="6" t="str">
        <f t="shared" si="4"/>
        <v>                            ,$dto-&gt;${dto}</v>
      </c>
      <c r="N180">
        <f t="shared" si="5"/>
        <v>34</v>
      </c>
      <c r="O180" s="7" t="e">
        <f>getCodigoBackend(N180,A180,VLOOKUP(N180,setup!$A$8:$H$58,2),VLOOKUP(N180,setup!$A$8:$H$58,3),VLOOKUP(N180,setup!$A$8:$H$58,4),VLOOKUP(N180,setup!$A$8:$H$58,5),VLOOKUP(N180,setup!$A$8:$H$58,6),VLOOKUP(N180,setup!$A$8:$H$58,7), VLOOKUP(0,setup!$A$8:$H$58,2),VLOOKUP(0,setup!$A$8:$H$58,5),VLOOKUP(N180,setup!$A$8:$H$58,8))</f>
        <v>#VALUE!</v>
      </c>
    </row>
    <row r="181" spans="1:15" x14ac:dyDescent="0.25">
      <c r="A181" s="6" t="str">
        <f t="shared" si="4"/>
        <v>                            ,$dto-&gt;${dto}</v>
      </c>
      <c r="N181">
        <f t="shared" si="5"/>
        <v>35</v>
      </c>
      <c r="O181" s="7" t="e">
        <f>getCodigoBackend(N181,A181,VLOOKUP(N181,setup!$A$8:$H$58,2),VLOOKUP(N181,setup!$A$8:$H$58,3),VLOOKUP(N181,setup!$A$8:$H$58,4),VLOOKUP(N181,setup!$A$8:$H$58,5),VLOOKUP(N181,setup!$A$8:$H$58,6),VLOOKUP(N181,setup!$A$8:$H$58,7), VLOOKUP(0,setup!$A$8:$H$58,2),VLOOKUP(0,setup!$A$8:$H$58,5),VLOOKUP(N181,setup!$A$8:$H$58,8))</f>
        <v>#VALUE!</v>
      </c>
    </row>
    <row r="182" spans="1:15" x14ac:dyDescent="0.25">
      <c r="A182" s="6" t="str">
        <f t="shared" si="4"/>
        <v>                            ,$dto-&gt;${dto}</v>
      </c>
      <c r="N182">
        <f t="shared" si="5"/>
        <v>36</v>
      </c>
      <c r="O182" s="7" t="e">
        <f>getCodigoBackend(N182,A182,VLOOKUP(N182,setup!$A$8:$H$58,2),VLOOKUP(N182,setup!$A$8:$H$58,3),VLOOKUP(N182,setup!$A$8:$H$58,4),VLOOKUP(N182,setup!$A$8:$H$58,5),VLOOKUP(N182,setup!$A$8:$H$58,6),VLOOKUP(N182,setup!$A$8:$H$58,7), VLOOKUP(0,setup!$A$8:$H$58,2),VLOOKUP(0,setup!$A$8:$H$58,5),VLOOKUP(N182,setup!$A$8:$H$58,8))</f>
        <v>#VALUE!</v>
      </c>
    </row>
    <row r="183" spans="1:15" x14ac:dyDescent="0.25">
      <c r="A183" s="6" t="str">
        <f t="shared" si="4"/>
        <v>                            ,$dto-&gt;${dto}</v>
      </c>
      <c r="N183">
        <f t="shared" si="5"/>
        <v>37</v>
      </c>
      <c r="O183" s="7" t="e">
        <f>getCodigoBackend(N183,A183,VLOOKUP(N183,setup!$A$8:$H$58,2),VLOOKUP(N183,setup!$A$8:$H$58,3),VLOOKUP(N183,setup!$A$8:$H$58,4),VLOOKUP(N183,setup!$A$8:$H$58,5),VLOOKUP(N183,setup!$A$8:$H$58,6),VLOOKUP(N183,setup!$A$8:$H$58,7), VLOOKUP(0,setup!$A$8:$H$58,2),VLOOKUP(0,setup!$A$8:$H$58,5),VLOOKUP(N183,setup!$A$8:$H$58,8))</f>
        <v>#VALUE!</v>
      </c>
    </row>
    <row r="184" spans="1:15" x14ac:dyDescent="0.25">
      <c r="A184" s="6" t="str">
        <f t="shared" si="4"/>
        <v>                            ,$dto-&gt;${dto}</v>
      </c>
      <c r="N184">
        <f t="shared" si="5"/>
        <v>38</v>
      </c>
      <c r="O184" s="7" t="e">
        <f>getCodigoBackend(N184,A184,VLOOKUP(N184,setup!$A$8:$H$58,2),VLOOKUP(N184,setup!$A$8:$H$58,3),VLOOKUP(N184,setup!$A$8:$H$58,4),VLOOKUP(N184,setup!$A$8:$H$58,5),VLOOKUP(N184,setup!$A$8:$H$58,6),VLOOKUP(N184,setup!$A$8:$H$58,7), VLOOKUP(0,setup!$A$8:$H$58,2),VLOOKUP(0,setup!$A$8:$H$58,5),VLOOKUP(N184,setup!$A$8:$H$58,8))</f>
        <v>#VALUE!</v>
      </c>
    </row>
    <row r="185" spans="1:15" x14ac:dyDescent="0.25">
      <c r="A185" s="6" t="str">
        <f t="shared" si="4"/>
        <v>                            ,$dto-&gt;${dto}</v>
      </c>
      <c r="N185">
        <f t="shared" si="5"/>
        <v>39</v>
      </c>
      <c r="O185" s="7" t="e">
        <f>getCodigoBackend(N185,A185,VLOOKUP(N185,setup!$A$8:$H$58,2),VLOOKUP(N185,setup!$A$8:$H$58,3),VLOOKUP(N185,setup!$A$8:$H$58,4),VLOOKUP(N185,setup!$A$8:$H$58,5),VLOOKUP(N185,setup!$A$8:$H$58,6),VLOOKUP(N185,setup!$A$8:$H$58,7), VLOOKUP(0,setup!$A$8:$H$58,2),VLOOKUP(0,setup!$A$8:$H$58,5),VLOOKUP(N185,setup!$A$8:$H$58,8))</f>
        <v>#VALUE!</v>
      </c>
    </row>
    <row r="186" spans="1:15" x14ac:dyDescent="0.25">
      <c r="A186" s="6" t="str">
        <f t="shared" si="4"/>
        <v>                            ,$dto-&gt;${dto}</v>
      </c>
      <c r="N186">
        <f t="shared" si="5"/>
        <v>40</v>
      </c>
      <c r="O186" s="7" t="e">
        <f>getCodigoBackend(N186,A186,VLOOKUP(N186,setup!$A$8:$H$58,2),VLOOKUP(N186,setup!$A$8:$H$58,3),VLOOKUP(N186,setup!$A$8:$H$58,4),VLOOKUP(N186,setup!$A$8:$H$58,5),VLOOKUP(N186,setup!$A$8:$H$58,6),VLOOKUP(N186,setup!$A$8:$H$58,7), VLOOKUP(0,setup!$A$8:$H$58,2),VLOOKUP(0,setup!$A$8:$H$58,5),VLOOKUP(N186,setup!$A$8:$H$58,8))</f>
        <v>#VALUE!</v>
      </c>
    </row>
    <row r="187" spans="1:15" x14ac:dyDescent="0.25">
      <c r="A187" s="6" t="str">
        <f t="shared" si="4"/>
        <v>                            ,$dto-&gt;${dto}</v>
      </c>
      <c r="N187">
        <f t="shared" si="5"/>
        <v>41</v>
      </c>
      <c r="O187" s="7" t="e">
        <f>getCodigoBackend(N187,A187,VLOOKUP(N187,setup!$A$8:$H$58,2),VLOOKUP(N187,setup!$A$8:$H$58,3),VLOOKUP(N187,setup!$A$8:$H$58,4),VLOOKUP(N187,setup!$A$8:$H$58,5),VLOOKUP(N187,setup!$A$8:$H$58,6),VLOOKUP(N187,setup!$A$8:$H$58,7), VLOOKUP(0,setup!$A$8:$H$58,2),VLOOKUP(0,setup!$A$8:$H$58,5),VLOOKUP(N187,setup!$A$8:$H$58,8))</f>
        <v>#VALUE!</v>
      </c>
    </row>
    <row r="188" spans="1:15" x14ac:dyDescent="0.25">
      <c r="A188" s="6" t="str">
        <f t="shared" si="4"/>
        <v>                            ,$dto-&gt;${dto}</v>
      </c>
      <c r="N188">
        <f t="shared" si="5"/>
        <v>42</v>
      </c>
      <c r="O188" s="7" t="e">
        <f>getCodigoBackend(N188,A188,VLOOKUP(N188,setup!$A$8:$H$58,2),VLOOKUP(N188,setup!$A$8:$H$58,3),VLOOKUP(N188,setup!$A$8:$H$58,4),VLOOKUP(N188,setup!$A$8:$H$58,5),VLOOKUP(N188,setup!$A$8:$H$58,6),VLOOKUP(N188,setup!$A$8:$H$58,7), VLOOKUP(0,setup!$A$8:$H$58,2),VLOOKUP(0,setup!$A$8:$H$58,5),VLOOKUP(N188,setup!$A$8:$H$58,8))</f>
        <v>#VALUE!</v>
      </c>
    </row>
    <row r="189" spans="1:15" x14ac:dyDescent="0.25">
      <c r="A189" s="6" t="str">
        <f t="shared" si="4"/>
        <v>                            ,$dto-&gt;${dto}</v>
      </c>
      <c r="N189">
        <f t="shared" si="5"/>
        <v>43</v>
      </c>
      <c r="O189" s="7" t="e">
        <f>getCodigoBackend(N189,A189,VLOOKUP(N189,setup!$A$8:$H$58,2),VLOOKUP(N189,setup!$A$8:$H$58,3),VLOOKUP(N189,setup!$A$8:$H$58,4),VLOOKUP(N189,setup!$A$8:$H$58,5),VLOOKUP(N189,setup!$A$8:$H$58,6),VLOOKUP(N189,setup!$A$8:$H$58,7), VLOOKUP(0,setup!$A$8:$H$58,2),VLOOKUP(0,setup!$A$8:$H$58,5),VLOOKUP(N189,setup!$A$8:$H$58,8))</f>
        <v>#VALUE!</v>
      </c>
    </row>
    <row r="190" spans="1:15" x14ac:dyDescent="0.25">
      <c r="A190" s="6" t="str">
        <f t="shared" si="4"/>
        <v>                            ,$dto-&gt;${dto}</v>
      </c>
      <c r="N190">
        <f t="shared" si="5"/>
        <v>44</v>
      </c>
      <c r="O190" s="7" t="e">
        <f>getCodigoBackend(N190,A190,VLOOKUP(N190,setup!$A$8:$H$58,2),VLOOKUP(N190,setup!$A$8:$H$58,3),VLOOKUP(N190,setup!$A$8:$H$58,4),VLOOKUP(N190,setup!$A$8:$H$58,5),VLOOKUP(N190,setup!$A$8:$H$58,6),VLOOKUP(N190,setup!$A$8:$H$58,7), VLOOKUP(0,setup!$A$8:$H$58,2),VLOOKUP(0,setup!$A$8:$H$58,5),VLOOKUP(N190,setup!$A$8:$H$58,8))</f>
        <v>#VALUE!</v>
      </c>
    </row>
    <row r="191" spans="1:15" x14ac:dyDescent="0.25">
      <c r="A191" s="6" t="str">
        <f t="shared" si="4"/>
        <v>                            ,$dto-&gt;${dto}</v>
      </c>
      <c r="N191">
        <f t="shared" si="5"/>
        <v>45</v>
      </c>
      <c r="O191" s="7" t="e">
        <f>getCodigoBackend(N191,A191,VLOOKUP(N191,setup!$A$8:$H$58,2),VLOOKUP(N191,setup!$A$8:$H$58,3),VLOOKUP(N191,setup!$A$8:$H$58,4),VLOOKUP(N191,setup!$A$8:$H$58,5),VLOOKUP(N191,setup!$A$8:$H$58,6),VLOOKUP(N191,setup!$A$8:$H$58,7), VLOOKUP(0,setup!$A$8:$H$58,2),VLOOKUP(0,setup!$A$8:$H$58,5),VLOOKUP(N191,setup!$A$8:$H$58,8))</f>
        <v>#VALUE!</v>
      </c>
    </row>
    <row r="192" spans="1:15" x14ac:dyDescent="0.25">
      <c r="A192" s="6" t="str">
        <f t="shared" si="4"/>
        <v>                            ,$dto-&gt;${dto}</v>
      </c>
      <c r="N192">
        <f t="shared" si="5"/>
        <v>46</v>
      </c>
      <c r="O192" s="7" t="e">
        <f>getCodigoBackend(N192,A192,VLOOKUP(N192,setup!$A$8:$H$58,2),VLOOKUP(N192,setup!$A$8:$H$58,3),VLOOKUP(N192,setup!$A$8:$H$58,4),VLOOKUP(N192,setup!$A$8:$H$58,5),VLOOKUP(N192,setup!$A$8:$H$58,6),VLOOKUP(N192,setup!$A$8:$H$58,7), VLOOKUP(0,setup!$A$8:$H$58,2),VLOOKUP(0,setup!$A$8:$H$58,5),VLOOKUP(N192,setup!$A$8:$H$58,8))</f>
        <v>#VALUE!</v>
      </c>
    </row>
    <row r="193" spans="1:15" x14ac:dyDescent="0.25">
      <c r="A193" s="6" t="str">
        <f t="shared" si="4"/>
        <v>                            ,$dto-&gt;${dto}</v>
      </c>
      <c r="N193">
        <f t="shared" si="5"/>
        <v>47</v>
      </c>
      <c r="O193" s="7" t="e">
        <f>getCodigoBackend(N193,A193,VLOOKUP(N193,setup!$A$8:$H$58,2),VLOOKUP(N193,setup!$A$8:$H$58,3),VLOOKUP(N193,setup!$A$8:$H$58,4),VLOOKUP(N193,setup!$A$8:$H$58,5),VLOOKUP(N193,setup!$A$8:$H$58,6),VLOOKUP(N193,setup!$A$8:$H$58,7), VLOOKUP(0,setup!$A$8:$H$58,2),VLOOKUP(0,setup!$A$8:$H$58,5),VLOOKUP(N193,setup!$A$8:$H$58,8))</f>
        <v>#VALUE!</v>
      </c>
    </row>
    <row r="194" spans="1:15" x14ac:dyDescent="0.25">
      <c r="A194" s="6"/>
      <c r="N194">
        <f t="shared" si="5"/>
        <v>48</v>
      </c>
      <c r="O194" s="7" t="str">
        <f ca="1">getCodigoBackend(N194,A194,VLOOKUP(N194,setup!$A$8:$H$58,2),VLOOKUP(N194,setup!$A$8:$H$58,3),VLOOKUP(N194,setup!$A$8:$H$58,4),VLOOKUP(N194,setup!$A$8:$H$58,5),VLOOKUP(N194,setup!$A$8:$H$58,6),VLOOKUP(N194,setup!$A$8:$H$58,7), VLOOKUP(0,setup!$A$8:$H$58,2),VLOOKUP(0,setup!$A$8:$H$58,5),VLOOKUP(N194,setup!$A$8:$H$58,8))</f>
        <v/>
      </c>
    </row>
    <row r="195" spans="1:15" x14ac:dyDescent="0.25">
      <c r="A195" s="6"/>
      <c r="N195">
        <f t="shared" si="5"/>
        <v>49</v>
      </c>
      <c r="O195" s="7" t="str">
        <f ca="1">getCodigoBackend(N195,A195,VLOOKUP(N195,setup!$A$8:$H$58,2),VLOOKUP(N195,setup!$A$8:$H$58,3),VLOOKUP(N195,setup!$A$8:$H$58,4),VLOOKUP(N195,setup!$A$8:$H$58,5),VLOOKUP(N195,setup!$A$8:$H$58,6),VLOOKUP(N195,setup!$A$8:$H$58,7), VLOOKUP(0,setup!$A$8:$H$58,2),VLOOKUP(0,setup!$A$8:$H$58,5),VLOOKUP(N195,setup!$A$8:$H$58,8))</f>
        <v/>
      </c>
    </row>
    <row r="196" spans="1:15" x14ac:dyDescent="0.25">
      <c r="A196" s="6"/>
      <c r="N196">
        <f t="shared" si="5"/>
        <v>50</v>
      </c>
      <c r="O196" s="7" t="str">
        <f ca="1">getCodigoBackend(N196,A196,VLOOKUP(N196,setup!$A$8:$H$58,2),VLOOKUP(N196,setup!$A$8:$H$58,3),VLOOKUP(N196,setup!$A$8:$H$58,4),VLOOKUP(N196,setup!$A$8:$H$58,5),VLOOKUP(N196,setup!$A$8:$H$58,6),VLOOKUP(N196,setup!$A$8:$H$58,7), VLOOKUP(0,setup!$A$8:$H$58,2),VLOOKUP(0,setup!$A$8:$H$58,5),VLOOKUP(N196,setup!$A$8:$H$58,8))</f>
        <v/>
      </c>
    </row>
    <row r="197" spans="1:15" x14ac:dyDescent="0.25">
      <c r="A197" s="6" t="str">
        <f>CONCATENATE("                            ,$dto-&gt;${pkdto} );")</f>
        <v>                            ,$dto-&gt;${pkdto} );</v>
      </c>
      <c r="O197" s="7" t="str">
        <f ca="1">getCodigoBackend(N197,A197,VLOOKUP(N197,setup!$A$8:$H$58,2),VLOOKUP(N197,setup!$A$8:$H$58,3),VLOOKUP(N197,setup!$A$8:$H$58,4),VLOOKUP(N197,setup!$A$8:$H$58,5),VLOOKUP(N197,setup!$A$8:$H$58,6),VLOOKUP(N197,setup!$A$8:$H$58,7), VLOOKUP(0,setup!$A$8:$H$58,2),VLOOKUP(0,setup!$A$8:$H$58,5),VLOOKUP(N197,setup!$A$8:$H$58,8))</f>
        <v>                            ,$dto-&gt;id );</v>
      </c>
    </row>
    <row r="198" spans="1:15" x14ac:dyDescent="0.25">
      <c r="A198" s="6" t="s">
        <v>127</v>
      </c>
      <c r="O198" s="7" t="str">
        <f ca="1">getCodigoBackend(N198,A198,VLOOKUP(N198,setup!$A$8:$H$58,2),VLOOKUP(N198,setup!$A$8:$H$58,3),VLOOKUP(N198,setup!$A$8:$H$58,4),VLOOKUP(N198,setup!$A$8:$H$58,5),VLOOKUP(N198,setup!$A$8:$H$58,6),VLOOKUP(N198,setup!$A$8:$H$58,7), VLOOKUP(0,setup!$A$8:$H$58,2),VLOOKUP(0,setup!$A$8:$H$58,5),VLOOKUP(N198,setup!$A$8:$H$58,8))</f>
        <v>        if ($stmt-&gt;execute())</v>
      </c>
    </row>
    <row r="199" spans="1:15" x14ac:dyDescent="0.25">
      <c r="A199" s="6" t="s">
        <v>128</v>
      </c>
      <c r="O199" s="7" t="str">
        <f ca="1">getCodigoBackend(N199,A199,VLOOKUP(N199,setup!$A$8:$H$58,2),VLOOKUP(N199,setup!$A$8:$H$58,3),VLOOKUP(N199,setup!$A$8:$H$58,4),VLOOKUP(N199,setup!$A$8:$H$58,5),VLOOKUP(N199,setup!$A$8:$H$58,6),VLOOKUP(N199,setup!$A$8:$H$58,7), VLOOKUP(0,setup!$A$8:$H$58,2),VLOOKUP(0,setup!$A$8:$H$58,5),VLOOKUP(N199,setup!$A$8:$H$58,8))</f>
        <v>        {</v>
      </c>
    </row>
    <row r="200" spans="1:15" x14ac:dyDescent="0.25">
      <c r="A200" s="6" t="s">
        <v>129</v>
      </c>
      <c r="O200" s="7" t="str">
        <f ca="1">getCodigoBackend(N200,A200,VLOOKUP(N200,setup!$A$8:$H$58,2),VLOOKUP(N200,setup!$A$8:$H$58,3),VLOOKUP(N200,setup!$A$8:$H$58,4),VLOOKUP(N200,setup!$A$8:$H$58,5),VLOOKUP(N200,setup!$A$8:$H$58,6),VLOOKUP(N200,setup!$A$8:$H$58,7), VLOOKUP(0,setup!$A$8:$H$58,2),VLOOKUP(0,setup!$A$8:$H$58,5),VLOOKUP(N200,setup!$A$8:$H$58,8))</f>
        <v>            $retorno = true;</v>
      </c>
    </row>
    <row r="201" spans="1:15" x14ac:dyDescent="0.25">
      <c r="A201" s="6" t="s">
        <v>60</v>
      </c>
      <c r="O201" s="7" t="str">
        <f ca="1">getCodigoBackend(N201,A201,VLOOKUP(N201,setup!$A$8:$H$58,2),VLOOKUP(N201,setup!$A$8:$H$58,3),VLOOKUP(N201,setup!$A$8:$H$58,4),VLOOKUP(N201,setup!$A$8:$H$58,5),VLOOKUP(N201,setup!$A$8:$H$58,6),VLOOKUP(N201,setup!$A$8:$H$58,7), VLOOKUP(0,setup!$A$8:$H$58,2),VLOOKUP(0,setup!$A$8:$H$58,5),VLOOKUP(N201,setup!$A$8:$H$58,8))</f>
        <v>        }</v>
      </c>
    </row>
    <row r="202" spans="1:15" x14ac:dyDescent="0.25">
      <c r="A202" s="3"/>
      <c r="O202" s="7" t="str">
        <f ca="1">getCodigoBackend(N202,A202,VLOOKUP(N202,setup!$A$8:$H$58,2),VLOOKUP(N202,setup!$A$8:$H$58,3),VLOOKUP(N202,setup!$A$8:$H$58,4),VLOOKUP(N202,setup!$A$8:$H$58,5),VLOOKUP(N202,setup!$A$8:$H$58,6),VLOOKUP(N202,setup!$A$8:$H$58,7), VLOOKUP(0,setup!$A$8:$H$58,2),VLOOKUP(0,setup!$A$8:$H$58,5),VLOOKUP(N202,setup!$A$8:$H$58,8))</f>
        <v/>
      </c>
    </row>
    <row r="203" spans="1:15" x14ac:dyDescent="0.25">
      <c r="A203" s="6" t="s">
        <v>61</v>
      </c>
      <c r="O203" s="7" t="str">
        <f ca="1">getCodigoBackend(N203,A203,VLOOKUP(N203,setup!$A$8:$H$58,2),VLOOKUP(N203,setup!$A$8:$H$58,3),VLOOKUP(N203,setup!$A$8:$H$58,4),VLOOKUP(N203,setup!$A$8:$H$58,5),VLOOKUP(N203,setup!$A$8:$H$58,6),VLOOKUP(N203,setup!$A$8:$H$58,7), VLOOKUP(0,setup!$A$8:$H$58,2),VLOOKUP(0,setup!$A$8:$H$58,5),VLOOKUP(N203,setup!$A$8:$H$58,8))</f>
        <v>        return $retorno;</v>
      </c>
    </row>
    <row r="204" spans="1:15" x14ac:dyDescent="0.25">
      <c r="A204" s="6" t="s">
        <v>62</v>
      </c>
      <c r="O204" s="7" t="str">
        <f ca="1">getCodigoBackend(N204,A204,VLOOKUP(N204,setup!$A$8:$H$58,2),VLOOKUP(N204,setup!$A$8:$H$58,3),VLOOKUP(N204,setup!$A$8:$H$58,4),VLOOKUP(N204,setup!$A$8:$H$58,5),VLOOKUP(N204,setup!$A$8:$H$58,6),VLOOKUP(N204,setup!$A$8:$H$58,7), VLOOKUP(0,setup!$A$8:$H$58,2),VLOOKUP(0,setup!$A$8:$H$58,5),VLOOKUP(N204,setup!$A$8:$H$58,8))</f>
        <v>    }</v>
      </c>
    </row>
    <row r="205" spans="1:15" x14ac:dyDescent="0.25">
      <c r="A205" s="6"/>
      <c r="O205" s="7" t="str">
        <f ca="1">getCodigoBackend(N205,A205,VLOOKUP(N205,setup!$A$8:$H$58,2),VLOOKUP(N205,setup!$A$8:$H$58,3),VLOOKUP(N205,setup!$A$8:$H$58,4),VLOOKUP(N205,setup!$A$8:$H$58,5),VLOOKUP(N205,setup!$A$8:$H$58,6),VLOOKUP(N205,setup!$A$8:$H$58,7), VLOOKUP(0,setup!$A$8:$H$58,2),VLOOKUP(0,setup!$A$8:$H$58,5),VLOOKUP(N205,setup!$A$8:$H$58,8))</f>
        <v/>
      </c>
    </row>
    <row r="206" spans="1:15" x14ac:dyDescent="0.25">
      <c r="A206" s="4" t="s">
        <v>19</v>
      </c>
      <c r="O206" s="7" t="str">
        <f ca="1">getCodigoBackend(N206,A206,VLOOKUP(N206,setup!$A$8:$H$58,2),VLOOKUP(N206,setup!$A$8:$H$58,3),VLOOKUP(N206,setup!$A$8:$H$58,4),VLOOKUP(N206,setup!$A$8:$H$58,5),VLOOKUP(N206,setup!$A$8:$H$58,6),VLOOKUP(N206,setup!$A$8:$H$58,7), VLOOKUP(0,setup!$A$8:$H$58,2),VLOOKUP(0,setup!$A$8:$H$58,5),VLOOKUP(N206,setup!$A$8:$H$58,8))</f>
        <v>/**</v>
      </c>
    </row>
    <row r="207" spans="1:15" x14ac:dyDescent="0.25">
      <c r="A207" s="4" t="s">
        <v>439</v>
      </c>
      <c r="O207" s="7" t="str">
        <f ca="1">getCodigoBackend(N207,A207,VLOOKUP(N207,setup!$A$8:$H$58,2),VLOOKUP(N207,setup!$A$8:$H$58,3),VLOOKUP(N207,setup!$A$8:$H$58,4),VLOOKUP(N207,setup!$A$8:$H$58,5),VLOOKUP(N207,setup!$A$8:$H$58,6),VLOOKUP(N207,setup!$A$8:$H$58,7), VLOOKUP(0,setup!$A$8:$H$58,2),VLOOKUP(0,setup!$A$8:$H$58,5),VLOOKUP(N207,setup!$A$8:$H$58,8))</f>
        <v>* delete() - excluir fisicamente um registro com base no dto CampanhaCashbackResgatePixDTO-&gt;id</v>
      </c>
    </row>
    <row r="208" spans="1:15" x14ac:dyDescent="0.25">
      <c r="A208" s="4" t="s">
        <v>20</v>
      </c>
      <c r="O208" s="7" t="str">
        <f ca="1">getCodigoBackend(N208,A208,VLOOKUP(N208,setup!$A$8:$H$58,2),VLOOKUP(N208,setup!$A$8:$H$58,3),VLOOKUP(N208,setup!$A$8:$H$58,4),VLOOKUP(N208,setup!$A$8:$H$58,5),VLOOKUP(N208,setup!$A$8:$H$58,6),VLOOKUP(N208,setup!$A$8:$H$58,7), VLOOKUP(0,setup!$A$8:$H$58,2),VLOOKUP(0,setup!$A$8:$H$58,5),VLOOKUP(N208,setup!$A$8:$H$58,8))</f>
        <v>*</v>
      </c>
    </row>
    <row r="209" spans="1:15" x14ac:dyDescent="0.25">
      <c r="A209" s="4" t="s">
        <v>438</v>
      </c>
      <c r="O209" s="7" t="str">
        <f ca="1">getCodigoBackend(N209,A209,VLOOKUP(N209,setup!$A$8:$H$58,2),VLOOKUP(N209,setup!$A$8:$H$58,3),VLOOKUP(N209,setup!$A$8:$H$58,4),VLOOKUP(N209,setup!$A$8:$H$58,5),VLOOKUP(N209,setup!$A$8:$H$58,6),VLOOKUP(N209,setup!$A$8:$H$58,7), VLOOKUP(0,setup!$A$8:$H$58,2),VLOOKUP(0,setup!$A$8:$H$58,5),VLOOKUP(N209,setup!$A$8:$H$58,8))</f>
        <v>* @return boolean</v>
      </c>
    </row>
    <row r="210" spans="1:15" x14ac:dyDescent="0.25">
      <c r="A210" s="4" t="s">
        <v>363</v>
      </c>
      <c r="O210" s="7" t="str">
        <f ca="1">getCodigoBackend(N210,A210,VLOOKUP(N210,setup!$A$8:$H$58,2),VLOOKUP(N210,setup!$A$8:$H$58,3),VLOOKUP(N210,setup!$A$8:$H$58,4),VLOOKUP(N210,setup!$A$8:$H$58,5),VLOOKUP(N210,setup!$A$8:$H$58,6),VLOOKUP(N210,setup!$A$8:$H$58,7), VLOOKUP(0,setup!$A$8:$H$58,2),VLOOKUP(0,setup!$A$8:$H$58,5),VLOOKUP(N210,setup!$A$8:$H$58,8))</f>
        <v xml:space="preserve">*/ </v>
      </c>
    </row>
    <row r="211" spans="1:15" x14ac:dyDescent="0.25">
      <c r="A211" s="6" t="s">
        <v>130</v>
      </c>
      <c r="O211" s="7" t="str">
        <f ca="1">getCodigoBackend(N211,A211,VLOOKUP(N211,setup!$A$8:$H$58,2),VLOOKUP(N211,setup!$A$8:$H$58,3),VLOOKUP(N211,setup!$A$8:$H$58,4),VLOOKUP(N211,setup!$A$8:$H$58,5),VLOOKUP(N211,setup!$A$8:$H$58,6),VLOOKUP(N211,setup!$A$8:$H$58,7), VLOOKUP(0,setup!$A$8:$H$58,2),VLOOKUP(0,setup!$A$8:$H$58,5),VLOOKUP(N211,setup!$A$8:$H$58,8))</f>
        <v>    public function delete($dto)</v>
      </c>
    </row>
    <row r="212" spans="1:15" x14ac:dyDescent="0.25">
      <c r="A212" s="6" t="s">
        <v>90</v>
      </c>
      <c r="O212" s="7" t="str">
        <f ca="1">getCodigoBackend(N212,A212,VLOOKUP(N212,setup!$A$8:$H$58,2),VLOOKUP(N212,setup!$A$8:$H$58,3),VLOOKUP(N212,setup!$A$8:$H$58,4),VLOOKUP(N212,setup!$A$8:$H$58,5),VLOOKUP(N212,setup!$A$8:$H$58,6),VLOOKUP(N212,setup!$A$8:$H$58,7), VLOOKUP(0,setup!$A$8:$H$58,2),VLOOKUP(0,setup!$A$8:$H$58,5),VLOOKUP(N212,setup!$A$8:$H$58,8))</f>
        <v>    {   </v>
      </c>
    </row>
    <row r="213" spans="1:15" x14ac:dyDescent="0.25">
      <c r="A213" s="6" t="s">
        <v>124</v>
      </c>
      <c r="O213" s="7" t="str">
        <f ca="1">getCodigoBackend(N213,A213,VLOOKUP(N213,setup!$A$8:$H$58,2),VLOOKUP(N213,setup!$A$8:$H$58,3),VLOOKUP(N213,setup!$A$8:$H$58,4),VLOOKUP(N213,setup!$A$8:$H$58,5),VLOOKUP(N213,setup!$A$8:$H$58,6),VLOOKUP(N213,setup!$A$8:$H$58,7), VLOOKUP(0,setup!$A$8:$H$58,2),VLOOKUP(0,setup!$A$8:$H$58,5),VLOOKUP(N213,setup!$A$8:$H$58,8))</f>
        <v>        $retorno = false;</v>
      </c>
    </row>
    <row r="214" spans="1:15" x14ac:dyDescent="0.25">
      <c r="A214" s="6" t="s">
        <v>125</v>
      </c>
      <c r="O214" s="7" t="str">
        <f ca="1">getCodigoBackend(N214,A214,VLOOKUP(N214,setup!$A$8:$H$58,2),VLOOKUP(N214,setup!$A$8:$H$58,3),VLOOKUP(N214,setup!$A$8:$H$58,4),VLOOKUP(N214,setup!$A$8:$H$58,5),VLOOKUP(N214,setup!$A$8:$H$58,6),VLOOKUP(N214,setup!$A$8:$H$58,7), VLOOKUP(0,setup!$A$8:$H$58,2),VLOOKUP(0,setup!$A$8:$H$58,5),VLOOKUP(N214,setup!$A$8:$H$58,8))</f>
        <v>        // prepara sessão, query, troca de valores, acoplagem do resultado e o fetch</v>
      </c>
    </row>
    <row r="215" spans="1:15" x14ac:dyDescent="0.25">
      <c r="A215" s="6" t="s">
        <v>126</v>
      </c>
      <c r="O215" s="7" t="str">
        <f ca="1">getCodigoBackend(N215,A215,VLOOKUP(N215,setup!$A$8:$H$58,2),VLOOKUP(N215,setup!$A$8:$H$58,3),VLOOKUP(N215,setup!$A$8:$H$58,4),VLOOKUP(N215,setup!$A$8:$H$58,5),VLOOKUP(N215,setup!$A$8:$H$58,6),VLOOKUP(N215,setup!$A$8:$H$58,7), VLOOKUP(0,setup!$A$8:$H$58,2),VLOOKUP(0,setup!$A$8:$H$58,5),VLOOKUP(N215,setup!$A$8:$H$58,8))</f>
        <v>        $conexao = $this-&gt;daofactory-&gt;getSession();</v>
      </c>
    </row>
    <row r="216" spans="1:15" x14ac:dyDescent="0.25">
      <c r="A216" s="6" t="s">
        <v>311</v>
      </c>
      <c r="O216" s="7" t="str">
        <f ca="1">getCodigoBackend(N216,A216,VLOOKUP(N216,setup!$A$8:$H$58,2),VLOOKUP(N216,setup!$A$8:$H$58,3),VLOOKUP(N216,setup!$A$8:$H$58,4),VLOOKUP(N216,setup!$A$8:$H$58,5),VLOOKUP(N216,setup!$A$8:$H$58,6),VLOOKUP(N216,setup!$A$8:$H$58,7), VLOOKUP(0,setup!$A$8:$H$58,2),VLOOKUP(0,setup!$A$8:$H$58,5),VLOOKUP(N216,setup!$A$8:$H$58,8))</f>
        <v>        $stmt = $conexao-&gt;prepare(DmlSqlCampanhaCashbackResgatePix::DEL_PK);</v>
      </c>
    </row>
    <row r="217" spans="1:15" x14ac:dyDescent="0.25">
      <c r="A217" s="6" t="str">
        <f>CONCATENATE("        $stmt-&gt;bind_param(DmlSql::${mysql}")</f>
        <v>        $stmt-&gt;bind_param(DmlSql::${mysql}</v>
      </c>
      <c r="N217" s="7">
        <v>0</v>
      </c>
      <c r="O217" s="7" t="str">
        <f ca="1">getCodigoBackend(N217,A217,VLOOKUP(N217,setup!$A$8:$H$58,2),VLOOKUP(N217,setup!$A$8:$H$58,3),VLOOKUP(N217,setup!$A$8:$H$58,4),VLOOKUP(N217,setup!$A$8:$H$58,5),VLOOKUP(N217,setup!$A$8:$H$58,6),VLOOKUP(N217,setup!$A$8:$H$58,7), VLOOKUP(0,setup!$A$8:$H$58,2),VLOOKUP(0,setup!$A$8:$H$58,5),VLOOKUP(N217,setup!$A$8:$H$58,8))</f>
        <v>        $stmt-&gt;bind_param(DmlSql::INTEGER_TYPE</v>
      </c>
    </row>
    <row r="218" spans="1:15" x14ac:dyDescent="0.25">
      <c r="A218" s="6" t="str">
        <f>CONCATENATE("                            ,$dto-&gt;${pkdto});")</f>
        <v>                            ,$dto-&gt;${pkdto});</v>
      </c>
      <c r="N218" s="7">
        <v>0</v>
      </c>
      <c r="O218" s="7" t="str">
        <f ca="1">getCodigoBackend(N218,A218,VLOOKUP(N218,setup!$A$8:$H$58,2),VLOOKUP(N218,setup!$A$8:$H$58,3),VLOOKUP(N218,setup!$A$8:$H$58,4),VLOOKUP(N218,setup!$A$8:$H$58,5),VLOOKUP(N218,setup!$A$8:$H$58,6),VLOOKUP(N218,setup!$A$8:$H$58,7), VLOOKUP(0,setup!$A$8:$H$58,2),VLOOKUP(0,setup!$A$8:$H$58,5),VLOOKUP(N218,setup!$A$8:$H$58,8))</f>
        <v>                            ,$dto-&gt;id);</v>
      </c>
    </row>
    <row r="219" spans="1:15" x14ac:dyDescent="0.25">
      <c r="A219" s="6" t="s">
        <v>127</v>
      </c>
      <c r="O219" s="7" t="str">
        <f ca="1">getCodigoBackend(N219,A219,VLOOKUP(N219,setup!$A$8:$H$58,2),VLOOKUP(N219,setup!$A$8:$H$58,3),VLOOKUP(N219,setup!$A$8:$H$58,4),VLOOKUP(N219,setup!$A$8:$H$58,5),VLOOKUP(N219,setup!$A$8:$H$58,6),VLOOKUP(N219,setup!$A$8:$H$58,7), VLOOKUP(0,setup!$A$8:$H$58,2),VLOOKUP(0,setup!$A$8:$H$58,5),VLOOKUP(N219,setup!$A$8:$H$58,8))</f>
        <v>        if ($stmt-&gt;execute())</v>
      </c>
    </row>
    <row r="220" spans="1:15" x14ac:dyDescent="0.25">
      <c r="A220" s="6" t="s">
        <v>128</v>
      </c>
      <c r="O220" s="7" t="str">
        <f ca="1">getCodigoBackend(N220,A220,VLOOKUP(N220,setup!$A$8:$H$58,2),VLOOKUP(N220,setup!$A$8:$H$58,3),VLOOKUP(N220,setup!$A$8:$H$58,4),VLOOKUP(N220,setup!$A$8:$H$58,5),VLOOKUP(N220,setup!$A$8:$H$58,6),VLOOKUP(N220,setup!$A$8:$H$58,7), VLOOKUP(0,setup!$A$8:$H$58,2),VLOOKUP(0,setup!$A$8:$H$58,5),VLOOKUP(N220,setup!$A$8:$H$58,8))</f>
        <v>        {</v>
      </c>
    </row>
    <row r="221" spans="1:15" x14ac:dyDescent="0.25">
      <c r="A221" s="6" t="s">
        <v>129</v>
      </c>
      <c r="O221" s="7" t="str">
        <f ca="1">getCodigoBackend(N221,A221,VLOOKUP(N221,setup!$A$8:$H$58,2),VLOOKUP(N221,setup!$A$8:$H$58,3),VLOOKUP(N221,setup!$A$8:$H$58,4),VLOOKUP(N221,setup!$A$8:$H$58,5),VLOOKUP(N221,setup!$A$8:$H$58,6),VLOOKUP(N221,setup!$A$8:$H$58,7), VLOOKUP(0,setup!$A$8:$H$58,2),VLOOKUP(0,setup!$A$8:$H$58,5),VLOOKUP(N221,setup!$A$8:$H$58,8))</f>
        <v>            $retorno = true;</v>
      </c>
    </row>
    <row r="222" spans="1:15" x14ac:dyDescent="0.25">
      <c r="A222" s="6" t="s">
        <v>60</v>
      </c>
      <c r="O222" s="7" t="str">
        <f ca="1">getCodigoBackend(N222,A222,VLOOKUP(N222,setup!$A$8:$H$58,2),VLOOKUP(N222,setup!$A$8:$H$58,3),VLOOKUP(N222,setup!$A$8:$H$58,4),VLOOKUP(N222,setup!$A$8:$H$58,5),VLOOKUP(N222,setup!$A$8:$H$58,6),VLOOKUP(N222,setup!$A$8:$H$58,7), VLOOKUP(0,setup!$A$8:$H$58,2),VLOOKUP(0,setup!$A$8:$H$58,5),VLOOKUP(N222,setup!$A$8:$H$58,8))</f>
        <v>        }</v>
      </c>
    </row>
    <row r="223" spans="1:15" x14ac:dyDescent="0.25">
      <c r="A223" s="3"/>
      <c r="O223" s="7" t="str">
        <f ca="1">getCodigoBackend(N223,A223,VLOOKUP(N223,setup!$A$8:$H$58,2),VLOOKUP(N223,setup!$A$8:$H$58,3),VLOOKUP(N223,setup!$A$8:$H$58,4),VLOOKUP(N223,setup!$A$8:$H$58,5),VLOOKUP(N223,setup!$A$8:$H$58,6),VLOOKUP(N223,setup!$A$8:$H$58,7), VLOOKUP(0,setup!$A$8:$H$58,2),VLOOKUP(0,setup!$A$8:$H$58,5),VLOOKUP(N223,setup!$A$8:$H$58,8))</f>
        <v/>
      </c>
    </row>
    <row r="224" spans="1:15" x14ac:dyDescent="0.25">
      <c r="A224" s="6" t="s">
        <v>61</v>
      </c>
      <c r="O224" s="7" t="str">
        <f ca="1">getCodigoBackend(N224,A224,VLOOKUP(N224,setup!$A$8:$H$58,2),VLOOKUP(N224,setup!$A$8:$H$58,3),VLOOKUP(N224,setup!$A$8:$H$58,4),VLOOKUP(N224,setup!$A$8:$H$58,5),VLOOKUP(N224,setup!$A$8:$H$58,6),VLOOKUP(N224,setup!$A$8:$H$58,7), VLOOKUP(0,setup!$A$8:$H$58,2),VLOOKUP(0,setup!$A$8:$H$58,5),VLOOKUP(N224,setup!$A$8:$H$58,8))</f>
        <v>        return $retorno;</v>
      </c>
    </row>
    <row r="225" spans="1:15" x14ac:dyDescent="0.25">
      <c r="A225" s="6" t="s">
        <v>62</v>
      </c>
      <c r="O225" s="7" t="str">
        <f ca="1">getCodigoBackend(N225,A225,VLOOKUP(N225,setup!$A$8:$H$58,2),VLOOKUP(N225,setup!$A$8:$H$58,3),VLOOKUP(N225,setup!$A$8:$H$58,4),VLOOKUP(N225,setup!$A$8:$H$58,5),VLOOKUP(N225,setup!$A$8:$H$58,6),VLOOKUP(N225,setup!$A$8:$H$58,7), VLOOKUP(0,setup!$A$8:$H$58,2),VLOOKUP(0,setup!$A$8:$H$58,5),VLOOKUP(N225,setup!$A$8:$H$58,8))</f>
        <v>    }</v>
      </c>
    </row>
    <row r="226" spans="1:15" x14ac:dyDescent="0.25">
      <c r="A226" s="3"/>
      <c r="O226" s="7" t="str">
        <f ca="1">getCodigoBackend(N226,A226,VLOOKUP(N226,setup!$A$8:$H$58,2),VLOOKUP(N226,setup!$A$8:$H$58,3),VLOOKUP(N226,setup!$A$8:$H$58,4),VLOOKUP(N226,setup!$A$8:$H$58,5),VLOOKUP(N226,setup!$A$8:$H$58,6),VLOOKUP(N226,setup!$A$8:$H$58,7), VLOOKUP(0,setup!$A$8:$H$58,2),VLOOKUP(0,setup!$A$8:$H$58,5),VLOOKUP(N226,setup!$A$8:$H$58,8))</f>
        <v/>
      </c>
    </row>
    <row r="227" spans="1:15" x14ac:dyDescent="0.25">
      <c r="A227" s="3"/>
      <c r="O227" s="7" t="str">
        <f ca="1">getCodigoBackend(N227,A227,VLOOKUP(N227,setup!$A$8:$H$58,2),VLOOKUP(N227,setup!$A$8:$H$58,3),VLOOKUP(N227,setup!$A$8:$H$58,4),VLOOKUP(N227,setup!$A$8:$H$58,5),VLOOKUP(N227,setup!$A$8:$H$58,6),VLOOKUP(N227,setup!$A$8:$H$58,7), VLOOKUP(0,setup!$A$8:$H$58,2),VLOOKUP(0,setup!$A$8:$H$58,5),VLOOKUP(N227,setup!$A$8:$H$58,8))</f>
        <v/>
      </c>
    </row>
    <row r="228" spans="1:15" x14ac:dyDescent="0.25">
      <c r="A228" s="6" t="s">
        <v>312</v>
      </c>
      <c r="O228" s="7" t="str">
        <f ca="1">getCodigoBackend(N228,A228,VLOOKUP(N228,setup!$A$8:$H$58,2),VLOOKUP(N228,setup!$A$8:$H$58,3),VLOOKUP(N228,setup!$A$8:$H$58,4),VLOOKUP(N228,setup!$A$8:$H$58,5),VLOOKUP(N228,setup!$A$8:$H$58,6),VLOOKUP(N228,setup!$A$8:$H$58,7), VLOOKUP(0,setup!$A$8:$H$58,2),VLOOKUP(0,setup!$A$8:$H$58,5),VLOOKUP(N228,setup!$A$8:$H$58,8))</f>
        <v>    public function listCampanhaCashbackResgatePixStatus($status)</v>
      </c>
    </row>
    <row r="229" spans="1:15" x14ac:dyDescent="0.25">
      <c r="A229" s="6" t="s">
        <v>38</v>
      </c>
      <c r="O229" s="7" t="str">
        <f ca="1">getCodigoBackend(N229,A229,VLOOKUP(N229,setup!$A$8:$H$58,2),VLOOKUP(N229,setup!$A$8:$H$58,3),VLOOKUP(N229,setup!$A$8:$H$58,4),VLOOKUP(N229,setup!$A$8:$H$58,5),VLOOKUP(N229,setup!$A$8:$H$58,6),VLOOKUP(N229,setup!$A$8:$H$58,7), VLOOKUP(0,setup!$A$8:$H$58,2),VLOOKUP(0,setup!$A$8:$H$58,5),VLOOKUP(N229,setup!$A$8:$H$58,8))</f>
        <v>    {</v>
      </c>
    </row>
    <row r="230" spans="1:15" x14ac:dyDescent="0.25">
      <c r="A230" s="6" t="s">
        <v>131</v>
      </c>
      <c r="O230" s="7" t="str">
        <f ca="1">getCodigoBackend(N230,A230,VLOOKUP(N230,setup!$A$8:$H$58,2),VLOOKUP(N230,setup!$A$8:$H$58,3),VLOOKUP(N230,setup!$A$8:$H$58,4),VLOOKUP(N230,setup!$A$8:$H$58,5),VLOOKUP(N230,setup!$A$8:$H$58,6),VLOOKUP(N230,setup!$A$8:$H$58,7), VLOOKUP(0,setup!$A$8:$H$58,2),VLOOKUP(0,setup!$A$8:$H$58,5),VLOOKUP(N230,setup!$A$8:$H$58,8))</f>
        <v>        $retorno = array();</v>
      </c>
    </row>
    <row r="231" spans="1:15" x14ac:dyDescent="0.25">
      <c r="A231" s="3"/>
      <c r="O231" s="7" t="str">
        <f ca="1">getCodigoBackend(N231,A231,VLOOKUP(N231,setup!$A$8:$H$58,2),VLOOKUP(N231,setup!$A$8:$H$58,3),VLOOKUP(N231,setup!$A$8:$H$58,4),VLOOKUP(N231,setup!$A$8:$H$58,5),VLOOKUP(N231,setup!$A$8:$H$58,6),VLOOKUP(N231,setup!$A$8:$H$58,7), VLOOKUP(0,setup!$A$8:$H$58,2),VLOOKUP(0,setup!$A$8:$H$58,5),VLOOKUP(N231,setup!$A$8:$H$58,8))</f>
        <v/>
      </c>
    </row>
    <row r="232" spans="1:15" x14ac:dyDescent="0.25">
      <c r="A232" s="6" t="s">
        <v>125</v>
      </c>
      <c r="O232" s="7" t="str">
        <f ca="1">getCodigoBackend(N232,A232,VLOOKUP(N232,setup!$A$8:$H$58,2),VLOOKUP(N232,setup!$A$8:$H$58,3),VLOOKUP(N232,setup!$A$8:$H$58,4),VLOOKUP(N232,setup!$A$8:$H$58,5),VLOOKUP(N232,setup!$A$8:$H$58,6),VLOOKUP(N232,setup!$A$8:$H$58,7), VLOOKUP(0,setup!$A$8:$H$58,2),VLOOKUP(0,setup!$A$8:$H$58,5),VLOOKUP(N232,setup!$A$8:$H$58,8))</f>
        <v>        // prepara sessão, query, troca de valores, acoplagem do resultado e o fetch</v>
      </c>
    </row>
    <row r="233" spans="1:15" x14ac:dyDescent="0.25">
      <c r="A233" s="6" t="s">
        <v>126</v>
      </c>
      <c r="O233" s="7" t="str">
        <f ca="1">getCodigoBackend(N233,A233,VLOOKUP(N233,setup!$A$8:$H$58,2),VLOOKUP(N233,setup!$A$8:$H$58,3),VLOOKUP(N233,setup!$A$8:$H$58,4),VLOOKUP(N233,setup!$A$8:$H$58,5),VLOOKUP(N233,setup!$A$8:$H$58,6),VLOOKUP(N233,setup!$A$8:$H$58,7), VLOOKUP(0,setup!$A$8:$H$58,2),VLOOKUP(0,setup!$A$8:$H$58,5),VLOOKUP(N233,setup!$A$8:$H$58,8))</f>
        <v>        $conexao = $this-&gt;daofactory-&gt;getSession();</v>
      </c>
    </row>
    <row r="234" spans="1:15" x14ac:dyDescent="0.25">
      <c r="A234" s="8" t="str">
        <f>CONCATENATE("        $res = $conexao-&gt;query(DmlSql${classebase}::SELECT . 'WHERE `' . DmlSql${classebase}::${campo} . '` = '$status'' );")</f>
        <v xml:space="preserve">        $res = $conexao-&gt;query(DmlSql${classebase}::SELECT . 'WHERE `' . DmlSql${classebase}::${campo} . '` = '$status'' );</v>
      </c>
      <c r="N234" s="7">
        <v>48</v>
      </c>
      <c r="O234" s="7" t="str">
        <f ca="1">getCodigoBackend(N234,A234,VLOOKUP(N234,setup!$A$8:$H$58,2),VLOOKUP(N234,setup!$A$8:$H$58,3),VLOOKUP(N234,setup!$A$8:$H$58,4),VLOOKUP(N234,setup!$A$8:$H$58,5),VLOOKUP(N234,setup!$A$8:$H$58,6),VLOOKUP(N234,setup!$A$8:$H$58,7), VLOOKUP(0,setup!$A$8:$H$58,2),VLOOKUP(0,setup!$A$8:$H$58,5),VLOOKUP(N234,setup!$A$8:$H$58,8))</f>
        <v xml:space="preserve">        $res = $conexao-&gt;query(DmlSqlCampanhaCashbackResgatePix::SELECT . 'WHERE `' . DmlSqlCampanhaCashbackResgatePix::CCRP_IN_STATUS . '` = '$status'' );</v>
      </c>
    </row>
    <row r="235" spans="1:15" x14ac:dyDescent="0.25">
      <c r="A235" s="6" t="s">
        <v>132</v>
      </c>
      <c r="O235" s="7" t="str">
        <f ca="1">getCodigoBackend(N235,A235,VLOOKUP(N235,setup!$A$8:$H$58,2),VLOOKUP(N235,setup!$A$8:$H$58,3),VLOOKUP(N235,setup!$A$8:$H$58,4),VLOOKUP(N235,setup!$A$8:$H$58,5),VLOOKUP(N235,setup!$A$8:$H$58,6),VLOOKUP(N235,setup!$A$8:$H$58,7), VLOOKUP(0,setup!$A$8:$H$58,2),VLOOKUP(0,setup!$A$8:$H$58,5),VLOOKUP(N235,setup!$A$8:$H$58,8))</f>
        <v>        if ($res){</v>
      </c>
    </row>
    <row r="236" spans="1:15" x14ac:dyDescent="0.25">
      <c r="A236" s="6" t="s">
        <v>133</v>
      </c>
      <c r="O236" s="7" t="str">
        <f ca="1">getCodigoBackend(N236,A236,VLOOKUP(N236,setup!$A$8:$H$58,2),VLOOKUP(N236,setup!$A$8:$H$58,3),VLOOKUP(N236,setup!$A$8:$H$58,4),VLOOKUP(N236,setup!$A$8:$H$58,5),VLOOKUP(N236,setup!$A$8:$H$58,6),VLOOKUP(N236,setup!$A$8:$H$58,7), VLOOKUP(0,setup!$A$8:$H$58,2),VLOOKUP(0,setup!$A$8:$H$58,5),VLOOKUP(N236,setup!$A$8:$H$58,8))</f>
        <v>            while ($row = $res-&gt;fetch_assoc()) {</v>
      </c>
    </row>
    <row r="237" spans="1:15" x14ac:dyDescent="0.25">
      <c r="A237" s="6" t="s">
        <v>134</v>
      </c>
      <c r="O237" s="7" t="str">
        <f ca="1">getCodigoBackend(N237,A237,VLOOKUP(N237,setup!$A$8:$H$58,2),VLOOKUP(N237,setup!$A$8:$H$58,3),VLOOKUP(N237,setup!$A$8:$H$58,4),VLOOKUP(N237,setup!$A$8:$H$58,5),VLOOKUP(N237,setup!$A$8:$H$58,6),VLOOKUP(N237,setup!$A$8:$H$58,7), VLOOKUP(0,setup!$A$8:$H$58,2),VLOOKUP(0,setup!$A$8:$H$58,5),VLOOKUP(N237,setup!$A$8:$H$58,8))</f>
        <v>                array_push($retorno, $this-&gt;getDTO($row));</v>
      </c>
    </row>
    <row r="238" spans="1:15" x14ac:dyDescent="0.25">
      <c r="A238" s="6" t="s">
        <v>51</v>
      </c>
      <c r="O238" s="7" t="str">
        <f ca="1">getCodigoBackend(N238,A238,VLOOKUP(N238,setup!$A$8:$H$58,2),VLOOKUP(N238,setup!$A$8:$H$58,3),VLOOKUP(N238,setup!$A$8:$H$58,4),VLOOKUP(N238,setup!$A$8:$H$58,5),VLOOKUP(N238,setup!$A$8:$H$58,6),VLOOKUP(N238,setup!$A$8:$H$58,7), VLOOKUP(0,setup!$A$8:$H$58,2),VLOOKUP(0,setup!$A$8:$H$58,5),VLOOKUP(N238,setup!$A$8:$H$58,8))</f>
        <v>            }</v>
      </c>
    </row>
    <row r="239" spans="1:15" x14ac:dyDescent="0.25">
      <c r="A239" s="6" t="s">
        <v>60</v>
      </c>
      <c r="O239" s="7" t="str">
        <f ca="1">getCodigoBackend(N239,A239,VLOOKUP(N239,setup!$A$8:$H$58,2),VLOOKUP(N239,setup!$A$8:$H$58,3),VLOOKUP(N239,setup!$A$8:$H$58,4),VLOOKUP(N239,setup!$A$8:$H$58,5),VLOOKUP(N239,setup!$A$8:$H$58,6),VLOOKUP(N239,setup!$A$8:$H$58,7), VLOOKUP(0,setup!$A$8:$H$58,2),VLOOKUP(0,setup!$A$8:$H$58,5),VLOOKUP(N239,setup!$A$8:$H$58,8))</f>
        <v>        }</v>
      </c>
    </row>
    <row r="240" spans="1:15" x14ac:dyDescent="0.25">
      <c r="A240" s="6" t="s">
        <v>61</v>
      </c>
      <c r="O240" s="7" t="str">
        <f ca="1">getCodigoBackend(N240,A240,VLOOKUP(N240,setup!$A$8:$H$58,2),VLOOKUP(N240,setup!$A$8:$H$58,3),VLOOKUP(N240,setup!$A$8:$H$58,4),VLOOKUP(N240,setup!$A$8:$H$58,5),VLOOKUP(N240,setup!$A$8:$H$58,6),VLOOKUP(N240,setup!$A$8:$H$58,7), VLOOKUP(0,setup!$A$8:$H$58,2),VLOOKUP(0,setup!$A$8:$H$58,5),VLOOKUP(N240,setup!$A$8:$H$58,8))</f>
        <v>        return $retorno;</v>
      </c>
    </row>
    <row r="241" spans="1:15" x14ac:dyDescent="0.25">
      <c r="A241" s="6" t="s">
        <v>62</v>
      </c>
      <c r="O241" s="7" t="str">
        <f ca="1">getCodigoBackend(N241,A241,VLOOKUP(N241,setup!$A$8:$H$58,2),VLOOKUP(N241,setup!$A$8:$H$58,3),VLOOKUP(N241,setup!$A$8:$H$58,4),VLOOKUP(N241,setup!$A$8:$H$58,5),VLOOKUP(N241,setup!$A$8:$H$58,6),VLOOKUP(N241,setup!$A$8:$H$58,7), VLOOKUP(0,setup!$A$8:$H$58,2),VLOOKUP(0,setup!$A$8:$H$58,5),VLOOKUP(N241,setup!$A$8:$H$58,8))</f>
        <v>    }</v>
      </c>
    </row>
    <row r="242" spans="1:15" x14ac:dyDescent="0.25">
      <c r="A242" s="6"/>
      <c r="O242" s="7" t="str">
        <f ca="1">getCodigoBackend(N242,A242,VLOOKUP(N242,setup!$A$8:$H$58,2),VLOOKUP(N242,setup!$A$8:$H$58,3),VLOOKUP(N242,setup!$A$8:$H$58,4),VLOOKUP(N242,setup!$A$8:$H$58,5),VLOOKUP(N242,setup!$A$8:$H$58,6),VLOOKUP(N242,setup!$A$8:$H$58,7), VLOOKUP(0,setup!$A$8:$H$58,2),VLOOKUP(0,setup!$A$8:$H$58,5),VLOOKUP(N242,setup!$A$8:$H$58,8))</f>
        <v/>
      </c>
    </row>
    <row r="243" spans="1:15" x14ac:dyDescent="0.25">
      <c r="A243" s="4" t="s">
        <v>19</v>
      </c>
      <c r="O243" s="7" t="str">
        <f ca="1">getCodigoBackend(N243,A243,VLOOKUP(N243,setup!$A$8:$H$58,2),VLOOKUP(N243,setup!$A$8:$H$58,3),VLOOKUP(N243,setup!$A$8:$H$58,4),VLOOKUP(N243,setup!$A$8:$H$58,5),VLOOKUP(N243,setup!$A$8:$H$58,6),VLOOKUP(N243,setup!$A$8:$H$58,7), VLOOKUP(0,setup!$A$8:$H$58,2),VLOOKUP(0,setup!$A$8:$H$58,5),VLOOKUP(N243,setup!$A$8:$H$58,8))</f>
        <v>/**</v>
      </c>
    </row>
    <row r="244" spans="1:15" x14ac:dyDescent="0.25">
      <c r="A244" s="4" t="s">
        <v>711</v>
      </c>
      <c r="O244" s="7" t="str">
        <f ca="1">getCodigoBackend(N244,A244,VLOOKUP(N244,setup!$A$8:$H$58,2),VLOOKUP(N244,setup!$A$8:$H$58,3),VLOOKUP(N244,setup!$A$8:$H$58,4),VLOOKUP(N244,setup!$A$8:$H$58,5),VLOOKUP(N244,setup!$A$8:$H$58,6),VLOOKUP(N244,setup!$A$8:$H$58,7), VLOOKUP(0,setup!$A$8:$H$58,2),VLOOKUP(0,setup!$A$8:$H$58,5),VLOOKUP(N244,setup!$A$8:$H$58,8))</f>
        <v>* countCampanhaCashbackResgatePixPorStatus() - contar a quantidade de registros</v>
      </c>
    </row>
    <row r="245" spans="1:15" x14ac:dyDescent="0.25">
      <c r="A245" s="4" t="s">
        <v>712</v>
      </c>
      <c r="O245" s="7" t="str">
        <f ca="1">getCodigoBackend(N245,A245,VLOOKUP(N245,setup!$A$8:$H$58,2),VLOOKUP(N245,setup!$A$8:$H$58,3),VLOOKUP(N245,setup!$A$8:$H$58,4),VLOOKUP(N245,setup!$A$8:$H$58,5),VLOOKUP(N245,setup!$A$8:$H$58,6),VLOOKUP(N245,setup!$A$8:$H$58,7), VLOOKUP(0,setup!$A$8:$H$58,2),VLOOKUP(0,setup!$A$8:$H$58,5),VLOOKUP(N245,setup!$A$8:$H$58,8))</f>
        <v xml:space="preserve">* sob o contexto da classe CampanhaCashbackResgatePix com base no status específico. </v>
      </c>
    </row>
    <row r="246" spans="1:15" x14ac:dyDescent="0.25">
      <c r="A246" s="4" t="s">
        <v>20</v>
      </c>
      <c r="O246" s="7" t="str">
        <f ca="1">getCodigoBackend(N246,A246,VLOOKUP(N246,setup!$A$8:$H$58,2),VLOOKUP(N246,setup!$A$8:$H$58,3),VLOOKUP(N246,setup!$A$8:$H$58,4),VLOOKUP(N246,setup!$A$8:$H$58,5),VLOOKUP(N246,setup!$A$8:$H$58,6),VLOOKUP(N246,setup!$A$8:$H$58,7), VLOOKUP(0,setup!$A$8:$H$58,2),VLOOKUP(0,setup!$A$8:$H$58,5),VLOOKUP(N246,setup!$A$8:$H$58,8))</f>
        <v>*</v>
      </c>
    </row>
    <row r="247" spans="1:15" x14ac:dyDescent="0.25">
      <c r="A247" s="4" t="s">
        <v>710</v>
      </c>
      <c r="O247" s="7" t="str">
        <f ca="1">getCodigoBackend(N247,A247,VLOOKUP(N247,setup!$A$8:$H$58,2),VLOOKUP(N247,setup!$A$8:$H$58,3),VLOOKUP(N247,setup!$A$8:$H$58,4),VLOOKUP(N247,setup!$A$8:$H$58,5),VLOOKUP(N247,setup!$A$8:$H$58,6),VLOOKUP(N247,setup!$A$8:$H$58,7), VLOOKUP(0,setup!$A$8:$H$58,2),VLOOKUP(0,setup!$A$8:$H$58,5),VLOOKUP(N247,setup!$A$8:$H$58,8))</f>
        <v xml:space="preserve">* Atenção em @see $sql na tabela CAMPANHA_CASHBACK_RESGATE_PIX </v>
      </c>
    </row>
    <row r="248" spans="1:15" x14ac:dyDescent="0.25">
      <c r="A248" s="4" t="s">
        <v>20</v>
      </c>
      <c r="O248" s="7" t="str">
        <f ca="1">getCodigoBackend(N248,A248,VLOOKUP(N248,setup!$A$8:$H$58,2),VLOOKUP(N248,setup!$A$8:$H$58,3),VLOOKUP(N248,setup!$A$8:$H$58,4),VLOOKUP(N248,setup!$A$8:$H$58,5),VLOOKUP(N248,setup!$A$8:$H$58,6),VLOOKUP(N248,setup!$A$8:$H$58,7), VLOOKUP(0,setup!$A$8:$H$58,2),VLOOKUP(0,setup!$A$8:$H$58,5),VLOOKUP(N248,setup!$A$8:$H$58,8))</f>
        <v>*</v>
      </c>
    </row>
    <row r="249" spans="1:15" x14ac:dyDescent="0.25">
      <c r="A249" s="4" t="s">
        <v>706</v>
      </c>
      <c r="O249" s="7" t="str">
        <f ca="1">getCodigoBackend(N249,A249,VLOOKUP(N249,setup!$A$8:$H$58,2),VLOOKUP(N249,setup!$A$8:$H$58,3),VLOOKUP(N249,setup!$A$8:$H$58,4),VLOOKUP(N249,setup!$A$8:$H$58,5),VLOOKUP(N249,setup!$A$8:$H$58,6),VLOOKUP(N249,setup!$A$8:$H$58,7), VLOOKUP(0,setup!$A$8:$H$58,2),VLOOKUP(0,setup!$A$8:$H$58,5),VLOOKUP(N249,setup!$A$8:$H$58,8))</f>
        <v>* @see listPagina()</v>
      </c>
    </row>
    <row r="250" spans="1:15" x14ac:dyDescent="0.25">
      <c r="A250" s="4" t="s">
        <v>20</v>
      </c>
      <c r="O250" s="7" t="str">
        <f ca="1">getCodigoBackend(N250,A250,VLOOKUP(N250,setup!$A$8:$H$58,2),VLOOKUP(N250,setup!$A$8:$H$58,3),VLOOKUP(N250,setup!$A$8:$H$58,4),VLOOKUP(N250,setup!$A$8:$H$58,5),VLOOKUP(N250,setup!$A$8:$H$58,6),VLOOKUP(N250,setup!$A$8:$H$58,7), VLOOKUP(0,setup!$A$8:$H$58,2),VLOOKUP(0,setup!$A$8:$H$58,5),VLOOKUP(N250,setup!$A$8:$H$58,8))</f>
        <v>*</v>
      </c>
    </row>
    <row r="251" spans="1:15" x14ac:dyDescent="0.25">
      <c r="A251" s="4" t="s">
        <v>20</v>
      </c>
      <c r="O251" s="7" t="str">
        <f ca="1">getCodigoBackend(N251,A251,VLOOKUP(N251,setup!$A$8:$H$58,2),VLOOKUP(N251,setup!$A$8:$H$58,3),VLOOKUP(N251,setup!$A$8:$H$58,4),VLOOKUP(N251,setup!$A$8:$H$58,5),VLOOKUP(N251,setup!$A$8:$H$58,6),VLOOKUP(N251,setup!$A$8:$H$58,7), VLOOKUP(0,setup!$A$8:$H$58,2),VLOOKUP(0,setup!$A$8:$H$58,5),VLOOKUP(N251,setup!$A$8:$H$58,8))</f>
        <v>*</v>
      </c>
    </row>
    <row r="252" spans="1:15" x14ac:dyDescent="0.25">
      <c r="A252" s="4" t="s">
        <v>350</v>
      </c>
      <c r="O252" s="7" t="str">
        <f ca="1">getCodigoBackend(N252,A252,VLOOKUP(N252,setup!$A$8:$H$58,2),VLOOKUP(N252,setup!$A$8:$H$58,3),VLOOKUP(N252,setup!$A$8:$H$58,4),VLOOKUP(N252,setup!$A$8:$H$58,5),VLOOKUP(N252,setup!$A$8:$H$58,6),VLOOKUP(N252,setup!$A$8:$H$58,7), VLOOKUP(0,setup!$A$8:$H$58,2),VLOOKUP(0,setup!$A$8:$H$58,5),VLOOKUP(N252,setup!$A$8:$H$58,8))</f>
        <v>* @param $status</v>
      </c>
    </row>
    <row r="253" spans="1:15" x14ac:dyDescent="0.25">
      <c r="A253" s="4" t="s">
        <v>342</v>
      </c>
      <c r="O253" s="7" t="str">
        <f ca="1">getCodigoBackend(N253,A253,VLOOKUP(N253,setup!$A$8:$H$58,2),VLOOKUP(N253,setup!$A$8:$H$58,3),VLOOKUP(N253,setup!$A$8:$H$58,4),VLOOKUP(N253,setup!$A$8:$H$58,5),VLOOKUP(N253,setup!$A$8:$H$58,6),VLOOKUP(N253,setup!$A$8:$H$58,7), VLOOKUP(0,setup!$A$8:$H$58,2),VLOOKUP(0,setup!$A$8:$H$58,5),VLOOKUP(N253,setup!$A$8:$H$58,8))</f>
        <v>* @param $pag</v>
      </c>
    </row>
    <row r="254" spans="1:15" x14ac:dyDescent="0.25">
      <c r="A254" s="4" t="s">
        <v>343</v>
      </c>
      <c r="O254" s="7" t="str">
        <f ca="1">getCodigoBackend(N254,A254,VLOOKUP(N254,setup!$A$8:$H$58,2),VLOOKUP(N254,setup!$A$8:$H$58,3),VLOOKUP(N254,setup!$A$8:$H$58,4),VLOOKUP(N254,setup!$A$8:$H$58,5),VLOOKUP(N254,setup!$A$8:$H$58,6),VLOOKUP(N254,setup!$A$8:$H$58,7), VLOOKUP(0,setup!$A$8:$H$58,2),VLOOKUP(0,setup!$A$8:$H$58,5),VLOOKUP(N254,setup!$A$8:$H$58,8))</f>
        <v>* @param $qtde</v>
      </c>
    </row>
    <row r="255" spans="1:15" x14ac:dyDescent="0.25">
      <c r="A255" s="4" t="s">
        <v>351</v>
      </c>
      <c r="O255" s="7" t="str">
        <f ca="1">getCodigoBackend(N255,A255,VLOOKUP(N255,setup!$A$8:$H$58,2),VLOOKUP(N255,setup!$A$8:$H$58,3),VLOOKUP(N255,setup!$A$8:$H$58,4),VLOOKUP(N255,setup!$A$8:$H$58,5),VLOOKUP(N255,setup!$A$8:$H$58,6),VLOOKUP(N255,setup!$A$8:$H$58,7), VLOOKUP(0,setup!$A$8:$H$58,2),VLOOKUP(0,setup!$A$8:$H$58,5),VLOOKUP(N255,setup!$A$8:$H$58,8))</f>
        <v>* @param $coluna</v>
      </c>
    </row>
    <row r="256" spans="1:15" x14ac:dyDescent="0.25">
      <c r="A256" s="4" t="s">
        <v>352</v>
      </c>
      <c r="O256" s="7" t="str">
        <f ca="1">getCodigoBackend(N256,A256,VLOOKUP(N256,setup!$A$8:$H$58,2),VLOOKUP(N256,setup!$A$8:$H$58,3),VLOOKUP(N256,setup!$A$8:$H$58,4),VLOOKUP(N256,setup!$A$8:$H$58,5),VLOOKUP(N256,setup!$A$8:$H$58,6),VLOOKUP(N256,setup!$A$8:$H$58,7), VLOOKUP(0,setup!$A$8:$H$58,2),VLOOKUP(0,setup!$A$8:$H$58,5),VLOOKUP(N256,setup!$A$8:$H$58,8))</f>
        <v>* @param $ordem</v>
      </c>
    </row>
    <row r="257" spans="1:15" x14ac:dyDescent="0.25">
      <c r="A257" s="4" t="s">
        <v>20</v>
      </c>
      <c r="O257" s="7" t="str">
        <f ca="1">getCodigoBackend(N257,A257,VLOOKUP(N257,setup!$A$8:$H$58,2),VLOOKUP(N257,setup!$A$8:$H$58,3),VLOOKUP(N257,setup!$A$8:$H$58,4),VLOOKUP(N257,setup!$A$8:$H$58,5),VLOOKUP(N257,setup!$A$8:$H$58,6),VLOOKUP(N257,setup!$A$8:$H$58,7), VLOOKUP(0,setup!$A$8:$H$58,2),VLOOKUP(0,setup!$A$8:$H$58,5),VLOOKUP(N257,setup!$A$8:$H$58,8))</f>
        <v>*</v>
      </c>
    </row>
    <row r="258" spans="1:15" x14ac:dyDescent="0.25">
      <c r="A258" s="4" t="s">
        <v>701</v>
      </c>
      <c r="O258" s="7" t="str">
        <f ca="1">getCodigoBackend(N258,A258,VLOOKUP(N258,setup!$A$8:$H$58,2),VLOOKUP(N258,setup!$A$8:$H$58,3),VLOOKUP(N258,setup!$A$8:$H$58,4),VLOOKUP(N258,setup!$A$8:$H$58,5),VLOOKUP(N258,setup!$A$8:$H$58,6),VLOOKUP(N258,setup!$A$8:$H$58,7), VLOOKUP(0,setup!$A$8:$H$58,2),VLOOKUP(0,setup!$A$8:$H$58,5),VLOOKUP(N258,setup!$A$8:$H$58,8))</f>
        <v>* @return PaginacaoDTO</v>
      </c>
    </row>
    <row r="259" spans="1:15" x14ac:dyDescent="0.25">
      <c r="A259" s="4" t="s">
        <v>363</v>
      </c>
      <c r="O259" s="7" t="str">
        <f ca="1">getCodigoBackend(N259,A259,VLOOKUP(N259,setup!$A$8:$H$58,2),VLOOKUP(N259,setup!$A$8:$H$58,3),VLOOKUP(N259,setup!$A$8:$H$58,4),VLOOKUP(N259,setup!$A$8:$H$58,5),VLOOKUP(N259,setup!$A$8:$H$58,6),VLOOKUP(N259,setup!$A$8:$H$58,7), VLOOKUP(0,setup!$A$8:$H$58,2),VLOOKUP(0,setup!$A$8:$H$58,5),VLOOKUP(N259,setup!$A$8:$H$58,8))</f>
        <v xml:space="preserve">*/ </v>
      </c>
    </row>
    <row r="260" spans="1:15" x14ac:dyDescent="0.25">
      <c r="A260" s="6"/>
      <c r="O260" s="7" t="str">
        <f ca="1">getCodigoBackend(N260,A260,VLOOKUP(N260,setup!$A$8:$H$58,2),VLOOKUP(N260,setup!$A$8:$H$58,3),VLOOKUP(N260,setup!$A$8:$H$58,4),VLOOKUP(N260,setup!$A$8:$H$58,5),VLOOKUP(N260,setup!$A$8:$H$58,6),VLOOKUP(N260,setup!$A$8:$H$58,7), VLOOKUP(0,setup!$A$8:$H$58,2),VLOOKUP(0,setup!$A$8:$H$58,5),VLOOKUP(N260,setup!$A$8:$H$58,8))</f>
        <v/>
      </c>
    </row>
    <row r="261" spans="1:15" x14ac:dyDescent="0.25">
      <c r="A261" s="2" t="s">
        <v>313</v>
      </c>
      <c r="O261" s="7" t="str">
        <f ca="1">getCodigoBackend(N261,A261,VLOOKUP(N261,setup!$A$8:$H$58,2),VLOOKUP(N261,setup!$A$8:$H$58,3),VLOOKUP(N261,setup!$A$8:$H$58,4),VLOOKUP(N261,setup!$A$8:$H$58,5),VLOOKUP(N261,setup!$A$8:$H$58,6),VLOOKUP(N261,setup!$A$8:$H$58,7), VLOOKUP(0,setup!$A$8:$H$58,2),VLOOKUP(0,setup!$A$8:$H$58,5),VLOOKUP(N261,setup!$A$8:$H$58,8))</f>
        <v xml:space="preserve">    public function countCampanhaCashbackResgatePixPorStatus($status)</v>
      </c>
    </row>
    <row r="262" spans="1:15" x14ac:dyDescent="0.25">
      <c r="A262" s="6" t="s">
        <v>90</v>
      </c>
      <c r="O262" s="7" t="str">
        <f ca="1">getCodigoBackend(N262,A262,VLOOKUP(N262,setup!$A$8:$H$58,2),VLOOKUP(N262,setup!$A$8:$H$58,3),VLOOKUP(N262,setup!$A$8:$H$58,4),VLOOKUP(N262,setup!$A$8:$H$58,5),VLOOKUP(N262,setup!$A$8:$H$58,6),VLOOKUP(N262,setup!$A$8:$H$58,7), VLOOKUP(0,setup!$A$8:$H$58,2),VLOOKUP(0,setup!$A$8:$H$58,5),VLOOKUP(N262,setup!$A$8:$H$58,8))</f>
        <v>    {   </v>
      </c>
    </row>
    <row r="263" spans="1:15" x14ac:dyDescent="0.25">
      <c r="A263" s="6" t="s">
        <v>181</v>
      </c>
      <c r="O263" s="7" t="str">
        <f ca="1">getCodigoBackend(N263,A263,VLOOKUP(N263,setup!$A$8:$H$58,2),VLOOKUP(N263,setup!$A$8:$H$58,3),VLOOKUP(N263,setup!$A$8:$H$58,4),VLOOKUP(N263,setup!$A$8:$H$58,5),VLOOKUP(N263,setup!$A$8:$H$58,6),VLOOKUP(N263,setup!$A$8:$H$58,7), VLOOKUP(0,setup!$A$8:$H$58,2),VLOOKUP(0,setup!$A$8:$H$58,5),VLOOKUP(N263,setup!$A$8:$H$58,8))</f>
        <v>        $retorno = 0;</v>
      </c>
    </row>
    <row r="264" spans="1:15" x14ac:dyDescent="0.25">
      <c r="A264" s="6" t="s">
        <v>125</v>
      </c>
      <c r="O264" s="7" t="str">
        <f ca="1">getCodigoBackend(N264,A264,VLOOKUP(N264,setup!$A$8:$H$58,2),VLOOKUP(N264,setup!$A$8:$H$58,3),VLOOKUP(N264,setup!$A$8:$H$58,4),VLOOKUP(N264,setup!$A$8:$H$58,5),VLOOKUP(N264,setup!$A$8:$H$58,6),VLOOKUP(N264,setup!$A$8:$H$58,7), VLOOKUP(0,setup!$A$8:$H$58,2),VLOOKUP(0,setup!$A$8:$H$58,5),VLOOKUP(N264,setup!$A$8:$H$58,8))</f>
        <v>        // prepara sessão, query, troca de valores, acoplagem do resultado e o fetch</v>
      </c>
    </row>
    <row r="265" spans="1:15" x14ac:dyDescent="0.25">
      <c r="A265" s="6" t="s">
        <v>126</v>
      </c>
      <c r="O265" s="7" t="str">
        <f ca="1">getCodigoBackend(N265,A265,VLOOKUP(N265,setup!$A$8:$H$58,2),VLOOKUP(N265,setup!$A$8:$H$58,3),VLOOKUP(N265,setup!$A$8:$H$58,4),VLOOKUP(N265,setup!$A$8:$H$58,5),VLOOKUP(N265,setup!$A$8:$H$58,6),VLOOKUP(N265,setup!$A$8:$H$58,7), VLOOKUP(0,setup!$A$8:$H$58,2),VLOOKUP(0,setup!$A$8:$H$58,5),VLOOKUP(N265,setup!$A$8:$H$58,8))</f>
        <v>        $conexao = $this-&gt;daofactory-&gt;getSession();</v>
      </c>
    </row>
    <row r="266" spans="1:15" x14ac:dyDescent="0.25">
      <c r="A266" s="6" t="s">
        <v>314</v>
      </c>
      <c r="O266" s="7" t="str">
        <f ca="1">getCodigoBackend(N266,A266,VLOOKUP(N266,setup!$A$8:$H$58,2),VLOOKUP(N266,setup!$A$8:$H$58,3),VLOOKUP(N266,setup!$A$8:$H$58,4),VLOOKUP(N266,setup!$A$8:$H$58,5),VLOOKUP(N266,setup!$A$8:$H$58,6),VLOOKUP(N266,setup!$A$8:$H$58,7), VLOOKUP(0,setup!$A$8:$H$58,2),VLOOKUP(0,setup!$A$8:$H$58,5),VLOOKUP(N266,setup!$A$8:$H$58,8))</f>
        <v xml:space="preserve">        $res = $conexao-&gt;query(DmlSqlCampanhaCashbackResgatePix::SQL_COUNT . ' WHERE ' </v>
      </c>
    </row>
    <row r="267" spans="1:15" x14ac:dyDescent="0.25">
      <c r="A267" s="6" t="str">
        <f>CONCATENATE("        . DmlSql${classebase}::${campo} . ''' = '$status'''")</f>
        <v>        . DmlSql${classebase}::${campo} . ''' = '$status'''</v>
      </c>
      <c r="N267" s="7">
        <v>48</v>
      </c>
      <c r="O267" s="7" t="str">
        <f ca="1">getCodigoBackend(N267,A267,VLOOKUP(N267,setup!$A$8:$H$58,2),VLOOKUP(N267,setup!$A$8:$H$58,3),VLOOKUP(N267,setup!$A$8:$H$58,4),VLOOKUP(N267,setup!$A$8:$H$58,5),VLOOKUP(N267,setup!$A$8:$H$58,6),VLOOKUP(N267,setup!$A$8:$H$58,7), VLOOKUP(0,setup!$A$8:$H$58,2),VLOOKUP(0,setup!$A$8:$H$58,5),VLOOKUP(N267,setup!$A$8:$H$58,8))</f>
        <v>        . DmlSqlCampanhaCashbackResgatePix::CCRP_IN_STATUS . ''' = '$status'''</v>
      </c>
    </row>
    <row r="268" spans="1:15" x14ac:dyDescent="0.25">
      <c r="A268" s="6" t="s">
        <v>182</v>
      </c>
      <c r="O268" s="7" t="str">
        <f ca="1">getCodigoBackend(N268,A268,VLOOKUP(N268,setup!$A$8:$H$58,2),VLOOKUP(N268,setup!$A$8:$H$58,3),VLOOKUP(N268,setup!$A$8:$H$58,4),VLOOKUP(N268,setup!$A$8:$H$58,5),VLOOKUP(N268,setup!$A$8:$H$58,6),VLOOKUP(N268,setup!$A$8:$H$58,7), VLOOKUP(0,setup!$A$8:$H$58,2),VLOOKUP(0,setup!$A$8:$H$58,5),VLOOKUP(N268,setup!$A$8:$H$58,8))</f>
        <v>        );</v>
      </c>
    </row>
    <row r="269" spans="1:15" x14ac:dyDescent="0.25">
      <c r="A269" s="6" t="s">
        <v>132</v>
      </c>
      <c r="O269" s="7" t="str">
        <f ca="1">getCodigoBackend(N269,A269,VLOOKUP(N269,setup!$A$8:$H$58,2),VLOOKUP(N269,setup!$A$8:$H$58,3),VLOOKUP(N269,setup!$A$8:$H$58,4),VLOOKUP(N269,setup!$A$8:$H$58,5),VLOOKUP(N269,setup!$A$8:$H$58,6),VLOOKUP(N269,setup!$A$8:$H$58,7), VLOOKUP(0,setup!$A$8:$H$58,2),VLOOKUP(0,setup!$A$8:$H$58,5),VLOOKUP(N269,setup!$A$8:$H$58,8))</f>
        <v>        if ($res){</v>
      </c>
    </row>
    <row r="270" spans="1:15" x14ac:dyDescent="0.25">
      <c r="A270" s="6" t="s">
        <v>183</v>
      </c>
      <c r="O270" s="7" t="str">
        <f ca="1">getCodigoBackend(N270,A270,VLOOKUP(N270,setup!$A$8:$H$58,2),VLOOKUP(N270,setup!$A$8:$H$58,3),VLOOKUP(N270,setup!$A$8:$H$58,4),VLOOKUP(N270,setup!$A$8:$H$58,5),VLOOKUP(N270,setup!$A$8:$H$58,6),VLOOKUP(N270,setup!$A$8:$H$58,7), VLOOKUP(0,setup!$A$8:$H$58,2),VLOOKUP(0,setup!$A$8:$H$58,5),VLOOKUP(N270,setup!$A$8:$H$58,8))</f>
        <v>            $tmp = $res-&gt;fetch_assoc();</v>
      </c>
    </row>
    <row r="271" spans="1:15" x14ac:dyDescent="0.25">
      <c r="A271" s="6" t="s">
        <v>184</v>
      </c>
      <c r="O271" s="7" t="str">
        <f ca="1">getCodigoBackend(N271,A271,VLOOKUP(N271,setup!$A$8:$H$58,2),VLOOKUP(N271,setup!$A$8:$H$58,3),VLOOKUP(N271,setup!$A$8:$H$58,4),VLOOKUP(N271,setup!$A$8:$H$58,5),VLOOKUP(N271,setup!$A$8:$H$58,6),VLOOKUP(N271,setup!$A$8:$H$58,7), VLOOKUP(0,setup!$A$8:$H$58,2),VLOOKUP(0,setup!$A$8:$H$58,5),VLOOKUP(N271,setup!$A$8:$H$58,8))</f>
        <v>            $retorno = $tmp['contador'];</v>
      </c>
    </row>
    <row r="272" spans="1:15" x14ac:dyDescent="0.25">
      <c r="A272" s="6" t="s">
        <v>60</v>
      </c>
      <c r="O272" s="7" t="str">
        <f ca="1">getCodigoBackend(N272,A272,VLOOKUP(N272,setup!$A$8:$H$58,2),VLOOKUP(N272,setup!$A$8:$H$58,3),VLOOKUP(N272,setup!$A$8:$H$58,4),VLOOKUP(N272,setup!$A$8:$H$58,5),VLOOKUP(N272,setup!$A$8:$H$58,6),VLOOKUP(N272,setup!$A$8:$H$58,7), VLOOKUP(0,setup!$A$8:$H$58,2),VLOOKUP(0,setup!$A$8:$H$58,5),VLOOKUP(N272,setup!$A$8:$H$58,8))</f>
        <v>        }</v>
      </c>
    </row>
    <row r="273" spans="1:15" x14ac:dyDescent="0.25">
      <c r="A273" s="6" t="s">
        <v>61</v>
      </c>
      <c r="O273" s="7" t="str">
        <f ca="1">getCodigoBackend(N273,A273,VLOOKUP(N273,setup!$A$8:$H$58,2),VLOOKUP(N273,setup!$A$8:$H$58,3),VLOOKUP(N273,setup!$A$8:$H$58,4),VLOOKUP(N273,setup!$A$8:$H$58,5),VLOOKUP(N273,setup!$A$8:$H$58,6),VLOOKUP(N273,setup!$A$8:$H$58,7), VLOOKUP(0,setup!$A$8:$H$58,2),VLOOKUP(0,setup!$A$8:$H$58,5),VLOOKUP(N273,setup!$A$8:$H$58,8))</f>
        <v>        return $retorno;</v>
      </c>
    </row>
    <row r="274" spans="1:15" x14ac:dyDescent="0.25">
      <c r="A274" s="3"/>
      <c r="O274" s="7" t="str">
        <f ca="1">getCodigoBackend(N274,A274,VLOOKUP(N274,setup!$A$8:$H$58,2),VLOOKUP(N274,setup!$A$8:$H$58,3),VLOOKUP(N274,setup!$A$8:$H$58,4),VLOOKUP(N274,setup!$A$8:$H$58,5),VLOOKUP(N274,setup!$A$8:$H$58,6),VLOOKUP(N274,setup!$A$8:$H$58,7), VLOOKUP(0,setup!$A$8:$H$58,2),VLOOKUP(0,setup!$A$8:$H$58,5),VLOOKUP(N274,setup!$A$8:$H$58,8))</f>
        <v/>
      </c>
    </row>
    <row r="275" spans="1:15" x14ac:dyDescent="0.25">
      <c r="A275" s="6" t="s">
        <v>62</v>
      </c>
      <c r="O275" s="7" t="str">
        <f ca="1">getCodigoBackend(N275,A275,VLOOKUP(N275,setup!$A$8:$H$58,2),VLOOKUP(N275,setup!$A$8:$H$58,3),VLOOKUP(N275,setup!$A$8:$H$58,4),VLOOKUP(N275,setup!$A$8:$H$58,5),VLOOKUP(N275,setup!$A$8:$H$58,6),VLOOKUP(N275,setup!$A$8:$H$58,7), VLOOKUP(0,setup!$A$8:$H$58,2),VLOOKUP(0,setup!$A$8:$H$58,5),VLOOKUP(N275,setup!$A$8:$H$58,8))</f>
        <v>    }</v>
      </c>
    </row>
    <row r="276" spans="1:15" x14ac:dyDescent="0.25">
      <c r="A276" s="6"/>
      <c r="O276" s="7" t="str">
        <f ca="1">getCodigoBackend(N276,A276,VLOOKUP(N276,setup!$A$8:$H$58,2),VLOOKUP(N276,setup!$A$8:$H$58,3),VLOOKUP(N276,setup!$A$8:$H$58,4),VLOOKUP(N276,setup!$A$8:$H$58,5),VLOOKUP(N276,setup!$A$8:$H$58,6),VLOOKUP(N276,setup!$A$8:$H$58,7), VLOOKUP(0,setup!$A$8:$H$58,2),VLOOKUP(0,setup!$A$8:$H$58,5),VLOOKUP(N276,setup!$A$8:$H$58,8))</f>
        <v/>
      </c>
    </row>
    <row r="277" spans="1:15" x14ac:dyDescent="0.25">
      <c r="A277" s="4" t="s">
        <v>19</v>
      </c>
      <c r="O277" s="7" t="str">
        <f ca="1">getCodigoBackend(N277,A277,VLOOKUP(N277,setup!$A$8:$H$58,2),VLOOKUP(N277,setup!$A$8:$H$58,3),VLOOKUP(N277,setup!$A$8:$H$58,4),VLOOKUP(N277,setup!$A$8:$H$58,5),VLOOKUP(N277,setup!$A$8:$H$58,6),VLOOKUP(N277,setup!$A$8:$H$58,7), VLOOKUP(0,setup!$A$8:$H$58,2),VLOOKUP(0,setup!$A$8:$H$58,5),VLOOKUP(N277,setup!$A$8:$H$58,8))</f>
        <v>/**</v>
      </c>
    </row>
    <row r="278" spans="1:15" x14ac:dyDescent="0.25">
      <c r="A278" s="4" t="s">
        <v>708</v>
      </c>
      <c r="O278" s="7" t="str">
        <f ca="1">getCodigoBackend(N278,A278,VLOOKUP(N278,setup!$A$8:$H$58,2),VLOOKUP(N278,setup!$A$8:$H$58,3),VLOOKUP(N278,setup!$A$8:$H$58,4),VLOOKUP(N278,setup!$A$8:$H$58,5),VLOOKUP(N278,setup!$A$8:$H$58,6),VLOOKUP(N278,setup!$A$8:$H$58,7), VLOOKUP(0,setup!$A$8:$H$58,2),VLOOKUP(0,setup!$A$8:$H$58,5),VLOOKUP(N278,setup!$A$8:$H$58,8))</f>
        <v>* listCampanhaCashbackResgatePixPorStatus() - Listar um conjunto de registro previamente paginado</v>
      </c>
    </row>
    <row r="279" spans="1:15" x14ac:dyDescent="0.25">
      <c r="A279" s="4" t="s">
        <v>709</v>
      </c>
      <c r="O279" s="7" t="str">
        <f ca="1">getCodigoBackend(N279,A279,VLOOKUP(N279,setup!$A$8:$H$58,2),VLOOKUP(N279,setup!$A$8:$H$58,3),VLOOKUP(N279,setup!$A$8:$H$58,4),VLOOKUP(N279,setup!$A$8:$H$58,5),VLOOKUP(N279,setup!$A$8:$H$58,6),VLOOKUP(N279,setup!$A$8:$H$58,7), VLOOKUP(0,setup!$A$8:$H$58,2),VLOOKUP(0,setup!$A$8:$H$58,5),VLOOKUP(N279,setup!$A$8:$H$58,8))</f>
        <v>* sob o contexto da classe CampanhaCashbackResgatePix com base no status específico.</v>
      </c>
    </row>
    <row r="280" spans="1:15" x14ac:dyDescent="0.25">
      <c r="A280" s="4" t="s">
        <v>20</v>
      </c>
      <c r="O280" s="7" t="str">
        <f ca="1">getCodigoBackend(N280,A280,VLOOKUP(N280,setup!$A$8:$H$58,2),VLOOKUP(N280,setup!$A$8:$H$58,3),VLOOKUP(N280,setup!$A$8:$H$58,4),VLOOKUP(N280,setup!$A$8:$H$58,5),VLOOKUP(N280,setup!$A$8:$H$58,6),VLOOKUP(N280,setup!$A$8:$H$58,7), VLOOKUP(0,setup!$A$8:$H$58,2),VLOOKUP(0,setup!$A$8:$H$58,5),VLOOKUP(N280,setup!$A$8:$H$58,8))</f>
        <v>*</v>
      </c>
    </row>
    <row r="281" spans="1:15" x14ac:dyDescent="0.25">
      <c r="A281" s="4" t="s">
        <v>710</v>
      </c>
      <c r="O281" s="7" t="str">
        <f ca="1">getCodigoBackend(N281,A281,VLOOKUP(N281,setup!$A$8:$H$58,2),VLOOKUP(N281,setup!$A$8:$H$58,3),VLOOKUP(N281,setup!$A$8:$H$58,4),VLOOKUP(N281,setup!$A$8:$H$58,5),VLOOKUP(N281,setup!$A$8:$H$58,6),VLOOKUP(N281,setup!$A$8:$H$58,7), VLOOKUP(0,setup!$A$8:$H$58,2),VLOOKUP(0,setup!$A$8:$H$58,5),VLOOKUP(N281,setup!$A$8:$H$58,8))</f>
        <v xml:space="preserve">* Atenção em @see $sql na tabela CAMPANHA_CASHBACK_RESGATE_PIX </v>
      </c>
    </row>
    <row r="282" spans="1:15" x14ac:dyDescent="0.25">
      <c r="A282" s="4" t="s">
        <v>20</v>
      </c>
      <c r="O282" s="7" t="str">
        <f ca="1">getCodigoBackend(N282,A282,VLOOKUP(N282,setup!$A$8:$H$58,2),VLOOKUP(N282,setup!$A$8:$H$58,3),VLOOKUP(N282,setup!$A$8:$H$58,4),VLOOKUP(N282,setup!$A$8:$H$58,5),VLOOKUP(N282,setup!$A$8:$H$58,6),VLOOKUP(N282,setup!$A$8:$H$58,7), VLOOKUP(0,setup!$A$8:$H$58,2),VLOOKUP(0,setup!$A$8:$H$58,5),VLOOKUP(N282,setup!$A$8:$H$58,8))</f>
        <v>*</v>
      </c>
    </row>
    <row r="283" spans="1:15" x14ac:dyDescent="0.25">
      <c r="A283" s="4" t="s">
        <v>706</v>
      </c>
      <c r="O283" s="7" t="str">
        <f ca="1">getCodigoBackend(N283,A283,VLOOKUP(N283,setup!$A$8:$H$58,2),VLOOKUP(N283,setup!$A$8:$H$58,3),VLOOKUP(N283,setup!$A$8:$H$58,4),VLOOKUP(N283,setup!$A$8:$H$58,5),VLOOKUP(N283,setup!$A$8:$H$58,6),VLOOKUP(N283,setup!$A$8:$H$58,7), VLOOKUP(0,setup!$A$8:$H$58,2),VLOOKUP(0,setup!$A$8:$H$58,5),VLOOKUP(N283,setup!$A$8:$H$58,8))</f>
        <v>* @see listPagina()</v>
      </c>
    </row>
    <row r="284" spans="1:15" x14ac:dyDescent="0.25">
      <c r="A284" s="4" t="s">
        <v>20</v>
      </c>
      <c r="O284" s="7" t="str">
        <f ca="1">getCodigoBackend(N284,A284,VLOOKUP(N284,setup!$A$8:$H$58,2),VLOOKUP(N284,setup!$A$8:$H$58,3),VLOOKUP(N284,setup!$A$8:$H$58,4),VLOOKUP(N284,setup!$A$8:$H$58,5),VLOOKUP(N284,setup!$A$8:$H$58,6),VLOOKUP(N284,setup!$A$8:$H$58,7), VLOOKUP(0,setup!$A$8:$H$58,2),VLOOKUP(0,setup!$A$8:$H$58,5),VLOOKUP(N284,setup!$A$8:$H$58,8))</f>
        <v>*</v>
      </c>
    </row>
    <row r="285" spans="1:15" x14ac:dyDescent="0.25">
      <c r="A285" s="4" t="s">
        <v>20</v>
      </c>
      <c r="O285" s="7" t="str">
        <f ca="1">getCodigoBackend(N285,A285,VLOOKUP(N285,setup!$A$8:$H$58,2),VLOOKUP(N285,setup!$A$8:$H$58,3),VLOOKUP(N285,setup!$A$8:$H$58,4),VLOOKUP(N285,setup!$A$8:$H$58,5),VLOOKUP(N285,setup!$A$8:$H$58,6),VLOOKUP(N285,setup!$A$8:$H$58,7), VLOOKUP(0,setup!$A$8:$H$58,2),VLOOKUP(0,setup!$A$8:$H$58,5),VLOOKUP(N285,setup!$A$8:$H$58,8))</f>
        <v>*</v>
      </c>
    </row>
    <row r="286" spans="1:15" x14ac:dyDescent="0.25">
      <c r="A286" s="4" t="s">
        <v>350</v>
      </c>
      <c r="O286" s="7" t="str">
        <f ca="1">getCodigoBackend(N286,A286,VLOOKUP(N286,setup!$A$8:$H$58,2),VLOOKUP(N286,setup!$A$8:$H$58,3),VLOOKUP(N286,setup!$A$8:$H$58,4),VLOOKUP(N286,setup!$A$8:$H$58,5),VLOOKUP(N286,setup!$A$8:$H$58,6),VLOOKUP(N286,setup!$A$8:$H$58,7), VLOOKUP(0,setup!$A$8:$H$58,2),VLOOKUP(0,setup!$A$8:$H$58,5),VLOOKUP(N286,setup!$A$8:$H$58,8))</f>
        <v>* @param $status</v>
      </c>
    </row>
    <row r="287" spans="1:15" x14ac:dyDescent="0.25">
      <c r="A287" s="4" t="s">
        <v>342</v>
      </c>
      <c r="O287" s="7" t="str">
        <f ca="1">getCodigoBackend(N287,A287,VLOOKUP(N287,setup!$A$8:$H$58,2),VLOOKUP(N287,setup!$A$8:$H$58,3),VLOOKUP(N287,setup!$A$8:$H$58,4),VLOOKUP(N287,setup!$A$8:$H$58,5),VLOOKUP(N287,setup!$A$8:$H$58,6),VLOOKUP(N287,setup!$A$8:$H$58,7), VLOOKUP(0,setup!$A$8:$H$58,2),VLOOKUP(0,setup!$A$8:$H$58,5),VLOOKUP(N287,setup!$A$8:$H$58,8))</f>
        <v>* @param $pag</v>
      </c>
    </row>
    <row r="288" spans="1:15" x14ac:dyDescent="0.25">
      <c r="A288" s="4" t="s">
        <v>343</v>
      </c>
      <c r="O288" s="7" t="str">
        <f ca="1">getCodigoBackend(N288,A288,VLOOKUP(N288,setup!$A$8:$H$58,2),VLOOKUP(N288,setup!$A$8:$H$58,3),VLOOKUP(N288,setup!$A$8:$H$58,4),VLOOKUP(N288,setup!$A$8:$H$58,5),VLOOKUP(N288,setup!$A$8:$H$58,6),VLOOKUP(N288,setup!$A$8:$H$58,7), VLOOKUP(0,setup!$A$8:$H$58,2),VLOOKUP(0,setup!$A$8:$H$58,5),VLOOKUP(N288,setup!$A$8:$H$58,8))</f>
        <v>* @param $qtde</v>
      </c>
    </row>
    <row r="289" spans="1:15" x14ac:dyDescent="0.25">
      <c r="A289" s="4" t="s">
        <v>351</v>
      </c>
      <c r="O289" s="7" t="str">
        <f ca="1">getCodigoBackend(N289,A289,VLOOKUP(N289,setup!$A$8:$H$58,2),VLOOKUP(N289,setup!$A$8:$H$58,3),VLOOKUP(N289,setup!$A$8:$H$58,4),VLOOKUP(N289,setup!$A$8:$H$58,5),VLOOKUP(N289,setup!$A$8:$H$58,6),VLOOKUP(N289,setup!$A$8:$H$58,7), VLOOKUP(0,setup!$A$8:$H$58,2),VLOOKUP(0,setup!$A$8:$H$58,5),VLOOKUP(N289,setup!$A$8:$H$58,8))</f>
        <v>* @param $coluna</v>
      </c>
    </row>
    <row r="290" spans="1:15" x14ac:dyDescent="0.25">
      <c r="A290" s="4" t="s">
        <v>352</v>
      </c>
      <c r="O290" s="7" t="str">
        <f ca="1">getCodigoBackend(N290,A290,VLOOKUP(N290,setup!$A$8:$H$58,2),VLOOKUP(N290,setup!$A$8:$H$58,3),VLOOKUP(N290,setup!$A$8:$H$58,4),VLOOKUP(N290,setup!$A$8:$H$58,5),VLOOKUP(N290,setup!$A$8:$H$58,6),VLOOKUP(N290,setup!$A$8:$H$58,7), VLOOKUP(0,setup!$A$8:$H$58,2),VLOOKUP(0,setup!$A$8:$H$58,5),VLOOKUP(N290,setup!$A$8:$H$58,8))</f>
        <v>* @param $ordem</v>
      </c>
    </row>
    <row r="291" spans="1:15" x14ac:dyDescent="0.25">
      <c r="A291" s="4" t="s">
        <v>20</v>
      </c>
      <c r="O291" s="7" t="str">
        <f ca="1">getCodigoBackend(N291,A291,VLOOKUP(N291,setup!$A$8:$H$58,2),VLOOKUP(N291,setup!$A$8:$H$58,3),VLOOKUP(N291,setup!$A$8:$H$58,4),VLOOKUP(N291,setup!$A$8:$H$58,5),VLOOKUP(N291,setup!$A$8:$H$58,6),VLOOKUP(N291,setup!$A$8:$H$58,7), VLOOKUP(0,setup!$A$8:$H$58,2),VLOOKUP(0,setup!$A$8:$H$58,5),VLOOKUP(N291,setup!$A$8:$H$58,8))</f>
        <v>*</v>
      </c>
    </row>
    <row r="292" spans="1:15" x14ac:dyDescent="0.25">
      <c r="A292" s="4" t="s">
        <v>701</v>
      </c>
      <c r="O292" s="7" t="str">
        <f ca="1">getCodigoBackend(N292,A292,VLOOKUP(N292,setup!$A$8:$H$58,2),VLOOKUP(N292,setup!$A$8:$H$58,3),VLOOKUP(N292,setup!$A$8:$H$58,4),VLOOKUP(N292,setup!$A$8:$H$58,5),VLOOKUP(N292,setup!$A$8:$H$58,6),VLOOKUP(N292,setup!$A$8:$H$58,7), VLOOKUP(0,setup!$A$8:$H$58,2),VLOOKUP(0,setup!$A$8:$H$58,5),VLOOKUP(N292,setup!$A$8:$H$58,8))</f>
        <v>* @return PaginacaoDTO</v>
      </c>
    </row>
    <row r="293" spans="1:15" x14ac:dyDescent="0.25">
      <c r="A293" s="4" t="s">
        <v>363</v>
      </c>
      <c r="O293" s="7" t="str">
        <f ca="1">getCodigoBackend(N293,A293,VLOOKUP(N293,setup!$A$8:$H$58,2),VLOOKUP(N293,setup!$A$8:$H$58,3),VLOOKUP(N293,setup!$A$8:$H$58,4),VLOOKUP(N293,setup!$A$8:$H$58,5),VLOOKUP(N293,setup!$A$8:$H$58,6),VLOOKUP(N293,setup!$A$8:$H$58,7), VLOOKUP(0,setup!$A$8:$H$58,2),VLOOKUP(0,setup!$A$8:$H$58,5),VLOOKUP(N293,setup!$A$8:$H$58,8))</f>
        <v xml:space="preserve">*/ </v>
      </c>
    </row>
    <row r="294" spans="1:15" x14ac:dyDescent="0.25">
      <c r="A294" s="3"/>
      <c r="O294" s="7" t="str">
        <f ca="1">getCodigoBackend(N294,A294,VLOOKUP(N294,setup!$A$8:$H$58,2),VLOOKUP(N294,setup!$A$8:$H$58,3),VLOOKUP(N294,setup!$A$8:$H$58,4),VLOOKUP(N294,setup!$A$8:$H$58,5),VLOOKUP(N294,setup!$A$8:$H$58,6),VLOOKUP(N294,setup!$A$8:$H$58,7), VLOOKUP(0,setup!$A$8:$H$58,2),VLOOKUP(0,setup!$A$8:$H$58,5),VLOOKUP(N294,setup!$A$8:$H$58,8))</f>
        <v/>
      </c>
    </row>
    <row r="295" spans="1:15" x14ac:dyDescent="0.25">
      <c r="A295" s="2" t="s">
        <v>315</v>
      </c>
      <c r="O295" s="7" t="str">
        <f ca="1">getCodigoBackend(N295,A295,VLOOKUP(N295,setup!$A$8:$H$58,2),VLOOKUP(N295,setup!$A$8:$H$58,3),VLOOKUP(N295,setup!$A$8:$H$58,4),VLOOKUP(N295,setup!$A$8:$H$58,5),VLOOKUP(N295,setup!$A$8:$H$58,6),VLOOKUP(N295,setup!$A$8:$H$58,7), VLOOKUP(0,setup!$A$8:$H$58,2),VLOOKUP(0,setup!$A$8:$H$58,5),VLOOKUP(N295,setup!$A$8:$H$58,8))</f>
        <v xml:space="preserve">    public function listCampanhaCashbackResgatePixPorStatus($status, $pag, $qtde, $coluna, $ordem)</v>
      </c>
    </row>
    <row r="296" spans="1:15" x14ac:dyDescent="0.25">
      <c r="A296" s="6" t="s">
        <v>38</v>
      </c>
      <c r="O296" s="7" t="str">
        <f ca="1">getCodigoBackend(N296,A296,VLOOKUP(N296,setup!$A$8:$H$58,2),VLOOKUP(N296,setup!$A$8:$H$58,3),VLOOKUP(N296,setup!$A$8:$H$58,4),VLOOKUP(N296,setup!$A$8:$H$58,5),VLOOKUP(N296,setup!$A$8:$H$58,6),VLOOKUP(N296,setup!$A$8:$H$58,7), VLOOKUP(0,setup!$A$8:$H$58,2),VLOOKUP(0,setup!$A$8:$H$58,5),VLOOKUP(N296,setup!$A$8:$H$58,8))</f>
        <v>    {</v>
      </c>
    </row>
    <row r="297" spans="1:15" x14ac:dyDescent="0.25">
      <c r="A297" s="6" t="s">
        <v>316</v>
      </c>
      <c r="O297" s="7" t="str">
        <f ca="1">getCodigoBackend(N297,A297,VLOOKUP(N297,setup!$A$8:$H$58,2),VLOOKUP(N297,setup!$A$8:$H$58,3),VLOOKUP(N297,setup!$A$8:$H$58,4),VLOOKUP(N297,setup!$A$8:$H$58,5),VLOOKUP(N297,setup!$A$8:$H$58,6),VLOOKUP(N297,setup!$A$8:$H$58,7), VLOOKUP(0,setup!$A$8:$H$58,2),VLOOKUP(0,setup!$A$8:$H$58,5),VLOOKUP(N297,setup!$A$8:$H$58,8))</f>
        <v xml:space="preserve">        $sql = DmlSqlCampanhaCashbackResgatePix::SELECT </v>
      </c>
    </row>
    <row r="298" spans="1:15" x14ac:dyDescent="0.25">
      <c r="A298" s="6" t="s">
        <v>843</v>
      </c>
      <c r="N298" s="7">
        <v>48</v>
      </c>
      <c r="O298" s="7" t="str">
        <f ca="1">getCodigoBackend(N298,A298,VLOOKUP(N298,setup!$A$8:$H$58,2),VLOOKUP(N298,setup!$A$8:$H$58,3),VLOOKUP(N298,setup!$A$8:$H$58,4),VLOOKUP(N298,setup!$A$8:$H$58,5),VLOOKUP(N298,setup!$A$8:$H$58,6),VLOOKUP(N298,setup!$A$8:$H$58,7), VLOOKUP(0,setup!$A$8:$H$58,2),VLOOKUP(0,setup!$A$8:$H$58,5),VLOOKUP(N298,setup!$A$8:$H$58,8))</f>
        <v>        . ' WHERE ' . DmlSqlCampanhaCashbackResgatePix::CCRP_IN_STATUS . " = '$status'"</v>
      </c>
    </row>
    <row r="299" spans="1:15" x14ac:dyDescent="0.25">
      <c r="A299" s="6" t="s">
        <v>196</v>
      </c>
      <c r="N299" s="7"/>
      <c r="O299" s="7" t="str">
        <f ca="1">getCodigoBackend(N299,A299,VLOOKUP(N299,setup!$A$8:$H$58,2),VLOOKUP(N299,setup!$A$8:$H$58,3),VLOOKUP(N299,setup!$A$8:$H$58,4),VLOOKUP(N299,setup!$A$8:$H$58,5),VLOOKUP(N299,setup!$A$8:$H$58,6),VLOOKUP(N299,setup!$A$8:$H$58,7), VLOOKUP(0,setup!$A$8:$H$58,2),VLOOKUP(0,setup!$A$8:$H$58,5),VLOOKUP(N299,setup!$A$8:$H$58,8))</f>
        <v xml:space="preserve">        . ' ORDER BY ' . $coluna . ($ordem == 0 ? " ASC": " DESC");</v>
      </c>
    </row>
    <row r="300" spans="1:15" x14ac:dyDescent="0.25">
      <c r="A300" s="6" t="s">
        <v>185</v>
      </c>
      <c r="O300" s="7" t="str">
        <f ca="1">getCodigoBackend(N300,A300,VLOOKUP(N300,setup!$A$8:$H$58,2),VLOOKUP(N300,setup!$A$8:$H$58,3),VLOOKUP(N300,setup!$A$8:$H$58,4),VLOOKUP(N300,setup!$A$8:$H$58,5),VLOOKUP(N300,setup!$A$8:$H$58,6),VLOOKUP(N300,setup!$A$8:$H$58,7), VLOOKUP(0,setup!$A$8:$H$58,2),VLOOKUP(0,setup!$A$8:$H$58,5),VLOOKUP(N300,setup!$A$8:$H$58,8))</f>
        <v>        return $this-&gt;listPagina($sql, $pag, $qtde);</v>
      </c>
    </row>
    <row r="301" spans="1:15" x14ac:dyDescent="0.25">
      <c r="A301" s="6" t="s">
        <v>62</v>
      </c>
      <c r="O301" s="7" t="str">
        <f ca="1">getCodigoBackend(N301,A301,VLOOKUP(N301,setup!$A$8:$H$58,2),VLOOKUP(N301,setup!$A$8:$H$58,3),VLOOKUP(N301,setup!$A$8:$H$58,4),VLOOKUP(N301,setup!$A$8:$H$58,5),VLOOKUP(N301,setup!$A$8:$H$58,6),VLOOKUP(N301,setup!$A$8:$H$58,7), VLOOKUP(0,setup!$A$8:$H$58,2),VLOOKUP(0,setup!$A$8:$H$58,5),VLOOKUP(N301,setup!$A$8:$H$58,8))</f>
        <v>    }</v>
      </c>
    </row>
    <row r="302" spans="1:15" x14ac:dyDescent="0.25">
      <c r="A302" s="6"/>
      <c r="O302" s="7" t="str">
        <f ca="1">getCodigoBackend(N302,A302,VLOOKUP(N302,setup!$A$8:$H$58,2),VLOOKUP(N302,setup!$A$8:$H$58,3),VLOOKUP(N302,setup!$A$8:$H$58,4),VLOOKUP(N302,setup!$A$8:$H$58,5),VLOOKUP(N302,setup!$A$8:$H$58,6),VLOOKUP(N302,setup!$A$8:$H$58,7), VLOOKUP(0,setup!$A$8:$H$58,2),VLOOKUP(0,setup!$A$8:$H$58,5),VLOOKUP(N302,setup!$A$8:$H$58,8))</f>
        <v/>
      </c>
    </row>
    <row r="303" spans="1:15" x14ac:dyDescent="0.25">
      <c r="A303" s="4" t="s">
        <v>19</v>
      </c>
      <c r="O303" s="7" t="str">
        <f ca="1">getCodigoBackend(N303,A303,VLOOKUP(N303,setup!$A$8:$H$58,2),VLOOKUP(N303,setup!$A$8:$H$58,3),VLOOKUP(N303,setup!$A$8:$H$58,4),VLOOKUP(N303,setup!$A$8:$H$58,5),VLOOKUP(N303,setup!$A$8:$H$58,6),VLOOKUP(N303,setup!$A$8:$H$58,7), VLOOKUP(0,setup!$A$8:$H$58,2),VLOOKUP(0,setup!$A$8:$H$58,5),VLOOKUP(N303,setup!$A$8:$H$58,8))</f>
        <v>/**</v>
      </c>
    </row>
    <row r="304" spans="1:15" x14ac:dyDescent="0.25">
      <c r="A304" s="4" t="s">
        <v>707</v>
      </c>
      <c r="O304" s="7" t="str">
        <f ca="1">getCodigoBackend(N304,A304,VLOOKUP(N304,setup!$A$8:$H$58,2),VLOOKUP(N304,setup!$A$8:$H$58,3),VLOOKUP(N304,setup!$A$8:$H$58,4),VLOOKUP(N304,setup!$A$8:$H$58,5),VLOOKUP(N304,setup!$A$8:$H$58,6),VLOOKUP(N304,setup!$A$8:$H$58,7), VLOOKUP(0,setup!$A$8:$H$58,2),VLOOKUP(0,setup!$A$8:$H$58,5),VLOOKUP(N304,setup!$A$8:$H$58,8))</f>
        <v>* countCampanhaCashbackResgatePixPorUsuaIdStatus() - contar a quantidade de registros</v>
      </c>
    </row>
    <row r="305" spans="1:15" x14ac:dyDescent="0.25">
      <c r="A305" s="4" t="s">
        <v>703</v>
      </c>
      <c r="O305" s="7" t="str">
        <f ca="1">getCodigoBackend(N305,A305,VLOOKUP(N305,setup!$A$8:$H$58,2),VLOOKUP(N305,setup!$A$8:$H$58,3),VLOOKUP(N305,setup!$A$8:$H$58,4),VLOOKUP(N305,setup!$A$8:$H$58,5),VLOOKUP(N305,setup!$A$8:$H$58,6),VLOOKUP(N305,setup!$A$8:$H$58,7), VLOOKUP(0,setup!$A$8:$H$58,2),VLOOKUP(0,setup!$A$8:$H$58,5),VLOOKUP(N305,setup!$A$8:$H$58,8))</f>
        <v>* sob o contexto da classe CampanhaCashbackResgatePix com base no usuário específico. Esse usuário</v>
      </c>
    </row>
    <row r="306" spans="1:15" x14ac:dyDescent="0.25">
      <c r="A306" s="4" t="s">
        <v>704</v>
      </c>
      <c r="O306" s="7" t="str">
        <f ca="1">getCodigoBackend(N306,A306,VLOOKUP(N306,setup!$A$8:$H$58,2),VLOOKUP(N306,setup!$A$8:$H$58,3),VLOOKUP(N306,setup!$A$8:$H$58,4),VLOOKUP(N306,setup!$A$8:$H$58,5),VLOOKUP(N306,setup!$A$8:$H$58,6),VLOOKUP(N306,setup!$A$8:$H$58,7), VLOOKUP(0,setup!$A$8:$H$58,2),VLOOKUP(0,setup!$A$8:$H$58,5),VLOOKUP(N306,setup!$A$8:$H$58,8))</f>
        <v xml:space="preserve">* é o usuário logado na sessão ou no próprio dispositivo móvel e de acordo com a </v>
      </c>
    </row>
    <row r="307" spans="1:15" x14ac:dyDescent="0.25">
      <c r="A307" s="4" t="s">
        <v>705</v>
      </c>
      <c r="O307" s="7" t="str">
        <f ca="1">getCodigoBackend(N307,A307,VLOOKUP(N307,setup!$A$8:$H$58,2),VLOOKUP(N307,setup!$A$8:$H$58,3),VLOOKUP(N307,setup!$A$8:$H$58,4),VLOOKUP(N307,setup!$A$8:$H$58,5),VLOOKUP(N307,setup!$A$8:$H$58,6),VLOOKUP(N307,setup!$A$8:$H$58,7), VLOOKUP(0,setup!$A$8:$H$58,2),VLOOKUP(0,setup!$A$8:$H$58,5),VLOOKUP(N307,setup!$A$8:$H$58,8))</f>
        <v xml:space="preserve">* query em @see $sql na tabela CAMPANHA_CASHBACK_RESGATE_PIX </v>
      </c>
    </row>
    <row r="308" spans="1:15" x14ac:dyDescent="0.25">
      <c r="A308" s="4" t="s">
        <v>20</v>
      </c>
      <c r="O308" s="7" t="str">
        <f ca="1">getCodigoBackend(N308,A308,VLOOKUP(N308,setup!$A$8:$H$58,2),VLOOKUP(N308,setup!$A$8:$H$58,3),VLOOKUP(N308,setup!$A$8:$H$58,4),VLOOKUP(N308,setup!$A$8:$H$58,5),VLOOKUP(N308,setup!$A$8:$H$58,6),VLOOKUP(N308,setup!$A$8:$H$58,7), VLOOKUP(0,setup!$A$8:$H$58,2),VLOOKUP(0,setup!$A$8:$H$58,5),VLOOKUP(N308,setup!$A$8:$H$58,8))</f>
        <v>*</v>
      </c>
    </row>
    <row r="309" spans="1:15" x14ac:dyDescent="0.25">
      <c r="A309" s="4" t="s">
        <v>706</v>
      </c>
      <c r="O309" s="7" t="str">
        <f ca="1">getCodigoBackend(N309,A309,VLOOKUP(N309,setup!$A$8:$H$58,2),VLOOKUP(N309,setup!$A$8:$H$58,3),VLOOKUP(N309,setup!$A$8:$H$58,4),VLOOKUP(N309,setup!$A$8:$H$58,5),VLOOKUP(N309,setup!$A$8:$H$58,6),VLOOKUP(N309,setup!$A$8:$H$58,7), VLOOKUP(0,setup!$A$8:$H$58,2),VLOOKUP(0,setup!$A$8:$H$58,5),VLOOKUP(N309,setup!$A$8:$H$58,8))</f>
        <v>* @see listPagina()</v>
      </c>
    </row>
    <row r="310" spans="1:15" x14ac:dyDescent="0.25">
      <c r="A310" s="4" t="s">
        <v>20</v>
      </c>
      <c r="O310" s="7" t="str">
        <f ca="1">getCodigoBackend(N310,A310,VLOOKUP(N310,setup!$A$8:$H$58,2),VLOOKUP(N310,setup!$A$8:$H$58,3),VLOOKUP(N310,setup!$A$8:$H$58,4),VLOOKUP(N310,setup!$A$8:$H$58,5),VLOOKUP(N310,setup!$A$8:$H$58,6),VLOOKUP(N310,setup!$A$8:$H$58,7), VLOOKUP(0,setup!$A$8:$H$58,2),VLOOKUP(0,setup!$A$8:$H$58,5),VLOOKUP(N310,setup!$A$8:$H$58,8))</f>
        <v>*</v>
      </c>
    </row>
    <row r="311" spans="1:15" x14ac:dyDescent="0.25">
      <c r="A311" s="4" t="s">
        <v>651</v>
      </c>
      <c r="O311" s="7" t="str">
        <f ca="1">getCodigoBackend(N311,A311,VLOOKUP(N311,setup!$A$8:$H$58,2),VLOOKUP(N311,setup!$A$8:$H$58,3),VLOOKUP(N311,setup!$A$8:$H$58,4),VLOOKUP(N311,setup!$A$8:$H$58,5),VLOOKUP(N311,setup!$A$8:$H$58,6),VLOOKUP(N311,setup!$A$8:$H$58,7), VLOOKUP(0,setup!$A$8:$H$58,2),VLOOKUP(0,setup!$A$8:$H$58,5),VLOOKUP(N311,setup!$A$8:$H$58,8))</f>
        <v>* @param $usuaid</v>
      </c>
    </row>
    <row r="312" spans="1:15" x14ac:dyDescent="0.25">
      <c r="A312" s="4" t="s">
        <v>350</v>
      </c>
      <c r="O312" s="7" t="str">
        <f ca="1">getCodigoBackend(N312,A312,VLOOKUP(N312,setup!$A$8:$H$58,2),VLOOKUP(N312,setup!$A$8:$H$58,3),VLOOKUP(N312,setup!$A$8:$H$58,4),VLOOKUP(N312,setup!$A$8:$H$58,5),VLOOKUP(N312,setup!$A$8:$H$58,6),VLOOKUP(N312,setup!$A$8:$H$58,7), VLOOKUP(0,setup!$A$8:$H$58,2),VLOOKUP(0,setup!$A$8:$H$58,5),VLOOKUP(N312,setup!$A$8:$H$58,8))</f>
        <v>* @param $status</v>
      </c>
    </row>
    <row r="313" spans="1:15" x14ac:dyDescent="0.25">
      <c r="A313" s="4" t="s">
        <v>342</v>
      </c>
      <c r="O313" s="7" t="str">
        <f ca="1">getCodigoBackend(N313,A313,VLOOKUP(N313,setup!$A$8:$H$58,2),VLOOKUP(N313,setup!$A$8:$H$58,3),VLOOKUP(N313,setup!$A$8:$H$58,4),VLOOKUP(N313,setup!$A$8:$H$58,5),VLOOKUP(N313,setup!$A$8:$H$58,6),VLOOKUP(N313,setup!$A$8:$H$58,7), VLOOKUP(0,setup!$A$8:$H$58,2),VLOOKUP(0,setup!$A$8:$H$58,5),VLOOKUP(N313,setup!$A$8:$H$58,8))</f>
        <v>* @param $pag</v>
      </c>
    </row>
    <row r="314" spans="1:15" x14ac:dyDescent="0.25">
      <c r="A314" s="4" t="s">
        <v>343</v>
      </c>
      <c r="O314" s="7" t="str">
        <f ca="1">getCodigoBackend(N314,A314,VLOOKUP(N314,setup!$A$8:$H$58,2),VLOOKUP(N314,setup!$A$8:$H$58,3),VLOOKUP(N314,setup!$A$8:$H$58,4),VLOOKUP(N314,setup!$A$8:$H$58,5),VLOOKUP(N314,setup!$A$8:$H$58,6),VLOOKUP(N314,setup!$A$8:$H$58,7), VLOOKUP(0,setup!$A$8:$H$58,2),VLOOKUP(0,setup!$A$8:$H$58,5),VLOOKUP(N314,setup!$A$8:$H$58,8))</f>
        <v>* @param $qtde</v>
      </c>
    </row>
    <row r="315" spans="1:15" x14ac:dyDescent="0.25">
      <c r="A315" s="4" t="s">
        <v>351</v>
      </c>
      <c r="O315" s="7" t="str">
        <f ca="1">getCodigoBackend(N315,A315,VLOOKUP(N315,setup!$A$8:$H$58,2),VLOOKUP(N315,setup!$A$8:$H$58,3),VLOOKUP(N315,setup!$A$8:$H$58,4),VLOOKUP(N315,setup!$A$8:$H$58,5),VLOOKUP(N315,setup!$A$8:$H$58,6),VLOOKUP(N315,setup!$A$8:$H$58,7), VLOOKUP(0,setup!$A$8:$H$58,2),VLOOKUP(0,setup!$A$8:$H$58,5),VLOOKUP(N315,setup!$A$8:$H$58,8))</f>
        <v>* @param $coluna</v>
      </c>
    </row>
    <row r="316" spans="1:15" x14ac:dyDescent="0.25">
      <c r="A316" s="4" t="s">
        <v>352</v>
      </c>
      <c r="O316" s="7" t="str">
        <f ca="1">getCodigoBackend(N316,A316,VLOOKUP(N316,setup!$A$8:$H$58,2),VLOOKUP(N316,setup!$A$8:$H$58,3),VLOOKUP(N316,setup!$A$8:$H$58,4),VLOOKUP(N316,setup!$A$8:$H$58,5),VLOOKUP(N316,setup!$A$8:$H$58,6),VLOOKUP(N316,setup!$A$8:$H$58,7), VLOOKUP(0,setup!$A$8:$H$58,2),VLOOKUP(0,setup!$A$8:$H$58,5),VLOOKUP(N316,setup!$A$8:$H$58,8))</f>
        <v>* @param $ordem</v>
      </c>
    </row>
    <row r="317" spans="1:15" x14ac:dyDescent="0.25">
      <c r="A317" s="4" t="s">
        <v>20</v>
      </c>
      <c r="O317" s="7" t="str">
        <f ca="1">getCodigoBackend(N317,A317,VLOOKUP(N317,setup!$A$8:$H$58,2),VLOOKUP(N317,setup!$A$8:$H$58,3),VLOOKUP(N317,setup!$A$8:$H$58,4),VLOOKUP(N317,setup!$A$8:$H$58,5),VLOOKUP(N317,setup!$A$8:$H$58,6),VLOOKUP(N317,setup!$A$8:$H$58,7), VLOOKUP(0,setup!$A$8:$H$58,2),VLOOKUP(0,setup!$A$8:$H$58,5),VLOOKUP(N317,setup!$A$8:$H$58,8))</f>
        <v>*</v>
      </c>
    </row>
    <row r="318" spans="1:15" x14ac:dyDescent="0.25">
      <c r="A318" s="4" t="s">
        <v>701</v>
      </c>
      <c r="O318" s="7" t="str">
        <f ca="1">getCodigoBackend(N318,A318,VLOOKUP(N318,setup!$A$8:$H$58,2),VLOOKUP(N318,setup!$A$8:$H$58,3),VLOOKUP(N318,setup!$A$8:$H$58,4),VLOOKUP(N318,setup!$A$8:$H$58,5),VLOOKUP(N318,setup!$A$8:$H$58,6),VLOOKUP(N318,setup!$A$8:$H$58,7), VLOOKUP(0,setup!$A$8:$H$58,2),VLOOKUP(0,setup!$A$8:$H$58,5),VLOOKUP(N318,setup!$A$8:$H$58,8))</f>
        <v>* @return PaginacaoDTO</v>
      </c>
    </row>
    <row r="319" spans="1:15" x14ac:dyDescent="0.25">
      <c r="A319" s="4" t="s">
        <v>363</v>
      </c>
      <c r="O319" s="7" t="str">
        <f ca="1">getCodigoBackend(N319,A319,VLOOKUP(N319,setup!$A$8:$H$58,2),VLOOKUP(N319,setup!$A$8:$H$58,3),VLOOKUP(N319,setup!$A$8:$H$58,4),VLOOKUP(N319,setup!$A$8:$H$58,5),VLOOKUP(N319,setup!$A$8:$H$58,6),VLOOKUP(N319,setup!$A$8:$H$58,7), VLOOKUP(0,setup!$A$8:$H$58,2),VLOOKUP(0,setup!$A$8:$H$58,5),VLOOKUP(N319,setup!$A$8:$H$58,8))</f>
        <v xml:space="preserve">*/ </v>
      </c>
    </row>
    <row r="320" spans="1:15" x14ac:dyDescent="0.25">
      <c r="A320" s="6"/>
      <c r="O320" s="7" t="str">
        <f ca="1">getCodigoBackend(N320,A320,VLOOKUP(N320,setup!$A$8:$H$58,2),VLOOKUP(N320,setup!$A$8:$H$58,3),VLOOKUP(N320,setup!$A$8:$H$58,4),VLOOKUP(N320,setup!$A$8:$H$58,5),VLOOKUP(N320,setup!$A$8:$H$58,6),VLOOKUP(N320,setup!$A$8:$H$58,7), VLOOKUP(0,setup!$A$8:$H$58,2),VLOOKUP(0,setup!$A$8:$H$58,5),VLOOKUP(N320,setup!$A$8:$H$58,8))</f>
        <v/>
      </c>
    </row>
    <row r="321" spans="1:15" x14ac:dyDescent="0.25">
      <c r="A321" s="2" t="s">
        <v>660</v>
      </c>
      <c r="O321" s="7" t="str">
        <f ca="1">getCodigoBackend(N321,A321,VLOOKUP(N321,setup!$A$8:$H$58,2),VLOOKUP(N321,setup!$A$8:$H$58,3),VLOOKUP(N321,setup!$A$8:$H$58,4),VLOOKUP(N321,setup!$A$8:$H$58,5),VLOOKUP(N321,setup!$A$8:$H$58,6),VLOOKUP(N321,setup!$A$8:$H$58,7), VLOOKUP(0,setup!$A$8:$H$58,2),VLOOKUP(0,setup!$A$8:$H$58,5),VLOOKUP(N321,setup!$A$8:$H$58,8))</f>
        <v xml:space="preserve">    public function countCampanhaCashbackResgatePixPorUsuaIdStatus($usuaid, $status)</v>
      </c>
    </row>
    <row r="322" spans="1:15" x14ac:dyDescent="0.25">
      <c r="A322" s="6" t="s">
        <v>90</v>
      </c>
      <c r="O322" s="7" t="str">
        <f ca="1">getCodigoBackend(N322,A322,VLOOKUP(N322,setup!$A$8:$H$58,2),VLOOKUP(N322,setup!$A$8:$H$58,3),VLOOKUP(N322,setup!$A$8:$H$58,4),VLOOKUP(N322,setup!$A$8:$H$58,5),VLOOKUP(N322,setup!$A$8:$H$58,6),VLOOKUP(N322,setup!$A$8:$H$58,7), VLOOKUP(0,setup!$A$8:$H$58,2),VLOOKUP(0,setup!$A$8:$H$58,5),VLOOKUP(N322,setup!$A$8:$H$58,8))</f>
        <v>    {   </v>
      </c>
    </row>
    <row r="323" spans="1:15" x14ac:dyDescent="0.25">
      <c r="A323" s="6" t="s">
        <v>181</v>
      </c>
      <c r="O323" s="7" t="str">
        <f ca="1">getCodigoBackend(N323,A323,VLOOKUP(N323,setup!$A$8:$H$58,2),VLOOKUP(N323,setup!$A$8:$H$58,3),VLOOKUP(N323,setup!$A$8:$H$58,4),VLOOKUP(N323,setup!$A$8:$H$58,5),VLOOKUP(N323,setup!$A$8:$H$58,6),VLOOKUP(N323,setup!$A$8:$H$58,7), VLOOKUP(0,setup!$A$8:$H$58,2),VLOOKUP(0,setup!$A$8:$H$58,5),VLOOKUP(N323,setup!$A$8:$H$58,8))</f>
        <v>        $retorno = 0;</v>
      </c>
    </row>
    <row r="324" spans="1:15" x14ac:dyDescent="0.25">
      <c r="A324" s="6" t="s">
        <v>125</v>
      </c>
      <c r="O324" s="7" t="str">
        <f ca="1">getCodigoBackend(N324,A324,VLOOKUP(N324,setup!$A$8:$H$58,2),VLOOKUP(N324,setup!$A$8:$H$58,3),VLOOKUP(N324,setup!$A$8:$H$58,4),VLOOKUP(N324,setup!$A$8:$H$58,5),VLOOKUP(N324,setup!$A$8:$H$58,6),VLOOKUP(N324,setup!$A$8:$H$58,7), VLOOKUP(0,setup!$A$8:$H$58,2),VLOOKUP(0,setup!$A$8:$H$58,5),VLOOKUP(N324,setup!$A$8:$H$58,8))</f>
        <v>        // prepara sessão, query, troca de valores, acoplagem do resultado e o fetch</v>
      </c>
    </row>
    <row r="325" spans="1:15" x14ac:dyDescent="0.25">
      <c r="A325" s="6" t="s">
        <v>126</v>
      </c>
      <c r="O325" s="7" t="str">
        <f ca="1">getCodigoBackend(N325,A325,VLOOKUP(N325,setup!$A$8:$H$58,2),VLOOKUP(N325,setup!$A$8:$H$58,3),VLOOKUP(N325,setup!$A$8:$H$58,4),VLOOKUP(N325,setup!$A$8:$H$58,5),VLOOKUP(N325,setup!$A$8:$H$58,6),VLOOKUP(N325,setup!$A$8:$H$58,7), VLOOKUP(0,setup!$A$8:$H$58,2),VLOOKUP(0,setup!$A$8:$H$58,5),VLOOKUP(N325,setup!$A$8:$H$58,8))</f>
        <v>        $conexao = $this-&gt;daofactory-&gt;getSession();</v>
      </c>
    </row>
    <row r="326" spans="1:15" x14ac:dyDescent="0.25">
      <c r="A326" s="6" t="s">
        <v>314</v>
      </c>
      <c r="O326" s="7" t="str">
        <f ca="1">getCodigoBackend(N326,A326,VLOOKUP(N326,setup!$A$8:$H$58,2),VLOOKUP(N326,setup!$A$8:$H$58,3),VLOOKUP(N326,setup!$A$8:$H$58,4),VLOOKUP(N326,setup!$A$8:$H$58,5),VLOOKUP(N326,setup!$A$8:$H$58,6),VLOOKUP(N326,setup!$A$8:$H$58,7), VLOOKUP(0,setup!$A$8:$H$58,2),VLOOKUP(0,setup!$A$8:$H$58,5),VLOOKUP(N326,setup!$A$8:$H$58,8))</f>
        <v xml:space="preserve">        $res = $conexao-&gt;query(DmlSqlCampanhaCashbackResgatePix::SQL_COUNT . ' WHERE ' </v>
      </c>
    </row>
    <row r="327" spans="1:15" x14ac:dyDescent="0.25">
      <c r="A327" s="6" t="str">
        <f>CONCATENATE("        . DmlSql${classebase}::USUA_ID . ''' = $usuaid '''" )</f>
        <v>        . DmlSql${classebase}::USUA_ID . ''' = $usuaid '''</v>
      </c>
      <c r="O327" s="7" t="str">
        <f ca="1">getCodigoBackend(N327,A327,VLOOKUP(N327,setup!$A$8:$H$58,2),VLOOKUP(N327,setup!$A$8:$H$58,3),VLOOKUP(N327,setup!$A$8:$H$58,4),VLOOKUP(N327,setup!$A$8:$H$58,5),VLOOKUP(N327,setup!$A$8:$H$58,6),VLOOKUP(N327,setup!$A$8:$H$58,7), VLOOKUP(0,setup!$A$8:$H$58,2),VLOOKUP(0,setup!$A$8:$H$58,5),VLOOKUP(N327,setup!$A$8:$H$58,8))</f>
        <v>        . DmlSqlCampanhaCashbackResgatePix::USUA_ID . ''' = $usuaid '''</v>
      </c>
    </row>
    <row r="328" spans="1:15" x14ac:dyDescent="0.25">
      <c r="A328" s="6" t="str">
        <f>CONCATENATE("        . ' AND ' . DmlSql${classebase}::${campo} . ''' = '$status'''")</f>
        <v>        . ' AND ' . DmlSql${classebase}::${campo} . ''' = '$status'''</v>
      </c>
      <c r="N328" s="7">
        <v>48</v>
      </c>
      <c r="O328" s="7" t="str">
        <f ca="1">getCodigoBackend(N328,A328,VLOOKUP(N328,setup!$A$8:$H$58,2),VLOOKUP(N328,setup!$A$8:$H$58,3),VLOOKUP(N328,setup!$A$8:$H$58,4),VLOOKUP(N328,setup!$A$8:$H$58,5),VLOOKUP(N328,setup!$A$8:$H$58,6),VLOOKUP(N328,setup!$A$8:$H$58,7), VLOOKUP(0,setup!$A$8:$H$58,2),VLOOKUP(0,setup!$A$8:$H$58,5),VLOOKUP(N328,setup!$A$8:$H$58,8))</f>
        <v>        . ' AND ' . DmlSqlCampanhaCashbackResgatePix::CCRP_IN_STATUS . ''' = '$status'''</v>
      </c>
    </row>
    <row r="329" spans="1:15" x14ac:dyDescent="0.25">
      <c r="A329" s="6" t="s">
        <v>182</v>
      </c>
      <c r="O329" s="7" t="str">
        <f ca="1">getCodigoBackend(N329,A329,VLOOKUP(N329,setup!$A$8:$H$58,2),VLOOKUP(N329,setup!$A$8:$H$58,3),VLOOKUP(N329,setup!$A$8:$H$58,4),VLOOKUP(N329,setup!$A$8:$H$58,5),VLOOKUP(N329,setup!$A$8:$H$58,6),VLOOKUP(N329,setup!$A$8:$H$58,7), VLOOKUP(0,setup!$A$8:$H$58,2),VLOOKUP(0,setup!$A$8:$H$58,5),VLOOKUP(N329,setup!$A$8:$H$58,8))</f>
        <v>        );</v>
      </c>
    </row>
    <row r="330" spans="1:15" x14ac:dyDescent="0.25">
      <c r="A330" s="6" t="s">
        <v>132</v>
      </c>
      <c r="O330" s="7" t="str">
        <f ca="1">getCodigoBackend(N330,A330,VLOOKUP(N330,setup!$A$8:$H$58,2),VLOOKUP(N330,setup!$A$8:$H$58,3),VLOOKUP(N330,setup!$A$8:$H$58,4),VLOOKUP(N330,setup!$A$8:$H$58,5),VLOOKUP(N330,setup!$A$8:$H$58,6),VLOOKUP(N330,setup!$A$8:$H$58,7), VLOOKUP(0,setup!$A$8:$H$58,2),VLOOKUP(0,setup!$A$8:$H$58,5),VLOOKUP(N330,setup!$A$8:$H$58,8))</f>
        <v>        if ($res){</v>
      </c>
    </row>
    <row r="331" spans="1:15" x14ac:dyDescent="0.25">
      <c r="A331" s="6" t="s">
        <v>183</v>
      </c>
      <c r="O331" s="7" t="str">
        <f ca="1">getCodigoBackend(N331,A331,VLOOKUP(N331,setup!$A$8:$H$58,2),VLOOKUP(N331,setup!$A$8:$H$58,3),VLOOKUP(N331,setup!$A$8:$H$58,4),VLOOKUP(N331,setup!$A$8:$H$58,5),VLOOKUP(N331,setup!$A$8:$H$58,6),VLOOKUP(N331,setup!$A$8:$H$58,7), VLOOKUP(0,setup!$A$8:$H$58,2),VLOOKUP(0,setup!$A$8:$H$58,5),VLOOKUP(N331,setup!$A$8:$H$58,8))</f>
        <v>            $tmp = $res-&gt;fetch_assoc();</v>
      </c>
    </row>
    <row r="332" spans="1:15" x14ac:dyDescent="0.25">
      <c r="A332" s="6" t="s">
        <v>184</v>
      </c>
      <c r="O332" s="7" t="str">
        <f ca="1">getCodigoBackend(N332,A332,VLOOKUP(N332,setup!$A$8:$H$58,2),VLOOKUP(N332,setup!$A$8:$H$58,3),VLOOKUP(N332,setup!$A$8:$H$58,4),VLOOKUP(N332,setup!$A$8:$H$58,5),VLOOKUP(N332,setup!$A$8:$H$58,6),VLOOKUP(N332,setup!$A$8:$H$58,7), VLOOKUP(0,setup!$A$8:$H$58,2),VLOOKUP(0,setup!$A$8:$H$58,5),VLOOKUP(N332,setup!$A$8:$H$58,8))</f>
        <v>            $retorno = $tmp['contador'];</v>
      </c>
    </row>
    <row r="333" spans="1:15" x14ac:dyDescent="0.25">
      <c r="A333" s="6" t="s">
        <v>60</v>
      </c>
      <c r="O333" s="7" t="str">
        <f ca="1">getCodigoBackend(N333,A333,VLOOKUP(N333,setup!$A$8:$H$58,2),VLOOKUP(N333,setup!$A$8:$H$58,3),VLOOKUP(N333,setup!$A$8:$H$58,4),VLOOKUP(N333,setup!$A$8:$H$58,5),VLOOKUP(N333,setup!$A$8:$H$58,6),VLOOKUP(N333,setup!$A$8:$H$58,7), VLOOKUP(0,setup!$A$8:$H$58,2),VLOOKUP(0,setup!$A$8:$H$58,5),VLOOKUP(N333,setup!$A$8:$H$58,8))</f>
        <v>        }</v>
      </c>
    </row>
    <row r="334" spans="1:15" x14ac:dyDescent="0.25">
      <c r="A334" s="6" t="s">
        <v>61</v>
      </c>
      <c r="O334" s="7" t="str">
        <f ca="1">getCodigoBackend(N334,A334,VLOOKUP(N334,setup!$A$8:$H$58,2),VLOOKUP(N334,setup!$A$8:$H$58,3),VLOOKUP(N334,setup!$A$8:$H$58,4),VLOOKUP(N334,setup!$A$8:$H$58,5),VLOOKUP(N334,setup!$A$8:$H$58,6),VLOOKUP(N334,setup!$A$8:$H$58,7), VLOOKUP(0,setup!$A$8:$H$58,2),VLOOKUP(0,setup!$A$8:$H$58,5),VLOOKUP(N334,setup!$A$8:$H$58,8))</f>
        <v>        return $retorno;</v>
      </c>
    </row>
    <row r="335" spans="1:15" x14ac:dyDescent="0.25">
      <c r="A335" s="3"/>
      <c r="O335" s="7" t="str">
        <f ca="1">getCodigoBackend(N335,A335,VLOOKUP(N335,setup!$A$8:$H$58,2),VLOOKUP(N335,setup!$A$8:$H$58,3),VLOOKUP(N335,setup!$A$8:$H$58,4),VLOOKUP(N335,setup!$A$8:$H$58,5),VLOOKUP(N335,setup!$A$8:$H$58,6),VLOOKUP(N335,setup!$A$8:$H$58,7), VLOOKUP(0,setup!$A$8:$H$58,2),VLOOKUP(0,setup!$A$8:$H$58,5),VLOOKUP(N335,setup!$A$8:$H$58,8))</f>
        <v/>
      </c>
    </row>
    <row r="336" spans="1:15" x14ac:dyDescent="0.25">
      <c r="A336" s="6" t="s">
        <v>62</v>
      </c>
      <c r="O336" s="7" t="str">
        <f ca="1">getCodigoBackend(N336,A336,VLOOKUP(N336,setup!$A$8:$H$58,2),VLOOKUP(N336,setup!$A$8:$H$58,3),VLOOKUP(N336,setup!$A$8:$H$58,4),VLOOKUP(N336,setup!$A$8:$H$58,5),VLOOKUP(N336,setup!$A$8:$H$58,6),VLOOKUP(N336,setup!$A$8:$H$58,7), VLOOKUP(0,setup!$A$8:$H$58,2),VLOOKUP(0,setup!$A$8:$H$58,5),VLOOKUP(N336,setup!$A$8:$H$58,8))</f>
        <v>    }</v>
      </c>
    </row>
    <row r="337" spans="1:15" x14ac:dyDescent="0.25">
      <c r="A337" s="3"/>
      <c r="O337" s="7" t="str">
        <f ca="1">getCodigoBackend(N337,A337,VLOOKUP(N337,setup!$A$8:$H$58,2),VLOOKUP(N337,setup!$A$8:$H$58,3),VLOOKUP(N337,setup!$A$8:$H$58,4),VLOOKUP(N337,setup!$A$8:$H$58,5),VLOOKUP(N337,setup!$A$8:$H$58,6),VLOOKUP(N337,setup!$A$8:$H$58,7), VLOOKUP(0,setup!$A$8:$H$58,2),VLOOKUP(0,setup!$A$8:$H$58,5),VLOOKUP(N337,setup!$A$8:$H$58,8))</f>
        <v/>
      </c>
    </row>
    <row r="338" spans="1:15" x14ac:dyDescent="0.25">
      <c r="A338" s="4" t="s">
        <v>19</v>
      </c>
      <c r="O338" s="7" t="str">
        <f ca="1">getCodigoBackend(N338,A338,VLOOKUP(N338,setup!$A$8:$H$58,2),VLOOKUP(N338,setup!$A$8:$H$58,3),VLOOKUP(N338,setup!$A$8:$H$58,4),VLOOKUP(N338,setup!$A$8:$H$58,5),VLOOKUP(N338,setup!$A$8:$H$58,6),VLOOKUP(N338,setup!$A$8:$H$58,7), VLOOKUP(0,setup!$A$8:$H$58,2),VLOOKUP(0,setup!$A$8:$H$58,5),VLOOKUP(N338,setup!$A$8:$H$58,8))</f>
        <v>/**</v>
      </c>
    </row>
    <row r="339" spans="1:15" x14ac:dyDescent="0.25">
      <c r="A339" s="4" t="s">
        <v>702</v>
      </c>
      <c r="O339" s="7" t="str">
        <f ca="1">getCodigoBackend(N339,A339,VLOOKUP(N339,setup!$A$8:$H$58,2),VLOOKUP(N339,setup!$A$8:$H$58,3),VLOOKUP(N339,setup!$A$8:$H$58,4),VLOOKUP(N339,setup!$A$8:$H$58,5),VLOOKUP(N339,setup!$A$8:$H$58,6),VLOOKUP(N339,setup!$A$8:$H$58,7), VLOOKUP(0,setup!$A$8:$H$58,2),VLOOKUP(0,setup!$A$8:$H$58,5),VLOOKUP(N339,setup!$A$8:$H$58,8))</f>
        <v>* listCampanhaCashbackResgatePixPorUsuaIdStatus() - Listar um conjunto de registro previamente paginado</v>
      </c>
    </row>
    <row r="340" spans="1:15" x14ac:dyDescent="0.25">
      <c r="A340" s="4" t="s">
        <v>703</v>
      </c>
      <c r="O340" s="7" t="str">
        <f ca="1">getCodigoBackend(N340,A340,VLOOKUP(N340,setup!$A$8:$H$58,2),VLOOKUP(N340,setup!$A$8:$H$58,3),VLOOKUP(N340,setup!$A$8:$H$58,4),VLOOKUP(N340,setup!$A$8:$H$58,5),VLOOKUP(N340,setup!$A$8:$H$58,6),VLOOKUP(N340,setup!$A$8:$H$58,7), VLOOKUP(0,setup!$A$8:$H$58,2),VLOOKUP(0,setup!$A$8:$H$58,5),VLOOKUP(N340,setup!$A$8:$H$58,8))</f>
        <v>* sob o contexto da classe CampanhaCashbackResgatePix com base no usuário específico. Esse usuário</v>
      </c>
    </row>
    <row r="341" spans="1:15" x14ac:dyDescent="0.25">
      <c r="A341" s="4" t="s">
        <v>704</v>
      </c>
      <c r="O341" s="7" t="str">
        <f ca="1">getCodigoBackend(N341,A341,VLOOKUP(N341,setup!$A$8:$H$58,2),VLOOKUP(N341,setup!$A$8:$H$58,3),VLOOKUP(N341,setup!$A$8:$H$58,4),VLOOKUP(N341,setup!$A$8:$H$58,5),VLOOKUP(N341,setup!$A$8:$H$58,6),VLOOKUP(N341,setup!$A$8:$H$58,7), VLOOKUP(0,setup!$A$8:$H$58,2),VLOOKUP(0,setup!$A$8:$H$58,5),VLOOKUP(N341,setup!$A$8:$H$58,8))</f>
        <v xml:space="preserve">* é o usuário logado na sessão ou no próprio dispositivo móvel e de acordo com a </v>
      </c>
    </row>
    <row r="342" spans="1:15" x14ac:dyDescent="0.25">
      <c r="A342" s="4" t="s">
        <v>705</v>
      </c>
      <c r="O342" s="7" t="str">
        <f ca="1">getCodigoBackend(N342,A342,VLOOKUP(N342,setup!$A$8:$H$58,2),VLOOKUP(N342,setup!$A$8:$H$58,3),VLOOKUP(N342,setup!$A$8:$H$58,4),VLOOKUP(N342,setup!$A$8:$H$58,5),VLOOKUP(N342,setup!$A$8:$H$58,6),VLOOKUP(N342,setup!$A$8:$H$58,7), VLOOKUP(0,setup!$A$8:$H$58,2),VLOOKUP(0,setup!$A$8:$H$58,5),VLOOKUP(N342,setup!$A$8:$H$58,8))</f>
        <v xml:space="preserve">* query em @see $sql na tabela CAMPANHA_CASHBACK_RESGATE_PIX </v>
      </c>
    </row>
    <row r="343" spans="1:15" x14ac:dyDescent="0.25">
      <c r="A343" s="4" t="s">
        <v>20</v>
      </c>
      <c r="O343" s="7" t="str">
        <f ca="1">getCodigoBackend(N343,A343,VLOOKUP(N343,setup!$A$8:$H$58,2),VLOOKUP(N343,setup!$A$8:$H$58,3),VLOOKUP(N343,setup!$A$8:$H$58,4),VLOOKUP(N343,setup!$A$8:$H$58,5),VLOOKUP(N343,setup!$A$8:$H$58,6),VLOOKUP(N343,setup!$A$8:$H$58,7), VLOOKUP(0,setup!$A$8:$H$58,2),VLOOKUP(0,setup!$A$8:$H$58,5),VLOOKUP(N343,setup!$A$8:$H$58,8))</f>
        <v>*</v>
      </c>
    </row>
    <row r="344" spans="1:15" x14ac:dyDescent="0.25">
      <c r="A344" s="4" t="s">
        <v>706</v>
      </c>
      <c r="O344" s="7" t="str">
        <f ca="1">getCodigoBackend(N344,A344,VLOOKUP(N344,setup!$A$8:$H$58,2),VLOOKUP(N344,setup!$A$8:$H$58,3),VLOOKUP(N344,setup!$A$8:$H$58,4),VLOOKUP(N344,setup!$A$8:$H$58,5),VLOOKUP(N344,setup!$A$8:$H$58,6),VLOOKUP(N344,setup!$A$8:$H$58,7), VLOOKUP(0,setup!$A$8:$H$58,2),VLOOKUP(0,setup!$A$8:$H$58,5),VLOOKUP(N344,setup!$A$8:$H$58,8))</f>
        <v>* @see listPagina()</v>
      </c>
    </row>
    <row r="345" spans="1:15" x14ac:dyDescent="0.25">
      <c r="A345" s="4" t="s">
        <v>20</v>
      </c>
      <c r="O345" s="7" t="str">
        <f ca="1">getCodigoBackend(N345,A345,VLOOKUP(N345,setup!$A$8:$H$58,2),VLOOKUP(N345,setup!$A$8:$H$58,3),VLOOKUP(N345,setup!$A$8:$H$58,4),VLOOKUP(N345,setup!$A$8:$H$58,5),VLOOKUP(N345,setup!$A$8:$H$58,6),VLOOKUP(N345,setup!$A$8:$H$58,7), VLOOKUP(0,setup!$A$8:$H$58,2),VLOOKUP(0,setup!$A$8:$H$58,5),VLOOKUP(N345,setup!$A$8:$H$58,8))</f>
        <v>*</v>
      </c>
    </row>
    <row r="346" spans="1:15" x14ac:dyDescent="0.25">
      <c r="A346" s="4" t="s">
        <v>651</v>
      </c>
      <c r="O346" s="7" t="str">
        <f ca="1">getCodigoBackend(N346,A346,VLOOKUP(N346,setup!$A$8:$H$58,2),VLOOKUP(N346,setup!$A$8:$H$58,3),VLOOKUP(N346,setup!$A$8:$H$58,4),VLOOKUP(N346,setup!$A$8:$H$58,5),VLOOKUP(N346,setup!$A$8:$H$58,6),VLOOKUP(N346,setup!$A$8:$H$58,7), VLOOKUP(0,setup!$A$8:$H$58,2),VLOOKUP(0,setup!$A$8:$H$58,5),VLOOKUP(N346,setup!$A$8:$H$58,8))</f>
        <v>* @param $usuaid</v>
      </c>
    </row>
    <row r="347" spans="1:15" x14ac:dyDescent="0.25">
      <c r="A347" s="4" t="s">
        <v>350</v>
      </c>
      <c r="O347" s="7" t="str">
        <f ca="1">getCodigoBackend(N347,A347,VLOOKUP(N347,setup!$A$8:$H$58,2),VLOOKUP(N347,setup!$A$8:$H$58,3),VLOOKUP(N347,setup!$A$8:$H$58,4),VLOOKUP(N347,setup!$A$8:$H$58,5),VLOOKUP(N347,setup!$A$8:$H$58,6),VLOOKUP(N347,setup!$A$8:$H$58,7), VLOOKUP(0,setup!$A$8:$H$58,2),VLOOKUP(0,setup!$A$8:$H$58,5),VLOOKUP(N347,setup!$A$8:$H$58,8))</f>
        <v>* @param $status</v>
      </c>
    </row>
    <row r="348" spans="1:15" x14ac:dyDescent="0.25">
      <c r="A348" s="4" t="s">
        <v>342</v>
      </c>
      <c r="O348" s="7" t="str">
        <f ca="1">getCodigoBackend(N348,A348,VLOOKUP(N348,setup!$A$8:$H$58,2),VLOOKUP(N348,setup!$A$8:$H$58,3),VLOOKUP(N348,setup!$A$8:$H$58,4),VLOOKUP(N348,setup!$A$8:$H$58,5),VLOOKUP(N348,setup!$A$8:$H$58,6),VLOOKUP(N348,setup!$A$8:$H$58,7), VLOOKUP(0,setup!$A$8:$H$58,2),VLOOKUP(0,setup!$A$8:$H$58,5),VLOOKUP(N348,setup!$A$8:$H$58,8))</f>
        <v>* @param $pag</v>
      </c>
    </row>
    <row r="349" spans="1:15" x14ac:dyDescent="0.25">
      <c r="A349" s="4" t="s">
        <v>343</v>
      </c>
      <c r="O349" s="7" t="str">
        <f ca="1">getCodigoBackend(N349,A349,VLOOKUP(N349,setup!$A$8:$H$58,2),VLOOKUP(N349,setup!$A$8:$H$58,3),VLOOKUP(N349,setup!$A$8:$H$58,4),VLOOKUP(N349,setup!$A$8:$H$58,5),VLOOKUP(N349,setup!$A$8:$H$58,6),VLOOKUP(N349,setup!$A$8:$H$58,7), VLOOKUP(0,setup!$A$8:$H$58,2),VLOOKUP(0,setup!$A$8:$H$58,5),VLOOKUP(N349,setup!$A$8:$H$58,8))</f>
        <v>* @param $qtde</v>
      </c>
    </row>
    <row r="350" spans="1:15" x14ac:dyDescent="0.25">
      <c r="A350" s="4" t="s">
        <v>351</v>
      </c>
      <c r="O350" s="7" t="str">
        <f ca="1">getCodigoBackend(N350,A350,VLOOKUP(N350,setup!$A$8:$H$58,2),VLOOKUP(N350,setup!$A$8:$H$58,3),VLOOKUP(N350,setup!$A$8:$H$58,4),VLOOKUP(N350,setup!$A$8:$H$58,5),VLOOKUP(N350,setup!$A$8:$H$58,6),VLOOKUP(N350,setup!$A$8:$H$58,7), VLOOKUP(0,setup!$A$8:$H$58,2),VLOOKUP(0,setup!$A$8:$H$58,5),VLOOKUP(N350,setup!$A$8:$H$58,8))</f>
        <v>* @param $coluna</v>
      </c>
    </row>
    <row r="351" spans="1:15" x14ac:dyDescent="0.25">
      <c r="A351" s="4" t="s">
        <v>352</v>
      </c>
      <c r="O351" s="7" t="str">
        <f ca="1">getCodigoBackend(N351,A351,VLOOKUP(N351,setup!$A$8:$H$58,2),VLOOKUP(N351,setup!$A$8:$H$58,3),VLOOKUP(N351,setup!$A$8:$H$58,4),VLOOKUP(N351,setup!$A$8:$H$58,5),VLOOKUP(N351,setup!$A$8:$H$58,6),VLOOKUP(N351,setup!$A$8:$H$58,7), VLOOKUP(0,setup!$A$8:$H$58,2),VLOOKUP(0,setup!$A$8:$H$58,5),VLOOKUP(N351,setup!$A$8:$H$58,8))</f>
        <v>* @param $ordem</v>
      </c>
    </row>
    <row r="352" spans="1:15" x14ac:dyDescent="0.25">
      <c r="A352" s="4" t="s">
        <v>20</v>
      </c>
      <c r="O352" s="7" t="str">
        <f ca="1">getCodigoBackend(N352,A352,VLOOKUP(N352,setup!$A$8:$H$58,2),VLOOKUP(N352,setup!$A$8:$H$58,3),VLOOKUP(N352,setup!$A$8:$H$58,4),VLOOKUP(N352,setup!$A$8:$H$58,5),VLOOKUP(N352,setup!$A$8:$H$58,6),VLOOKUP(N352,setup!$A$8:$H$58,7), VLOOKUP(0,setup!$A$8:$H$58,2),VLOOKUP(0,setup!$A$8:$H$58,5),VLOOKUP(N352,setup!$A$8:$H$58,8))</f>
        <v>*</v>
      </c>
    </row>
    <row r="353" spans="1:15" x14ac:dyDescent="0.25">
      <c r="A353" s="4" t="s">
        <v>701</v>
      </c>
      <c r="O353" s="7" t="str">
        <f ca="1">getCodigoBackend(N353,A353,VLOOKUP(N353,setup!$A$8:$H$58,2),VLOOKUP(N353,setup!$A$8:$H$58,3),VLOOKUP(N353,setup!$A$8:$H$58,4),VLOOKUP(N353,setup!$A$8:$H$58,5),VLOOKUP(N353,setup!$A$8:$H$58,6),VLOOKUP(N353,setup!$A$8:$H$58,7), VLOOKUP(0,setup!$A$8:$H$58,2),VLOOKUP(0,setup!$A$8:$H$58,5),VLOOKUP(N353,setup!$A$8:$H$58,8))</f>
        <v>* @return PaginacaoDTO</v>
      </c>
    </row>
    <row r="354" spans="1:15" x14ac:dyDescent="0.25">
      <c r="A354" s="4" t="s">
        <v>363</v>
      </c>
      <c r="O354" s="7" t="str">
        <f ca="1">getCodigoBackend(N354,A354,VLOOKUP(N354,setup!$A$8:$H$58,2),VLOOKUP(N354,setup!$A$8:$H$58,3),VLOOKUP(N354,setup!$A$8:$H$58,4),VLOOKUP(N354,setup!$A$8:$H$58,5),VLOOKUP(N354,setup!$A$8:$H$58,6),VLOOKUP(N354,setup!$A$8:$H$58,7), VLOOKUP(0,setup!$A$8:$H$58,2),VLOOKUP(0,setup!$A$8:$H$58,5),VLOOKUP(N354,setup!$A$8:$H$58,8))</f>
        <v xml:space="preserve">*/ </v>
      </c>
    </row>
    <row r="355" spans="1:15" x14ac:dyDescent="0.25">
      <c r="A355" s="2" t="s">
        <v>661</v>
      </c>
      <c r="O355" s="7" t="str">
        <f ca="1">getCodigoBackend(N355,A355,VLOOKUP(N355,setup!$A$8:$H$58,2),VLOOKUP(N355,setup!$A$8:$H$58,3),VLOOKUP(N355,setup!$A$8:$H$58,4),VLOOKUP(N355,setup!$A$8:$H$58,5),VLOOKUP(N355,setup!$A$8:$H$58,6),VLOOKUP(N355,setup!$A$8:$H$58,7), VLOOKUP(0,setup!$A$8:$H$58,2),VLOOKUP(0,setup!$A$8:$H$58,5),VLOOKUP(N355,setup!$A$8:$H$58,8))</f>
        <v xml:space="preserve">    public function listCampanhaCashbackResgatePixPorUsuaIdStatus($usuaid, $status, $pag, $qtde, $coluna, $ordem)</v>
      </c>
    </row>
    <row r="356" spans="1:15" x14ac:dyDescent="0.25">
      <c r="A356" s="6" t="s">
        <v>38</v>
      </c>
      <c r="O356" s="7" t="str">
        <f ca="1">getCodigoBackend(N356,A356,VLOOKUP(N356,setup!$A$8:$H$58,2),VLOOKUP(N356,setup!$A$8:$H$58,3),VLOOKUP(N356,setup!$A$8:$H$58,4),VLOOKUP(N356,setup!$A$8:$H$58,5),VLOOKUP(N356,setup!$A$8:$H$58,6),VLOOKUP(N356,setup!$A$8:$H$58,7), VLOOKUP(0,setup!$A$8:$H$58,2),VLOOKUP(0,setup!$A$8:$H$58,5),VLOOKUP(N356,setup!$A$8:$H$58,8))</f>
        <v>    {</v>
      </c>
    </row>
    <row r="357" spans="1:15" x14ac:dyDescent="0.25">
      <c r="A357" s="6" t="s">
        <v>316</v>
      </c>
      <c r="O357" s="7" t="str">
        <f ca="1">getCodigoBackend(N357,A357,VLOOKUP(N357,setup!$A$8:$H$58,2),VLOOKUP(N357,setup!$A$8:$H$58,3),VLOOKUP(N357,setup!$A$8:$H$58,4),VLOOKUP(N357,setup!$A$8:$H$58,5),VLOOKUP(N357,setup!$A$8:$H$58,6),VLOOKUP(N357,setup!$A$8:$H$58,7), VLOOKUP(0,setup!$A$8:$H$58,2),VLOOKUP(0,setup!$A$8:$H$58,5),VLOOKUP(N357,setup!$A$8:$H$58,8))</f>
        <v xml:space="preserve">        $sql = DmlSqlCampanhaCashbackResgatePix::SELECT </v>
      </c>
    </row>
    <row r="358" spans="1:15" x14ac:dyDescent="0.25">
      <c r="A358" s="6" t="s">
        <v>877</v>
      </c>
      <c r="O358" s="7" t="str">
        <f ca="1">getCodigoBackend(N358,A358,VLOOKUP(N358,setup!$A$8:$H$58,2),VLOOKUP(N358,setup!$A$8:$H$58,3),VLOOKUP(N358,setup!$A$8:$H$58,4),VLOOKUP(N358,setup!$A$8:$H$58,5),VLOOKUP(N358,setup!$A$8:$H$58,6),VLOOKUP(N358,setup!$A$8:$H$58,7), VLOOKUP(0,setup!$A$8:$H$58,2),VLOOKUP(0,setup!$A$8:$H$58,5),VLOOKUP(N358,setup!$A$8:$H$58,8))</f>
        <v>        . ' WHERE ' . DmlSqlCampanhaCashbackResgatePix::USUA_ID . " = $usuaid "</v>
      </c>
    </row>
    <row r="359" spans="1:15" x14ac:dyDescent="0.25">
      <c r="A359" s="6" t="str">
        <f>CONCATENATE("        . ' AND ' . DmlSql${classebase}::${campo} . ''' = '$status'")</f>
        <v>        . ' AND ' . DmlSql${classebase}::${campo} . ''' = '$status'</v>
      </c>
      <c r="N359" s="7">
        <v>48</v>
      </c>
      <c r="O359" s="7" t="str">
        <f ca="1">getCodigoBackend(N359,A359,VLOOKUP(N359,setup!$A$8:$H$58,2),VLOOKUP(N359,setup!$A$8:$H$58,3),VLOOKUP(N359,setup!$A$8:$H$58,4),VLOOKUP(N359,setup!$A$8:$H$58,5),VLOOKUP(N359,setup!$A$8:$H$58,6),VLOOKUP(N359,setup!$A$8:$H$58,7), VLOOKUP(0,setup!$A$8:$H$58,2),VLOOKUP(0,setup!$A$8:$H$58,5),VLOOKUP(N359,setup!$A$8:$H$58,8))</f>
        <v>        . ' AND ' . DmlSqlCampanhaCashbackResgatePix::CCRP_IN_STATUS . ''' = '$status'</v>
      </c>
    </row>
    <row r="360" spans="1:15" x14ac:dyDescent="0.25">
      <c r="A360" s="6" t="s">
        <v>196</v>
      </c>
      <c r="O360" s="7" t="str">
        <f ca="1">getCodigoBackend(N360,A360,VLOOKUP(N360,setup!$A$8:$H$58,2),VLOOKUP(N360,setup!$A$8:$H$58,3),VLOOKUP(N360,setup!$A$8:$H$58,4),VLOOKUP(N360,setup!$A$8:$H$58,5),VLOOKUP(N360,setup!$A$8:$H$58,6),VLOOKUP(N360,setup!$A$8:$H$58,7), VLOOKUP(0,setup!$A$8:$H$58,2),VLOOKUP(0,setup!$A$8:$H$58,5),VLOOKUP(N360,setup!$A$8:$H$58,8))</f>
        <v xml:space="preserve">        . ' ORDER BY ' . $coluna . ($ordem == 0 ? " ASC": " DESC");</v>
      </c>
    </row>
    <row r="361" spans="1:15" x14ac:dyDescent="0.25">
      <c r="A361" s="6" t="s">
        <v>185</v>
      </c>
      <c r="O361" s="7" t="str">
        <f ca="1">getCodigoBackend(N361,A361,VLOOKUP(N361,setup!$A$8:$H$58,2),VLOOKUP(N361,setup!$A$8:$H$58,3),VLOOKUP(N361,setup!$A$8:$H$58,4),VLOOKUP(N361,setup!$A$8:$H$58,5),VLOOKUP(N361,setup!$A$8:$H$58,6),VLOOKUP(N361,setup!$A$8:$H$58,7), VLOOKUP(0,setup!$A$8:$H$58,2),VLOOKUP(0,setup!$A$8:$H$58,5),VLOOKUP(N361,setup!$A$8:$H$58,8))</f>
        <v>        return $this-&gt;listPagina($sql, $pag, $qtde);</v>
      </c>
    </row>
    <row r="362" spans="1:15" x14ac:dyDescent="0.25">
      <c r="A362" s="6" t="s">
        <v>62</v>
      </c>
      <c r="O362" s="7" t="str">
        <f ca="1">getCodigoBackend(N362,A362,VLOOKUP(N362,setup!$A$8:$H$58,2),VLOOKUP(N362,setup!$A$8:$H$58,3),VLOOKUP(N362,setup!$A$8:$H$58,4),VLOOKUP(N362,setup!$A$8:$H$58,5),VLOOKUP(N362,setup!$A$8:$H$58,6),VLOOKUP(N362,setup!$A$8:$H$58,7), VLOOKUP(0,setup!$A$8:$H$58,2),VLOOKUP(0,setup!$A$8:$H$58,5),VLOOKUP(N362,setup!$A$8:$H$58,8))</f>
        <v>    }</v>
      </c>
    </row>
    <row r="363" spans="1:15" x14ac:dyDescent="0.25">
      <c r="A363" s="6"/>
      <c r="O363" s="7" t="str">
        <f ca="1">getCodigoBackend(N363,A363,VLOOKUP(N363,setup!$A$8:$H$58,2),VLOOKUP(N363,setup!$A$8:$H$58,3),VLOOKUP(N363,setup!$A$8:$H$58,4),VLOOKUP(N363,setup!$A$8:$H$58,5),VLOOKUP(N363,setup!$A$8:$H$58,6),VLOOKUP(N363,setup!$A$8:$H$58,7), VLOOKUP(0,setup!$A$8:$H$58,2),VLOOKUP(0,setup!$A$8:$H$58,5),VLOOKUP(N363,setup!$A$8:$H$58,8))</f>
        <v/>
      </c>
    </row>
    <row r="364" spans="1:15" x14ac:dyDescent="0.25">
      <c r="A364" s="4" t="s">
        <v>19</v>
      </c>
      <c r="O364" s="7" t="str">
        <f ca="1">getCodigoBackend(N364,A364,VLOOKUP(N364,setup!$A$8:$H$58,2),VLOOKUP(N364,setup!$A$8:$H$58,3),VLOOKUP(N364,setup!$A$8:$H$58,4),VLOOKUP(N364,setup!$A$8:$H$58,5),VLOOKUP(N364,setup!$A$8:$H$58,6),VLOOKUP(N364,setup!$A$8:$H$58,7), VLOOKUP(0,setup!$A$8:$H$58,2),VLOOKUP(0,setup!$A$8:$H$58,5),VLOOKUP(N364,setup!$A$8:$H$58,8))</f>
        <v>/**</v>
      </c>
    </row>
    <row r="365" spans="1:15" x14ac:dyDescent="0.25">
      <c r="A365" s="4" t="s">
        <v>698</v>
      </c>
      <c r="O365" s="7" t="str">
        <f ca="1">getCodigoBackend(N365,A365,VLOOKUP(N365,setup!$A$8:$H$58,2),VLOOKUP(N365,setup!$A$8:$H$58,3),VLOOKUP(N365,setup!$A$8:$H$58,4),VLOOKUP(N365,setup!$A$8:$H$58,5),VLOOKUP(N365,setup!$A$8:$H$58,6),VLOOKUP(N365,setup!$A$8:$H$58,7), VLOOKUP(0,setup!$A$8:$H$58,2),VLOOKUP(0,setup!$A$8:$H$58,5),VLOOKUP(N365,setup!$A$8:$H$58,8))</f>
        <v>* listPagina() - Listar um conjunto de registro previamente paginado</v>
      </c>
    </row>
    <row r="366" spans="1:15" x14ac:dyDescent="0.25">
      <c r="A366" s="4" t="s">
        <v>699</v>
      </c>
      <c r="O366" s="7" t="str">
        <f ca="1">getCodigoBackend(N366,A366,VLOOKUP(N366,setup!$A$8:$H$58,2),VLOOKUP(N366,setup!$A$8:$H$58,3),VLOOKUP(N366,setup!$A$8:$H$58,4),VLOOKUP(N366,setup!$A$8:$H$58,5),VLOOKUP(N366,setup!$A$8:$H$58,6),VLOOKUP(N366,setup!$A$8:$H$58,7), VLOOKUP(0,setup!$A$8:$H$58,2),VLOOKUP(0,setup!$A$8:$H$58,5),VLOOKUP(N366,setup!$A$8:$H$58,8))</f>
        <v xml:space="preserve">* e de acordo com a query em @see $sql na tabela CAMPANHA_CASHBACK_RESGATE_PIX </v>
      </c>
    </row>
    <row r="367" spans="1:15" x14ac:dyDescent="0.25">
      <c r="A367" s="4" t="s">
        <v>20</v>
      </c>
      <c r="O367" s="7" t="str">
        <f ca="1">getCodigoBackend(N367,A367,VLOOKUP(N367,setup!$A$8:$H$58,2),VLOOKUP(N367,setup!$A$8:$H$58,3),VLOOKUP(N367,setup!$A$8:$H$58,4),VLOOKUP(N367,setup!$A$8:$H$58,5),VLOOKUP(N367,setup!$A$8:$H$58,6),VLOOKUP(N367,setup!$A$8:$H$58,7), VLOOKUP(0,setup!$A$8:$H$58,2),VLOOKUP(0,setup!$A$8:$H$58,5),VLOOKUP(N367,setup!$A$8:$H$58,8))</f>
        <v>*</v>
      </c>
    </row>
    <row r="368" spans="1:15" x14ac:dyDescent="0.25">
      <c r="A368" s="4" t="s">
        <v>700</v>
      </c>
      <c r="O368" s="7" t="str">
        <f ca="1">getCodigoBackend(N368,A368,VLOOKUP(N368,setup!$A$8:$H$58,2),VLOOKUP(N368,setup!$A$8:$H$58,3),VLOOKUP(N368,setup!$A$8:$H$58,4),VLOOKUP(N368,setup!$A$8:$H$58,5),VLOOKUP(N368,setup!$A$8:$H$58,6),VLOOKUP(N368,setup!$A$8:$H$58,7), VLOOKUP(0,setup!$A$8:$H$58,2),VLOOKUP(0,setup!$A$8:$H$58,5),VLOOKUP(N368,setup!$A$8:$H$58,8))</f>
        <v>* @param $sql</v>
      </c>
    </row>
    <row r="369" spans="1:15" x14ac:dyDescent="0.25">
      <c r="A369" s="4" t="s">
        <v>342</v>
      </c>
      <c r="O369" s="7" t="str">
        <f ca="1">getCodigoBackend(N369,A369,VLOOKUP(N369,setup!$A$8:$H$58,2),VLOOKUP(N369,setup!$A$8:$H$58,3),VLOOKUP(N369,setup!$A$8:$H$58,4),VLOOKUP(N369,setup!$A$8:$H$58,5),VLOOKUP(N369,setup!$A$8:$H$58,6),VLOOKUP(N369,setup!$A$8:$H$58,7), VLOOKUP(0,setup!$A$8:$H$58,2),VLOOKUP(0,setup!$A$8:$H$58,5),VLOOKUP(N369,setup!$A$8:$H$58,8))</f>
        <v>* @param $pag</v>
      </c>
    </row>
    <row r="370" spans="1:15" x14ac:dyDescent="0.25">
      <c r="A370" s="4" t="s">
        <v>343</v>
      </c>
      <c r="O370" s="7" t="str">
        <f ca="1">getCodigoBackend(N370,A370,VLOOKUP(N370,setup!$A$8:$H$58,2),VLOOKUP(N370,setup!$A$8:$H$58,3),VLOOKUP(N370,setup!$A$8:$H$58,4),VLOOKUP(N370,setup!$A$8:$H$58,5),VLOOKUP(N370,setup!$A$8:$H$58,6),VLOOKUP(N370,setup!$A$8:$H$58,7), VLOOKUP(0,setup!$A$8:$H$58,2),VLOOKUP(0,setup!$A$8:$H$58,5),VLOOKUP(N370,setup!$A$8:$H$58,8))</f>
        <v>* @param $qtde</v>
      </c>
    </row>
    <row r="371" spans="1:15" x14ac:dyDescent="0.25">
      <c r="A371" s="4" t="s">
        <v>20</v>
      </c>
      <c r="O371" s="7" t="str">
        <f ca="1">getCodigoBackend(N371,A371,VLOOKUP(N371,setup!$A$8:$H$58,2),VLOOKUP(N371,setup!$A$8:$H$58,3),VLOOKUP(N371,setup!$A$8:$H$58,4),VLOOKUP(N371,setup!$A$8:$H$58,5),VLOOKUP(N371,setup!$A$8:$H$58,6),VLOOKUP(N371,setup!$A$8:$H$58,7), VLOOKUP(0,setup!$A$8:$H$58,2),VLOOKUP(0,setup!$A$8:$H$58,5),VLOOKUP(N371,setup!$A$8:$H$58,8))</f>
        <v>*</v>
      </c>
    </row>
    <row r="372" spans="1:15" x14ac:dyDescent="0.25">
      <c r="A372" s="4" t="s">
        <v>701</v>
      </c>
      <c r="O372" s="7" t="str">
        <f ca="1">getCodigoBackend(N372,A372,VLOOKUP(N372,setup!$A$8:$H$58,2),VLOOKUP(N372,setup!$A$8:$H$58,3),VLOOKUP(N372,setup!$A$8:$H$58,4),VLOOKUP(N372,setup!$A$8:$H$58,5),VLOOKUP(N372,setup!$A$8:$H$58,6),VLOOKUP(N372,setup!$A$8:$H$58,7), VLOOKUP(0,setup!$A$8:$H$58,2),VLOOKUP(0,setup!$A$8:$H$58,5),VLOOKUP(N372,setup!$A$8:$H$58,8))</f>
        <v>* @return PaginacaoDTO</v>
      </c>
    </row>
    <row r="373" spans="1:15" x14ac:dyDescent="0.25">
      <c r="A373" s="4" t="s">
        <v>363</v>
      </c>
      <c r="O373" s="7" t="str">
        <f ca="1">getCodigoBackend(N373,A373,VLOOKUP(N373,setup!$A$8:$H$58,2),VLOOKUP(N373,setup!$A$8:$H$58,3),VLOOKUP(N373,setup!$A$8:$H$58,4),VLOOKUP(N373,setup!$A$8:$H$58,5),VLOOKUP(N373,setup!$A$8:$H$58,6),VLOOKUP(N373,setup!$A$8:$H$58,7), VLOOKUP(0,setup!$A$8:$H$58,2),VLOOKUP(0,setup!$A$8:$H$58,5),VLOOKUP(N373,setup!$A$8:$H$58,8))</f>
        <v xml:space="preserve">*/ </v>
      </c>
    </row>
    <row r="374" spans="1:15" x14ac:dyDescent="0.25">
      <c r="A374" s="6" t="s">
        <v>135</v>
      </c>
      <c r="O374" s="7" t="str">
        <f ca="1">getCodigoBackend(N374,A374,VLOOKUP(N374,setup!$A$8:$H$58,2),VLOOKUP(N374,setup!$A$8:$H$58,3),VLOOKUP(N374,setup!$A$8:$H$58,4),VLOOKUP(N374,setup!$A$8:$H$58,5),VLOOKUP(N374,setup!$A$8:$H$58,6),VLOOKUP(N374,setup!$A$8:$H$58,7), VLOOKUP(0,setup!$A$8:$H$58,2),VLOOKUP(0,setup!$A$8:$H$58,5),VLOOKUP(N374,setup!$A$8:$H$58,8))</f>
        <v>    public function listPagina($sql, $pag, $qtde)</v>
      </c>
    </row>
    <row r="375" spans="1:15" x14ac:dyDescent="0.25">
      <c r="A375" s="6" t="s">
        <v>38</v>
      </c>
      <c r="O375" s="7" t="str">
        <f ca="1">getCodigoBackend(N375,A375,VLOOKUP(N375,setup!$A$8:$H$58,2),VLOOKUP(N375,setup!$A$8:$H$58,3),VLOOKUP(N375,setup!$A$8:$H$58,4),VLOOKUP(N375,setup!$A$8:$H$58,5),VLOOKUP(N375,setup!$A$8:$H$58,6),VLOOKUP(N375,setup!$A$8:$H$58,7), VLOOKUP(0,setup!$A$8:$H$58,2),VLOOKUP(0,setup!$A$8:$H$58,5),VLOOKUP(N375,setup!$A$8:$H$58,8))</f>
        <v>    {</v>
      </c>
    </row>
    <row r="376" spans="1:15" x14ac:dyDescent="0.25">
      <c r="A376" s="8" t="s">
        <v>194</v>
      </c>
      <c r="O376" s="7" t="str">
        <f ca="1">getCodigoBackend(N376,A376,VLOOKUP(N376,setup!$A$8:$H$58,2),VLOOKUP(N376,setup!$A$8:$H$58,3),VLOOKUP(N376,setup!$A$8:$H$58,4),VLOOKUP(N376,setup!$A$8:$H$58,5),VLOOKUP(N376,setup!$A$8:$H$58,6),VLOOKUP(N376,setup!$A$8:$H$58,7), VLOOKUP(0,setup!$A$8:$H$58,2),VLOOKUP(0,setup!$A$8:$H$58,5),VLOOKUP(N376,setup!$A$8:$H$58,8))</f>
        <v xml:space="preserve">        $retorno = array();</v>
      </c>
    </row>
    <row r="377" spans="1:15" x14ac:dyDescent="0.25">
      <c r="A377" s="6" t="s">
        <v>136</v>
      </c>
      <c r="O377" s="7" t="str">
        <f ca="1">getCodigoBackend(N377,A377,VLOOKUP(N377,setup!$A$8:$H$58,2),VLOOKUP(N377,setup!$A$8:$H$58,3),VLOOKUP(N377,setup!$A$8:$H$58,4),VLOOKUP(N377,setup!$A$8:$H$58,5),VLOOKUP(N377,setup!$A$8:$H$58,6),VLOOKUP(N377,setup!$A$8:$H$58,7), VLOOKUP(0,setup!$A$8:$H$58,2),VLOOKUP(0,setup!$A$8:$H$58,5),VLOOKUP(N377,setup!$A$8:$H$58,8))</f>
        <v>        $final = $pag * $qtde - $qtde;</v>
      </c>
    </row>
    <row r="378" spans="1:15" x14ac:dyDescent="0.25">
      <c r="A378" s="8" t="s">
        <v>195</v>
      </c>
      <c r="O378" s="7" t="str">
        <f ca="1">getCodigoBackend(N378,A378,VLOOKUP(N378,setup!$A$8:$H$58,2),VLOOKUP(N378,setup!$A$8:$H$58,3),VLOOKUP(N378,setup!$A$8:$H$58,4),VLOOKUP(N378,setup!$A$8:$H$58,5),VLOOKUP(N378,setup!$A$8:$H$58,6),VLOOKUP(N378,setup!$A$8:$H$58,7), VLOOKUP(0,setup!$A$8:$H$58,2),VLOOKUP(0,setup!$A$8:$H$58,5),VLOOKUP(N378,setup!$A$8:$H$58,8))</f>
        <v xml:space="preserve">        $sql = $sql . " LIMIT $final, $qtde" ;</v>
      </c>
    </row>
    <row r="379" spans="1:15" x14ac:dyDescent="0.25">
      <c r="A379" s="3"/>
      <c r="O379" s="7" t="str">
        <f ca="1">getCodigoBackend(N379,A379,VLOOKUP(N379,setup!$A$8:$H$58,2),VLOOKUP(N379,setup!$A$8:$H$58,3),VLOOKUP(N379,setup!$A$8:$H$58,4),VLOOKUP(N379,setup!$A$8:$H$58,5),VLOOKUP(N379,setup!$A$8:$H$58,6),VLOOKUP(N379,setup!$A$8:$H$58,7), VLOOKUP(0,setup!$A$8:$H$58,2),VLOOKUP(0,setup!$A$8:$H$58,5),VLOOKUP(N379,setup!$A$8:$H$58,8))</f>
        <v/>
      </c>
    </row>
    <row r="380" spans="1:15" x14ac:dyDescent="0.25">
      <c r="A380" s="6" t="s">
        <v>125</v>
      </c>
      <c r="O380" s="7" t="str">
        <f ca="1">getCodigoBackend(N380,A380,VLOOKUP(N380,setup!$A$8:$H$58,2),VLOOKUP(N380,setup!$A$8:$H$58,3),VLOOKUP(N380,setup!$A$8:$H$58,4),VLOOKUP(N380,setup!$A$8:$H$58,5),VLOOKUP(N380,setup!$A$8:$H$58,6),VLOOKUP(N380,setup!$A$8:$H$58,7), VLOOKUP(0,setup!$A$8:$H$58,2),VLOOKUP(0,setup!$A$8:$H$58,5),VLOOKUP(N380,setup!$A$8:$H$58,8))</f>
        <v>        // prepara sessão, query, troca de valores, acoplagem do resultado e o fetch</v>
      </c>
    </row>
    <row r="381" spans="1:15" x14ac:dyDescent="0.25">
      <c r="A381" s="6" t="s">
        <v>126</v>
      </c>
      <c r="O381" s="7" t="str">
        <f ca="1">getCodigoBackend(N381,A381,VLOOKUP(N381,setup!$A$8:$H$58,2),VLOOKUP(N381,setup!$A$8:$H$58,3),VLOOKUP(N381,setup!$A$8:$H$58,4),VLOOKUP(N381,setup!$A$8:$H$58,5),VLOOKUP(N381,setup!$A$8:$H$58,6),VLOOKUP(N381,setup!$A$8:$H$58,7), VLOOKUP(0,setup!$A$8:$H$58,2),VLOOKUP(0,setup!$A$8:$H$58,5),VLOOKUP(N381,setup!$A$8:$H$58,8))</f>
        <v>        $conexao = $this-&gt;daofactory-&gt;getSession();</v>
      </c>
    </row>
    <row r="382" spans="1:15" x14ac:dyDescent="0.25">
      <c r="A382" s="6" t="s">
        <v>193</v>
      </c>
      <c r="O382" s="7" t="str">
        <f ca="1">getCodigoBackend(N382,A382,VLOOKUP(N382,setup!$A$8:$H$58,2),VLOOKUP(N382,setup!$A$8:$H$58,3),VLOOKUP(N382,setup!$A$8:$H$58,4),VLOOKUP(N382,setup!$A$8:$H$58,5),VLOOKUP(N382,setup!$A$8:$H$58,6),VLOOKUP(N382,setup!$A$8:$H$58,7), VLOOKUP(0,setup!$A$8:$H$58,2),VLOOKUP(0,setup!$A$8:$H$58,5),VLOOKUP(N382,setup!$A$8:$H$58,8))</f>
        <v>        $res = $conexao-&gt;query($sql );</v>
      </c>
    </row>
    <row r="383" spans="1:15" x14ac:dyDescent="0.25">
      <c r="A383" s="6" t="s">
        <v>132</v>
      </c>
      <c r="O383" s="7" t="str">
        <f ca="1">getCodigoBackend(N383,A383,VLOOKUP(N383,setup!$A$8:$H$58,2),VLOOKUP(N383,setup!$A$8:$H$58,3),VLOOKUP(N383,setup!$A$8:$H$58,4),VLOOKUP(N383,setup!$A$8:$H$58,5),VLOOKUP(N383,setup!$A$8:$H$58,6),VLOOKUP(N383,setup!$A$8:$H$58,7), VLOOKUP(0,setup!$A$8:$H$58,2),VLOOKUP(0,setup!$A$8:$H$58,5),VLOOKUP(N383,setup!$A$8:$H$58,8))</f>
        <v>        if ($res){</v>
      </c>
    </row>
    <row r="384" spans="1:15" x14ac:dyDescent="0.25">
      <c r="A384" s="6" t="s">
        <v>133</v>
      </c>
      <c r="O384" s="7" t="str">
        <f ca="1">getCodigoBackend(N384,A384,VLOOKUP(N384,setup!$A$8:$H$58,2),VLOOKUP(N384,setup!$A$8:$H$58,3),VLOOKUP(N384,setup!$A$8:$H$58,4),VLOOKUP(N384,setup!$A$8:$H$58,5),VLOOKUP(N384,setup!$A$8:$H$58,6),VLOOKUP(N384,setup!$A$8:$H$58,7), VLOOKUP(0,setup!$A$8:$H$58,2),VLOOKUP(0,setup!$A$8:$H$58,5),VLOOKUP(N384,setup!$A$8:$H$58,8))</f>
        <v>            while ($row = $res-&gt;fetch_assoc()) {</v>
      </c>
    </row>
    <row r="385" spans="1:15" x14ac:dyDescent="0.25">
      <c r="A385" s="6" t="s">
        <v>134</v>
      </c>
      <c r="O385" s="7" t="str">
        <f ca="1">getCodigoBackend(N385,A385,VLOOKUP(N385,setup!$A$8:$H$58,2),VLOOKUP(N385,setup!$A$8:$H$58,3),VLOOKUP(N385,setup!$A$8:$H$58,4),VLOOKUP(N385,setup!$A$8:$H$58,5),VLOOKUP(N385,setup!$A$8:$H$58,6),VLOOKUP(N385,setup!$A$8:$H$58,7), VLOOKUP(0,setup!$A$8:$H$58,2),VLOOKUP(0,setup!$A$8:$H$58,5),VLOOKUP(N385,setup!$A$8:$H$58,8))</f>
        <v>                array_push($retorno, $this-&gt;getDTO($row));</v>
      </c>
    </row>
    <row r="386" spans="1:15" x14ac:dyDescent="0.25">
      <c r="A386" s="6" t="s">
        <v>51</v>
      </c>
      <c r="O386" s="7" t="str">
        <f ca="1">getCodigoBackend(N386,A386,VLOOKUP(N386,setup!$A$8:$H$58,2),VLOOKUP(N386,setup!$A$8:$H$58,3),VLOOKUP(N386,setup!$A$8:$H$58,4),VLOOKUP(N386,setup!$A$8:$H$58,5),VLOOKUP(N386,setup!$A$8:$H$58,6),VLOOKUP(N386,setup!$A$8:$H$58,7), VLOOKUP(0,setup!$A$8:$H$58,2),VLOOKUP(0,setup!$A$8:$H$58,5),VLOOKUP(N386,setup!$A$8:$H$58,8))</f>
        <v>            }</v>
      </c>
    </row>
    <row r="387" spans="1:15" x14ac:dyDescent="0.25">
      <c r="A387" s="6" t="s">
        <v>60</v>
      </c>
      <c r="O387" s="7" t="str">
        <f ca="1">getCodigoBackend(N387,A387,VLOOKUP(N387,setup!$A$8:$H$58,2),VLOOKUP(N387,setup!$A$8:$H$58,3),VLOOKUP(N387,setup!$A$8:$H$58,4),VLOOKUP(N387,setup!$A$8:$H$58,5),VLOOKUP(N387,setup!$A$8:$H$58,6),VLOOKUP(N387,setup!$A$8:$H$58,7), VLOOKUP(0,setup!$A$8:$H$58,2),VLOOKUP(0,setup!$A$8:$H$58,5),VLOOKUP(N387,setup!$A$8:$H$58,8))</f>
        <v>        }</v>
      </c>
    </row>
    <row r="388" spans="1:15" x14ac:dyDescent="0.25">
      <c r="A388" s="6" t="s">
        <v>61</v>
      </c>
      <c r="O388" s="7" t="str">
        <f ca="1">getCodigoBackend(N388,A388,VLOOKUP(N388,setup!$A$8:$H$58,2),VLOOKUP(N388,setup!$A$8:$H$58,3),VLOOKUP(N388,setup!$A$8:$H$58,4),VLOOKUP(N388,setup!$A$8:$H$58,5),VLOOKUP(N388,setup!$A$8:$H$58,6),VLOOKUP(N388,setup!$A$8:$H$58,7), VLOOKUP(0,setup!$A$8:$H$58,2),VLOOKUP(0,setup!$A$8:$H$58,5),VLOOKUP(N388,setup!$A$8:$H$58,8))</f>
        <v>        return $retorno;</v>
      </c>
    </row>
    <row r="389" spans="1:15" x14ac:dyDescent="0.25">
      <c r="A389" s="6" t="s">
        <v>62</v>
      </c>
      <c r="O389" s="7" t="str">
        <f ca="1">getCodigoBackend(N389,A389,VLOOKUP(N389,setup!$A$8:$H$58,2),VLOOKUP(N389,setup!$A$8:$H$58,3),VLOOKUP(N389,setup!$A$8:$H$58,4),VLOOKUP(N389,setup!$A$8:$H$58,5),VLOOKUP(N389,setup!$A$8:$H$58,6),VLOOKUP(N389,setup!$A$8:$H$58,7), VLOOKUP(0,setup!$A$8:$H$58,2),VLOOKUP(0,setup!$A$8:$H$58,5),VLOOKUP(N389,setup!$A$8:$H$58,8))</f>
        <v>    }</v>
      </c>
    </row>
    <row r="390" spans="1:15" x14ac:dyDescent="0.25">
      <c r="A390" s="6"/>
      <c r="O390" s="7" t="str">
        <f ca="1">getCodigoBackend(N390,A390,VLOOKUP(N390,setup!$A$8:$H$58,2),VLOOKUP(N390,setup!$A$8:$H$58,3),VLOOKUP(N390,setup!$A$8:$H$58,4),VLOOKUP(N390,setup!$A$8:$H$58,5),VLOOKUP(N390,setup!$A$8:$H$58,6),VLOOKUP(N390,setup!$A$8:$H$58,7), VLOOKUP(0,setup!$A$8:$H$58,2),VLOOKUP(0,setup!$A$8:$H$58,5),VLOOKUP(N390,setup!$A$8:$H$58,8))</f>
        <v/>
      </c>
    </row>
    <row r="391" spans="1:15" x14ac:dyDescent="0.25">
      <c r="A391" s="4" t="s">
        <v>19</v>
      </c>
      <c r="O391" s="7" t="str">
        <f ca="1">getCodigoBackend(N391,A391,VLOOKUP(N391,setup!$A$8:$H$58,2),VLOOKUP(N391,setup!$A$8:$H$58,3),VLOOKUP(N391,setup!$A$8:$H$58,4),VLOOKUP(N391,setup!$A$8:$H$58,5),VLOOKUP(N391,setup!$A$8:$H$58,6),VLOOKUP(N391,setup!$A$8:$H$58,7), VLOOKUP(0,setup!$A$8:$H$58,2),VLOOKUP(0,setup!$A$8:$H$58,5),VLOOKUP(N391,setup!$A$8:$H$58,8))</f>
        <v>/**</v>
      </c>
    </row>
    <row r="392" spans="1:15" x14ac:dyDescent="0.25">
      <c r="A392" s="4" t="s">
        <v>440</v>
      </c>
      <c r="O392" s="7" t="str">
        <f ca="1">getCodigoBackend(N392,A392,VLOOKUP(N392,setup!$A$8:$H$58,2),VLOOKUP(N392,setup!$A$8:$H$58,3),VLOOKUP(N392,setup!$A$8:$H$58,4),VLOOKUP(N392,setup!$A$8:$H$58,5),VLOOKUP(N392,setup!$A$8:$H$58,6),VLOOKUP(N392,setup!$A$8:$H$58,7), VLOOKUP(0,setup!$A$8:$H$58,2),VLOOKUP(0,setup!$A$8:$H$58,5),VLOOKUP(N392,setup!$A$8:$H$58,8))</f>
        <v>* loadPK() - Carrega APENAS um registro usando a id como item de busca</v>
      </c>
    </row>
    <row r="393" spans="1:15" x14ac:dyDescent="0.25">
      <c r="A393" s="4" t="s">
        <v>383</v>
      </c>
      <c r="O393" s="7" t="str">
        <f ca="1">getCodigoBackend(N393,A393,VLOOKUP(N393,setup!$A$8:$H$58,2),VLOOKUP(N393,setup!$A$8:$H$58,3),VLOOKUP(N393,setup!$A$8:$H$58,4),VLOOKUP(N393,setup!$A$8:$H$58,5),VLOOKUP(N393,setup!$A$8:$H$58,6),VLOOKUP(N393,setup!$A$8:$H$58,7), VLOOKUP(0,setup!$A$8:$H$58,2),VLOOKUP(0,setup!$A$8:$H$58,5),VLOOKUP(N393,setup!$A$8:$H$58,8))</f>
        <v>* na tabela CAMPANHA_CASHBACK_RESGATE_PIX usando a Primary Key CCRP_ID</v>
      </c>
    </row>
    <row r="394" spans="1:15" x14ac:dyDescent="0.25">
      <c r="A394" s="4" t="s">
        <v>20</v>
      </c>
      <c r="O394" s="7" t="str">
        <f ca="1">getCodigoBackend(N394,A394,VLOOKUP(N394,setup!$A$8:$H$58,2),VLOOKUP(N394,setup!$A$8:$H$58,3),VLOOKUP(N394,setup!$A$8:$H$58,4),VLOOKUP(N394,setup!$A$8:$H$58,5),VLOOKUP(N394,setup!$A$8:$H$58,6),VLOOKUP(N394,setup!$A$8:$H$58,7), VLOOKUP(0,setup!$A$8:$H$58,2),VLOOKUP(0,setup!$A$8:$H$58,5),VLOOKUP(N394,setup!$A$8:$H$58,8))</f>
        <v>*</v>
      </c>
    </row>
    <row r="395" spans="1:15" x14ac:dyDescent="0.25">
      <c r="A395" s="4" t="s">
        <v>346</v>
      </c>
      <c r="O395" s="7" t="str">
        <f ca="1">getCodigoBackend(N395,A395,VLOOKUP(N395,setup!$A$8:$H$58,2),VLOOKUP(N395,setup!$A$8:$H$58,3),VLOOKUP(N395,setup!$A$8:$H$58,4),VLOOKUP(N395,setup!$A$8:$H$58,5),VLOOKUP(N395,setup!$A$8:$H$58,6),VLOOKUP(N395,setup!$A$8:$H$58,7), VLOOKUP(0,setup!$A$8:$H$58,2),VLOOKUP(0,setup!$A$8:$H$58,5),VLOOKUP(N395,setup!$A$8:$H$58,8))</f>
        <v>* @param $id</v>
      </c>
    </row>
    <row r="396" spans="1:15" x14ac:dyDescent="0.25">
      <c r="A396" s="4" t="s">
        <v>441</v>
      </c>
      <c r="O396" s="7" t="str">
        <f ca="1">getCodigoBackend(N396,A396,VLOOKUP(N396,setup!$A$8:$H$58,2),VLOOKUP(N396,setup!$A$8:$H$58,3),VLOOKUP(N396,setup!$A$8:$H$58,4),VLOOKUP(N396,setup!$A$8:$H$58,5),VLOOKUP(N396,setup!$A$8:$H$58,6),VLOOKUP(N396,setup!$A$8:$H$58,7), VLOOKUP(0,setup!$A$8:$H$58,2),VLOOKUP(0,setup!$A$8:$H$58,5),VLOOKUP(N396,setup!$A$8:$H$58,8))</f>
        <v>* @return CampanhaCashbackResgatePixDTO</v>
      </c>
    </row>
    <row r="397" spans="1:15" x14ac:dyDescent="0.25">
      <c r="A397" s="4" t="s">
        <v>363</v>
      </c>
      <c r="O397" s="7" t="str">
        <f ca="1">getCodigoBackend(N397,A397,VLOOKUP(N397,setup!$A$8:$H$58,2),VLOOKUP(N397,setup!$A$8:$H$58,3),VLOOKUP(N397,setup!$A$8:$H$58,4),VLOOKUP(N397,setup!$A$8:$H$58,5),VLOOKUP(N397,setup!$A$8:$H$58,6),VLOOKUP(N397,setup!$A$8:$H$58,7), VLOOKUP(0,setup!$A$8:$H$58,2),VLOOKUP(0,setup!$A$8:$H$58,5),VLOOKUP(N397,setup!$A$8:$H$58,8))</f>
        <v xml:space="preserve">*/ </v>
      </c>
    </row>
    <row r="398" spans="1:15" x14ac:dyDescent="0.25">
      <c r="A398" s="6" t="s">
        <v>418</v>
      </c>
      <c r="O398" s="7" t="str">
        <f ca="1">getCodigoBackend(N398,A398,VLOOKUP(N398,setup!$A$8:$H$58,2),VLOOKUP(N398,setup!$A$8:$H$58,3),VLOOKUP(N398,setup!$A$8:$H$58,4),VLOOKUP(N398,setup!$A$8:$H$58,5),VLOOKUP(N398,setup!$A$8:$H$58,6),VLOOKUP(N398,setup!$A$8:$H$58,7), VLOOKUP(0,setup!$A$8:$H$58,2),VLOOKUP(0,setup!$A$8:$H$58,5),VLOOKUP(N398,setup!$A$8:$H$58,8))</f>
        <v>    public function loadPK($id)</v>
      </c>
    </row>
    <row r="399" spans="1:15" x14ac:dyDescent="0.25">
      <c r="A399" s="6" t="s">
        <v>90</v>
      </c>
      <c r="O399" s="7" t="str">
        <f ca="1">getCodigoBackend(N399,A399,VLOOKUP(N399,setup!$A$8:$H$58,2),VLOOKUP(N399,setup!$A$8:$H$58,3),VLOOKUP(N399,setup!$A$8:$H$58,4),VLOOKUP(N399,setup!$A$8:$H$58,5),VLOOKUP(N399,setup!$A$8:$H$58,6),VLOOKUP(N399,setup!$A$8:$H$58,7), VLOOKUP(0,setup!$A$8:$H$58,2),VLOOKUP(0,setup!$A$8:$H$58,5),VLOOKUP(N399,setup!$A$8:$H$58,8))</f>
        <v>    {   </v>
      </c>
    </row>
    <row r="400" spans="1:15" x14ac:dyDescent="0.25">
      <c r="A400" s="6" t="s">
        <v>40</v>
      </c>
      <c r="O400" s="7" t="str">
        <f ca="1">getCodigoBackend(N400,A400,VLOOKUP(N400,setup!$A$8:$H$58,2),VLOOKUP(N400,setup!$A$8:$H$58,3),VLOOKUP(N400,setup!$A$8:$H$58,4),VLOOKUP(N400,setup!$A$8:$H$58,5),VLOOKUP(N400,setup!$A$8:$H$58,6),VLOOKUP(N400,setup!$A$8:$H$58,7), VLOOKUP(0,setup!$A$8:$H$58,2),VLOOKUP(0,setup!$A$8:$H$58,5),VLOOKUP(N400,setup!$A$8:$H$58,8))</f>
        <v>        $retorno = NULL;</v>
      </c>
    </row>
    <row r="401" spans="1:15" x14ac:dyDescent="0.25">
      <c r="A401" s="6" t="s">
        <v>125</v>
      </c>
      <c r="O401" s="7" t="str">
        <f ca="1">getCodigoBackend(N401,A401,VLOOKUP(N401,setup!$A$8:$H$58,2),VLOOKUP(N401,setup!$A$8:$H$58,3),VLOOKUP(N401,setup!$A$8:$H$58,4),VLOOKUP(N401,setup!$A$8:$H$58,5),VLOOKUP(N401,setup!$A$8:$H$58,6),VLOOKUP(N401,setup!$A$8:$H$58,7), VLOOKUP(0,setup!$A$8:$H$58,2),VLOOKUP(0,setup!$A$8:$H$58,5),VLOOKUP(N401,setup!$A$8:$H$58,8))</f>
        <v>        // prepara sessão, query, troca de valores, acoplagem do resultado e o fetch</v>
      </c>
    </row>
    <row r="402" spans="1:15" x14ac:dyDescent="0.25">
      <c r="A402" s="6" t="s">
        <v>126</v>
      </c>
      <c r="O402" s="7" t="str">
        <f ca="1">getCodigoBackend(N402,A402,VLOOKUP(N402,setup!$A$8:$H$58,2),VLOOKUP(N402,setup!$A$8:$H$58,3),VLOOKUP(N402,setup!$A$8:$H$58,4),VLOOKUP(N402,setup!$A$8:$H$58,5),VLOOKUP(N402,setup!$A$8:$H$58,6),VLOOKUP(N402,setup!$A$8:$H$58,7), VLOOKUP(0,setup!$A$8:$H$58,2),VLOOKUP(0,setup!$A$8:$H$58,5),VLOOKUP(N402,setup!$A$8:$H$58,8))</f>
        <v>        $conexao = $this-&gt;daofactory-&gt;getSession();</v>
      </c>
    </row>
    <row r="403" spans="1:15" x14ac:dyDescent="0.25">
      <c r="A403" s="6" t="str">
        <f>CONCATENATE("        $res = $conexao-&gt;query(DmlSql${classebase}::SELECT . ' WHERE ' . DmlSql${classebase}::${campo} . '=' . $${pkdto} );")</f>
        <v>        $res = $conexao-&gt;query(DmlSql${classebase}::SELECT . ' WHERE ' . DmlSql${classebase}::${campo} . '=' . $${pkdto} );</v>
      </c>
      <c r="N403" s="7">
        <v>0</v>
      </c>
      <c r="O403" s="7" t="str">
        <f ca="1">getCodigoBackend(N403,A403,VLOOKUP(N403,setup!$A$8:$H$58,2),VLOOKUP(N403,setup!$A$8:$H$58,3),VLOOKUP(N403,setup!$A$8:$H$58,4),VLOOKUP(N403,setup!$A$8:$H$58,5),VLOOKUP(N403,setup!$A$8:$H$58,6),VLOOKUP(N403,setup!$A$8:$H$58,7), VLOOKUP(0,setup!$A$8:$H$58,2),VLOOKUP(0,setup!$A$8:$H$58,5),VLOOKUP(N403,setup!$A$8:$H$58,8))</f>
        <v>        $res = $conexao-&gt;query(DmlSqlCampanhaCashbackResgatePix::SELECT . ' WHERE ' . DmlSqlCampanhaCashbackResgatePix::CCRP_ID . '=' . $id );</v>
      </c>
    </row>
    <row r="404" spans="1:15" x14ac:dyDescent="0.25">
      <c r="A404" s="6" t="s">
        <v>931</v>
      </c>
      <c r="O404" s="7" t="str">
        <f ca="1">getCodigoBackend(N404,A404,VLOOKUP(N404,setup!$A$8:$H$58,2),VLOOKUP(N404,setup!$A$8:$H$58,3),VLOOKUP(N404,setup!$A$8:$H$58,4),VLOOKUP(N404,setup!$A$8:$H$58,5),VLOOKUP(N404,setup!$A$8:$H$58,6),VLOOKUP(N404,setup!$A$8:$H$58,7), VLOOKUP(0,setup!$A$8:$H$58,2),VLOOKUP(0,setup!$A$8:$H$58,5),VLOOKUP(N404,setup!$A$8:$H$58,8))</f>
        <v>        if ($res-&gt;num_rows &gt; 0){</v>
      </c>
    </row>
    <row r="405" spans="1:15" x14ac:dyDescent="0.25">
      <c r="A405" s="6" t="s">
        <v>137</v>
      </c>
      <c r="O405" s="7" t="str">
        <f ca="1">getCodigoBackend(N405,A405,VLOOKUP(N405,setup!$A$8:$H$58,2),VLOOKUP(N405,setup!$A$8:$H$58,3),VLOOKUP(N405,setup!$A$8:$H$58,4),VLOOKUP(N405,setup!$A$8:$H$58,5),VLOOKUP(N405,setup!$A$8:$H$58,6),VLOOKUP(N405,setup!$A$8:$H$58,7), VLOOKUP(0,setup!$A$8:$H$58,2),VLOOKUP(0,setup!$A$8:$H$58,5),VLOOKUP(N405,setup!$A$8:$H$58,8))</f>
        <v>            $retorno = $this-&gt;getDTO($res-&gt;fetch_assoc());</v>
      </c>
    </row>
    <row r="406" spans="1:15" x14ac:dyDescent="0.25">
      <c r="A406" s="6" t="s">
        <v>60</v>
      </c>
      <c r="O406" s="7" t="str">
        <f ca="1">getCodigoBackend(N406,A406,VLOOKUP(N406,setup!$A$8:$H$58,2),VLOOKUP(N406,setup!$A$8:$H$58,3),VLOOKUP(N406,setup!$A$8:$H$58,4),VLOOKUP(N406,setup!$A$8:$H$58,5),VLOOKUP(N406,setup!$A$8:$H$58,6),VLOOKUP(N406,setup!$A$8:$H$58,7), VLOOKUP(0,setup!$A$8:$H$58,2),VLOOKUP(0,setup!$A$8:$H$58,5),VLOOKUP(N406,setup!$A$8:$H$58,8))</f>
        <v>        }</v>
      </c>
    </row>
    <row r="407" spans="1:15" x14ac:dyDescent="0.25">
      <c r="A407" s="6" t="s">
        <v>61</v>
      </c>
      <c r="O407" s="7" t="str">
        <f ca="1">getCodigoBackend(N407,A407,VLOOKUP(N407,setup!$A$8:$H$58,2),VLOOKUP(N407,setup!$A$8:$H$58,3),VLOOKUP(N407,setup!$A$8:$H$58,4),VLOOKUP(N407,setup!$A$8:$H$58,5),VLOOKUP(N407,setup!$A$8:$H$58,6),VLOOKUP(N407,setup!$A$8:$H$58,7), VLOOKUP(0,setup!$A$8:$H$58,2),VLOOKUP(0,setup!$A$8:$H$58,5),VLOOKUP(N407,setup!$A$8:$H$58,8))</f>
        <v>        return $retorno;</v>
      </c>
    </row>
    <row r="408" spans="1:15" x14ac:dyDescent="0.25">
      <c r="A408" s="6" t="s">
        <v>150</v>
      </c>
      <c r="O408" s="7" t="str">
        <f ca="1">getCodigoBackend(N408,A408,VLOOKUP(N408,setup!$A$8:$H$58,2),VLOOKUP(N408,setup!$A$8:$H$58,3),VLOOKUP(N408,setup!$A$8:$H$58,4),VLOOKUP(N408,setup!$A$8:$H$58,5),VLOOKUP(N408,setup!$A$8:$H$58,6),VLOOKUP(N408,setup!$A$8:$H$58,7), VLOOKUP(0,setup!$A$8:$H$58,2),VLOOKUP(0,setup!$A$8:$H$58,5),VLOOKUP(N408,setup!$A$8:$H$58,8))</f>
        <v xml:space="preserve">    }</v>
      </c>
    </row>
    <row r="409" spans="1:15" x14ac:dyDescent="0.25">
      <c r="A409" s="6"/>
      <c r="O409" s="7" t="str">
        <f ca="1">getCodigoBackend(N409,A409,VLOOKUP(N409,setup!$A$8:$H$58,2),VLOOKUP(N409,setup!$A$8:$H$58,3),VLOOKUP(N409,setup!$A$8:$H$58,4),VLOOKUP(N409,setup!$A$8:$H$58,5),VLOOKUP(N409,setup!$A$8:$H$58,6),VLOOKUP(N409,setup!$A$8:$H$58,7), VLOOKUP(0,setup!$A$8:$H$58,2),VLOOKUP(0,setup!$A$8:$H$58,5),VLOOKUP(N409,setup!$A$8:$H$58,8))</f>
        <v/>
      </c>
    </row>
    <row r="410" spans="1:15" x14ac:dyDescent="0.25">
      <c r="A410" s="4" t="s">
        <v>19</v>
      </c>
      <c r="O410" s="7" t="str">
        <f ca="1">getCodigoBackend(N410,A410,VLOOKUP(N410,setup!$A$8:$H$58,2),VLOOKUP(N410,setup!$A$8:$H$58,3),VLOOKUP(N410,setup!$A$8:$H$58,4),VLOOKUP(N410,setup!$A$8:$H$58,5),VLOOKUP(N410,setup!$A$8:$H$58,6),VLOOKUP(N410,setup!$A$8:$H$58,7), VLOOKUP(0,setup!$A$8:$H$58,2),VLOOKUP(0,setup!$A$8:$H$58,5),VLOOKUP(N410,setup!$A$8:$H$58,8))</f>
        <v>/**</v>
      </c>
    </row>
    <row r="411" spans="1:15" x14ac:dyDescent="0.25">
      <c r="A411" s="4" t="s">
        <v>442</v>
      </c>
      <c r="O411" s="7" t="str">
        <f ca="1">getCodigoBackend(N411,A411,VLOOKUP(N411,setup!$A$8:$H$58,2),VLOOKUP(N411,setup!$A$8:$H$58,3),VLOOKUP(N411,setup!$A$8:$H$58,4),VLOOKUP(N411,setup!$A$8:$H$58,5),VLOOKUP(N411,setup!$A$8:$H$58,6),VLOOKUP(N411,setup!$A$8:$H$58,7), VLOOKUP(0,setup!$A$8:$H$58,2),VLOOKUP(0,setup!$A$8:$H$58,5),VLOOKUP(N411,setup!$A$8:$H$58,8))</f>
        <v>* updateStatus() - atualizar o campo de STATUS utilizando a id como item de busca</v>
      </c>
    </row>
    <row r="412" spans="1:15" x14ac:dyDescent="0.25">
      <c r="A412" s="4" t="s">
        <v>383</v>
      </c>
      <c r="O412" s="7" t="str">
        <f ca="1">getCodigoBackend(N412,A412,VLOOKUP(N412,setup!$A$8:$H$58,2),VLOOKUP(N412,setup!$A$8:$H$58,3),VLOOKUP(N412,setup!$A$8:$H$58,4),VLOOKUP(N412,setup!$A$8:$H$58,5),VLOOKUP(N412,setup!$A$8:$H$58,6),VLOOKUP(N412,setup!$A$8:$H$58,7), VLOOKUP(0,setup!$A$8:$H$58,2),VLOOKUP(0,setup!$A$8:$H$58,5),VLOOKUP(N412,setup!$A$8:$H$58,8))</f>
        <v>* na tabela CAMPANHA_CASHBACK_RESGATE_PIX usando a Primary Key CCRP_ID</v>
      </c>
    </row>
    <row r="413" spans="1:15" x14ac:dyDescent="0.25">
      <c r="A413" s="4" t="s">
        <v>20</v>
      </c>
      <c r="O413" s="7" t="str">
        <f ca="1">getCodigoBackend(N413,A413,VLOOKUP(N413,setup!$A$8:$H$58,2),VLOOKUP(N413,setup!$A$8:$H$58,3),VLOOKUP(N413,setup!$A$8:$H$58,4),VLOOKUP(N413,setup!$A$8:$H$58,5),VLOOKUP(N413,setup!$A$8:$H$58,6),VLOOKUP(N413,setup!$A$8:$H$58,7), VLOOKUP(0,setup!$A$8:$H$58,2),VLOOKUP(0,setup!$A$8:$H$58,5),VLOOKUP(N413,setup!$A$8:$H$58,8))</f>
        <v>*</v>
      </c>
    </row>
    <row r="414" spans="1:15" x14ac:dyDescent="0.25">
      <c r="A414" s="4" t="s">
        <v>346</v>
      </c>
      <c r="O414" s="7" t="str">
        <f ca="1">getCodigoBackend(N414,A414,VLOOKUP(N414,setup!$A$8:$H$58,2),VLOOKUP(N414,setup!$A$8:$H$58,3),VLOOKUP(N414,setup!$A$8:$H$58,4),VLOOKUP(N414,setup!$A$8:$H$58,5),VLOOKUP(N414,setup!$A$8:$H$58,6),VLOOKUP(N414,setup!$A$8:$H$58,7), VLOOKUP(0,setup!$A$8:$H$58,2),VLOOKUP(0,setup!$A$8:$H$58,5),VLOOKUP(N414,setup!$A$8:$H$58,8))</f>
        <v>* @param $id</v>
      </c>
    </row>
    <row r="415" spans="1:15" x14ac:dyDescent="0.25">
      <c r="A415" s="4" t="s">
        <v>350</v>
      </c>
      <c r="O415" s="7" t="str">
        <f ca="1">getCodigoBackend(N415,A415,VLOOKUP(N415,setup!$A$8:$H$58,2),VLOOKUP(N415,setup!$A$8:$H$58,3),VLOOKUP(N415,setup!$A$8:$H$58,4),VLOOKUP(N415,setup!$A$8:$H$58,5),VLOOKUP(N415,setup!$A$8:$H$58,6),VLOOKUP(N415,setup!$A$8:$H$58,7), VLOOKUP(0,setup!$A$8:$H$58,2),VLOOKUP(0,setup!$A$8:$H$58,5),VLOOKUP(N415,setup!$A$8:$H$58,8))</f>
        <v>* @param $status</v>
      </c>
    </row>
    <row r="416" spans="1:15" x14ac:dyDescent="0.25">
      <c r="A416" s="4" t="s">
        <v>20</v>
      </c>
      <c r="O416" s="7" t="str">
        <f ca="1">getCodigoBackend(N416,A416,VLOOKUP(N416,setup!$A$8:$H$58,2),VLOOKUP(N416,setup!$A$8:$H$58,3),VLOOKUP(N416,setup!$A$8:$H$58,4),VLOOKUP(N416,setup!$A$8:$H$58,5),VLOOKUP(N416,setup!$A$8:$H$58,6),VLOOKUP(N416,setup!$A$8:$H$58,7), VLOOKUP(0,setup!$A$8:$H$58,2),VLOOKUP(0,setup!$A$8:$H$58,5),VLOOKUP(N416,setup!$A$8:$H$58,8))</f>
        <v>*</v>
      </c>
    </row>
    <row r="417" spans="1:15" x14ac:dyDescent="0.25">
      <c r="A417" s="4" t="s">
        <v>384</v>
      </c>
      <c r="O417" s="7" t="str">
        <f ca="1">getCodigoBackend(N417,A417,VLOOKUP(N417,setup!$A$8:$H$58,2),VLOOKUP(N417,setup!$A$8:$H$58,3),VLOOKUP(N417,setup!$A$8:$H$58,4),VLOOKUP(N417,setup!$A$8:$H$58,5),VLOOKUP(N417,setup!$A$8:$H$58,6),VLOOKUP(N417,setup!$A$8:$H$58,7), VLOOKUP(0,setup!$A$8:$H$58,2),VLOOKUP(0,setup!$A$8:$H$58,5),VLOOKUP(N417,setup!$A$8:$H$58,8))</f>
        <v>* @return CampanhaCashbackResgatePixDTO</v>
      </c>
    </row>
    <row r="418" spans="1:15" x14ac:dyDescent="0.25">
      <c r="A418" s="4" t="s">
        <v>363</v>
      </c>
      <c r="O418" s="7" t="str">
        <f ca="1">getCodigoBackend(N418,A418,VLOOKUP(N418,setup!$A$8:$H$58,2),VLOOKUP(N418,setup!$A$8:$H$58,3),VLOOKUP(N418,setup!$A$8:$H$58,4),VLOOKUP(N418,setup!$A$8:$H$58,5),VLOOKUP(N418,setup!$A$8:$H$58,6),VLOOKUP(N418,setup!$A$8:$H$58,7), VLOOKUP(0,setup!$A$8:$H$58,2),VLOOKUP(0,setup!$A$8:$H$58,5),VLOOKUP(N418,setup!$A$8:$H$58,8))</f>
        <v xml:space="preserve">*/ </v>
      </c>
    </row>
    <row r="419" spans="1:15" x14ac:dyDescent="0.25">
      <c r="A419" s="6" t="s">
        <v>317</v>
      </c>
      <c r="O419" s="7" t="str">
        <f ca="1">getCodigoBackend(N419,A419,VLOOKUP(N419,setup!$A$8:$H$58,2),VLOOKUP(N419,setup!$A$8:$H$58,3),VLOOKUP(N419,setup!$A$8:$H$58,4),VLOOKUP(N419,setup!$A$8:$H$58,5),VLOOKUP(N419,setup!$A$8:$H$58,6),VLOOKUP(N419,setup!$A$8:$H$58,7), VLOOKUP(0,setup!$A$8:$H$58,2),VLOOKUP(0,setup!$A$8:$H$58,5),VLOOKUP(N419,setup!$A$8:$H$58,8))</f>
        <v>    public function updateStatus($id, $status)</v>
      </c>
    </row>
    <row r="420" spans="1:15" x14ac:dyDescent="0.25">
      <c r="A420" s="6" t="s">
        <v>90</v>
      </c>
      <c r="O420" s="7" t="str">
        <f ca="1">getCodigoBackend(N420,A420,VLOOKUP(N420,setup!$A$8:$H$58,2),VLOOKUP(N420,setup!$A$8:$H$58,3),VLOOKUP(N420,setup!$A$8:$H$58,4),VLOOKUP(N420,setup!$A$8:$H$58,5),VLOOKUP(N420,setup!$A$8:$H$58,6),VLOOKUP(N420,setup!$A$8:$H$58,7), VLOOKUP(0,setup!$A$8:$H$58,2),VLOOKUP(0,setup!$A$8:$H$58,5),VLOOKUP(N420,setup!$A$8:$H$58,8))</f>
        <v>    {   </v>
      </c>
    </row>
    <row r="421" spans="1:15" x14ac:dyDescent="0.25">
      <c r="A421" s="6" t="s">
        <v>124</v>
      </c>
      <c r="O421" s="7" t="str">
        <f ca="1">getCodigoBackend(N421,A421,VLOOKUP(N421,setup!$A$8:$H$58,2),VLOOKUP(N421,setup!$A$8:$H$58,3),VLOOKUP(N421,setup!$A$8:$H$58,4),VLOOKUP(N421,setup!$A$8:$H$58,5),VLOOKUP(N421,setup!$A$8:$H$58,6),VLOOKUP(N421,setup!$A$8:$H$58,7), VLOOKUP(0,setup!$A$8:$H$58,2),VLOOKUP(0,setup!$A$8:$H$58,5),VLOOKUP(N421,setup!$A$8:$H$58,8))</f>
        <v>        $retorno = false;</v>
      </c>
    </row>
    <row r="422" spans="1:15" x14ac:dyDescent="0.25">
      <c r="A422" s="6" t="s">
        <v>125</v>
      </c>
      <c r="O422" s="7" t="str">
        <f ca="1">getCodigoBackend(N422,A422,VLOOKUP(N422,setup!$A$8:$H$58,2),VLOOKUP(N422,setup!$A$8:$H$58,3),VLOOKUP(N422,setup!$A$8:$H$58,4),VLOOKUP(N422,setup!$A$8:$H$58,5),VLOOKUP(N422,setup!$A$8:$H$58,6),VLOOKUP(N422,setup!$A$8:$H$58,7), VLOOKUP(0,setup!$A$8:$H$58,2),VLOOKUP(0,setup!$A$8:$H$58,5),VLOOKUP(N422,setup!$A$8:$H$58,8))</f>
        <v>        // prepara sessão, query, troca de valores, acoplagem do resultado e o fetch</v>
      </c>
    </row>
    <row r="423" spans="1:15" x14ac:dyDescent="0.25">
      <c r="A423" s="6" t="s">
        <v>126</v>
      </c>
      <c r="O423" s="7" t="str">
        <f ca="1">getCodigoBackend(N423,A423,VLOOKUP(N423,setup!$A$8:$H$58,2),VLOOKUP(N423,setup!$A$8:$H$58,3),VLOOKUP(N423,setup!$A$8:$H$58,4),VLOOKUP(N423,setup!$A$8:$H$58,5),VLOOKUP(N423,setup!$A$8:$H$58,6),VLOOKUP(N423,setup!$A$8:$H$58,7), VLOOKUP(0,setup!$A$8:$H$58,2),VLOOKUP(0,setup!$A$8:$H$58,5),VLOOKUP(N423,setup!$A$8:$H$58,8))</f>
        <v>        $conexao = $this-&gt;daofactory-&gt;getSession();</v>
      </c>
    </row>
    <row r="424" spans="1:15" x14ac:dyDescent="0.25">
      <c r="A424" s="6" t="s">
        <v>318</v>
      </c>
      <c r="O424" s="7" t="str">
        <f ca="1">getCodigoBackend(N424,A424,VLOOKUP(N424,setup!$A$8:$H$58,2),VLOOKUP(N424,setup!$A$8:$H$58,3),VLOOKUP(N424,setup!$A$8:$H$58,4),VLOOKUP(N424,setup!$A$8:$H$58,5),VLOOKUP(N424,setup!$A$8:$H$58,6),VLOOKUP(N424,setup!$A$8:$H$58,7), VLOOKUP(0,setup!$A$8:$H$58,2),VLOOKUP(0,setup!$A$8:$H$58,5),VLOOKUP(N424,setup!$A$8:$H$58,8))</f>
        <v>        $stmt = $conexao-&gt;prepare(DmlSqlCampanhaCashbackResgatePix::UPD_STATUS);</v>
      </c>
    </row>
    <row r="425" spans="1:15" x14ac:dyDescent="0.25">
      <c r="A425" s="6" t="str">
        <f>CONCATENATE("        $stmt-&gt;bind_param(DmlSql::${mysql} ")</f>
        <v xml:space="preserve">        $stmt-&gt;bind_param(DmlSql::${mysql} </v>
      </c>
      <c r="N425" s="7">
        <v>48</v>
      </c>
      <c r="O425" s="7" t="str">
        <f ca="1">getCodigoBackend(N425,A425,VLOOKUP(N425,setup!$A$8:$H$58,2),VLOOKUP(N425,setup!$A$8:$H$58,3),VLOOKUP(N425,setup!$A$8:$H$58,4),VLOOKUP(N425,setup!$A$8:$H$58,5),VLOOKUP(N425,setup!$A$8:$H$58,6),VLOOKUP(N425,setup!$A$8:$H$58,7), VLOOKUP(0,setup!$A$8:$H$58,2),VLOOKUP(0,setup!$A$8:$H$58,5),VLOOKUP(N425,setup!$A$8:$H$58,8))</f>
        <v xml:space="preserve">        $stmt-&gt;bind_param(DmlSql::STRING_TYPE </v>
      </c>
    </row>
    <row r="426" spans="1:15" x14ac:dyDescent="0.25">
      <c r="A426" s="6" t="str">
        <f>CONCATENATE("                            . DmlSql::${mysql} ")</f>
        <v xml:space="preserve">                            . DmlSql::${mysql} </v>
      </c>
      <c r="N426" s="7">
        <v>48</v>
      </c>
      <c r="O426" s="7" t="str">
        <f ca="1">getCodigoBackend(N426,A426,VLOOKUP(N426,setup!$A$8:$H$58,2),VLOOKUP(N426,setup!$A$8:$H$58,3),VLOOKUP(N426,setup!$A$8:$H$58,4),VLOOKUP(N426,setup!$A$8:$H$58,5),VLOOKUP(N426,setup!$A$8:$H$58,6),VLOOKUP(N426,setup!$A$8:$H$58,7), VLOOKUP(0,setup!$A$8:$H$58,2),VLOOKUP(0,setup!$A$8:$H$58,5),VLOOKUP(N426,setup!$A$8:$H$58,8))</f>
        <v xml:space="preserve">                            . DmlSql::STRING_TYPE </v>
      </c>
    </row>
    <row r="427" spans="1:15" x14ac:dyDescent="0.25">
      <c r="A427" s="6" t="s">
        <v>138</v>
      </c>
      <c r="O427" s="7" t="str">
        <f ca="1">getCodigoBackend(N427,A427,VLOOKUP(N427,setup!$A$8:$H$58,2),VLOOKUP(N427,setup!$A$8:$H$58,3),VLOOKUP(N427,setup!$A$8:$H$58,4),VLOOKUP(N427,setup!$A$8:$H$58,5),VLOOKUP(N427,setup!$A$8:$H$58,6),VLOOKUP(N427,setup!$A$8:$H$58,7), VLOOKUP(0,setup!$A$8:$H$58,2),VLOOKUP(0,setup!$A$8:$H$58,5),VLOOKUP(N427,setup!$A$8:$H$58,8))</f>
        <v>                            ,$status</v>
      </c>
    </row>
    <row r="428" spans="1:15" x14ac:dyDescent="0.25">
      <c r="A428" s="6" t="s">
        <v>319</v>
      </c>
      <c r="O428" s="7" t="str">
        <f ca="1">getCodigoBackend(N428,A428,VLOOKUP(N428,setup!$A$8:$H$58,2),VLOOKUP(N428,setup!$A$8:$H$58,3),VLOOKUP(N428,setup!$A$8:$H$58,4),VLOOKUP(N428,setup!$A$8:$H$58,5),VLOOKUP(N428,setup!$A$8:$H$58,6),VLOOKUP(N428,setup!$A$8:$H$58,7), VLOOKUP(0,setup!$A$8:$H$58,2),VLOOKUP(0,setup!$A$8:$H$58,5),VLOOKUP(N428,setup!$A$8:$H$58,8))</f>
        <v>                            ,$id);</v>
      </c>
    </row>
    <row r="429" spans="1:15" x14ac:dyDescent="0.25">
      <c r="A429" s="6" t="s">
        <v>127</v>
      </c>
      <c r="O429" s="7" t="str">
        <f ca="1">getCodigoBackend(N429,A429,VLOOKUP(N429,setup!$A$8:$H$58,2),VLOOKUP(N429,setup!$A$8:$H$58,3),VLOOKUP(N429,setup!$A$8:$H$58,4),VLOOKUP(N429,setup!$A$8:$H$58,5),VLOOKUP(N429,setup!$A$8:$H$58,6),VLOOKUP(N429,setup!$A$8:$H$58,7), VLOOKUP(0,setup!$A$8:$H$58,2),VLOOKUP(0,setup!$A$8:$H$58,5),VLOOKUP(N429,setup!$A$8:$H$58,8))</f>
        <v>        if ($stmt-&gt;execute())</v>
      </c>
    </row>
    <row r="430" spans="1:15" x14ac:dyDescent="0.25">
      <c r="A430" s="6" t="s">
        <v>128</v>
      </c>
      <c r="O430" s="7" t="str">
        <f ca="1">getCodigoBackend(N430,A430,VLOOKUP(N430,setup!$A$8:$H$58,2),VLOOKUP(N430,setup!$A$8:$H$58,3),VLOOKUP(N430,setup!$A$8:$H$58,4),VLOOKUP(N430,setup!$A$8:$H$58,5),VLOOKUP(N430,setup!$A$8:$H$58,6),VLOOKUP(N430,setup!$A$8:$H$58,7), VLOOKUP(0,setup!$A$8:$H$58,2),VLOOKUP(0,setup!$A$8:$H$58,5),VLOOKUP(N430,setup!$A$8:$H$58,8))</f>
        <v>        {</v>
      </c>
    </row>
    <row r="431" spans="1:15" x14ac:dyDescent="0.25">
      <c r="A431" s="6" t="s">
        <v>129</v>
      </c>
      <c r="O431" s="7" t="str">
        <f ca="1">getCodigoBackend(N431,A431,VLOOKUP(N431,setup!$A$8:$H$58,2),VLOOKUP(N431,setup!$A$8:$H$58,3),VLOOKUP(N431,setup!$A$8:$H$58,4),VLOOKUP(N431,setup!$A$8:$H$58,5),VLOOKUP(N431,setup!$A$8:$H$58,6),VLOOKUP(N431,setup!$A$8:$H$58,7), VLOOKUP(0,setup!$A$8:$H$58,2),VLOOKUP(0,setup!$A$8:$H$58,5),VLOOKUP(N431,setup!$A$8:$H$58,8))</f>
        <v>            $retorno = true;</v>
      </c>
    </row>
    <row r="432" spans="1:15" x14ac:dyDescent="0.25">
      <c r="A432" s="6" t="s">
        <v>60</v>
      </c>
      <c r="O432" s="7" t="str">
        <f ca="1">getCodigoBackend(N432,A432,VLOOKUP(N432,setup!$A$8:$H$58,2),VLOOKUP(N432,setup!$A$8:$H$58,3),VLOOKUP(N432,setup!$A$8:$H$58,4),VLOOKUP(N432,setup!$A$8:$H$58,5),VLOOKUP(N432,setup!$A$8:$H$58,6),VLOOKUP(N432,setup!$A$8:$H$58,7), VLOOKUP(0,setup!$A$8:$H$58,2),VLOOKUP(0,setup!$A$8:$H$58,5),VLOOKUP(N432,setup!$A$8:$H$58,8))</f>
        <v>        }</v>
      </c>
    </row>
    <row r="433" spans="1:15" x14ac:dyDescent="0.25">
      <c r="A433" s="3"/>
      <c r="O433" s="7" t="str">
        <f ca="1">getCodigoBackend(N433,A433,VLOOKUP(N433,setup!$A$8:$H$58,2),VLOOKUP(N433,setup!$A$8:$H$58,3),VLOOKUP(N433,setup!$A$8:$H$58,4),VLOOKUP(N433,setup!$A$8:$H$58,5),VLOOKUP(N433,setup!$A$8:$H$58,6),VLOOKUP(N433,setup!$A$8:$H$58,7), VLOOKUP(0,setup!$A$8:$H$58,2),VLOOKUP(0,setup!$A$8:$H$58,5),VLOOKUP(N433,setup!$A$8:$H$58,8))</f>
        <v/>
      </c>
    </row>
    <row r="434" spans="1:15" x14ac:dyDescent="0.25">
      <c r="A434" s="6" t="s">
        <v>61</v>
      </c>
      <c r="O434" s="7" t="str">
        <f ca="1">getCodigoBackend(N434,A434,VLOOKUP(N434,setup!$A$8:$H$58,2),VLOOKUP(N434,setup!$A$8:$H$58,3),VLOOKUP(N434,setup!$A$8:$H$58,4),VLOOKUP(N434,setup!$A$8:$H$58,5),VLOOKUP(N434,setup!$A$8:$H$58,6),VLOOKUP(N434,setup!$A$8:$H$58,7), VLOOKUP(0,setup!$A$8:$H$58,2),VLOOKUP(0,setup!$A$8:$H$58,5),VLOOKUP(N434,setup!$A$8:$H$58,8))</f>
        <v>        return $retorno;</v>
      </c>
    </row>
    <row r="435" spans="1:15" x14ac:dyDescent="0.25">
      <c r="A435" s="6" t="s">
        <v>62</v>
      </c>
      <c r="O435" s="7" t="str">
        <f ca="1">getCodigoBackend(N435,A435,VLOOKUP(N435,setup!$A$8:$H$58,2),VLOOKUP(N435,setup!$A$8:$H$58,3),VLOOKUP(N435,setup!$A$8:$H$58,4),VLOOKUP(N435,setup!$A$8:$H$58,5),VLOOKUP(N435,setup!$A$8:$H$58,6),VLOOKUP(N435,setup!$A$8:$H$58,7), VLOOKUP(0,setup!$A$8:$H$58,2),VLOOKUP(0,setup!$A$8:$H$58,5),VLOOKUP(N435,setup!$A$8:$H$58,8))</f>
        <v>    }</v>
      </c>
    </row>
    <row r="436" spans="1:15" x14ac:dyDescent="0.25">
      <c r="A436" s="6"/>
      <c r="O436" s="7" t="str">
        <f ca="1">getCodigoBackend(N436,A436,VLOOKUP(N436,setup!$A$8:$H$58,2),VLOOKUP(N436,setup!$A$8:$H$58,3),VLOOKUP(N436,setup!$A$8:$H$58,4),VLOOKUP(N436,setup!$A$8:$H$58,5),VLOOKUP(N436,setup!$A$8:$H$58,6),VLOOKUP(N436,setup!$A$8:$H$58,7), VLOOKUP(0,setup!$A$8:$H$58,2),VLOOKUP(0,setup!$A$8:$H$58,5),VLOOKUP(N436,setup!$A$8:$H$58,8))</f>
        <v/>
      </c>
    </row>
    <row r="437" spans="1:15" x14ac:dyDescent="0.25">
      <c r="A437" s="4" t="s">
        <v>19</v>
      </c>
      <c r="O437" s="7" t="str">
        <f ca="1">getCodigoBackend(N437,A437,VLOOKUP(N437,setup!$A$8:$H$58,2),VLOOKUP(N437,setup!$A$8:$H$58,3),VLOOKUP(N437,setup!$A$8:$H$58,4),VLOOKUP(N437,setup!$A$8:$H$58,5),VLOOKUP(N437,setup!$A$8:$H$58,6),VLOOKUP(N437,setup!$A$8:$H$58,7), VLOOKUP(0,setup!$A$8:$H$58,2),VLOOKUP(0,setup!$A$8:$H$58,5),VLOOKUP(N437,setup!$A$8:$H$58,8))</f>
        <v>/**</v>
      </c>
    </row>
    <row r="438" spans="1:15" x14ac:dyDescent="0.25">
      <c r="A438" s="4" t="s">
        <v>443</v>
      </c>
      <c r="O438" s="7" t="str">
        <f ca="1">getCodigoBackend(N438,A438,VLOOKUP(N438,setup!$A$8:$H$58,2),VLOOKUP(N438,setup!$A$8:$H$58,3),VLOOKUP(N438,setup!$A$8:$H$58,4),VLOOKUP(N438,setup!$A$8:$H$58,5),VLOOKUP(N438,setup!$A$8:$H$58,6),VLOOKUP(N438,setup!$A$8:$H$58,7), VLOOKUP(0,setup!$A$8:$H$58,2),VLOOKUP(0,setup!$A$8:$H$58,5),VLOOKUP(N438,setup!$A$8:$H$58,8))</f>
        <v>* insert() - inserir um registro com base no CampanhaCashbackResgatePixDTO. Alguns atributos dentro do DTO</v>
      </c>
    </row>
    <row r="439" spans="1:15" x14ac:dyDescent="0.25">
      <c r="A439" s="4" t="s">
        <v>444</v>
      </c>
      <c r="O439" s="7" t="str">
        <f ca="1">getCodigoBackend(N439,A439,VLOOKUP(N439,setup!$A$8:$H$58,2),VLOOKUP(N439,setup!$A$8:$H$58,3),VLOOKUP(N439,setup!$A$8:$H$58,4),VLOOKUP(N439,setup!$A$8:$H$58,5),VLOOKUP(N439,setup!$A$8:$H$58,6),VLOOKUP(N439,setup!$A$8:$H$58,7), VLOOKUP(0,setup!$A$8:$H$58,2),VLOOKUP(0,setup!$A$8:$H$58,5),VLOOKUP(N439,setup!$A$8:$H$58,8))</f>
        <v>* serão ignorados caso estejam populados, pois os mesmos possuem constraint de DEFAULT value</v>
      </c>
    </row>
    <row r="440" spans="1:15" x14ac:dyDescent="0.25">
      <c r="A440" s="4" t="s">
        <v>445</v>
      </c>
      <c r="O440" s="7" t="str">
        <f ca="1">getCodigoBackend(N440,A440,VLOOKUP(N440,setup!$A$8:$H$58,2),VLOOKUP(N440,setup!$A$8:$H$58,3),VLOOKUP(N440,setup!$A$8:$H$58,4),VLOOKUP(N440,setup!$A$8:$H$58,5),VLOOKUP(N440,setup!$A$8:$H$58,6),VLOOKUP(N440,setup!$A$8:$H$58,7), VLOOKUP(0,setup!$A$8:$H$58,2),VLOOKUP(0,setup!$A$8:$H$58,5),VLOOKUP(N440,setup!$A$8:$H$58,8))</f>
        <v>* ou campos de AUTO INCREMENTO já previamente definidos no DDL de criação de tabelas do BD.</v>
      </c>
    </row>
    <row r="441" spans="1:15" x14ac:dyDescent="0.25">
      <c r="A441" s="4" t="s">
        <v>20</v>
      </c>
      <c r="O441" s="7" t="str">
        <f ca="1">getCodigoBackend(N441,A441,VLOOKUP(N441,setup!$A$8:$H$58,2),VLOOKUP(N441,setup!$A$8:$H$58,3),VLOOKUP(N441,setup!$A$8:$H$58,4),VLOOKUP(N441,setup!$A$8:$H$58,5),VLOOKUP(N441,setup!$A$8:$H$58,6),VLOOKUP(N441,setup!$A$8:$H$58,7), VLOOKUP(0,setup!$A$8:$H$58,2),VLOOKUP(0,setup!$A$8:$H$58,5),VLOOKUP(N441,setup!$A$8:$H$58,8))</f>
        <v>*</v>
      </c>
    </row>
    <row r="442" spans="1:15" x14ac:dyDescent="0.25">
      <c r="A442" s="4" t="s">
        <v>393</v>
      </c>
      <c r="O442" s="7" t="str">
        <f ca="1">getCodigoBackend(N442,A442,VLOOKUP(N442,setup!$A$8:$H$58,2),VLOOKUP(N442,setup!$A$8:$H$58,3),VLOOKUP(N442,setup!$A$8:$H$58,4),VLOOKUP(N442,setup!$A$8:$H$58,5),VLOOKUP(N442,setup!$A$8:$H$58,6),VLOOKUP(N442,setup!$A$8:$H$58,7), VLOOKUP(0,setup!$A$8:$H$58,2),VLOOKUP(0,setup!$A$8:$H$58,5),VLOOKUP(N442,setup!$A$8:$H$58,8))</f>
        <v>* Atributos da classe CampanhaCashbackResgatePixDTO sumariamente IGNORADOS por este método MESMO que estejam preenchidos:</v>
      </c>
    </row>
    <row r="443" spans="1:15" x14ac:dyDescent="0.25">
      <c r="A443" s="4" t="s">
        <v>392</v>
      </c>
      <c r="O443" s="7" t="str">
        <f ca="1">getCodigoBackend(N443,A443,VLOOKUP(N443,setup!$A$8:$H$58,2),VLOOKUP(N443,setup!$A$8:$H$58,3),VLOOKUP(N443,setup!$A$8:$H$58,4),VLOOKUP(N443,setup!$A$8:$H$58,5),VLOOKUP(N443,setup!$A$8:$H$58,6),VLOOKUP(N443,setup!$A$8:$H$58,7), VLOOKUP(0,setup!$A$8:$H$58,2),VLOOKUP(0,setup!$A$8:$H$58,5),VLOOKUP(N443,setup!$A$8:$H$58,8))</f>
        <v>* id</v>
      </c>
    </row>
    <row r="444" spans="1:15" x14ac:dyDescent="0.25">
      <c r="A444" s="4" t="s">
        <v>388</v>
      </c>
      <c r="O444" s="7" t="str">
        <f ca="1">getCodigoBackend(N444,A444,VLOOKUP(N444,setup!$A$8:$H$58,2),VLOOKUP(N444,setup!$A$8:$H$58,3),VLOOKUP(N444,setup!$A$8:$H$58,4),VLOOKUP(N444,setup!$A$8:$H$58,5),VLOOKUP(N444,setup!$A$8:$H$58,6),VLOOKUP(N444,setup!$A$8:$H$58,7), VLOOKUP(0,setup!$A$8:$H$58,2),VLOOKUP(0,setup!$A$8:$H$58,5),VLOOKUP(N444,setup!$A$8:$H$58,8))</f>
        <v>* status</v>
      </c>
    </row>
    <row r="445" spans="1:15" x14ac:dyDescent="0.25">
      <c r="A445" s="4" t="s">
        <v>389</v>
      </c>
      <c r="O445" s="7" t="str">
        <f ca="1">getCodigoBackend(N445,A445,VLOOKUP(N445,setup!$A$8:$H$58,2),VLOOKUP(N445,setup!$A$8:$H$58,3),VLOOKUP(N445,setup!$A$8:$H$58,4),VLOOKUP(N445,setup!$A$8:$H$58,5),VLOOKUP(N445,setup!$A$8:$H$58,6),VLOOKUP(N445,setup!$A$8:$H$58,7), VLOOKUP(0,setup!$A$8:$H$58,2),VLOOKUP(0,setup!$A$8:$H$58,5),VLOOKUP(N445,setup!$A$8:$H$58,8))</f>
        <v>* dataCadastro</v>
      </c>
    </row>
    <row r="446" spans="1:15" x14ac:dyDescent="0.25">
      <c r="A446" s="4" t="s">
        <v>390</v>
      </c>
      <c r="O446" s="7" t="str">
        <f ca="1">getCodigoBackend(N446,A446,VLOOKUP(N446,setup!$A$8:$H$58,2),VLOOKUP(N446,setup!$A$8:$H$58,3),VLOOKUP(N446,setup!$A$8:$H$58,4),VLOOKUP(N446,setup!$A$8:$H$58,5),VLOOKUP(N446,setup!$A$8:$H$58,6),VLOOKUP(N446,setup!$A$8:$H$58,7), VLOOKUP(0,setup!$A$8:$H$58,2),VLOOKUP(0,setup!$A$8:$H$58,5),VLOOKUP(N446,setup!$A$8:$H$58,8))</f>
        <v>* dataAtualizacao</v>
      </c>
    </row>
    <row r="447" spans="1:15" x14ac:dyDescent="0.25">
      <c r="A447" s="4" t="s">
        <v>20</v>
      </c>
      <c r="O447" s="7" t="str">
        <f ca="1">getCodigoBackend(N447,A447,VLOOKUP(N447,setup!$A$8:$H$58,2),VLOOKUP(N447,setup!$A$8:$H$58,3),VLOOKUP(N447,setup!$A$8:$H$58,4),VLOOKUP(N447,setup!$A$8:$H$58,5),VLOOKUP(N447,setup!$A$8:$H$58,6),VLOOKUP(N447,setup!$A$8:$H$58,7), VLOOKUP(0,setup!$A$8:$H$58,2),VLOOKUP(0,setup!$A$8:$H$58,5),VLOOKUP(N447,setup!$A$8:$H$58,8))</f>
        <v>*</v>
      </c>
    </row>
    <row r="448" spans="1:15" x14ac:dyDescent="0.25">
      <c r="A448" s="4" t="s">
        <v>438</v>
      </c>
      <c r="O448" s="7" t="str">
        <f ca="1">getCodigoBackend(N448,A448,VLOOKUP(N448,setup!$A$8:$H$58,2),VLOOKUP(N448,setup!$A$8:$H$58,3),VLOOKUP(N448,setup!$A$8:$H$58,4),VLOOKUP(N448,setup!$A$8:$H$58,5),VLOOKUP(N448,setup!$A$8:$H$58,6),VLOOKUP(N448,setup!$A$8:$H$58,7), VLOOKUP(0,setup!$A$8:$H$58,2),VLOOKUP(0,setup!$A$8:$H$58,5),VLOOKUP(N448,setup!$A$8:$H$58,8))</f>
        <v>* @return boolean</v>
      </c>
    </row>
    <row r="449" spans="1:15" x14ac:dyDescent="0.25">
      <c r="A449" s="4" t="s">
        <v>363</v>
      </c>
      <c r="O449" s="7" t="str">
        <f ca="1">getCodigoBackend(N449,A449,VLOOKUP(N449,setup!$A$8:$H$58,2),VLOOKUP(N449,setup!$A$8:$H$58,3),VLOOKUP(N449,setup!$A$8:$H$58,4),VLOOKUP(N449,setup!$A$8:$H$58,5),VLOOKUP(N449,setup!$A$8:$H$58,6),VLOOKUP(N449,setup!$A$8:$H$58,7), VLOOKUP(0,setup!$A$8:$H$58,2),VLOOKUP(0,setup!$A$8:$H$58,5),VLOOKUP(N449,setup!$A$8:$H$58,8))</f>
        <v xml:space="preserve">*/ </v>
      </c>
    </row>
    <row r="450" spans="1:15" x14ac:dyDescent="0.25">
      <c r="A450" s="6" t="s">
        <v>139</v>
      </c>
      <c r="O450" s="7" t="str">
        <f ca="1">getCodigoBackend(N450,A450,VLOOKUP(N450,setup!$A$8:$H$58,2),VLOOKUP(N450,setup!$A$8:$H$58,3),VLOOKUP(N450,setup!$A$8:$H$58,4),VLOOKUP(N450,setup!$A$8:$H$58,5),VLOOKUP(N450,setup!$A$8:$H$58,6),VLOOKUP(N450,setup!$A$8:$H$58,7), VLOOKUP(0,setup!$A$8:$H$58,2),VLOOKUP(0,setup!$A$8:$H$58,5),VLOOKUP(N450,setup!$A$8:$H$58,8))</f>
        <v xml:space="preserve">    public function insert($dto) </v>
      </c>
    </row>
    <row r="451" spans="1:15" x14ac:dyDescent="0.25">
      <c r="A451" s="6" t="s">
        <v>90</v>
      </c>
      <c r="O451" s="7" t="str">
        <f ca="1">getCodigoBackend(N451,A451,VLOOKUP(N451,setup!$A$8:$H$58,2),VLOOKUP(N451,setup!$A$8:$H$58,3),VLOOKUP(N451,setup!$A$8:$H$58,4),VLOOKUP(N451,setup!$A$8:$H$58,5),VLOOKUP(N451,setup!$A$8:$H$58,6),VLOOKUP(N451,setup!$A$8:$H$58,7), VLOOKUP(0,setup!$A$8:$H$58,2),VLOOKUP(0,setup!$A$8:$H$58,5),VLOOKUP(N451,setup!$A$8:$H$58,8))</f>
        <v>    {   </v>
      </c>
    </row>
    <row r="452" spans="1:15" x14ac:dyDescent="0.25">
      <c r="A452" s="6" t="s">
        <v>124</v>
      </c>
      <c r="O452" s="7" t="str">
        <f ca="1">getCodigoBackend(N452,A452,VLOOKUP(N452,setup!$A$8:$H$58,2),VLOOKUP(N452,setup!$A$8:$H$58,3),VLOOKUP(N452,setup!$A$8:$H$58,4),VLOOKUP(N452,setup!$A$8:$H$58,5),VLOOKUP(N452,setup!$A$8:$H$58,6),VLOOKUP(N452,setup!$A$8:$H$58,7), VLOOKUP(0,setup!$A$8:$H$58,2),VLOOKUP(0,setup!$A$8:$H$58,5),VLOOKUP(N452,setup!$A$8:$H$58,8))</f>
        <v>        $retorno = false;</v>
      </c>
    </row>
    <row r="453" spans="1:15" x14ac:dyDescent="0.25">
      <c r="A453" s="6" t="s">
        <v>125</v>
      </c>
      <c r="O453" s="7" t="str">
        <f ca="1">getCodigoBackend(N453,A453,VLOOKUP(N453,setup!$A$8:$H$58,2),VLOOKUP(N453,setup!$A$8:$H$58,3),VLOOKUP(N453,setup!$A$8:$H$58,4),VLOOKUP(N453,setup!$A$8:$H$58,5),VLOOKUP(N453,setup!$A$8:$H$58,6),VLOOKUP(N453,setup!$A$8:$H$58,7), VLOOKUP(0,setup!$A$8:$H$58,2),VLOOKUP(0,setup!$A$8:$H$58,5),VLOOKUP(N453,setup!$A$8:$H$58,8))</f>
        <v>        // prepara sessão, query, troca de valores, acoplagem do resultado e o fetch</v>
      </c>
    </row>
    <row r="454" spans="1:15" x14ac:dyDescent="0.25">
      <c r="A454" s="6" t="s">
        <v>126</v>
      </c>
      <c r="O454" s="7" t="str">
        <f ca="1">getCodigoBackend(N454,A454,VLOOKUP(N454,setup!$A$8:$H$58,2),VLOOKUP(N454,setup!$A$8:$H$58,3),VLOOKUP(N454,setup!$A$8:$H$58,4),VLOOKUP(N454,setup!$A$8:$H$58,5),VLOOKUP(N454,setup!$A$8:$H$58,6),VLOOKUP(N454,setup!$A$8:$H$58,7), VLOOKUP(0,setup!$A$8:$H$58,2),VLOOKUP(0,setup!$A$8:$H$58,5),VLOOKUP(N454,setup!$A$8:$H$58,8))</f>
        <v>        $conexao = $this-&gt;daofactory-&gt;getSession();</v>
      </c>
    </row>
    <row r="455" spans="1:15" x14ac:dyDescent="0.25">
      <c r="A455" s="6" t="s">
        <v>320</v>
      </c>
      <c r="O455" s="7" t="str">
        <f ca="1">getCodigoBackend(N455,A455,VLOOKUP(N455,setup!$A$8:$H$58,2),VLOOKUP(N455,setup!$A$8:$H$58,3),VLOOKUP(N455,setup!$A$8:$H$58,4),VLOOKUP(N455,setup!$A$8:$H$58,5),VLOOKUP(N455,setup!$A$8:$H$58,6),VLOOKUP(N455,setup!$A$8:$H$58,7), VLOOKUP(0,setup!$A$8:$H$58,2),VLOOKUP(0,setup!$A$8:$H$58,5),VLOOKUP(N455,setup!$A$8:$H$58,8))</f>
        <v>        $stmt = $conexao-&gt;prepare(DmlSqlCampanhaCashbackResgatePix::INS);</v>
      </c>
    </row>
    <row r="456" spans="1:15" x14ac:dyDescent="0.25">
      <c r="A456" s="6" t="str">
        <f>CONCATENATE("        $stmt-&gt;bind_param(DmlSql::${mysql} ")</f>
        <v xml:space="preserve">        $stmt-&gt;bind_param(DmlSql::${mysql} </v>
      </c>
      <c r="N456">
        <v>1</v>
      </c>
      <c r="O456" s="7" t="str">
        <f ca="1">getCodigoBackend(N456,A456,VLOOKUP(N456,setup!$A$8:$H$58,2),VLOOKUP(N456,setup!$A$8:$H$58,3),VLOOKUP(N456,setup!$A$8:$H$58,4),VLOOKUP(N456,setup!$A$8:$H$58,5),VLOOKUP(N456,setup!$A$8:$H$58,6),VLOOKUP(N456,setup!$A$8:$H$58,7), VLOOKUP(0,setup!$A$8:$H$58,2),VLOOKUP(0,setup!$A$8:$H$58,5),VLOOKUP(N456,setup!$A$8:$H$58,8))</f>
        <v xml:space="preserve">        $stmt-&gt;bind_param(DmlSql::INTEGER_TYPE </v>
      </c>
    </row>
    <row r="457" spans="1:15" x14ac:dyDescent="0.25">
      <c r="A457" s="6" t="str">
        <f>CONCATENATE("                            . DmlSql::${mysql} ")</f>
        <v xml:space="preserve">                            . DmlSql::${mysql} </v>
      </c>
      <c r="N457">
        <f>N456+1</f>
        <v>2</v>
      </c>
      <c r="O457" s="7" t="str">
        <f ca="1">getCodigoBackend(N457,A457,VLOOKUP(N457,setup!$A$8:$H$58,2),VLOOKUP(N457,setup!$A$8:$H$58,3),VLOOKUP(N457,setup!$A$8:$H$58,4),VLOOKUP(N457,setup!$A$8:$H$58,5),VLOOKUP(N457,setup!$A$8:$H$58,6),VLOOKUP(N457,setup!$A$8:$H$58,7), VLOOKUP(0,setup!$A$8:$H$58,2),VLOOKUP(0,setup!$A$8:$H$58,5),VLOOKUP(N457,setup!$A$8:$H$58,8))</f>
        <v xml:space="preserve">                            . DmlSql::INTEGER_TYPE </v>
      </c>
    </row>
    <row r="458" spans="1:15" x14ac:dyDescent="0.25">
      <c r="A458" s="6" t="str">
        <f t="shared" ref="A458:A502" si="6">CONCATENATE("                            . DmlSql::${mysql} ")</f>
        <v xml:space="preserve">                            . DmlSql::${mysql} </v>
      </c>
      <c r="N458">
        <f t="shared" ref="N458:N466" si="7">N457+1</f>
        <v>3</v>
      </c>
      <c r="O458" s="7" t="str">
        <f ca="1">getCodigoBackend(N458,A458,VLOOKUP(N458,setup!$A$8:$H$58,2),VLOOKUP(N458,setup!$A$8:$H$58,3),VLOOKUP(N458,setup!$A$8:$H$58,4),VLOOKUP(N458,setup!$A$8:$H$58,5),VLOOKUP(N458,setup!$A$8:$H$58,6),VLOOKUP(N458,setup!$A$8:$H$58,7), VLOOKUP(0,setup!$A$8:$H$58,2),VLOOKUP(0,setup!$A$8:$H$58,5),VLOOKUP(N458,setup!$A$8:$H$58,8))</f>
        <v xml:space="preserve">                            . DmlSql::INTEGER_TYPE </v>
      </c>
    </row>
    <row r="459" spans="1:15" x14ac:dyDescent="0.25">
      <c r="A459" s="6" t="str">
        <f t="shared" si="6"/>
        <v xml:space="preserve">                            . DmlSql::${mysql} </v>
      </c>
      <c r="N459">
        <f t="shared" si="7"/>
        <v>4</v>
      </c>
      <c r="O459" s="7" t="str">
        <f ca="1">getCodigoBackend(N459,A459,VLOOKUP(N459,setup!$A$8:$H$58,2),VLOOKUP(N459,setup!$A$8:$H$58,3),VLOOKUP(N459,setup!$A$8:$H$58,4),VLOOKUP(N459,setup!$A$8:$H$58,5),VLOOKUP(N459,setup!$A$8:$H$58,6),VLOOKUP(N459,setup!$A$8:$H$58,7), VLOOKUP(0,setup!$A$8:$H$58,2),VLOOKUP(0,setup!$A$8:$H$58,5),VLOOKUP(N459,setup!$A$8:$H$58,8))</f>
        <v xml:space="preserve">                            . DmlSql::STRING_TYPE </v>
      </c>
    </row>
    <row r="460" spans="1:15" x14ac:dyDescent="0.25">
      <c r="A460" s="6" t="str">
        <f t="shared" si="6"/>
        <v xml:space="preserve">                            . DmlSql::${mysql} </v>
      </c>
      <c r="N460">
        <f t="shared" si="7"/>
        <v>5</v>
      </c>
      <c r="O460" s="7" t="str">
        <f ca="1">getCodigoBackend(N460,A460,VLOOKUP(N460,setup!$A$8:$H$58,2),VLOOKUP(N460,setup!$A$8:$H$58,3),VLOOKUP(N460,setup!$A$8:$H$58,4),VLOOKUP(N460,setup!$A$8:$H$58,5),VLOOKUP(N460,setup!$A$8:$H$58,6),VLOOKUP(N460,setup!$A$8:$H$58,7), VLOOKUP(0,setup!$A$8:$H$58,2),VLOOKUP(0,setup!$A$8:$H$58,5),VLOOKUP(N460,setup!$A$8:$H$58,8))</f>
        <v xml:space="preserve">                            . DmlSql::STRING_TYPE </v>
      </c>
    </row>
    <row r="461" spans="1:15" x14ac:dyDescent="0.25">
      <c r="A461" s="6" t="str">
        <f t="shared" si="6"/>
        <v xml:space="preserve">                            . DmlSql::${mysql} </v>
      </c>
      <c r="N461">
        <f t="shared" si="7"/>
        <v>6</v>
      </c>
      <c r="O461" s="7" t="str">
        <f ca="1">getCodigoBackend(N461,A461,VLOOKUP(N461,setup!$A$8:$H$58,2),VLOOKUP(N461,setup!$A$8:$H$58,3),VLOOKUP(N461,setup!$A$8:$H$58,4),VLOOKUP(N461,setup!$A$8:$H$58,5),VLOOKUP(N461,setup!$A$8:$H$58,6),VLOOKUP(N461,setup!$A$8:$H$58,7), VLOOKUP(0,setup!$A$8:$H$58,2),VLOOKUP(0,setup!$A$8:$H$58,5),VLOOKUP(N461,setup!$A$8:$H$58,8))</f>
        <v xml:space="preserve">                            . DmlSql::STRING_TYPE </v>
      </c>
    </row>
    <row r="462" spans="1:15" x14ac:dyDescent="0.25">
      <c r="A462" s="6" t="str">
        <f t="shared" si="6"/>
        <v xml:space="preserve">                            . DmlSql::${mysql} </v>
      </c>
      <c r="N462">
        <f t="shared" si="7"/>
        <v>7</v>
      </c>
      <c r="O462" s="7" t="str">
        <f ca="1">getCodigoBackend(N462,A462,VLOOKUP(N462,setup!$A$8:$H$58,2),VLOOKUP(N462,setup!$A$8:$H$58,3),VLOOKUP(N462,setup!$A$8:$H$58,4),VLOOKUP(N462,setup!$A$8:$H$58,5),VLOOKUP(N462,setup!$A$8:$H$58,6),VLOOKUP(N462,setup!$A$8:$H$58,7), VLOOKUP(0,setup!$A$8:$H$58,2),VLOOKUP(0,setup!$A$8:$H$58,5),VLOOKUP(N462,setup!$A$8:$H$58,8))</f>
        <v xml:space="preserve">                            . DmlSql::INTEGER_TYPE </v>
      </c>
    </row>
    <row r="463" spans="1:15" x14ac:dyDescent="0.25">
      <c r="A463" s="6" t="str">
        <f t="shared" si="6"/>
        <v xml:space="preserve">                            . DmlSql::${mysql} </v>
      </c>
      <c r="N463">
        <f t="shared" si="7"/>
        <v>8</v>
      </c>
      <c r="O463" s="7" t="str">
        <f ca="1">getCodigoBackend(N463,A463,VLOOKUP(N463,setup!$A$8:$H$58,2),VLOOKUP(N463,setup!$A$8:$H$58,3),VLOOKUP(N463,setup!$A$8:$H$58,4),VLOOKUP(N463,setup!$A$8:$H$58,5),VLOOKUP(N463,setup!$A$8:$H$58,6),VLOOKUP(N463,setup!$A$8:$H$58,7), VLOOKUP(0,setup!$A$8:$H$58,2),VLOOKUP(0,setup!$A$8:$H$58,5),VLOOKUP(N463,setup!$A$8:$H$58,8))</f>
        <v xml:space="preserve">                            . DmlSql::STRING_TYPE </v>
      </c>
    </row>
    <row r="464" spans="1:15" x14ac:dyDescent="0.25">
      <c r="A464" s="6" t="str">
        <f t="shared" si="6"/>
        <v xml:space="preserve">                            . DmlSql::${mysql} </v>
      </c>
      <c r="N464">
        <f t="shared" si="7"/>
        <v>9</v>
      </c>
      <c r="O464" s="7" t="str">
        <f ca="1">getCodigoBackend(N464,A464,VLOOKUP(N464,setup!$A$8:$H$58,2),VLOOKUP(N464,setup!$A$8:$H$58,3),VLOOKUP(N464,setup!$A$8:$H$58,4),VLOOKUP(N464,setup!$A$8:$H$58,5),VLOOKUP(N464,setup!$A$8:$H$58,6),VLOOKUP(N464,setup!$A$8:$H$58,7), VLOOKUP(0,setup!$A$8:$H$58,2),VLOOKUP(0,setup!$A$8:$H$58,5),VLOOKUP(N464,setup!$A$8:$H$58,8))</f>
        <v xml:space="preserve">                            . DmlSql::STRING_TYPE </v>
      </c>
    </row>
    <row r="465" spans="1:15" x14ac:dyDescent="0.25">
      <c r="A465" s="6" t="str">
        <f t="shared" si="6"/>
        <v xml:space="preserve">                            . DmlSql::${mysql} </v>
      </c>
      <c r="N465">
        <f t="shared" si="7"/>
        <v>10</v>
      </c>
      <c r="O465" s="7" t="str">
        <f ca="1">getCodigoBackend(N465,A465,VLOOKUP(N465,setup!$A$8:$H$58,2),VLOOKUP(N465,setup!$A$8:$H$58,3),VLOOKUP(N465,setup!$A$8:$H$58,4),VLOOKUP(N465,setup!$A$8:$H$58,5),VLOOKUP(N465,setup!$A$8:$H$58,6),VLOOKUP(N465,setup!$A$8:$H$58,7), VLOOKUP(0,setup!$A$8:$H$58,2),VLOOKUP(0,setup!$A$8:$H$58,5),VLOOKUP(N465,setup!$A$8:$H$58,8))</f>
        <v xml:space="preserve">                            . DmlSql::STRING_TYPE </v>
      </c>
    </row>
    <row r="466" spans="1:15" x14ac:dyDescent="0.25">
      <c r="A466" s="6" t="str">
        <f t="shared" si="6"/>
        <v xml:space="preserve">                            . DmlSql::${mysql} </v>
      </c>
      <c r="N466">
        <f t="shared" si="7"/>
        <v>11</v>
      </c>
      <c r="O466" s="7" t="str">
        <f ca="1">getCodigoBackend(N466,A466,VLOOKUP(N466,setup!$A$8:$H$58,2),VLOOKUP(N466,setup!$A$8:$H$58,3),VLOOKUP(N466,setup!$A$8:$H$58,4),VLOOKUP(N466,setup!$A$8:$H$58,5),VLOOKUP(N466,setup!$A$8:$H$58,6),VLOOKUP(N466,setup!$A$8:$H$58,7), VLOOKUP(0,setup!$A$8:$H$58,2),VLOOKUP(0,setup!$A$8:$H$58,5),VLOOKUP(N466,setup!$A$8:$H$58,8))</f>
        <v xml:space="preserve">                            . DmlSql::STRING_TYPE </v>
      </c>
    </row>
    <row r="467" spans="1:15" x14ac:dyDescent="0.25">
      <c r="A467" s="6" t="str">
        <f t="shared" si="6"/>
        <v xml:space="preserve">                            . DmlSql::${mysql} </v>
      </c>
      <c r="N467">
        <f t="shared" ref="N467:N505" si="8">N466+1</f>
        <v>12</v>
      </c>
      <c r="O467" s="7" t="str">
        <f ca="1">getCodigoBackend(N467,A467,VLOOKUP(N467,setup!$A$8:$H$58,2),VLOOKUP(N467,setup!$A$8:$H$58,3),VLOOKUP(N467,setup!$A$8:$H$58,4),VLOOKUP(N467,setup!$A$8:$H$58,5),VLOOKUP(N467,setup!$A$8:$H$58,6),VLOOKUP(N467,setup!$A$8:$H$58,7), VLOOKUP(0,setup!$A$8:$H$58,2),VLOOKUP(0,setup!$A$8:$H$58,5),VLOOKUP(N467,setup!$A$8:$H$58,8))</f>
        <v xml:space="preserve">                            . DmlSql::STRING_TYPE </v>
      </c>
    </row>
    <row r="468" spans="1:15" x14ac:dyDescent="0.25">
      <c r="A468" s="6" t="str">
        <f t="shared" si="6"/>
        <v xml:space="preserve">                            . DmlSql::${mysql} </v>
      </c>
      <c r="N468">
        <f t="shared" si="8"/>
        <v>13</v>
      </c>
      <c r="O468" s="7" t="e">
        <f>getCodigoBackend(N468,A468,VLOOKUP(N468,setup!$A$8:$H$58,2),VLOOKUP(N468,setup!$A$8:$H$58,3),VLOOKUP(N468,setup!$A$8:$H$58,4),VLOOKUP(N468,setup!$A$8:$H$58,5),VLOOKUP(N468,setup!$A$8:$H$58,6),VLOOKUP(N468,setup!$A$8:$H$58,7), VLOOKUP(0,setup!$A$8:$H$58,2),VLOOKUP(0,setup!$A$8:$H$58,5),VLOOKUP(N468,setup!$A$8:$H$58,8))</f>
        <v>#VALUE!</v>
      </c>
    </row>
    <row r="469" spans="1:15" x14ac:dyDescent="0.25">
      <c r="A469" s="6" t="str">
        <f t="shared" si="6"/>
        <v xml:space="preserve">                            . DmlSql::${mysql} </v>
      </c>
      <c r="N469">
        <f t="shared" si="8"/>
        <v>14</v>
      </c>
      <c r="O469" s="7" t="e">
        <f>getCodigoBackend(N469,A469,VLOOKUP(N469,setup!$A$8:$H$58,2),VLOOKUP(N469,setup!$A$8:$H$58,3),VLOOKUP(N469,setup!$A$8:$H$58,4),VLOOKUP(N469,setup!$A$8:$H$58,5),VLOOKUP(N469,setup!$A$8:$H$58,6),VLOOKUP(N469,setup!$A$8:$H$58,7), VLOOKUP(0,setup!$A$8:$H$58,2),VLOOKUP(0,setup!$A$8:$H$58,5),VLOOKUP(N469,setup!$A$8:$H$58,8))</f>
        <v>#VALUE!</v>
      </c>
    </row>
    <row r="470" spans="1:15" x14ac:dyDescent="0.25">
      <c r="A470" s="6" t="str">
        <f t="shared" si="6"/>
        <v xml:space="preserve">                            . DmlSql::${mysql} </v>
      </c>
      <c r="N470">
        <f t="shared" si="8"/>
        <v>15</v>
      </c>
      <c r="O470" s="7" t="e">
        <f>getCodigoBackend(N470,A470,VLOOKUP(N470,setup!$A$8:$H$58,2),VLOOKUP(N470,setup!$A$8:$H$58,3),VLOOKUP(N470,setup!$A$8:$H$58,4),VLOOKUP(N470,setup!$A$8:$H$58,5),VLOOKUP(N470,setup!$A$8:$H$58,6),VLOOKUP(N470,setup!$A$8:$H$58,7), VLOOKUP(0,setup!$A$8:$H$58,2),VLOOKUP(0,setup!$A$8:$H$58,5),VLOOKUP(N470,setup!$A$8:$H$58,8))</f>
        <v>#VALUE!</v>
      </c>
    </row>
    <row r="471" spans="1:15" x14ac:dyDescent="0.25">
      <c r="A471" s="6" t="str">
        <f t="shared" si="6"/>
        <v xml:space="preserve">                            . DmlSql::${mysql} </v>
      </c>
      <c r="N471">
        <f t="shared" si="8"/>
        <v>16</v>
      </c>
      <c r="O471" s="7" t="e">
        <f>getCodigoBackend(N471,A471,VLOOKUP(N471,setup!$A$8:$H$58,2),VLOOKUP(N471,setup!$A$8:$H$58,3),VLOOKUP(N471,setup!$A$8:$H$58,4),VLOOKUP(N471,setup!$A$8:$H$58,5),VLOOKUP(N471,setup!$A$8:$H$58,6),VLOOKUP(N471,setup!$A$8:$H$58,7), VLOOKUP(0,setup!$A$8:$H$58,2),VLOOKUP(0,setup!$A$8:$H$58,5),VLOOKUP(N471,setup!$A$8:$H$58,8))</f>
        <v>#VALUE!</v>
      </c>
    </row>
    <row r="472" spans="1:15" x14ac:dyDescent="0.25">
      <c r="A472" s="6" t="str">
        <f t="shared" si="6"/>
        <v xml:space="preserve">                            . DmlSql::${mysql} </v>
      </c>
      <c r="N472">
        <f t="shared" si="8"/>
        <v>17</v>
      </c>
      <c r="O472" s="7" t="e">
        <f>getCodigoBackend(N472,A472,VLOOKUP(N472,setup!$A$8:$H$58,2),VLOOKUP(N472,setup!$A$8:$H$58,3),VLOOKUP(N472,setup!$A$8:$H$58,4),VLOOKUP(N472,setup!$A$8:$H$58,5),VLOOKUP(N472,setup!$A$8:$H$58,6),VLOOKUP(N472,setup!$A$8:$H$58,7), VLOOKUP(0,setup!$A$8:$H$58,2),VLOOKUP(0,setup!$A$8:$H$58,5),VLOOKUP(N472,setup!$A$8:$H$58,8))</f>
        <v>#VALUE!</v>
      </c>
    </row>
    <row r="473" spans="1:15" x14ac:dyDescent="0.25">
      <c r="A473" s="6" t="str">
        <f t="shared" si="6"/>
        <v xml:space="preserve">                            . DmlSql::${mysql} </v>
      </c>
      <c r="N473">
        <f t="shared" si="8"/>
        <v>18</v>
      </c>
      <c r="O473" s="7" t="e">
        <f>getCodigoBackend(N473,A473,VLOOKUP(N473,setup!$A$8:$H$58,2),VLOOKUP(N473,setup!$A$8:$H$58,3),VLOOKUP(N473,setup!$A$8:$H$58,4),VLOOKUP(N473,setup!$A$8:$H$58,5),VLOOKUP(N473,setup!$A$8:$H$58,6),VLOOKUP(N473,setup!$A$8:$H$58,7), VLOOKUP(0,setup!$A$8:$H$58,2),VLOOKUP(0,setup!$A$8:$H$58,5),VLOOKUP(N473,setup!$A$8:$H$58,8))</f>
        <v>#VALUE!</v>
      </c>
    </row>
    <row r="474" spans="1:15" x14ac:dyDescent="0.25">
      <c r="A474" s="6" t="str">
        <f t="shared" si="6"/>
        <v xml:space="preserve">                            . DmlSql::${mysql} </v>
      </c>
      <c r="N474">
        <f t="shared" si="8"/>
        <v>19</v>
      </c>
      <c r="O474" s="7" t="e">
        <f>getCodigoBackend(N474,A474,VLOOKUP(N474,setup!$A$8:$H$58,2),VLOOKUP(N474,setup!$A$8:$H$58,3),VLOOKUP(N474,setup!$A$8:$H$58,4),VLOOKUP(N474,setup!$A$8:$H$58,5),VLOOKUP(N474,setup!$A$8:$H$58,6),VLOOKUP(N474,setup!$A$8:$H$58,7), VLOOKUP(0,setup!$A$8:$H$58,2),VLOOKUP(0,setup!$A$8:$H$58,5),VLOOKUP(N474,setup!$A$8:$H$58,8))</f>
        <v>#VALUE!</v>
      </c>
    </row>
    <row r="475" spans="1:15" x14ac:dyDescent="0.25">
      <c r="A475" s="6" t="str">
        <f t="shared" si="6"/>
        <v xml:space="preserve">                            . DmlSql::${mysql} </v>
      </c>
      <c r="N475">
        <f t="shared" si="8"/>
        <v>20</v>
      </c>
      <c r="O475" s="7" t="e">
        <f>getCodigoBackend(N475,A475,VLOOKUP(N475,setup!$A$8:$H$58,2),VLOOKUP(N475,setup!$A$8:$H$58,3),VLOOKUP(N475,setup!$A$8:$H$58,4),VLOOKUP(N475,setup!$A$8:$H$58,5),VLOOKUP(N475,setup!$A$8:$H$58,6),VLOOKUP(N475,setup!$A$8:$H$58,7), VLOOKUP(0,setup!$A$8:$H$58,2),VLOOKUP(0,setup!$A$8:$H$58,5),VLOOKUP(N475,setup!$A$8:$H$58,8))</f>
        <v>#VALUE!</v>
      </c>
    </row>
    <row r="476" spans="1:15" x14ac:dyDescent="0.25">
      <c r="A476" s="6" t="str">
        <f t="shared" si="6"/>
        <v xml:space="preserve">                            . DmlSql::${mysql} </v>
      </c>
      <c r="N476">
        <f t="shared" si="8"/>
        <v>21</v>
      </c>
      <c r="O476" s="7" t="e">
        <f>getCodigoBackend(N476,A476,VLOOKUP(N476,setup!$A$8:$H$58,2),VLOOKUP(N476,setup!$A$8:$H$58,3),VLOOKUP(N476,setup!$A$8:$H$58,4),VLOOKUP(N476,setup!$A$8:$H$58,5),VLOOKUP(N476,setup!$A$8:$H$58,6),VLOOKUP(N476,setup!$A$8:$H$58,7), VLOOKUP(0,setup!$A$8:$H$58,2),VLOOKUP(0,setup!$A$8:$H$58,5),VLOOKUP(N476,setup!$A$8:$H$58,8))</f>
        <v>#VALUE!</v>
      </c>
    </row>
    <row r="477" spans="1:15" x14ac:dyDescent="0.25">
      <c r="A477" s="6" t="str">
        <f t="shared" si="6"/>
        <v xml:space="preserve">                            . DmlSql::${mysql} </v>
      </c>
      <c r="N477">
        <f t="shared" si="8"/>
        <v>22</v>
      </c>
      <c r="O477" s="7" t="e">
        <f>getCodigoBackend(N477,A477,VLOOKUP(N477,setup!$A$8:$H$58,2),VLOOKUP(N477,setup!$A$8:$H$58,3),VLOOKUP(N477,setup!$A$8:$H$58,4),VLOOKUP(N477,setup!$A$8:$H$58,5),VLOOKUP(N477,setup!$A$8:$H$58,6),VLOOKUP(N477,setup!$A$8:$H$58,7), VLOOKUP(0,setup!$A$8:$H$58,2),VLOOKUP(0,setup!$A$8:$H$58,5),VLOOKUP(N477,setup!$A$8:$H$58,8))</f>
        <v>#VALUE!</v>
      </c>
    </row>
    <row r="478" spans="1:15" x14ac:dyDescent="0.25">
      <c r="A478" s="6" t="str">
        <f t="shared" si="6"/>
        <v xml:space="preserve">                            . DmlSql::${mysql} </v>
      </c>
      <c r="N478">
        <f t="shared" si="8"/>
        <v>23</v>
      </c>
      <c r="O478" s="7" t="e">
        <f>getCodigoBackend(N478,A478,VLOOKUP(N478,setup!$A$8:$H$58,2),VLOOKUP(N478,setup!$A$8:$H$58,3),VLOOKUP(N478,setup!$A$8:$H$58,4),VLOOKUP(N478,setup!$A$8:$H$58,5),VLOOKUP(N478,setup!$A$8:$H$58,6),VLOOKUP(N478,setup!$A$8:$H$58,7), VLOOKUP(0,setup!$A$8:$H$58,2),VLOOKUP(0,setup!$A$8:$H$58,5),VLOOKUP(N478,setup!$A$8:$H$58,8))</f>
        <v>#VALUE!</v>
      </c>
    </row>
    <row r="479" spans="1:15" x14ac:dyDescent="0.25">
      <c r="A479" s="6" t="str">
        <f t="shared" si="6"/>
        <v xml:space="preserve">                            . DmlSql::${mysql} </v>
      </c>
      <c r="N479">
        <f t="shared" si="8"/>
        <v>24</v>
      </c>
      <c r="O479" s="7" t="e">
        <f>getCodigoBackend(N479,A479,VLOOKUP(N479,setup!$A$8:$H$58,2),VLOOKUP(N479,setup!$A$8:$H$58,3),VLOOKUP(N479,setup!$A$8:$H$58,4),VLOOKUP(N479,setup!$A$8:$H$58,5),VLOOKUP(N479,setup!$A$8:$H$58,6),VLOOKUP(N479,setup!$A$8:$H$58,7), VLOOKUP(0,setup!$A$8:$H$58,2),VLOOKUP(0,setup!$A$8:$H$58,5),VLOOKUP(N479,setup!$A$8:$H$58,8))</f>
        <v>#VALUE!</v>
      </c>
    </row>
    <row r="480" spans="1:15" x14ac:dyDescent="0.25">
      <c r="A480" s="6" t="str">
        <f t="shared" si="6"/>
        <v xml:space="preserve">                            . DmlSql::${mysql} </v>
      </c>
      <c r="N480">
        <f t="shared" si="8"/>
        <v>25</v>
      </c>
      <c r="O480" s="7" t="e">
        <f>getCodigoBackend(N480,A480,VLOOKUP(N480,setup!$A$8:$H$58,2),VLOOKUP(N480,setup!$A$8:$H$58,3),VLOOKUP(N480,setup!$A$8:$H$58,4),VLOOKUP(N480,setup!$A$8:$H$58,5),VLOOKUP(N480,setup!$A$8:$H$58,6),VLOOKUP(N480,setup!$A$8:$H$58,7), VLOOKUP(0,setup!$A$8:$H$58,2),VLOOKUP(0,setup!$A$8:$H$58,5),VLOOKUP(N480,setup!$A$8:$H$58,8))</f>
        <v>#VALUE!</v>
      </c>
    </row>
    <row r="481" spans="1:15" x14ac:dyDescent="0.25">
      <c r="A481" s="6" t="str">
        <f t="shared" si="6"/>
        <v xml:space="preserve">                            . DmlSql::${mysql} </v>
      </c>
      <c r="N481">
        <f t="shared" si="8"/>
        <v>26</v>
      </c>
      <c r="O481" s="7" t="e">
        <f>getCodigoBackend(N481,A481,VLOOKUP(N481,setup!$A$8:$H$58,2),VLOOKUP(N481,setup!$A$8:$H$58,3),VLOOKUP(N481,setup!$A$8:$H$58,4),VLOOKUP(N481,setup!$A$8:$H$58,5),VLOOKUP(N481,setup!$A$8:$H$58,6),VLOOKUP(N481,setup!$A$8:$H$58,7), VLOOKUP(0,setup!$A$8:$H$58,2),VLOOKUP(0,setup!$A$8:$H$58,5),VLOOKUP(N481,setup!$A$8:$H$58,8))</f>
        <v>#VALUE!</v>
      </c>
    </row>
    <row r="482" spans="1:15" x14ac:dyDescent="0.25">
      <c r="A482" s="6" t="str">
        <f t="shared" si="6"/>
        <v xml:space="preserve">                            . DmlSql::${mysql} </v>
      </c>
      <c r="N482">
        <f t="shared" si="8"/>
        <v>27</v>
      </c>
      <c r="O482" s="7" t="e">
        <f>getCodigoBackend(N482,A482,VLOOKUP(N482,setup!$A$8:$H$58,2),VLOOKUP(N482,setup!$A$8:$H$58,3),VLOOKUP(N482,setup!$A$8:$H$58,4),VLOOKUP(N482,setup!$A$8:$H$58,5),VLOOKUP(N482,setup!$A$8:$H$58,6),VLOOKUP(N482,setup!$A$8:$H$58,7), VLOOKUP(0,setup!$A$8:$H$58,2),VLOOKUP(0,setup!$A$8:$H$58,5),VLOOKUP(N482,setup!$A$8:$H$58,8))</f>
        <v>#VALUE!</v>
      </c>
    </row>
    <row r="483" spans="1:15" x14ac:dyDescent="0.25">
      <c r="A483" s="6" t="str">
        <f t="shared" si="6"/>
        <v xml:space="preserve">                            . DmlSql::${mysql} </v>
      </c>
      <c r="N483">
        <f t="shared" si="8"/>
        <v>28</v>
      </c>
      <c r="O483" s="7" t="e">
        <f>getCodigoBackend(N483,A483,VLOOKUP(N483,setup!$A$8:$H$58,2),VLOOKUP(N483,setup!$A$8:$H$58,3),VLOOKUP(N483,setup!$A$8:$H$58,4),VLOOKUP(N483,setup!$A$8:$H$58,5),VLOOKUP(N483,setup!$A$8:$H$58,6),VLOOKUP(N483,setup!$A$8:$H$58,7), VLOOKUP(0,setup!$A$8:$H$58,2),VLOOKUP(0,setup!$A$8:$H$58,5),VLOOKUP(N483,setup!$A$8:$H$58,8))</f>
        <v>#VALUE!</v>
      </c>
    </row>
    <row r="484" spans="1:15" x14ac:dyDescent="0.25">
      <c r="A484" s="6" t="str">
        <f t="shared" si="6"/>
        <v xml:space="preserve">                            . DmlSql::${mysql} </v>
      </c>
      <c r="N484">
        <f t="shared" si="8"/>
        <v>29</v>
      </c>
      <c r="O484" s="7" t="e">
        <f>getCodigoBackend(N484,A484,VLOOKUP(N484,setup!$A$8:$H$58,2),VLOOKUP(N484,setup!$A$8:$H$58,3),VLOOKUP(N484,setup!$A$8:$H$58,4),VLOOKUP(N484,setup!$A$8:$H$58,5),VLOOKUP(N484,setup!$A$8:$H$58,6),VLOOKUP(N484,setup!$A$8:$H$58,7), VLOOKUP(0,setup!$A$8:$H$58,2),VLOOKUP(0,setup!$A$8:$H$58,5),VLOOKUP(N484,setup!$A$8:$H$58,8))</f>
        <v>#VALUE!</v>
      </c>
    </row>
    <row r="485" spans="1:15" x14ac:dyDescent="0.25">
      <c r="A485" s="6" t="str">
        <f t="shared" si="6"/>
        <v xml:space="preserve">                            . DmlSql::${mysql} </v>
      </c>
      <c r="N485">
        <f t="shared" si="8"/>
        <v>30</v>
      </c>
      <c r="O485" s="7" t="e">
        <f>getCodigoBackend(N485,A485,VLOOKUP(N485,setup!$A$8:$H$58,2),VLOOKUP(N485,setup!$A$8:$H$58,3),VLOOKUP(N485,setup!$A$8:$H$58,4),VLOOKUP(N485,setup!$A$8:$H$58,5),VLOOKUP(N485,setup!$A$8:$H$58,6),VLOOKUP(N485,setup!$A$8:$H$58,7), VLOOKUP(0,setup!$A$8:$H$58,2),VLOOKUP(0,setup!$A$8:$H$58,5),VLOOKUP(N485,setup!$A$8:$H$58,8))</f>
        <v>#VALUE!</v>
      </c>
    </row>
    <row r="486" spans="1:15" x14ac:dyDescent="0.25">
      <c r="A486" s="6" t="str">
        <f t="shared" si="6"/>
        <v xml:space="preserve">                            . DmlSql::${mysql} </v>
      </c>
      <c r="N486">
        <f t="shared" si="8"/>
        <v>31</v>
      </c>
      <c r="O486" s="7" t="e">
        <f>getCodigoBackend(N486,A486,VLOOKUP(N486,setup!$A$8:$H$58,2),VLOOKUP(N486,setup!$A$8:$H$58,3),VLOOKUP(N486,setup!$A$8:$H$58,4),VLOOKUP(N486,setup!$A$8:$H$58,5),VLOOKUP(N486,setup!$A$8:$H$58,6),VLOOKUP(N486,setup!$A$8:$H$58,7), VLOOKUP(0,setup!$A$8:$H$58,2),VLOOKUP(0,setup!$A$8:$H$58,5),VLOOKUP(N486,setup!$A$8:$H$58,8))</f>
        <v>#VALUE!</v>
      </c>
    </row>
    <row r="487" spans="1:15" x14ac:dyDescent="0.25">
      <c r="A487" s="6" t="str">
        <f t="shared" si="6"/>
        <v xml:space="preserve">                            . DmlSql::${mysql} </v>
      </c>
      <c r="N487">
        <f t="shared" si="8"/>
        <v>32</v>
      </c>
      <c r="O487" s="7" t="e">
        <f>getCodigoBackend(N487,A487,VLOOKUP(N487,setup!$A$8:$H$58,2),VLOOKUP(N487,setup!$A$8:$H$58,3),VLOOKUP(N487,setup!$A$8:$H$58,4),VLOOKUP(N487,setup!$A$8:$H$58,5),VLOOKUP(N487,setup!$A$8:$H$58,6),VLOOKUP(N487,setup!$A$8:$H$58,7), VLOOKUP(0,setup!$A$8:$H$58,2),VLOOKUP(0,setup!$A$8:$H$58,5),VLOOKUP(N487,setup!$A$8:$H$58,8))</f>
        <v>#VALUE!</v>
      </c>
    </row>
    <row r="488" spans="1:15" x14ac:dyDescent="0.25">
      <c r="A488" s="6" t="str">
        <f t="shared" si="6"/>
        <v xml:space="preserve">                            . DmlSql::${mysql} </v>
      </c>
      <c r="N488">
        <f t="shared" si="8"/>
        <v>33</v>
      </c>
      <c r="O488" s="7" t="e">
        <f>getCodigoBackend(N488,A488,VLOOKUP(N488,setup!$A$8:$H$58,2),VLOOKUP(N488,setup!$A$8:$H$58,3),VLOOKUP(N488,setup!$A$8:$H$58,4),VLOOKUP(N488,setup!$A$8:$H$58,5),VLOOKUP(N488,setup!$A$8:$H$58,6),VLOOKUP(N488,setup!$A$8:$H$58,7), VLOOKUP(0,setup!$A$8:$H$58,2),VLOOKUP(0,setup!$A$8:$H$58,5),VLOOKUP(N488,setup!$A$8:$H$58,8))</f>
        <v>#VALUE!</v>
      </c>
    </row>
    <row r="489" spans="1:15" x14ac:dyDescent="0.25">
      <c r="A489" s="6" t="str">
        <f t="shared" si="6"/>
        <v xml:space="preserve">                            . DmlSql::${mysql} </v>
      </c>
      <c r="N489">
        <f t="shared" si="8"/>
        <v>34</v>
      </c>
      <c r="O489" s="7" t="e">
        <f>getCodigoBackend(N489,A489,VLOOKUP(N489,setup!$A$8:$H$58,2),VLOOKUP(N489,setup!$A$8:$H$58,3),VLOOKUP(N489,setup!$A$8:$H$58,4),VLOOKUP(N489,setup!$A$8:$H$58,5),VLOOKUP(N489,setup!$A$8:$H$58,6),VLOOKUP(N489,setup!$A$8:$H$58,7), VLOOKUP(0,setup!$A$8:$H$58,2),VLOOKUP(0,setup!$A$8:$H$58,5),VLOOKUP(N489,setup!$A$8:$H$58,8))</f>
        <v>#VALUE!</v>
      </c>
    </row>
    <row r="490" spans="1:15" x14ac:dyDescent="0.25">
      <c r="A490" s="6" t="str">
        <f t="shared" si="6"/>
        <v xml:space="preserve">                            . DmlSql::${mysql} </v>
      </c>
      <c r="N490">
        <f t="shared" si="8"/>
        <v>35</v>
      </c>
      <c r="O490" s="7" t="e">
        <f>getCodigoBackend(N490,A490,VLOOKUP(N490,setup!$A$8:$H$58,2),VLOOKUP(N490,setup!$A$8:$H$58,3),VLOOKUP(N490,setup!$A$8:$H$58,4),VLOOKUP(N490,setup!$A$8:$H$58,5),VLOOKUP(N490,setup!$A$8:$H$58,6),VLOOKUP(N490,setup!$A$8:$H$58,7), VLOOKUP(0,setup!$A$8:$H$58,2),VLOOKUP(0,setup!$A$8:$H$58,5),VLOOKUP(N490,setup!$A$8:$H$58,8))</f>
        <v>#VALUE!</v>
      </c>
    </row>
    <row r="491" spans="1:15" x14ac:dyDescent="0.25">
      <c r="A491" s="6" t="str">
        <f t="shared" si="6"/>
        <v xml:space="preserve">                            . DmlSql::${mysql} </v>
      </c>
      <c r="N491">
        <f t="shared" si="8"/>
        <v>36</v>
      </c>
      <c r="O491" s="7" t="e">
        <f>getCodigoBackend(N491,A491,VLOOKUP(N491,setup!$A$8:$H$58,2),VLOOKUP(N491,setup!$A$8:$H$58,3),VLOOKUP(N491,setup!$A$8:$H$58,4),VLOOKUP(N491,setup!$A$8:$H$58,5),VLOOKUP(N491,setup!$A$8:$H$58,6),VLOOKUP(N491,setup!$A$8:$H$58,7), VLOOKUP(0,setup!$A$8:$H$58,2),VLOOKUP(0,setup!$A$8:$H$58,5),VLOOKUP(N491,setup!$A$8:$H$58,8))</f>
        <v>#VALUE!</v>
      </c>
    </row>
    <row r="492" spans="1:15" x14ac:dyDescent="0.25">
      <c r="A492" s="6" t="str">
        <f t="shared" si="6"/>
        <v xml:space="preserve">                            . DmlSql::${mysql} </v>
      </c>
      <c r="N492">
        <f t="shared" si="8"/>
        <v>37</v>
      </c>
      <c r="O492" s="7" t="e">
        <f>getCodigoBackend(N492,A492,VLOOKUP(N492,setup!$A$8:$H$58,2),VLOOKUP(N492,setup!$A$8:$H$58,3),VLOOKUP(N492,setup!$A$8:$H$58,4),VLOOKUP(N492,setup!$A$8:$H$58,5),VLOOKUP(N492,setup!$A$8:$H$58,6),VLOOKUP(N492,setup!$A$8:$H$58,7), VLOOKUP(0,setup!$A$8:$H$58,2),VLOOKUP(0,setup!$A$8:$H$58,5),VLOOKUP(N492,setup!$A$8:$H$58,8))</f>
        <v>#VALUE!</v>
      </c>
    </row>
    <row r="493" spans="1:15" x14ac:dyDescent="0.25">
      <c r="A493" s="6" t="str">
        <f t="shared" si="6"/>
        <v xml:space="preserve">                            . DmlSql::${mysql} </v>
      </c>
      <c r="N493">
        <f t="shared" si="8"/>
        <v>38</v>
      </c>
      <c r="O493" s="7" t="e">
        <f>getCodigoBackend(N493,A493,VLOOKUP(N493,setup!$A$8:$H$58,2),VLOOKUP(N493,setup!$A$8:$H$58,3),VLOOKUP(N493,setup!$A$8:$H$58,4),VLOOKUP(N493,setup!$A$8:$H$58,5),VLOOKUP(N493,setup!$A$8:$H$58,6),VLOOKUP(N493,setup!$A$8:$H$58,7), VLOOKUP(0,setup!$A$8:$H$58,2),VLOOKUP(0,setup!$A$8:$H$58,5),VLOOKUP(N493,setup!$A$8:$H$58,8))</f>
        <v>#VALUE!</v>
      </c>
    </row>
    <row r="494" spans="1:15" x14ac:dyDescent="0.25">
      <c r="A494" s="6" t="str">
        <f t="shared" si="6"/>
        <v xml:space="preserve">                            . DmlSql::${mysql} </v>
      </c>
      <c r="N494">
        <f t="shared" si="8"/>
        <v>39</v>
      </c>
      <c r="O494" s="7" t="e">
        <f>getCodigoBackend(N494,A494,VLOOKUP(N494,setup!$A$8:$H$58,2),VLOOKUP(N494,setup!$A$8:$H$58,3),VLOOKUP(N494,setup!$A$8:$H$58,4),VLOOKUP(N494,setup!$A$8:$H$58,5),VLOOKUP(N494,setup!$A$8:$H$58,6),VLOOKUP(N494,setup!$A$8:$H$58,7), VLOOKUP(0,setup!$A$8:$H$58,2),VLOOKUP(0,setup!$A$8:$H$58,5),VLOOKUP(N494,setup!$A$8:$H$58,8))</f>
        <v>#VALUE!</v>
      </c>
    </row>
    <row r="495" spans="1:15" x14ac:dyDescent="0.25">
      <c r="A495" s="6" t="str">
        <f t="shared" si="6"/>
        <v xml:space="preserve">                            . DmlSql::${mysql} </v>
      </c>
      <c r="N495">
        <f t="shared" si="8"/>
        <v>40</v>
      </c>
      <c r="O495" s="7" t="e">
        <f>getCodigoBackend(N495,A495,VLOOKUP(N495,setup!$A$8:$H$58,2),VLOOKUP(N495,setup!$A$8:$H$58,3),VLOOKUP(N495,setup!$A$8:$H$58,4),VLOOKUP(N495,setup!$A$8:$H$58,5),VLOOKUP(N495,setup!$A$8:$H$58,6),VLOOKUP(N495,setup!$A$8:$H$58,7), VLOOKUP(0,setup!$A$8:$H$58,2),VLOOKUP(0,setup!$A$8:$H$58,5),VLOOKUP(N495,setup!$A$8:$H$58,8))</f>
        <v>#VALUE!</v>
      </c>
    </row>
    <row r="496" spans="1:15" x14ac:dyDescent="0.25">
      <c r="A496" s="6" t="str">
        <f t="shared" si="6"/>
        <v xml:space="preserve">                            . DmlSql::${mysql} </v>
      </c>
      <c r="N496">
        <f t="shared" si="8"/>
        <v>41</v>
      </c>
      <c r="O496" s="7" t="e">
        <f>getCodigoBackend(N496,A496,VLOOKUP(N496,setup!$A$8:$H$58,2),VLOOKUP(N496,setup!$A$8:$H$58,3),VLOOKUP(N496,setup!$A$8:$H$58,4),VLOOKUP(N496,setup!$A$8:$H$58,5),VLOOKUP(N496,setup!$A$8:$H$58,6),VLOOKUP(N496,setup!$A$8:$H$58,7), VLOOKUP(0,setup!$A$8:$H$58,2),VLOOKUP(0,setup!$A$8:$H$58,5),VLOOKUP(N496,setup!$A$8:$H$58,8))</f>
        <v>#VALUE!</v>
      </c>
    </row>
    <row r="497" spans="1:15" x14ac:dyDescent="0.25">
      <c r="A497" s="6" t="str">
        <f t="shared" si="6"/>
        <v xml:space="preserve">                            . DmlSql::${mysql} </v>
      </c>
      <c r="N497">
        <f t="shared" si="8"/>
        <v>42</v>
      </c>
      <c r="O497" s="7" t="e">
        <f>getCodigoBackend(N497,A497,VLOOKUP(N497,setup!$A$8:$H$58,2),VLOOKUP(N497,setup!$A$8:$H$58,3),VLOOKUP(N497,setup!$A$8:$H$58,4),VLOOKUP(N497,setup!$A$8:$H$58,5),VLOOKUP(N497,setup!$A$8:$H$58,6),VLOOKUP(N497,setup!$A$8:$H$58,7), VLOOKUP(0,setup!$A$8:$H$58,2),VLOOKUP(0,setup!$A$8:$H$58,5),VLOOKUP(N497,setup!$A$8:$H$58,8))</f>
        <v>#VALUE!</v>
      </c>
    </row>
    <row r="498" spans="1:15" x14ac:dyDescent="0.25">
      <c r="A498" s="6" t="str">
        <f t="shared" si="6"/>
        <v xml:space="preserve">                            . DmlSql::${mysql} </v>
      </c>
      <c r="N498">
        <f t="shared" si="8"/>
        <v>43</v>
      </c>
      <c r="O498" s="7" t="e">
        <f>getCodigoBackend(N498,A498,VLOOKUP(N498,setup!$A$8:$H$58,2),VLOOKUP(N498,setup!$A$8:$H$58,3),VLOOKUP(N498,setup!$A$8:$H$58,4),VLOOKUP(N498,setup!$A$8:$H$58,5),VLOOKUP(N498,setup!$A$8:$H$58,6),VLOOKUP(N498,setup!$A$8:$H$58,7), VLOOKUP(0,setup!$A$8:$H$58,2),VLOOKUP(0,setup!$A$8:$H$58,5),VLOOKUP(N498,setup!$A$8:$H$58,8))</f>
        <v>#VALUE!</v>
      </c>
    </row>
    <row r="499" spans="1:15" x14ac:dyDescent="0.25">
      <c r="A499" s="6" t="str">
        <f t="shared" si="6"/>
        <v xml:space="preserve">                            . DmlSql::${mysql} </v>
      </c>
      <c r="N499">
        <f t="shared" si="8"/>
        <v>44</v>
      </c>
      <c r="O499" s="7" t="e">
        <f>getCodigoBackend(N499,A499,VLOOKUP(N499,setup!$A$8:$H$58,2),VLOOKUP(N499,setup!$A$8:$H$58,3),VLOOKUP(N499,setup!$A$8:$H$58,4),VLOOKUP(N499,setup!$A$8:$H$58,5),VLOOKUP(N499,setup!$A$8:$H$58,6),VLOOKUP(N499,setup!$A$8:$H$58,7), VLOOKUP(0,setup!$A$8:$H$58,2),VLOOKUP(0,setup!$A$8:$H$58,5),VLOOKUP(N499,setup!$A$8:$H$58,8))</f>
        <v>#VALUE!</v>
      </c>
    </row>
    <row r="500" spans="1:15" x14ac:dyDescent="0.25">
      <c r="A500" s="6" t="str">
        <f t="shared" si="6"/>
        <v xml:space="preserve">                            . DmlSql::${mysql} </v>
      </c>
      <c r="N500">
        <f t="shared" si="8"/>
        <v>45</v>
      </c>
      <c r="O500" s="7" t="e">
        <f>getCodigoBackend(N500,A500,VLOOKUP(N500,setup!$A$8:$H$58,2),VLOOKUP(N500,setup!$A$8:$H$58,3),VLOOKUP(N500,setup!$A$8:$H$58,4),VLOOKUP(N500,setup!$A$8:$H$58,5),VLOOKUP(N500,setup!$A$8:$H$58,6),VLOOKUP(N500,setup!$A$8:$H$58,7), VLOOKUP(0,setup!$A$8:$H$58,2),VLOOKUP(0,setup!$A$8:$H$58,5),VLOOKUP(N500,setup!$A$8:$H$58,8))</f>
        <v>#VALUE!</v>
      </c>
    </row>
    <row r="501" spans="1:15" x14ac:dyDescent="0.25">
      <c r="A501" s="6" t="str">
        <f t="shared" si="6"/>
        <v xml:space="preserve">                            . DmlSql::${mysql} </v>
      </c>
      <c r="N501">
        <f t="shared" si="8"/>
        <v>46</v>
      </c>
      <c r="O501" s="7" t="e">
        <f>getCodigoBackend(N501,A501,VLOOKUP(N501,setup!$A$8:$H$58,2),VLOOKUP(N501,setup!$A$8:$H$58,3),VLOOKUP(N501,setup!$A$8:$H$58,4),VLOOKUP(N501,setup!$A$8:$H$58,5),VLOOKUP(N501,setup!$A$8:$H$58,6),VLOOKUP(N501,setup!$A$8:$H$58,7), VLOOKUP(0,setup!$A$8:$H$58,2),VLOOKUP(0,setup!$A$8:$H$58,5),VLOOKUP(N501,setup!$A$8:$H$58,8))</f>
        <v>#VALUE!</v>
      </c>
    </row>
    <row r="502" spans="1:15" x14ac:dyDescent="0.25">
      <c r="A502" s="6" t="str">
        <f t="shared" si="6"/>
        <v xml:space="preserve">                            . DmlSql::${mysql} </v>
      </c>
      <c r="N502">
        <f t="shared" si="8"/>
        <v>47</v>
      </c>
      <c r="O502" s="7" t="e">
        <f>getCodigoBackend(N502,A502,VLOOKUP(N502,setup!$A$8:$H$58,2),VLOOKUP(N502,setup!$A$8:$H$58,3),VLOOKUP(N502,setup!$A$8:$H$58,4),VLOOKUP(N502,setup!$A$8:$H$58,5),VLOOKUP(N502,setup!$A$8:$H$58,6),VLOOKUP(N502,setup!$A$8:$H$58,7), VLOOKUP(0,setup!$A$8:$H$58,2),VLOOKUP(0,setup!$A$8:$H$58,5),VLOOKUP(N502,setup!$A$8:$H$58,8))</f>
        <v>#VALUE!</v>
      </c>
    </row>
    <row r="503" spans="1:15" x14ac:dyDescent="0.25">
      <c r="A503" s="6"/>
      <c r="N503">
        <f t="shared" si="8"/>
        <v>48</v>
      </c>
      <c r="O503" s="7" t="str">
        <f ca="1">getCodigoBackend(N503,A503,VLOOKUP(N503,setup!$A$8:$H$58,2),VLOOKUP(N503,setup!$A$8:$H$58,3),VLOOKUP(N503,setup!$A$8:$H$58,4),VLOOKUP(N503,setup!$A$8:$H$58,5),VLOOKUP(N503,setup!$A$8:$H$58,6),VLOOKUP(N503,setup!$A$8:$H$58,7), VLOOKUP(0,setup!$A$8:$H$58,2),VLOOKUP(0,setup!$A$8:$H$58,5),VLOOKUP(N503,setup!$A$8:$H$58,8))</f>
        <v/>
      </c>
    </row>
    <row r="504" spans="1:15" x14ac:dyDescent="0.25">
      <c r="A504" s="6"/>
      <c r="N504">
        <f t="shared" si="8"/>
        <v>49</v>
      </c>
      <c r="O504" s="7" t="str">
        <f ca="1">getCodigoBackend(N504,A504,VLOOKUP(N504,setup!$A$8:$H$58,2),VLOOKUP(N504,setup!$A$8:$H$58,3),VLOOKUP(N504,setup!$A$8:$H$58,4),VLOOKUP(N504,setup!$A$8:$H$58,5),VLOOKUP(N504,setup!$A$8:$H$58,6),VLOOKUP(N504,setup!$A$8:$H$58,7), VLOOKUP(0,setup!$A$8:$H$58,2),VLOOKUP(0,setup!$A$8:$H$58,5),VLOOKUP(N504,setup!$A$8:$H$58,8))</f>
        <v/>
      </c>
    </row>
    <row r="505" spans="1:15" x14ac:dyDescent="0.25">
      <c r="A505" s="6"/>
      <c r="N505">
        <f t="shared" si="8"/>
        <v>50</v>
      </c>
      <c r="O505" s="7" t="str">
        <f ca="1">getCodigoBackend(N505,A505,VLOOKUP(N505,setup!$A$8:$H$58,2),VLOOKUP(N505,setup!$A$8:$H$58,3),VLOOKUP(N505,setup!$A$8:$H$58,4),VLOOKUP(N505,setup!$A$8:$H$58,5),VLOOKUP(N505,setup!$A$8:$H$58,6),VLOOKUP(N505,setup!$A$8:$H$58,7), VLOOKUP(0,setup!$A$8:$H$58,2),VLOOKUP(0,setup!$A$8:$H$58,5),VLOOKUP(N505,setup!$A$8:$H$58,8))</f>
        <v/>
      </c>
    </row>
    <row r="506" spans="1:15" x14ac:dyDescent="0.25">
      <c r="A506" s="6" t="str">
        <f>CONCATENATE("                            ,$dto-&gt;${dto}")</f>
        <v>                            ,$dto-&gt;${dto}</v>
      </c>
      <c r="N506" s="7">
        <v>1</v>
      </c>
      <c r="O506" s="7" t="str">
        <f ca="1">getCodigoBackend(N506,A506,VLOOKUP(N506,setup!$A$8:$H$58,2),VLOOKUP(N506,setup!$A$8:$H$58,3),VLOOKUP(N506,setup!$A$8:$H$58,4),VLOOKUP(N506,setup!$A$8:$H$58,5),VLOOKUP(N506,setup!$A$8:$H$58,6),VLOOKUP(N506,setup!$A$8:$H$58,7), VLOOKUP(0,setup!$A$8:$H$58,2),VLOOKUP(0,setup!$A$8:$H$58,5),VLOOKUP(N506,setup!$A$8:$H$58,8))</f>
        <v>                            ,$dto-&gt;idCampanhaCashback</v>
      </c>
    </row>
    <row r="507" spans="1:15" x14ac:dyDescent="0.25">
      <c r="A507" s="6" t="str">
        <f t="shared" ref="A507:A552" si="9">CONCATENATE("                            ,$dto-&gt;${dto}")</f>
        <v>                            ,$dto-&gt;${dto}</v>
      </c>
      <c r="N507">
        <f>N506+1</f>
        <v>2</v>
      </c>
      <c r="O507" s="7" t="str">
        <f ca="1">getCodigoBackend(N507,A507,VLOOKUP(N507,setup!$A$8:$H$58,2),VLOOKUP(N507,setup!$A$8:$H$58,3),VLOOKUP(N507,setup!$A$8:$H$58,4),VLOOKUP(N507,setup!$A$8:$H$58,5),VLOOKUP(N507,setup!$A$8:$H$58,6),VLOOKUP(N507,setup!$A$8:$H$58,7), VLOOKUP(0,setup!$A$8:$H$58,2),VLOOKUP(0,setup!$A$8:$H$58,5),VLOOKUP(N507,setup!$A$8:$H$58,8))</f>
        <v>                            ,$dto-&gt;idUsuarioSolicitante</v>
      </c>
    </row>
    <row r="508" spans="1:15" x14ac:dyDescent="0.25">
      <c r="A508" s="6" t="str">
        <f t="shared" si="9"/>
        <v>                            ,$dto-&gt;${dto}</v>
      </c>
      <c r="N508">
        <f t="shared" ref="N508:N515" si="10">N507+1</f>
        <v>3</v>
      </c>
      <c r="O508" s="7" t="str">
        <f ca="1">getCodigoBackend(N508,A508,VLOOKUP(N508,setup!$A$8:$H$58,2),VLOOKUP(N508,setup!$A$8:$H$58,3),VLOOKUP(N508,setup!$A$8:$H$58,4),VLOOKUP(N508,setup!$A$8:$H$58,5),VLOOKUP(N508,setup!$A$8:$H$58,6),VLOOKUP(N508,setup!$A$8:$H$58,7), VLOOKUP(0,setup!$A$8:$H$58,2),VLOOKUP(0,setup!$A$8:$H$58,5),VLOOKUP(N508,setup!$A$8:$H$58,8))</f>
        <v>                            ,$dto-&gt;tipoChavePix</v>
      </c>
    </row>
    <row r="509" spans="1:15" x14ac:dyDescent="0.25">
      <c r="A509" s="6" t="str">
        <f t="shared" si="9"/>
        <v>                            ,$dto-&gt;${dto}</v>
      </c>
      <c r="N509">
        <f t="shared" si="10"/>
        <v>4</v>
      </c>
      <c r="O509" s="7" t="str">
        <f ca="1">getCodigoBackend(N509,A509,VLOOKUP(N509,setup!$A$8:$H$58,2),VLOOKUP(N509,setup!$A$8:$H$58,3),VLOOKUP(N509,setup!$A$8:$H$58,4),VLOOKUP(N509,setup!$A$8:$H$58,5),VLOOKUP(N509,setup!$A$8:$H$58,6),VLOOKUP(N509,setup!$A$8:$H$58,7), VLOOKUP(0,setup!$A$8:$H$58,2),VLOOKUP(0,setup!$A$8:$H$58,5),VLOOKUP(N509,setup!$A$8:$H$58,8))</f>
        <v>                            ,$dto-&gt;chavePix</v>
      </c>
    </row>
    <row r="510" spans="1:15" x14ac:dyDescent="0.25">
      <c r="A510" s="6" t="str">
        <f t="shared" si="9"/>
        <v>                            ,$dto-&gt;${dto}</v>
      </c>
      <c r="N510">
        <f t="shared" si="10"/>
        <v>5</v>
      </c>
      <c r="O510" s="7" t="str">
        <f ca="1">getCodigoBackend(N510,A510,VLOOKUP(N510,setup!$A$8:$H$58,2),VLOOKUP(N510,setup!$A$8:$H$58,3),VLOOKUP(N510,setup!$A$8:$H$58,4),VLOOKUP(N510,setup!$A$8:$H$58,5),VLOOKUP(N510,setup!$A$8:$H$58,6),VLOOKUP(N510,setup!$A$8:$H$58,7), VLOOKUP(0,setup!$A$8:$H$58,2),VLOOKUP(0,setup!$A$8:$H$58,5),VLOOKUP(N510,setup!$A$8:$H$58,8))</f>
        <v>                            ,$dto-&gt;valorResgate</v>
      </c>
    </row>
    <row r="511" spans="1:15" x14ac:dyDescent="0.25">
      <c r="A511" s="6" t="str">
        <f t="shared" si="9"/>
        <v>                            ,$dto-&gt;${dto}</v>
      </c>
      <c r="N511">
        <f t="shared" si="10"/>
        <v>6</v>
      </c>
      <c r="O511" s="7" t="str">
        <f ca="1">getCodigoBackend(N511,A511,VLOOKUP(N511,setup!$A$8:$H$58,2),VLOOKUP(N511,setup!$A$8:$H$58,3),VLOOKUP(N511,setup!$A$8:$H$58,4),VLOOKUP(N511,setup!$A$8:$H$58,5),VLOOKUP(N511,setup!$A$8:$H$58,6),VLOOKUP(N511,setup!$A$8:$H$58,7), VLOOKUP(0,setup!$A$8:$H$58,2),VLOOKUP(0,setup!$A$8:$H$58,5),VLOOKUP(N511,setup!$A$8:$H$58,8))</f>
        <v>                            ,$dto-&gt;autenticacaoBco</v>
      </c>
    </row>
    <row r="512" spans="1:15" x14ac:dyDescent="0.25">
      <c r="A512" s="6" t="str">
        <f t="shared" si="9"/>
        <v>                            ,$dto-&gt;${dto}</v>
      </c>
      <c r="N512">
        <f t="shared" si="10"/>
        <v>7</v>
      </c>
      <c r="O512" s="7" t="str">
        <f ca="1">getCodigoBackend(N512,A512,VLOOKUP(N512,setup!$A$8:$H$58,2),VLOOKUP(N512,setup!$A$8:$H$58,3),VLOOKUP(N512,setup!$A$8:$H$58,4),VLOOKUP(N512,setup!$A$8:$H$58,5),VLOOKUP(N512,setup!$A$8:$H$58,6),VLOOKUP(N512,setup!$A$8:$H$58,7), VLOOKUP(0,setup!$A$8:$H$58,2),VLOOKUP(0,setup!$A$8:$H$58,5),VLOOKUP(N512,setup!$A$8:$H$58,8))</f>
        <v>                            ,$dto-&gt;estagioRealTime</v>
      </c>
    </row>
    <row r="513" spans="1:15" x14ac:dyDescent="0.25">
      <c r="A513" s="6" t="str">
        <f t="shared" si="9"/>
        <v>                            ,$dto-&gt;${dto}</v>
      </c>
      <c r="N513">
        <f t="shared" si="10"/>
        <v>8</v>
      </c>
      <c r="O513" s="7" t="str">
        <f ca="1">getCodigoBackend(N513,A513,VLOOKUP(N513,setup!$A$8:$H$58,2),VLOOKUP(N513,setup!$A$8:$H$58,3),VLOOKUP(N513,setup!$A$8:$H$58,4),VLOOKUP(N513,setup!$A$8:$H$58,5),VLOOKUP(N513,setup!$A$8:$H$58,6),VLOOKUP(N513,setup!$A$8:$H$58,7), VLOOKUP(0,setup!$A$8:$H$58,2),VLOOKUP(0,setup!$A$8:$H$58,5),VLOOKUP(N513,setup!$A$8:$H$58,8))</f>
        <v>                            ,$dto-&gt;dtEstagioAnalise</v>
      </c>
    </row>
    <row r="514" spans="1:15" x14ac:dyDescent="0.25">
      <c r="A514" s="6" t="str">
        <f t="shared" si="9"/>
        <v>                            ,$dto-&gt;${dto}</v>
      </c>
      <c r="N514">
        <f t="shared" si="10"/>
        <v>9</v>
      </c>
      <c r="O514" s="7" t="str">
        <f ca="1">getCodigoBackend(N514,A514,VLOOKUP(N514,setup!$A$8:$H$58,2),VLOOKUP(N514,setup!$A$8:$H$58,3),VLOOKUP(N514,setup!$A$8:$H$58,4),VLOOKUP(N514,setup!$A$8:$H$58,5),VLOOKUP(N514,setup!$A$8:$H$58,6),VLOOKUP(N514,setup!$A$8:$H$58,7), VLOOKUP(0,setup!$A$8:$H$58,2),VLOOKUP(0,setup!$A$8:$H$58,5),VLOOKUP(N514,setup!$A$8:$H$58,8))</f>
        <v>                            ,$dto-&gt;dtEstagioFinanceiro</v>
      </c>
    </row>
    <row r="515" spans="1:15" x14ac:dyDescent="0.25">
      <c r="A515" s="6" t="str">
        <f t="shared" si="9"/>
        <v>                            ,$dto-&gt;${dto}</v>
      </c>
      <c r="N515">
        <f t="shared" si="10"/>
        <v>10</v>
      </c>
      <c r="O515" s="7" t="str">
        <f ca="1">getCodigoBackend(N515,A515,VLOOKUP(N515,setup!$A$8:$H$58,2),VLOOKUP(N515,setup!$A$8:$H$58,3),VLOOKUP(N515,setup!$A$8:$H$58,4),VLOOKUP(N515,setup!$A$8:$H$58,5),VLOOKUP(N515,setup!$A$8:$H$58,6),VLOOKUP(N515,setup!$A$8:$H$58,7), VLOOKUP(0,setup!$A$8:$H$58,2),VLOOKUP(0,setup!$A$8:$H$58,5),VLOOKUP(N515,setup!$A$8:$H$58,8))</f>
        <v>                            ,$dto-&gt;dtEstagioErro</v>
      </c>
    </row>
    <row r="516" spans="1:15" x14ac:dyDescent="0.25">
      <c r="A516" s="6" t="str">
        <f t="shared" si="9"/>
        <v>                            ,$dto-&gt;${dto}</v>
      </c>
      <c r="N516">
        <f t="shared" ref="N516:N551" si="11">N515+1</f>
        <v>11</v>
      </c>
      <c r="O516" s="7" t="str">
        <f ca="1">getCodigoBackend(N516,A516,VLOOKUP(N516,setup!$A$8:$H$58,2),VLOOKUP(N516,setup!$A$8:$H$58,3),VLOOKUP(N516,setup!$A$8:$H$58,4),VLOOKUP(N516,setup!$A$8:$H$58,5),VLOOKUP(N516,setup!$A$8:$H$58,6),VLOOKUP(N516,setup!$A$8:$H$58,7), VLOOKUP(0,setup!$A$8:$H$58,2),VLOOKUP(0,setup!$A$8:$H$58,5),VLOOKUP(N516,setup!$A$8:$H$58,8))</f>
        <v>                            ,$dto-&gt;dtEstagioTranfBco</v>
      </c>
    </row>
    <row r="517" spans="1:15" x14ac:dyDescent="0.25">
      <c r="A517" s="6" t="str">
        <f t="shared" si="9"/>
        <v>                            ,$dto-&gt;${dto}</v>
      </c>
      <c r="N517">
        <f t="shared" si="11"/>
        <v>12</v>
      </c>
      <c r="O517" s="7" t="str">
        <f ca="1">getCodigoBackend(N517,A517,VLOOKUP(N517,setup!$A$8:$H$58,2),VLOOKUP(N517,setup!$A$8:$H$58,3),VLOOKUP(N517,setup!$A$8:$H$58,4),VLOOKUP(N517,setup!$A$8:$H$58,5),VLOOKUP(N517,setup!$A$8:$H$58,6),VLOOKUP(N517,setup!$A$8:$H$58,7), VLOOKUP(0,setup!$A$8:$H$58,2),VLOOKUP(0,setup!$A$8:$H$58,5),VLOOKUP(N517,setup!$A$8:$H$58,8))</f>
        <v>                            ,$dto-&gt;txtLivreEstagioRT</v>
      </c>
    </row>
    <row r="518" spans="1:15" x14ac:dyDescent="0.25">
      <c r="A518" s="6" t="str">
        <f t="shared" si="9"/>
        <v>                            ,$dto-&gt;${dto}</v>
      </c>
      <c r="N518">
        <f t="shared" si="11"/>
        <v>13</v>
      </c>
      <c r="O518" s="7" t="e">
        <f>getCodigoBackend(N518,A518,VLOOKUP(N518,setup!$A$8:$H$58,2),VLOOKUP(N518,setup!$A$8:$H$58,3),VLOOKUP(N518,setup!$A$8:$H$58,4),VLOOKUP(N518,setup!$A$8:$H$58,5),VLOOKUP(N518,setup!$A$8:$H$58,6),VLOOKUP(N518,setup!$A$8:$H$58,7), VLOOKUP(0,setup!$A$8:$H$58,2),VLOOKUP(0,setup!$A$8:$H$58,5),VLOOKUP(N518,setup!$A$8:$H$58,8))</f>
        <v>#VALUE!</v>
      </c>
    </row>
    <row r="519" spans="1:15" x14ac:dyDescent="0.25">
      <c r="A519" s="6" t="str">
        <f t="shared" si="9"/>
        <v>                            ,$dto-&gt;${dto}</v>
      </c>
      <c r="N519">
        <f t="shared" si="11"/>
        <v>14</v>
      </c>
      <c r="O519" s="7" t="e">
        <f>getCodigoBackend(N519,A519,VLOOKUP(N519,setup!$A$8:$H$58,2),VLOOKUP(N519,setup!$A$8:$H$58,3),VLOOKUP(N519,setup!$A$8:$H$58,4),VLOOKUP(N519,setup!$A$8:$H$58,5),VLOOKUP(N519,setup!$A$8:$H$58,6),VLOOKUP(N519,setup!$A$8:$H$58,7), VLOOKUP(0,setup!$A$8:$H$58,2),VLOOKUP(0,setup!$A$8:$H$58,5),VLOOKUP(N519,setup!$A$8:$H$58,8))</f>
        <v>#VALUE!</v>
      </c>
    </row>
    <row r="520" spans="1:15" x14ac:dyDescent="0.25">
      <c r="A520" s="6" t="str">
        <f t="shared" si="9"/>
        <v>                            ,$dto-&gt;${dto}</v>
      </c>
      <c r="N520">
        <f t="shared" si="11"/>
        <v>15</v>
      </c>
      <c r="O520" s="7" t="e">
        <f>getCodigoBackend(N520,A520,VLOOKUP(N520,setup!$A$8:$H$58,2),VLOOKUP(N520,setup!$A$8:$H$58,3),VLOOKUP(N520,setup!$A$8:$H$58,4),VLOOKUP(N520,setup!$A$8:$H$58,5),VLOOKUP(N520,setup!$A$8:$H$58,6),VLOOKUP(N520,setup!$A$8:$H$58,7), VLOOKUP(0,setup!$A$8:$H$58,2),VLOOKUP(0,setup!$A$8:$H$58,5),VLOOKUP(N520,setup!$A$8:$H$58,8))</f>
        <v>#VALUE!</v>
      </c>
    </row>
    <row r="521" spans="1:15" x14ac:dyDescent="0.25">
      <c r="A521" s="6" t="str">
        <f t="shared" si="9"/>
        <v>                            ,$dto-&gt;${dto}</v>
      </c>
      <c r="N521">
        <f t="shared" si="11"/>
        <v>16</v>
      </c>
      <c r="O521" s="7" t="e">
        <f>getCodigoBackend(N521,A521,VLOOKUP(N521,setup!$A$8:$H$58,2),VLOOKUP(N521,setup!$A$8:$H$58,3),VLOOKUP(N521,setup!$A$8:$H$58,4),VLOOKUP(N521,setup!$A$8:$H$58,5),VLOOKUP(N521,setup!$A$8:$H$58,6),VLOOKUP(N521,setup!$A$8:$H$58,7), VLOOKUP(0,setup!$A$8:$H$58,2),VLOOKUP(0,setup!$A$8:$H$58,5),VLOOKUP(N521,setup!$A$8:$H$58,8))</f>
        <v>#VALUE!</v>
      </c>
    </row>
    <row r="522" spans="1:15" x14ac:dyDescent="0.25">
      <c r="A522" s="6" t="str">
        <f t="shared" si="9"/>
        <v>                            ,$dto-&gt;${dto}</v>
      </c>
      <c r="N522">
        <f t="shared" si="11"/>
        <v>17</v>
      </c>
      <c r="O522" s="7" t="e">
        <f>getCodigoBackend(N522,A522,VLOOKUP(N522,setup!$A$8:$H$58,2),VLOOKUP(N522,setup!$A$8:$H$58,3),VLOOKUP(N522,setup!$A$8:$H$58,4),VLOOKUP(N522,setup!$A$8:$H$58,5),VLOOKUP(N522,setup!$A$8:$H$58,6),VLOOKUP(N522,setup!$A$8:$H$58,7), VLOOKUP(0,setup!$A$8:$H$58,2),VLOOKUP(0,setup!$A$8:$H$58,5),VLOOKUP(N522,setup!$A$8:$H$58,8))</f>
        <v>#VALUE!</v>
      </c>
    </row>
    <row r="523" spans="1:15" x14ac:dyDescent="0.25">
      <c r="A523" s="6" t="str">
        <f t="shared" si="9"/>
        <v>                            ,$dto-&gt;${dto}</v>
      </c>
      <c r="N523">
        <f t="shared" si="11"/>
        <v>18</v>
      </c>
      <c r="O523" s="7" t="e">
        <f>getCodigoBackend(N523,A523,VLOOKUP(N523,setup!$A$8:$H$58,2),VLOOKUP(N523,setup!$A$8:$H$58,3),VLOOKUP(N523,setup!$A$8:$H$58,4),VLOOKUP(N523,setup!$A$8:$H$58,5),VLOOKUP(N523,setup!$A$8:$H$58,6),VLOOKUP(N523,setup!$A$8:$H$58,7), VLOOKUP(0,setup!$A$8:$H$58,2),VLOOKUP(0,setup!$A$8:$H$58,5),VLOOKUP(N523,setup!$A$8:$H$58,8))</f>
        <v>#VALUE!</v>
      </c>
    </row>
    <row r="524" spans="1:15" x14ac:dyDescent="0.25">
      <c r="A524" s="6" t="str">
        <f t="shared" si="9"/>
        <v>                            ,$dto-&gt;${dto}</v>
      </c>
      <c r="N524">
        <f t="shared" si="11"/>
        <v>19</v>
      </c>
      <c r="O524" s="7" t="e">
        <f>getCodigoBackend(N524,A524,VLOOKUP(N524,setup!$A$8:$H$58,2),VLOOKUP(N524,setup!$A$8:$H$58,3),VLOOKUP(N524,setup!$A$8:$H$58,4),VLOOKUP(N524,setup!$A$8:$H$58,5),VLOOKUP(N524,setup!$A$8:$H$58,6),VLOOKUP(N524,setup!$A$8:$H$58,7), VLOOKUP(0,setup!$A$8:$H$58,2),VLOOKUP(0,setup!$A$8:$H$58,5),VLOOKUP(N524,setup!$A$8:$H$58,8))</f>
        <v>#VALUE!</v>
      </c>
    </row>
    <row r="525" spans="1:15" x14ac:dyDescent="0.25">
      <c r="A525" s="6" t="str">
        <f t="shared" si="9"/>
        <v>                            ,$dto-&gt;${dto}</v>
      </c>
      <c r="N525">
        <f t="shared" si="11"/>
        <v>20</v>
      </c>
      <c r="O525" s="7" t="e">
        <f>getCodigoBackend(N525,A525,VLOOKUP(N525,setup!$A$8:$H$58,2),VLOOKUP(N525,setup!$A$8:$H$58,3),VLOOKUP(N525,setup!$A$8:$H$58,4),VLOOKUP(N525,setup!$A$8:$H$58,5),VLOOKUP(N525,setup!$A$8:$H$58,6),VLOOKUP(N525,setup!$A$8:$H$58,7), VLOOKUP(0,setup!$A$8:$H$58,2),VLOOKUP(0,setup!$A$8:$H$58,5),VLOOKUP(N525,setup!$A$8:$H$58,8))</f>
        <v>#VALUE!</v>
      </c>
    </row>
    <row r="526" spans="1:15" x14ac:dyDescent="0.25">
      <c r="A526" s="6" t="str">
        <f t="shared" si="9"/>
        <v>                            ,$dto-&gt;${dto}</v>
      </c>
      <c r="N526">
        <f t="shared" si="11"/>
        <v>21</v>
      </c>
      <c r="O526" s="7" t="e">
        <f>getCodigoBackend(N526,A526,VLOOKUP(N526,setup!$A$8:$H$58,2),VLOOKUP(N526,setup!$A$8:$H$58,3),VLOOKUP(N526,setup!$A$8:$H$58,4),VLOOKUP(N526,setup!$A$8:$H$58,5),VLOOKUP(N526,setup!$A$8:$H$58,6),VLOOKUP(N526,setup!$A$8:$H$58,7), VLOOKUP(0,setup!$A$8:$H$58,2),VLOOKUP(0,setup!$A$8:$H$58,5),VLOOKUP(N526,setup!$A$8:$H$58,8))</f>
        <v>#VALUE!</v>
      </c>
    </row>
    <row r="527" spans="1:15" x14ac:dyDescent="0.25">
      <c r="A527" s="6" t="str">
        <f t="shared" si="9"/>
        <v>                            ,$dto-&gt;${dto}</v>
      </c>
      <c r="N527">
        <f t="shared" si="11"/>
        <v>22</v>
      </c>
      <c r="O527" s="7" t="e">
        <f>getCodigoBackend(N527,A527,VLOOKUP(N527,setup!$A$8:$H$58,2),VLOOKUP(N527,setup!$A$8:$H$58,3),VLOOKUP(N527,setup!$A$8:$H$58,4),VLOOKUP(N527,setup!$A$8:$H$58,5),VLOOKUP(N527,setup!$A$8:$H$58,6),VLOOKUP(N527,setup!$A$8:$H$58,7), VLOOKUP(0,setup!$A$8:$H$58,2),VLOOKUP(0,setup!$A$8:$H$58,5),VLOOKUP(N527,setup!$A$8:$H$58,8))</f>
        <v>#VALUE!</v>
      </c>
    </row>
    <row r="528" spans="1:15" x14ac:dyDescent="0.25">
      <c r="A528" s="6" t="str">
        <f t="shared" si="9"/>
        <v>                            ,$dto-&gt;${dto}</v>
      </c>
      <c r="N528">
        <f t="shared" si="11"/>
        <v>23</v>
      </c>
      <c r="O528" s="7" t="e">
        <f>getCodigoBackend(N528,A528,VLOOKUP(N528,setup!$A$8:$H$58,2),VLOOKUP(N528,setup!$A$8:$H$58,3),VLOOKUP(N528,setup!$A$8:$H$58,4),VLOOKUP(N528,setup!$A$8:$H$58,5),VLOOKUP(N528,setup!$A$8:$H$58,6),VLOOKUP(N528,setup!$A$8:$H$58,7), VLOOKUP(0,setup!$A$8:$H$58,2),VLOOKUP(0,setup!$A$8:$H$58,5),VLOOKUP(N528,setup!$A$8:$H$58,8))</f>
        <v>#VALUE!</v>
      </c>
    </row>
    <row r="529" spans="1:15" x14ac:dyDescent="0.25">
      <c r="A529" s="6" t="str">
        <f t="shared" si="9"/>
        <v>                            ,$dto-&gt;${dto}</v>
      </c>
      <c r="N529">
        <f t="shared" si="11"/>
        <v>24</v>
      </c>
      <c r="O529" s="7" t="e">
        <f>getCodigoBackend(N529,A529,VLOOKUP(N529,setup!$A$8:$H$58,2),VLOOKUP(N529,setup!$A$8:$H$58,3),VLOOKUP(N529,setup!$A$8:$H$58,4),VLOOKUP(N529,setup!$A$8:$H$58,5),VLOOKUP(N529,setup!$A$8:$H$58,6),VLOOKUP(N529,setup!$A$8:$H$58,7), VLOOKUP(0,setup!$A$8:$H$58,2),VLOOKUP(0,setup!$A$8:$H$58,5),VLOOKUP(N529,setup!$A$8:$H$58,8))</f>
        <v>#VALUE!</v>
      </c>
    </row>
    <row r="530" spans="1:15" x14ac:dyDescent="0.25">
      <c r="A530" s="6" t="str">
        <f t="shared" si="9"/>
        <v>                            ,$dto-&gt;${dto}</v>
      </c>
      <c r="N530">
        <f t="shared" si="11"/>
        <v>25</v>
      </c>
      <c r="O530" s="7" t="e">
        <f>getCodigoBackend(N530,A530,VLOOKUP(N530,setup!$A$8:$H$58,2),VLOOKUP(N530,setup!$A$8:$H$58,3),VLOOKUP(N530,setup!$A$8:$H$58,4),VLOOKUP(N530,setup!$A$8:$H$58,5),VLOOKUP(N530,setup!$A$8:$H$58,6),VLOOKUP(N530,setup!$A$8:$H$58,7), VLOOKUP(0,setup!$A$8:$H$58,2),VLOOKUP(0,setup!$A$8:$H$58,5),VLOOKUP(N530,setup!$A$8:$H$58,8))</f>
        <v>#VALUE!</v>
      </c>
    </row>
    <row r="531" spans="1:15" x14ac:dyDescent="0.25">
      <c r="A531" s="6" t="str">
        <f t="shared" si="9"/>
        <v>                            ,$dto-&gt;${dto}</v>
      </c>
      <c r="N531">
        <f t="shared" si="11"/>
        <v>26</v>
      </c>
      <c r="O531" s="7" t="e">
        <f>getCodigoBackend(N531,A531,VLOOKUP(N531,setup!$A$8:$H$58,2),VLOOKUP(N531,setup!$A$8:$H$58,3),VLOOKUP(N531,setup!$A$8:$H$58,4),VLOOKUP(N531,setup!$A$8:$H$58,5),VLOOKUP(N531,setup!$A$8:$H$58,6),VLOOKUP(N531,setup!$A$8:$H$58,7), VLOOKUP(0,setup!$A$8:$H$58,2),VLOOKUP(0,setup!$A$8:$H$58,5),VLOOKUP(N531,setup!$A$8:$H$58,8))</f>
        <v>#VALUE!</v>
      </c>
    </row>
    <row r="532" spans="1:15" x14ac:dyDescent="0.25">
      <c r="A532" s="6" t="str">
        <f t="shared" si="9"/>
        <v>                            ,$dto-&gt;${dto}</v>
      </c>
      <c r="N532">
        <f t="shared" si="11"/>
        <v>27</v>
      </c>
      <c r="O532" s="7" t="e">
        <f>getCodigoBackend(N532,A532,VLOOKUP(N532,setup!$A$8:$H$58,2),VLOOKUP(N532,setup!$A$8:$H$58,3),VLOOKUP(N532,setup!$A$8:$H$58,4),VLOOKUP(N532,setup!$A$8:$H$58,5),VLOOKUP(N532,setup!$A$8:$H$58,6),VLOOKUP(N532,setup!$A$8:$H$58,7), VLOOKUP(0,setup!$A$8:$H$58,2),VLOOKUP(0,setup!$A$8:$H$58,5),VLOOKUP(N532,setup!$A$8:$H$58,8))</f>
        <v>#VALUE!</v>
      </c>
    </row>
    <row r="533" spans="1:15" x14ac:dyDescent="0.25">
      <c r="A533" s="6" t="str">
        <f t="shared" si="9"/>
        <v>                            ,$dto-&gt;${dto}</v>
      </c>
      <c r="N533">
        <f t="shared" si="11"/>
        <v>28</v>
      </c>
      <c r="O533" s="7" t="e">
        <f>getCodigoBackend(N533,A533,VLOOKUP(N533,setup!$A$8:$H$58,2),VLOOKUP(N533,setup!$A$8:$H$58,3),VLOOKUP(N533,setup!$A$8:$H$58,4),VLOOKUP(N533,setup!$A$8:$H$58,5),VLOOKUP(N533,setup!$A$8:$H$58,6),VLOOKUP(N533,setup!$A$8:$H$58,7), VLOOKUP(0,setup!$A$8:$H$58,2),VLOOKUP(0,setup!$A$8:$H$58,5),VLOOKUP(N533,setup!$A$8:$H$58,8))</f>
        <v>#VALUE!</v>
      </c>
    </row>
    <row r="534" spans="1:15" x14ac:dyDescent="0.25">
      <c r="A534" s="6" t="str">
        <f t="shared" si="9"/>
        <v>                            ,$dto-&gt;${dto}</v>
      </c>
      <c r="N534">
        <f t="shared" si="11"/>
        <v>29</v>
      </c>
      <c r="O534" s="7" t="e">
        <f>getCodigoBackend(N534,A534,VLOOKUP(N534,setup!$A$8:$H$58,2),VLOOKUP(N534,setup!$A$8:$H$58,3),VLOOKUP(N534,setup!$A$8:$H$58,4),VLOOKUP(N534,setup!$A$8:$H$58,5),VLOOKUP(N534,setup!$A$8:$H$58,6),VLOOKUP(N534,setup!$A$8:$H$58,7), VLOOKUP(0,setup!$A$8:$H$58,2),VLOOKUP(0,setup!$A$8:$H$58,5),VLOOKUP(N534,setup!$A$8:$H$58,8))</f>
        <v>#VALUE!</v>
      </c>
    </row>
    <row r="535" spans="1:15" x14ac:dyDescent="0.25">
      <c r="A535" s="6" t="str">
        <f t="shared" si="9"/>
        <v>                            ,$dto-&gt;${dto}</v>
      </c>
      <c r="N535">
        <f t="shared" si="11"/>
        <v>30</v>
      </c>
      <c r="O535" s="7" t="e">
        <f>getCodigoBackend(N535,A535,VLOOKUP(N535,setup!$A$8:$H$58,2),VLOOKUP(N535,setup!$A$8:$H$58,3),VLOOKUP(N535,setup!$A$8:$H$58,4),VLOOKUP(N535,setup!$A$8:$H$58,5),VLOOKUP(N535,setup!$A$8:$H$58,6),VLOOKUP(N535,setup!$A$8:$H$58,7), VLOOKUP(0,setup!$A$8:$H$58,2),VLOOKUP(0,setup!$A$8:$H$58,5),VLOOKUP(N535,setup!$A$8:$H$58,8))</f>
        <v>#VALUE!</v>
      </c>
    </row>
    <row r="536" spans="1:15" x14ac:dyDescent="0.25">
      <c r="A536" s="6" t="str">
        <f t="shared" si="9"/>
        <v>                            ,$dto-&gt;${dto}</v>
      </c>
      <c r="N536">
        <f t="shared" si="11"/>
        <v>31</v>
      </c>
      <c r="O536" s="7" t="e">
        <f>getCodigoBackend(N536,A536,VLOOKUP(N536,setup!$A$8:$H$58,2),VLOOKUP(N536,setup!$A$8:$H$58,3),VLOOKUP(N536,setup!$A$8:$H$58,4),VLOOKUP(N536,setup!$A$8:$H$58,5),VLOOKUP(N536,setup!$A$8:$H$58,6),VLOOKUP(N536,setup!$A$8:$H$58,7), VLOOKUP(0,setup!$A$8:$H$58,2),VLOOKUP(0,setup!$A$8:$H$58,5),VLOOKUP(N536,setup!$A$8:$H$58,8))</f>
        <v>#VALUE!</v>
      </c>
    </row>
    <row r="537" spans="1:15" x14ac:dyDescent="0.25">
      <c r="A537" s="6" t="str">
        <f t="shared" si="9"/>
        <v>                            ,$dto-&gt;${dto}</v>
      </c>
      <c r="N537">
        <f t="shared" si="11"/>
        <v>32</v>
      </c>
      <c r="O537" s="7" t="e">
        <f>getCodigoBackend(N537,A537,VLOOKUP(N537,setup!$A$8:$H$58,2),VLOOKUP(N537,setup!$A$8:$H$58,3),VLOOKUP(N537,setup!$A$8:$H$58,4),VLOOKUP(N537,setup!$A$8:$H$58,5),VLOOKUP(N537,setup!$A$8:$H$58,6),VLOOKUP(N537,setup!$A$8:$H$58,7), VLOOKUP(0,setup!$A$8:$H$58,2),VLOOKUP(0,setup!$A$8:$H$58,5),VLOOKUP(N537,setup!$A$8:$H$58,8))</f>
        <v>#VALUE!</v>
      </c>
    </row>
    <row r="538" spans="1:15" x14ac:dyDescent="0.25">
      <c r="A538" s="6" t="str">
        <f t="shared" si="9"/>
        <v>                            ,$dto-&gt;${dto}</v>
      </c>
      <c r="N538">
        <f t="shared" si="11"/>
        <v>33</v>
      </c>
      <c r="O538" s="7" t="e">
        <f>getCodigoBackend(N538,A538,VLOOKUP(N538,setup!$A$8:$H$58,2),VLOOKUP(N538,setup!$A$8:$H$58,3),VLOOKUP(N538,setup!$A$8:$H$58,4),VLOOKUP(N538,setup!$A$8:$H$58,5),VLOOKUP(N538,setup!$A$8:$H$58,6),VLOOKUP(N538,setup!$A$8:$H$58,7), VLOOKUP(0,setup!$A$8:$H$58,2),VLOOKUP(0,setup!$A$8:$H$58,5),VLOOKUP(N538,setup!$A$8:$H$58,8))</f>
        <v>#VALUE!</v>
      </c>
    </row>
    <row r="539" spans="1:15" x14ac:dyDescent="0.25">
      <c r="A539" s="6" t="str">
        <f t="shared" si="9"/>
        <v>                            ,$dto-&gt;${dto}</v>
      </c>
      <c r="N539">
        <f t="shared" si="11"/>
        <v>34</v>
      </c>
      <c r="O539" s="7" t="e">
        <f>getCodigoBackend(N539,A539,VLOOKUP(N539,setup!$A$8:$H$58,2),VLOOKUP(N539,setup!$A$8:$H$58,3),VLOOKUP(N539,setup!$A$8:$H$58,4),VLOOKUP(N539,setup!$A$8:$H$58,5),VLOOKUP(N539,setup!$A$8:$H$58,6),VLOOKUP(N539,setup!$A$8:$H$58,7), VLOOKUP(0,setup!$A$8:$H$58,2),VLOOKUP(0,setup!$A$8:$H$58,5),VLOOKUP(N539,setup!$A$8:$H$58,8))</f>
        <v>#VALUE!</v>
      </c>
    </row>
    <row r="540" spans="1:15" x14ac:dyDescent="0.25">
      <c r="A540" s="6" t="str">
        <f t="shared" si="9"/>
        <v>                            ,$dto-&gt;${dto}</v>
      </c>
      <c r="N540">
        <f t="shared" si="11"/>
        <v>35</v>
      </c>
      <c r="O540" s="7" t="e">
        <f>getCodigoBackend(N540,A540,VLOOKUP(N540,setup!$A$8:$H$58,2),VLOOKUP(N540,setup!$A$8:$H$58,3),VLOOKUP(N540,setup!$A$8:$H$58,4),VLOOKUP(N540,setup!$A$8:$H$58,5),VLOOKUP(N540,setup!$A$8:$H$58,6),VLOOKUP(N540,setup!$A$8:$H$58,7), VLOOKUP(0,setup!$A$8:$H$58,2),VLOOKUP(0,setup!$A$8:$H$58,5),VLOOKUP(N540,setup!$A$8:$H$58,8))</f>
        <v>#VALUE!</v>
      </c>
    </row>
    <row r="541" spans="1:15" x14ac:dyDescent="0.25">
      <c r="A541" s="6" t="str">
        <f t="shared" si="9"/>
        <v>                            ,$dto-&gt;${dto}</v>
      </c>
      <c r="N541">
        <f t="shared" si="11"/>
        <v>36</v>
      </c>
      <c r="O541" s="7" t="e">
        <f>getCodigoBackend(N541,A541,VLOOKUP(N541,setup!$A$8:$H$58,2),VLOOKUP(N541,setup!$A$8:$H$58,3),VLOOKUP(N541,setup!$A$8:$H$58,4),VLOOKUP(N541,setup!$A$8:$H$58,5),VLOOKUP(N541,setup!$A$8:$H$58,6),VLOOKUP(N541,setup!$A$8:$H$58,7), VLOOKUP(0,setup!$A$8:$H$58,2),VLOOKUP(0,setup!$A$8:$H$58,5),VLOOKUP(N541,setup!$A$8:$H$58,8))</f>
        <v>#VALUE!</v>
      </c>
    </row>
    <row r="542" spans="1:15" x14ac:dyDescent="0.25">
      <c r="A542" s="6" t="str">
        <f t="shared" si="9"/>
        <v>                            ,$dto-&gt;${dto}</v>
      </c>
      <c r="N542">
        <f t="shared" si="11"/>
        <v>37</v>
      </c>
      <c r="O542" s="7" t="e">
        <f>getCodigoBackend(N542,A542,VLOOKUP(N542,setup!$A$8:$H$58,2),VLOOKUP(N542,setup!$A$8:$H$58,3),VLOOKUP(N542,setup!$A$8:$H$58,4),VLOOKUP(N542,setup!$A$8:$H$58,5),VLOOKUP(N542,setup!$A$8:$H$58,6),VLOOKUP(N542,setup!$A$8:$H$58,7), VLOOKUP(0,setup!$A$8:$H$58,2),VLOOKUP(0,setup!$A$8:$H$58,5),VLOOKUP(N542,setup!$A$8:$H$58,8))</f>
        <v>#VALUE!</v>
      </c>
    </row>
    <row r="543" spans="1:15" x14ac:dyDescent="0.25">
      <c r="A543" s="6" t="str">
        <f t="shared" si="9"/>
        <v>                            ,$dto-&gt;${dto}</v>
      </c>
      <c r="N543">
        <f t="shared" si="11"/>
        <v>38</v>
      </c>
      <c r="O543" s="7" t="e">
        <f>getCodigoBackend(N543,A543,VLOOKUP(N543,setup!$A$8:$H$58,2),VLOOKUP(N543,setup!$A$8:$H$58,3),VLOOKUP(N543,setup!$A$8:$H$58,4),VLOOKUP(N543,setup!$A$8:$H$58,5),VLOOKUP(N543,setup!$A$8:$H$58,6),VLOOKUP(N543,setup!$A$8:$H$58,7), VLOOKUP(0,setup!$A$8:$H$58,2),VLOOKUP(0,setup!$A$8:$H$58,5),VLOOKUP(N543,setup!$A$8:$H$58,8))</f>
        <v>#VALUE!</v>
      </c>
    </row>
    <row r="544" spans="1:15" x14ac:dyDescent="0.25">
      <c r="A544" s="6" t="str">
        <f t="shared" si="9"/>
        <v>                            ,$dto-&gt;${dto}</v>
      </c>
      <c r="N544">
        <f t="shared" si="11"/>
        <v>39</v>
      </c>
      <c r="O544" s="7" t="e">
        <f>getCodigoBackend(N544,A544,VLOOKUP(N544,setup!$A$8:$H$58,2),VLOOKUP(N544,setup!$A$8:$H$58,3),VLOOKUP(N544,setup!$A$8:$H$58,4),VLOOKUP(N544,setup!$A$8:$H$58,5),VLOOKUP(N544,setup!$A$8:$H$58,6),VLOOKUP(N544,setup!$A$8:$H$58,7), VLOOKUP(0,setup!$A$8:$H$58,2),VLOOKUP(0,setup!$A$8:$H$58,5),VLOOKUP(N544,setup!$A$8:$H$58,8))</f>
        <v>#VALUE!</v>
      </c>
    </row>
    <row r="545" spans="1:15" x14ac:dyDescent="0.25">
      <c r="A545" s="6" t="str">
        <f t="shared" si="9"/>
        <v>                            ,$dto-&gt;${dto}</v>
      </c>
      <c r="N545">
        <f t="shared" si="11"/>
        <v>40</v>
      </c>
      <c r="O545" s="7" t="e">
        <f>getCodigoBackend(N545,A545,VLOOKUP(N545,setup!$A$8:$H$58,2),VLOOKUP(N545,setup!$A$8:$H$58,3),VLOOKUP(N545,setup!$A$8:$H$58,4),VLOOKUP(N545,setup!$A$8:$H$58,5),VLOOKUP(N545,setup!$A$8:$H$58,6),VLOOKUP(N545,setup!$A$8:$H$58,7), VLOOKUP(0,setup!$A$8:$H$58,2),VLOOKUP(0,setup!$A$8:$H$58,5),VLOOKUP(N545,setup!$A$8:$H$58,8))</f>
        <v>#VALUE!</v>
      </c>
    </row>
    <row r="546" spans="1:15" x14ac:dyDescent="0.25">
      <c r="A546" s="6" t="str">
        <f t="shared" si="9"/>
        <v>                            ,$dto-&gt;${dto}</v>
      </c>
      <c r="N546">
        <f t="shared" si="11"/>
        <v>41</v>
      </c>
      <c r="O546" s="7" t="e">
        <f>getCodigoBackend(N546,A546,VLOOKUP(N546,setup!$A$8:$H$58,2),VLOOKUP(N546,setup!$A$8:$H$58,3),VLOOKUP(N546,setup!$A$8:$H$58,4),VLOOKUP(N546,setup!$A$8:$H$58,5),VLOOKUP(N546,setup!$A$8:$H$58,6),VLOOKUP(N546,setup!$A$8:$H$58,7), VLOOKUP(0,setup!$A$8:$H$58,2),VLOOKUP(0,setup!$A$8:$H$58,5),VLOOKUP(N546,setup!$A$8:$H$58,8))</f>
        <v>#VALUE!</v>
      </c>
    </row>
    <row r="547" spans="1:15" x14ac:dyDescent="0.25">
      <c r="A547" s="6" t="str">
        <f t="shared" si="9"/>
        <v>                            ,$dto-&gt;${dto}</v>
      </c>
      <c r="N547">
        <f t="shared" si="11"/>
        <v>42</v>
      </c>
      <c r="O547" s="7" t="e">
        <f>getCodigoBackend(N547,A547,VLOOKUP(N547,setup!$A$8:$H$58,2),VLOOKUP(N547,setup!$A$8:$H$58,3),VLOOKUP(N547,setup!$A$8:$H$58,4),VLOOKUP(N547,setup!$A$8:$H$58,5),VLOOKUP(N547,setup!$A$8:$H$58,6),VLOOKUP(N547,setup!$A$8:$H$58,7), VLOOKUP(0,setup!$A$8:$H$58,2),VLOOKUP(0,setup!$A$8:$H$58,5),VLOOKUP(N547,setup!$A$8:$H$58,8))</f>
        <v>#VALUE!</v>
      </c>
    </row>
    <row r="548" spans="1:15" x14ac:dyDescent="0.25">
      <c r="A548" s="6" t="str">
        <f t="shared" si="9"/>
        <v>                            ,$dto-&gt;${dto}</v>
      </c>
      <c r="N548">
        <f t="shared" si="11"/>
        <v>43</v>
      </c>
      <c r="O548" s="7" t="e">
        <f>getCodigoBackend(N548,A548,VLOOKUP(N548,setup!$A$8:$H$58,2),VLOOKUP(N548,setup!$A$8:$H$58,3),VLOOKUP(N548,setup!$A$8:$H$58,4),VLOOKUP(N548,setup!$A$8:$H$58,5),VLOOKUP(N548,setup!$A$8:$H$58,6),VLOOKUP(N548,setup!$A$8:$H$58,7), VLOOKUP(0,setup!$A$8:$H$58,2),VLOOKUP(0,setup!$A$8:$H$58,5),VLOOKUP(N548,setup!$A$8:$H$58,8))</f>
        <v>#VALUE!</v>
      </c>
    </row>
    <row r="549" spans="1:15" x14ac:dyDescent="0.25">
      <c r="A549" s="6" t="str">
        <f t="shared" si="9"/>
        <v>                            ,$dto-&gt;${dto}</v>
      </c>
      <c r="N549">
        <f t="shared" si="11"/>
        <v>44</v>
      </c>
      <c r="O549" s="7" t="e">
        <f>getCodigoBackend(N549,A549,VLOOKUP(N549,setup!$A$8:$H$58,2),VLOOKUP(N549,setup!$A$8:$H$58,3),VLOOKUP(N549,setup!$A$8:$H$58,4),VLOOKUP(N549,setup!$A$8:$H$58,5),VLOOKUP(N549,setup!$A$8:$H$58,6),VLOOKUP(N549,setup!$A$8:$H$58,7), VLOOKUP(0,setup!$A$8:$H$58,2),VLOOKUP(0,setup!$A$8:$H$58,5),VLOOKUP(N549,setup!$A$8:$H$58,8))</f>
        <v>#VALUE!</v>
      </c>
    </row>
    <row r="550" spans="1:15" x14ac:dyDescent="0.25">
      <c r="A550" s="6" t="str">
        <f t="shared" si="9"/>
        <v>                            ,$dto-&gt;${dto}</v>
      </c>
      <c r="N550">
        <f t="shared" si="11"/>
        <v>45</v>
      </c>
      <c r="O550" s="7" t="e">
        <f>getCodigoBackend(N550,A550,VLOOKUP(N550,setup!$A$8:$H$58,2),VLOOKUP(N550,setup!$A$8:$H$58,3),VLOOKUP(N550,setup!$A$8:$H$58,4),VLOOKUP(N550,setup!$A$8:$H$58,5),VLOOKUP(N550,setup!$A$8:$H$58,6),VLOOKUP(N550,setup!$A$8:$H$58,7), VLOOKUP(0,setup!$A$8:$H$58,2),VLOOKUP(0,setup!$A$8:$H$58,5),VLOOKUP(N550,setup!$A$8:$H$58,8))</f>
        <v>#VALUE!</v>
      </c>
    </row>
    <row r="551" spans="1:15" x14ac:dyDescent="0.25">
      <c r="A551" s="6" t="str">
        <f t="shared" si="9"/>
        <v>                            ,$dto-&gt;${dto}</v>
      </c>
      <c r="N551">
        <f t="shared" si="11"/>
        <v>46</v>
      </c>
      <c r="O551" s="7" t="e">
        <f>getCodigoBackend(N551,A551,VLOOKUP(N551,setup!$A$8:$H$58,2),VLOOKUP(N551,setup!$A$8:$H$58,3),VLOOKUP(N551,setup!$A$8:$H$58,4),VLOOKUP(N551,setup!$A$8:$H$58,5),VLOOKUP(N551,setup!$A$8:$H$58,6),VLOOKUP(N551,setup!$A$8:$H$58,7), VLOOKUP(0,setup!$A$8:$H$58,2),VLOOKUP(0,setup!$A$8:$H$58,5),VLOOKUP(N551,setup!$A$8:$H$58,8))</f>
        <v>#VALUE!</v>
      </c>
    </row>
    <row r="552" spans="1:15" x14ac:dyDescent="0.25">
      <c r="A552" s="6" t="str">
        <f t="shared" si="9"/>
        <v>                            ,$dto-&gt;${dto}</v>
      </c>
      <c r="N552">
        <f t="shared" ref="N552:N555" si="12">N551+1</f>
        <v>47</v>
      </c>
      <c r="O552" s="7" t="e">
        <f>getCodigoBackend(N552,A552,VLOOKUP(N552,setup!$A$8:$H$58,2),VLOOKUP(N552,setup!$A$8:$H$58,3),VLOOKUP(N552,setup!$A$8:$H$58,4),VLOOKUP(N552,setup!$A$8:$H$58,5),VLOOKUP(N552,setup!$A$8:$H$58,6),VLOOKUP(N552,setup!$A$8:$H$58,7), VLOOKUP(0,setup!$A$8:$H$58,2),VLOOKUP(0,setup!$A$8:$H$58,5),VLOOKUP(N552,setup!$A$8:$H$58,8))</f>
        <v>#VALUE!</v>
      </c>
    </row>
    <row r="553" spans="1:15" x14ac:dyDescent="0.25">
      <c r="A553" s="6"/>
      <c r="N553">
        <f t="shared" si="12"/>
        <v>48</v>
      </c>
      <c r="O553" s="7" t="str">
        <f ca="1">getCodigoBackend(N553,A553,VLOOKUP(N553,setup!$A$8:$H$58,2),VLOOKUP(N553,setup!$A$8:$H$58,3),VLOOKUP(N553,setup!$A$8:$H$58,4),VLOOKUP(N553,setup!$A$8:$H$58,5),VLOOKUP(N553,setup!$A$8:$H$58,6),VLOOKUP(N553,setup!$A$8:$H$58,7), VLOOKUP(0,setup!$A$8:$H$58,2),VLOOKUP(0,setup!$A$8:$H$58,5),VLOOKUP(N553,setup!$A$8:$H$58,8))</f>
        <v/>
      </c>
    </row>
    <row r="554" spans="1:15" x14ac:dyDescent="0.25">
      <c r="A554" s="6"/>
      <c r="N554">
        <f t="shared" si="12"/>
        <v>49</v>
      </c>
      <c r="O554" s="7" t="str">
        <f ca="1">getCodigoBackend(N554,A554,VLOOKUP(N554,setup!$A$8:$H$58,2),VLOOKUP(N554,setup!$A$8:$H$58,3),VLOOKUP(N554,setup!$A$8:$H$58,4),VLOOKUP(N554,setup!$A$8:$H$58,5),VLOOKUP(N554,setup!$A$8:$H$58,6),VLOOKUP(N554,setup!$A$8:$H$58,7), VLOOKUP(0,setup!$A$8:$H$58,2),VLOOKUP(0,setup!$A$8:$H$58,5),VLOOKUP(N554,setup!$A$8:$H$58,8))</f>
        <v/>
      </c>
    </row>
    <row r="555" spans="1:15" x14ac:dyDescent="0.25">
      <c r="A555" s="6" t="s">
        <v>206</v>
      </c>
      <c r="N555">
        <f t="shared" si="12"/>
        <v>50</v>
      </c>
      <c r="O555" s="7" t="str">
        <f ca="1">getCodigoBackend(N555,A555,VLOOKUP(N555,setup!$A$8:$H$58,2),VLOOKUP(N555,setup!$A$8:$H$58,3),VLOOKUP(N555,setup!$A$8:$H$58,4),VLOOKUP(N555,setup!$A$8:$H$58,5),VLOOKUP(N555,setup!$A$8:$H$58,6),VLOOKUP(N555,setup!$A$8:$H$58,7), VLOOKUP(0,setup!$A$8:$H$58,2),VLOOKUP(0,setup!$A$8:$H$58,5),VLOOKUP(N555,setup!$A$8:$H$58,8))</f>
        <v xml:space="preserve">        );</v>
      </c>
    </row>
    <row r="556" spans="1:15" x14ac:dyDescent="0.25">
      <c r="A556" s="6" t="s">
        <v>127</v>
      </c>
      <c r="O556" s="7" t="str">
        <f ca="1">getCodigoBackend(N556,A556,VLOOKUP(N556,setup!$A$8:$H$58,2),VLOOKUP(N556,setup!$A$8:$H$58,3),VLOOKUP(N556,setup!$A$8:$H$58,4),VLOOKUP(N556,setup!$A$8:$H$58,5),VLOOKUP(N556,setup!$A$8:$H$58,6),VLOOKUP(N556,setup!$A$8:$H$58,7), VLOOKUP(0,setup!$A$8:$H$58,2),VLOOKUP(0,setup!$A$8:$H$58,5),VLOOKUP(N556,setup!$A$8:$H$58,8))</f>
        <v>        if ($stmt-&gt;execute())</v>
      </c>
    </row>
    <row r="557" spans="1:15" x14ac:dyDescent="0.25">
      <c r="A557" s="6" t="s">
        <v>128</v>
      </c>
      <c r="O557" s="7" t="str">
        <f ca="1">getCodigoBackend(N557,A557,VLOOKUP(N557,setup!$A$8:$H$58,2),VLOOKUP(N557,setup!$A$8:$H$58,3),VLOOKUP(N557,setup!$A$8:$H$58,4),VLOOKUP(N557,setup!$A$8:$H$58,5),VLOOKUP(N557,setup!$A$8:$H$58,6),VLOOKUP(N557,setup!$A$8:$H$58,7), VLOOKUP(0,setup!$A$8:$H$58,2),VLOOKUP(0,setup!$A$8:$H$58,5),VLOOKUP(N557,setup!$A$8:$H$58,8))</f>
        <v>        {</v>
      </c>
    </row>
    <row r="558" spans="1:15" x14ac:dyDescent="0.25">
      <c r="A558" s="6" t="s">
        <v>129</v>
      </c>
      <c r="O558" s="7" t="str">
        <f ca="1">getCodigoBackend(N558,A558,VLOOKUP(N558,setup!$A$8:$H$58,2),VLOOKUP(N558,setup!$A$8:$H$58,3),VLOOKUP(N558,setup!$A$8:$H$58,4),VLOOKUP(N558,setup!$A$8:$H$58,5),VLOOKUP(N558,setup!$A$8:$H$58,6),VLOOKUP(N558,setup!$A$8:$H$58,7), VLOOKUP(0,setup!$A$8:$H$58,2),VLOOKUP(0,setup!$A$8:$H$58,5),VLOOKUP(N558,setup!$A$8:$H$58,8))</f>
        <v>            $retorno = true;</v>
      </c>
    </row>
    <row r="559" spans="1:15" x14ac:dyDescent="0.25">
      <c r="A559" s="6" t="s">
        <v>60</v>
      </c>
      <c r="O559" s="7" t="str">
        <f ca="1">getCodigoBackend(N559,A559,VLOOKUP(N559,setup!$A$8:$H$58,2),VLOOKUP(N559,setup!$A$8:$H$58,3),VLOOKUP(N559,setup!$A$8:$H$58,4),VLOOKUP(N559,setup!$A$8:$H$58,5),VLOOKUP(N559,setup!$A$8:$H$58,6),VLOOKUP(N559,setup!$A$8:$H$58,7), VLOOKUP(0,setup!$A$8:$H$58,2),VLOOKUP(0,setup!$A$8:$H$58,5),VLOOKUP(N559,setup!$A$8:$H$58,8))</f>
        <v>        }</v>
      </c>
    </row>
    <row r="560" spans="1:15" x14ac:dyDescent="0.25">
      <c r="A560" s="3"/>
      <c r="O560" s="7" t="str">
        <f ca="1">getCodigoBackend(N560,A560,VLOOKUP(N560,setup!$A$8:$H$58,2),VLOOKUP(N560,setup!$A$8:$H$58,3),VLOOKUP(N560,setup!$A$8:$H$58,4),VLOOKUP(N560,setup!$A$8:$H$58,5),VLOOKUP(N560,setup!$A$8:$H$58,6),VLOOKUP(N560,setup!$A$8:$H$58,7), VLOOKUP(0,setup!$A$8:$H$58,2),VLOOKUP(0,setup!$A$8:$H$58,5),VLOOKUP(N560,setup!$A$8:$H$58,8))</f>
        <v/>
      </c>
    </row>
    <row r="561" spans="1:15" x14ac:dyDescent="0.25">
      <c r="A561" s="6" t="s">
        <v>61</v>
      </c>
      <c r="O561" s="7" t="str">
        <f ca="1">getCodigoBackend(N561,A561,VLOOKUP(N561,setup!$A$8:$H$58,2),VLOOKUP(N561,setup!$A$8:$H$58,3),VLOOKUP(N561,setup!$A$8:$H$58,4),VLOOKUP(N561,setup!$A$8:$H$58,5),VLOOKUP(N561,setup!$A$8:$H$58,6),VLOOKUP(N561,setup!$A$8:$H$58,7), VLOOKUP(0,setup!$A$8:$H$58,2),VLOOKUP(0,setup!$A$8:$H$58,5),VLOOKUP(N561,setup!$A$8:$H$58,8))</f>
        <v>        return $retorno;</v>
      </c>
    </row>
    <row r="562" spans="1:15" x14ac:dyDescent="0.25">
      <c r="A562" s="6" t="s">
        <v>62</v>
      </c>
      <c r="O562" s="7" t="str">
        <f ca="1">getCodigoBackend(N562,A562,VLOOKUP(N562,setup!$A$8:$H$58,2),VLOOKUP(N562,setup!$A$8:$H$58,3),VLOOKUP(N562,setup!$A$8:$H$58,4),VLOOKUP(N562,setup!$A$8:$H$58,5),VLOOKUP(N562,setup!$A$8:$H$58,6),VLOOKUP(N562,setup!$A$8:$H$58,7), VLOOKUP(0,setup!$A$8:$H$58,2),VLOOKUP(0,setup!$A$8:$H$58,5),VLOOKUP(N562,setup!$A$8:$H$58,8))</f>
        <v>    }</v>
      </c>
    </row>
    <row r="563" spans="1:15" x14ac:dyDescent="0.25">
      <c r="A563" s="6"/>
      <c r="O563" s="7" t="str">
        <f ca="1">getCodigoBackend(N563,A563,VLOOKUP(N563,setup!$A$8:$H$58,2),VLOOKUP(N563,setup!$A$8:$H$58,3),VLOOKUP(N563,setup!$A$8:$H$58,4),VLOOKUP(N563,setup!$A$8:$H$58,5),VLOOKUP(N563,setup!$A$8:$H$58,6),VLOOKUP(N563,setup!$A$8:$H$58,7), VLOOKUP(0,setup!$A$8:$H$58,2),VLOOKUP(0,setup!$A$8:$H$58,5),VLOOKUP(N563,setup!$A$8:$H$58,8))</f>
        <v/>
      </c>
    </row>
    <row r="564" spans="1:15" x14ac:dyDescent="0.25">
      <c r="A564" s="6" t="s">
        <v>140</v>
      </c>
      <c r="O564" s="7" t="str">
        <f ca="1">getCodigoBackend(N564,A564,VLOOKUP(N564,setup!$A$8:$H$58,2),VLOOKUP(N564,setup!$A$8:$H$58,3),VLOOKUP(N564,setup!$A$8:$H$58,4),VLOOKUP(N564,setup!$A$8:$H$58,5),VLOOKUP(N564,setup!$A$8:$H$58,6),VLOOKUP(N564,setup!$A$8:$H$58,7), VLOOKUP(0,setup!$A$8:$H$58,2),VLOOKUP(0,setup!$A$8:$H$58,5),VLOOKUP(N564,setup!$A$8:$H$58,8))</f>
        <v>    /**</v>
      </c>
    </row>
    <row r="565" spans="1:15" x14ac:dyDescent="0.25">
      <c r="A565" s="4" t="s">
        <v>321</v>
      </c>
      <c r="O565" s="7" t="str">
        <f ca="1">getCodigoBackend(N565,A565,VLOOKUP(N565,setup!$A$8:$H$58,2),VLOOKUP(N565,setup!$A$8:$H$58,3),VLOOKUP(N565,setup!$A$8:$H$58,4),VLOOKUP(N565,setup!$A$8:$H$58,5),VLOOKUP(N565,setup!$A$8:$H$58,6),VLOOKUP(N565,setup!$A$8:$H$58,7), VLOOKUP(0,setup!$A$8:$H$58,2),VLOOKUP(0,setup!$A$8:$H$58,5),VLOOKUP(N565,setup!$A$8:$H$58,8))</f>
        <v>     * getDTO() - Transforma o resultset padrão em CampanhaCashbackResgatePixDTO</v>
      </c>
    </row>
    <row r="566" spans="1:15" x14ac:dyDescent="0.25">
      <c r="A566" s="4" t="s">
        <v>141</v>
      </c>
      <c r="O566" s="7" t="str">
        <f ca="1">getCodigoBackend(N566,A566,VLOOKUP(N566,setup!$A$8:$H$58,2),VLOOKUP(N566,setup!$A$8:$H$58,3),VLOOKUP(N566,setup!$A$8:$H$58,4),VLOOKUP(N566,setup!$A$8:$H$58,5),VLOOKUP(N566,setup!$A$8:$H$58,6),VLOOKUP(N566,setup!$A$8:$H$58,7), VLOOKUP(0,setup!$A$8:$H$58,2),VLOOKUP(0,setup!$A$8:$H$58,5),VLOOKUP(N566,setup!$A$8:$H$58,8))</f>
        <v>    */</v>
      </c>
    </row>
    <row r="567" spans="1:15" x14ac:dyDescent="0.25">
      <c r="A567" s="6" t="s">
        <v>142</v>
      </c>
      <c r="O567" s="7" t="str">
        <f ca="1">getCodigoBackend(N567,A567,VLOOKUP(N567,setup!$A$8:$H$58,2),VLOOKUP(N567,setup!$A$8:$H$58,3),VLOOKUP(N567,setup!$A$8:$H$58,4),VLOOKUP(N567,setup!$A$8:$H$58,5),VLOOKUP(N567,setup!$A$8:$H$58,6),VLOOKUP(N567,setup!$A$8:$H$58,7), VLOOKUP(0,setup!$A$8:$H$58,2),VLOOKUP(0,setup!$A$8:$H$58,5),VLOOKUP(N567,setup!$A$8:$H$58,8))</f>
        <v>    public function getDTO($resultset)</v>
      </c>
    </row>
    <row r="568" spans="1:15" x14ac:dyDescent="0.25">
      <c r="A568" s="6" t="s">
        <v>38</v>
      </c>
      <c r="O568" s="7" t="str">
        <f ca="1">getCodigoBackend(N568,A568,VLOOKUP(N568,setup!$A$8:$H$58,2),VLOOKUP(N568,setup!$A$8:$H$58,3),VLOOKUP(N568,setup!$A$8:$H$58,4),VLOOKUP(N568,setup!$A$8:$H$58,5),VLOOKUP(N568,setup!$A$8:$H$58,6),VLOOKUP(N568,setup!$A$8:$H$58,7), VLOOKUP(0,setup!$A$8:$H$58,2),VLOOKUP(0,setup!$A$8:$H$58,5),VLOOKUP(N568,setup!$A$8:$H$58,8))</f>
        <v>    {</v>
      </c>
    </row>
    <row r="569" spans="1:15" x14ac:dyDescent="0.25">
      <c r="A569" s="6" t="s">
        <v>939</v>
      </c>
      <c r="O569" s="7" t="str">
        <f ca="1">getCodigoBackend(N569,A569,VLOOKUP(N569,setup!$A$8:$H$58,2),VLOOKUP(N569,setup!$A$8:$H$58,3),VLOOKUP(N569,setup!$A$8:$H$58,4),VLOOKUP(N569,setup!$A$8:$H$58,5),VLOOKUP(N569,setup!$A$8:$H$58,6),VLOOKUP(N569,setup!$A$8:$H$58,7), VLOOKUP(0,setup!$A$8:$H$58,2),VLOOKUP(0,setup!$A$8:$H$58,5),VLOOKUP(N569,setup!$A$8:$H$58,8))</f>
        <v>        if(is_null($resultset)){</v>
      </c>
    </row>
    <row r="570" spans="1:15" x14ac:dyDescent="0.25">
      <c r="A570" s="6" t="s">
        <v>936</v>
      </c>
      <c r="O570" s="7" t="str">
        <f ca="1">getCodigoBackend(N570,A570,VLOOKUP(N570,setup!$A$8:$H$58,2),VLOOKUP(N570,setup!$A$8:$H$58,3),VLOOKUP(N570,setup!$A$8:$H$58,4),VLOOKUP(N570,setup!$A$8:$H$58,5),VLOOKUP(N570,setup!$A$8:$H$58,6),VLOOKUP(N570,setup!$A$8:$H$58,7), VLOOKUP(0,setup!$A$8:$H$58,2),VLOOKUP(0,setup!$A$8:$H$58,5),VLOOKUP(N570,setup!$A$8:$H$58,8))</f>
        <v>            return NULL;</v>
      </c>
    </row>
    <row r="571" spans="1:15" x14ac:dyDescent="0.25">
      <c r="A571" s="6" t="s">
        <v>60</v>
      </c>
      <c r="O571" s="7" t="str">
        <f ca="1">getCodigoBackend(N571,A571,VLOOKUP(N571,setup!$A$8:$H$58,2),VLOOKUP(N571,setup!$A$8:$H$58,3),VLOOKUP(N571,setup!$A$8:$H$58,4),VLOOKUP(N571,setup!$A$8:$H$58,5),VLOOKUP(N571,setup!$A$8:$H$58,6),VLOOKUP(N571,setup!$A$8:$H$58,7), VLOOKUP(0,setup!$A$8:$H$58,2),VLOOKUP(0,setup!$A$8:$H$58,5),VLOOKUP(N571,setup!$A$8:$H$58,8))</f>
        <v>        }</v>
      </c>
    </row>
    <row r="572" spans="1:15" x14ac:dyDescent="0.25">
      <c r="A572" s="6"/>
      <c r="O572" s="7" t="str">
        <f ca="1">getCodigoBackend(N572,A572,VLOOKUP(N572,setup!$A$8:$H$58,2),VLOOKUP(N572,setup!$A$8:$H$58,3),VLOOKUP(N572,setup!$A$8:$H$58,4),VLOOKUP(N572,setup!$A$8:$H$58,5),VLOOKUP(N572,setup!$A$8:$H$58,6),VLOOKUP(N572,setup!$A$8:$H$58,7), VLOOKUP(0,setup!$A$8:$H$58,2),VLOOKUP(0,setup!$A$8:$H$58,5),VLOOKUP(N572,setup!$A$8:$H$58,8))</f>
        <v/>
      </c>
    </row>
    <row r="573" spans="1:15" x14ac:dyDescent="0.25">
      <c r="A573" s="6" t="s">
        <v>143</v>
      </c>
      <c r="O573" s="7" t="str">
        <f ca="1">getCodigoBackend(N573,A573,VLOOKUP(N573,setup!$A$8:$H$58,2),VLOOKUP(N573,setup!$A$8:$H$58,3),VLOOKUP(N573,setup!$A$8:$H$58,4),VLOOKUP(N573,setup!$A$8:$H$58,5),VLOOKUP(N573,setup!$A$8:$H$58,6),VLOOKUP(N573,setup!$A$8:$H$58,7), VLOOKUP(0,setup!$A$8:$H$58,2),VLOOKUP(0,setup!$A$8:$H$58,5),VLOOKUP(N573,setup!$A$8:$H$58,8))</f>
        <v>        //echo var_dump($resultset); // ótimo pra debugar</v>
      </c>
    </row>
    <row r="574" spans="1:15" x14ac:dyDescent="0.25">
      <c r="A574" s="6" t="s">
        <v>322</v>
      </c>
      <c r="O574" s="7" t="str">
        <f ca="1">getCodigoBackend(N574,A574,VLOOKUP(N574,setup!$A$8:$H$58,2),VLOOKUP(N574,setup!$A$8:$H$58,3),VLOOKUP(N574,setup!$A$8:$H$58,4),VLOOKUP(N574,setup!$A$8:$H$58,5),VLOOKUP(N574,setup!$A$8:$H$58,6),VLOOKUP(N574,setup!$A$8:$H$58,7), VLOOKUP(0,setup!$A$8:$H$58,2),VLOOKUP(0,setup!$A$8:$H$58,5),VLOOKUP(N574,setup!$A$8:$H$58,8))</f>
        <v>        $retorno = new CampanhaCashbackResgatePixDTO();</v>
      </c>
    </row>
    <row r="575" spans="1:15" x14ac:dyDescent="0.25">
      <c r="A575" s="6" t="str">
        <f>CONCATENATE("        $retorno-&gt;${dto} = $resultset[DmlSql${classebase}::${campo}] == NULL ? NULL : $resultset[DmlSql${classebase}::${campo}];")</f>
        <v>        $retorno-&gt;${dto} = $resultset[DmlSql${classebase}::${campo}] == NULL ? NULL : $resultset[DmlSql${classebase}::${campo}];</v>
      </c>
      <c r="N575" s="7">
        <v>0</v>
      </c>
      <c r="O575" s="7" t="str">
        <f ca="1">getCodigoBackend(N575,A575,VLOOKUP(N575,setup!$A$8:$H$58,2),VLOOKUP(N575,setup!$A$8:$H$58,3),VLOOKUP(N575,setup!$A$8:$H$58,4),VLOOKUP(N575,setup!$A$8:$H$58,5),VLOOKUP(N575,setup!$A$8:$H$58,6),VLOOKUP(N575,setup!$A$8:$H$58,7), VLOOKUP(0,setup!$A$8:$H$58,2),VLOOKUP(0,setup!$A$8:$H$58,5),VLOOKUP(N575,setup!$A$8:$H$58,8))</f>
        <v>        $retorno-&gt;id = $resultset[DmlSqlCampanhaCashbackResgatePix::CCRP_ID] == NULL ? NULL : $resultset[DmlSqlCampanhaCashbackResgatePix::CCRP_ID];</v>
      </c>
    </row>
    <row r="576" spans="1:15" x14ac:dyDescent="0.25">
      <c r="A576" s="6" t="str">
        <f t="shared" ref="A576:A623" si="13">CONCATENATE("        $retorno-&gt;${dto} = $resultset[DmlSql${classebase}::${campo}] == NULL ? NULL : $resultset[DmlSql${classebase}::${campo}];")</f>
        <v>        $retorno-&gt;${dto} = $resultset[DmlSql${classebase}::${campo}] == NULL ? NULL : $resultset[DmlSql${classebase}::${campo}];</v>
      </c>
      <c r="N576">
        <f>N575+1</f>
        <v>1</v>
      </c>
      <c r="O576" s="7" t="str">
        <f ca="1">getCodigoBackend(N576,A576,VLOOKUP(N576,setup!$A$8:$H$58,2),VLOOKUP(N576,setup!$A$8:$H$58,3),VLOOKUP(N576,setup!$A$8:$H$58,4),VLOOKUP(N576,setup!$A$8:$H$58,5),VLOOKUP(N576,setup!$A$8:$H$58,6),VLOOKUP(N576,setup!$A$8:$H$58,7), VLOOKUP(0,setup!$A$8:$H$58,2),VLOOKUP(0,setup!$A$8:$H$58,5),VLOOKUP(N576,setup!$A$8:$H$58,8))</f>
        <v>        $retorno-&gt;idCampanhaCashback = $resultset[DmlSqlCampanhaCashbackResgatePix::CACA_ID] == NULL ? NULL : $resultset[DmlSqlCampanhaCashbackResgatePix::CACA_ID];</v>
      </c>
    </row>
    <row r="577" spans="1:15" x14ac:dyDescent="0.25">
      <c r="A577" s="6" t="str">
        <f t="shared" si="13"/>
        <v>        $retorno-&gt;${dto} = $resultset[DmlSql${classebase}::${campo}] == NULL ? NULL : $resultset[DmlSql${classebase}::${campo}];</v>
      </c>
      <c r="N577">
        <f t="shared" ref="N577:N601" si="14">N576+1</f>
        <v>2</v>
      </c>
      <c r="O577" s="7" t="str">
        <f ca="1">getCodigoBackend(N577,A577,VLOOKUP(N577,setup!$A$8:$H$58,2),VLOOKUP(N577,setup!$A$8:$H$58,3),VLOOKUP(N577,setup!$A$8:$H$58,4),VLOOKUP(N577,setup!$A$8:$H$58,5),VLOOKUP(N577,setup!$A$8:$H$58,6),VLOOKUP(N577,setup!$A$8:$H$58,7), VLOOKUP(0,setup!$A$8:$H$58,2),VLOOKUP(0,setup!$A$8:$H$58,5),VLOOKUP(N577,setup!$A$8:$H$58,8))</f>
        <v>        $retorno-&gt;idUsuarioSolicitante = $resultset[DmlSqlCampanhaCashbackResgatePix::USUA_ID] == NULL ? NULL : $resultset[DmlSqlCampanhaCashbackResgatePix::USUA_ID];</v>
      </c>
    </row>
    <row r="578" spans="1:15" x14ac:dyDescent="0.25">
      <c r="A578" s="6" t="str">
        <f t="shared" si="13"/>
        <v>        $retorno-&gt;${dto} = $resultset[DmlSql${classebase}::${campo}] == NULL ? NULL : $resultset[DmlSql${classebase}::${campo}];</v>
      </c>
      <c r="N578">
        <f t="shared" si="14"/>
        <v>3</v>
      </c>
      <c r="O578" s="7" t="str">
        <f ca="1">getCodigoBackend(N578,A578,VLOOKUP(N578,setup!$A$8:$H$58,2),VLOOKUP(N578,setup!$A$8:$H$58,3),VLOOKUP(N578,setup!$A$8:$H$58,4),VLOOKUP(N578,setup!$A$8:$H$58,5),VLOOKUP(N578,setup!$A$8:$H$58,6),VLOOKUP(N578,setup!$A$8:$H$58,7), VLOOKUP(0,setup!$A$8:$H$58,2),VLOOKUP(0,setup!$A$8:$H$58,5),VLOOKUP(N578,setup!$A$8:$H$58,8))</f>
        <v>        $retorno-&gt;tipoChavePix = $resultset[DmlSqlCampanhaCashbackResgatePix::CCRP_IN_TIPO_CHAVE_PIX] == NULL ? NULL : $resultset[DmlSqlCampanhaCashbackResgatePix::CCRP_IN_TIPO_CHAVE_PIX];</v>
      </c>
    </row>
    <row r="579" spans="1:15" x14ac:dyDescent="0.25">
      <c r="A579" s="6" t="str">
        <f t="shared" si="13"/>
        <v>        $retorno-&gt;${dto} = $resultset[DmlSql${classebase}::${campo}] == NULL ? NULL : $resultset[DmlSql${classebase}::${campo}];</v>
      </c>
      <c r="N579">
        <f t="shared" si="14"/>
        <v>4</v>
      </c>
      <c r="O579" s="7" t="str">
        <f ca="1">getCodigoBackend(N579,A579,VLOOKUP(N579,setup!$A$8:$H$58,2),VLOOKUP(N579,setup!$A$8:$H$58,3),VLOOKUP(N579,setup!$A$8:$H$58,4),VLOOKUP(N579,setup!$A$8:$H$58,5),VLOOKUP(N579,setup!$A$8:$H$58,6),VLOOKUP(N579,setup!$A$8:$H$58,7), VLOOKUP(0,setup!$A$8:$H$58,2),VLOOKUP(0,setup!$A$8:$H$58,5),VLOOKUP(N579,setup!$A$8:$H$58,8))</f>
        <v>        $retorno-&gt;chavePix = $resultset[DmlSqlCampanhaCashbackResgatePix::CCRP_TX_CHAVE_PIX] == NULL ? NULL : $resultset[DmlSqlCampanhaCashbackResgatePix::CCRP_TX_CHAVE_PIX];</v>
      </c>
    </row>
    <row r="580" spans="1:15" x14ac:dyDescent="0.25">
      <c r="A580" s="6" t="str">
        <f t="shared" si="13"/>
        <v>        $retorno-&gt;${dto} = $resultset[DmlSql${classebase}::${campo}] == NULL ? NULL : $resultset[DmlSql${classebase}::${campo}];</v>
      </c>
      <c r="N580">
        <f t="shared" si="14"/>
        <v>5</v>
      </c>
      <c r="O580" s="7" t="str">
        <f ca="1">getCodigoBackend(N580,A580,VLOOKUP(N580,setup!$A$8:$H$58,2),VLOOKUP(N580,setup!$A$8:$H$58,3),VLOOKUP(N580,setup!$A$8:$H$58,4),VLOOKUP(N580,setup!$A$8:$H$58,5),VLOOKUP(N580,setup!$A$8:$H$58,6),VLOOKUP(N580,setup!$A$8:$H$58,7), VLOOKUP(0,setup!$A$8:$H$58,2),VLOOKUP(0,setup!$A$8:$H$58,5),VLOOKUP(N580,setup!$A$8:$H$58,8))</f>
        <v>        $retorno-&gt;valorResgate = $resultset[DmlSqlCampanhaCashbackResgatePix::CCRP_VL_RESGATE] == NULL ? NULL : $resultset[DmlSqlCampanhaCashbackResgatePix::CCRP_VL_RESGATE];</v>
      </c>
    </row>
    <row r="581" spans="1:15" x14ac:dyDescent="0.25">
      <c r="A581" s="6" t="str">
        <f t="shared" si="13"/>
        <v>        $retorno-&gt;${dto} = $resultset[DmlSql${classebase}::${campo}] == NULL ? NULL : $resultset[DmlSql${classebase}::${campo}];</v>
      </c>
      <c r="N581">
        <f t="shared" si="14"/>
        <v>6</v>
      </c>
      <c r="O581" s="7" t="str">
        <f ca="1">getCodigoBackend(N581,A581,VLOOKUP(N581,setup!$A$8:$H$58,2),VLOOKUP(N581,setup!$A$8:$H$58,3),VLOOKUP(N581,setup!$A$8:$H$58,4),VLOOKUP(N581,setup!$A$8:$H$58,5),VLOOKUP(N581,setup!$A$8:$H$58,6),VLOOKUP(N581,setup!$A$8:$H$58,7), VLOOKUP(0,setup!$A$8:$H$58,2),VLOOKUP(0,setup!$A$8:$H$58,5),VLOOKUP(N581,setup!$A$8:$H$58,8))</f>
        <v>        $retorno-&gt;autenticacaoBco = $resultset[DmlSqlCampanhaCashbackResgatePix::CCRP_TX_AUTENT_BCO] == NULL ? NULL : $resultset[DmlSqlCampanhaCashbackResgatePix::CCRP_TX_AUTENT_BCO];</v>
      </c>
    </row>
    <row r="582" spans="1:15" x14ac:dyDescent="0.25">
      <c r="A582" s="6" t="str">
        <f t="shared" si="13"/>
        <v>        $retorno-&gt;${dto} = $resultset[DmlSql${classebase}::${campo}] == NULL ? NULL : $resultset[DmlSql${classebase}::${campo}];</v>
      </c>
      <c r="N582">
        <f t="shared" si="14"/>
        <v>7</v>
      </c>
      <c r="O582" s="7" t="str">
        <f ca="1">getCodigoBackend(N582,A582,VLOOKUP(N582,setup!$A$8:$H$58,2),VLOOKUP(N582,setup!$A$8:$H$58,3),VLOOKUP(N582,setup!$A$8:$H$58,4),VLOOKUP(N582,setup!$A$8:$H$58,5),VLOOKUP(N582,setup!$A$8:$H$58,6),VLOOKUP(N582,setup!$A$8:$H$58,7), VLOOKUP(0,setup!$A$8:$H$58,2),VLOOKUP(0,setup!$A$8:$H$58,5),VLOOKUP(N582,setup!$A$8:$H$58,8))</f>
        <v>        $retorno-&gt;estagioRealTime = $resultset[DmlSqlCampanhaCashbackResgatePix::CCRP_IN_ESTAGIO_RT] == NULL ? NULL : $resultset[DmlSqlCampanhaCashbackResgatePix::CCRP_IN_ESTAGIO_RT];</v>
      </c>
    </row>
    <row r="583" spans="1:15" x14ac:dyDescent="0.25">
      <c r="A583" s="6" t="str">
        <f t="shared" si="13"/>
        <v>        $retorno-&gt;${dto} = $resultset[DmlSql${classebase}::${campo}] == NULL ? NULL : $resultset[DmlSql${classebase}::${campo}];</v>
      </c>
      <c r="N583">
        <f t="shared" si="14"/>
        <v>8</v>
      </c>
      <c r="O583" s="7" t="str">
        <f ca="1">getCodigoBackend(N583,A583,VLOOKUP(N583,setup!$A$8:$H$58,2),VLOOKUP(N583,setup!$A$8:$H$58,3),VLOOKUP(N583,setup!$A$8:$H$58,4),VLOOKUP(N583,setup!$A$8:$H$58,5),VLOOKUP(N583,setup!$A$8:$H$58,6),VLOOKUP(N583,setup!$A$8:$H$58,7), VLOOKUP(0,setup!$A$8:$H$58,2),VLOOKUP(0,setup!$A$8:$H$58,5),VLOOKUP(N583,setup!$A$8:$H$58,8))</f>
        <v>        $retorno-&gt;dtEstagioAnalise = $resultset[DmlSqlCampanhaCashbackResgatePix::CCRP_DT_ESTAGIO_ANALISE] == NULL ? NULL : $resultset[DmlSqlCampanhaCashbackResgatePix::CCRP_DT_ESTAGIO_ANALISE];</v>
      </c>
    </row>
    <row r="584" spans="1:15" x14ac:dyDescent="0.25">
      <c r="A584" s="6" t="str">
        <f t="shared" si="13"/>
        <v>        $retorno-&gt;${dto} = $resultset[DmlSql${classebase}::${campo}] == NULL ? NULL : $resultset[DmlSql${classebase}::${campo}];</v>
      </c>
      <c r="N584">
        <f t="shared" si="14"/>
        <v>9</v>
      </c>
      <c r="O584" s="7" t="str">
        <f ca="1">getCodigoBackend(N584,A584,VLOOKUP(N584,setup!$A$8:$H$58,2),VLOOKUP(N584,setup!$A$8:$H$58,3),VLOOKUP(N584,setup!$A$8:$H$58,4),VLOOKUP(N584,setup!$A$8:$H$58,5),VLOOKUP(N584,setup!$A$8:$H$58,6),VLOOKUP(N584,setup!$A$8:$H$58,7), VLOOKUP(0,setup!$A$8:$H$58,2),VLOOKUP(0,setup!$A$8:$H$58,5),VLOOKUP(N584,setup!$A$8:$H$58,8))</f>
        <v>        $retorno-&gt;dtEstagioFinanceiro = $resultset[DmlSqlCampanhaCashbackResgatePix::CCRP_DT_ESTAGIO_FINANCEIRO] == NULL ? NULL : $resultset[DmlSqlCampanhaCashbackResgatePix::CCRP_DT_ESTAGIO_FINANCEIRO];</v>
      </c>
    </row>
    <row r="585" spans="1:15" x14ac:dyDescent="0.25">
      <c r="A585" s="6" t="str">
        <f t="shared" si="13"/>
        <v>        $retorno-&gt;${dto} = $resultset[DmlSql${classebase}::${campo}] == NULL ? NULL : $resultset[DmlSql${classebase}::${campo}];</v>
      </c>
      <c r="N585">
        <f t="shared" si="14"/>
        <v>10</v>
      </c>
      <c r="O585" s="7" t="str">
        <f ca="1">getCodigoBackend(N585,A585,VLOOKUP(N585,setup!$A$8:$H$58,2),VLOOKUP(N585,setup!$A$8:$H$58,3),VLOOKUP(N585,setup!$A$8:$H$58,4),VLOOKUP(N585,setup!$A$8:$H$58,5),VLOOKUP(N585,setup!$A$8:$H$58,6),VLOOKUP(N585,setup!$A$8:$H$58,7), VLOOKUP(0,setup!$A$8:$H$58,2),VLOOKUP(0,setup!$A$8:$H$58,5),VLOOKUP(N585,setup!$A$8:$H$58,8))</f>
        <v>        $retorno-&gt;dtEstagioErro = $resultset[DmlSqlCampanhaCashbackResgatePix::CCRP_DT_ESTAGIO_ERRO] == NULL ? NULL : $resultset[DmlSqlCampanhaCashbackResgatePix::CCRP_DT_ESTAGIO_ERRO];</v>
      </c>
    </row>
    <row r="586" spans="1:15" x14ac:dyDescent="0.25">
      <c r="A586" s="6" t="str">
        <f t="shared" si="13"/>
        <v>        $retorno-&gt;${dto} = $resultset[DmlSql${classebase}::${campo}] == NULL ? NULL : $resultset[DmlSql${classebase}::${campo}];</v>
      </c>
      <c r="N586">
        <f t="shared" si="14"/>
        <v>11</v>
      </c>
      <c r="O586" s="7" t="str">
        <f ca="1">getCodigoBackend(N586,A586,VLOOKUP(N586,setup!$A$8:$H$58,2),VLOOKUP(N586,setup!$A$8:$H$58,3),VLOOKUP(N586,setup!$A$8:$H$58,4),VLOOKUP(N586,setup!$A$8:$H$58,5),VLOOKUP(N586,setup!$A$8:$H$58,6),VLOOKUP(N586,setup!$A$8:$H$58,7), VLOOKUP(0,setup!$A$8:$H$58,2),VLOOKUP(0,setup!$A$8:$H$58,5),VLOOKUP(N586,setup!$A$8:$H$58,8))</f>
        <v>        $retorno-&gt;dtEstagioTranfBco = $resultset[DmlSqlCampanhaCashbackResgatePix::CCRP_DT_ESTAGIO_TRANSF_BCO] == NULL ? NULL : $resultset[DmlSqlCampanhaCashbackResgatePix::CCRP_DT_ESTAGIO_TRANSF_BCO];</v>
      </c>
    </row>
    <row r="587" spans="1:15" x14ac:dyDescent="0.25">
      <c r="A587" s="6" t="str">
        <f t="shared" si="13"/>
        <v>        $retorno-&gt;${dto} = $resultset[DmlSql${classebase}::${campo}] == NULL ? NULL : $resultset[DmlSql${classebase}::${campo}];</v>
      </c>
      <c r="N587">
        <f t="shared" si="14"/>
        <v>12</v>
      </c>
      <c r="O587" s="7" t="str">
        <f ca="1">getCodigoBackend(N587,A587,VLOOKUP(N587,setup!$A$8:$H$58,2),VLOOKUP(N587,setup!$A$8:$H$58,3),VLOOKUP(N587,setup!$A$8:$H$58,4),VLOOKUP(N587,setup!$A$8:$H$58,5),VLOOKUP(N587,setup!$A$8:$H$58,6),VLOOKUP(N587,setup!$A$8:$H$58,7), VLOOKUP(0,setup!$A$8:$H$58,2),VLOOKUP(0,setup!$A$8:$H$58,5),VLOOKUP(N587,setup!$A$8:$H$58,8))</f>
        <v>        $retorno-&gt;txtLivreEstagioRT = $resultset[DmlSqlCampanhaCashbackResgatePix::CCRP_TX_LIVRE_ESTAGIO_RT] == NULL ? NULL : $resultset[DmlSqlCampanhaCashbackResgatePix::CCRP_TX_LIVRE_ESTAGIO_RT];</v>
      </c>
    </row>
    <row r="588" spans="1:15" x14ac:dyDescent="0.25">
      <c r="A588" s="6" t="str">
        <f t="shared" si="13"/>
        <v>        $retorno-&gt;${dto} = $resultset[DmlSql${classebase}::${campo}] == NULL ? NULL : $resultset[DmlSql${classebase}::${campo}];</v>
      </c>
      <c r="N588">
        <f t="shared" si="14"/>
        <v>13</v>
      </c>
      <c r="O588" s="7" t="e">
        <f>getCodigoBackend(N588,A588,VLOOKUP(N588,setup!$A$8:$H$58,2),VLOOKUP(N588,setup!$A$8:$H$58,3),VLOOKUP(N588,setup!$A$8:$H$58,4),VLOOKUP(N588,setup!$A$8:$H$58,5),VLOOKUP(N588,setup!$A$8:$H$58,6),VLOOKUP(N588,setup!$A$8:$H$58,7), VLOOKUP(0,setup!$A$8:$H$58,2),VLOOKUP(0,setup!$A$8:$H$58,5),VLOOKUP(N588,setup!$A$8:$H$58,8))</f>
        <v>#VALUE!</v>
      </c>
    </row>
    <row r="589" spans="1:15" x14ac:dyDescent="0.25">
      <c r="A589" s="6" t="str">
        <f t="shared" si="13"/>
        <v>        $retorno-&gt;${dto} = $resultset[DmlSql${classebase}::${campo}] == NULL ? NULL : $resultset[DmlSql${classebase}::${campo}];</v>
      </c>
      <c r="N589">
        <f t="shared" si="14"/>
        <v>14</v>
      </c>
      <c r="O589" s="7" t="e">
        <f>getCodigoBackend(N589,A589,VLOOKUP(N589,setup!$A$8:$H$58,2),VLOOKUP(N589,setup!$A$8:$H$58,3),VLOOKUP(N589,setup!$A$8:$H$58,4),VLOOKUP(N589,setup!$A$8:$H$58,5),VLOOKUP(N589,setup!$A$8:$H$58,6),VLOOKUP(N589,setup!$A$8:$H$58,7), VLOOKUP(0,setup!$A$8:$H$58,2),VLOOKUP(0,setup!$A$8:$H$58,5),VLOOKUP(N589,setup!$A$8:$H$58,8))</f>
        <v>#VALUE!</v>
      </c>
    </row>
    <row r="590" spans="1:15" x14ac:dyDescent="0.25">
      <c r="A590" s="6" t="str">
        <f t="shared" si="13"/>
        <v>        $retorno-&gt;${dto} = $resultset[DmlSql${classebase}::${campo}] == NULL ? NULL : $resultset[DmlSql${classebase}::${campo}];</v>
      </c>
      <c r="N590">
        <f t="shared" si="14"/>
        <v>15</v>
      </c>
      <c r="O590" s="7" t="e">
        <f>getCodigoBackend(N590,A590,VLOOKUP(N590,setup!$A$8:$H$58,2),VLOOKUP(N590,setup!$A$8:$H$58,3),VLOOKUP(N590,setup!$A$8:$H$58,4),VLOOKUP(N590,setup!$A$8:$H$58,5),VLOOKUP(N590,setup!$A$8:$H$58,6),VLOOKUP(N590,setup!$A$8:$H$58,7), VLOOKUP(0,setup!$A$8:$H$58,2),VLOOKUP(0,setup!$A$8:$H$58,5),VLOOKUP(N590,setup!$A$8:$H$58,8))</f>
        <v>#VALUE!</v>
      </c>
    </row>
    <row r="591" spans="1:15" x14ac:dyDescent="0.25">
      <c r="A591" s="6" t="str">
        <f t="shared" si="13"/>
        <v>        $retorno-&gt;${dto} = $resultset[DmlSql${classebase}::${campo}] == NULL ? NULL : $resultset[DmlSql${classebase}::${campo}];</v>
      </c>
      <c r="N591">
        <f t="shared" si="14"/>
        <v>16</v>
      </c>
      <c r="O591" s="7" t="e">
        <f>getCodigoBackend(N591,A591,VLOOKUP(N591,setup!$A$8:$H$58,2),VLOOKUP(N591,setup!$A$8:$H$58,3),VLOOKUP(N591,setup!$A$8:$H$58,4),VLOOKUP(N591,setup!$A$8:$H$58,5),VLOOKUP(N591,setup!$A$8:$H$58,6),VLOOKUP(N591,setup!$A$8:$H$58,7), VLOOKUP(0,setup!$A$8:$H$58,2),VLOOKUP(0,setup!$A$8:$H$58,5),VLOOKUP(N591,setup!$A$8:$H$58,8))</f>
        <v>#VALUE!</v>
      </c>
    </row>
    <row r="592" spans="1:15" x14ac:dyDescent="0.25">
      <c r="A592" s="6" t="str">
        <f t="shared" si="13"/>
        <v>        $retorno-&gt;${dto} = $resultset[DmlSql${classebase}::${campo}] == NULL ? NULL : $resultset[DmlSql${classebase}::${campo}];</v>
      </c>
      <c r="N592">
        <f t="shared" si="14"/>
        <v>17</v>
      </c>
      <c r="O592" s="7" t="e">
        <f>getCodigoBackend(N592,A592,VLOOKUP(N592,setup!$A$8:$H$58,2),VLOOKUP(N592,setup!$A$8:$H$58,3),VLOOKUP(N592,setup!$A$8:$H$58,4),VLOOKUP(N592,setup!$A$8:$H$58,5),VLOOKUP(N592,setup!$A$8:$H$58,6),VLOOKUP(N592,setup!$A$8:$H$58,7), VLOOKUP(0,setup!$A$8:$H$58,2),VLOOKUP(0,setup!$A$8:$H$58,5),VLOOKUP(N592,setup!$A$8:$H$58,8))</f>
        <v>#VALUE!</v>
      </c>
    </row>
    <row r="593" spans="1:15" x14ac:dyDescent="0.25">
      <c r="A593" s="6" t="str">
        <f t="shared" si="13"/>
        <v>        $retorno-&gt;${dto} = $resultset[DmlSql${classebase}::${campo}] == NULL ? NULL : $resultset[DmlSql${classebase}::${campo}];</v>
      </c>
      <c r="N593">
        <f t="shared" si="14"/>
        <v>18</v>
      </c>
      <c r="O593" s="7" t="e">
        <f>getCodigoBackend(N593,A593,VLOOKUP(N593,setup!$A$8:$H$58,2),VLOOKUP(N593,setup!$A$8:$H$58,3),VLOOKUP(N593,setup!$A$8:$H$58,4),VLOOKUP(N593,setup!$A$8:$H$58,5),VLOOKUP(N593,setup!$A$8:$H$58,6),VLOOKUP(N593,setup!$A$8:$H$58,7), VLOOKUP(0,setup!$A$8:$H$58,2),VLOOKUP(0,setup!$A$8:$H$58,5),VLOOKUP(N593,setup!$A$8:$H$58,8))</f>
        <v>#VALUE!</v>
      </c>
    </row>
    <row r="594" spans="1:15" x14ac:dyDescent="0.25">
      <c r="A594" s="6" t="str">
        <f t="shared" si="13"/>
        <v>        $retorno-&gt;${dto} = $resultset[DmlSql${classebase}::${campo}] == NULL ? NULL : $resultset[DmlSql${classebase}::${campo}];</v>
      </c>
      <c r="N594">
        <f t="shared" si="14"/>
        <v>19</v>
      </c>
      <c r="O594" s="7" t="e">
        <f>getCodigoBackend(N594,A594,VLOOKUP(N594,setup!$A$8:$H$58,2),VLOOKUP(N594,setup!$A$8:$H$58,3),VLOOKUP(N594,setup!$A$8:$H$58,4),VLOOKUP(N594,setup!$A$8:$H$58,5),VLOOKUP(N594,setup!$A$8:$H$58,6),VLOOKUP(N594,setup!$A$8:$H$58,7), VLOOKUP(0,setup!$A$8:$H$58,2),VLOOKUP(0,setup!$A$8:$H$58,5),VLOOKUP(N594,setup!$A$8:$H$58,8))</f>
        <v>#VALUE!</v>
      </c>
    </row>
    <row r="595" spans="1:15" x14ac:dyDescent="0.25">
      <c r="A595" s="6" t="str">
        <f t="shared" si="13"/>
        <v>        $retorno-&gt;${dto} = $resultset[DmlSql${classebase}::${campo}] == NULL ? NULL : $resultset[DmlSql${classebase}::${campo}];</v>
      </c>
      <c r="N595">
        <f t="shared" si="14"/>
        <v>20</v>
      </c>
      <c r="O595" s="7" t="e">
        <f>getCodigoBackend(N595,A595,VLOOKUP(N595,setup!$A$8:$H$58,2),VLOOKUP(N595,setup!$A$8:$H$58,3),VLOOKUP(N595,setup!$A$8:$H$58,4),VLOOKUP(N595,setup!$A$8:$H$58,5),VLOOKUP(N595,setup!$A$8:$H$58,6),VLOOKUP(N595,setup!$A$8:$H$58,7), VLOOKUP(0,setup!$A$8:$H$58,2),VLOOKUP(0,setup!$A$8:$H$58,5),VLOOKUP(N595,setup!$A$8:$H$58,8))</f>
        <v>#VALUE!</v>
      </c>
    </row>
    <row r="596" spans="1:15" x14ac:dyDescent="0.25">
      <c r="A596" s="6" t="str">
        <f t="shared" si="13"/>
        <v>        $retorno-&gt;${dto} = $resultset[DmlSql${classebase}::${campo}] == NULL ? NULL : $resultset[DmlSql${classebase}::${campo}];</v>
      </c>
      <c r="N596">
        <f t="shared" si="14"/>
        <v>21</v>
      </c>
      <c r="O596" s="7" t="e">
        <f>getCodigoBackend(N596,A596,VLOOKUP(N596,setup!$A$8:$H$58,2),VLOOKUP(N596,setup!$A$8:$H$58,3),VLOOKUP(N596,setup!$A$8:$H$58,4),VLOOKUP(N596,setup!$A$8:$H$58,5),VLOOKUP(N596,setup!$A$8:$H$58,6),VLOOKUP(N596,setup!$A$8:$H$58,7), VLOOKUP(0,setup!$A$8:$H$58,2),VLOOKUP(0,setup!$A$8:$H$58,5),VLOOKUP(N596,setup!$A$8:$H$58,8))</f>
        <v>#VALUE!</v>
      </c>
    </row>
    <row r="597" spans="1:15" x14ac:dyDescent="0.25">
      <c r="A597" s="6" t="str">
        <f t="shared" si="13"/>
        <v>        $retorno-&gt;${dto} = $resultset[DmlSql${classebase}::${campo}] == NULL ? NULL : $resultset[DmlSql${classebase}::${campo}];</v>
      </c>
      <c r="N597">
        <f t="shared" si="14"/>
        <v>22</v>
      </c>
      <c r="O597" s="7" t="e">
        <f>getCodigoBackend(N597,A597,VLOOKUP(N597,setup!$A$8:$H$58,2),VLOOKUP(N597,setup!$A$8:$H$58,3),VLOOKUP(N597,setup!$A$8:$H$58,4),VLOOKUP(N597,setup!$A$8:$H$58,5),VLOOKUP(N597,setup!$A$8:$H$58,6),VLOOKUP(N597,setup!$A$8:$H$58,7), VLOOKUP(0,setup!$A$8:$H$58,2),VLOOKUP(0,setup!$A$8:$H$58,5),VLOOKUP(N597,setup!$A$8:$H$58,8))</f>
        <v>#VALUE!</v>
      </c>
    </row>
    <row r="598" spans="1:15" x14ac:dyDescent="0.25">
      <c r="A598" s="6" t="str">
        <f t="shared" si="13"/>
        <v>        $retorno-&gt;${dto} = $resultset[DmlSql${classebase}::${campo}] == NULL ? NULL : $resultset[DmlSql${classebase}::${campo}];</v>
      </c>
      <c r="N598">
        <f t="shared" si="14"/>
        <v>23</v>
      </c>
      <c r="O598" s="7" t="e">
        <f>getCodigoBackend(N598,A598,VLOOKUP(N598,setup!$A$8:$H$58,2),VLOOKUP(N598,setup!$A$8:$H$58,3),VLOOKUP(N598,setup!$A$8:$H$58,4),VLOOKUP(N598,setup!$A$8:$H$58,5),VLOOKUP(N598,setup!$A$8:$H$58,6),VLOOKUP(N598,setup!$A$8:$H$58,7), VLOOKUP(0,setup!$A$8:$H$58,2),VLOOKUP(0,setup!$A$8:$H$58,5),VLOOKUP(N598,setup!$A$8:$H$58,8))</f>
        <v>#VALUE!</v>
      </c>
    </row>
    <row r="599" spans="1:15" x14ac:dyDescent="0.25">
      <c r="A599" s="6" t="str">
        <f t="shared" si="13"/>
        <v>        $retorno-&gt;${dto} = $resultset[DmlSql${classebase}::${campo}] == NULL ? NULL : $resultset[DmlSql${classebase}::${campo}];</v>
      </c>
      <c r="N599">
        <f t="shared" si="14"/>
        <v>24</v>
      </c>
      <c r="O599" s="7" t="e">
        <f>getCodigoBackend(N599,A599,VLOOKUP(N599,setup!$A$8:$H$58,2),VLOOKUP(N599,setup!$A$8:$H$58,3),VLOOKUP(N599,setup!$A$8:$H$58,4),VLOOKUP(N599,setup!$A$8:$H$58,5),VLOOKUP(N599,setup!$A$8:$H$58,6),VLOOKUP(N599,setup!$A$8:$H$58,7), VLOOKUP(0,setup!$A$8:$H$58,2),VLOOKUP(0,setup!$A$8:$H$58,5),VLOOKUP(N599,setup!$A$8:$H$58,8))</f>
        <v>#VALUE!</v>
      </c>
    </row>
    <row r="600" spans="1:15" x14ac:dyDescent="0.25">
      <c r="A600" s="6" t="str">
        <f t="shared" si="13"/>
        <v>        $retorno-&gt;${dto} = $resultset[DmlSql${classebase}::${campo}] == NULL ? NULL : $resultset[DmlSql${classebase}::${campo}];</v>
      </c>
      <c r="N600">
        <f t="shared" si="14"/>
        <v>25</v>
      </c>
      <c r="O600" s="7" t="e">
        <f>getCodigoBackend(N600,A600,VLOOKUP(N600,setup!$A$8:$H$58,2),VLOOKUP(N600,setup!$A$8:$H$58,3),VLOOKUP(N600,setup!$A$8:$H$58,4),VLOOKUP(N600,setup!$A$8:$H$58,5),VLOOKUP(N600,setup!$A$8:$H$58,6),VLOOKUP(N600,setup!$A$8:$H$58,7), VLOOKUP(0,setup!$A$8:$H$58,2),VLOOKUP(0,setup!$A$8:$H$58,5),VLOOKUP(N600,setup!$A$8:$H$58,8))</f>
        <v>#VALUE!</v>
      </c>
    </row>
    <row r="601" spans="1:15" x14ac:dyDescent="0.25">
      <c r="A601" s="6" t="str">
        <f t="shared" si="13"/>
        <v>        $retorno-&gt;${dto} = $resultset[DmlSql${classebase}::${campo}] == NULL ? NULL : $resultset[DmlSql${classebase}::${campo}];</v>
      </c>
      <c r="N601">
        <f t="shared" si="14"/>
        <v>26</v>
      </c>
      <c r="O601" s="7" t="e">
        <f>getCodigoBackend(N601,A601,VLOOKUP(N601,setup!$A$8:$H$58,2),VLOOKUP(N601,setup!$A$8:$H$58,3),VLOOKUP(N601,setup!$A$8:$H$58,4),VLOOKUP(N601,setup!$A$8:$H$58,5),VLOOKUP(N601,setup!$A$8:$H$58,6),VLOOKUP(N601,setup!$A$8:$H$58,7), VLOOKUP(0,setup!$A$8:$H$58,2),VLOOKUP(0,setup!$A$8:$H$58,5),VLOOKUP(N601,setup!$A$8:$H$58,8))</f>
        <v>#VALUE!</v>
      </c>
    </row>
    <row r="602" spans="1:15" x14ac:dyDescent="0.25">
      <c r="A602" s="6" t="str">
        <f t="shared" si="13"/>
        <v>        $retorno-&gt;${dto} = $resultset[DmlSql${classebase}::${campo}] == NULL ? NULL : $resultset[DmlSql${classebase}::${campo}];</v>
      </c>
      <c r="N602">
        <f>N601+1</f>
        <v>27</v>
      </c>
      <c r="O602" s="7" t="e">
        <f>getCodigoBackend(N602,A602,VLOOKUP(N602,setup!$A$8:$H$58,2),VLOOKUP(N602,setup!$A$8:$H$58,3),VLOOKUP(N602,setup!$A$8:$H$58,4),VLOOKUP(N602,setup!$A$8:$H$58,5),VLOOKUP(N602,setup!$A$8:$H$58,6),VLOOKUP(N602,setup!$A$8:$H$58,7), VLOOKUP(0,setup!$A$8:$H$58,2),VLOOKUP(0,setup!$A$8:$H$58,5),VLOOKUP(N602,setup!$A$8:$H$58,8))</f>
        <v>#VALUE!</v>
      </c>
    </row>
    <row r="603" spans="1:15" x14ac:dyDescent="0.25">
      <c r="A603" s="6" t="str">
        <f t="shared" si="13"/>
        <v>        $retorno-&gt;${dto} = $resultset[DmlSql${classebase}::${campo}] == NULL ? NULL : $resultset[DmlSql${classebase}::${campo}];</v>
      </c>
      <c r="N603">
        <f t="shared" ref="N603:N623" si="15">N602+1</f>
        <v>28</v>
      </c>
      <c r="O603" s="7" t="e">
        <f>getCodigoBackend(N603,A603,VLOOKUP(N603,setup!$A$8:$H$58,2),VLOOKUP(N603,setup!$A$8:$H$58,3),VLOOKUP(N603,setup!$A$8:$H$58,4),VLOOKUP(N603,setup!$A$8:$H$58,5),VLOOKUP(N603,setup!$A$8:$H$58,6),VLOOKUP(N603,setup!$A$8:$H$58,7), VLOOKUP(0,setup!$A$8:$H$58,2),VLOOKUP(0,setup!$A$8:$H$58,5),VLOOKUP(N603,setup!$A$8:$H$58,8))</f>
        <v>#VALUE!</v>
      </c>
    </row>
    <row r="604" spans="1:15" x14ac:dyDescent="0.25">
      <c r="A604" s="6" t="str">
        <f t="shared" si="13"/>
        <v>        $retorno-&gt;${dto} = $resultset[DmlSql${classebase}::${campo}] == NULL ? NULL : $resultset[DmlSql${classebase}::${campo}];</v>
      </c>
      <c r="N604">
        <f t="shared" si="15"/>
        <v>29</v>
      </c>
      <c r="O604" s="7" t="e">
        <f>getCodigoBackend(N604,A604,VLOOKUP(N604,setup!$A$8:$H$58,2),VLOOKUP(N604,setup!$A$8:$H$58,3),VLOOKUP(N604,setup!$A$8:$H$58,4),VLOOKUP(N604,setup!$A$8:$H$58,5),VLOOKUP(N604,setup!$A$8:$H$58,6),VLOOKUP(N604,setup!$A$8:$H$58,7), VLOOKUP(0,setup!$A$8:$H$58,2),VLOOKUP(0,setup!$A$8:$H$58,5),VLOOKUP(N604,setup!$A$8:$H$58,8))</f>
        <v>#VALUE!</v>
      </c>
    </row>
    <row r="605" spans="1:15" x14ac:dyDescent="0.25">
      <c r="A605" s="6" t="str">
        <f t="shared" si="13"/>
        <v>        $retorno-&gt;${dto} = $resultset[DmlSql${classebase}::${campo}] == NULL ? NULL : $resultset[DmlSql${classebase}::${campo}];</v>
      </c>
      <c r="N605">
        <f t="shared" si="15"/>
        <v>30</v>
      </c>
      <c r="O605" s="7" t="e">
        <f>getCodigoBackend(N605,A605,VLOOKUP(N605,setup!$A$8:$H$58,2),VLOOKUP(N605,setup!$A$8:$H$58,3),VLOOKUP(N605,setup!$A$8:$H$58,4),VLOOKUP(N605,setup!$A$8:$H$58,5),VLOOKUP(N605,setup!$A$8:$H$58,6),VLOOKUP(N605,setup!$A$8:$H$58,7), VLOOKUP(0,setup!$A$8:$H$58,2),VLOOKUP(0,setup!$A$8:$H$58,5),VLOOKUP(N605,setup!$A$8:$H$58,8))</f>
        <v>#VALUE!</v>
      </c>
    </row>
    <row r="606" spans="1:15" x14ac:dyDescent="0.25">
      <c r="A606" s="6" t="str">
        <f t="shared" si="13"/>
        <v>        $retorno-&gt;${dto} = $resultset[DmlSql${classebase}::${campo}] == NULL ? NULL : $resultset[DmlSql${classebase}::${campo}];</v>
      </c>
      <c r="N606">
        <f t="shared" si="15"/>
        <v>31</v>
      </c>
      <c r="O606" s="7" t="e">
        <f>getCodigoBackend(N606,A606,VLOOKUP(N606,setup!$A$8:$H$58,2),VLOOKUP(N606,setup!$A$8:$H$58,3),VLOOKUP(N606,setup!$A$8:$H$58,4),VLOOKUP(N606,setup!$A$8:$H$58,5),VLOOKUP(N606,setup!$A$8:$H$58,6),VLOOKUP(N606,setup!$A$8:$H$58,7), VLOOKUP(0,setup!$A$8:$H$58,2),VLOOKUP(0,setup!$A$8:$H$58,5),VLOOKUP(N606,setup!$A$8:$H$58,8))</f>
        <v>#VALUE!</v>
      </c>
    </row>
    <row r="607" spans="1:15" x14ac:dyDescent="0.25">
      <c r="A607" s="6" t="str">
        <f t="shared" si="13"/>
        <v>        $retorno-&gt;${dto} = $resultset[DmlSql${classebase}::${campo}] == NULL ? NULL : $resultset[DmlSql${classebase}::${campo}];</v>
      </c>
      <c r="N607">
        <f t="shared" si="15"/>
        <v>32</v>
      </c>
      <c r="O607" s="7" t="e">
        <f>getCodigoBackend(N607,A607,VLOOKUP(N607,setup!$A$8:$H$58,2),VLOOKUP(N607,setup!$A$8:$H$58,3),VLOOKUP(N607,setup!$A$8:$H$58,4),VLOOKUP(N607,setup!$A$8:$H$58,5),VLOOKUP(N607,setup!$A$8:$H$58,6),VLOOKUP(N607,setup!$A$8:$H$58,7), VLOOKUP(0,setup!$A$8:$H$58,2),VLOOKUP(0,setup!$A$8:$H$58,5),VLOOKUP(N607,setup!$A$8:$H$58,8))</f>
        <v>#VALUE!</v>
      </c>
    </row>
    <row r="608" spans="1:15" x14ac:dyDescent="0.25">
      <c r="A608" s="6" t="str">
        <f t="shared" si="13"/>
        <v>        $retorno-&gt;${dto} = $resultset[DmlSql${classebase}::${campo}] == NULL ? NULL : $resultset[DmlSql${classebase}::${campo}];</v>
      </c>
      <c r="N608">
        <f t="shared" si="15"/>
        <v>33</v>
      </c>
      <c r="O608" s="7" t="e">
        <f>getCodigoBackend(N608,A608,VLOOKUP(N608,setup!$A$8:$H$58,2),VLOOKUP(N608,setup!$A$8:$H$58,3),VLOOKUP(N608,setup!$A$8:$H$58,4),VLOOKUP(N608,setup!$A$8:$H$58,5),VLOOKUP(N608,setup!$A$8:$H$58,6),VLOOKUP(N608,setup!$A$8:$H$58,7), VLOOKUP(0,setup!$A$8:$H$58,2),VLOOKUP(0,setup!$A$8:$H$58,5),VLOOKUP(N608,setup!$A$8:$H$58,8))</f>
        <v>#VALUE!</v>
      </c>
    </row>
    <row r="609" spans="1:15" x14ac:dyDescent="0.25">
      <c r="A609" s="6" t="str">
        <f t="shared" si="13"/>
        <v>        $retorno-&gt;${dto} = $resultset[DmlSql${classebase}::${campo}] == NULL ? NULL : $resultset[DmlSql${classebase}::${campo}];</v>
      </c>
      <c r="N609">
        <f t="shared" si="15"/>
        <v>34</v>
      </c>
      <c r="O609" s="7" t="e">
        <f>getCodigoBackend(N609,A609,VLOOKUP(N609,setup!$A$8:$H$58,2),VLOOKUP(N609,setup!$A$8:$H$58,3),VLOOKUP(N609,setup!$A$8:$H$58,4),VLOOKUP(N609,setup!$A$8:$H$58,5),VLOOKUP(N609,setup!$A$8:$H$58,6),VLOOKUP(N609,setup!$A$8:$H$58,7), VLOOKUP(0,setup!$A$8:$H$58,2),VLOOKUP(0,setup!$A$8:$H$58,5),VLOOKUP(N609,setup!$A$8:$H$58,8))</f>
        <v>#VALUE!</v>
      </c>
    </row>
    <row r="610" spans="1:15" x14ac:dyDescent="0.25">
      <c r="A610" s="6" t="str">
        <f t="shared" si="13"/>
        <v>        $retorno-&gt;${dto} = $resultset[DmlSql${classebase}::${campo}] == NULL ? NULL : $resultset[DmlSql${classebase}::${campo}];</v>
      </c>
      <c r="N610">
        <f t="shared" si="15"/>
        <v>35</v>
      </c>
      <c r="O610" s="7" t="e">
        <f>getCodigoBackend(N610,A610,VLOOKUP(N610,setup!$A$8:$H$58,2),VLOOKUP(N610,setup!$A$8:$H$58,3),VLOOKUP(N610,setup!$A$8:$H$58,4),VLOOKUP(N610,setup!$A$8:$H$58,5),VLOOKUP(N610,setup!$A$8:$H$58,6),VLOOKUP(N610,setup!$A$8:$H$58,7), VLOOKUP(0,setup!$A$8:$H$58,2),VLOOKUP(0,setup!$A$8:$H$58,5),VLOOKUP(N610,setup!$A$8:$H$58,8))</f>
        <v>#VALUE!</v>
      </c>
    </row>
    <row r="611" spans="1:15" x14ac:dyDescent="0.25">
      <c r="A611" s="6" t="str">
        <f t="shared" si="13"/>
        <v>        $retorno-&gt;${dto} = $resultset[DmlSql${classebase}::${campo}] == NULL ? NULL : $resultset[DmlSql${classebase}::${campo}];</v>
      </c>
      <c r="N611">
        <f t="shared" si="15"/>
        <v>36</v>
      </c>
      <c r="O611" s="7" t="e">
        <f>getCodigoBackend(N611,A611,VLOOKUP(N611,setup!$A$8:$H$58,2),VLOOKUP(N611,setup!$A$8:$H$58,3),VLOOKUP(N611,setup!$A$8:$H$58,4),VLOOKUP(N611,setup!$A$8:$H$58,5),VLOOKUP(N611,setup!$A$8:$H$58,6),VLOOKUP(N611,setup!$A$8:$H$58,7), VLOOKUP(0,setup!$A$8:$H$58,2),VLOOKUP(0,setup!$A$8:$H$58,5),VLOOKUP(N611,setup!$A$8:$H$58,8))</f>
        <v>#VALUE!</v>
      </c>
    </row>
    <row r="612" spans="1:15" x14ac:dyDescent="0.25">
      <c r="A612" s="6" t="str">
        <f t="shared" si="13"/>
        <v>        $retorno-&gt;${dto} = $resultset[DmlSql${classebase}::${campo}] == NULL ? NULL : $resultset[DmlSql${classebase}::${campo}];</v>
      </c>
      <c r="N612">
        <f t="shared" si="15"/>
        <v>37</v>
      </c>
      <c r="O612" s="7" t="e">
        <f>getCodigoBackend(N612,A612,VLOOKUP(N612,setup!$A$8:$H$58,2),VLOOKUP(N612,setup!$A$8:$H$58,3),VLOOKUP(N612,setup!$A$8:$H$58,4),VLOOKUP(N612,setup!$A$8:$H$58,5),VLOOKUP(N612,setup!$A$8:$H$58,6),VLOOKUP(N612,setup!$A$8:$H$58,7), VLOOKUP(0,setup!$A$8:$H$58,2),VLOOKUP(0,setup!$A$8:$H$58,5),VLOOKUP(N612,setup!$A$8:$H$58,8))</f>
        <v>#VALUE!</v>
      </c>
    </row>
    <row r="613" spans="1:15" x14ac:dyDescent="0.25">
      <c r="A613" s="6" t="str">
        <f t="shared" si="13"/>
        <v>        $retorno-&gt;${dto} = $resultset[DmlSql${classebase}::${campo}] == NULL ? NULL : $resultset[DmlSql${classebase}::${campo}];</v>
      </c>
      <c r="N613">
        <f t="shared" si="15"/>
        <v>38</v>
      </c>
      <c r="O613" s="7" t="e">
        <f>getCodigoBackend(N613,A613,VLOOKUP(N613,setup!$A$8:$H$58,2),VLOOKUP(N613,setup!$A$8:$H$58,3),VLOOKUP(N613,setup!$A$8:$H$58,4),VLOOKUP(N613,setup!$A$8:$H$58,5),VLOOKUP(N613,setup!$A$8:$H$58,6),VLOOKUP(N613,setup!$A$8:$H$58,7), VLOOKUP(0,setup!$A$8:$H$58,2),VLOOKUP(0,setup!$A$8:$H$58,5),VLOOKUP(N613,setup!$A$8:$H$58,8))</f>
        <v>#VALUE!</v>
      </c>
    </row>
    <row r="614" spans="1:15" x14ac:dyDescent="0.25">
      <c r="A614" s="6" t="str">
        <f t="shared" si="13"/>
        <v>        $retorno-&gt;${dto} = $resultset[DmlSql${classebase}::${campo}] == NULL ? NULL : $resultset[DmlSql${classebase}::${campo}];</v>
      </c>
      <c r="N614">
        <f t="shared" si="15"/>
        <v>39</v>
      </c>
      <c r="O614" s="7" t="e">
        <f>getCodigoBackend(N614,A614,VLOOKUP(N614,setup!$A$8:$H$58,2),VLOOKUP(N614,setup!$A$8:$H$58,3),VLOOKUP(N614,setup!$A$8:$H$58,4),VLOOKUP(N614,setup!$A$8:$H$58,5),VLOOKUP(N614,setup!$A$8:$H$58,6),VLOOKUP(N614,setup!$A$8:$H$58,7), VLOOKUP(0,setup!$A$8:$H$58,2),VLOOKUP(0,setup!$A$8:$H$58,5),VLOOKUP(N614,setup!$A$8:$H$58,8))</f>
        <v>#VALUE!</v>
      </c>
    </row>
    <row r="615" spans="1:15" x14ac:dyDescent="0.25">
      <c r="A615" s="6" t="str">
        <f t="shared" si="13"/>
        <v>        $retorno-&gt;${dto} = $resultset[DmlSql${classebase}::${campo}] == NULL ? NULL : $resultset[DmlSql${classebase}::${campo}];</v>
      </c>
      <c r="N615">
        <f t="shared" si="15"/>
        <v>40</v>
      </c>
      <c r="O615" s="7" t="e">
        <f>getCodigoBackend(N615,A615,VLOOKUP(N615,setup!$A$8:$H$58,2),VLOOKUP(N615,setup!$A$8:$H$58,3),VLOOKUP(N615,setup!$A$8:$H$58,4),VLOOKUP(N615,setup!$A$8:$H$58,5),VLOOKUP(N615,setup!$A$8:$H$58,6),VLOOKUP(N615,setup!$A$8:$H$58,7), VLOOKUP(0,setup!$A$8:$H$58,2),VLOOKUP(0,setup!$A$8:$H$58,5),VLOOKUP(N615,setup!$A$8:$H$58,8))</f>
        <v>#VALUE!</v>
      </c>
    </row>
    <row r="616" spans="1:15" x14ac:dyDescent="0.25">
      <c r="A616" s="6" t="str">
        <f t="shared" si="13"/>
        <v>        $retorno-&gt;${dto} = $resultset[DmlSql${classebase}::${campo}] == NULL ? NULL : $resultset[DmlSql${classebase}::${campo}];</v>
      </c>
      <c r="N616">
        <f t="shared" si="15"/>
        <v>41</v>
      </c>
      <c r="O616" s="7" t="e">
        <f>getCodigoBackend(N616,A616,VLOOKUP(N616,setup!$A$8:$H$58,2),VLOOKUP(N616,setup!$A$8:$H$58,3),VLOOKUP(N616,setup!$A$8:$H$58,4),VLOOKUP(N616,setup!$A$8:$H$58,5),VLOOKUP(N616,setup!$A$8:$H$58,6),VLOOKUP(N616,setup!$A$8:$H$58,7), VLOOKUP(0,setup!$A$8:$H$58,2),VLOOKUP(0,setup!$A$8:$H$58,5),VLOOKUP(N616,setup!$A$8:$H$58,8))</f>
        <v>#VALUE!</v>
      </c>
    </row>
    <row r="617" spans="1:15" x14ac:dyDescent="0.25">
      <c r="A617" s="6" t="str">
        <f t="shared" si="13"/>
        <v>        $retorno-&gt;${dto} = $resultset[DmlSql${classebase}::${campo}] == NULL ? NULL : $resultset[DmlSql${classebase}::${campo}];</v>
      </c>
      <c r="N617">
        <f t="shared" si="15"/>
        <v>42</v>
      </c>
      <c r="O617" s="7" t="e">
        <f>getCodigoBackend(N617,A617,VLOOKUP(N617,setup!$A$8:$H$58,2),VLOOKUP(N617,setup!$A$8:$H$58,3),VLOOKUP(N617,setup!$A$8:$H$58,4),VLOOKUP(N617,setup!$A$8:$H$58,5),VLOOKUP(N617,setup!$A$8:$H$58,6),VLOOKUP(N617,setup!$A$8:$H$58,7), VLOOKUP(0,setup!$A$8:$H$58,2),VLOOKUP(0,setup!$A$8:$H$58,5),VLOOKUP(N617,setup!$A$8:$H$58,8))</f>
        <v>#VALUE!</v>
      </c>
    </row>
    <row r="618" spans="1:15" x14ac:dyDescent="0.25">
      <c r="A618" s="6" t="str">
        <f t="shared" si="13"/>
        <v>        $retorno-&gt;${dto} = $resultset[DmlSql${classebase}::${campo}] == NULL ? NULL : $resultset[DmlSql${classebase}::${campo}];</v>
      </c>
      <c r="N618">
        <f t="shared" si="15"/>
        <v>43</v>
      </c>
      <c r="O618" s="7" t="e">
        <f>getCodigoBackend(N618,A618,VLOOKUP(N618,setup!$A$8:$H$58,2),VLOOKUP(N618,setup!$A$8:$H$58,3),VLOOKUP(N618,setup!$A$8:$H$58,4),VLOOKUP(N618,setup!$A$8:$H$58,5),VLOOKUP(N618,setup!$A$8:$H$58,6),VLOOKUP(N618,setup!$A$8:$H$58,7), VLOOKUP(0,setup!$A$8:$H$58,2),VLOOKUP(0,setup!$A$8:$H$58,5),VLOOKUP(N618,setup!$A$8:$H$58,8))</f>
        <v>#VALUE!</v>
      </c>
    </row>
    <row r="619" spans="1:15" x14ac:dyDescent="0.25">
      <c r="A619" s="6" t="str">
        <f t="shared" si="13"/>
        <v>        $retorno-&gt;${dto} = $resultset[DmlSql${classebase}::${campo}] == NULL ? NULL : $resultset[DmlSql${classebase}::${campo}];</v>
      </c>
      <c r="N619">
        <f t="shared" si="15"/>
        <v>44</v>
      </c>
      <c r="O619" s="7" t="e">
        <f>getCodigoBackend(N619,A619,VLOOKUP(N619,setup!$A$8:$H$58,2),VLOOKUP(N619,setup!$A$8:$H$58,3),VLOOKUP(N619,setup!$A$8:$H$58,4),VLOOKUP(N619,setup!$A$8:$H$58,5),VLOOKUP(N619,setup!$A$8:$H$58,6),VLOOKUP(N619,setup!$A$8:$H$58,7), VLOOKUP(0,setup!$A$8:$H$58,2),VLOOKUP(0,setup!$A$8:$H$58,5),VLOOKUP(N619,setup!$A$8:$H$58,8))</f>
        <v>#VALUE!</v>
      </c>
    </row>
    <row r="620" spans="1:15" x14ac:dyDescent="0.25">
      <c r="A620" s="6" t="str">
        <f t="shared" si="13"/>
        <v>        $retorno-&gt;${dto} = $resultset[DmlSql${classebase}::${campo}] == NULL ? NULL : $resultset[DmlSql${classebase}::${campo}];</v>
      </c>
      <c r="N620">
        <f t="shared" si="15"/>
        <v>45</v>
      </c>
      <c r="O620" s="7" t="e">
        <f>getCodigoBackend(N620,A620,VLOOKUP(N620,setup!$A$8:$H$58,2),VLOOKUP(N620,setup!$A$8:$H$58,3),VLOOKUP(N620,setup!$A$8:$H$58,4),VLOOKUP(N620,setup!$A$8:$H$58,5),VLOOKUP(N620,setup!$A$8:$H$58,6),VLOOKUP(N620,setup!$A$8:$H$58,7), VLOOKUP(0,setup!$A$8:$H$58,2),VLOOKUP(0,setup!$A$8:$H$58,5),VLOOKUP(N620,setup!$A$8:$H$58,8))</f>
        <v>#VALUE!</v>
      </c>
    </row>
    <row r="621" spans="1:15" x14ac:dyDescent="0.25">
      <c r="A621" s="6" t="str">
        <f t="shared" si="13"/>
        <v>        $retorno-&gt;${dto} = $resultset[DmlSql${classebase}::${campo}] == NULL ? NULL : $resultset[DmlSql${classebase}::${campo}];</v>
      </c>
      <c r="N621">
        <f t="shared" si="15"/>
        <v>46</v>
      </c>
      <c r="O621" s="7" t="e">
        <f>getCodigoBackend(N621,A621,VLOOKUP(N621,setup!$A$8:$H$58,2),VLOOKUP(N621,setup!$A$8:$H$58,3),VLOOKUP(N621,setup!$A$8:$H$58,4),VLOOKUP(N621,setup!$A$8:$H$58,5),VLOOKUP(N621,setup!$A$8:$H$58,6),VLOOKUP(N621,setup!$A$8:$H$58,7), VLOOKUP(0,setup!$A$8:$H$58,2),VLOOKUP(0,setup!$A$8:$H$58,5),VLOOKUP(N621,setup!$A$8:$H$58,8))</f>
        <v>#VALUE!</v>
      </c>
    </row>
    <row r="622" spans="1:15" x14ac:dyDescent="0.25">
      <c r="A622" s="6" t="str">
        <f t="shared" si="13"/>
        <v>        $retorno-&gt;${dto} = $resultset[DmlSql${classebase}::${campo}] == NULL ? NULL : $resultset[DmlSql${classebase}::${campo}];</v>
      </c>
      <c r="N622">
        <f t="shared" si="15"/>
        <v>47</v>
      </c>
      <c r="O622" s="7" t="e">
        <f>getCodigoBackend(N622,A622,VLOOKUP(N622,setup!$A$8:$H$58,2),VLOOKUP(N622,setup!$A$8:$H$58,3),VLOOKUP(N622,setup!$A$8:$H$58,4),VLOOKUP(N622,setup!$A$8:$H$58,5),VLOOKUP(N622,setup!$A$8:$H$58,6),VLOOKUP(N622,setup!$A$8:$H$58,7), VLOOKUP(0,setup!$A$8:$H$58,2),VLOOKUP(0,setup!$A$8:$H$58,5),VLOOKUP(N622,setup!$A$8:$H$58,8))</f>
        <v>#VALUE!</v>
      </c>
    </row>
    <row r="623" spans="1:15" x14ac:dyDescent="0.25">
      <c r="A623" s="6" t="str">
        <f t="shared" si="13"/>
        <v>        $retorno-&gt;${dto} = $resultset[DmlSql${classebase}::${campo}] == NULL ? NULL : $resultset[DmlSql${classebase}::${campo}];</v>
      </c>
      <c r="N623">
        <f t="shared" si="15"/>
        <v>48</v>
      </c>
      <c r="O623" s="7" t="str">
        <f ca="1">getCodigoBackend(N623,A623,VLOOKUP(N623,setup!$A$8:$H$58,2),VLOOKUP(N623,setup!$A$8:$H$58,3),VLOOKUP(N623,setup!$A$8:$H$58,4),VLOOKUP(N623,setup!$A$8:$H$58,5),VLOOKUP(N623,setup!$A$8:$H$58,6),VLOOKUP(N623,setup!$A$8:$H$58,7), VLOOKUP(0,setup!$A$8:$H$58,2),VLOOKUP(0,setup!$A$8:$H$58,5),VLOOKUP(N623,setup!$A$8:$H$58,8))</f>
        <v>        $retorno-&gt;status = $resultset[DmlSqlCampanhaCashbackResgatePix::CCRP_IN_STATUS] == NULL ? NULL : $resultset[DmlSqlCampanhaCashbackResgatePix::CCRP_IN_STATUS];</v>
      </c>
    </row>
    <row r="624" spans="1:15" x14ac:dyDescent="0.25">
      <c r="A624" s="6" t="str">
        <f>CONCATENATE("        $retorno-&gt;${dto} = Util::MySQLDate_to_DMYHMiS($resultset[DmlSql${classebase}::${campo}]);")</f>
        <v>        $retorno-&gt;${dto} = Util::MySQLDate_to_DMYHMiS($resultset[DmlSql${classebase}::${campo}]);</v>
      </c>
      <c r="N624">
        <v>49</v>
      </c>
      <c r="O624" s="7" t="str">
        <f ca="1">getCodigoBackend(N624,A624,VLOOKUP(N624,setup!$A$8:$H$58,2),VLOOKUP(N624,setup!$A$8:$H$58,3),VLOOKUP(N624,setup!$A$8:$H$58,4),VLOOKUP(N624,setup!$A$8:$H$58,5),VLOOKUP(N624,setup!$A$8:$H$58,6),VLOOKUP(N624,setup!$A$8:$H$58,7), VLOOKUP(0,setup!$A$8:$H$58,2),VLOOKUP(0,setup!$A$8:$H$58,5),VLOOKUP(N624,setup!$A$8:$H$58,8))</f>
        <v>        $retorno-&gt;dataCadastro = Util::MySQLDate_to_DMYHMiS($resultset[DmlSqlCampanhaCashbackResgatePix::CCRP_DT_CADASTRO]);</v>
      </c>
    </row>
    <row r="625" spans="1:15" x14ac:dyDescent="0.25">
      <c r="A625" s="6" t="str">
        <f>CONCATENATE("        $retorno-&gt;${dto} = Util::MySQLDate_to_DMYHMiS($resultset[DmlSql${classebase}::${campo}]);")</f>
        <v>        $retorno-&gt;${dto} = Util::MySQLDate_to_DMYHMiS($resultset[DmlSql${classebase}::${campo}]);</v>
      </c>
      <c r="N625">
        <v>50</v>
      </c>
      <c r="O625" s="7" t="str">
        <f ca="1">getCodigoBackend(N625,A625,VLOOKUP(N625,setup!$A$8:$H$58,2),VLOOKUP(N625,setup!$A$8:$H$58,3),VLOOKUP(N625,setup!$A$8:$H$58,4),VLOOKUP(N625,setup!$A$8:$H$58,5),VLOOKUP(N625,setup!$A$8:$H$58,6),VLOOKUP(N625,setup!$A$8:$H$58,7), VLOOKUP(0,setup!$A$8:$H$58,2),VLOOKUP(0,setup!$A$8:$H$58,5),VLOOKUP(N625,setup!$A$8:$H$58,8))</f>
        <v>        $retorno-&gt;dataAtualizacao = Util::MySQLDate_to_DMYHMiS($resultset[DmlSqlCampanhaCashbackResgatePix::CCRP_DT_UPDATE]);</v>
      </c>
    </row>
    <row r="626" spans="1:15" x14ac:dyDescent="0.25">
      <c r="A626" s="6" t="s">
        <v>144</v>
      </c>
      <c r="O626" s="7" t="str">
        <f ca="1">getCodigoBackend(N626,A626,VLOOKUP(N626,setup!$A$8:$H$58,2),VLOOKUP(N626,setup!$A$8:$H$58,3),VLOOKUP(N626,setup!$A$8:$H$58,4),VLOOKUP(N626,setup!$A$8:$H$58,5),VLOOKUP(N626,setup!$A$8:$H$58,6),VLOOKUP(N626,setup!$A$8:$H$58,7), VLOOKUP(0,setup!$A$8:$H$58,2),VLOOKUP(0,setup!$A$8:$H$58,5),VLOOKUP(N626,setup!$A$8:$H$58,8))</f>
        <v>        $retorno-&gt;statusdesc = VariavelCache::getInstance()-&gt;getStatusDesc($retorno-&gt;status);</v>
      </c>
    </row>
    <row r="627" spans="1:15" x14ac:dyDescent="0.25">
      <c r="A627" s="6" t="s">
        <v>932</v>
      </c>
      <c r="O627" s="7" t="str">
        <f ca="1">getCodigoBackend(N627,A627,VLOOKUP(N627,setup!$A$8:$H$58,2),VLOOKUP(N627,setup!$A$8:$H$58,3),VLOOKUP(N627,setup!$A$8:$H$58,4),VLOOKUP(N627,setup!$A$8:$H$58,5),VLOOKUP(N627,setup!$A$8:$H$58,6),VLOOKUP(N627,setup!$A$8:$H$58,7), VLOOKUP(0,setup!$A$8:$H$58,2),VLOOKUP(0,setup!$A$8:$H$58,5),VLOOKUP(N627,setup!$A$8:$H$58,8))</f>
        <v xml:space="preserve">        $retorno-&gt;msgcode = ConstantesMensagem::COMANDO_REALIZADO_COM_SUCESSO;</v>
      </c>
    </row>
    <row r="628" spans="1:15" x14ac:dyDescent="0.25">
      <c r="A628" s="6" t="s">
        <v>933</v>
      </c>
      <c r="O628" s="7" t="str">
        <f ca="1">getCodigoBackend(N628,A628,VLOOKUP(N628,setup!$A$8:$H$58,2),VLOOKUP(N628,setup!$A$8:$H$58,3),VLOOKUP(N628,setup!$A$8:$H$58,4),VLOOKUP(N628,setup!$A$8:$H$58,5),VLOOKUP(N628,setup!$A$8:$H$58,6),VLOOKUP(N628,setup!$A$8:$H$58,7), VLOOKUP(0,setup!$A$8:$H$58,2),VLOOKUP(0,setup!$A$8:$H$58,5),VLOOKUP(N628,setup!$A$8:$H$58,8))</f>
        <v xml:space="preserve">        $retorno-&gt;msgcodeString = MensagemCache::getInstance()-&gt;getMensagem($retorno-&gt;msgcode);</v>
      </c>
    </row>
    <row r="629" spans="1:15" x14ac:dyDescent="0.25">
      <c r="A629" s="6" t="s">
        <v>61</v>
      </c>
      <c r="O629" s="7" t="str">
        <f ca="1">getCodigoBackend(N629,A629,VLOOKUP(N629,setup!$A$8:$H$58,2),VLOOKUP(N629,setup!$A$8:$H$58,3),VLOOKUP(N629,setup!$A$8:$H$58,4),VLOOKUP(N629,setup!$A$8:$H$58,5),VLOOKUP(N629,setup!$A$8:$H$58,6),VLOOKUP(N629,setup!$A$8:$H$58,7), VLOOKUP(0,setup!$A$8:$H$58,2),VLOOKUP(0,setup!$A$8:$H$58,5),VLOOKUP(N629,setup!$A$8:$H$58,8))</f>
        <v>        return $retorno;</v>
      </c>
    </row>
    <row r="630" spans="1:15" x14ac:dyDescent="0.25">
      <c r="O630" s="7" t="str">
        <f ca="1">getCodigoBackend(N630,A630,VLOOKUP(N630,setup!$A$8:$H$58,2),VLOOKUP(N630,setup!$A$8:$H$58,3),VLOOKUP(N630,setup!$A$8:$H$58,4),VLOOKUP(N630,setup!$A$8:$H$58,5),VLOOKUP(N630,setup!$A$8:$H$58,6),VLOOKUP(N630,setup!$A$8:$H$58,7), VLOOKUP(0,setup!$A$8:$H$58,2),VLOOKUP(0,setup!$A$8:$H$58,5),VLOOKUP(N630,setup!$A$8:$H$58,8))</f>
        <v/>
      </c>
    </row>
    <row r="631" spans="1:15" x14ac:dyDescent="0.25">
      <c r="A631" s="6" t="s">
        <v>62</v>
      </c>
      <c r="O631" s="7" t="str">
        <f ca="1">getCodigoBackend(N631,A631,VLOOKUP(N631,setup!$A$8:$H$58,2),VLOOKUP(N631,setup!$A$8:$H$58,3),VLOOKUP(N631,setup!$A$8:$H$58,4),VLOOKUP(N631,setup!$A$8:$H$58,5),VLOOKUP(N631,setup!$A$8:$H$58,6),VLOOKUP(N631,setup!$A$8:$H$58,7), VLOOKUP(0,setup!$A$8:$H$58,2),VLOOKUP(0,setup!$A$8:$H$58,5),VLOOKUP(N631,setup!$A$8:$H$58,8))</f>
        <v>    }</v>
      </c>
    </row>
    <row r="632" spans="1:15" x14ac:dyDescent="0.25">
      <c r="A632" s="6"/>
      <c r="O632" s="7" t="str">
        <f ca="1">getCodigoBackend(N632,A632,VLOOKUP(N632,setup!$A$8:$H$58,2),VLOOKUP(N632,setup!$A$8:$H$58,3),VLOOKUP(N632,setup!$A$8:$H$58,4),VLOOKUP(N632,setup!$A$8:$H$58,5),VLOOKUP(N632,setup!$A$8:$H$58,6),VLOOKUP(N632,setup!$A$8:$H$58,7), VLOOKUP(0,setup!$A$8:$H$58,2),VLOOKUP(0,setup!$A$8:$H$58,5),VLOOKUP(N632,setup!$A$8:$H$58,8))</f>
        <v/>
      </c>
    </row>
    <row r="633" spans="1:15" x14ac:dyDescent="0.25">
      <c r="A633" s="6" t="s">
        <v>140</v>
      </c>
      <c r="N633">
        <v>1</v>
      </c>
      <c r="O633" s="7" t="str">
        <f ca="1">getCodigoBackend(N633,A633,VLOOKUP(N633,setup!$A$8:$H$58,2),VLOOKUP(N633,setup!$A$8:$H$58,3),VLOOKUP(N633,setup!$A$8:$H$58,4),VLOOKUP(N633,setup!$A$8:$H$58,5),VLOOKUP(N633,setup!$A$8:$H$58,6),VLOOKUP(N633,setup!$A$8:$H$58,7), VLOOKUP(0,setup!$A$8:$H$58,2),VLOOKUP(0,setup!$A$8:$H$58,5),VLOOKUP(N633,setup!$A$8:$H$58,8))</f>
        <v>    /**</v>
      </c>
    </row>
    <row r="634" spans="1:15" x14ac:dyDescent="0.25">
      <c r="A634" s="4" t="s">
        <v>775</v>
      </c>
      <c r="N634">
        <v>1</v>
      </c>
      <c r="O634" s="7" t="str">
        <f ca="1">getCodigoBackend(N634,A634,VLOOKUP(N634,setup!$A$8:$H$58,2),VLOOKUP(N634,setup!$A$8:$H$58,3),VLOOKUP(N634,setup!$A$8:$H$58,4),VLOOKUP(N634,setup!$A$8:$H$58,5),VLOOKUP(N634,setup!$A$8:$H$58,6),VLOOKUP(N634,setup!$A$8:$H$58,7), VLOOKUP(0,setup!$A$8:$H$58,2),VLOOKUP(0,setup!$A$8:$H$58,5),VLOOKUP(N634,setup!$A$8:$H$58,8))</f>
        <v>    * updateIdcampanhacashback() - implementação da assinatura em CampanhaCashbackResgatePixDAO</v>
      </c>
    </row>
    <row r="635" spans="1:15" x14ac:dyDescent="0.25">
      <c r="A635" s="4" t="s">
        <v>141</v>
      </c>
      <c r="N635">
        <v>1</v>
      </c>
      <c r="O635" s="7" t="str">
        <f ca="1">getCodigoBackend(N635,A635,VLOOKUP(N635,setup!$A$8:$H$58,2),VLOOKUP(N635,setup!$A$8:$H$58,3),VLOOKUP(N635,setup!$A$8:$H$58,4),VLOOKUP(N635,setup!$A$8:$H$58,5),VLOOKUP(N635,setup!$A$8:$H$58,6),VLOOKUP(N635,setup!$A$8:$H$58,7), VLOOKUP(0,setup!$A$8:$H$58,2),VLOOKUP(0,setup!$A$8:$H$58,5),VLOOKUP(N635,setup!$A$8:$H$58,8))</f>
        <v>    */</v>
      </c>
    </row>
    <row r="636" spans="1:15" x14ac:dyDescent="0.25">
      <c r="A636" s="29" t="s">
        <v>776</v>
      </c>
      <c r="N636">
        <v>1</v>
      </c>
      <c r="O636" s="7" t="str">
        <f ca="1">getCodigoBackend(N636,A636,VLOOKUP(N636,setup!$A$8:$H$58,2),VLOOKUP(N636,setup!$A$8:$H$58,3),VLOOKUP(N636,setup!$A$8:$H$58,4),VLOOKUP(N636,setup!$A$8:$H$58,5),VLOOKUP(N636,setup!$A$8:$H$58,6),VLOOKUP(N636,setup!$A$8:$H$58,7), VLOOKUP(0,setup!$A$8:$H$58,2),VLOOKUP(0,setup!$A$8:$H$58,5),VLOOKUP(N636,setup!$A$8:$H$58,8))</f>
        <v xml:space="preserve">    public function updateIdcampanhacashback($id, $idCampanhaCashback)</v>
      </c>
    </row>
    <row r="637" spans="1:15" x14ac:dyDescent="0.25">
      <c r="A637" s="29" t="s">
        <v>763</v>
      </c>
      <c r="N637">
        <v>1</v>
      </c>
      <c r="O637" s="7" t="str">
        <f ca="1">getCodigoBackend(N637,A637,VLOOKUP(N637,setup!$A$8:$H$58,2),VLOOKUP(N637,setup!$A$8:$H$58,3),VLOOKUP(N637,setup!$A$8:$H$58,4),VLOOKUP(N637,setup!$A$8:$H$58,5),VLOOKUP(N637,setup!$A$8:$H$58,6),VLOOKUP(N637,setup!$A$8:$H$58,7), VLOOKUP(0,setup!$A$8:$H$58,2),VLOOKUP(0,setup!$A$8:$H$58,5),VLOOKUP(N637,setup!$A$8:$H$58,8))</f>
        <v xml:space="preserve">    {   </v>
      </c>
    </row>
    <row r="638" spans="1:15" x14ac:dyDescent="0.25">
      <c r="A638" s="29" t="s">
        <v>764</v>
      </c>
      <c r="N638">
        <v>1</v>
      </c>
      <c r="O638" s="7" t="str">
        <f ca="1">getCodigoBackend(N638,A638,VLOOKUP(N638,setup!$A$8:$H$58,2),VLOOKUP(N638,setup!$A$8:$H$58,3),VLOOKUP(N638,setup!$A$8:$H$58,4),VLOOKUP(N638,setup!$A$8:$H$58,5),VLOOKUP(N638,setup!$A$8:$H$58,6),VLOOKUP(N638,setup!$A$8:$H$58,7), VLOOKUP(0,setup!$A$8:$H$58,2),VLOOKUP(0,setup!$A$8:$H$58,5),VLOOKUP(N638,setup!$A$8:$H$58,8))</f>
        <v xml:space="preserve">        $retorno = false;</v>
      </c>
    </row>
    <row r="639" spans="1:15" x14ac:dyDescent="0.25">
      <c r="A639" s="29" t="s">
        <v>765</v>
      </c>
      <c r="N639">
        <v>1</v>
      </c>
      <c r="O639" s="7" t="str">
        <f ca="1">getCodigoBackend(N639,A639,VLOOKUP(N639,setup!$A$8:$H$58,2),VLOOKUP(N639,setup!$A$8:$H$58,3),VLOOKUP(N639,setup!$A$8:$H$58,4),VLOOKUP(N639,setup!$A$8:$H$58,5),VLOOKUP(N639,setup!$A$8:$H$58,6),VLOOKUP(N639,setup!$A$8:$H$58,7), VLOOKUP(0,setup!$A$8:$H$58,2),VLOOKUP(0,setup!$A$8:$H$58,5),VLOOKUP(N639,setup!$A$8:$H$58,8))</f>
        <v xml:space="preserve">        // prepara sessão, query, troca de valores, acoplagem do resultado e o fetch</v>
      </c>
    </row>
    <row r="640" spans="1:15" x14ac:dyDescent="0.25">
      <c r="A640" s="29" t="s">
        <v>766</v>
      </c>
      <c r="N640">
        <v>1</v>
      </c>
      <c r="O640" s="7" t="str">
        <f ca="1">getCodigoBackend(N640,A640,VLOOKUP(N640,setup!$A$8:$H$58,2),VLOOKUP(N640,setup!$A$8:$H$58,3),VLOOKUP(N640,setup!$A$8:$H$58,4),VLOOKUP(N640,setup!$A$8:$H$58,5),VLOOKUP(N640,setup!$A$8:$H$58,6),VLOOKUP(N640,setup!$A$8:$H$58,7), VLOOKUP(0,setup!$A$8:$H$58,2),VLOOKUP(0,setup!$A$8:$H$58,5),VLOOKUP(N640,setup!$A$8:$H$58,8))</f>
        <v xml:space="preserve">        $conexao = $this-&gt;daofactory-&gt;getSession();</v>
      </c>
    </row>
    <row r="641" spans="1:15" x14ac:dyDescent="0.25">
      <c r="A641" s="29" t="s">
        <v>774</v>
      </c>
      <c r="N641">
        <v>1</v>
      </c>
      <c r="O641" s="7" t="str">
        <f ca="1">getCodigoBackend(N641,A641,VLOOKUP(N641,setup!$A$8:$H$58,2),VLOOKUP(N641,setup!$A$8:$H$58,3),VLOOKUP(N641,setup!$A$8:$H$58,4),VLOOKUP(N641,setup!$A$8:$H$58,5),VLOOKUP(N641,setup!$A$8:$H$58,6),VLOOKUP(N641,setup!$A$8:$H$58,7), VLOOKUP(0,setup!$A$8:$H$58,2),VLOOKUP(0,setup!$A$8:$H$58,5),VLOOKUP(N641,setup!$A$8:$H$58,8))</f>
        <v xml:space="preserve">        $stmt = $conexao-&gt;prepare(DmlSqlCampanhaCashbackResgatePix::UPD_CAMPANHA_CASHBACK_RESGATE_PIX_CACA_ID_PK);</v>
      </c>
    </row>
    <row r="642" spans="1:15" x14ac:dyDescent="0.25">
      <c r="A642" s="29" t="s">
        <v>770</v>
      </c>
      <c r="N642">
        <v>1</v>
      </c>
      <c r="O642" s="7" t="str">
        <f ca="1">getCodigoBackend(N642,A642,VLOOKUP(N642,setup!$A$8:$H$58,2),VLOOKUP(N642,setup!$A$8:$H$58,3),VLOOKUP(N642,setup!$A$8:$H$58,4),VLOOKUP(N642,setup!$A$8:$H$58,5),VLOOKUP(N642,setup!$A$8:$H$58,6),VLOOKUP(N642,setup!$A$8:$H$58,7), VLOOKUP(0,setup!$A$8:$H$58,2),VLOOKUP(0,setup!$A$8:$H$58,5),VLOOKUP(N642,setup!$A$8:$H$58,8))</f>
        <v xml:space="preserve">        $stmt-&gt;bind_param(DmlSql::INTEGER_TYPE </v>
      </c>
    </row>
    <row r="643" spans="1:15" x14ac:dyDescent="0.25">
      <c r="A643" s="29" t="s">
        <v>771</v>
      </c>
      <c r="N643">
        <v>1</v>
      </c>
      <c r="O643" s="7" t="str">
        <f ca="1">getCodigoBackend(N643,A643,VLOOKUP(N643,setup!$A$8:$H$58,2),VLOOKUP(N643,setup!$A$8:$H$58,3),VLOOKUP(N643,setup!$A$8:$H$58,4),VLOOKUP(N643,setup!$A$8:$H$58,5),VLOOKUP(N643,setup!$A$8:$H$58,6),VLOOKUP(N643,setup!$A$8:$H$58,7), VLOOKUP(0,setup!$A$8:$H$58,2),VLOOKUP(0,setup!$A$8:$H$58,5),VLOOKUP(N643,setup!$A$8:$H$58,8))</f>
        <v xml:space="preserve">                            . DmlSql::INTEGER_TYPE</v>
      </c>
    </row>
    <row r="644" spans="1:15" x14ac:dyDescent="0.25">
      <c r="A644" s="29" t="s">
        <v>772</v>
      </c>
      <c r="N644">
        <v>1</v>
      </c>
      <c r="O644" s="7" t="str">
        <f ca="1">getCodigoBackend(N644,A644,VLOOKUP(N644,setup!$A$8:$H$58,2),VLOOKUP(N644,setup!$A$8:$H$58,3),VLOOKUP(N644,setup!$A$8:$H$58,4),VLOOKUP(N644,setup!$A$8:$H$58,5),VLOOKUP(N644,setup!$A$8:$H$58,6),VLOOKUP(N644,setup!$A$8:$H$58,7), VLOOKUP(0,setup!$A$8:$H$58,2),VLOOKUP(0,setup!$A$8:$H$58,5),VLOOKUP(N644,setup!$A$8:$H$58,8))</f>
        <v xml:space="preserve">                            ,$idCampanhaCashback</v>
      </c>
    </row>
    <row r="645" spans="1:15" x14ac:dyDescent="0.25">
      <c r="A645" s="29" t="s">
        <v>773</v>
      </c>
      <c r="N645">
        <v>1</v>
      </c>
      <c r="O645" s="7" t="str">
        <f ca="1">getCodigoBackend(N645,A645,VLOOKUP(N645,setup!$A$8:$H$58,2),VLOOKUP(N645,setup!$A$8:$H$58,3),VLOOKUP(N645,setup!$A$8:$H$58,4),VLOOKUP(N645,setup!$A$8:$H$58,5),VLOOKUP(N645,setup!$A$8:$H$58,6),VLOOKUP(N645,setup!$A$8:$H$58,7), VLOOKUP(0,setup!$A$8:$H$58,2),VLOOKUP(0,setup!$A$8:$H$58,5),VLOOKUP(N645,setup!$A$8:$H$58,8))</f>
        <v xml:space="preserve">                            ,$id);</v>
      </c>
    </row>
    <row r="646" spans="1:15" x14ac:dyDescent="0.25">
      <c r="A646" s="29" t="s">
        <v>767</v>
      </c>
      <c r="N646">
        <v>1</v>
      </c>
      <c r="O646" s="7" t="str">
        <f ca="1">getCodigoBackend(N646,A646,VLOOKUP(N646,setup!$A$8:$H$58,2),VLOOKUP(N646,setup!$A$8:$H$58,3),VLOOKUP(N646,setup!$A$8:$H$58,4),VLOOKUP(N646,setup!$A$8:$H$58,5),VLOOKUP(N646,setup!$A$8:$H$58,6),VLOOKUP(N646,setup!$A$8:$H$58,7), VLOOKUP(0,setup!$A$8:$H$58,2),VLOOKUP(0,setup!$A$8:$H$58,5),VLOOKUP(N646,setup!$A$8:$H$58,8))</f>
        <v xml:space="preserve">        if ($stmt-&gt;execute())</v>
      </c>
    </row>
    <row r="647" spans="1:15" x14ac:dyDescent="0.25">
      <c r="A647" s="29" t="s">
        <v>768</v>
      </c>
      <c r="N647">
        <v>1</v>
      </c>
      <c r="O647" s="7" t="str">
        <f ca="1">getCodigoBackend(N647,A647,VLOOKUP(N647,setup!$A$8:$H$58,2),VLOOKUP(N647,setup!$A$8:$H$58,3),VLOOKUP(N647,setup!$A$8:$H$58,4),VLOOKUP(N647,setup!$A$8:$H$58,5),VLOOKUP(N647,setup!$A$8:$H$58,6),VLOOKUP(N647,setup!$A$8:$H$58,7), VLOOKUP(0,setup!$A$8:$H$58,2),VLOOKUP(0,setup!$A$8:$H$58,5),VLOOKUP(N647,setup!$A$8:$H$58,8))</f>
        <v xml:space="preserve">        {</v>
      </c>
    </row>
    <row r="648" spans="1:15" x14ac:dyDescent="0.25">
      <c r="A648" s="29" t="s">
        <v>769</v>
      </c>
      <c r="N648">
        <v>1</v>
      </c>
      <c r="O648" s="7" t="str">
        <f ca="1">getCodigoBackend(N648,A648,VLOOKUP(N648,setup!$A$8:$H$58,2),VLOOKUP(N648,setup!$A$8:$H$58,3),VLOOKUP(N648,setup!$A$8:$H$58,4),VLOOKUP(N648,setup!$A$8:$H$58,5),VLOOKUP(N648,setup!$A$8:$H$58,6),VLOOKUP(N648,setup!$A$8:$H$58,7), VLOOKUP(0,setup!$A$8:$H$58,2),VLOOKUP(0,setup!$A$8:$H$58,5),VLOOKUP(N648,setup!$A$8:$H$58,8))</f>
        <v xml:space="preserve">            $retorno = true;</v>
      </c>
    </row>
    <row r="649" spans="1:15" x14ac:dyDescent="0.25">
      <c r="A649" s="29" t="s">
        <v>157</v>
      </c>
      <c r="N649">
        <v>1</v>
      </c>
      <c r="O649" s="7" t="str">
        <f ca="1">getCodigoBackend(N649,A649,VLOOKUP(N649,setup!$A$8:$H$58,2),VLOOKUP(N649,setup!$A$8:$H$58,3),VLOOKUP(N649,setup!$A$8:$H$58,4),VLOOKUP(N649,setup!$A$8:$H$58,5),VLOOKUP(N649,setup!$A$8:$H$58,6),VLOOKUP(N649,setup!$A$8:$H$58,7), VLOOKUP(0,setup!$A$8:$H$58,2),VLOOKUP(0,setup!$A$8:$H$58,5),VLOOKUP(N649,setup!$A$8:$H$58,8))</f>
        <v xml:space="preserve">        }</v>
      </c>
    </row>
    <row r="650" spans="1:15" x14ac:dyDescent="0.25">
      <c r="A650" s="29"/>
      <c r="N650">
        <v>1</v>
      </c>
      <c r="O650" s="7" t="str">
        <f ca="1">getCodigoBackend(N650,A650,VLOOKUP(N650,setup!$A$8:$H$58,2),VLOOKUP(N650,setup!$A$8:$H$58,3),VLOOKUP(N650,setup!$A$8:$H$58,4),VLOOKUP(N650,setup!$A$8:$H$58,5),VLOOKUP(N650,setup!$A$8:$H$58,6),VLOOKUP(N650,setup!$A$8:$H$58,7), VLOOKUP(0,setup!$A$8:$H$58,2),VLOOKUP(0,setup!$A$8:$H$58,5),VLOOKUP(N650,setup!$A$8:$H$58,8))</f>
        <v/>
      </c>
    </row>
    <row r="651" spans="1:15" x14ac:dyDescent="0.25">
      <c r="A651" s="29" t="s">
        <v>743</v>
      </c>
      <c r="N651">
        <v>1</v>
      </c>
      <c r="O651" s="7" t="str">
        <f ca="1">getCodigoBackend(N651,A651,VLOOKUP(N651,setup!$A$8:$H$58,2),VLOOKUP(N651,setup!$A$8:$H$58,3),VLOOKUP(N651,setup!$A$8:$H$58,4),VLOOKUP(N651,setup!$A$8:$H$58,5),VLOOKUP(N651,setup!$A$8:$H$58,6),VLOOKUP(N651,setup!$A$8:$H$58,7), VLOOKUP(0,setup!$A$8:$H$58,2),VLOOKUP(0,setup!$A$8:$H$58,5),VLOOKUP(N651,setup!$A$8:$H$58,8))</f>
        <v xml:space="preserve">        return $retorno;</v>
      </c>
    </row>
    <row r="652" spans="1:15" x14ac:dyDescent="0.25">
      <c r="A652" s="29" t="s">
        <v>406</v>
      </c>
      <c r="N652">
        <v>1</v>
      </c>
      <c r="O652" s="7" t="str">
        <f ca="1">getCodigoBackend(N652,A652,VLOOKUP(N652,setup!$A$8:$H$58,2),VLOOKUP(N652,setup!$A$8:$H$58,3),VLOOKUP(N652,setup!$A$8:$H$58,4),VLOOKUP(N652,setup!$A$8:$H$58,5),VLOOKUP(N652,setup!$A$8:$H$58,6),VLOOKUP(N652,setup!$A$8:$H$58,7), VLOOKUP(0,setup!$A$8:$H$58,2),VLOOKUP(0,setup!$A$8:$H$58,5),VLOOKUP(N652,setup!$A$8:$H$58,8))</f>
        <v xml:space="preserve">    }</v>
      </c>
    </row>
    <row r="653" spans="1:15" x14ac:dyDescent="0.25">
      <c r="A653" s="29"/>
      <c r="O653" s="7" t="str">
        <f ca="1">getCodigoBackend(N653,A653,VLOOKUP(N653,setup!$A$8:$H$58,2),VLOOKUP(N653,setup!$A$8:$H$58,3),VLOOKUP(N653,setup!$A$8:$H$58,4),VLOOKUP(N653,setup!$A$8:$H$58,5),VLOOKUP(N653,setup!$A$8:$H$58,6),VLOOKUP(N653,setup!$A$8:$H$58,7), VLOOKUP(0,setup!$A$8:$H$58,2),VLOOKUP(0,setup!$A$8:$H$58,5),VLOOKUP(N653,setup!$A$8:$H$58,8))</f>
        <v/>
      </c>
    </row>
    <row r="654" spans="1:15" x14ac:dyDescent="0.25">
      <c r="A654" s="6" t="s">
        <v>140</v>
      </c>
      <c r="N654">
        <f>N652+1</f>
        <v>2</v>
      </c>
      <c r="O654" s="7" t="str">
        <f ca="1">getCodigoBackend(N654,A654,VLOOKUP(N654,setup!$A$8:$H$58,2),VLOOKUP(N654,setup!$A$8:$H$58,3),VLOOKUP(N654,setup!$A$8:$H$58,4),VLOOKUP(N654,setup!$A$8:$H$58,5),VLOOKUP(N654,setup!$A$8:$H$58,6),VLOOKUP(N654,setup!$A$8:$H$58,7), VLOOKUP(0,setup!$A$8:$H$58,2),VLOOKUP(0,setup!$A$8:$H$58,5),VLOOKUP(N654,setup!$A$8:$H$58,8))</f>
        <v>    /**</v>
      </c>
    </row>
    <row r="655" spans="1:15" x14ac:dyDescent="0.25">
      <c r="A655" s="4" t="s">
        <v>775</v>
      </c>
      <c r="N655">
        <f>N654</f>
        <v>2</v>
      </c>
      <c r="O655" s="7" t="str">
        <f ca="1">getCodigoBackend(N655,A655,VLOOKUP(N655,setup!$A$8:$H$58,2),VLOOKUP(N655,setup!$A$8:$H$58,3),VLOOKUP(N655,setup!$A$8:$H$58,4),VLOOKUP(N655,setup!$A$8:$H$58,5),VLOOKUP(N655,setup!$A$8:$H$58,6),VLOOKUP(N655,setup!$A$8:$H$58,7), VLOOKUP(0,setup!$A$8:$H$58,2),VLOOKUP(0,setup!$A$8:$H$58,5),VLOOKUP(N655,setup!$A$8:$H$58,8))</f>
        <v>    * updateIdusuariosolicitante() - implementação da assinatura em CampanhaCashbackResgatePixDAO</v>
      </c>
    </row>
    <row r="656" spans="1:15" x14ac:dyDescent="0.25">
      <c r="A656" s="4" t="s">
        <v>141</v>
      </c>
      <c r="N656">
        <f t="shared" ref="N656:N673" si="16">N655</f>
        <v>2</v>
      </c>
      <c r="O656" s="7" t="str">
        <f ca="1">getCodigoBackend(N656,A656,VLOOKUP(N656,setup!$A$8:$H$58,2),VLOOKUP(N656,setup!$A$8:$H$58,3),VLOOKUP(N656,setup!$A$8:$H$58,4),VLOOKUP(N656,setup!$A$8:$H$58,5),VLOOKUP(N656,setup!$A$8:$H$58,6),VLOOKUP(N656,setup!$A$8:$H$58,7), VLOOKUP(0,setup!$A$8:$H$58,2),VLOOKUP(0,setup!$A$8:$H$58,5),VLOOKUP(N656,setup!$A$8:$H$58,8))</f>
        <v>    */</v>
      </c>
    </row>
    <row r="657" spans="1:15" x14ac:dyDescent="0.25">
      <c r="A657" s="29" t="s">
        <v>776</v>
      </c>
      <c r="N657">
        <f t="shared" si="16"/>
        <v>2</v>
      </c>
      <c r="O657" s="7" t="str">
        <f ca="1">getCodigoBackend(N657,A657,VLOOKUP(N657,setup!$A$8:$H$58,2),VLOOKUP(N657,setup!$A$8:$H$58,3),VLOOKUP(N657,setup!$A$8:$H$58,4),VLOOKUP(N657,setup!$A$8:$H$58,5),VLOOKUP(N657,setup!$A$8:$H$58,6),VLOOKUP(N657,setup!$A$8:$H$58,7), VLOOKUP(0,setup!$A$8:$H$58,2),VLOOKUP(0,setup!$A$8:$H$58,5),VLOOKUP(N657,setup!$A$8:$H$58,8))</f>
        <v xml:space="preserve">    public function updateIdusuariosolicitante($id, $idUsuarioSolicitante)</v>
      </c>
    </row>
    <row r="658" spans="1:15" x14ac:dyDescent="0.25">
      <c r="A658" s="29" t="s">
        <v>763</v>
      </c>
      <c r="N658">
        <f t="shared" si="16"/>
        <v>2</v>
      </c>
      <c r="O658" s="7" t="str">
        <f ca="1">getCodigoBackend(N658,A658,VLOOKUP(N658,setup!$A$8:$H$58,2),VLOOKUP(N658,setup!$A$8:$H$58,3),VLOOKUP(N658,setup!$A$8:$H$58,4),VLOOKUP(N658,setup!$A$8:$H$58,5),VLOOKUP(N658,setup!$A$8:$H$58,6),VLOOKUP(N658,setup!$A$8:$H$58,7), VLOOKUP(0,setup!$A$8:$H$58,2),VLOOKUP(0,setup!$A$8:$H$58,5),VLOOKUP(N658,setup!$A$8:$H$58,8))</f>
        <v xml:space="preserve">    {   </v>
      </c>
    </row>
    <row r="659" spans="1:15" x14ac:dyDescent="0.25">
      <c r="A659" s="29" t="s">
        <v>764</v>
      </c>
      <c r="N659">
        <f t="shared" si="16"/>
        <v>2</v>
      </c>
      <c r="O659" s="7" t="str">
        <f ca="1">getCodigoBackend(N659,A659,VLOOKUP(N659,setup!$A$8:$H$58,2),VLOOKUP(N659,setup!$A$8:$H$58,3),VLOOKUP(N659,setup!$A$8:$H$58,4),VLOOKUP(N659,setup!$A$8:$H$58,5),VLOOKUP(N659,setup!$A$8:$H$58,6),VLOOKUP(N659,setup!$A$8:$H$58,7), VLOOKUP(0,setup!$A$8:$H$58,2),VLOOKUP(0,setup!$A$8:$H$58,5),VLOOKUP(N659,setup!$A$8:$H$58,8))</f>
        <v xml:space="preserve">        $retorno = false;</v>
      </c>
    </row>
    <row r="660" spans="1:15" x14ac:dyDescent="0.25">
      <c r="A660" s="29" t="s">
        <v>765</v>
      </c>
      <c r="N660">
        <f t="shared" si="16"/>
        <v>2</v>
      </c>
      <c r="O660" s="7" t="str">
        <f ca="1">getCodigoBackend(N660,A660,VLOOKUP(N660,setup!$A$8:$H$58,2),VLOOKUP(N660,setup!$A$8:$H$58,3),VLOOKUP(N660,setup!$A$8:$H$58,4),VLOOKUP(N660,setup!$A$8:$H$58,5),VLOOKUP(N660,setup!$A$8:$H$58,6),VLOOKUP(N660,setup!$A$8:$H$58,7), VLOOKUP(0,setup!$A$8:$H$58,2),VLOOKUP(0,setup!$A$8:$H$58,5),VLOOKUP(N660,setup!$A$8:$H$58,8))</f>
        <v xml:space="preserve">        // prepara sessão, query, troca de valores, acoplagem do resultado e o fetch</v>
      </c>
    </row>
    <row r="661" spans="1:15" x14ac:dyDescent="0.25">
      <c r="A661" s="29" t="s">
        <v>766</v>
      </c>
      <c r="N661">
        <f t="shared" si="16"/>
        <v>2</v>
      </c>
      <c r="O661" s="7" t="str">
        <f ca="1">getCodigoBackend(N661,A661,VLOOKUP(N661,setup!$A$8:$H$58,2),VLOOKUP(N661,setup!$A$8:$H$58,3),VLOOKUP(N661,setup!$A$8:$H$58,4),VLOOKUP(N661,setup!$A$8:$H$58,5),VLOOKUP(N661,setup!$A$8:$H$58,6),VLOOKUP(N661,setup!$A$8:$H$58,7), VLOOKUP(0,setup!$A$8:$H$58,2),VLOOKUP(0,setup!$A$8:$H$58,5),VLOOKUP(N661,setup!$A$8:$H$58,8))</f>
        <v xml:space="preserve">        $conexao = $this-&gt;daofactory-&gt;getSession();</v>
      </c>
    </row>
    <row r="662" spans="1:15" x14ac:dyDescent="0.25">
      <c r="A662" s="29" t="s">
        <v>774</v>
      </c>
      <c r="N662">
        <f t="shared" si="16"/>
        <v>2</v>
      </c>
      <c r="O662" s="7" t="str">
        <f ca="1">getCodigoBackend(N662,A662,VLOOKUP(N662,setup!$A$8:$H$58,2),VLOOKUP(N662,setup!$A$8:$H$58,3),VLOOKUP(N662,setup!$A$8:$H$58,4),VLOOKUP(N662,setup!$A$8:$H$58,5),VLOOKUP(N662,setup!$A$8:$H$58,6),VLOOKUP(N662,setup!$A$8:$H$58,7), VLOOKUP(0,setup!$A$8:$H$58,2),VLOOKUP(0,setup!$A$8:$H$58,5),VLOOKUP(N662,setup!$A$8:$H$58,8))</f>
        <v xml:space="preserve">        $stmt = $conexao-&gt;prepare(DmlSqlCampanhaCashbackResgatePix::UPD_CAMPANHA_CASHBACK_RESGATE_PIX_USUA_ID_PK);</v>
      </c>
    </row>
    <row r="663" spans="1:15" x14ac:dyDescent="0.25">
      <c r="A663" s="29" t="s">
        <v>770</v>
      </c>
      <c r="N663">
        <f t="shared" si="16"/>
        <v>2</v>
      </c>
      <c r="O663" s="7" t="str">
        <f ca="1">getCodigoBackend(N663,A663,VLOOKUP(N663,setup!$A$8:$H$58,2),VLOOKUP(N663,setup!$A$8:$H$58,3),VLOOKUP(N663,setup!$A$8:$H$58,4),VLOOKUP(N663,setup!$A$8:$H$58,5),VLOOKUP(N663,setup!$A$8:$H$58,6),VLOOKUP(N663,setup!$A$8:$H$58,7), VLOOKUP(0,setup!$A$8:$H$58,2),VLOOKUP(0,setup!$A$8:$H$58,5),VLOOKUP(N663,setup!$A$8:$H$58,8))</f>
        <v xml:space="preserve">        $stmt-&gt;bind_param(DmlSql::INTEGER_TYPE </v>
      </c>
    </row>
    <row r="664" spans="1:15" x14ac:dyDescent="0.25">
      <c r="A664" s="29" t="s">
        <v>771</v>
      </c>
      <c r="N664">
        <f t="shared" si="16"/>
        <v>2</v>
      </c>
      <c r="O664" s="7" t="str">
        <f ca="1">getCodigoBackend(N664,A664,VLOOKUP(N664,setup!$A$8:$H$58,2),VLOOKUP(N664,setup!$A$8:$H$58,3),VLOOKUP(N664,setup!$A$8:$H$58,4),VLOOKUP(N664,setup!$A$8:$H$58,5),VLOOKUP(N664,setup!$A$8:$H$58,6),VLOOKUP(N664,setup!$A$8:$H$58,7), VLOOKUP(0,setup!$A$8:$H$58,2),VLOOKUP(0,setup!$A$8:$H$58,5),VLOOKUP(N664,setup!$A$8:$H$58,8))</f>
        <v xml:space="preserve">                            . DmlSql::INTEGER_TYPE</v>
      </c>
    </row>
    <row r="665" spans="1:15" x14ac:dyDescent="0.25">
      <c r="A665" s="29" t="s">
        <v>772</v>
      </c>
      <c r="N665">
        <f t="shared" si="16"/>
        <v>2</v>
      </c>
      <c r="O665" s="7" t="str">
        <f ca="1">getCodigoBackend(N665,A665,VLOOKUP(N665,setup!$A$8:$H$58,2),VLOOKUP(N665,setup!$A$8:$H$58,3),VLOOKUP(N665,setup!$A$8:$H$58,4),VLOOKUP(N665,setup!$A$8:$H$58,5),VLOOKUP(N665,setup!$A$8:$H$58,6),VLOOKUP(N665,setup!$A$8:$H$58,7), VLOOKUP(0,setup!$A$8:$H$58,2),VLOOKUP(0,setup!$A$8:$H$58,5),VLOOKUP(N665,setup!$A$8:$H$58,8))</f>
        <v xml:space="preserve">                            ,$idUsuarioSolicitante</v>
      </c>
    </row>
    <row r="666" spans="1:15" x14ac:dyDescent="0.25">
      <c r="A666" s="29" t="s">
        <v>773</v>
      </c>
      <c r="N666">
        <f t="shared" si="16"/>
        <v>2</v>
      </c>
      <c r="O666" s="7" t="str">
        <f ca="1">getCodigoBackend(N666,A666,VLOOKUP(N666,setup!$A$8:$H$58,2),VLOOKUP(N666,setup!$A$8:$H$58,3),VLOOKUP(N666,setup!$A$8:$H$58,4),VLOOKUP(N666,setup!$A$8:$H$58,5),VLOOKUP(N666,setup!$A$8:$H$58,6),VLOOKUP(N666,setup!$A$8:$H$58,7), VLOOKUP(0,setup!$A$8:$H$58,2),VLOOKUP(0,setup!$A$8:$H$58,5),VLOOKUP(N666,setup!$A$8:$H$58,8))</f>
        <v xml:space="preserve">                            ,$id);</v>
      </c>
    </row>
    <row r="667" spans="1:15" x14ac:dyDescent="0.25">
      <c r="A667" s="29" t="s">
        <v>767</v>
      </c>
      <c r="N667">
        <f t="shared" si="16"/>
        <v>2</v>
      </c>
      <c r="O667" s="7" t="str">
        <f ca="1">getCodigoBackend(N667,A667,VLOOKUP(N667,setup!$A$8:$H$58,2),VLOOKUP(N667,setup!$A$8:$H$58,3),VLOOKUP(N667,setup!$A$8:$H$58,4),VLOOKUP(N667,setup!$A$8:$H$58,5),VLOOKUP(N667,setup!$A$8:$H$58,6),VLOOKUP(N667,setup!$A$8:$H$58,7), VLOOKUP(0,setup!$A$8:$H$58,2),VLOOKUP(0,setup!$A$8:$H$58,5),VLOOKUP(N667,setup!$A$8:$H$58,8))</f>
        <v xml:space="preserve">        if ($stmt-&gt;execute())</v>
      </c>
    </row>
    <row r="668" spans="1:15" x14ac:dyDescent="0.25">
      <c r="A668" s="29" t="s">
        <v>768</v>
      </c>
      <c r="N668">
        <f t="shared" si="16"/>
        <v>2</v>
      </c>
      <c r="O668" s="7" t="str">
        <f ca="1">getCodigoBackend(N668,A668,VLOOKUP(N668,setup!$A$8:$H$58,2),VLOOKUP(N668,setup!$A$8:$H$58,3),VLOOKUP(N668,setup!$A$8:$H$58,4),VLOOKUP(N668,setup!$A$8:$H$58,5),VLOOKUP(N668,setup!$A$8:$H$58,6),VLOOKUP(N668,setup!$A$8:$H$58,7), VLOOKUP(0,setup!$A$8:$H$58,2),VLOOKUP(0,setup!$A$8:$H$58,5),VLOOKUP(N668,setup!$A$8:$H$58,8))</f>
        <v xml:space="preserve">        {</v>
      </c>
    </row>
    <row r="669" spans="1:15" x14ac:dyDescent="0.25">
      <c r="A669" s="29" t="s">
        <v>769</v>
      </c>
      <c r="N669">
        <f t="shared" si="16"/>
        <v>2</v>
      </c>
      <c r="O669" s="7" t="str">
        <f ca="1">getCodigoBackend(N669,A669,VLOOKUP(N669,setup!$A$8:$H$58,2),VLOOKUP(N669,setup!$A$8:$H$58,3),VLOOKUP(N669,setup!$A$8:$H$58,4),VLOOKUP(N669,setup!$A$8:$H$58,5),VLOOKUP(N669,setup!$A$8:$H$58,6),VLOOKUP(N669,setup!$A$8:$H$58,7), VLOOKUP(0,setup!$A$8:$H$58,2),VLOOKUP(0,setup!$A$8:$H$58,5),VLOOKUP(N669,setup!$A$8:$H$58,8))</f>
        <v xml:space="preserve">            $retorno = true;</v>
      </c>
    </row>
    <row r="670" spans="1:15" x14ac:dyDescent="0.25">
      <c r="A670" s="29" t="s">
        <v>157</v>
      </c>
      <c r="N670">
        <f t="shared" si="16"/>
        <v>2</v>
      </c>
      <c r="O670" s="7" t="str">
        <f ca="1">getCodigoBackend(N670,A670,VLOOKUP(N670,setup!$A$8:$H$58,2),VLOOKUP(N670,setup!$A$8:$H$58,3),VLOOKUP(N670,setup!$A$8:$H$58,4),VLOOKUP(N670,setup!$A$8:$H$58,5),VLOOKUP(N670,setup!$A$8:$H$58,6),VLOOKUP(N670,setup!$A$8:$H$58,7), VLOOKUP(0,setup!$A$8:$H$58,2),VLOOKUP(0,setup!$A$8:$H$58,5),VLOOKUP(N670,setup!$A$8:$H$58,8))</f>
        <v xml:space="preserve">        }</v>
      </c>
    </row>
    <row r="671" spans="1:15" x14ac:dyDescent="0.25">
      <c r="A671" s="29"/>
      <c r="N671">
        <f t="shared" si="16"/>
        <v>2</v>
      </c>
      <c r="O671" s="7" t="str">
        <f ca="1">getCodigoBackend(N671,A671,VLOOKUP(N671,setup!$A$8:$H$58,2),VLOOKUP(N671,setup!$A$8:$H$58,3),VLOOKUP(N671,setup!$A$8:$H$58,4),VLOOKUP(N671,setup!$A$8:$H$58,5),VLOOKUP(N671,setup!$A$8:$H$58,6),VLOOKUP(N671,setup!$A$8:$H$58,7), VLOOKUP(0,setup!$A$8:$H$58,2),VLOOKUP(0,setup!$A$8:$H$58,5),VLOOKUP(N671,setup!$A$8:$H$58,8))</f>
        <v/>
      </c>
    </row>
    <row r="672" spans="1:15" x14ac:dyDescent="0.25">
      <c r="A672" s="29" t="s">
        <v>743</v>
      </c>
      <c r="N672">
        <f t="shared" si="16"/>
        <v>2</v>
      </c>
      <c r="O672" s="7" t="str">
        <f ca="1">getCodigoBackend(N672,A672,VLOOKUP(N672,setup!$A$8:$H$58,2),VLOOKUP(N672,setup!$A$8:$H$58,3),VLOOKUP(N672,setup!$A$8:$H$58,4),VLOOKUP(N672,setup!$A$8:$H$58,5),VLOOKUP(N672,setup!$A$8:$H$58,6),VLOOKUP(N672,setup!$A$8:$H$58,7), VLOOKUP(0,setup!$A$8:$H$58,2),VLOOKUP(0,setup!$A$8:$H$58,5),VLOOKUP(N672,setup!$A$8:$H$58,8))</f>
        <v xml:space="preserve">        return $retorno;</v>
      </c>
    </row>
    <row r="673" spans="1:15" x14ac:dyDescent="0.25">
      <c r="A673" s="29" t="s">
        <v>406</v>
      </c>
      <c r="N673">
        <f t="shared" si="16"/>
        <v>2</v>
      </c>
      <c r="O673" s="7" t="str">
        <f ca="1">getCodigoBackend(N673,A673,VLOOKUP(N673,setup!$A$8:$H$58,2),VLOOKUP(N673,setup!$A$8:$H$58,3),VLOOKUP(N673,setup!$A$8:$H$58,4),VLOOKUP(N673,setup!$A$8:$H$58,5),VLOOKUP(N673,setup!$A$8:$H$58,6),VLOOKUP(N673,setup!$A$8:$H$58,7), VLOOKUP(0,setup!$A$8:$H$58,2),VLOOKUP(0,setup!$A$8:$H$58,5),VLOOKUP(N673,setup!$A$8:$H$58,8))</f>
        <v xml:space="preserve">    }</v>
      </c>
    </row>
    <row r="674" spans="1:15" x14ac:dyDescent="0.25">
      <c r="A674" s="29"/>
      <c r="O674" s="7" t="str">
        <f ca="1">getCodigoBackend(N674,A674,VLOOKUP(N674,setup!$A$8:$H$58,2),VLOOKUP(N674,setup!$A$8:$H$58,3),VLOOKUP(N674,setup!$A$8:$H$58,4),VLOOKUP(N674,setup!$A$8:$H$58,5),VLOOKUP(N674,setup!$A$8:$H$58,6),VLOOKUP(N674,setup!$A$8:$H$58,7), VLOOKUP(0,setup!$A$8:$H$58,2),VLOOKUP(0,setup!$A$8:$H$58,5),VLOOKUP(N674,setup!$A$8:$H$58,8))</f>
        <v/>
      </c>
    </row>
    <row r="675" spans="1:15" x14ac:dyDescent="0.25">
      <c r="A675" s="6" t="s">
        <v>140</v>
      </c>
      <c r="N675">
        <f>N673+1</f>
        <v>3</v>
      </c>
      <c r="O675" s="7" t="str">
        <f ca="1">getCodigoBackend(N675,A675,VLOOKUP(N675,setup!$A$8:$H$58,2),VLOOKUP(N675,setup!$A$8:$H$58,3),VLOOKUP(N675,setup!$A$8:$H$58,4),VLOOKUP(N675,setup!$A$8:$H$58,5),VLOOKUP(N675,setup!$A$8:$H$58,6),VLOOKUP(N675,setup!$A$8:$H$58,7), VLOOKUP(0,setup!$A$8:$H$58,2),VLOOKUP(0,setup!$A$8:$H$58,5),VLOOKUP(N675,setup!$A$8:$H$58,8))</f>
        <v>    /**</v>
      </c>
    </row>
    <row r="676" spans="1:15" x14ac:dyDescent="0.25">
      <c r="A676" s="4" t="s">
        <v>775</v>
      </c>
      <c r="N676">
        <f>N675</f>
        <v>3</v>
      </c>
      <c r="O676" s="7" t="str">
        <f ca="1">getCodigoBackend(N676,A676,VLOOKUP(N676,setup!$A$8:$H$58,2),VLOOKUP(N676,setup!$A$8:$H$58,3),VLOOKUP(N676,setup!$A$8:$H$58,4),VLOOKUP(N676,setup!$A$8:$H$58,5),VLOOKUP(N676,setup!$A$8:$H$58,6),VLOOKUP(N676,setup!$A$8:$H$58,7), VLOOKUP(0,setup!$A$8:$H$58,2),VLOOKUP(0,setup!$A$8:$H$58,5),VLOOKUP(N676,setup!$A$8:$H$58,8))</f>
        <v>    * updateTipochavepix() - implementação da assinatura em CampanhaCashbackResgatePixDAO</v>
      </c>
    </row>
    <row r="677" spans="1:15" x14ac:dyDescent="0.25">
      <c r="A677" s="4" t="s">
        <v>141</v>
      </c>
      <c r="N677">
        <f t="shared" ref="N677:N694" si="17">N676</f>
        <v>3</v>
      </c>
      <c r="O677" s="7" t="str">
        <f ca="1">getCodigoBackend(N677,A677,VLOOKUP(N677,setup!$A$8:$H$58,2),VLOOKUP(N677,setup!$A$8:$H$58,3),VLOOKUP(N677,setup!$A$8:$H$58,4),VLOOKUP(N677,setup!$A$8:$H$58,5),VLOOKUP(N677,setup!$A$8:$H$58,6),VLOOKUP(N677,setup!$A$8:$H$58,7), VLOOKUP(0,setup!$A$8:$H$58,2),VLOOKUP(0,setup!$A$8:$H$58,5),VLOOKUP(N677,setup!$A$8:$H$58,8))</f>
        <v>    */</v>
      </c>
    </row>
    <row r="678" spans="1:15" x14ac:dyDescent="0.25">
      <c r="A678" s="29" t="s">
        <v>776</v>
      </c>
      <c r="N678">
        <f t="shared" si="17"/>
        <v>3</v>
      </c>
      <c r="O678" s="7" t="str">
        <f ca="1">getCodigoBackend(N678,A678,VLOOKUP(N678,setup!$A$8:$H$58,2),VLOOKUP(N678,setup!$A$8:$H$58,3),VLOOKUP(N678,setup!$A$8:$H$58,4),VLOOKUP(N678,setup!$A$8:$H$58,5),VLOOKUP(N678,setup!$A$8:$H$58,6),VLOOKUP(N678,setup!$A$8:$H$58,7), VLOOKUP(0,setup!$A$8:$H$58,2),VLOOKUP(0,setup!$A$8:$H$58,5),VLOOKUP(N678,setup!$A$8:$H$58,8))</f>
        <v xml:space="preserve">    public function updateTipochavepix($id, $tipoChavePix)</v>
      </c>
    </row>
    <row r="679" spans="1:15" x14ac:dyDescent="0.25">
      <c r="A679" s="29" t="s">
        <v>763</v>
      </c>
      <c r="N679">
        <f t="shared" si="17"/>
        <v>3</v>
      </c>
      <c r="O679" s="7" t="str">
        <f ca="1">getCodigoBackend(N679,A679,VLOOKUP(N679,setup!$A$8:$H$58,2),VLOOKUP(N679,setup!$A$8:$H$58,3),VLOOKUP(N679,setup!$A$8:$H$58,4),VLOOKUP(N679,setup!$A$8:$H$58,5),VLOOKUP(N679,setup!$A$8:$H$58,6),VLOOKUP(N679,setup!$A$8:$H$58,7), VLOOKUP(0,setup!$A$8:$H$58,2),VLOOKUP(0,setup!$A$8:$H$58,5),VLOOKUP(N679,setup!$A$8:$H$58,8))</f>
        <v xml:space="preserve">    {   </v>
      </c>
    </row>
    <row r="680" spans="1:15" x14ac:dyDescent="0.25">
      <c r="A680" s="29" t="s">
        <v>764</v>
      </c>
      <c r="N680">
        <f t="shared" si="17"/>
        <v>3</v>
      </c>
      <c r="O680" s="7" t="str">
        <f ca="1">getCodigoBackend(N680,A680,VLOOKUP(N680,setup!$A$8:$H$58,2),VLOOKUP(N680,setup!$A$8:$H$58,3),VLOOKUP(N680,setup!$A$8:$H$58,4),VLOOKUP(N680,setup!$A$8:$H$58,5),VLOOKUP(N680,setup!$A$8:$H$58,6),VLOOKUP(N680,setup!$A$8:$H$58,7), VLOOKUP(0,setup!$A$8:$H$58,2),VLOOKUP(0,setup!$A$8:$H$58,5),VLOOKUP(N680,setup!$A$8:$H$58,8))</f>
        <v xml:space="preserve">        $retorno = false;</v>
      </c>
    </row>
    <row r="681" spans="1:15" x14ac:dyDescent="0.25">
      <c r="A681" s="29" t="s">
        <v>765</v>
      </c>
      <c r="N681">
        <f t="shared" si="17"/>
        <v>3</v>
      </c>
      <c r="O681" s="7" t="str">
        <f ca="1">getCodigoBackend(N681,A681,VLOOKUP(N681,setup!$A$8:$H$58,2),VLOOKUP(N681,setup!$A$8:$H$58,3),VLOOKUP(N681,setup!$A$8:$H$58,4),VLOOKUP(N681,setup!$A$8:$H$58,5),VLOOKUP(N681,setup!$A$8:$H$58,6),VLOOKUP(N681,setup!$A$8:$H$58,7), VLOOKUP(0,setup!$A$8:$H$58,2),VLOOKUP(0,setup!$A$8:$H$58,5),VLOOKUP(N681,setup!$A$8:$H$58,8))</f>
        <v xml:space="preserve">        // prepara sessão, query, troca de valores, acoplagem do resultado e o fetch</v>
      </c>
    </row>
    <row r="682" spans="1:15" x14ac:dyDescent="0.25">
      <c r="A682" s="29" t="s">
        <v>766</v>
      </c>
      <c r="N682">
        <f t="shared" si="17"/>
        <v>3</v>
      </c>
      <c r="O682" s="7" t="str">
        <f ca="1">getCodigoBackend(N682,A682,VLOOKUP(N682,setup!$A$8:$H$58,2),VLOOKUP(N682,setup!$A$8:$H$58,3),VLOOKUP(N682,setup!$A$8:$H$58,4),VLOOKUP(N682,setup!$A$8:$H$58,5),VLOOKUP(N682,setup!$A$8:$H$58,6),VLOOKUP(N682,setup!$A$8:$H$58,7), VLOOKUP(0,setup!$A$8:$H$58,2),VLOOKUP(0,setup!$A$8:$H$58,5),VLOOKUP(N682,setup!$A$8:$H$58,8))</f>
        <v xml:space="preserve">        $conexao = $this-&gt;daofactory-&gt;getSession();</v>
      </c>
    </row>
    <row r="683" spans="1:15" x14ac:dyDescent="0.25">
      <c r="A683" s="29" t="s">
        <v>774</v>
      </c>
      <c r="N683">
        <f t="shared" si="17"/>
        <v>3</v>
      </c>
      <c r="O683" s="7" t="str">
        <f ca="1">getCodigoBackend(N683,A683,VLOOKUP(N683,setup!$A$8:$H$58,2),VLOOKUP(N683,setup!$A$8:$H$58,3),VLOOKUP(N683,setup!$A$8:$H$58,4),VLOOKUP(N683,setup!$A$8:$H$58,5),VLOOKUP(N683,setup!$A$8:$H$58,6),VLOOKUP(N683,setup!$A$8:$H$58,7), VLOOKUP(0,setup!$A$8:$H$58,2),VLOOKUP(0,setup!$A$8:$H$58,5),VLOOKUP(N683,setup!$A$8:$H$58,8))</f>
        <v xml:space="preserve">        $stmt = $conexao-&gt;prepare(DmlSqlCampanhaCashbackResgatePix::UPD_CAMPANHA_CASHBACK_RESGATE_PIX_CCRP_IN_TIPO_CHAVE_PIX_PK);</v>
      </c>
    </row>
    <row r="684" spans="1:15" x14ac:dyDescent="0.25">
      <c r="A684" s="29" t="s">
        <v>770</v>
      </c>
      <c r="N684">
        <f t="shared" si="17"/>
        <v>3</v>
      </c>
      <c r="O684" s="7" t="str">
        <f ca="1">getCodigoBackend(N684,A684,VLOOKUP(N684,setup!$A$8:$H$58,2),VLOOKUP(N684,setup!$A$8:$H$58,3),VLOOKUP(N684,setup!$A$8:$H$58,4),VLOOKUP(N684,setup!$A$8:$H$58,5),VLOOKUP(N684,setup!$A$8:$H$58,6),VLOOKUP(N684,setup!$A$8:$H$58,7), VLOOKUP(0,setup!$A$8:$H$58,2),VLOOKUP(0,setup!$A$8:$H$58,5),VLOOKUP(N684,setup!$A$8:$H$58,8))</f>
        <v xml:space="preserve">        $stmt-&gt;bind_param(DmlSql::INTEGER_TYPE </v>
      </c>
    </row>
    <row r="685" spans="1:15" x14ac:dyDescent="0.25">
      <c r="A685" s="29" t="s">
        <v>771</v>
      </c>
      <c r="N685">
        <f t="shared" si="17"/>
        <v>3</v>
      </c>
      <c r="O685" s="7" t="str">
        <f ca="1">getCodigoBackend(N685,A685,VLOOKUP(N685,setup!$A$8:$H$58,2),VLOOKUP(N685,setup!$A$8:$H$58,3),VLOOKUP(N685,setup!$A$8:$H$58,4),VLOOKUP(N685,setup!$A$8:$H$58,5),VLOOKUP(N685,setup!$A$8:$H$58,6),VLOOKUP(N685,setup!$A$8:$H$58,7), VLOOKUP(0,setup!$A$8:$H$58,2),VLOOKUP(0,setup!$A$8:$H$58,5),VLOOKUP(N685,setup!$A$8:$H$58,8))</f>
        <v xml:space="preserve">                            . DmlSql::INTEGER_TYPE</v>
      </c>
    </row>
    <row r="686" spans="1:15" x14ac:dyDescent="0.25">
      <c r="A686" s="29" t="s">
        <v>772</v>
      </c>
      <c r="N686">
        <f t="shared" si="17"/>
        <v>3</v>
      </c>
      <c r="O686" s="7" t="str">
        <f ca="1">getCodigoBackend(N686,A686,VLOOKUP(N686,setup!$A$8:$H$58,2),VLOOKUP(N686,setup!$A$8:$H$58,3),VLOOKUP(N686,setup!$A$8:$H$58,4),VLOOKUP(N686,setup!$A$8:$H$58,5),VLOOKUP(N686,setup!$A$8:$H$58,6),VLOOKUP(N686,setup!$A$8:$H$58,7), VLOOKUP(0,setup!$A$8:$H$58,2),VLOOKUP(0,setup!$A$8:$H$58,5),VLOOKUP(N686,setup!$A$8:$H$58,8))</f>
        <v xml:space="preserve">                            ,$tipoChavePix</v>
      </c>
    </row>
    <row r="687" spans="1:15" x14ac:dyDescent="0.25">
      <c r="A687" s="29" t="s">
        <v>773</v>
      </c>
      <c r="N687">
        <f t="shared" si="17"/>
        <v>3</v>
      </c>
      <c r="O687" s="7" t="str">
        <f ca="1">getCodigoBackend(N687,A687,VLOOKUP(N687,setup!$A$8:$H$58,2),VLOOKUP(N687,setup!$A$8:$H$58,3),VLOOKUP(N687,setup!$A$8:$H$58,4),VLOOKUP(N687,setup!$A$8:$H$58,5),VLOOKUP(N687,setup!$A$8:$H$58,6),VLOOKUP(N687,setup!$A$8:$H$58,7), VLOOKUP(0,setup!$A$8:$H$58,2),VLOOKUP(0,setup!$A$8:$H$58,5),VLOOKUP(N687,setup!$A$8:$H$58,8))</f>
        <v xml:space="preserve">                            ,$id);</v>
      </c>
    </row>
    <row r="688" spans="1:15" x14ac:dyDescent="0.25">
      <c r="A688" s="29" t="s">
        <v>767</v>
      </c>
      <c r="N688">
        <f t="shared" si="17"/>
        <v>3</v>
      </c>
      <c r="O688" s="7" t="str">
        <f ca="1">getCodigoBackend(N688,A688,VLOOKUP(N688,setup!$A$8:$H$58,2),VLOOKUP(N688,setup!$A$8:$H$58,3),VLOOKUP(N688,setup!$A$8:$H$58,4),VLOOKUP(N688,setup!$A$8:$H$58,5),VLOOKUP(N688,setup!$A$8:$H$58,6),VLOOKUP(N688,setup!$A$8:$H$58,7), VLOOKUP(0,setup!$A$8:$H$58,2),VLOOKUP(0,setup!$A$8:$H$58,5),VLOOKUP(N688,setup!$A$8:$H$58,8))</f>
        <v xml:space="preserve">        if ($stmt-&gt;execute())</v>
      </c>
    </row>
    <row r="689" spans="1:15" x14ac:dyDescent="0.25">
      <c r="A689" s="29" t="s">
        <v>768</v>
      </c>
      <c r="N689">
        <f t="shared" si="17"/>
        <v>3</v>
      </c>
      <c r="O689" s="7" t="str">
        <f ca="1">getCodigoBackend(N689,A689,VLOOKUP(N689,setup!$A$8:$H$58,2),VLOOKUP(N689,setup!$A$8:$H$58,3),VLOOKUP(N689,setup!$A$8:$H$58,4),VLOOKUP(N689,setup!$A$8:$H$58,5),VLOOKUP(N689,setup!$A$8:$H$58,6),VLOOKUP(N689,setup!$A$8:$H$58,7), VLOOKUP(0,setup!$A$8:$H$58,2),VLOOKUP(0,setup!$A$8:$H$58,5),VLOOKUP(N689,setup!$A$8:$H$58,8))</f>
        <v xml:space="preserve">        {</v>
      </c>
    </row>
    <row r="690" spans="1:15" x14ac:dyDescent="0.25">
      <c r="A690" s="29" t="s">
        <v>769</v>
      </c>
      <c r="N690">
        <f t="shared" si="17"/>
        <v>3</v>
      </c>
      <c r="O690" s="7" t="str">
        <f ca="1">getCodigoBackend(N690,A690,VLOOKUP(N690,setup!$A$8:$H$58,2),VLOOKUP(N690,setup!$A$8:$H$58,3),VLOOKUP(N690,setup!$A$8:$H$58,4),VLOOKUP(N690,setup!$A$8:$H$58,5),VLOOKUP(N690,setup!$A$8:$H$58,6),VLOOKUP(N690,setup!$A$8:$H$58,7), VLOOKUP(0,setup!$A$8:$H$58,2),VLOOKUP(0,setup!$A$8:$H$58,5),VLOOKUP(N690,setup!$A$8:$H$58,8))</f>
        <v xml:space="preserve">            $retorno = true;</v>
      </c>
    </row>
    <row r="691" spans="1:15" x14ac:dyDescent="0.25">
      <c r="A691" s="29" t="s">
        <v>157</v>
      </c>
      <c r="N691">
        <f t="shared" si="17"/>
        <v>3</v>
      </c>
      <c r="O691" s="7" t="str">
        <f ca="1">getCodigoBackend(N691,A691,VLOOKUP(N691,setup!$A$8:$H$58,2),VLOOKUP(N691,setup!$A$8:$H$58,3),VLOOKUP(N691,setup!$A$8:$H$58,4),VLOOKUP(N691,setup!$A$8:$H$58,5),VLOOKUP(N691,setup!$A$8:$H$58,6),VLOOKUP(N691,setup!$A$8:$H$58,7), VLOOKUP(0,setup!$A$8:$H$58,2),VLOOKUP(0,setup!$A$8:$H$58,5),VLOOKUP(N691,setup!$A$8:$H$58,8))</f>
        <v xml:space="preserve">        }</v>
      </c>
    </row>
    <row r="692" spans="1:15" x14ac:dyDescent="0.25">
      <c r="A692" s="29"/>
      <c r="N692">
        <f t="shared" si="17"/>
        <v>3</v>
      </c>
      <c r="O692" s="7" t="str">
        <f ca="1">getCodigoBackend(N692,A692,VLOOKUP(N692,setup!$A$8:$H$58,2),VLOOKUP(N692,setup!$A$8:$H$58,3),VLOOKUP(N692,setup!$A$8:$H$58,4),VLOOKUP(N692,setup!$A$8:$H$58,5),VLOOKUP(N692,setup!$A$8:$H$58,6),VLOOKUP(N692,setup!$A$8:$H$58,7), VLOOKUP(0,setup!$A$8:$H$58,2),VLOOKUP(0,setup!$A$8:$H$58,5),VLOOKUP(N692,setup!$A$8:$H$58,8))</f>
        <v/>
      </c>
    </row>
    <row r="693" spans="1:15" x14ac:dyDescent="0.25">
      <c r="A693" s="29" t="s">
        <v>743</v>
      </c>
      <c r="N693">
        <f t="shared" si="17"/>
        <v>3</v>
      </c>
      <c r="O693" s="7" t="str">
        <f ca="1">getCodigoBackend(N693,A693,VLOOKUP(N693,setup!$A$8:$H$58,2),VLOOKUP(N693,setup!$A$8:$H$58,3),VLOOKUP(N693,setup!$A$8:$H$58,4),VLOOKUP(N693,setup!$A$8:$H$58,5),VLOOKUP(N693,setup!$A$8:$H$58,6),VLOOKUP(N693,setup!$A$8:$H$58,7), VLOOKUP(0,setup!$A$8:$H$58,2),VLOOKUP(0,setup!$A$8:$H$58,5),VLOOKUP(N693,setup!$A$8:$H$58,8))</f>
        <v xml:space="preserve">        return $retorno;</v>
      </c>
    </row>
    <row r="694" spans="1:15" x14ac:dyDescent="0.25">
      <c r="A694" s="29" t="s">
        <v>406</v>
      </c>
      <c r="N694">
        <f t="shared" si="17"/>
        <v>3</v>
      </c>
      <c r="O694" s="7" t="str">
        <f ca="1">getCodigoBackend(N694,A694,VLOOKUP(N694,setup!$A$8:$H$58,2),VLOOKUP(N694,setup!$A$8:$H$58,3),VLOOKUP(N694,setup!$A$8:$H$58,4),VLOOKUP(N694,setup!$A$8:$H$58,5),VLOOKUP(N694,setup!$A$8:$H$58,6),VLOOKUP(N694,setup!$A$8:$H$58,7), VLOOKUP(0,setup!$A$8:$H$58,2),VLOOKUP(0,setup!$A$8:$H$58,5),VLOOKUP(N694,setup!$A$8:$H$58,8))</f>
        <v xml:space="preserve">    }</v>
      </c>
    </row>
    <row r="695" spans="1:15" x14ac:dyDescent="0.25">
      <c r="A695" s="29"/>
      <c r="O695" s="7" t="str">
        <f ca="1">getCodigoBackend(N695,A695,VLOOKUP(N695,setup!$A$8:$H$58,2),VLOOKUP(N695,setup!$A$8:$H$58,3),VLOOKUP(N695,setup!$A$8:$H$58,4),VLOOKUP(N695,setup!$A$8:$H$58,5),VLOOKUP(N695,setup!$A$8:$H$58,6),VLOOKUP(N695,setup!$A$8:$H$58,7), VLOOKUP(0,setup!$A$8:$H$58,2),VLOOKUP(0,setup!$A$8:$H$58,5),VLOOKUP(N695,setup!$A$8:$H$58,8))</f>
        <v/>
      </c>
    </row>
    <row r="696" spans="1:15" x14ac:dyDescent="0.25">
      <c r="A696" s="6" t="s">
        <v>140</v>
      </c>
      <c r="N696">
        <f>N694+1</f>
        <v>4</v>
      </c>
      <c r="O696" s="7" t="str">
        <f ca="1">getCodigoBackend(N696,A696,VLOOKUP(N696,setup!$A$8:$H$58,2),VLOOKUP(N696,setup!$A$8:$H$58,3),VLOOKUP(N696,setup!$A$8:$H$58,4),VLOOKUP(N696,setup!$A$8:$H$58,5),VLOOKUP(N696,setup!$A$8:$H$58,6),VLOOKUP(N696,setup!$A$8:$H$58,7), VLOOKUP(0,setup!$A$8:$H$58,2),VLOOKUP(0,setup!$A$8:$H$58,5),VLOOKUP(N696,setup!$A$8:$H$58,8))</f>
        <v>    /**</v>
      </c>
    </row>
    <row r="697" spans="1:15" x14ac:dyDescent="0.25">
      <c r="A697" s="4" t="s">
        <v>775</v>
      </c>
      <c r="N697">
        <f>N696</f>
        <v>4</v>
      </c>
      <c r="O697" s="7" t="str">
        <f ca="1">getCodigoBackend(N697,A697,VLOOKUP(N697,setup!$A$8:$H$58,2),VLOOKUP(N697,setup!$A$8:$H$58,3),VLOOKUP(N697,setup!$A$8:$H$58,4),VLOOKUP(N697,setup!$A$8:$H$58,5),VLOOKUP(N697,setup!$A$8:$H$58,6),VLOOKUP(N697,setup!$A$8:$H$58,7), VLOOKUP(0,setup!$A$8:$H$58,2),VLOOKUP(0,setup!$A$8:$H$58,5),VLOOKUP(N697,setup!$A$8:$H$58,8))</f>
        <v>    * updateChavepix() - implementação da assinatura em CampanhaCashbackResgatePixDAO</v>
      </c>
    </row>
    <row r="698" spans="1:15" x14ac:dyDescent="0.25">
      <c r="A698" s="4" t="s">
        <v>141</v>
      </c>
      <c r="N698">
        <f t="shared" ref="N698:N715" si="18">N697</f>
        <v>4</v>
      </c>
      <c r="O698" s="7" t="str">
        <f ca="1">getCodigoBackend(N698,A698,VLOOKUP(N698,setup!$A$8:$H$58,2),VLOOKUP(N698,setup!$A$8:$H$58,3),VLOOKUP(N698,setup!$A$8:$H$58,4),VLOOKUP(N698,setup!$A$8:$H$58,5),VLOOKUP(N698,setup!$A$8:$H$58,6),VLOOKUP(N698,setup!$A$8:$H$58,7), VLOOKUP(0,setup!$A$8:$H$58,2),VLOOKUP(0,setup!$A$8:$H$58,5),VLOOKUP(N698,setup!$A$8:$H$58,8))</f>
        <v>    */</v>
      </c>
    </row>
    <row r="699" spans="1:15" x14ac:dyDescent="0.25">
      <c r="A699" s="29" t="s">
        <v>776</v>
      </c>
      <c r="N699">
        <f t="shared" si="18"/>
        <v>4</v>
      </c>
      <c r="O699" s="7" t="str">
        <f ca="1">getCodigoBackend(N699,A699,VLOOKUP(N699,setup!$A$8:$H$58,2),VLOOKUP(N699,setup!$A$8:$H$58,3),VLOOKUP(N699,setup!$A$8:$H$58,4),VLOOKUP(N699,setup!$A$8:$H$58,5),VLOOKUP(N699,setup!$A$8:$H$58,6),VLOOKUP(N699,setup!$A$8:$H$58,7), VLOOKUP(0,setup!$A$8:$H$58,2),VLOOKUP(0,setup!$A$8:$H$58,5),VLOOKUP(N699,setup!$A$8:$H$58,8))</f>
        <v xml:space="preserve">    public function updateChavepix($id, $chavePix)</v>
      </c>
    </row>
    <row r="700" spans="1:15" x14ac:dyDescent="0.25">
      <c r="A700" s="29" t="s">
        <v>763</v>
      </c>
      <c r="N700">
        <f t="shared" si="18"/>
        <v>4</v>
      </c>
      <c r="O700" s="7" t="str">
        <f ca="1">getCodigoBackend(N700,A700,VLOOKUP(N700,setup!$A$8:$H$58,2),VLOOKUP(N700,setup!$A$8:$H$58,3),VLOOKUP(N700,setup!$A$8:$H$58,4),VLOOKUP(N700,setup!$A$8:$H$58,5),VLOOKUP(N700,setup!$A$8:$H$58,6),VLOOKUP(N700,setup!$A$8:$H$58,7), VLOOKUP(0,setup!$A$8:$H$58,2),VLOOKUP(0,setup!$A$8:$H$58,5),VLOOKUP(N700,setup!$A$8:$H$58,8))</f>
        <v xml:space="preserve">    {   </v>
      </c>
    </row>
    <row r="701" spans="1:15" x14ac:dyDescent="0.25">
      <c r="A701" s="29" t="s">
        <v>764</v>
      </c>
      <c r="N701">
        <f t="shared" si="18"/>
        <v>4</v>
      </c>
      <c r="O701" s="7" t="str">
        <f ca="1">getCodigoBackend(N701,A701,VLOOKUP(N701,setup!$A$8:$H$58,2),VLOOKUP(N701,setup!$A$8:$H$58,3),VLOOKUP(N701,setup!$A$8:$H$58,4),VLOOKUP(N701,setup!$A$8:$H$58,5),VLOOKUP(N701,setup!$A$8:$H$58,6),VLOOKUP(N701,setup!$A$8:$H$58,7), VLOOKUP(0,setup!$A$8:$H$58,2),VLOOKUP(0,setup!$A$8:$H$58,5),VLOOKUP(N701,setup!$A$8:$H$58,8))</f>
        <v xml:space="preserve">        $retorno = false;</v>
      </c>
    </row>
    <row r="702" spans="1:15" x14ac:dyDescent="0.25">
      <c r="A702" s="29" t="s">
        <v>765</v>
      </c>
      <c r="N702">
        <f t="shared" si="18"/>
        <v>4</v>
      </c>
      <c r="O702" s="7" t="str">
        <f ca="1">getCodigoBackend(N702,A702,VLOOKUP(N702,setup!$A$8:$H$58,2),VLOOKUP(N702,setup!$A$8:$H$58,3),VLOOKUP(N702,setup!$A$8:$H$58,4),VLOOKUP(N702,setup!$A$8:$H$58,5),VLOOKUP(N702,setup!$A$8:$H$58,6),VLOOKUP(N702,setup!$A$8:$H$58,7), VLOOKUP(0,setup!$A$8:$H$58,2),VLOOKUP(0,setup!$A$8:$H$58,5),VLOOKUP(N702,setup!$A$8:$H$58,8))</f>
        <v xml:space="preserve">        // prepara sessão, query, troca de valores, acoplagem do resultado e o fetch</v>
      </c>
    </row>
    <row r="703" spans="1:15" x14ac:dyDescent="0.25">
      <c r="A703" s="29" t="s">
        <v>766</v>
      </c>
      <c r="N703">
        <f t="shared" si="18"/>
        <v>4</v>
      </c>
      <c r="O703" s="7" t="str">
        <f ca="1">getCodigoBackend(N703,A703,VLOOKUP(N703,setup!$A$8:$H$58,2),VLOOKUP(N703,setup!$A$8:$H$58,3),VLOOKUP(N703,setup!$A$8:$H$58,4),VLOOKUP(N703,setup!$A$8:$H$58,5),VLOOKUP(N703,setup!$A$8:$H$58,6),VLOOKUP(N703,setup!$A$8:$H$58,7), VLOOKUP(0,setup!$A$8:$H$58,2),VLOOKUP(0,setup!$A$8:$H$58,5),VLOOKUP(N703,setup!$A$8:$H$58,8))</f>
        <v xml:space="preserve">        $conexao = $this-&gt;daofactory-&gt;getSession();</v>
      </c>
    </row>
    <row r="704" spans="1:15" x14ac:dyDescent="0.25">
      <c r="A704" s="29" t="s">
        <v>774</v>
      </c>
      <c r="N704">
        <f t="shared" si="18"/>
        <v>4</v>
      </c>
      <c r="O704" s="7" t="str">
        <f ca="1">getCodigoBackend(N704,A704,VLOOKUP(N704,setup!$A$8:$H$58,2),VLOOKUP(N704,setup!$A$8:$H$58,3),VLOOKUP(N704,setup!$A$8:$H$58,4),VLOOKUP(N704,setup!$A$8:$H$58,5),VLOOKUP(N704,setup!$A$8:$H$58,6),VLOOKUP(N704,setup!$A$8:$H$58,7), VLOOKUP(0,setup!$A$8:$H$58,2),VLOOKUP(0,setup!$A$8:$H$58,5),VLOOKUP(N704,setup!$A$8:$H$58,8))</f>
        <v xml:space="preserve">        $stmt = $conexao-&gt;prepare(DmlSqlCampanhaCashbackResgatePix::UPD_CAMPANHA_CASHBACK_RESGATE_PIX_CCRP_TX_CHAVE_PIX_PK);</v>
      </c>
    </row>
    <row r="705" spans="1:15" x14ac:dyDescent="0.25">
      <c r="A705" s="29" t="s">
        <v>770</v>
      </c>
      <c r="N705">
        <f t="shared" si="18"/>
        <v>4</v>
      </c>
      <c r="O705" s="7" t="str">
        <f ca="1">getCodigoBackend(N705,A705,VLOOKUP(N705,setup!$A$8:$H$58,2),VLOOKUP(N705,setup!$A$8:$H$58,3),VLOOKUP(N705,setup!$A$8:$H$58,4),VLOOKUP(N705,setup!$A$8:$H$58,5),VLOOKUP(N705,setup!$A$8:$H$58,6),VLOOKUP(N705,setup!$A$8:$H$58,7), VLOOKUP(0,setup!$A$8:$H$58,2),VLOOKUP(0,setup!$A$8:$H$58,5),VLOOKUP(N705,setup!$A$8:$H$58,8))</f>
        <v xml:space="preserve">        $stmt-&gt;bind_param(DmlSql::STRING_TYPE </v>
      </c>
    </row>
    <row r="706" spans="1:15" x14ac:dyDescent="0.25">
      <c r="A706" s="29" t="s">
        <v>771</v>
      </c>
      <c r="N706">
        <f t="shared" si="18"/>
        <v>4</v>
      </c>
      <c r="O706" s="7" t="str">
        <f ca="1">getCodigoBackend(N706,A706,VLOOKUP(N706,setup!$A$8:$H$58,2),VLOOKUP(N706,setup!$A$8:$H$58,3),VLOOKUP(N706,setup!$A$8:$H$58,4),VLOOKUP(N706,setup!$A$8:$H$58,5),VLOOKUP(N706,setup!$A$8:$H$58,6),VLOOKUP(N706,setup!$A$8:$H$58,7), VLOOKUP(0,setup!$A$8:$H$58,2),VLOOKUP(0,setup!$A$8:$H$58,5),VLOOKUP(N706,setup!$A$8:$H$58,8))</f>
        <v xml:space="preserve">                            . DmlSql::STRING_TYPE</v>
      </c>
    </row>
    <row r="707" spans="1:15" x14ac:dyDescent="0.25">
      <c r="A707" s="29" t="s">
        <v>772</v>
      </c>
      <c r="N707">
        <f t="shared" si="18"/>
        <v>4</v>
      </c>
      <c r="O707" s="7" t="str">
        <f ca="1">getCodigoBackend(N707,A707,VLOOKUP(N707,setup!$A$8:$H$58,2),VLOOKUP(N707,setup!$A$8:$H$58,3),VLOOKUP(N707,setup!$A$8:$H$58,4),VLOOKUP(N707,setup!$A$8:$H$58,5),VLOOKUP(N707,setup!$A$8:$H$58,6),VLOOKUP(N707,setup!$A$8:$H$58,7), VLOOKUP(0,setup!$A$8:$H$58,2),VLOOKUP(0,setup!$A$8:$H$58,5),VLOOKUP(N707,setup!$A$8:$H$58,8))</f>
        <v xml:space="preserve">                            ,$chavePix</v>
      </c>
    </row>
    <row r="708" spans="1:15" x14ac:dyDescent="0.25">
      <c r="A708" s="29" t="s">
        <v>773</v>
      </c>
      <c r="N708">
        <f t="shared" si="18"/>
        <v>4</v>
      </c>
      <c r="O708" s="7" t="str">
        <f ca="1">getCodigoBackend(N708,A708,VLOOKUP(N708,setup!$A$8:$H$58,2),VLOOKUP(N708,setup!$A$8:$H$58,3),VLOOKUP(N708,setup!$A$8:$H$58,4),VLOOKUP(N708,setup!$A$8:$H$58,5),VLOOKUP(N708,setup!$A$8:$H$58,6),VLOOKUP(N708,setup!$A$8:$H$58,7), VLOOKUP(0,setup!$A$8:$H$58,2),VLOOKUP(0,setup!$A$8:$H$58,5),VLOOKUP(N708,setup!$A$8:$H$58,8))</f>
        <v xml:space="preserve">                            ,$id);</v>
      </c>
    </row>
    <row r="709" spans="1:15" x14ac:dyDescent="0.25">
      <c r="A709" s="29" t="s">
        <v>767</v>
      </c>
      <c r="N709">
        <f t="shared" si="18"/>
        <v>4</v>
      </c>
      <c r="O709" s="7" t="str">
        <f ca="1">getCodigoBackend(N709,A709,VLOOKUP(N709,setup!$A$8:$H$58,2),VLOOKUP(N709,setup!$A$8:$H$58,3),VLOOKUP(N709,setup!$A$8:$H$58,4),VLOOKUP(N709,setup!$A$8:$H$58,5),VLOOKUP(N709,setup!$A$8:$H$58,6),VLOOKUP(N709,setup!$A$8:$H$58,7), VLOOKUP(0,setup!$A$8:$H$58,2),VLOOKUP(0,setup!$A$8:$H$58,5),VLOOKUP(N709,setup!$A$8:$H$58,8))</f>
        <v xml:space="preserve">        if ($stmt-&gt;execute())</v>
      </c>
    </row>
    <row r="710" spans="1:15" x14ac:dyDescent="0.25">
      <c r="A710" s="29" t="s">
        <v>768</v>
      </c>
      <c r="N710">
        <f t="shared" si="18"/>
        <v>4</v>
      </c>
      <c r="O710" s="7" t="str">
        <f ca="1">getCodigoBackend(N710,A710,VLOOKUP(N710,setup!$A$8:$H$58,2),VLOOKUP(N710,setup!$A$8:$H$58,3),VLOOKUP(N710,setup!$A$8:$H$58,4),VLOOKUP(N710,setup!$A$8:$H$58,5),VLOOKUP(N710,setup!$A$8:$H$58,6),VLOOKUP(N710,setup!$A$8:$H$58,7), VLOOKUP(0,setup!$A$8:$H$58,2),VLOOKUP(0,setup!$A$8:$H$58,5),VLOOKUP(N710,setup!$A$8:$H$58,8))</f>
        <v xml:space="preserve">        {</v>
      </c>
    </row>
    <row r="711" spans="1:15" x14ac:dyDescent="0.25">
      <c r="A711" s="29" t="s">
        <v>769</v>
      </c>
      <c r="N711">
        <f t="shared" si="18"/>
        <v>4</v>
      </c>
      <c r="O711" s="7" t="str">
        <f ca="1">getCodigoBackend(N711,A711,VLOOKUP(N711,setup!$A$8:$H$58,2),VLOOKUP(N711,setup!$A$8:$H$58,3),VLOOKUP(N711,setup!$A$8:$H$58,4),VLOOKUP(N711,setup!$A$8:$H$58,5),VLOOKUP(N711,setup!$A$8:$H$58,6),VLOOKUP(N711,setup!$A$8:$H$58,7), VLOOKUP(0,setup!$A$8:$H$58,2),VLOOKUP(0,setup!$A$8:$H$58,5),VLOOKUP(N711,setup!$A$8:$H$58,8))</f>
        <v xml:space="preserve">            $retorno = true;</v>
      </c>
    </row>
    <row r="712" spans="1:15" x14ac:dyDescent="0.25">
      <c r="A712" s="29" t="s">
        <v>157</v>
      </c>
      <c r="N712">
        <f t="shared" si="18"/>
        <v>4</v>
      </c>
      <c r="O712" s="7" t="str">
        <f ca="1">getCodigoBackend(N712,A712,VLOOKUP(N712,setup!$A$8:$H$58,2),VLOOKUP(N712,setup!$A$8:$H$58,3),VLOOKUP(N712,setup!$A$8:$H$58,4),VLOOKUP(N712,setup!$A$8:$H$58,5),VLOOKUP(N712,setup!$A$8:$H$58,6),VLOOKUP(N712,setup!$A$8:$H$58,7), VLOOKUP(0,setup!$A$8:$H$58,2),VLOOKUP(0,setup!$A$8:$H$58,5),VLOOKUP(N712,setup!$A$8:$H$58,8))</f>
        <v xml:space="preserve">        }</v>
      </c>
    </row>
    <row r="713" spans="1:15" x14ac:dyDescent="0.25">
      <c r="A713" s="29"/>
      <c r="N713">
        <f t="shared" si="18"/>
        <v>4</v>
      </c>
      <c r="O713" s="7" t="str">
        <f ca="1">getCodigoBackend(N713,A713,VLOOKUP(N713,setup!$A$8:$H$58,2),VLOOKUP(N713,setup!$A$8:$H$58,3),VLOOKUP(N713,setup!$A$8:$H$58,4),VLOOKUP(N713,setup!$A$8:$H$58,5),VLOOKUP(N713,setup!$A$8:$H$58,6),VLOOKUP(N713,setup!$A$8:$H$58,7), VLOOKUP(0,setup!$A$8:$H$58,2),VLOOKUP(0,setup!$A$8:$H$58,5),VLOOKUP(N713,setup!$A$8:$H$58,8))</f>
        <v/>
      </c>
    </row>
    <row r="714" spans="1:15" x14ac:dyDescent="0.25">
      <c r="A714" s="29" t="s">
        <v>743</v>
      </c>
      <c r="N714">
        <f t="shared" si="18"/>
        <v>4</v>
      </c>
      <c r="O714" s="7" t="str">
        <f ca="1">getCodigoBackend(N714,A714,VLOOKUP(N714,setup!$A$8:$H$58,2),VLOOKUP(N714,setup!$A$8:$H$58,3),VLOOKUP(N714,setup!$A$8:$H$58,4),VLOOKUP(N714,setup!$A$8:$H$58,5),VLOOKUP(N714,setup!$A$8:$H$58,6),VLOOKUP(N714,setup!$A$8:$H$58,7), VLOOKUP(0,setup!$A$8:$H$58,2),VLOOKUP(0,setup!$A$8:$H$58,5),VLOOKUP(N714,setup!$A$8:$H$58,8))</f>
        <v xml:space="preserve">        return $retorno;</v>
      </c>
    </row>
    <row r="715" spans="1:15" x14ac:dyDescent="0.25">
      <c r="A715" s="29" t="s">
        <v>406</v>
      </c>
      <c r="N715">
        <f t="shared" si="18"/>
        <v>4</v>
      </c>
      <c r="O715" s="7" t="str">
        <f ca="1">getCodigoBackend(N715,A715,VLOOKUP(N715,setup!$A$8:$H$58,2),VLOOKUP(N715,setup!$A$8:$H$58,3),VLOOKUP(N715,setup!$A$8:$H$58,4),VLOOKUP(N715,setup!$A$8:$H$58,5),VLOOKUP(N715,setup!$A$8:$H$58,6),VLOOKUP(N715,setup!$A$8:$H$58,7), VLOOKUP(0,setup!$A$8:$H$58,2),VLOOKUP(0,setup!$A$8:$H$58,5),VLOOKUP(N715,setup!$A$8:$H$58,8))</f>
        <v xml:space="preserve">    }</v>
      </c>
    </row>
    <row r="716" spans="1:15" x14ac:dyDescent="0.25">
      <c r="A716" s="29"/>
      <c r="O716" s="7" t="str">
        <f ca="1">getCodigoBackend(N716,A716,VLOOKUP(N716,setup!$A$8:$H$58,2),VLOOKUP(N716,setup!$A$8:$H$58,3),VLOOKUP(N716,setup!$A$8:$H$58,4),VLOOKUP(N716,setup!$A$8:$H$58,5),VLOOKUP(N716,setup!$A$8:$H$58,6),VLOOKUP(N716,setup!$A$8:$H$58,7), VLOOKUP(0,setup!$A$8:$H$58,2),VLOOKUP(0,setup!$A$8:$H$58,5),VLOOKUP(N716,setup!$A$8:$H$58,8))</f>
        <v/>
      </c>
    </row>
    <row r="717" spans="1:15" x14ac:dyDescent="0.25">
      <c r="A717" s="6" t="s">
        <v>140</v>
      </c>
      <c r="N717">
        <f>N715+1</f>
        <v>5</v>
      </c>
      <c r="O717" s="7" t="str">
        <f ca="1">getCodigoBackend(N717,A717,VLOOKUP(N717,setup!$A$8:$H$58,2),VLOOKUP(N717,setup!$A$8:$H$58,3),VLOOKUP(N717,setup!$A$8:$H$58,4),VLOOKUP(N717,setup!$A$8:$H$58,5),VLOOKUP(N717,setup!$A$8:$H$58,6),VLOOKUP(N717,setup!$A$8:$H$58,7), VLOOKUP(0,setup!$A$8:$H$58,2),VLOOKUP(0,setup!$A$8:$H$58,5),VLOOKUP(N717,setup!$A$8:$H$58,8))</f>
        <v>    /**</v>
      </c>
    </row>
    <row r="718" spans="1:15" x14ac:dyDescent="0.25">
      <c r="A718" s="4" t="s">
        <v>775</v>
      </c>
      <c r="N718">
        <f>N717</f>
        <v>5</v>
      </c>
      <c r="O718" s="7" t="str">
        <f ca="1">getCodigoBackend(N718,A718,VLOOKUP(N718,setup!$A$8:$H$58,2),VLOOKUP(N718,setup!$A$8:$H$58,3),VLOOKUP(N718,setup!$A$8:$H$58,4),VLOOKUP(N718,setup!$A$8:$H$58,5),VLOOKUP(N718,setup!$A$8:$H$58,6),VLOOKUP(N718,setup!$A$8:$H$58,7), VLOOKUP(0,setup!$A$8:$H$58,2),VLOOKUP(0,setup!$A$8:$H$58,5),VLOOKUP(N718,setup!$A$8:$H$58,8))</f>
        <v>    * updateValorresgate() - implementação da assinatura em CampanhaCashbackResgatePixDAO</v>
      </c>
    </row>
    <row r="719" spans="1:15" x14ac:dyDescent="0.25">
      <c r="A719" s="4" t="s">
        <v>141</v>
      </c>
      <c r="N719">
        <f t="shared" ref="N719:N736" si="19">N718</f>
        <v>5</v>
      </c>
      <c r="O719" s="7" t="str">
        <f ca="1">getCodigoBackend(N719,A719,VLOOKUP(N719,setup!$A$8:$H$58,2),VLOOKUP(N719,setup!$A$8:$H$58,3),VLOOKUP(N719,setup!$A$8:$H$58,4),VLOOKUP(N719,setup!$A$8:$H$58,5),VLOOKUP(N719,setup!$A$8:$H$58,6),VLOOKUP(N719,setup!$A$8:$H$58,7), VLOOKUP(0,setup!$A$8:$H$58,2),VLOOKUP(0,setup!$A$8:$H$58,5),VLOOKUP(N719,setup!$A$8:$H$58,8))</f>
        <v>    */</v>
      </c>
    </row>
    <row r="720" spans="1:15" x14ac:dyDescent="0.25">
      <c r="A720" s="29" t="s">
        <v>776</v>
      </c>
      <c r="N720">
        <f t="shared" si="19"/>
        <v>5</v>
      </c>
      <c r="O720" s="7" t="str">
        <f ca="1">getCodigoBackend(N720,A720,VLOOKUP(N720,setup!$A$8:$H$58,2),VLOOKUP(N720,setup!$A$8:$H$58,3),VLOOKUP(N720,setup!$A$8:$H$58,4),VLOOKUP(N720,setup!$A$8:$H$58,5),VLOOKUP(N720,setup!$A$8:$H$58,6),VLOOKUP(N720,setup!$A$8:$H$58,7), VLOOKUP(0,setup!$A$8:$H$58,2),VLOOKUP(0,setup!$A$8:$H$58,5),VLOOKUP(N720,setup!$A$8:$H$58,8))</f>
        <v xml:space="preserve">    public function updateValorresgate($id, $valorResgate)</v>
      </c>
    </row>
    <row r="721" spans="1:15" x14ac:dyDescent="0.25">
      <c r="A721" s="29" t="s">
        <v>763</v>
      </c>
      <c r="N721">
        <f t="shared" si="19"/>
        <v>5</v>
      </c>
      <c r="O721" s="7" t="str">
        <f ca="1">getCodigoBackend(N721,A721,VLOOKUP(N721,setup!$A$8:$H$58,2),VLOOKUP(N721,setup!$A$8:$H$58,3),VLOOKUP(N721,setup!$A$8:$H$58,4),VLOOKUP(N721,setup!$A$8:$H$58,5),VLOOKUP(N721,setup!$A$8:$H$58,6),VLOOKUP(N721,setup!$A$8:$H$58,7), VLOOKUP(0,setup!$A$8:$H$58,2),VLOOKUP(0,setup!$A$8:$H$58,5),VLOOKUP(N721,setup!$A$8:$H$58,8))</f>
        <v xml:space="preserve">    {   </v>
      </c>
    </row>
    <row r="722" spans="1:15" x14ac:dyDescent="0.25">
      <c r="A722" s="29" t="s">
        <v>764</v>
      </c>
      <c r="N722">
        <f t="shared" si="19"/>
        <v>5</v>
      </c>
      <c r="O722" s="7" t="str">
        <f ca="1">getCodigoBackend(N722,A722,VLOOKUP(N722,setup!$A$8:$H$58,2),VLOOKUP(N722,setup!$A$8:$H$58,3),VLOOKUP(N722,setup!$A$8:$H$58,4),VLOOKUP(N722,setup!$A$8:$H$58,5),VLOOKUP(N722,setup!$A$8:$H$58,6),VLOOKUP(N722,setup!$A$8:$H$58,7), VLOOKUP(0,setup!$A$8:$H$58,2),VLOOKUP(0,setup!$A$8:$H$58,5),VLOOKUP(N722,setup!$A$8:$H$58,8))</f>
        <v xml:space="preserve">        $retorno = false;</v>
      </c>
    </row>
    <row r="723" spans="1:15" x14ac:dyDescent="0.25">
      <c r="A723" s="29" t="s">
        <v>765</v>
      </c>
      <c r="N723">
        <f t="shared" si="19"/>
        <v>5</v>
      </c>
      <c r="O723" s="7" t="str">
        <f ca="1">getCodigoBackend(N723,A723,VLOOKUP(N723,setup!$A$8:$H$58,2),VLOOKUP(N723,setup!$A$8:$H$58,3),VLOOKUP(N723,setup!$A$8:$H$58,4),VLOOKUP(N723,setup!$A$8:$H$58,5),VLOOKUP(N723,setup!$A$8:$H$58,6),VLOOKUP(N723,setup!$A$8:$H$58,7), VLOOKUP(0,setup!$A$8:$H$58,2),VLOOKUP(0,setup!$A$8:$H$58,5),VLOOKUP(N723,setup!$A$8:$H$58,8))</f>
        <v xml:space="preserve">        // prepara sessão, query, troca de valores, acoplagem do resultado e o fetch</v>
      </c>
    </row>
    <row r="724" spans="1:15" x14ac:dyDescent="0.25">
      <c r="A724" s="29" t="s">
        <v>766</v>
      </c>
      <c r="N724">
        <f t="shared" si="19"/>
        <v>5</v>
      </c>
      <c r="O724" s="7" t="str">
        <f ca="1">getCodigoBackend(N724,A724,VLOOKUP(N724,setup!$A$8:$H$58,2),VLOOKUP(N724,setup!$A$8:$H$58,3),VLOOKUP(N724,setup!$A$8:$H$58,4),VLOOKUP(N724,setup!$A$8:$H$58,5),VLOOKUP(N724,setup!$A$8:$H$58,6),VLOOKUP(N724,setup!$A$8:$H$58,7), VLOOKUP(0,setup!$A$8:$H$58,2),VLOOKUP(0,setup!$A$8:$H$58,5),VLOOKUP(N724,setup!$A$8:$H$58,8))</f>
        <v xml:space="preserve">        $conexao = $this-&gt;daofactory-&gt;getSession();</v>
      </c>
    </row>
    <row r="725" spans="1:15" x14ac:dyDescent="0.25">
      <c r="A725" s="29" t="s">
        <v>774</v>
      </c>
      <c r="N725">
        <f t="shared" si="19"/>
        <v>5</v>
      </c>
      <c r="O725" s="7" t="str">
        <f ca="1">getCodigoBackend(N725,A725,VLOOKUP(N725,setup!$A$8:$H$58,2),VLOOKUP(N725,setup!$A$8:$H$58,3),VLOOKUP(N725,setup!$A$8:$H$58,4),VLOOKUP(N725,setup!$A$8:$H$58,5),VLOOKUP(N725,setup!$A$8:$H$58,6),VLOOKUP(N725,setup!$A$8:$H$58,7), VLOOKUP(0,setup!$A$8:$H$58,2),VLOOKUP(0,setup!$A$8:$H$58,5),VLOOKUP(N725,setup!$A$8:$H$58,8))</f>
        <v xml:space="preserve">        $stmt = $conexao-&gt;prepare(DmlSqlCampanhaCashbackResgatePix::UPD_CAMPANHA_CASHBACK_RESGATE_PIX_CCRP_VL_RESGATE_PK);</v>
      </c>
    </row>
    <row r="726" spans="1:15" x14ac:dyDescent="0.25">
      <c r="A726" s="29" t="s">
        <v>770</v>
      </c>
      <c r="N726">
        <f t="shared" si="19"/>
        <v>5</v>
      </c>
      <c r="O726" s="7" t="str">
        <f ca="1">getCodigoBackend(N726,A726,VLOOKUP(N726,setup!$A$8:$H$58,2),VLOOKUP(N726,setup!$A$8:$H$58,3),VLOOKUP(N726,setup!$A$8:$H$58,4),VLOOKUP(N726,setup!$A$8:$H$58,5),VLOOKUP(N726,setup!$A$8:$H$58,6),VLOOKUP(N726,setup!$A$8:$H$58,7), VLOOKUP(0,setup!$A$8:$H$58,2),VLOOKUP(0,setup!$A$8:$H$58,5),VLOOKUP(N726,setup!$A$8:$H$58,8))</f>
        <v xml:space="preserve">        $stmt-&gt;bind_param(DmlSql::STRING_TYPE </v>
      </c>
    </row>
    <row r="727" spans="1:15" x14ac:dyDescent="0.25">
      <c r="A727" s="29" t="s">
        <v>771</v>
      </c>
      <c r="N727">
        <f t="shared" si="19"/>
        <v>5</v>
      </c>
      <c r="O727" s="7" t="str">
        <f ca="1">getCodigoBackend(N727,A727,VLOOKUP(N727,setup!$A$8:$H$58,2),VLOOKUP(N727,setup!$A$8:$H$58,3),VLOOKUP(N727,setup!$A$8:$H$58,4),VLOOKUP(N727,setup!$A$8:$H$58,5),VLOOKUP(N727,setup!$A$8:$H$58,6),VLOOKUP(N727,setup!$A$8:$H$58,7), VLOOKUP(0,setup!$A$8:$H$58,2),VLOOKUP(0,setup!$A$8:$H$58,5),VLOOKUP(N727,setup!$A$8:$H$58,8))</f>
        <v xml:space="preserve">                            . DmlSql::STRING_TYPE</v>
      </c>
    </row>
    <row r="728" spans="1:15" x14ac:dyDescent="0.25">
      <c r="A728" s="29" t="s">
        <v>772</v>
      </c>
      <c r="N728">
        <f t="shared" si="19"/>
        <v>5</v>
      </c>
      <c r="O728" s="7" t="str">
        <f ca="1">getCodigoBackend(N728,A728,VLOOKUP(N728,setup!$A$8:$H$58,2),VLOOKUP(N728,setup!$A$8:$H$58,3),VLOOKUP(N728,setup!$A$8:$H$58,4),VLOOKUP(N728,setup!$A$8:$H$58,5),VLOOKUP(N728,setup!$A$8:$H$58,6),VLOOKUP(N728,setup!$A$8:$H$58,7), VLOOKUP(0,setup!$A$8:$H$58,2),VLOOKUP(0,setup!$A$8:$H$58,5),VLOOKUP(N728,setup!$A$8:$H$58,8))</f>
        <v xml:space="preserve">                            ,$valorResgate</v>
      </c>
    </row>
    <row r="729" spans="1:15" x14ac:dyDescent="0.25">
      <c r="A729" s="29" t="s">
        <v>773</v>
      </c>
      <c r="N729">
        <f t="shared" si="19"/>
        <v>5</v>
      </c>
      <c r="O729" s="7" t="str">
        <f ca="1">getCodigoBackend(N729,A729,VLOOKUP(N729,setup!$A$8:$H$58,2),VLOOKUP(N729,setup!$A$8:$H$58,3),VLOOKUP(N729,setup!$A$8:$H$58,4),VLOOKUP(N729,setup!$A$8:$H$58,5),VLOOKUP(N729,setup!$A$8:$H$58,6),VLOOKUP(N729,setup!$A$8:$H$58,7), VLOOKUP(0,setup!$A$8:$H$58,2),VLOOKUP(0,setup!$A$8:$H$58,5),VLOOKUP(N729,setup!$A$8:$H$58,8))</f>
        <v xml:space="preserve">                            ,$id);</v>
      </c>
    </row>
    <row r="730" spans="1:15" x14ac:dyDescent="0.25">
      <c r="A730" s="29" t="s">
        <v>767</v>
      </c>
      <c r="N730">
        <f t="shared" si="19"/>
        <v>5</v>
      </c>
      <c r="O730" s="7" t="str">
        <f ca="1">getCodigoBackend(N730,A730,VLOOKUP(N730,setup!$A$8:$H$58,2),VLOOKUP(N730,setup!$A$8:$H$58,3),VLOOKUP(N730,setup!$A$8:$H$58,4),VLOOKUP(N730,setup!$A$8:$H$58,5),VLOOKUP(N730,setup!$A$8:$H$58,6),VLOOKUP(N730,setup!$A$8:$H$58,7), VLOOKUP(0,setup!$A$8:$H$58,2),VLOOKUP(0,setup!$A$8:$H$58,5),VLOOKUP(N730,setup!$A$8:$H$58,8))</f>
        <v xml:space="preserve">        if ($stmt-&gt;execute())</v>
      </c>
    </row>
    <row r="731" spans="1:15" x14ac:dyDescent="0.25">
      <c r="A731" s="29" t="s">
        <v>768</v>
      </c>
      <c r="N731">
        <f t="shared" si="19"/>
        <v>5</v>
      </c>
      <c r="O731" s="7" t="str">
        <f ca="1">getCodigoBackend(N731,A731,VLOOKUP(N731,setup!$A$8:$H$58,2),VLOOKUP(N731,setup!$A$8:$H$58,3),VLOOKUP(N731,setup!$A$8:$H$58,4),VLOOKUP(N731,setup!$A$8:$H$58,5),VLOOKUP(N731,setup!$A$8:$H$58,6),VLOOKUP(N731,setup!$A$8:$H$58,7), VLOOKUP(0,setup!$A$8:$H$58,2),VLOOKUP(0,setup!$A$8:$H$58,5),VLOOKUP(N731,setup!$A$8:$H$58,8))</f>
        <v xml:space="preserve">        {</v>
      </c>
    </row>
    <row r="732" spans="1:15" x14ac:dyDescent="0.25">
      <c r="A732" s="29" t="s">
        <v>769</v>
      </c>
      <c r="N732">
        <f t="shared" si="19"/>
        <v>5</v>
      </c>
      <c r="O732" s="7" t="str">
        <f ca="1">getCodigoBackend(N732,A732,VLOOKUP(N732,setup!$A$8:$H$58,2),VLOOKUP(N732,setup!$A$8:$H$58,3),VLOOKUP(N732,setup!$A$8:$H$58,4),VLOOKUP(N732,setup!$A$8:$H$58,5),VLOOKUP(N732,setup!$A$8:$H$58,6),VLOOKUP(N732,setup!$A$8:$H$58,7), VLOOKUP(0,setup!$A$8:$H$58,2),VLOOKUP(0,setup!$A$8:$H$58,5),VLOOKUP(N732,setup!$A$8:$H$58,8))</f>
        <v xml:space="preserve">            $retorno = true;</v>
      </c>
    </row>
    <row r="733" spans="1:15" x14ac:dyDescent="0.25">
      <c r="A733" s="29" t="s">
        <v>157</v>
      </c>
      <c r="N733">
        <f t="shared" si="19"/>
        <v>5</v>
      </c>
      <c r="O733" s="7" t="str">
        <f ca="1">getCodigoBackend(N733,A733,VLOOKUP(N733,setup!$A$8:$H$58,2),VLOOKUP(N733,setup!$A$8:$H$58,3),VLOOKUP(N733,setup!$A$8:$H$58,4),VLOOKUP(N733,setup!$A$8:$H$58,5),VLOOKUP(N733,setup!$A$8:$H$58,6),VLOOKUP(N733,setup!$A$8:$H$58,7), VLOOKUP(0,setup!$A$8:$H$58,2),VLOOKUP(0,setup!$A$8:$H$58,5),VLOOKUP(N733,setup!$A$8:$H$58,8))</f>
        <v xml:space="preserve">        }</v>
      </c>
    </row>
    <row r="734" spans="1:15" x14ac:dyDescent="0.25">
      <c r="A734" s="29"/>
      <c r="N734">
        <f t="shared" si="19"/>
        <v>5</v>
      </c>
      <c r="O734" s="7" t="str">
        <f ca="1">getCodigoBackend(N734,A734,VLOOKUP(N734,setup!$A$8:$H$58,2),VLOOKUP(N734,setup!$A$8:$H$58,3),VLOOKUP(N734,setup!$A$8:$H$58,4),VLOOKUP(N734,setup!$A$8:$H$58,5),VLOOKUP(N734,setup!$A$8:$H$58,6),VLOOKUP(N734,setup!$A$8:$H$58,7), VLOOKUP(0,setup!$A$8:$H$58,2),VLOOKUP(0,setup!$A$8:$H$58,5),VLOOKUP(N734,setup!$A$8:$H$58,8))</f>
        <v/>
      </c>
    </row>
    <row r="735" spans="1:15" x14ac:dyDescent="0.25">
      <c r="A735" s="29" t="s">
        <v>743</v>
      </c>
      <c r="N735">
        <f t="shared" si="19"/>
        <v>5</v>
      </c>
      <c r="O735" s="7" t="str">
        <f ca="1">getCodigoBackend(N735,A735,VLOOKUP(N735,setup!$A$8:$H$58,2),VLOOKUP(N735,setup!$A$8:$H$58,3),VLOOKUP(N735,setup!$A$8:$H$58,4),VLOOKUP(N735,setup!$A$8:$H$58,5),VLOOKUP(N735,setup!$A$8:$H$58,6),VLOOKUP(N735,setup!$A$8:$H$58,7), VLOOKUP(0,setup!$A$8:$H$58,2),VLOOKUP(0,setup!$A$8:$H$58,5),VLOOKUP(N735,setup!$A$8:$H$58,8))</f>
        <v xml:space="preserve">        return $retorno;</v>
      </c>
    </row>
    <row r="736" spans="1:15" x14ac:dyDescent="0.25">
      <c r="A736" s="29" t="s">
        <v>406</v>
      </c>
      <c r="N736">
        <f t="shared" si="19"/>
        <v>5</v>
      </c>
      <c r="O736" s="7" t="str">
        <f ca="1">getCodigoBackend(N736,A736,VLOOKUP(N736,setup!$A$8:$H$58,2),VLOOKUP(N736,setup!$A$8:$H$58,3),VLOOKUP(N736,setup!$A$8:$H$58,4),VLOOKUP(N736,setup!$A$8:$H$58,5),VLOOKUP(N736,setup!$A$8:$H$58,6),VLOOKUP(N736,setup!$A$8:$H$58,7), VLOOKUP(0,setup!$A$8:$H$58,2),VLOOKUP(0,setup!$A$8:$H$58,5),VLOOKUP(N736,setup!$A$8:$H$58,8))</f>
        <v xml:space="preserve">    }</v>
      </c>
    </row>
    <row r="737" spans="1:15" x14ac:dyDescent="0.25">
      <c r="A737" s="29"/>
      <c r="O737" s="7" t="str">
        <f ca="1">getCodigoBackend(N737,A737,VLOOKUP(N737,setup!$A$8:$H$58,2),VLOOKUP(N737,setup!$A$8:$H$58,3),VLOOKUP(N737,setup!$A$8:$H$58,4),VLOOKUP(N737,setup!$A$8:$H$58,5),VLOOKUP(N737,setup!$A$8:$H$58,6),VLOOKUP(N737,setup!$A$8:$H$58,7), VLOOKUP(0,setup!$A$8:$H$58,2),VLOOKUP(0,setup!$A$8:$H$58,5),VLOOKUP(N737,setup!$A$8:$H$58,8))</f>
        <v/>
      </c>
    </row>
    <row r="738" spans="1:15" x14ac:dyDescent="0.25">
      <c r="A738" s="6" t="s">
        <v>140</v>
      </c>
      <c r="N738">
        <f>N736+1</f>
        <v>6</v>
      </c>
      <c r="O738" s="7" t="str">
        <f ca="1">getCodigoBackend(N738,A738,VLOOKUP(N738,setup!$A$8:$H$58,2),VLOOKUP(N738,setup!$A$8:$H$58,3),VLOOKUP(N738,setup!$A$8:$H$58,4),VLOOKUP(N738,setup!$A$8:$H$58,5),VLOOKUP(N738,setup!$A$8:$H$58,6),VLOOKUP(N738,setup!$A$8:$H$58,7), VLOOKUP(0,setup!$A$8:$H$58,2),VLOOKUP(0,setup!$A$8:$H$58,5),VLOOKUP(N738,setup!$A$8:$H$58,8))</f>
        <v>    /**</v>
      </c>
    </row>
    <row r="739" spans="1:15" x14ac:dyDescent="0.25">
      <c r="A739" s="4" t="s">
        <v>775</v>
      </c>
      <c r="N739">
        <f>N738</f>
        <v>6</v>
      </c>
      <c r="O739" s="7" t="str">
        <f ca="1">getCodigoBackend(N739,A739,VLOOKUP(N739,setup!$A$8:$H$58,2),VLOOKUP(N739,setup!$A$8:$H$58,3),VLOOKUP(N739,setup!$A$8:$H$58,4),VLOOKUP(N739,setup!$A$8:$H$58,5),VLOOKUP(N739,setup!$A$8:$H$58,6),VLOOKUP(N739,setup!$A$8:$H$58,7), VLOOKUP(0,setup!$A$8:$H$58,2),VLOOKUP(0,setup!$A$8:$H$58,5),VLOOKUP(N739,setup!$A$8:$H$58,8))</f>
        <v>    * updateAutenticacaobco() - implementação da assinatura em CampanhaCashbackResgatePixDAO</v>
      </c>
    </row>
    <row r="740" spans="1:15" x14ac:dyDescent="0.25">
      <c r="A740" s="4" t="s">
        <v>141</v>
      </c>
      <c r="N740">
        <f t="shared" ref="N740:N757" si="20">N739</f>
        <v>6</v>
      </c>
      <c r="O740" s="7" t="str">
        <f ca="1">getCodigoBackend(N740,A740,VLOOKUP(N740,setup!$A$8:$H$58,2),VLOOKUP(N740,setup!$A$8:$H$58,3),VLOOKUP(N740,setup!$A$8:$H$58,4),VLOOKUP(N740,setup!$A$8:$H$58,5),VLOOKUP(N740,setup!$A$8:$H$58,6),VLOOKUP(N740,setup!$A$8:$H$58,7), VLOOKUP(0,setup!$A$8:$H$58,2),VLOOKUP(0,setup!$A$8:$H$58,5),VLOOKUP(N740,setup!$A$8:$H$58,8))</f>
        <v>    */</v>
      </c>
    </row>
    <row r="741" spans="1:15" x14ac:dyDescent="0.25">
      <c r="A741" s="29" t="s">
        <v>776</v>
      </c>
      <c r="N741">
        <f t="shared" si="20"/>
        <v>6</v>
      </c>
      <c r="O741" s="7" t="str">
        <f ca="1">getCodigoBackend(N741,A741,VLOOKUP(N741,setup!$A$8:$H$58,2),VLOOKUP(N741,setup!$A$8:$H$58,3),VLOOKUP(N741,setup!$A$8:$H$58,4),VLOOKUP(N741,setup!$A$8:$H$58,5),VLOOKUP(N741,setup!$A$8:$H$58,6),VLOOKUP(N741,setup!$A$8:$H$58,7), VLOOKUP(0,setup!$A$8:$H$58,2),VLOOKUP(0,setup!$A$8:$H$58,5),VLOOKUP(N741,setup!$A$8:$H$58,8))</f>
        <v xml:space="preserve">    public function updateAutenticacaobco($id, $autenticacaoBco)</v>
      </c>
    </row>
    <row r="742" spans="1:15" x14ac:dyDescent="0.25">
      <c r="A742" s="29" t="s">
        <v>763</v>
      </c>
      <c r="N742">
        <f t="shared" si="20"/>
        <v>6</v>
      </c>
      <c r="O742" s="7" t="str">
        <f ca="1">getCodigoBackend(N742,A742,VLOOKUP(N742,setup!$A$8:$H$58,2),VLOOKUP(N742,setup!$A$8:$H$58,3),VLOOKUP(N742,setup!$A$8:$H$58,4),VLOOKUP(N742,setup!$A$8:$H$58,5),VLOOKUP(N742,setup!$A$8:$H$58,6),VLOOKUP(N742,setup!$A$8:$H$58,7), VLOOKUP(0,setup!$A$8:$H$58,2),VLOOKUP(0,setup!$A$8:$H$58,5),VLOOKUP(N742,setup!$A$8:$H$58,8))</f>
        <v xml:space="preserve">    {   </v>
      </c>
    </row>
    <row r="743" spans="1:15" x14ac:dyDescent="0.25">
      <c r="A743" s="29" t="s">
        <v>764</v>
      </c>
      <c r="N743">
        <f t="shared" si="20"/>
        <v>6</v>
      </c>
      <c r="O743" s="7" t="str">
        <f ca="1">getCodigoBackend(N743,A743,VLOOKUP(N743,setup!$A$8:$H$58,2),VLOOKUP(N743,setup!$A$8:$H$58,3),VLOOKUP(N743,setup!$A$8:$H$58,4),VLOOKUP(N743,setup!$A$8:$H$58,5),VLOOKUP(N743,setup!$A$8:$H$58,6),VLOOKUP(N743,setup!$A$8:$H$58,7), VLOOKUP(0,setup!$A$8:$H$58,2),VLOOKUP(0,setup!$A$8:$H$58,5),VLOOKUP(N743,setup!$A$8:$H$58,8))</f>
        <v xml:space="preserve">        $retorno = false;</v>
      </c>
    </row>
    <row r="744" spans="1:15" x14ac:dyDescent="0.25">
      <c r="A744" s="29" t="s">
        <v>765</v>
      </c>
      <c r="N744">
        <f t="shared" si="20"/>
        <v>6</v>
      </c>
      <c r="O744" s="7" t="str">
        <f ca="1">getCodigoBackend(N744,A744,VLOOKUP(N744,setup!$A$8:$H$58,2),VLOOKUP(N744,setup!$A$8:$H$58,3),VLOOKUP(N744,setup!$A$8:$H$58,4),VLOOKUP(N744,setup!$A$8:$H$58,5),VLOOKUP(N744,setup!$A$8:$H$58,6),VLOOKUP(N744,setup!$A$8:$H$58,7), VLOOKUP(0,setup!$A$8:$H$58,2),VLOOKUP(0,setup!$A$8:$H$58,5),VLOOKUP(N744,setup!$A$8:$H$58,8))</f>
        <v xml:space="preserve">        // prepara sessão, query, troca de valores, acoplagem do resultado e o fetch</v>
      </c>
    </row>
    <row r="745" spans="1:15" x14ac:dyDescent="0.25">
      <c r="A745" s="29" t="s">
        <v>766</v>
      </c>
      <c r="N745">
        <f t="shared" si="20"/>
        <v>6</v>
      </c>
      <c r="O745" s="7" t="str">
        <f ca="1">getCodigoBackend(N745,A745,VLOOKUP(N745,setup!$A$8:$H$58,2),VLOOKUP(N745,setup!$A$8:$H$58,3),VLOOKUP(N745,setup!$A$8:$H$58,4),VLOOKUP(N745,setup!$A$8:$H$58,5),VLOOKUP(N745,setup!$A$8:$H$58,6),VLOOKUP(N745,setup!$A$8:$H$58,7), VLOOKUP(0,setup!$A$8:$H$58,2),VLOOKUP(0,setup!$A$8:$H$58,5),VLOOKUP(N745,setup!$A$8:$H$58,8))</f>
        <v xml:space="preserve">        $conexao = $this-&gt;daofactory-&gt;getSession();</v>
      </c>
    </row>
    <row r="746" spans="1:15" x14ac:dyDescent="0.25">
      <c r="A746" s="29" t="s">
        <v>774</v>
      </c>
      <c r="N746">
        <f t="shared" si="20"/>
        <v>6</v>
      </c>
      <c r="O746" s="7" t="str">
        <f ca="1">getCodigoBackend(N746,A746,VLOOKUP(N746,setup!$A$8:$H$58,2),VLOOKUP(N746,setup!$A$8:$H$58,3),VLOOKUP(N746,setup!$A$8:$H$58,4),VLOOKUP(N746,setup!$A$8:$H$58,5),VLOOKUP(N746,setup!$A$8:$H$58,6),VLOOKUP(N746,setup!$A$8:$H$58,7), VLOOKUP(0,setup!$A$8:$H$58,2),VLOOKUP(0,setup!$A$8:$H$58,5),VLOOKUP(N746,setup!$A$8:$H$58,8))</f>
        <v xml:space="preserve">        $stmt = $conexao-&gt;prepare(DmlSqlCampanhaCashbackResgatePix::UPD_CAMPANHA_CASHBACK_RESGATE_PIX_CCRP_TX_AUTENT_BCO_PK);</v>
      </c>
    </row>
    <row r="747" spans="1:15" x14ac:dyDescent="0.25">
      <c r="A747" s="29" t="s">
        <v>770</v>
      </c>
      <c r="N747">
        <f t="shared" si="20"/>
        <v>6</v>
      </c>
      <c r="O747" s="7" t="str">
        <f ca="1">getCodigoBackend(N747,A747,VLOOKUP(N747,setup!$A$8:$H$58,2),VLOOKUP(N747,setup!$A$8:$H$58,3),VLOOKUP(N747,setup!$A$8:$H$58,4),VLOOKUP(N747,setup!$A$8:$H$58,5),VLOOKUP(N747,setup!$A$8:$H$58,6),VLOOKUP(N747,setup!$A$8:$H$58,7), VLOOKUP(0,setup!$A$8:$H$58,2),VLOOKUP(0,setup!$A$8:$H$58,5),VLOOKUP(N747,setup!$A$8:$H$58,8))</f>
        <v xml:space="preserve">        $stmt-&gt;bind_param(DmlSql::STRING_TYPE </v>
      </c>
    </row>
    <row r="748" spans="1:15" x14ac:dyDescent="0.25">
      <c r="A748" s="29" t="s">
        <v>771</v>
      </c>
      <c r="N748">
        <f t="shared" si="20"/>
        <v>6</v>
      </c>
      <c r="O748" s="7" t="str">
        <f ca="1">getCodigoBackend(N748,A748,VLOOKUP(N748,setup!$A$8:$H$58,2),VLOOKUP(N748,setup!$A$8:$H$58,3),VLOOKUP(N748,setup!$A$8:$H$58,4),VLOOKUP(N748,setup!$A$8:$H$58,5),VLOOKUP(N748,setup!$A$8:$H$58,6),VLOOKUP(N748,setup!$A$8:$H$58,7), VLOOKUP(0,setup!$A$8:$H$58,2),VLOOKUP(0,setup!$A$8:$H$58,5),VLOOKUP(N748,setup!$A$8:$H$58,8))</f>
        <v xml:space="preserve">                            . DmlSql::STRING_TYPE</v>
      </c>
    </row>
    <row r="749" spans="1:15" x14ac:dyDescent="0.25">
      <c r="A749" s="29" t="s">
        <v>772</v>
      </c>
      <c r="N749">
        <f t="shared" si="20"/>
        <v>6</v>
      </c>
      <c r="O749" s="7" t="str">
        <f ca="1">getCodigoBackend(N749,A749,VLOOKUP(N749,setup!$A$8:$H$58,2),VLOOKUP(N749,setup!$A$8:$H$58,3),VLOOKUP(N749,setup!$A$8:$H$58,4),VLOOKUP(N749,setup!$A$8:$H$58,5),VLOOKUP(N749,setup!$A$8:$H$58,6),VLOOKUP(N749,setup!$A$8:$H$58,7), VLOOKUP(0,setup!$A$8:$H$58,2),VLOOKUP(0,setup!$A$8:$H$58,5),VLOOKUP(N749,setup!$A$8:$H$58,8))</f>
        <v xml:space="preserve">                            ,$autenticacaoBco</v>
      </c>
    </row>
    <row r="750" spans="1:15" x14ac:dyDescent="0.25">
      <c r="A750" s="29" t="s">
        <v>773</v>
      </c>
      <c r="N750">
        <f t="shared" si="20"/>
        <v>6</v>
      </c>
      <c r="O750" s="7" t="str">
        <f ca="1">getCodigoBackend(N750,A750,VLOOKUP(N750,setup!$A$8:$H$58,2),VLOOKUP(N750,setup!$A$8:$H$58,3),VLOOKUP(N750,setup!$A$8:$H$58,4),VLOOKUP(N750,setup!$A$8:$H$58,5),VLOOKUP(N750,setup!$A$8:$H$58,6),VLOOKUP(N750,setup!$A$8:$H$58,7), VLOOKUP(0,setup!$A$8:$H$58,2),VLOOKUP(0,setup!$A$8:$H$58,5),VLOOKUP(N750,setup!$A$8:$H$58,8))</f>
        <v xml:space="preserve">                            ,$id);</v>
      </c>
    </row>
    <row r="751" spans="1:15" x14ac:dyDescent="0.25">
      <c r="A751" s="29" t="s">
        <v>767</v>
      </c>
      <c r="N751">
        <f t="shared" si="20"/>
        <v>6</v>
      </c>
      <c r="O751" s="7" t="str">
        <f ca="1">getCodigoBackend(N751,A751,VLOOKUP(N751,setup!$A$8:$H$58,2),VLOOKUP(N751,setup!$A$8:$H$58,3),VLOOKUP(N751,setup!$A$8:$H$58,4),VLOOKUP(N751,setup!$A$8:$H$58,5),VLOOKUP(N751,setup!$A$8:$H$58,6),VLOOKUP(N751,setup!$A$8:$H$58,7), VLOOKUP(0,setup!$A$8:$H$58,2),VLOOKUP(0,setup!$A$8:$H$58,5),VLOOKUP(N751,setup!$A$8:$H$58,8))</f>
        <v xml:space="preserve">        if ($stmt-&gt;execute())</v>
      </c>
    </row>
    <row r="752" spans="1:15" x14ac:dyDescent="0.25">
      <c r="A752" s="29" t="s">
        <v>768</v>
      </c>
      <c r="N752">
        <f t="shared" si="20"/>
        <v>6</v>
      </c>
      <c r="O752" s="7" t="str">
        <f ca="1">getCodigoBackend(N752,A752,VLOOKUP(N752,setup!$A$8:$H$58,2),VLOOKUP(N752,setup!$A$8:$H$58,3),VLOOKUP(N752,setup!$A$8:$H$58,4),VLOOKUP(N752,setup!$A$8:$H$58,5),VLOOKUP(N752,setup!$A$8:$H$58,6),VLOOKUP(N752,setup!$A$8:$H$58,7), VLOOKUP(0,setup!$A$8:$H$58,2),VLOOKUP(0,setup!$A$8:$H$58,5),VLOOKUP(N752,setup!$A$8:$H$58,8))</f>
        <v xml:space="preserve">        {</v>
      </c>
    </row>
    <row r="753" spans="1:15" x14ac:dyDescent="0.25">
      <c r="A753" s="29" t="s">
        <v>769</v>
      </c>
      <c r="N753">
        <f t="shared" si="20"/>
        <v>6</v>
      </c>
      <c r="O753" s="7" t="str">
        <f ca="1">getCodigoBackend(N753,A753,VLOOKUP(N753,setup!$A$8:$H$58,2),VLOOKUP(N753,setup!$A$8:$H$58,3),VLOOKUP(N753,setup!$A$8:$H$58,4),VLOOKUP(N753,setup!$A$8:$H$58,5),VLOOKUP(N753,setup!$A$8:$H$58,6),VLOOKUP(N753,setup!$A$8:$H$58,7), VLOOKUP(0,setup!$A$8:$H$58,2),VLOOKUP(0,setup!$A$8:$H$58,5),VLOOKUP(N753,setup!$A$8:$H$58,8))</f>
        <v xml:space="preserve">            $retorno = true;</v>
      </c>
    </row>
    <row r="754" spans="1:15" x14ac:dyDescent="0.25">
      <c r="A754" s="29" t="s">
        <v>157</v>
      </c>
      <c r="N754">
        <f t="shared" si="20"/>
        <v>6</v>
      </c>
      <c r="O754" s="7" t="str">
        <f ca="1">getCodigoBackend(N754,A754,VLOOKUP(N754,setup!$A$8:$H$58,2),VLOOKUP(N754,setup!$A$8:$H$58,3),VLOOKUP(N754,setup!$A$8:$H$58,4),VLOOKUP(N754,setup!$A$8:$H$58,5),VLOOKUP(N754,setup!$A$8:$H$58,6),VLOOKUP(N754,setup!$A$8:$H$58,7), VLOOKUP(0,setup!$A$8:$H$58,2),VLOOKUP(0,setup!$A$8:$H$58,5),VLOOKUP(N754,setup!$A$8:$H$58,8))</f>
        <v xml:space="preserve">        }</v>
      </c>
    </row>
    <row r="755" spans="1:15" x14ac:dyDescent="0.25">
      <c r="A755" s="29"/>
      <c r="N755">
        <f t="shared" si="20"/>
        <v>6</v>
      </c>
      <c r="O755" s="7" t="str">
        <f ca="1">getCodigoBackend(N755,A755,VLOOKUP(N755,setup!$A$8:$H$58,2),VLOOKUP(N755,setup!$A$8:$H$58,3),VLOOKUP(N755,setup!$A$8:$H$58,4),VLOOKUP(N755,setup!$A$8:$H$58,5),VLOOKUP(N755,setup!$A$8:$H$58,6),VLOOKUP(N755,setup!$A$8:$H$58,7), VLOOKUP(0,setup!$A$8:$H$58,2),VLOOKUP(0,setup!$A$8:$H$58,5),VLOOKUP(N755,setup!$A$8:$H$58,8))</f>
        <v/>
      </c>
    </row>
    <row r="756" spans="1:15" x14ac:dyDescent="0.25">
      <c r="A756" s="29" t="s">
        <v>743</v>
      </c>
      <c r="N756">
        <f t="shared" si="20"/>
        <v>6</v>
      </c>
      <c r="O756" s="7" t="str">
        <f ca="1">getCodigoBackend(N756,A756,VLOOKUP(N756,setup!$A$8:$H$58,2),VLOOKUP(N756,setup!$A$8:$H$58,3),VLOOKUP(N756,setup!$A$8:$H$58,4),VLOOKUP(N756,setup!$A$8:$H$58,5),VLOOKUP(N756,setup!$A$8:$H$58,6),VLOOKUP(N756,setup!$A$8:$H$58,7), VLOOKUP(0,setup!$A$8:$H$58,2),VLOOKUP(0,setup!$A$8:$H$58,5),VLOOKUP(N756,setup!$A$8:$H$58,8))</f>
        <v xml:space="preserve">        return $retorno;</v>
      </c>
    </row>
    <row r="757" spans="1:15" x14ac:dyDescent="0.25">
      <c r="A757" s="29" t="s">
        <v>406</v>
      </c>
      <c r="N757">
        <f t="shared" si="20"/>
        <v>6</v>
      </c>
      <c r="O757" s="7" t="str">
        <f ca="1">getCodigoBackend(N757,A757,VLOOKUP(N757,setup!$A$8:$H$58,2),VLOOKUP(N757,setup!$A$8:$H$58,3),VLOOKUP(N757,setup!$A$8:$H$58,4),VLOOKUP(N757,setup!$A$8:$H$58,5),VLOOKUP(N757,setup!$A$8:$H$58,6),VLOOKUP(N757,setup!$A$8:$H$58,7), VLOOKUP(0,setup!$A$8:$H$58,2),VLOOKUP(0,setup!$A$8:$H$58,5),VLOOKUP(N757,setup!$A$8:$H$58,8))</f>
        <v xml:space="preserve">    }</v>
      </c>
    </row>
    <row r="758" spans="1:15" x14ac:dyDescent="0.25">
      <c r="A758" s="29"/>
      <c r="O758" s="7" t="str">
        <f ca="1">getCodigoBackend(N758,A758,VLOOKUP(N758,setup!$A$8:$H$58,2),VLOOKUP(N758,setup!$A$8:$H$58,3),VLOOKUP(N758,setup!$A$8:$H$58,4),VLOOKUP(N758,setup!$A$8:$H$58,5),VLOOKUP(N758,setup!$A$8:$H$58,6),VLOOKUP(N758,setup!$A$8:$H$58,7), VLOOKUP(0,setup!$A$8:$H$58,2),VLOOKUP(0,setup!$A$8:$H$58,5),VLOOKUP(N758,setup!$A$8:$H$58,8))</f>
        <v/>
      </c>
    </row>
    <row r="759" spans="1:15" x14ac:dyDescent="0.25">
      <c r="A759" s="6" t="s">
        <v>140</v>
      </c>
      <c r="N759">
        <f>N757+1</f>
        <v>7</v>
      </c>
      <c r="O759" s="7" t="str">
        <f ca="1">getCodigoBackend(N759,A759,VLOOKUP(N759,setup!$A$8:$H$58,2),VLOOKUP(N759,setup!$A$8:$H$58,3),VLOOKUP(N759,setup!$A$8:$H$58,4),VLOOKUP(N759,setup!$A$8:$H$58,5),VLOOKUP(N759,setup!$A$8:$H$58,6),VLOOKUP(N759,setup!$A$8:$H$58,7), VLOOKUP(0,setup!$A$8:$H$58,2),VLOOKUP(0,setup!$A$8:$H$58,5),VLOOKUP(N759,setup!$A$8:$H$58,8))</f>
        <v>    /**</v>
      </c>
    </row>
    <row r="760" spans="1:15" x14ac:dyDescent="0.25">
      <c r="A760" s="4" t="s">
        <v>775</v>
      </c>
      <c r="N760">
        <f>N759</f>
        <v>7</v>
      </c>
      <c r="O760" s="7" t="str">
        <f ca="1">getCodigoBackend(N760,A760,VLOOKUP(N760,setup!$A$8:$H$58,2),VLOOKUP(N760,setup!$A$8:$H$58,3),VLOOKUP(N760,setup!$A$8:$H$58,4),VLOOKUP(N760,setup!$A$8:$H$58,5),VLOOKUP(N760,setup!$A$8:$H$58,6),VLOOKUP(N760,setup!$A$8:$H$58,7), VLOOKUP(0,setup!$A$8:$H$58,2),VLOOKUP(0,setup!$A$8:$H$58,5),VLOOKUP(N760,setup!$A$8:$H$58,8))</f>
        <v>    * updateEstagiorealtime() - implementação da assinatura em CampanhaCashbackResgatePixDAO</v>
      </c>
    </row>
    <row r="761" spans="1:15" x14ac:dyDescent="0.25">
      <c r="A761" s="4" t="s">
        <v>141</v>
      </c>
      <c r="N761">
        <f t="shared" ref="N761:N778" si="21">N760</f>
        <v>7</v>
      </c>
      <c r="O761" s="7" t="str">
        <f ca="1">getCodigoBackend(N761,A761,VLOOKUP(N761,setup!$A$8:$H$58,2),VLOOKUP(N761,setup!$A$8:$H$58,3),VLOOKUP(N761,setup!$A$8:$H$58,4),VLOOKUP(N761,setup!$A$8:$H$58,5),VLOOKUP(N761,setup!$A$8:$H$58,6),VLOOKUP(N761,setup!$A$8:$H$58,7), VLOOKUP(0,setup!$A$8:$H$58,2),VLOOKUP(0,setup!$A$8:$H$58,5),VLOOKUP(N761,setup!$A$8:$H$58,8))</f>
        <v>    */</v>
      </c>
    </row>
    <row r="762" spans="1:15" x14ac:dyDescent="0.25">
      <c r="A762" s="29" t="s">
        <v>776</v>
      </c>
      <c r="N762">
        <f t="shared" si="21"/>
        <v>7</v>
      </c>
      <c r="O762" s="7" t="str">
        <f ca="1">getCodigoBackend(N762,A762,VLOOKUP(N762,setup!$A$8:$H$58,2),VLOOKUP(N762,setup!$A$8:$H$58,3),VLOOKUP(N762,setup!$A$8:$H$58,4),VLOOKUP(N762,setup!$A$8:$H$58,5),VLOOKUP(N762,setup!$A$8:$H$58,6),VLOOKUP(N762,setup!$A$8:$H$58,7), VLOOKUP(0,setup!$A$8:$H$58,2),VLOOKUP(0,setup!$A$8:$H$58,5),VLOOKUP(N762,setup!$A$8:$H$58,8))</f>
        <v xml:space="preserve">    public function updateEstagiorealtime($id, $estagioRealTime)</v>
      </c>
    </row>
    <row r="763" spans="1:15" x14ac:dyDescent="0.25">
      <c r="A763" s="29" t="s">
        <v>763</v>
      </c>
      <c r="N763">
        <f t="shared" si="21"/>
        <v>7</v>
      </c>
      <c r="O763" s="7" t="str">
        <f ca="1">getCodigoBackend(N763,A763,VLOOKUP(N763,setup!$A$8:$H$58,2),VLOOKUP(N763,setup!$A$8:$H$58,3),VLOOKUP(N763,setup!$A$8:$H$58,4),VLOOKUP(N763,setup!$A$8:$H$58,5),VLOOKUP(N763,setup!$A$8:$H$58,6),VLOOKUP(N763,setup!$A$8:$H$58,7), VLOOKUP(0,setup!$A$8:$H$58,2),VLOOKUP(0,setup!$A$8:$H$58,5),VLOOKUP(N763,setup!$A$8:$H$58,8))</f>
        <v xml:space="preserve">    {   </v>
      </c>
    </row>
    <row r="764" spans="1:15" x14ac:dyDescent="0.25">
      <c r="A764" s="29" t="s">
        <v>764</v>
      </c>
      <c r="N764">
        <f t="shared" si="21"/>
        <v>7</v>
      </c>
      <c r="O764" s="7" t="str">
        <f ca="1">getCodigoBackend(N764,A764,VLOOKUP(N764,setup!$A$8:$H$58,2),VLOOKUP(N764,setup!$A$8:$H$58,3),VLOOKUP(N764,setup!$A$8:$H$58,4),VLOOKUP(N764,setup!$A$8:$H$58,5),VLOOKUP(N764,setup!$A$8:$H$58,6),VLOOKUP(N764,setup!$A$8:$H$58,7), VLOOKUP(0,setup!$A$8:$H$58,2),VLOOKUP(0,setup!$A$8:$H$58,5),VLOOKUP(N764,setup!$A$8:$H$58,8))</f>
        <v xml:space="preserve">        $retorno = false;</v>
      </c>
    </row>
    <row r="765" spans="1:15" x14ac:dyDescent="0.25">
      <c r="A765" s="29" t="s">
        <v>765</v>
      </c>
      <c r="N765">
        <f t="shared" si="21"/>
        <v>7</v>
      </c>
      <c r="O765" s="7" t="str">
        <f ca="1">getCodigoBackend(N765,A765,VLOOKUP(N765,setup!$A$8:$H$58,2),VLOOKUP(N765,setup!$A$8:$H$58,3),VLOOKUP(N765,setup!$A$8:$H$58,4),VLOOKUP(N765,setup!$A$8:$H$58,5),VLOOKUP(N765,setup!$A$8:$H$58,6),VLOOKUP(N765,setup!$A$8:$H$58,7), VLOOKUP(0,setup!$A$8:$H$58,2),VLOOKUP(0,setup!$A$8:$H$58,5),VLOOKUP(N765,setup!$A$8:$H$58,8))</f>
        <v xml:space="preserve">        // prepara sessão, query, troca de valores, acoplagem do resultado e o fetch</v>
      </c>
    </row>
    <row r="766" spans="1:15" x14ac:dyDescent="0.25">
      <c r="A766" s="29" t="s">
        <v>766</v>
      </c>
      <c r="N766">
        <f t="shared" si="21"/>
        <v>7</v>
      </c>
      <c r="O766" s="7" t="str">
        <f ca="1">getCodigoBackend(N766,A766,VLOOKUP(N766,setup!$A$8:$H$58,2),VLOOKUP(N766,setup!$A$8:$H$58,3),VLOOKUP(N766,setup!$A$8:$H$58,4),VLOOKUP(N766,setup!$A$8:$H$58,5),VLOOKUP(N766,setup!$A$8:$H$58,6),VLOOKUP(N766,setup!$A$8:$H$58,7), VLOOKUP(0,setup!$A$8:$H$58,2),VLOOKUP(0,setup!$A$8:$H$58,5),VLOOKUP(N766,setup!$A$8:$H$58,8))</f>
        <v xml:space="preserve">        $conexao = $this-&gt;daofactory-&gt;getSession();</v>
      </c>
    </row>
    <row r="767" spans="1:15" x14ac:dyDescent="0.25">
      <c r="A767" s="29" t="s">
        <v>774</v>
      </c>
      <c r="N767">
        <f t="shared" si="21"/>
        <v>7</v>
      </c>
      <c r="O767" s="7" t="str">
        <f ca="1">getCodigoBackend(N767,A767,VLOOKUP(N767,setup!$A$8:$H$58,2),VLOOKUP(N767,setup!$A$8:$H$58,3),VLOOKUP(N767,setup!$A$8:$H$58,4),VLOOKUP(N767,setup!$A$8:$H$58,5),VLOOKUP(N767,setup!$A$8:$H$58,6),VLOOKUP(N767,setup!$A$8:$H$58,7), VLOOKUP(0,setup!$A$8:$H$58,2),VLOOKUP(0,setup!$A$8:$H$58,5),VLOOKUP(N767,setup!$A$8:$H$58,8))</f>
        <v xml:space="preserve">        $stmt = $conexao-&gt;prepare(DmlSqlCampanhaCashbackResgatePix::UPD_CAMPANHA_CASHBACK_RESGATE_PIX_CCRP_IN_ESTAGIO_RT_PK);</v>
      </c>
    </row>
    <row r="768" spans="1:15" x14ac:dyDescent="0.25">
      <c r="A768" s="29" t="s">
        <v>770</v>
      </c>
      <c r="N768">
        <f t="shared" si="21"/>
        <v>7</v>
      </c>
      <c r="O768" s="7" t="str">
        <f ca="1">getCodigoBackend(N768,A768,VLOOKUP(N768,setup!$A$8:$H$58,2),VLOOKUP(N768,setup!$A$8:$H$58,3),VLOOKUP(N768,setup!$A$8:$H$58,4),VLOOKUP(N768,setup!$A$8:$H$58,5),VLOOKUP(N768,setup!$A$8:$H$58,6),VLOOKUP(N768,setup!$A$8:$H$58,7), VLOOKUP(0,setup!$A$8:$H$58,2),VLOOKUP(0,setup!$A$8:$H$58,5),VLOOKUP(N768,setup!$A$8:$H$58,8))</f>
        <v xml:space="preserve">        $stmt-&gt;bind_param(DmlSql::INTEGER_TYPE </v>
      </c>
    </row>
    <row r="769" spans="1:15" x14ac:dyDescent="0.25">
      <c r="A769" s="29" t="s">
        <v>771</v>
      </c>
      <c r="N769">
        <f t="shared" si="21"/>
        <v>7</v>
      </c>
      <c r="O769" s="7" t="str">
        <f ca="1">getCodigoBackend(N769,A769,VLOOKUP(N769,setup!$A$8:$H$58,2),VLOOKUP(N769,setup!$A$8:$H$58,3),VLOOKUP(N769,setup!$A$8:$H$58,4),VLOOKUP(N769,setup!$A$8:$H$58,5),VLOOKUP(N769,setup!$A$8:$H$58,6),VLOOKUP(N769,setup!$A$8:$H$58,7), VLOOKUP(0,setup!$A$8:$H$58,2),VLOOKUP(0,setup!$A$8:$H$58,5),VLOOKUP(N769,setup!$A$8:$H$58,8))</f>
        <v xml:space="preserve">                            . DmlSql::INTEGER_TYPE</v>
      </c>
    </row>
    <row r="770" spans="1:15" x14ac:dyDescent="0.25">
      <c r="A770" s="29" t="s">
        <v>772</v>
      </c>
      <c r="N770">
        <f t="shared" si="21"/>
        <v>7</v>
      </c>
      <c r="O770" s="7" t="str">
        <f ca="1">getCodigoBackend(N770,A770,VLOOKUP(N770,setup!$A$8:$H$58,2),VLOOKUP(N770,setup!$A$8:$H$58,3),VLOOKUP(N770,setup!$A$8:$H$58,4),VLOOKUP(N770,setup!$A$8:$H$58,5),VLOOKUP(N770,setup!$A$8:$H$58,6),VLOOKUP(N770,setup!$A$8:$H$58,7), VLOOKUP(0,setup!$A$8:$H$58,2),VLOOKUP(0,setup!$A$8:$H$58,5),VLOOKUP(N770,setup!$A$8:$H$58,8))</f>
        <v xml:space="preserve">                            ,$estagioRealTime</v>
      </c>
    </row>
    <row r="771" spans="1:15" x14ac:dyDescent="0.25">
      <c r="A771" s="29" t="s">
        <v>773</v>
      </c>
      <c r="N771">
        <f t="shared" si="21"/>
        <v>7</v>
      </c>
      <c r="O771" s="7" t="str">
        <f ca="1">getCodigoBackend(N771,A771,VLOOKUP(N771,setup!$A$8:$H$58,2),VLOOKUP(N771,setup!$A$8:$H$58,3),VLOOKUP(N771,setup!$A$8:$H$58,4),VLOOKUP(N771,setup!$A$8:$H$58,5),VLOOKUP(N771,setup!$A$8:$H$58,6),VLOOKUP(N771,setup!$A$8:$H$58,7), VLOOKUP(0,setup!$A$8:$H$58,2),VLOOKUP(0,setup!$A$8:$H$58,5),VLOOKUP(N771,setup!$A$8:$H$58,8))</f>
        <v xml:space="preserve">                            ,$id);</v>
      </c>
    </row>
    <row r="772" spans="1:15" x14ac:dyDescent="0.25">
      <c r="A772" s="29" t="s">
        <v>767</v>
      </c>
      <c r="N772">
        <f t="shared" si="21"/>
        <v>7</v>
      </c>
      <c r="O772" s="7" t="str">
        <f ca="1">getCodigoBackend(N772,A772,VLOOKUP(N772,setup!$A$8:$H$58,2),VLOOKUP(N772,setup!$A$8:$H$58,3),VLOOKUP(N772,setup!$A$8:$H$58,4),VLOOKUP(N772,setup!$A$8:$H$58,5),VLOOKUP(N772,setup!$A$8:$H$58,6),VLOOKUP(N772,setup!$A$8:$H$58,7), VLOOKUP(0,setup!$A$8:$H$58,2),VLOOKUP(0,setup!$A$8:$H$58,5),VLOOKUP(N772,setup!$A$8:$H$58,8))</f>
        <v xml:space="preserve">        if ($stmt-&gt;execute())</v>
      </c>
    </row>
    <row r="773" spans="1:15" x14ac:dyDescent="0.25">
      <c r="A773" s="29" t="s">
        <v>768</v>
      </c>
      <c r="N773">
        <f t="shared" si="21"/>
        <v>7</v>
      </c>
      <c r="O773" s="7" t="str">
        <f ca="1">getCodigoBackend(N773,A773,VLOOKUP(N773,setup!$A$8:$H$58,2),VLOOKUP(N773,setup!$A$8:$H$58,3),VLOOKUP(N773,setup!$A$8:$H$58,4),VLOOKUP(N773,setup!$A$8:$H$58,5),VLOOKUP(N773,setup!$A$8:$H$58,6),VLOOKUP(N773,setup!$A$8:$H$58,7), VLOOKUP(0,setup!$A$8:$H$58,2),VLOOKUP(0,setup!$A$8:$H$58,5),VLOOKUP(N773,setup!$A$8:$H$58,8))</f>
        <v xml:space="preserve">        {</v>
      </c>
    </row>
    <row r="774" spans="1:15" x14ac:dyDescent="0.25">
      <c r="A774" s="29" t="s">
        <v>769</v>
      </c>
      <c r="N774">
        <f t="shared" si="21"/>
        <v>7</v>
      </c>
      <c r="O774" s="7" t="str">
        <f ca="1">getCodigoBackend(N774,A774,VLOOKUP(N774,setup!$A$8:$H$58,2),VLOOKUP(N774,setup!$A$8:$H$58,3),VLOOKUP(N774,setup!$A$8:$H$58,4),VLOOKUP(N774,setup!$A$8:$H$58,5),VLOOKUP(N774,setup!$A$8:$H$58,6),VLOOKUP(N774,setup!$A$8:$H$58,7), VLOOKUP(0,setup!$A$8:$H$58,2),VLOOKUP(0,setup!$A$8:$H$58,5),VLOOKUP(N774,setup!$A$8:$H$58,8))</f>
        <v xml:space="preserve">            $retorno = true;</v>
      </c>
    </row>
    <row r="775" spans="1:15" x14ac:dyDescent="0.25">
      <c r="A775" s="29" t="s">
        <v>157</v>
      </c>
      <c r="N775">
        <f t="shared" si="21"/>
        <v>7</v>
      </c>
      <c r="O775" s="7" t="str">
        <f ca="1">getCodigoBackend(N775,A775,VLOOKUP(N775,setup!$A$8:$H$58,2),VLOOKUP(N775,setup!$A$8:$H$58,3),VLOOKUP(N775,setup!$A$8:$H$58,4),VLOOKUP(N775,setup!$A$8:$H$58,5),VLOOKUP(N775,setup!$A$8:$H$58,6),VLOOKUP(N775,setup!$A$8:$H$58,7), VLOOKUP(0,setup!$A$8:$H$58,2),VLOOKUP(0,setup!$A$8:$H$58,5),VLOOKUP(N775,setup!$A$8:$H$58,8))</f>
        <v xml:space="preserve">        }</v>
      </c>
    </row>
    <row r="776" spans="1:15" x14ac:dyDescent="0.25">
      <c r="A776" s="29"/>
      <c r="N776">
        <f t="shared" si="21"/>
        <v>7</v>
      </c>
      <c r="O776" s="7" t="str">
        <f ca="1">getCodigoBackend(N776,A776,VLOOKUP(N776,setup!$A$8:$H$58,2),VLOOKUP(N776,setup!$A$8:$H$58,3),VLOOKUP(N776,setup!$A$8:$H$58,4),VLOOKUP(N776,setup!$A$8:$H$58,5),VLOOKUP(N776,setup!$A$8:$H$58,6),VLOOKUP(N776,setup!$A$8:$H$58,7), VLOOKUP(0,setup!$A$8:$H$58,2),VLOOKUP(0,setup!$A$8:$H$58,5),VLOOKUP(N776,setup!$A$8:$H$58,8))</f>
        <v/>
      </c>
    </row>
    <row r="777" spans="1:15" x14ac:dyDescent="0.25">
      <c r="A777" s="29" t="s">
        <v>743</v>
      </c>
      <c r="N777">
        <f t="shared" si="21"/>
        <v>7</v>
      </c>
      <c r="O777" s="7" t="str">
        <f ca="1">getCodigoBackend(N777,A777,VLOOKUP(N777,setup!$A$8:$H$58,2),VLOOKUP(N777,setup!$A$8:$H$58,3),VLOOKUP(N777,setup!$A$8:$H$58,4),VLOOKUP(N777,setup!$A$8:$H$58,5),VLOOKUP(N777,setup!$A$8:$H$58,6),VLOOKUP(N777,setup!$A$8:$H$58,7), VLOOKUP(0,setup!$A$8:$H$58,2),VLOOKUP(0,setup!$A$8:$H$58,5),VLOOKUP(N777,setup!$A$8:$H$58,8))</f>
        <v xml:space="preserve">        return $retorno;</v>
      </c>
    </row>
    <row r="778" spans="1:15" x14ac:dyDescent="0.25">
      <c r="A778" s="29" t="s">
        <v>406</v>
      </c>
      <c r="N778">
        <f t="shared" si="21"/>
        <v>7</v>
      </c>
      <c r="O778" s="7" t="str">
        <f ca="1">getCodigoBackend(N778,A778,VLOOKUP(N778,setup!$A$8:$H$58,2),VLOOKUP(N778,setup!$A$8:$H$58,3),VLOOKUP(N778,setup!$A$8:$H$58,4),VLOOKUP(N778,setup!$A$8:$H$58,5),VLOOKUP(N778,setup!$A$8:$H$58,6),VLOOKUP(N778,setup!$A$8:$H$58,7), VLOOKUP(0,setup!$A$8:$H$58,2),VLOOKUP(0,setup!$A$8:$H$58,5),VLOOKUP(N778,setup!$A$8:$H$58,8))</f>
        <v xml:space="preserve">    }</v>
      </c>
    </row>
    <row r="779" spans="1:15" x14ac:dyDescent="0.25">
      <c r="A779" s="29"/>
      <c r="O779" s="7" t="str">
        <f ca="1">getCodigoBackend(N779,A779,VLOOKUP(N779,setup!$A$8:$H$58,2),VLOOKUP(N779,setup!$A$8:$H$58,3),VLOOKUP(N779,setup!$A$8:$H$58,4),VLOOKUP(N779,setup!$A$8:$H$58,5),VLOOKUP(N779,setup!$A$8:$H$58,6),VLOOKUP(N779,setup!$A$8:$H$58,7), VLOOKUP(0,setup!$A$8:$H$58,2),VLOOKUP(0,setup!$A$8:$H$58,5),VLOOKUP(N779,setup!$A$8:$H$58,8))</f>
        <v/>
      </c>
    </row>
    <row r="780" spans="1:15" x14ac:dyDescent="0.25">
      <c r="A780" s="6" t="s">
        <v>140</v>
      </c>
      <c r="N780">
        <f>N778+1</f>
        <v>8</v>
      </c>
      <c r="O780" s="7" t="str">
        <f ca="1">getCodigoBackend(N780,A780,VLOOKUP(N780,setup!$A$8:$H$58,2),VLOOKUP(N780,setup!$A$8:$H$58,3),VLOOKUP(N780,setup!$A$8:$H$58,4),VLOOKUP(N780,setup!$A$8:$H$58,5),VLOOKUP(N780,setup!$A$8:$H$58,6),VLOOKUP(N780,setup!$A$8:$H$58,7), VLOOKUP(0,setup!$A$8:$H$58,2),VLOOKUP(0,setup!$A$8:$H$58,5),VLOOKUP(N780,setup!$A$8:$H$58,8))</f>
        <v>    /**</v>
      </c>
    </row>
    <row r="781" spans="1:15" x14ac:dyDescent="0.25">
      <c r="A781" s="4" t="s">
        <v>775</v>
      </c>
      <c r="N781">
        <f>N780</f>
        <v>8</v>
      </c>
      <c r="O781" s="7" t="str">
        <f ca="1">getCodigoBackend(N781,A781,VLOOKUP(N781,setup!$A$8:$H$58,2),VLOOKUP(N781,setup!$A$8:$H$58,3),VLOOKUP(N781,setup!$A$8:$H$58,4),VLOOKUP(N781,setup!$A$8:$H$58,5),VLOOKUP(N781,setup!$A$8:$H$58,6),VLOOKUP(N781,setup!$A$8:$H$58,7), VLOOKUP(0,setup!$A$8:$H$58,2),VLOOKUP(0,setup!$A$8:$H$58,5),VLOOKUP(N781,setup!$A$8:$H$58,8))</f>
        <v>    * updateDtestagioanalise() - implementação da assinatura em CampanhaCashbackResgatePixDAO</v>
      </c>
    </row>
    <row r="782" spans="1:15" x14ac:dyDescent="0.25">
      <c r="A782" s="4" t="s">
        <v>141</v>
      </c>
      <c r="N782">
        <f t="shared" ref="N782:N799" si="22">N781</f>
        <v>8</v>
      </c>
      <c r="O782" s="7" t="str">
        <f ca="1">getCodigoBackend(N782,A782,VLOOKUP(N782,setup!$A$8:$H$58,2),VLOOKUP(N782,setup!$A$8:$H$58,3),VLOOKUP(N782,setup!$A$8:$H$58,4),VLOOKUP(N782,setup!$A$8:$H$58,5),VLOOKUP(N782,setup!$A$8:$H$58,6),VLOOKUP(N782,setup!$A$8:$H$58,7), VLOOKUP(0,setup!$A$8:$H$58,2),VLOOKUP(0,setup!$A$8:$H$58,5),VLOOKUP(N782,setup!$A$8:$H$58,8))</f>
        <v>    */</v>
      </c>
    </row>
    <row r="783" spans="1:15" x14ac:dyDescent="0.25">
      <c r="A783" s="29" t="s">
        <v>776</v>
      </c>
      <c r="N783">
        <f t="shared" si="22"/>
        <v>8</v>
      </c>
      <c r="O783" s="7" t="str">
        <f ca="1">getCodigoBackend(N783,A783,VLOOKUP(N783,setup!$A$8:$H$58,2),VLOOKUP(N783,setup!$A$8:$H$58,3),VLOOKUP(N783,setup!$A$8:$H$58,4),VLOOKUP(N783,setup!$A$8:$H$58,5),VLOOKUP(N783,setup!$A$8:$H$58,6),VLOOKUP(N783,setup!$A$8:$H$58,7), VLOOKUP(0,setup!$A$8:$H$58,2),VLOOKUP(0,setup!$A$8:$H$58,5),VLOOKUP(N783,setup!$A$8:$H$58,8))</f>
        <v xml:space="preserve">    public function updateDtestagioanalise($id, $dtEstagioAnalise)</v>
      </c>
    </row>
    <row r="784" spans="1:15" x14ac:dyDescent="0.25">
      <c r="A784" s="29" t="s">
        <v>763</v>
      </c>
      <c r="N784">
        <f t="shared" si="22"/>
        <v>8</v>
      </c>
      <c r="O784" s="7" t="str">
        <f ca="1">getCodigoBackend(N784,A784,VLOOKUP(N784,setup!$A$8:$H$58,2),VLOOKUP(N784,setup!$A$8:$H$58,3),VLOOKUP(N784,setup!$A$8:$H$58,4),VLOOKUP(N784,setup!$A$8:$H$58,5),VLOOKUP(N784,setup!$A$8:$H$58,6),VLOOKUP(N784,setup!$A$8:$H$58,7), VLOOKUP(0,setup!$A$8:$H$58,2),VLOOKUP(0,setup!$A$8:$H$58,5),VLOOKUP(N784,setup!$A$8:$H$58,8))</f>
        <v xml:space="preserve">    {   </v>
      </c>
    </row>
    <row r="785" spans="1:15" x14ac:dyDescent="0.25">
      <c r="A785" s="29" t="s">
        <v>764</v>
      </c>
      <c r="N785">
        <f t="shared" si="22"/>
        <v>8</v>
      </c>
      <c r="O785" s="7" t="str">
        <f ca="1">getCodigoBackend(N785,A785,VLOOKUP(N785,setup!$A$8:$H$58,2),VLOOKUP(N785,setup!$A$8:$H$58,3),VLOOKUP(N785,setup!$A$8:$H$58,4),VLOOKUP(N785,setup!$A$8:$H$58,5),VLOOKUP(N785,setup!$A$8:$H$58,6),VLOOKUP(N785,setup!$A$8:$H$58,7), VLOOKUP(0,setup!$A$8:$H$58,2),VLOOKUP(0,setup!$A$8:$H$58,5),VLOOKUP(N785,setup!$A$8:$H$58,8))</f>
        <v xml:space="preserve">        $retorno = false;</v>
      </c>
    </row>
    <row r="786" spans="1:15" x14ac:dyDescent="0.25">
      <c r="A786" s="29" t="s">
        <v>765</v>
      </c>
      <c r="N786">
        <f t="shared" si="22"/>
        <v>8</v>
      </c>
      <c r="O786" s="7" t="str">
        <f ca="1">getCodigoBackend(N786,A786,VLOOKUP(N786,setup!$A$8:$H$58,2),VLOOKUP(N786,setup!$A$8:$H$58,3),VLOOKUP(N786,setup!$A$8:$H$58,4),VLOOKUP(N786,setup!$A$8:$H$58,5),VLOOKUP(N786,setup!$A$8:$H$58,6),VLOOKUP(N786,setup!$A$8:$H$58,7), VLOOKUP(0,setup!$A$8:$H$58,2),VLOOKUP(0,setup!$A$8:$H$58,5),VLOOKUP(N786,setup!$A$8:$H$58,8))</f>
        <v xml:space="preserve">        // prepara sessão, query, troca de valores, acoplagem do resultado e o fetch</v>
      </c>
    </row>
    <row r="787" spans="1:15" x14ac:dyDescent="0.25">
      <c r="A787" s="29" t="s">
        <v>766</v>
      </c>
      <c r="N787">
        <f t="shared" si="22"/>
        <v>8</v>
      </c>
      <c r="O787" s="7" t="str">
        <f ca="1">getCodigoBackend(N787,A787,VLOOKUP(N787,setup!$A$8:$H$58,2),VLOOKUP(N787,setup!$A$8:$H$58,3),VLOOKUP(N787,setup!$A$8:$H$58,4),VLOOKUP(N787,setup!$A$8:$H$58,5),VLOOKUP(N787,setup!$A$8:$H$58,6),VLOOKUP(N787,setup!$A$8:$H$58,7), VLOOKUP(0,setup!$A$8:$H$58,2),VLOOKUP(0,setup!$A$8:$H$58,5),VLOOKUP(N787,setup!$A$8:$H$58,8))</f>
        <v xml:space="preserve">        $conexao = $this-&gt;daofactory-&gt;getSession();</v>
      </c>
    </row>
    <row r="788" spans="1:15" x14ac:dyDescent="0.25">
      <c r="A788" s="29" t="s">
        <v>774</v>
      </c>
      <c r="N788">
        <f t="shared" si="22"/>
        <v>8</v>
      </c>
      <c r="O788" s="7" t="str">
        <f ca="1">getCodigoBackend(N788,A788,VLOOKUP(N788,setup!$A$8:$H$58,2),VLOOKUP(N788,setup!$A$8:$H$58,3),VLOOKUP(N788,setup!$A$8:$H$58,4),VLOOKUP(N788,setup!$A$8:$H$58,5),VLOOKUP(N788,setup!$A$8:$H$58,6),VLOOKUP(N788,setup!$A$8:$H$58,7), VLOOKUP(0,setup!$A$8:$H$58,2),VLOOKUP(0,setup!$A$8:$H$58,5),VLOOKUP(N788,setup!$A$8:$H$58,8))</f>
        <v xml:space="preserve">        $stmt = $conexao-&gt;prepare(DmlSqlCampanhaCashbackResgatePix::UPD_CAMPANHA_CASHBACK_RESGATE_PIX_CCRP_DT_ESTAGIO_ANALISE_PK);</v>
      </c>
    </row>
    <row r="789" spans="1:15" x14ac:dyDescent="0.25">
      <c r="A789" s="29" t="s">
        <v>770</v>
      </c>
      <c r="N789">
        <f t="shared" si="22"/>
        <v>8</v>
      </c>
      <c r="O789" s="7" t="str">
        <f ca="1">getCodigoBackend(N789,A789,VLOOKUP(N789,setup!$A$8:$H$58,2),VLOOKUP(N789,setup!$A$8:$H$58,3),VLOOKUP(N789,setup!$A$8:$H$58,4),VLOOKUP(N789,setup!$A$8:$H$58,5),VLOOKUP(N789,setup!$A$8:$H$58,6),VLOOKUP(N789,setup!$A$8:$H$58,7), VLOOKUP(0,setup!$A$8:$H$58,2),VLOOKUP(0,setup!$A$8:$H$58,5),VLOOKUP(N789,setup!$A$8:$H$58,8))</f>
        <v xml:space="preserve">        $stmt-&gt;bind_param(DmlSql::STRING_TYPE </v>
      </c>
    </row>
    <row r="790" spans="1:15" x14ac:dyDescent="0.25">
      <c r="A790" s="29" t="s">
        <v>771</v>
      </c>
      <c r="N790">
        <f t="shared" si="22"/>
        <v>8</v>
      </c>
      <c r="O790" s="7" t="str">
        <f ca="1">getCodigoBackend(N790,A790,VLOOKUP(N790,setup!$A$8:$H$58,2),VLOOKUP(N790,setup!$A$8:$H$58,3),VLOOKUP(N790,setup!$A$8:$H$58,4),VLOOKUP(N790,setup!$A$8:$H$58,5),VLOOKUP(N790,setup!$A$8:$H$58,6),VLOOKUP(N790,setup!$A$8:$H$58,7), VLOOKUP(0,setup!$A$8:$H$58,2),VLOOKUP(0,setup!$A$8:$H$58,5),VLOOKUP(N790,setup!$A$8:$H$58,8))</f>
        <v xml:space="preserve">                            . DmlSql::STRING_TYPE</v>
      </c>
    </row>
    <row r="791" spans="1:15" x14ac:dyDescent="0.25">
      <c r="A791" s="29" t="s">
        <v>772</v>
      </c>
      <c r="N791">
        <f t="shared" si="22"/>
        <v>8</v>
      </c>
      <c r="O791" s="7" t="str">
        <f ca="1">getCodigoBackend(N791,A791,VLOOKUP(N791,setup!$A$8:$H$58,2),VLOOKUP(N791,setup!$A$8:$H$58,3),VLOOKUP(N791,setup!$A$8:$H$58,4),VLOOKUP(N791,setup!$A$8:$H$58,5),VLOOKUP(N791,setup!$A$8:$H$58,6),VLOOKUP(N791,setup!$A$8:$H$58,7), VLOOKUP(0,setup!$A$8:$H$58,2),VLOOKUP(0,setup!$A$8:$H$58,5),VLOOKUP(N791,setup!$A$8:$H$58,8))</f>
        <v xml:space="preserve">                            ,$dtEstagioAnalise</v>
      </c>
    </row>
    <row r="792" spans="1:15" x14ac:dyDescent="0.25">
      <c r="A792" s="29" t="s">
        <v>773</v>
      </c>
      <c r="N792">
        <f t="shared" si="22"/>
        <v>8</v>
      </c>
      <c r="O792" s="7" t="str">
        <f ca="1">getCodigoBackend(N792,A792,VLOOKUP(N792,setup!$A$8:$H$58,2),VLOOKUP(N792,setup!$A$8:$H$58,3),VLOOKUP(N792,setup!$A$8:$H$58,4),VLOOKUP(N792,setup!$A$8:$H$58,5),VLOOKUP(N792,setup!$A$8:$H$58,6),VLOOKUP(N792,setup!$A$8:$H$58,7), VLOOKUP(0,setup!$A$8:$H$58,2),VLOOKUP(0,setup!$A$8:$H$58,5),VLOOKUP(N792,setup!$A$8:$H$58,8))</f>
        <v xml:space="preserve">                            ,$id);</v>
      </c>
    </row>
    <row r="793" spans="1:15" x14ac:dyDescent="0.25">
      <c r="A793" s="29" t="s">
        <v>767</v>
      </c>
      <c r="N793">
        <f t="shared" si="22"/>
        <v>8</v>
      </c>
      <c r="O793" s="7" t="str">
        <f ca="1">getCodigoBackend(N793,A793,VLOOKUP(N793,setup!$A$8:$H$58,2),VLOOKUP(N793,setup!$A$8:$H$58,3),VLOOKUP(N793,setup!$A$8:$H$58,4),VLOOKUP(N793,setup!$A$8:$H$58,5),VLOOKUP(N793,setup!$A$8:$H$58,6),VLOOKUP(N793,setup!$A$8:$H$58,7), VLOOKUP(0,setup!$A$8:$H$58,2),VLOOKUP(0,setup!$A$8:$H$58,5),VLOOKUP(N793,setup!$A$8:$H$58,8))</f>
        <v xml:space="preserve">        if ($stmt-&gt;execute())</v>
      </c>
    </row>
    <row r="794" spans="1:15" x14ac:dyDescent="0.25">
      <c r="A794" s="29" t="s">
        <v>768</v>
      </c>
      <c r="N794">
        <f t="shared" si="22"/>
        <v>8</v>
      </c>
      <c r="O794" s="7" t="str">
        <f ca="1">getCodigoBackend(N794,A794,VLOOKUP(N794,setup!$A$8:$H$58,2),VLOOKUP(N794,setup!$A$8:$H$58,3),VLOOKUP(N794,setup!$A$8:$H$58,4),VLOOKUP(N794,setup!$A$8:$H$58,5),VLOOKUP(N794,setup!$A$8:$H$58,6),VLOOKUP(N794,setup!$A$8:$H$58,7), VLOOKUP(0,setup!$A$8:$H$58,2),VLOOKUP(0,setup!$A$8:$H$58,5),VLOOKUP(N794,setup!$A$8:$H$58,8))</f>
        <v xml:space="preserve">        {</v>
      </c>
    </row>
    <row r="795" spans="1:15" x14ac:dyDescent="0.25">
      <c r="A795" s="29" t="s">
        <v>769</v>
      </c>
      <c r="N795">
        <f t="shared" si="22"/>
        <v>8</v>
      </c>
      <c r="O795" s="7" t="str">
        <f ca="1">getCodigoBackend(N795,A795,VLOOKUP(N795,setup!$A$8:$H$58,2),VLOOKUP(N795,setup!$A$8:$H$58,3),VLOOKUP(N795,setup!$A$8:$H$58,4),VLOOKUP(N795,setup!$A$8:$H$58,5),VLOOKUP(N795,setup!$A$8:$H$58,6),VLOOKUP(N795,setup!$A$8:$H$58,7), VLOOKUP(0,setup!$A$8:$H$58,2),VLOOKUP(0,setup!$A$8:$H$58,5),VLOOKUP(N795,setup!$A$8:$H$58,8))</f>
        <v xml:space="preserve">            $retorno = true;</v>
      </c>
    </row>
    <row r="796" spans="1:15" x14ac:dyDescent="0.25">
      <c r="A796" s="29" t="s">
        <v>157</v>
      </c>
      <c r="N796">
        <f t="shared" si="22"/>
        <v>8</v>
      </c>
      <c r="O796" s="7" t="str">
        <f ca="1">getCodigoBackend(N796,A796,VLOOKUP(N796,setup!$A$8:$H$58,2),VLOOKUP(N796,setup!$A$8:$H$58,3),VLOOKUP(N796,setup!$A$8:$H$58,4),VLOOKUP(N796,setup!$A$8:$H$58,5),VLOOKUP(N796,setup!$A$8:$H$58,6),VLOOKUP(N796,setup!$A$8:$H$58,7), VLOOKUP(0,setup!$A$8:$H$58,2),VLOOKUP(0,setup!$A$8:$H$58,5),VLOOKUP(N796,setup!$A$8:$H$58,8))</f>
        <v xml:space="preserve">        }</v>
      </c>
    </row>
    <row r="797" spans="1:15" x14ac:dyDescent="0.25">
      <c r="A797" s="29"/>
      <c r="N797">
        <f t="shared" si="22"/>
        <v>8</v>
      </c>
      <c r="O797" s="7" t="str">
        <f ca="1">getCodigoBackend(N797,A797,VLOOKUP(N797,setup!$A$8:$H$58,2),VLOOKUP(N797,setup!$A$8:$H$58,3),VLOOKUP(N797,setup!$A$8:$H$58,4),VLOOKUP(N797,setup!$A$8:$H$58,5),VLOOKUP(N797,setup!$A$8:$H$58,6),VLOOKUP(N797,setup!$A$8:$H$58,7), VLOOKUP(0,setup!$A$8:$H$58,2),VLOOKUP(0,setup!$A$8:$H$58,5),VLOOKUP(N797,setup!$A$8:$H$58,8))</f>
        <v/>
      </c>
    </row>
    <row r="798" spans="1:15" x14ac:dyDescent="0.25">
      <c r="A798" s="29" t="s">
        <v>743</v>
      </c>
      <c r="N798">
        <f t="shared" si="22"/>
        <v>8</v>
      </c>
      <c r="O798" s="7" t="str">
        <f ca="1">getCodigoBackend(N798,A798,VLOOKUP(N798,setup!$A$8:$H$58,2),VLOOKUP(N798,setup!$A$8:$H$58,3),VLOOKUP(N798,setup!$A$8:$H$58,4),VLOOKUP(N798,setup!$A$8:$H$58,5),VLOOKUP(N798,setup!$A$8:$H$58,6),VLOOKUP(N798,setup!$A$8:$H$58,7), VLOOKUP(0,setup!$A$8:$H$58,2),VLOOKUP(0,setup!$A$8:$H$58,5),VLOOKUP(N798,setup!$A$8:$H$58,8))</f>
        <v xml:space="preserve">        return $retorno;</v>
      </c>
    </row>
    <row r="799" spans="1:15" x14ac:dyDescent="0.25">
      <c r="A799" s="29" t="s">
        <v>406</v>
      </c>
      <c r="N799">
        <f t="shared" si="22"/>
        <v>8</v>
      </c>
      <c r="O799" s="7" t="str">
        <f ca="1">getCodigoBackend(N799,A799,VLOOKUP(N799,setup!$A$8:$H$58,2),VLOOKUP(N799,setup!$A$8:$H$58,3),VLOOKUP(N799,setup!$A$8:$H$58,4),VLOOKUP(N799,setup!$A$8:$H$58,5),VLOOKUP(N799,setup!$A$8:$H$58,6),VLOOKUP(N799,setup!$A$8:$H$58,7), VLOOKUP(0,setup!$A$8:$H$58,2),VLOOKUP(0,setup!$A$8:$H$58,5),VLOOKUP(N799,setup!$A$8:$H$58,8))</f>
        <v xml:space="preserve">    }</v>
      </c>
    </row>
    <row r="800" spans="1:15" x14ac:dyDescent="0.25">
      <c r="A800" s="29"/>
      <c r="O800" s="7" t="str">
        <f ca="1">getCodigoBackend(N800,A800,VLOOKUP(N800,setup!$A$8:$H$58,2),VLOOKUP(N800,setup!$A$8:$H$58,3),VLOOKUP(N800,setup!$A$8:$H$58,4),VLOOKUP(N800,setup!$A$8:$H$58,5),VLOOKUP(N800,setup!$A$8:$H$58,6),VLOOKUP(N800,setup!$A$8:$H$58,7), VLOOKUP(0,setup!$A$8:$H$58,2),VLOOKUP(0,setup!$A$8:$H$58,5),VLOOKUP(N800,setup!$A$8:$H$58,8))</f>
        <v/>
      </c>
    </row>
    <row r="801" spans="1:15" x14ac:dyDescent="0.25">
      <c r="A801" s="6" t="s">
        <v>140</v>
      </c>
      <c r="N801">
        <f>N799+1</f>
        <v>9</v>
      </c>
      <c r="O801" s="7" t="str">
        <f ca="1">getCodigoBackend(N801,A801,VLOOKUP(N801,setup!$A$8:$H$58,2),VLOOKUP(N801,setup!$A$8:$H$58,3),VLOOKUP(N801,setup!$A$8:$H$58,4),VLOOKUP(N801,setup!$A$8:$H$58,5),VLOOKUP(N801,setup!$A$8:$H$58,6),VLOOKUP(N801,setup!$A$8:$H$58,7), VLOOKUP(0,setup!$A$8:$H$58,2),VLOOKUP(0,setup!$A$8:$H$58,5),VLOOKUP(N801,setup!$A$8:$H$58,8))</f>
        <v>    /**</v>
      </c>
    </row>
    <row r="802" spans="1:15" x14ac:dyDescent="0.25">
      <c r="A802" s="4" t="s">
        <v>775</v>
      </c>
      <c r="N802">
        <f>N801</f>
        <v>9</v>
      </c>
      <c r="O802" s="7" t="str">
        <f ca="1">getCodigoBackend(N802,A802,VLOOKUP(N802,setup!$A$8:$H$58,2),VLOOKUP(N802,setup!$A$8:$H$58,3),VLOOKUP(N802,setup!$A$8:$H$58,4),VLOOKUP(N802,setup!$A$8:$H$58,5),VLOOKUP(N802,setup!$A$8:$H$58,6),VLOOKUP(N802,setup!$A$8:$H$58,7), VLOOKUP(0,setup!$A$8:$H$58,2),VLOOKUP(0,setup!$A$8:$H$58,5),VLOOKUP(N802,setup!$A$8:$H$58,8))</f>
        <v>    * updateDtestagiofinanceiro() - implementação da assinatura em CampanhaCashbackResgatePixDAO</v>
      </c>
    </row>
    <row r="803" spans="1:15" x14ac:dyDescent="0.25">
      <c r="A803" s="4" t="s">
        <v>141</v>
      </c>
      <c r="N803">
        <f t="shared" ref="N803:N820" si="23">N802</f>
        <v>9</v>
      </c>
      <c r="O803" s="7" t="str">
        <f ca="1">getCodigoBackend(N803,A803,VLOOKUP(N803,setup!$A$8:$H$58,2),VLOOKUP(N803,setup!$A$8:$H$58,3),VLOOKUP(N803,setup!$A$8:$H$58,4),VLOOKUP(N803,setup!$A$8:$H$58,5),VLOOKUP(N803,setup!$A$8:$H$58,6),VLOOKUP(N803,setup!$A$8:$H$58,7), VLOOKUP(0,setup!$A$8:$H$58,2),VLOOKUP(0,setup!$A$8:$H$58,5),VLOOKUP(N803,setup!$A$8:$H$58,8))</f>
        <v>    */</v>
      </c>
    </row>
    <row r="804" spans="1:15" x14ac:dyDescent="0.25">
      <c r="A804" s="29" t="s">
        <v>776</v>
      </c>
      <c r="N804">
        <f t="shared" si="23"/>
        <v>9</v>
      </c>
      <c r="O804" s="7" t="str">
        <f ca="1">getCodigoBackend(N804,A804,VLOOKUP(N804,setup!$A$8:$H$58,2),VLOOKUP(N804,setup!$A$8:$H$58,3),VLOOKUP(N804,setup!$A$8:$H$58,4),VLOOKUP(N804,setup!$A$8:$H$58,5),VLOOKUP(N804,setup!$A$8:$H$58,6),VLOOKUP(N804,setup!$A$8:$H$58,7), VLOOKUP(0,setup!$A$8:$H$58,2),VLOOKUP(0,setup!$A$8:$H$58,5),VLOOKUP(N804,setup!$A$8:$H$58,8))</f>
        <v xml:space="preserve">    public function updateDtestagiofinanceiro($id, $dtEstagioFinanceiro)</v>
      </c>
    </row>
    <row r="805" spans="1:15" x14ac:dyDescent="0.25">
      <c r="A805" s="29" t="s">
        <v>763</v>
      </c>
      <c r="N805">
        <f t="shared" si="23"/>
        <v>9</v>
      </c>
      <c r="O805" s="7" t="str">
        <f ca="1">getCodigoBackend(N805,A805,VLOOKUP(N805,setup!$A$8:$H$58,2),VLOOKUP(N805,setup!$A$8:$H$58,3),VLOOKUP(N805,setup!$A$8:$H$58,4),VLOOKUP(N805,setup!$A$8:$H$58,5),VLOOKUP(N805,setup!$A$8:$H$58,6),VLOOKUP(N805,setup!$A$8:$H$58,7), VLOOKUP(0,setup!$A$8:$H$58,2),VLOOKUP(0,setup!$A$8:$H$58,5),VLOOKUP(N805,setup!$A$8:$H$58,8))</f>
        <v xml:space="preserve">    {   </v>
      </c>
    </row>
    <row r="806" spans="1:15" x14ac:dyDescent="0.25">
      <c r="A806" s="29" t="s">
        <v>764</v>
      </c>
      <c r="N806">
        <f t="shared" si="23"/>
        <v>9</v>
      </c>
      <c r="O806" s="7" t="str">
        <f ca="1">getCodigoBackend(N806,A806,VLOOKUP(N806,setup!$A$8:$H$58,2),VLOOKUP(N806,setup!$A$8:$H$58,3),VLOOKUP(N806,setup!$A$8:$H$58,4),VLOOKUP(N806,setup!$A$8:$H$58,5),VLOOKUP(N806,setup!$A$8:$H$58,6),VLOOKUP(N806,setup!$A$8:$H$58,7), VLOOKUP(0,setup!$A$8:$H$58,2),VLOOKUP(0,setup!$A$8:$H$58,5),VLOOKUP(N806,setup!$A$8:$H$58,8))</f>
        <v xml:space="preserve">        $retorno = false;</v>
      </c>
    </row>
    <row r="807" spans="1:15" x14ac:dyDescent="0.25">
      <c r="A807" s="29" t="s">
        <v>765</v>
      </c>
      <c r="N807">
        <f t="shared" si="23"/>
        <v>9</v>
      </c>
      <c r="O807" s="7" t="str">
        <f ca="1">getCodigoBackend(N807,A807,VLOOKUP(N807,setup!$A$8:$H$58,2),VLOOKUP(N807,setup!$A$8:$H$58,3),VLOOKUP(N807,setup!$A$8:$H$58,4),VLOOKUP(N807,setup!$A$8:$H$58,5),VLOOKUP(N807,setup!$A$8:$H$58,6),VLOOKUP(N807,setup!$A$8:$H$58,7), VLOOKUP(0,setup!$A$8:$H$58,2),VLOOKUP(0,setup!$A$8:$H$58,5),VLOOKUP(N807,setup!$A$8:$H$58,8))</f>
        <v xml:space="preserve">        // prepara sessão, query, troca de valores, acoplagem do resultado e o fetch</v>
      </c>
    </row>
    <row r="808" spans="1:15" x14ac:dyDescent="0.25">
      <c r="A808" s="29" t="s">
        <v>766</v>
      </c>
      <c r="N808">
        <f t="shared" si="23"/>
        <v>9</v>
      </c>
      <c r="O808" s="7" t="str">
        <f ca="1">getCodigoBackend(N808,A808,VLOOKUP(N808,setup!$A$8:$H$58,2),VLOOKUP(N808,setup!$A$8:$H$58,3),VLOOKUP(N808,setup!$A$8:$H$58,4),VLOOKUP(N808,setup!$A$8:$H$58,5),VLOOKUP(N808,setup!$A$8:$H$58,6),VLOOKUP(N808,setup!$A$8:$H$58,7), VLOOKUP(0,setup!$A$8:$H$58,2),VLOOKUP(0,setup!$A$8:$H$58,5),VLOOKUP(N808,setup!$A$8:$H$58,8))</f>
        <v xml:space="preserve">        $conexao = $this-&gt;daofactory-&gt;getSession();</v>
      </c>
    </row>
    <row r="809" spans="1:15" x14ac:dyDescent="0.25">
      <c r="A809" s="29" t="s">
        <v>774</v>
      </c>
      <c r="N809">
        <f t="shared" si="23"/>
        <v>9</v>
      </c>
      <c r="O809" s="7" t="str">
        <f ca="1">getCodigoBackend(N809,A809,VLOOKUP(N809,setup!$A$8:$H$58,2),VLOOKUP(N809,setup!$A$8:$H$58,3),VLOOKUP(N809,setup!$A$8:$H$58,4),VLOOKUP(N809,setup!$A$8:$H$58,5),VLOOKUP(N809,setup!$A$8:$H$58,6),VLOOKUP(N809,setup!$A$8:$H$58,7), VLOOKUP(0,setup!$A$8:$H$58,2),VLOOKUP(0,setup!$A$8:$H$58,5),VLOOKUP(N809,setup!$A$8:$H$58,8))</f>
        <v xml:space="preserve">        $stmt = $conexao-&gt;prepare(DmlSqlCampanhaCashbackResgatePix::UPD_CAMPANHA_CASHBACK_RESGATE_PIX_CCRP_DT_ESTAGIO_FINANCEIRO_PK);</v>
      </c>
    </row>
    <row r="810" spans="1:15" x14ac:dyDescent="0.25">
      <c r="A810" s="29" t="s">
        <v>770</v>
      </c>
      <c r="N810">
        <f t="shared" si="23"/>
        <v>9</v>
      </c>
      <c r="O810" s="7" t="str">
        <f ca="1">getCodigoBackend(N810,A810,VLOOKUP(N810,setup!$A$8:$H$58,2),VLOOKUP(N810,setup!$A$8:$H$58,3),VLOOKUP(N810,setup!$A$8:$H$58,4),VLOOKUP(N810,setup!$A$8:$H$58,5),VLOOKUP(N810,setup!$A$8:$H$58,6),VLOOKUP(N810,setup!$A$8:$H$58,7), VLOOKUP(0,setup!$A$8:$H$58,2),VLOOKUP(0,setup!$A$8:$H$58,5),VLOOKUP(N810,setup!$A$8:$H$58,8))</f>
        <v xml:space="preserve">        $stmt-&gt;bind_param(DmlSql::STRING_TYPE </v>
      </c>
    </row>
    <row r="811" spans="1:15" x14ac:dyDescent="0.25">
      <c r="A811" s="29" t="s">
        <v>771</v>
      </c>
      <c r="N811">
        <f t="shared" si="23"/>
        <v>9</v>
      </c>
      <c r="O811" s="7" t="str">
        <f ca="1">getCodigoBackend(N811,A811,VLOOKUP(N811,setup!$A$8:$H$58,2),VLOOKUP(N811,setup!$A$8:$H$58,3),VLOOKUP(N811,setup!$A$8:$H$58,4),VLOOKUP(N811,setup!$A$8:$H$58,5),VLOOKUP(N811,setup!$A$8:$H$58,6),VLOOKUP(N811,setup!$A$8:$H$58,7), VLOOKUP(0,setup!$A$8:$H$58,2),VLOOKUP(0,setup!$A$8:$H$58,5),VLOOKUP(N811,setup!$A$8:$H$58,8))</f>
        <v xml:space="preserve">                            . DmlSql::STRING_TYPE</v>
      </c>
    </row>
    <row r="812" spans="1:15" x14ac:dyDescent="0.25">
      <c r="A812" s="29" t="s">
        <v>772</v>
      </c>
      <c r="N812">
        <f t="shared" si="23"/>
        <v>9</v>
      </c>
      <c r="O812" s="7" t="str">
        <f ca="1">getCodigoBackend(N812,A812,VLOOKUP(N812,setup!$A$8:$H$58,2),VLOOKUP(N812,setup!$A$8:$H$58,3),VLOOKUP(N812,setup!$A$8:$H$58,4),VLOOKUP(N812,setup!$A$8:$H$58,5),VLOOKUP(N812,setup!$A$8:$H$58,6),VLOOKUP(N812,setup!$A$8:$H$58,7), VLOOKUP(0,setup!$A$8:$H$58,2),VLOOKUP(0,setup!$A$8:$H$58,5),VLOOKUP(N812,setup!$A$8:$H$58,8))</f>
        <v xml:space="preserve">                            ,$dtEstagioFinanceiro</v>
      </c>
    </row>
    <row r="813" spans="1:15" x14ac:dyDescent="0.25">
      <c r="A813" s="29" t="s">
        <v>773</v>
      </c>
      <c r="N813">
        <f t="shared" si="23"/>
        <v>9</v>
      </c>
      <c r="O813" s="7" t="str">
        <f ca="1">getCodigoBackend(N813,A813,VLOOKUP(N813,setup!$A$8:$H$58,2),VLOOKUP(N813,setup!$A$8:$H$58,3),VLOOKUP(N813,setup!$A$8:$H$58,4),VLOOKUP(N813,setup!$A$8:$H$58,5),VLOOKUP(N813,setup!$A$8:$H$58,6),VLOOKUP(N813,setup!$A$8:$H$58,7), VLOOKUP(0,setup!$A$8:$H$58,2),VLOOKUP(0,setup!$A$8:$H$58,5),VLOOKUP(N813,setup!$A$8:$H$58,8))</f>
        <v xml:space="preserve">                            ,$id);</v>
      </c>
    </row>
    <row r="814" spans="1:15" x14ac:dyDescent="0.25">
      <c r="A814" s="29" t="s">
        <v>767</v>
      </c>
      <c r="N814">
        <f t="shared" si="23"/>
        <v>9</v>
      </c>
      <c r="O814" s="7" t="str">
        <f ca="1">getCodigoBackend(N814,A814,VLOOKUP(N814,setup!$A$8:$H$58,2),VLOOKUP(N814,setup!$A$8:$H$58,3),VLOOKUP(N814,setup!$A$8:$H$58,4),VLOOKUP(N814,setup!$A$8:$H$58,5),VLOOKUP(N814,setup!$A$8:$H$58,6),VLOOKUP(N814,setup!$A$8:$H$58,7), VLOOKUP(0,setup!$A$8:$H$58,2),VLOOKUP(0,setup!$A$8:$H$58,5),VLOOKUP(N814,setup!$A$8:$H$58,8))</f>
        <v xml:space="preserve">        if ($stmt-&gt;execute())</v>
      </c>
    </row>
    <row r="815" spans="1:15" x14ac:dyDescent="0.25">
      <c r="A815" s="29" t="s">
        <v>768</v>
      </c>
      <c r="N815">
        <f t="shared" si="23"/>
        <v>9</v>
      </c>
      <c r="O815" s="7" t="str">
        <f ca="1">getCodigoBackend(N815,A815,VLOOKUP(N815,setup!$A$8:$H$58,2),VLOOKUP(N815,setup!$A$8:$H$58,3),VLOOKUP(N815,setup!$A$8:$H$58,4),VLOOKUP(N815,setup!$A$8:$H$58,5),VLOOKUP(N815,setup!$A$8:$H$58,6),VLOOKUP(N815,setup!$A$8:$H$58,7), VLOOKUP(0,setup!$A$8:$H$58,2),VLOOKUP(0,setup!$A$8:$H$58,5),VLOOKUP(N815,setup!$A$8:$H$58,8))</f>
        <v xml:space="preserve">        {</v>
      </c>
    </row>
    <row r="816" spans="1:15" x14ac:dyDescent="0.25">
      <c r="A816" s="29" t="s">
        <v>769</v>
      </c>
      <c r="N816">
        <f t="shared" si="23"/>
        <v>9</v>
      </c>
      <c r="O816" s="7" t="str">
        <f ca="1">getCodigoBackend(N816,A816,VLOOKUP(N816,setup!$A$8:$H$58,2),VLOOKUP(N816,setup!$A$8:$H$58,3),VLOOKUP(N816,setup!$A$8:$H$58,4),VLOOKUP(N816,setup!$A$8:$H$58,5),VLOOKUP(N816,setup!$A$8:$H$58,6),VLOOKUP(N816,setup!$A$8:$H$58,7), VLOOKUP(0,setup!$A$8:$H$58,2),VLOOKUP(0,setup!$A$8:$H$58,5),VLOOKUP(N816,setup!$A$8:$H$58,8))</f>
        <v xml:space="preserve">            $retorno = true;</v>
      </c>
    </row>
    <row r="817" spans="1:15" x14ac:dyDescent="0.25">
      <c r="A817" s="29" t="s">
        <v>157</v>
      </c>
      <c r="N817">
        <f t="shared" si="23"/>
        <v>9</v>
      </c>
      <c r="O817" s="7" t="str">
        <f ca="1">getCodigoBackend(N817,A817,VLOOKUP(N817,setup!$A$8:$H$58,2),VLOOKUP(N817,setup!$A$8:$H$58,3),VLOOKUP(N817,setup!$A$8:$H$58,4),VLOOKUP(N817,setup!$A$8:$H$58,5),VLOOKUP(N817,setup!$A$8:$H$58,6),VLOOKUP(N817,setup!$A$8:$H$58,7), VLOOKUP(0,setup!$A$8:$H$58,2),VLOOKUP(0,setup!$A$8:$H$58,5),VLOOKUP(N817,setup!$A$8:$H$58,8))</f>
        <v xml:space="preserve">        }</v>
      </c>
    </row>
    <row r="818" spans="1:15" x14ac:dyDescent="0.25">
      <c r="A818" s="29"/>
      <c r="N818">
        <f t="shared" si="23"/>
        <v>9</v>
      </c>
      <c r="O818" s="7" t="str">
        <f ca="1">getCodigoBackend(N818,A818,VLOOKUP(N818,setup!$A$8:$H$58,2),VLOOKUP(N818,setup!$A$8:$H$58,3),VLOOKUP(N818,setup!$A$8:$H$58,4),VLOOKUP(N818,setup!$A$8:$H$58,5),VLOOKUP(N818,setup!$A$8:$H$58,6),VLOOKUP(N818,setup!$A$8:$H$58,7), VLOOKUP(0,setup!$A$8:$H$58,2),VLOOKUP(0,setup!$A$8:$H$58,5),VLOOKUP(N818,setup!$A$8:$H$58,8))</f>
        <v/>
      </c>
    </row>
    <row r="819" spans="1:15" x14ac:dyDescent="0.25">
      <c r="A819" s="29" t="s">
        <v>743</v>
      </c>
      <c r="N819">
        <f t="shared" si="23"/>
        <v>9</v>
      </c>
      <c r="O819" s="7" t="str">
        <f ca="1">getCodigoBackend(N819,A819,VLOOKUP(N819,setup!$A$8:$H$58,2),VLOOKUP(N819,setup!$A$8:$H$58,3),VLOOKUP(N819,setup!$A$8:$H$58,4),VLOOKUP(N819,setup!$A$8:$H$58,5),VLOOKUP(N819,setup!$A$8:$H$58,6),VLOOKUP(N819,setup!$A$8:$H$58,7), VLOOKUP(0,setup!$A$8:$H$58,2),VLOOKUP(0,setup!$A$8:$H$58,5),VLOOKUP(N819,setup!$A$8:$H$58,8))</f>
        <v xml:space="preserve">        return $retorno;</v>
      </c>
    </row>
    <row r="820" spans="1:15" x14ac:dyDescent="0.25">
      <c r="A820" s="29" t="s">
        <v>406</v>
      </c>
      <c r="N820">
        <f t="shared" si="23"/>
        <v>9</v>
      </c>
      <c r="O820" s="7" t="str">
        <f ca="1">getCodigoBackend(N820,A820,VLOOKUP(N820,setup!$A$8:$H$58,2),VLOOKUP(N820,setup!$A$8:$H$58,3),VLOOKUP(N820,setup!$A$8:$H$58,4),VLOOKUP(N820,setup!$A$8:$H$58,5),VLOOKUP(N820,setup!$A$8:$H$58,6),VLOOKUP(N820,setup!$A$8:$H$58,7), VLOOKUP(0,setup!$A$8:$H$58,2),VLOOKUP(0,setup!$A$8:$H$58,5),VLOOKUP(N820,setup!$A$8:$H$58,8))</f>
        <v xml:space="preserve">    }</v>
      </c>
    </row>
    <row r="821" spans="1:15" x14ac:dyDescent="0.25">
      <c r="A821" s="6"/>
      <c r="O821" s="7" t="str">
        <f ca="1">getCodigoBackend(N821,A821,VLOOKUP(N821,setup!$A$8:$H$58,2),VLOOKUP(N821,setup!$A$8:$H$58,3),VLOOKUP(N821,setup!$A$8:$H$58,4),VLOOKUP(N821,setup!$A$8:$H$58,5),VLOOKUP(N821,setup!$A$8:$H$58,6),VLOOKUP(N821,setup!$A$8:$H$58,7), VLOOKUP(0,setup!$A$8:$H$58,2),VLOOKUP(0,setup!$A$8:$H$58,5),VLOOKUP(N821,setup!$A$8:$H$58,8))</f>
        <v/>
      </c>
    </row>
    <row r="822" spans="1:15" x14ac:dyDescent="0.25">
      <c r="A822" s="6" t="s">
        <v>140</v>
      </c>
      <c r="N822">
        <f>N820+1</f>
        <v>10</v>
      </c>
      <c r="O822" s="7" t="str">
        <f ca="1">getCodigoBackend(N822,A822,VLOOKUP(N822,setup!$A$8:$H$58,2),VLOOKUP(N822,setup!$A$8:$H$58,3),VLOOKUP(N822,setup!$A$8:$H$58,4),VLOOKUP(N822,setup!$A$8:$H$58,5),VLOOKUP(N822,setup!$A$8:$H$58,6),VLOOKUP(N822,setup!$A$8:$H$58,7), VLOOKUP(0,setup!$A$8:$H$58,2),VLOOKUP(0,setup!$A$8:$H$58,5),VLOOKUP(N822,setup!$A$8:$H$58,8))</f>
        <v>    /**</v>
      </c>
    </row>
    <row r="823" spans="1:15" x14ac:dyDescent="0.25">
      <c r="A823" s="4" t="s">
        <v>775</v>
      </c>
      <c r="N823">
        <f>N822</f>
        <v>10</v>
      </c>
      <c r="O823" s="7" t="str">
        <f ca="1">getCodigoBackend(N823,A823,VLOOKUP(N823,setup!$A$8:$H$58,2),VLOOKUP(N823,setup!$A$8:$H$58,3),VLOOKUP(N823,setup!$A$8:$H$58,4),VLOOKUP(N823,setup!$A$8:$H$58,5),VLOOKUP(N823,setup!$A$8:$H$58,6),VLOOKUP(N823,setup!$A$8:$H$58,7), VLOOKUP(0,setup!$A$8:$H$58,2),VLOOKUP(0,setup!$A$8:$H$58,5),VLOOKUP(N823,setup!$A$8:$H$58,8))</f>
        <v>    * updateDtestagioerro() - implementação da assinatura em CampanhaCashbackResgatePixDAO</v>
      </c>
    </row>
    <row r="824" spans="1:15" x14ac:dyDescent="0.25">
      <c r="A824" s="4" t="s">
        <v>141</v>
      </c>
      <c r="N824">
        <f t="shared" ref="N824:N841" si="24">N823</f>
        <v>10</v>
      </c>
      <c r="O824" s="7" t="str">
        <f ca="1">getCodigoBackend(N824,A824,VLOOKUP(N824,setup!$A$8:$H$58,2),VLOOKUP(N824,setup!$A$8:$H$58,3),VLOOKUP(N824,setup!$A$8:$H$58,4),VLOOKUP(N824,setup!$A$8:$H$58,5),VLOOKUP(N824,setup!$A$8:$H$58,6),VLOOKUP(N824,setup!$A$8:$H$58,7), VLOOKUP(0,setup!$A$8:$H$58,2),VLOOKUP(0,setup!$A$8:$H$58,5),VLOOKUP(N824,setup!$A$8:$H$58,8))</f>
        <v>    */</v>
      </c>
    </row>
    <row r="825" spans="1:15" x14ac:dyDescent="0.25">
      <c r="A825" s="29" t="s">
        <v>776</v>
      </c>
      <c r="N825">
        <f t="shared" si="24"/>
        <v>10</v>
      </c>
      <c r="O825" s="7" t="str">
        <f ca="1">getCodigoBackend(N825,A825,VLOOKUP(N825,setup!$A$8:$H$58,2),VLOOKUP(N825,setup!$A$8:$H$58,3),VLOOKUP(N825,setup!$A$8:$H$58,4),VLOOKUP(N825,setup!$A$8:$H$58,5),VLOOKUP(N825,setup!$A$8:$H$58,6),VLOOKUP(N825,setup!$A$8:$H$58,7), VLOOKUP(0,setup!$A$8:$H$58,2),VLOOKUP(0,setup!$A$8:$H$58,5),VLOOKUP(N825,setup!$A$8:$H$58,8))</f>
        <v xml:space="preserve">    public function updateDtestagioerro($id, $dtEstagioErro)</v>
      </c>
    </row>
    <row r="826" spans="1:15" x14ac:dyDescent="0.25">
      <c r="A826" s="29" t="s">
        <v>763</v>
      </c>
      <c r="N826">
        <f t="shared" si="24"/>
        <v>10</v>
      </c>
      <c r="O826" s="7" t="str">
        <f ca="1">getCodigoBackend(N826,A826,VLOOKUP(N826,setup!$A$8:$H$58,2),VLOOKUP(N826,setup!$A$8:$H$58,3),VLOOKUP(N826,setup!$A$8:$H$58,4),VLOOKUP(N826,setup!$A$8:$H$58,5),VLOOKUP(N826,setup!$A$8:$H$58,6),VLOOKUP(N826,setup!$A$8:$H$58,7), VLOOKUP(0,setup!$A$8:$H$58,2),VLOOKUP(0,setup!$A$8:$H$58,5),VLOOKUP(N826,setup!$A$8:$H$58,8))</f>
        <v xml:space="preserve">    {   </v>
      </c>
    </row>
    <row r="827" spans="1:15" x14ac:dyDescent="0.25">
      <c r="A827" s="29" t="s">
        <v>764</v>
      </c>
      <c r="N827">
        <f t="shared" si="24"/>
        <v>10</v>
      </c>
      <c r="O827" s="7" t="str">
        <f ca="1">getCodigoBackend(N827,A827,VLOOKUP(N827,setup!$A$8:$H$58,2),VLOOKUP(N827,setup!$A$8:$H$58,3),VLOOKUP(N827,setup!$A$8:$H$58,4),VLOOKUP(N827,setup!$A$8:$H$58,5),VLOOKUP(N827,setup!$A$8:$H$58,6),VLOOKUP(N827,setup!$A$8:$H$58,7), VLOOKUP(0,setup!$A$8:$H$58,2),VLOOKUP(0,setup!$A$8:$H$58,5),VLOOKUP(N827,setup!$A$8:$H$58,8))</f>
        <v xml:space="preserve">        $retorno = false;</v>
      </c>
    </row>
    <row r="828" spans="1:15" x14ac:dyDescent="0.25">
      <c r="A828" s="29" t="s">
        <v>765</v>
      </c>
      <c r="N828">
        <f t="shared" si="24"/>
        <v>10</v>
      </c>
      <c r="O828" s="7" t="str">
        <f ca="1">getCodigoBackend(N828,A828,VLOOKUP(N828,setup!$A$8:$H$58,2),VLOOKUP(N828,setup!$A$8:$H$58,3),VLOOKUP(N828,setup!$A$8:$H$58,4),VLOOKUP(N828,setup!$A$8:$H$58,5),VLOOKUP(N828,setup!$A$8:$H$58,6),VLOOKUP(N828,setup!$A$8:$H$58,7), VLOOKUP(0,setup!$A$8:$H$58,2),VLOOKUP(0,setup!$A$8:$H$58,5),VLOOKUP(N828,setup!$A$8:$H$58,8))</f>
        <v xml:space="preserve">        // prepara sessão, query, troca de valores, acoplagem do resultado e o fetch</v>
      </c>
    </row>
    <row r="829" spans="1:15" x14ac:dyDescent="0.25">
      <c r="A829" s="29" t="s">
        <v>766</v>
      </c>
      <c r="N829">
        <f t="shared" si="24"/>
        <v>10</v>
      </c>
      <c r="O829" s="7" t="str">
        <f ca="1">getCodigoBackend(N829,A829,VLOOKUP(N829,setup!$A$8:$H$58,2),VLOOKUP(N829,setup!$A$8:$H$58,3),VLOOKUP(N829,setup!$A$8:$H$58,4),VLOOKUP(N829,setup!$A$8:$H$58,5),VLOOKUP(N829,setup!$A$8:$H$58,6),VLOOKUP(N829,setup!$A$8:$H$58,7), VLOOKUP(0,setup!$A$8:$H$58,2),VLOOKUP(0,setup!$A$8:$H$58,5),VLOOKUP(N829,setup!$A$8:$H$58,8))</f>
        <v xml:space="preserve">        $conexao = $this-&gt;daofactory-&gt;getSession();</v>
      </c>
    </row>
    <row r="830" spans="1:15" x14ac:dyDescent="0.25">
      <c r="A830" s="29" t="s">
        <v>774</v>
      </c>
      <c r="N830">
        <f t="shared" si="24"/>
        <v>10</v>
      </c>
      <c r="O830" s="7" t="str">
        <f ca="1">getCodigoBackend(N830,A830,VLOOKUP(N830,setup!$A$8:$H$58,2),VLOOKUP(N830,setup!$A$8:$H$58,3),VLOOKUP(N830,setup!$A$8:$H$58,4),VLOOKUP(N830,setup!$A$8:$H$58,5),VLOOKUP(N830,setup!$A$8:$H$58,6),VLOOKUP(N830,setup!$A$8:$H$58,7), VLOOKUP(0,setup!$A$8:$H$58,2),VLOOKUP(0,setup!$A$8:$H$58,5),VLOOKUP(N830,setup!$A$8:$H$58,8))</f>
        <v xml:space="preserve">        $stmt = $conexao-&gt;prepare(DmlSqlCampanhaCashbackResgatePix::UPD_CAMPANHA_CASHBACK_RESGATE_PIX_CCRP_DT_ESTAGIO_ERRO_PK);</v>
      </c>
    </row>
    <row r="831" spans="1:15" x14ac:dyDescent="0.25">
      <c r="A831" s="29" t="s">
        <v>770</v>
      </c>
      <c r="N831">
        <f t="shared" si="24"/>
        <v>10</v>
      </c>
      <c r="O831" s="7" t="str">
        <f ca="1">getCodigoBackend(N831,A831,VLOOKUP(N831,setup!$A$8:$H$58,2),VLOOKUP(N831,setup!$A$8:$H$58,3),VLOOKUP(N831,setup!$A$8:$H$58,4),VLOOKUP(N831,setup!$A$8:$H$58,5),VLOOKUP(N831,setup!$A$8:$H$58,6),VLOOKUP(N831,setup!$A$8:$H$58,7), VLOOKUP(0,setup!$A$8:$H$58,2),VLOOKUP(0,setup!$A$8:$H$58,5),VLOOKUP(N831,setup!$A$8:$H$58,8))</f>
        <v xml:space="preserve">        $stmt-&gt;bind_param(DmlSql::STRING_TYPE </v>
      </c>
    </row>
    <row r="832" spans="1:15" x14ac:dyDescent="0.25">
      <c r="A832" s="29" t="s">
        <v>771</v>
      </c>
      <c r="N832">
        <f t="shared" si="24"/>
        <v>10</v>
      </c>
      <c r="O832" s="7" t="str">
        <f ca="1">getCodigoBackend(N832,A832,VLOOKUP(N832,setup!$A$8:$H$58,2),VLOOKUP(N832,setup!$A$8:$H$58,3),VLOOKUP(N832,setup!$A$8:$H$58,4),VLOOKUP(N832,setup!$A$8:$H$58,5),VLOOKUP(N832,setup!$A$8:$H$58,6),VLOOKUP(N832,setup!$A$8:$H$58,7), VLOOKUP(0,setup!$A$8:$H$58,2),VLOOKUP(0,setup!$A$8:$H$58,5),VLOOKUP(N832,setup!$A$8:$H$58,8))</f>
        <v xml:space="preserve">                            . DmlSql::STRING_TYPE</v>
      </c>
    </row>
    <row r="833" spans="1:15" x14ac:dyDescent="0.25">
      <c r="A833" s="29" t="s">
        <v>772</v>
      </c>
      <c r="N833">
        <f t="shared" si="24"/>
        <v>10</v>
      </c>
      <c r="O833" s="7" t="str">
        <f ca="1">getCodigoBackend(N833,A833,VLOOKUP(N833,setup!$A$8:$H$58,2),VLOOKUP(N833,setup!$A$8:$H$58,3),VLOOKUP(N833,setup!$A$8:$H$58,4),VLOOKUP(N833,setup!$A$8:$H$58,5),VLOOKUP(N833,setup!$A$8:$H$58,6),VLOOKUP(N833,setup!$A$8:$H$58,7), VLOOKUP(0,setup!$A$8:$H$58,2),VLOOKUP(0,setup!$A$8:$H$58,5),VLOOKUP(N833,setup!$A$8:$H$58,8))</f>
        <v xml:space="preserve">                            ,$dtEstagioErro</v>
      </c>
    </row>
    <row r="834" spans="1:15" x14ac:dyDescent="0.25">
      <c r="A834" s="29" t="s">
        <v>773</v>
      </c>
      <c r="N834">
        <f t="shared" si="24"/>
        <v>10</v>
      </c>
      <c r="O834" s="7" t="str">
        <f ca="1">getCodigoBackend(N834,A834,VLOOKUP(N834,setup!$A$8:$H$58,2),VLOOKUP(N834,setup!$A$8:$H$58,3),VLOOKUP(N834,setup!$A$8:$H$58,4),VLOOKUP(N834,setup!$A$8:$H$58,5),VLOOKUP(N834,setup!$A$8:$H$58,6),VLOOKUP(N834,setup!$A$8:$H$58,7), VLOOKUP(0,setup!$A$8:$H$58,2),VLOOKUP(0,setup!$A$8:$H$58,5),VLOOKUP(N834,setup!$A$8:$H$58,8))</f>
        <v xml:space="preserve">                            ,$id);</v>
      </c>
    </row>
    <row r="835" spans="1:15" x14ac:dyDescent="0.25">
      <c r="A835" s="29" t="s">
        <v>767</v>
      </c>
      <c r="N835">
        <f t="shared" si="24"/>
        <v>10</v>
      </c>
      <c r="O835" s="7" t="str">
        <f ca="1">getCodigoBackend(N835,A835,VLOOKUP(N835,setup!$A$8:$H$58,2),VLOOKUP(N835,setup!$A$8:$H$58,3),VLOOKUP(N835,setup!$A$8:$H$58,4),VLOOKUP(N835,setup!$A$8:$H$58,5),VLOOKUP(N835,setup!$A$8:$H$58,6),VLOOKUP(N835,setup!$A$8:$H$58,7), VLOOKUP(0,setup!$A$8:$H$58,2),VLOOKUP(0,setup!$A$8:$H$58,5),VLOOKUP(N835,setup!$A$8:$H$58,8))</f>
        <v xml:space="preserve">        if ($stmt-&gt;execute())</v>
      </c>
    </row>
    <row r="836" spans="1:15" x14ac:dyDescent="0.25">
      <c r="A836" s="29" t="s">
        <v>768</v>
      </c>
      <c r="N836">
        <f t="shared" si="24"/>
        <v>10</v>
      </c>
      <c r="O836" s="7" t="str">
        <f ca="1">getCodigoBackend(N836,A836,VLOOKUP(N836,setup!$A$8:$H$58,2),VLOOKUP(N836,setup!$A$8:$H$58,3),VLOOKUP(N836,setup!$A$8:$H$58,4),VLOOKUP(N836,setup!$A$8:$H$58,5),VLOOKUP(N836,setup!$A$8:$H$58,6),VLOOKUP(N836,setup!$A$8:$H$58,7), VLOOKUP(0,setup!$A$8:$H$58,2),VLOOKUP(0,setup!$A$8:$H$58,5),VLOOKUP(N836,setup!$A$8:$H$58,8))</f>
        <v xml:space="preserve">        {</v>
      </c>
    </row>
    <row r="837" spans="1:15" x14ac:dyDescent="0.25">
      <c r="A837" s="29" t="s">
        <v>769</v>
      </c>
      <c r="N837">
        <f t="shared" si="24"/>
        <v>10</v>
      </c>
      <c r="O837" s="7" t="str">
        <f ca="1">getCodigoBackend(N837,A837,VLOOKUP(N837,setup!$A$8:$H$58,2),VLOOKUP(N837,setup!$A$8:$H$58,3),VLOOKUP(N837,setup!$A$8:$H$58,4),VLOOKUP(N837,setup!$A$8:$H$58,5),VLOOKUP(N837,setup!$A$8:$H$58,6),VLOOKUP(N837,setup!$A$8:$H$58,7), VLOOKUP(0,setup!$A$8:$H$58,2),VLOOKUP(0,setup!$A$8:$H$58,5),VLOOKUP(N837,setup!$A$8:$H$58,8))</f>
        <v xml:space="preserve">            $retorno = true;</v>
      </c>
    </row>
    <row r="838" spans="1:15" x14ac:dyDescent="0.25">
      <c r="A838" s="29" t="s">
        <v>157</v>
      </c>
      <c r="N838">
        <f t="shared" si="24"/>
        <v>10</v>
      </c>
      <c r="O838" s="7" t="str">
        <f ca="1">getCodigoBackend(N838,A838,VLOOKUP(N838,setup!$A$8:$H$58,2),VLOOKUP(N838,setup!$A$8:$H$58,3),VLOOKUP(N838,setup!$A$8:$H$58,4),VLOOKUP(N838,setup!$A$8:$H$58,5),VLOOKUP(N838,setup!$A$8:$H$58,6),VLOOKUP(N838,setup!$A$8:$H$58,7), VLOOKUP(0,setup!$A$8:$H$58,2),VLOOKUP(0,setup!$A$8:$H$58,5),VLOOKUP(N838,setup!$A$8:$H$58,8))</f>
        <v xml:space="preserve">        }</v>
      </c>
    </row>
    <row r="839" spans="1:15" x14ac:dyDescent="0.25">
      <c r="A839" s="29"/>
      <c r="N839">
        <f t="shared" si="24"/>
        <v>10</v>
      </c>
      <c r="O839" s="7" t="str">
        <f ca="1">getCodigoBackend(N839,A839,VLOOKUP(N839,setup!$A$8:$H$58,2),VLOOKUP(N839,setup!$A$8:$H$58,3),VLOOKUP(N839,setup!$A$8:$H$58,4),VLOOKUP(N839,setup!$A$8:$H$58,5),VLOOKUP(N839,setup!$A$8:$H$58,6),VLOOKUP(N839,setup!$A$8:$H$58,7), VLOOKUP(0,setup!$A$8:$H$58,2),VLOOKUP(0,setup!$A$8:$H$58,5),VLOOKUP(N839,setup!$A$8:$H$58,8))</f>
        <v/>
      </c>
    </row>
    <row r="840" spans="1:15" x14ac:dyDescent="0.25">
      <c r="A840" s="29" t="s">
        <v>743</v>
      </c>
      <c r="N840">
        <f t="shared" si="24"/>
        <v>10</v>
      </c>
      <c r="O840" s="7" t="str">
        <f ca="1">getCodigoBackend(N840,A840,VLOOKUP(N840,setup!$A$8:$H$58,2),VLOOKUP(N840,setup!$A$8:$H$58,3),VLOOKUP(N840,setup!$A$8:$H$58,4),VLOOKUP(N840,setup!$A$8:$H$58,5),VLOOKUP(N840,setup!$A$8:$H$58,6),VLOOKUP(N840,setup!$A$8:$H$58,7), VLOOKUP(0,setup!$A$8:$H$58,2),VLOOKUP(0,setup!$A$8:$H$58,5),VLOOKUP(N840,setup!$A$8:$H$58,8))</f>
        <v xml:space="preserve">        return $retorno;</v>
      </c>
    </row>
    <row r="841" spans="1:15" x14ac:dyDescent="0.25">
      <c r="A841" s="29" t="s">
        <v>406</v>
      </c>
      <c r="N841">
        <f t="shared" si="24"/>
        <v>10</v>
      </c>
      <c r="O841" s="7" t="str">
        <f ca="1">getCodigoBackend(N841,A841,VLOOKUP(N841,setup!$A$8:$H$58,2),VLOOKUP(N841,setup!$A$8:$H$58,3),VLOOKUP(N841,setup!$A$8:$H$58,4),VLOOKUP(N841,setup!$A$8:$H$58,5),VLOOKUP(N841,setup!$A$8:$H$58,6),VLOOKUP(N841,setup!$A$8:$H$58,7), VLOOKUP(0,setup!$A$8:$H$58,2),VLOOKUP(0,setup!$A$8:$H$58,5),VLOOKUP(N841,setup!$A$8:$H$58,8))</f>
        <v xml:space="preserve">    }</v>
      </c>
    </row>
    <row r="842" spans="1:15" x14ac:dyDescent="0.25">
      <c r="A842" s="6"/>
      <c r="O842" s="7" t="str">
        <f ca="1">getCodigoBackend(N842,A842,VLOOKUP(N842,setup!$A$8:$H$58,2),VLOOKUP(N842,setup!$A$8:$H$58,3),VLOOKUP(N842,setup!$A$8:$H$58,4),VLOOKUP(N842,setup!$A$8:$H$58,5),VLOOKUP(N842,setup!$A$8:$H$58,6),VLOOKUP(N842,setup!$A$8:$H$58,7), VLOOKUP(0,setup!$A$8:$H$58,2),VLOOKUP(0,setup!$A$8:$H$58,5),VLOOKUP(N842,setup!$A$8:$H$58,8))</f>
        <v/>
      </c>
    </row>
    <row r="843" spans="1:15" x14ac:dyDescent="0.25">
      <c r="A843" s="6"/>
      <c r="O843" s="7" t="str">
        <f ca="1">getCodigoBackend(N843,A843,VLOOKUP(N843,setup!$A$8:$H$58,2),VLOOKUP(N843,setup!$A$8:$H$58,3),VLOOKUP(N843,setup!$A$8:$H$58,4),VLOOKUP(N843,setup!$A$8:$H$58,5),VLOOKUP(N843,setup!$A$8:$H$58,6),VLOOKUP(N843,setup!$A$8:$H$58,7), VLOOKUP(0,setup!$A$8:$H$58,2),VLOOKUP(0,setup!$A$8:$H$58,5),VLOOKUP(N843,setup!$A$8:$H$58,8))</f>
        <v/>
      </c>
    </row>
    <row r="844" spans="1:15" x14ac:dyDescent="0.25">
      <c r="A844" s="6" t="s">
        <v>140</v>
      </c>
      <c r="N844">
        <v>1</v>
      </c>
      <c r="O844" s="7" t="str">
        <f ca="1">getCodigoBackend(N844,A844,VLOOKUP(N844,setup!$A$8:$H$58,2),VLOOKUP(N844,setup!$A$8:$H$58,3),VLOOKUP(N844,setup!$A$8:$H$58,4),VLOOKUP(N844,setup!$A$8:$H$58,5),VLOOKUP(N844,setup!$A$8:$H$58,6),VLOOKUP(N844,setup!$A$8:$H$58,7), VLOOKUP(0,setup!$A$8:$H$58,2),VLOOKUP(0,setup!$A$8:$H$58,5),VLOOKUP(N844,setup!$A$8:$H$58,8))</f>
        <v>    /**</v>
      </c>
    </row>
    <row r="845" spans="1:15" x14ac:dyDescent="0.25">
      <c r="A845" s="4" t="s">
        <v>781</v>
      </c>
      <c r="N845">
        <v>1</v>
      </c>
      <c r="O845" s="7" t="str">
        <f ca="1">getCodigoBackend(N845,A845,VLOOKUP(N845,setup!$A$8:$H$58,2),VLOOKUP(N845,setup!$A$8:$H$58,3),VLOOKUP(N845,setup!$A$8:$H$58,4),VLOOKUP(N845,setup!$A$8:$H$58,5),VLOOKUP(N845,setup!$A$8:$H$58,6),VLOOKUP(N845,setup!$A$8:$H$58,7), VLOOKUP(0,setup!$A$8:$H$58,2),VLOOKUP(0,setup!$A$8:$H$58,5),VLOOKUP(N845,setup!$A$8:$H$58,8))</f>
        <v>    * loadIdcampanhacashback() - implementação da assinatura em CampanhaCashbackResgatePixDAO</v>
      </c>
    </row>
    <row r="846" spans="1:15" x14ac:dyDescent="0.25">
      <c r="A846" s="4" t="s">
        <v>141</v>
      </c>
      <c r="N846">
        <v>1</v>
      </c>
      <c r="O846" s="7" t="str">
        <f ca="1">getCodigoBackend(N846,A846,VLOOKUP(N846,setup!$A$8:$H$58,2),VLOOKUP(N846,setup!$A$8:$H$58,3),VLOOKUP(N846,setup!$A$8:$H$58,4),VLOOKUP(N846,setup!$A$8:$H$58,5),VLOOKUP(N846,setup!$A$8:$H$58,6),VLOOKUP(N846,setup!$A$8:$H$58,7), VLOOKUP(0,setup!$A$8:$H$58,2),VLOOKUP(0,setup!$A$8:$H$58,5),VLOOKUP(N846,setup!$A$8:$H$58,8))</f>
        <v>    */</v>
      </c>
    </row>
    <row r="847" spans="1:15" x14ac:dyDescent="0.25">
      <c r="A847" s="6"/>
      <c r="N847">
        <v>1</v>
      </c>
      <c r="O847" s="7" t="str">
        <f ca="1">getCodigoBackend(N847,A847,VLOOKUP(N847,setup!$A$8:$H$58,2),VLOOKUP(N847,setup!$A$8:$H$58,3),VLOOKUP(N847,setup!$A$8:$H$58,4),VLOOKUP(N847,setup!$A$8:$H$58,5),VLOOKUP(N847,setup!$A$8:$H$58,6),VLOOKUP(N847,setup!$A$8:$H$58,7), VLOOKUP(0,setup!$A$8:$H$58,2),VLOOKUP(0,setup!$A$8:$H$58,5),VLOOKUP(N847,setup!$A$8:$H$58,8))</f>
        <v/>
      </c>
    </row>
    <row r="848" spans="1:15" x14ac:dyDescent="0.25">
      <c r="A848" s="29" t="s">
        <v>777</v>
      </c>
      <c r="N848">
        <v>1</v>
      </c>
      <c r="O848" s="7" t="str">
        <f ca="1">getCodigoBackend(N848,A848,VLOOKUP(N848,setup!$A$8:$H$58,2),VLOOKUP(N848,setup!$A$8:$H$58,3),VLOOKUP(N848,setup!$A$8:$H$58,4),VLOOKUP(N848,setup!$A$8:$H$58,5),VLOOKUP(N848,setup!$A$8:$H$58,6),VLOOKUP(N848,setup!$A$8:$H$58,7), VLOOKUP(0,setup!$A$8:$H$58,2),VLOOKUP(0,setup!$A$8:$H$58,5),VLOOKUP(N848,setup!$A$8:$H$58,8))</f>
        <v xml:space="preserve">    public function loadIdcampanhacashback($idCampanhaCashback)</v>
      </c>
    </row>
    <row r="849" spans="1:15" x14ac:dyDescent="0.25">
      <c r="A849" s="29" t="s">
        <v>763</v>
      </c>
      <c r="N849">
        <v>1</v>
      </c>
      <c r="O849" s="7" t="str">
        <f ca="1">getCodigoBackend(N849,A849,VLOOKUP(N849,setup!$A$8:$H$58,2),VLOOKUP(N849,setup!$A$8:$H$58,3),VLOOKUP(N849,setup!$A$8:$H$58,4),VLOOKUP(N849,setup!$A$8:$H$58,5),VLOOKUP(N849,setup!$A$8:$H$58,6),VLOOKUP(N849,setup!$A$8:$H$58,7), VLOOKUP(0,setup!$A$8:$H$58,2),VLOOKUP(0,setup!$A$8:$H$58,5),VLOOKUP(N849,setup!$A$8:$H$58,8))</f>
        <v xml:space="preserve">    {   </v>
      </c>
    </row>
    <row r="850" spans="1:15" x14ac:dyDescent="0.25">
      <c r="A850" s="29" t="s">
        <v>725</v>
      </c>
      <c r="N850">
        <v>1</v>
      </c>
      <c r="O850" s="7" t="str">
        <f ca="1">getCodigoBackend(N850,A850,VLOOKUP(N850,setup!$A$8:$H$58,2),VLOOKUP(N850,setup!$A$8:$H$58,3),VLOOKUP(N850,setup!$A$8:$H$58,4),VLOOKUP(N850,setup!$A$8:$H$58,5),VLOOKUP(N850,setup!$A$8:$H$58,6),VLOOKUP(N850,setup!$A$8:$H$58,7), VLOOKUP(0,setup!$A$8:$H$58,2),VLOOKUP(0,setup!$A$8:$H$58,5),VLOOKUP(N850,setup!$A$8:$H$58,8))</f>
        <v xml:space="preserve">        $retorno = NULL;</v>
      </c>
    </row>
    <row r="851" spans="1:15" x14ac:dyDescent="0.25">
      <c r="A851" s="29" t="s">
        <v>765</v>
      </c>
      <c r="N851">
        <v>1</v>
      </c>
      <c r="O851" s="7" t="str">
        <f ca="1">getCodigoBackend(N851,A851,VLOOKUP(N851,setup!$A$8:$H$58,2),VLOOKUP(N851,setup!$A$8:$H$58,3),VLOOKUP(N851,setup!$A$8:$H$58,4),VLOOKUP(N851,setup!$A$8:$H$58,5),VLOOKUP(N851,setup!$A$8:$H$58,6),VLOOKUP(N851,setup!$A$8:$H$58,7), VLOOKUP(0,setup!$A$8:$H$58,2),VLOOKUP(0,setup!$A$8:$H$58,5),VLOOKUP(N851,setup!$A$8:$H$58,8))</f>
        <v xml:space="preserve">        // prepara sessão, query, troca de valores, acoplagem do resultado e o fetch</v>
      </c>
    </row>
    <row r="852" spans="1:15" x14ac:dyDescent="0.25">
      <c r="A852" s="29" t="s">
        <v>766</v>
      </c>
      <c r="N852">
        <v>1</v>
      </c>
      <c r="O852" s="7" t="str">
        <f ca="1">getCodigoBackend(N852,A852,VLOOKUP(N852,setup!$A$8:$H$58,2),VLOOKUP(N852,setup!$A$8:$H$58,3),VLOOKUP(N852,setup!$A$8:$H$58,4),VLOOKUP(N852,setup!$A$8:$H$58,5),VLOOKUP(N852,setup!$A$8:$H$58,6),VLOOKUP(N852,setup!$A$8:$H$58,7), VLOOKUP(0,setup!$A$8:$H$58,2),VLOOKUP(0,setup!$A$8:$H$58,5),VLOOKUP(N852,setup!$A$8:$H$58,8))</f>
        <v xml:space="preserve">        $conexao = $this-&gt;daofactory-&gt;getSession();</v>
      </c>
    </row>
    <row r="853" spans="1:15" x14ac:dyDescent="0.25">
      <c r="A853" s="29" t="s">
        <v>780</v>
      </c>
      <c r="N853">
        <v>1</v>
      </c>
      <c r="O853" s="7" t="str">
        <f ca="1">getCodigoBackend(N853,A853,VLOOKUP(N853,setup!$A$8:$H$58,2),VLOOKUP(N853,setup!$A$8:$H$58,3),VLOOKUP(N853,setup!$A$8:$H$58,4),VLOOKUP(N853,setup!$A$8:$H$58,5),VLOOKUP(N853,setup!$A$8:$H$58,6),VLOOKUP(N853,setup!$A$8:$H$58,7), VLOOKUP(0,setup!$A$8:$H$58,2),VLOOKUP(0,setup!$A$8:$H$58,5),VLOOKUP(N853,setup!$A$8:$H$58,8))</f>
        <v xml:space="preserve">        $res = $conexao-&gt;query(DmlSqlCampanhaCashbackResgatePix::SELECT . ' WHERE ' . DmlSqlCampanhaCashbackResgatePix::CACA_ID . '=' . $idCampanhaCashback );</v>
      </c>
    </row>
    <row r="854" spans="1:15" x14ac:dyDescent="0.25">
      <c r="A854" s="29" t="s">
        <v>778</v>
      </c>
      <c r="N854">
        <v>1</v>
      </c>
      <c r="O854" s="7" t="str">
        <f ca="1">getCodigoBackend(N854,A854,VLOOKUP(N854,setup!$A$8:$H$58,2),VLOOKUP(N854,setup!$A$8:$H$58,3),VLOOKUP(N854,setup!$A$8:$H$58,4),VLOOKUP(N854,setup!$A$8:$H$58,5),VLOOKUP(N854,setup!$A$8:$H$58,6),VLOOKUP(N854,setup!$A$8:$H$58,7), VLOOKUP(0,setup!$A$8:$H$58,2),VLOOKUP(0,setup!$A$8:$H$58,5),VLOOKUP(N854,setup!$A$8:$H$58,8))</f>
        <v xml:space="preserve">        if ($res){</v>
      </c>
    </row>
    <row r="855" spans="1:15" x14ac:dyDescent="0.25">
      <c r="A855" s="29" t="s">
        <v>779</v>
      </c>
      <c r="N855">
        <v>1</v>
      </c>
      <c r="O855" s="7" t="str">
        <f ca="1">getCodigoBackend(N855,A855,VLOOKUP(N855,setup!$A$8:$H$58,2),VLOOKUP(N855,setup!$A$8:$H$58,3),VLOOKUP(N855,setup!$A$8:$H$58,4),VLOOKUP(N855,setup!$A$8:$H$58,5),VLOOKUP(N855,setup!$A$8:$H$58,6),VLOOKUP(N855,setup!$A$8:$H$58,7), VLOOKUP(0,setup!$A$8:$H$58,2),VLOOKUP(0,setup!$A$8:$H$58,5),VLOOKUP(N855,setup!$A$8:$H$58,8))</f>
        <v xml:space="preserve">            $retorno = $this-&gt;getDTO($res-&gt;fetch_assoc());</v>
      </c>
    </row>
    <row r="856" spans="1:15" x14ac:dyDescent="0.25">
      <c r="A856" s="29" t="s">
        <v>157</v>
      </c>
      <c r="N856">
        <v>1</v>
      </c>
      <c r="O856" s="7" t="str">
        <f ca="1">getCodigoBackend(N856,A856,VLOOKUP(N856,setup!$A$8:$H$58,2),VLOOKUP(N856,setup!$A$8:$H$58,3),VLOOKUP(N856,setup!$A$8:$H$58,4),VLOOKUP(N856,setup!$A$8:$H$58,5),VLOOKUP(N856,setup!$A$8:$H$58,6),VLOOKUP(N856,setup!$A$8:$H$58,7), VLOOKUP(0,setup!$A$8:$H$58,2),VLOOKUP(0,setup!$A$8:$H$58,5),VLOOKUP(N856,setup!$A$8:$H$58,8))</f>
        <v xml:space="preserve">        }</v>
      </c>
    </row>
    <row r="857" spans="1:15" x14ac:dyDescent="0.25">
      <c r="A857" s="29" t="s">
        <v>743</v>
      </c>
      <c r="N857">
        <v>1</v>
      </c>
      <c r="O857" s="7" t="str">
        <f ca="1">getCodigoBackend(N857,A857,VLOOKUP(N857,setup!$A$8:$H$58,2),VLOOKUP(N857,setup!$A$8:$H$58,3),VLOOKUP(N857,setup!$A$8:$H$58,4),VLOOKUP(N857,setup!$A$8:$H$58,5),VLOOKUP(N857,setup!$A$8:$H$58,6),VLOOKUP(N857,setup!$A$8:$H$58,7), VLOOKUP(0,setup!$A$8:$H$58,2),VLOOKUP(0,setup!$A$8:$H$58,5),VLOOKUP(N857,setup!$A$8:$H$58,8))</f>
        <v xml:space="preserve">        return $retorno;</v>
      </c>
    </row>
    <row r="858" spans="1:15" x14ac:dyDescent="0.25">
      <c r="A858" s="29" t="s">
        <v>406</v>
      </c>
      <c r="N858">
        <v>1</v>
      </c>
      <c r="O858" s="7" t="str">
        <f ca="1">getCodigoBackend(N858,A858,VLOOKUP(N858,setup!$A$8:$H$58,2),VLOOKUP(N858,setup!$A$8:$H$58,3),VLOOKUP(N858,setup!$A$8:$H$58,4),VLOOKUP(N858,setup!$A$8:$H$58,5),VLOOKUP(N858,setup!$A$8:$H$58,6),VLOOKUP(N858,setup!$A$8:$H$58,7), VLOOKUP(0,setup!$A$8:$H$58,2),VLOOKUP(0,setup!$A$8:$H$58,5),VLOOKUP(N858,setup!$A$8:$H$58,8))</f>
        <v xml:space="preserve">    }</v>
      </c>
    </row>
    <row r="859" spans="1:15" x14ac:dyDescent="0.25">
      <c r="A859" s="29"/>
      <c r="O859" s="7" t="str">
        <f ca="1">getCodigoBackend(N859,A859,VLOOKUP(N859,setup!$A$8:$H$58,2),VLOOKUP(N859,setup!$A$8:$H$58,3),VLOOKUP(N859,setup!$A$8:$H$58,4),VLOOKUP(N859,setup!$A$8:$H$58,5),VLOOKUP(N859,setup!$A$8:$H$58,6),VLOOKUP(N859,setup!$A$8:$H$58,7), VLOOKUP(0,setup!$A$8:$H$58,2),VLOOKUP(0,setup!$A$8:$H$58,5),VLOOKUP(N859,setup!$A$8:$H$58,8))</f>
        <v/>
      </c>
    </row>
    <row r="860" spans="1:15" x14ac:dyDescent="0.25">
      <c r="A860" s="6" t="s">
        <v>140</v>
      </c>
      <c r="N860">
        <f>N858+1</f>
        <v>2</v>
      </c>
      <c r="O860" s="7" t="str">
        <f ca="1">getCodigoBackend(N860,A860,VLOOKUP(N860,setup!$A$8:$H$58,2),VLOOKUP(N860,setup!$A$8:$H$58,3),VLOOKUP(N860,setup!$A$8:$H$58,4),VLOOKUP(N860,setup!$A$8:$H$58,5),VLOOKUP(N860,setup!$A$8:$H$58,6),VLOOKUP(N860,setup!$A$8:$H$58,7), VLOOKUP(0,setup!$A$8:$H$58,2),VLOOKUP(0,setup!$A$8:$H$58,5),VLOOKUP(N860,setup!$A$8:$H$58,8))</f>
        <v>    /**</v>
      </c>
    </row>
    <row r="861" spans="1:15" x14ac:dyDescent="0.25">
      <c r="A861" s="4" t="s">
        <v>781</v>
      </c>
      <c r="N861">
        <f>N860</f>
        <v>2</v>
      </c>
      <c r="O861" s="7" t="str">
        <f ca="1">getCodigoBackend(N861,A861,VLOOKUP(N861,setup!$A$8:$H$58,2),VLOOKUP(N861,setup!$A$8:$H$58,3),VLOOKUP(N861,setup!$A$8:$H$58,4),VLOOKUP(N861,setup!$A$8:$H$58,5),VLOOKUP(N861,setup!$A$8:$H$58,6),VLOOKUP(N861,setup!$A$8:$H$58,7), VLOOKUP(0,setup!$A$8:$H$58,2),VLOOKUP(0,setup!$A$8:$H$58,5),VLOOKUP(N861,setup!$A$8:$H$58,8))</f>
        <v>    * loadIdusuariosolicitante() - implementação da assinatura em CampanhaCashbackResgatePixDAO</v>
      </c>
    </row>
    <row r="862" spans="1:15" x14ac:dyDescent="0.25">
      <c r="A862" s="4" t="s">
        <v>141</v>
      </c>
      <c r="N862">
        <f t="shared" ref="N862:N874" si="25">N861</f>
        <v>2</v>
      </c>
      <c r="O862" s="7" t="str">
        <f ca="1">getCodigoBackend(N862,A862,VLOOKUP(N862,setup!$A$8:$H$58,2),VLOOKUP(N862,setup!$A$8:$H$58,3),VLOOKUP(N862,setup!$A$8:$H$58,4),VLOOKUP(N862,setup!$A$8:$H$58,5),VLOOKUP(N862,setup!$A$8:$H$58,6),VLOOKUP(N862,setup!$A$8:$H$58,7), VLOOKUP(0,setup!$A$8:$H$58,2),VLOOKUP(0,setup!$A$8:$H$58,5),VLOOKUP(N862,setup!$A$8:$H$58,8))</f>
        <v>    */</v>
      </c>
    </row>
    <row r="863" spans="1:15" x14ac:dyDescent="0.25">
      <c r="A863" s="6"/>
      <c r="N863">
        <f t="shared" si="25"/>
        <v>2</v>
      </c>
      <c r="O863" s="7" t="str">
        <f ca="1">getCodigoBackend(N863,A863,VLOOKUP(N863,setup!$A$8:$H$58,2),VLOOKUP(N863,setup!$A$8:$H$58,3),VLOOKUP(N863,setup!$A$8:$H$58,4),VLOOKUP(N863,setup!$A$8:$H$58,5),VLOOKUP(N863,setup!$A$8:$H$58,6),VLOOKUP(N863,setup!$A$8:$H$58,7), VLOOKUP(0,setup!$A$8:$H$58,2),VLOOKUP(0,setup!$A$8:$H$58,5),VLOOKUP(N863,setup!$A$8:$H$58,8))</f>
        <v/>
      </c>
    </row>
    <row r="864" spans="1:15" x14ac:dyDescent="0.25">
      <c r="A864" s="29" t="s">
        <v>777</v>
      </c>
      <c r="N864">
        <f t="shared" si="25"/>
        <v>2</v>
      </c>
      <c r="O864" s="7" t="str">
        <f ca="1">getCodigoBackend(N864,A864,VLOOKUP(N864,setup!$A$8:$H$58,2),VLOOKUP(N864,setup!$A$8:$H$58,3),VLOOKUP(N864,setup!$A$8:$H$58,4),VLOOKUP(N864,setup!$A$8:$H$58,5),VLOOKUP(N864,setup!$A$8:$H$58,6),VLOOKUP(N864,setup!$A$8:$H$58,7), VLOOKUP(0,setup!$A$8:$H$58,2),VLOOKUP(0,setup!$A$8:$H$58,5),VLOOKUP(N864,setup!$A$8:$H$58,8))</f>
        <v xml:space="preserve">    public function loadIdusuariosolicitante($idUsuarioSolicitante)</v>
      </c>
    </row>
    <row r="865" spans="1:15" x14ac:dyDescent="0.25">
      <c r="A865" s="29" t="s">
        <v>763</v>
      </c>
      <c r="N865">
        <f t="shared" si="25"/>
        <v>2</v>
      </c>
      <c r="O865" s="7" t="str">
        <f ca="1">getCodigoBackend(N865,A865,VLOOKUP(N865,setup!$A$8:$H$58,2),VLOOKUP(N865,setup!$A$8:$H$58,3),VLOOKUP(N865,setup!$A$8:$H$58,4),VLOOKUP(N865,setup!$A$8:$H$58,5),VLOOKUP(N865,setup!$A$8:$H$58,6),VLOOKUP(N865,setup!$A$8:$H$58,7), VLOOKUP(0,setup!$A$8:$H$58,2),VLOOKUP(0,setup!$A$8:$H$58,5),VLOOKUP(N865,setup!$A$8:$H$58,8))</f>
        <v xml:space="preserve">    {   </v>
      </c>
    </row>
    <row r="866" spans="1:15" x14ac:dyDescent="0.25">
      <c r="A866" s="29" t="s">
        <v>725</v>
      </c>
      <c r="N866">
        <f t="shared" si="25"/>
        <v>2</v>
      </c>
      <c r="O866" s="7" t="str">
        <f ca="1">getCodigoBackend(N866,A866,VLOOKUP(N866,setup!$A$8:$H$58,2),VLOOKUP(N866,setup!$A$8:$H$58,3),VLOOKUP(N866,setup!$A$8:$H$58,4),VLOOKUP(N866,setup!$A$8:$H$58,5),VLOOKUP(N866,setup!$A$8:$H$58,6),VLOOKUP(N866,setup!$A$8:$H$58,7), VLOOKUP(0,setup!$A$8:$H$58,2),VLOOKUP(0,setup!$A$8:$H$58,5),VLOOKUP(N866,setup!$A$8:$H$58,8))</f>
        <v xml:space="preserve">        $retorno = NULL;</v>
      </c>
    </row>
    <row r="867" spans="1:15" x14ac:dyDescent="0.25">
      <c r="A867" s="29" t="s">
        <v>765</v>
      </c>
      <c r="N867">
        <f t="shared" si="25"/>
        <v>2</v>
      </c>
      <c r="O867" s="7" t="str">
        <f ca="1">getCodigoBackend(N867,A867,VLOOKUP(N867,setup!$A$8:$H$58,2),VLOOKUP(N867,setup!$A$8:$H$58,3),VLOOKUP(N867,setup!$A$8:$H$58,4),VLOOKUP(N867,setup!$A$8:$H$58,5),VLOOKUP(N867,setup!$A$8:$H$58,6),VLOOKUP(N867,setup!$A$8:$H$58,7), VLOOKUP(0,setup!$A$8:$H$58,2),VLOOKUP(0,setup!$A$8:$H$58,5),VLOOKUP(N867,setup!$A$8:$H$58,8))</f>
        <v xml:space="preserve">        // prepara sessão, query, troca de valores, acoplagem do resultado e o fetch</v>
      </c>
    </row>
    <row r="868" spans="1:15" x14ac:dyDescent="0.25">
      <c r="A868" s="29" t="s">
        <v>766</v>
      </c>
      <c r="N868">
        <f t="shared" si="25"/>
        <v>2</v>
      </c>
      <c r="O868" s="7" t="str">
        <f ca="1">getCodigoBackend(N868,A868,VLOOKUP(N868,setup!$A$8:$H$58,2),VLOOKUP(N868,setup!$A$8:$H$58,3),VLOOKUP(N868,setup!$A$8:$H$58,4),VLOOKUP(N868,setup!$A$8:$H$58,5),VLOOKUP(N868,setup!$A$8:$H$58,6),VLOOKUP(N868,setup!$A$8:$H$58,7), VLOOKUP(0,setup!$A$8:$H$58,2),VLOOKUP(0,setup!$A$8:$H$58,5),VLOOKUP(N868,setup!$A$8:$H$58,8))</f>
        <v xml:space="preserve">        $conexao = $this-&gt;daofactory-&gt;getSession();</v>
      </c>
    </row>
    <row r="869" spans="1:15" x14ac:dyDescent="0.25">
      <c r="A869" s="29" t="s">
        <v>780</v>
      </c>
      <c r="N869">
        <f t="shared" si="25"/>
        <v>2</v>
      </c>
      <c r="O869" s="7" t="str">
        <f ca="1">getCodigoBackend(N869,A869,VLOOKUP(N869,setup!$A$8:$H$58,2),VLOOKUP(N869,setup!$A$8:$H$58,3),VLOOKUP(N869,setup!$A$8:$H$58,4),VLOOKUP(N869,setup!$A$8:$H$58,5),VLOOKUP(N869,setup!$A$8:$H$58,6),VLOOKUP(N869,setup!$A$8:$H$58,7), VLOOKUP(0,setup!$A$8:$H$58,2),VLOOKUP(0,setup!$A$8:$H$58,5),VLOOKUP(N869,setup!$A$8:$H$58,8))</f>
        <v xml:space="preserve">        $res = $conexao-&gt;query(DmlSqlCampanhaCashbackResgatePix::SELECT . ' WHERE ' . DmlSqlCampanhaCashbackResgatePix::USUA_ID . '=' . $idUsuarioSolicitante );</v>
      </c>
    </row>
    <row r="870" spans="1:15" x14ac:dyDescent="0.25">
      <c r="A870" s="29" t="s">
        <v>778</v>
      </c>
      <c r="N870">
        <f t="shared" si="25"/>
        <v>2</v>
      </c>
      <c r="O870" s="7" t="str">
        <f ca="1">getCodigoBackend(N870,A870,VLOOKUP(N870,setup!$A$8:$H$58,2),VLOOKUP(N870,setup!$A$8:$H$58,3),VLOOKUP(N870,setup!$A$8:$H$58,4),VLOOKUP(N870,setup!$A$8:$H$58,5),VLOOKUP(N870,setup!$A$8:$H$58,6),VLOOKUP(N870,setup!$A$8:$H$58,7), VLOOKUP(0,setup!$A$8:$H$58,2),VLOOKUP(0,setup!$A$8:$H$58,5),VLOOKUP(N870,setup!$A$8:$H$58,8))</f>
        <v xml:space="preserve">        if ($res){</v>
      </c>
    </row>
    <row r="871" spans="1:15" x14ac:dyDescent="0.25">
      <c r="A871" s="29" t="s">
        <v>779</v>
      </c>
      <c r="N871">
        <f t="shared" si="25"/>
        <v>2</v>
      </c>
      <c r="O871" s="7" t="str">
        <f ca="1">getCodigoBackend(N871,A871,VLOOKUP(N871,setup!$A$8:$H$58,2),VLOOKUP(N871,setup!$A$8:$H$58,3),VLOOKUP(N871,setup!$A$8:$H$58,4),VLOOKUP(N871,setup!$A$8:$H$58,5),VLOOKUP(N871,setup!$A$8:$H$58,6),VLOOKUP(N871,setup!$A$8:$H$58,7), VLOOKUP(0,setup!$A$8:$H$58,2),VLOOKUP(0,setup!$A$8:$H$58,5),VLOOKUP(N871,setup!$A$8:$H$58,8))</f>
        <v xml:space="preserve">            $retorno = $this-&gt;getDTO($res-&gt;fetch_assoc());</v>
      </c>
    </row>
    <row r="872" spans="1:15" x14ac:dyDescent="0.25">
      <c r="A872" s="29" t="s">
        <v>157</v>
      </c>
      <c r="N872">
        <f t="shared" si="25"/>
        <v>2</v>
      </c>
      <c r="O872" s="7" t="str">
        <f ca="1">getCodigoBackend(N872,A872,VLOOKUP(N872,setup!$A$8:$H$58,2),VLOOKUP(N872,setup!$A$8:$H$58,3),VLOOKUP(N872,setup!$A$8:$H$58,4),VLOOKUP(N872,setup!$A$8:$H$58,5),VLOOKUP(N872,setup!$A$8:$H$58,6),VLOOKUP(N872,setup!$A$8:$H$58,7), VLOOKUP(0,setup!$A$8:$H$58,2),VLOOKUP(0,setup!$A$8:$H$58,5),VLOOKUP(N872,setup!$A$8:$H$58,8))</f>
        <v xml:space="preserve">        }</v>
      </c>
    </row>
    <row r="873" spans="1:15" x14ac:dyDescent="0.25">
      <c r="A873" s="29" t="s">
        <v>743</v>
      </c>
      <c r="N873">
        <f t="shared" si="25"/>
        <v>2</v>
      </c>
      <c r="O873" s="7" t="str">
        <f ca="1">getCodigoBackend(N873,A873,VLOOKUP(N873,setup!$A$8:$H$58,2),VLOOKUP(N873,setup!$A$8:$H$58,3),VLOOKUP(N873,setup!$A$8:$H$58,4),VLOOKUP(N873,setup!$A$8:$H$58,5),VLOOKUP(N873,setup!$A$8:$H$58,6),VLOOKUP(N873,setup!$A$8:$H$58,7), VLOOKUP(0,setup!$A$8:$H$58,2),VLOOKUP(0,setup!$A$8:$H$58,5),VLOOKUP(N873,setup!$A$8:$H$58,8))</f>
        <v xml:space="preserve">        return $retorno;</v>
      </c>
    </row>
    <row r="874" spans="1:15" x14ac:dyDescent="0.25">
      <c r="A874" s="29" t="s">
        <v>406</v>
      </c>
      <c r="N874">
        <f t="shared" si="25"/>
        <v>2</v>
      </c>
      <c r="O874" s="7" t="str">
        <f ca="1">getCodigoBackend(N874,A874,VLOOKUP(N874,setup!$A$8:$H$58,2),VLOOKUP(N874,setup!$A$8:$H$58,3),VLOOKUP(N874,setup!$A$8:$H$58,4),VLOOKUP(N874,setup!$A$8:$H$58,5),VLOOKUP(N874,setup!$A$8:$H$58,6),VLOOKUP(N874,setup!$A$8:$H$58,7), VLOOKUP(0,setup!$A$8:$H$58,2),VLOOKUP(0,setup!$A$8:$H$58,5),VLOOKUP(N874,setup!$A$8:$H$58,8))</f>
        <v xml:space="preserve">    }</v>
      </c>
    </row>
    <row r="875" spans="1:15" x14ac:dyDescent="0.25">
      <c r="A875" s="29"/>
      <c r="O875" s="7" t="str">
        <f ca="1">getCodigoBackend(N875,A875,VLOOKUP(N875,setup!$A$8:$H$58,2),VLOOKUP(N875,setup!$A$8:$H$58,3),VLOOKUP(N875,setup!$A$8:$H$58,4),VLOOKUP(N875,setup!$A$8:$H$58,5),VLOOKUP(N875,setup!$A$8:$H$58,6),VLOOKUP(N875,setup!$A$8:$H$58,7), VLOOKUP(0,setup!$A$8:$H$58,2),VLOOKUP(0,setup!$A$8:$H$58,5),VLOOKUP(N875,setup!$A$8:$H$58,8))</f>
        <v/>
      </c>
    </row>
    <row r="876" spans="1:15" x14ac:dyDescent="0.25">
      <c r="A876" s="6" t="s">
        <v>140</v>
      </c>
      <c r="N876">
        <f>N874+1</f>
        <v>3</v>
      </c>
      <c r="O876" s="7" t="str">
        <f ca="1">getCodigoBackend(N876,A876,VLOOKUP(N876,setup!$A$8:$H$58,2),VLOOKUP(N876,setup!$A$8:$H$58,3),VLOOKUP(N876,setup!$A$8:$H$58,4),VLOOKUP(N876,setup!$A$8:$H$58,5),VLOOKUP(N876,setup!$A$8:$H$58,6),VLOOKUP(N876,setup!$A$8:$H$58,7), VLOOKUP(0,setup!$A$8:$H$58,2),VLOOKUP(0,setup!$A$8:$H$58,5),VLOOKUP(N876,setup!$A$8:$H$58,8))</f>
        <v>    /**</v>
      </c>
    </row>
    <row r="877" spans="1:15" x14ac:dyDescent="0.25">
      <c r="A877" s="4" t="s">
        <v>781</v>
      </c>
      <c r="N877">
        <f>N876</f>
        <v>3</v>
      </c>
      <c r="O877" s="7" t="str">
        <f ca="1">getCodigoBackend(N877,A877,VLOOKUP(N877,setup!$A$8:$H$58,2),VLOOKUP(N877,setup!$A$8:$H$58,3),VLOOKUP(N877,setup!$A$8:$H$58,4),VLOOKUP(N877,setup!$A$8:$H$58,5),VLOOKUP(N877,setup!$A$8:$H$58,6),VLOOKUP(N877,setup!$A$8:$H$58,7), VLOOKUP(0,setup!$A$8:$H$58,2),VLOOKUP(0,setup!$A$8:$H$58,5),VLOOKUP(N877,setup!$A$8:$H$58,8))</f>
        <v>    * loadTipochavepix() - implementação da assinatura em CampanhaCashbackResgatePixDAO</v>
      </c>
    </row>
    <row r="878" spans="1:15" x14ac:dyDescent="0.25">
      <c r="A878" s="4" t="s">
        <v>141</v>
      </c>
      <c r="N878">
        <f t="shared" ref="N878:N890" si="26">N877</f>
        <v>3</v>
      </c>
      <c r="O878" s="7" t="str">
        <f ca="1">getCodigoBackend(N878,A878,VLOOKUP(N878,setup!$A$8:$H$58,2),VLOOKUP(N878,setup!$A$8:$H$58,3),VLOOKUP(N878,setup!$A$8:$H$58,4),VLOOKUP(N878,setup!$A$8:$H$58,5),VLOOKUP(N878,setup!$A$8:$H$58,6),VLOOKUP(N878,setup!$A$8:$H$58,7), VLOOKUP(0,setup!$A$8:$H$58,2),VLOOKUP(0,setup!$A$8:$H$58,5),VLOOKUP(N878,setup!$A$8:$H$58,8))</f>
        <v>    */</v>
      </c>
    </row>
    <row r="879" spans="1:15" x14ac:dyDescent="0.25">
      <c r="A879" s="6"/>
      <c r="N879">
        <f t="shared" si="26"/>
        <v>3</v>
      </c>
      <c r="O879" s="7" t="str">
        <f ca="1">getCodigoBackend(N879,A879,VLOOKUP(N879,setup!$A$8:$H$58,2),VLOOKUP(N879,setup!$A$8:$H$58,3),VLOOKUP(N879,setup!$A$8:$H$58,4),VLOOKUP(N879,setup!$A$8:$H$58,5),VLOOKUP(N879,setup!$A$8:$H$58,6),VLOOKUP(N879,setup!$A$8:$H$58,7), VLOOKUP(0,setup!$A$8:$H$58,2),VLOOKUP(0,setup!$A$8:$H$58,5),VLOOKUP(N879,setup!$A$8:$H$58,8))</f>
        <v/>
      </c>
    </row>
    <row r="880" spans="1:15" x14ac:dyDescent="0.25">
      <c r="A880" s="29" t="s">
        <v>777</v>
      </c>
      <c r="N880">
        <f t="shared" si="26"/>
        <v>3</v>
      </c>
      <c r="O880" s="7" t="str">
        <f ca="1">getCodigoBackend(N880,A880,VLOOKUP(N880,setup!$A$8:$H$58,2),VLOOKUP(N880,setup!$A$8:$H$58,3),VLOOKUP(N880,setup!$A$8:$H$58,4),VLOOKUP(N880,setup!$A$8:$H$58,5),VLOOKUP(N880,setup!$A$8:$H$58,6),VLOOKUP(N880,setup!$A$8:$H$58,7), VLOOKUP(0,setup!$A$8:$H$58,2),VLOOKUP(0,setup!$A$8:$H$58,5),VLOOKUP(N880,setup!$A$8:$H$58,8))</f>
        <v xml:space="preserve">    public function loadTipochavepix($tipoChavePix)</v>
      </c>
    </row>
    <row r="881" spans="1:15" x14ac:dyDescent="0.25">
      <c r="A881" s="29" t="s">
        <v>763</v>
      </c>
      <c r="N881">
        <f t="shared" si="26"/>
        <v>3</v>
      </c>
      <c r="O881" s="7" t="str">
        <f ca="1">getCodigoBackend(N881,A881,VLOOKUP(N881,setup!$A$8:$H$58,2),VLOOKUP(N881,setup!$A$8:$H$58,3),VLOOKUP(N881,setup!$A$8:$H$58,4),VLOOKUP(N881,setup!$A$8:$H$58,5),VLOOKUP(N881,setup!$A$8:$H$58,6),VLOOKUP(N881,setup!$A$8:$H$58,7), VLOOKUP(0,setup!$A$8:$H$58,2),VLOOKUP(0,setup!$A$8:$H$58,5),VLOOKUP(N881,setup!$A$8:$H$58,8))</f>
        <v xml:space="preserve">    {   </v>
      </c>
    </row>
    <row r="882" spans="1:15" x14ac:dyDescent="0.25">
      <c r="A882" s="29" t="s">
        <v>725</v>
      </c>
      <c r="N882">
        <f t="shared" si="26"/>
        <v>3</v>
      </c>
      <c r="O882" s="7" t="str">
        <f ca="1">getCodigoBackend(N882,A882,VLOOKUP(N882,setup!$A$8:$H$58,2),VLOOKUP(N882,setup!$A$8:$H$58,3),VLOOKUP(N882,setup!$A$8:$H$58,4),VLOOKUP(N882,setup!$A$8:$H$58,5),VLOOKUP(N882,setup!$A$8:$H$58,6),VLOOKUP(N882,setup!$A$8:$H$58,7), VLOOKUP(0,setup!$A$8:$H$58,2),VLOOKUP(0,setup!$A$8:$H$58,5),VLOOKUP(N882,setup!$A$8:$H$58,8))</f>
        <v xml:space="preserve">        $retorno = NULL;</v>
      </c>
    </row>
    <row r="883" spans="1:15" x14ac:dyDescent="0.25">
      <c r="A883" s="29" t="s">
        <v>765</v>
      </c>
      <c r="N883">
        <f t="shared" si="26"/>
        <v>3</v>
      </c>
      <c r="O883" s="7" t="str">
        <f ca="1">getCodigoBackend(N883,A883,VLOOKUP(N883,setup!$A$8:$H$58,2),VLOOKUP(N883,setup!$A$8:$H$58,3),VLOOKUP(N883,setup!$A$8:$H$58,4),VLOOKUP(N883,setup!$A$8:$H$58,5),VLOOKUP(N883,setup!$A$8:$H$58,6),VLOOKUP(N883,setup!$A$8:$H$58,7), VLOOKUP(0,setup!$A$8:$H$58,2),VLOOKUP(0,setup!$A$8:$H$58,5),VLOOKUP(N883,setup!$A$8:$H$58,8))</f>
        <v xml:space="preserve">        // prepara sessão, query, troca de valores, acoplagem do resultado e o fetch</v>
      </c>
    </row>
    <row r="884" spans="1:15" x14ac:dyDescent="0.25">
      <c r="A884" s="29" t="s">
        <v>766</v>
      </c>
      <c r="N884">
        <f t="shared" si="26"/>
        <v>3</v>
      </c>
      <c r="O884" s="7" t="str">
        <f ca="1">getCodigoBackend(N884,A884,VLOOKUP(N884,setup!$A$8:$H$58,2),VLOOKUP(N884,setup!$A$8:$H$58,3),VLOOKUP(N884,setup!$A$8:$H$58,4),VLOOKUP(N884,setup!$A$8:$H$58,5),VLOOKUP(N884,setup!$A$8:$H$58,6),VLOOKUP(N884,setup!$A$8:$H$58,7), VLOOKUP(0,setup!$A$8:$H$58,2),VLOOKUP(0,setup!$A$8:$H$58,5),VLOOKUP(N884,setup!$A$8:$H$58,8))</f>
        <v xml:space="preserve">        $conexao = $this-&gt;daofactory-&gt;getSession();</v>
      </c>
    </row>
    <row r="885" spans="1:15" x14ac:dyDescent="0.25">
      <c r="A885" s="29" t="s">
        <v>780</v>
      </c>
      <c r="N885">
        <f t="shared" si="26"/>
        <v>3</v>
      </c>
      <c r="O885" s="7" t="str">
        <f ca="1">getCodigoBackend(N885,A885,VLOOKUP(N885,setup!$A$8:$H$58,2),VLOOKUP(N885,setup!$A$8:$H$58,3),VLOOKUP(N885,setup!$A$8:$H$58,4),VLOOKUP(N885,setup!$A$8:$H$58,5),VLOOKUP(N885,setup!$A$8:$H$58,6),VLOOKUP(N885,setup!$A$8:$H$58,7), VLOOKUP(0,setup!$A$8:$H$58,2),VLOOKUP(0,setup!$A$8:$H$58,5),VLOOKUP(N885,setup!$A$8:$H$58,8))</f>
        <v xml:space="preserve">        $res = $conexao-&gt;query(DmlSqlCampanhaCashbackResgatePix::SELECT . ' WHERE ' . DmlSqlCampanhaCashbackResgatePix::CCRP_IN_TIPO_CHAVE_PIX . '=' . $tipoChavePix );</v>
      </c>
    </row>
    <row r="886" spans="1:15" x14ac:dyDescent="0.25">
      <c r="A886" s="29" t="s">
        <v>778</v>
      </c>
      <c r="N886">
        <f t="shared" si="26"/>
        <v>3</v>
      </c>
      <c r="O886" s="7" t="str">
        <f ca="1">getCodigoBackend(N886,A886,VLOOKUP(N886,setup!$A$8:$H$58,2),VLOOKUP(N886,setup!$A$8:$H$58,3),VLOOKUP(N886,setup!$A$8:$H$58,4),VLOOKUP(N886,setup!$A$8:$H$58,5),VLOOKUP(N886,setup!$A$8:$H$58,6),VLOOKUP(N886,setup!$A$8:$H$58,7), VLOOKUP(0,setup!$A$8:$H$58,2),VLOOKUP(0,setup!$A$8:$H$58,5),VLOOKUP(N886,setup!$A$8:$H$58,8))</f>
        <v xml:space="preserve">        if ($res){</v>
      </c>
    </row>
    <row r="887" spans="1:15" x14ac:dyDescent="0.25">
      <c r="A887" s="29" t="s">
        <v>779</v>
      </c>
      <c r="N887">
        <f t="shared" si="26"/>
        <v>3</v>
      </c>
      <c r="O887" s="7" t="str">
        <f ca="1">getCodigoBackend(N887,A887,VLOOKUP(N887,setup!$A$8:$H$58,2),VLOOKUP(N887,setup!$A$8:$H$58,3),VLOOKUP(N887,setup!$A$8:$H$58,4),VLOOKUP(N887,setup!$A$8:$H$58,5),VLOOKUP(N887,setup!$A$8:$H$58,6),VLOOKUP(N887,setup!$A$8:$H$58,7), VLOOKUP(0,setup!$A$8:$H$58,2),VLOOKUP(0,setup!$A$8:$H$58,5),VLOOKUP(N887,setup!$A$8:$H$58,8))</f>
        <v xml:space="preserve">            $retorno = $this-&gt;getDTO($res-&gt;fetch_assoc());</v>
      </c>
    </row>
    <row r="888" spans="1:15" x14ac:dyDescent="0.25">
      <c r="A888" s="29" t="s">
        <v>157</v>
      </c>
      <c r="N888">
        <f t="shared" si="26"/>
        <v>3</v>
      </c>
      <c r="O888" s="7" t="str">
        <f ca="1">getCodigoBackend(N888,A888,VLOOKUP(N888,setup!$A$8:$H$58,2),VLOOKUP(N888,setup!$A$8:$H$58,3),VLOOKUP(N888,setup!$A$8:$H$58,4),VLOOKUP(N888,setup!$A$8:$H$58,5),VLOOKUP(N888,setup!$A$8:$H$58,6),VLOOKUP(N888,setup!$A$8:$H$58,7), VLOOKUP(0,setup!$A$8:$H$58,2),VLOOKUP(0,setup!$A$8:$H$58,5),VLOOKUP(N888,setup!$A$8:$H$58,8))</f>
        <v xml:space="preserve">        }</v>
      </c>
    </row>
    <row r="889" spans="1:15" x14ac:dyDescent="0.25">
      <c r="A889" s="29" t="s">
        <v>743</v>
      </c>
      <c r="N889">
        <f t="shared" si="26"/>
        <v>3</v>
      </c>
      <c r="O889" s="7" t="str">
        <f ca="1">getCodigoBackend(N889,A889,VLOOKUP(N889,setup!$A$8:$H$58,2),VLOOKUP(N889,setup!$A$8:$H$58,3),VLOOKUP(N889,setup!$A$8:$H$58,4),VLOOKUP(N889,setup!$A$8:$H$58,5),VLOOKUP(N889,setup!$A$8:$H$58,6),VLOOKUP(N889,setup!$A$8:$H$58,7), VLOOKUP(0,setup!$A$8:$H$58,2),VLOOKUP(0,setup!$A$8:$H$58,5),VLOOKUP(N889,setup!$A$8:$H$58,8))</f>
        <v xml:space="preserve">        return $retorno;</v>
      </c>
    </row>
    <row r="890" spans="1:15" x14ac:dyDescent="0.25">
      <c r="A890" s="29" t="s">
        <v>406</v>
      </c>
      <c r="N890">
        <f t="shared" si="26"/>
        <v>3</v>
      </c>
      <c r="O890" s="7" t="str">
        <f ca="1">getCodigoBackend(N890,A890,VLOOKUP(N890,setup!$A$8:$H$58,2),VLOOKUP(N890,setup!$A$8:$H$58,3),VLOOKUP(N890,setup!$A$8:$H$58,4),VLOOKUP(N890,setup!$A$8:$H$58,5),VLOOKUP(N890,setup!$A$8:$H$58,6),VLOOKUP(N890,setup!$A$8:$H$58,7), VLOOKUP(0,setup!$A$8:$H$58,2),VLOOKUP(0,setup!$A$8:$H$58,5),VLOOKUP(N890,setup!$A$8:$H$58,8))</f>
        <v xml:space="preserve">    }</v>
      </c>
    </row>
    <row r="891" spans="1:15" x14ac:dyDescent="0.25">
      <c r="A891" s="29"/>
      <c r="O891" s="7" t="str">
        <f ca="1">getCodigoBackend(N891,A891,VLOOKUP(N891,setup!$A$8:$H$58,2),VLOOKUP(N891,setup!$A$8:$H$58,3),VLOOKUP(N891,setup!$A$8:$H$58,4),VLOOKUP(N891,setup!$A$8:$H$58,5),VLOOKUP(N891,setup!$A$8:$H$58,6),VLOOKUP(N891,setup!$A$8:$H$58,7), VLOOKUP(0,setup!$A$8:$H$58,2),VLOOKUP(0,setup!$A$8:$H$58,5),VLOOKUP(N891,setup!$A$8:$H$58,8))</f>
        <v/>
      </c>
    </row>
    <row r="892" spans="1:15" x14ac:dyDescent="0.25">
      <c r="A892" s="6" t="s">
        <v>140</v>
      </c>
      <c r="N892">
        <f>N890+1</f>
        <v>4</v>
      </c>
      <c r="O892" s="7" t="str">
        <f ca="1">getCodigoBackend(N892,A892,VLOOKUP(N892,setup!$A$8:$H$58,2),VLOOKUP(N892,setup!$A$8:$H$58,3),VLOOKUP(N892,setup!$A$8:$H$58,4),VLOOKUP(N892,setup!$A$8:$H$58,5),VLOOKUP(N892,setup!$A$8:$H$58,6),VLOOKUP(N892,setup!$A$8:$H$58,7), VLOOKUP(0,setup!$A$8:$H$58,2),VLOOKUP(0,setup!$A$8:$H$58,5),VLOOKUP(N892,setup!$A$8:$H$58,8))</f>
        <v>    /**</v>
      </c>
    </row>
    <row r="893" spans="1:15" x14ac:dyDescent="0.25">
      <c r="A893" s="4" t="s">
        <v>781</v>
      </c>
      <c r="N893">
        <f>N892</f>
        <v>4</v>
      </c>
      <c r="O893" s="7" t="str">
        <f ca="1">getCodigoBackend(N893,A893,VLOOKUP(N893,setup!$A$8:$H$58,2),VLOOKUP(N893,setup!$A$8:$H$58,3),VLOOKUP(N893,setup!$A$8:$H$58,4),VLOOKUP(N893,setup!$A$8:$H$58,5),VLOOKUP(N893,setup!$A$8:$H$58,6),VLOOKUP(N893,setup!$A$8:$H$58,7), VLOOKUP(0,setup!$A$8:$H$58,2),VLOOKUP(0,setup!$A$8:$H$58,5),VLOOKUP(N893,setup!$A$8:$H$58,8))</f>
        <v>    * loadChavepix() - implementação da assinatura em CampanhaCashbackResgatePixDAO</v>
      </c>
    </row>
    <row r="894" spans="1:15" x14ac:dyDescent="0.25">
      <c r="A894" s="4" t="s">
        <v>141</v>
      </c>
      <c r="N894">
        <f t="shared" ref="N894:N906" si="27">N893</f>
        <v>4</v>
      </c>
      <c r="O894" s="7" t="str">
        <f ca="1">getCodigoBackend(N894,A894,VLOOKUP(N894,setup!$A$8:$H$58,2),VLOOKUP(N894,setup!$A$8:$H$58,3),VLOOKUP(N894,setup!$A$8:$H$58,4),VLOOKUP(N894,setup!$A$8:$H$58,5),VLOOKUP(N894,setup!$A$8:$H$58,6),VLOOKUP(N894,setup!$A$8:$H$58,7), VLOOKUP(0,setup!$A$8:$H$58,2),VLOOKUP(0,setup!$A$8:$H$58,5),VLOOKUP(N894,setup!$A$8:$H$58,8))</f>
        <v>    */</v>
      </c>
    </row>
    <row r="895" spans="1:15" x14ac:dyDescent="0.25">
      <c r="A895" s="6"/>
      <c r="N895">
        <f t="shared" si="27"/>
        <v>4</v>
      </c>
      <c r="O895" s="7" t="str">
        <f ca="1">getCodigoBackend(N895,A895,VLOOKUP(N895,setup!$A$8:$H$58,2),VLOOKUP(N895,setup!$A$8:$H$58,3),VLOOKUP(N895,setup!$A$8:$H$58,4),VLOOKUP(N895,setup!$A$8:$H$58,5),VLOOKUP(N895,setup!$A$8:$H$58,6),VLOOKUP(N895,setup!$A$8:$H$58,7), VLOOKUP(0,setup!$A$8:$H$58,2),VLOOKUP(0,setup!$A$8:$H$58,5),VLOOKUP(N895,setup!$A$8:$H$58,8))</f>
        <v/>
      </c>
    </row>
    <row r="896" spans="1:15" x14ac:dyDescent="0.25">
      <c r="A896" s="29" t="s">
        <v>777</v>
      </c>
      <c r="N896">
        <f t="shared" si="27"/>
        <v>4</v>
      </c>
      <c r="O896" s="7" t="str">
        <f ca="1">getCodigoBackend(N896,A896,VLOOKUP(N896,setup!$A$8:$H$58,2),VLOOKUP(N896,setup!$A$8:$H$58,3),VLOOKUP(N896,setup!$A$8:$H$58,4),VLOOKUP(N896,setup!$A$8:$H$58,5),VLOOKUP(N896,setup!$A$8:$H$58,6),VLOOKUP(N896,setup!$A$8:$H$58,7), VLOOKUP(0,setup!$A$8:$H$58,2),VLOOKUP(0,setup!$A$8:$H$58,5),VLOOKUP(N896,setup!$A$8:$H$58,8))</f>
        <v xml:space="preserve">    public function loadChavepix($chavePix)</v>
      </c>
    </row>
    <row r="897" spans="1:15" x14ac:dyDescent="0.25">
      <c r="A897" s="29" t="s">
        <v>763</v>
      </c>
      <c r="N897">
        <f t="shared" si="27"/>
        <v>4</v>
      </c>
      <c r="O897" s="7" t="str">
        <f ca="1">getCodigoBackend(N897,A897,VLOOKUP(N897,setup!$A$8:$H$58,2),VLOOKUP(N897,setup!$A$8:$H$58,3),VLOOKUP(N897,setup!$A$8:$H$58,4),VLOOKUP(N897,setup!$A$8:$H$58,5),VLOOKUP(N897,setup!$A$8:$H$58,6),VLOOKUP(N897,setup!$A$8:$H$58,7), VLOOKUP(0,setup!$A$8:$H$58,2),VLOOKUP(0,setup!$A$8:$H$58,5),VLOOKUP(N897,setup!$A$8:$H$58,8))</f>
        <v xml:space="preserve">    {   </v>
      </c>
    </row>
    <row r="898" spans="1:15" x14ac:dyDescent="0.25">
      <c r="A898" s="29" t="s">
        <v>725</v>
      </c>
      <c r="N898">
        <f t="shared" si="27"/>
        <v>4</v>
      </c>
      <c r="O898" s="7" t="str">
        <f ca="1">getCodigoBackend(N898,A898,VLOOKUP(N898,setup!$A$8:$H$58,2),VLOOKUP(N898,setup!$A$8:$H$58,3),VLOOKUP(N898,setup!$A$8:$H$58,4),VLOOKUP(N898,setup!$A$8:$H$58,5),VLOOKUP(N898,setup!$A$8:$H$58,6),VLOOKUP(N898,setup!$A$8:$H$58,7), VLOOKUP(0,setup!$A$8:$H$58,2),VLOOKUP(0,setup!$A$8:$H$58,5),VLOOKUP(N898,setup!$A$8:$H$58,8))</f>
        <v xml:space="preserve">        $retorno = NULL;</v>
      </c>
    </row>
    <row r="899" spans="1:15" x14ac:dyDescent="0.25">
      <c r="A899" s="29" t="s">
        <v>765</v>
      </c>
      <c r="N899">
        <f t="shared" si="27"/>
        <v>4</v>
      </c>
      <c r="O899" s="7" t="str">
        <f ca="1">getCodigoBackend(N899,A899,VLOOKUP(N899,setup!$A$8:$H$58,2),VLOOKUP(N899,setup!$A$8:$H$58,3),VLOOKUP(N899,setup!$A$8:$H$58,4),VLOOKUP(N899,setup!$A$8:$H$58,5),VLOOKUP(N899,setup!$A$8:$H$58,6),VLOOKUP(N899,setup!$A$8:$H$58,7), VLOOKUP(0,setup!$A$8:$H$58,2),VLOOKUP(0,setup!$A$8:$H$58,5),VLOOKUP(N899,setup!$A$8:$H$58,8))</f>
        <v xml:space="preserve">        // prepara sessão, query, troca de valores, acoplagem do resultado e o fetch</v>
      </c>
    </row>
    <row r="900" spans="1:15" x14ac:dyDescent="0.25">
      <c r="A900" s="29" t="s">
        <v>766</v>
      </c>
      <c r="N900">
        <f t="shared" si="27"/>
        <v>4</v>
      </c>
      <c r="O900" s="7" t="str">
        <f ca="1">getCodigoBackend(N900,A900,VLOOKUP(N900,setup!$A$8:$H$58,2),VLOOKUP(N900,setup!$A$8:$H$58,3),VLOOKUP(N900,setup!$A$8:$H$58,4),VLOOKUP(N900,setup!$A$8:$H$58,5),VLOOKUP(N900,setup!$A$8:$H$58,6),VLOOKUP(N900,setup!$A$8:$H$58,7), VLOOKUP(0,setup!$A$8:$H$58,2),VLOOKUP(0,setup!$A$8:$H$58,5),VLOOKUP(N900,setup!$A$8:$H$58,8))</f>
        <v xml:space="preserve">        $conexao = $this-&gt;daofactory-&gt;getSession();</v>
      </c>
    </row>
    <row r="901" spans="1:15" x14ac:dyDescent="0.25">
      <c r="A901" s="29" t="s">
        <v>780</v>
      </c>
      <c r="N901">
        <f t="shared" si="27"/>
        <v>4</v>
      </c>
      <c r="O901" s="7" t="str">
        <f ca="1">getCodigoBackend(N901,A901,VLOOKUP(N901,setup!$A$8:$H$58,2),VLOOKUP(N901,setup!$A$8:$H$58,3),VLOOKUP(N901,setup!$A$8:$H$58,4),VLOOKUP(N901,setup!$A$8:$H$58,5),VLOOKUP(N901,setup!$A$8:$H$58,6),VLOOKUP(N901,setup!$A$8:$H$58,7), VLOOKUP(0,setup!$A$8:$H$58,2),VLOOKUP(0,setup!$A$8:$H$58,5),VLOOKUP(N901,setup!$A$8:$H$58,8))</f>
        <v xml:space="preserve">        $res = $conexao-&gt;query(DmlSqlCampanhaCashbackResgatePix::SELECT . ' WHERE ' . DmlSqlCampanhaCashbackResgatePix::CCRP_TX_CHAVE_PIX . '=' . $chavePix );</v>
      </c>
    </row>
    <row r="902" spans="1:15" x14ac:dyDescent="0.25">
      <c r="A902" s="29" t="s">
        <v>778</v>
      </c>
      <c r="N902">
        <f t="shared" si="27"/>
        <v>4</v>
      </c>
      <c r="O902" s="7" t="str">
        <f ca="1">getCodigoBackend(N902,A902,VLOOKUP(N902,setup!$A$8:$H$58,2),VLOOKUP(N902,setup!$A$8:$H$58,3),VLOOKUP(N902,setup!$A$8:$H$58,4),VLOOKUP(N902,setup!$A$8:$H$58,5),VLOOKUP(N902,setup!$A$8:$H$58,6),VLOOKUP(N902,setup!$A$8:$H$58,7), VLOOKUP(0,setup!$A$8:$H$58,2),VLOOKUP(0,setup!$A$8:$H$58,5),VLOOKUP(N902,setup!$A$8:$H$58,8))</f>
        <v xml:space="preserve">        if ($res){</v>
      </c>
    </row>
    <row r="903" spans="1:15" x14ac:dyDescent="0.25">
      <c r="A903" s="29" t="s">
        <v>779</v>
      </c>
      <c r="N903">
        <f t="shared" si="27"/>
        <v>4</v>
      </c>
      <c r="O903" s="7" t="str">
        <f ca="1">getCodigoBackend(N903,A903,VLOOKUP(N903,setup!$A$8:$H$58,2),VLOOKUP(N903,setup!$A$8:$H$58,3),VLOOKUP(N903,setup!$A$8:$H$58,4),VLOOKUP(N903,setup!$A$8:$H$58,5),VLOOKUP(N903,setup!$A$8:$H$58,6),VLOOKUP(N903,setup!$A$8:$H$58,7), VLOOKUP(0,setup!$A$8:$H$58,2),VLOOKUP(0,setup!$A$8:$H$58,5),VLOOKUP(N903,setup!$A$8:$H$58,8))</f>
        <v xml:space="preserve">            $retorno = $this-&gt;getDTO($res-&gt;fetch_assoc());</v>
      </c>
    </row>
    <row r="904" spans="1:15" x14ac:dyDescent="0.25">
      <c r="A904" s="29" t="s">
        <v>157</v>
      </c>
      <c r="N904">
        <f t="shared" si="27"/>
        <v>4</v>
      </c>
      <c r="O904" s="7" t="str">
        <f ca="1">getCodigoBackend(N904,A904,VLOOKUP(N904,setup!$A$8:$H$58,2),VLOOKUP(N904,setup!$A$8:$H$58,3),VLOOKUP(N904,setup!$A$8:$H$58,4),VLOOKUP(N904,setup!$A$8:$H$58,5),VLOOKUP(N904,setup!$A$8:$H$58,6),VLOOKUP(N904,setup!$A$8:$H$58,7), VLOOKUP(0,setup!$A$8:$H$58,2),VLOOKUP(0,setup!$A$8:$H$58,5),VLOOKUP(N904,setup!$A$8:$H$58,8))</f>
        <v xml:space="preserve">        }</v>
      </c>
    </row>
    <row r="905" spans="1:15" x14ac:dyDescent="0.25">
      <c r="A905" s="29" t="s">
        <v>743</v>
      </c>
      <c r="N905">
        <f t="shared" si="27"/>
        <v>4</v>
      </c>
      <c r="O905" s="7" t="str">
        <f ca="1">getCodigoBackend(N905,A905,VLOOKUP(N905,setup!$A$8:$H$58,2),VLOOKUP(N905,setup!$A$8:$H$58,3),VLOOKUP(N905,setup!$A$8:$H$58,4),VLOOKUP(N905,setup!$A$8:$H$58,5),VLOOKUP(N905,setup!$A$8:$H$58,6),VLOOKUP(N905,setup!$A$8:$H$58,7), VLOOKUP(0,setup!$A$8:$H$58,2),VLOOKUP(0,setup!$A$8:$H$58,5),VLOOKUP(N905,setup!$A$8:$H$58,8))</f>
        <v xml:space="preserve">        return $retorno;</v>
      </c>
    </row>
    <row r="906" spans="1:15" x14ac:dyDescent="0.25">
      <c r="A906" s="29" t="s">
        <v>406</v>
      </c>
      <c r="N906">
        <f t="shared" si="27"/>
        <v>4</v>
      </c>
      <c r="O906" s="7" t="str">
        <f ca="1">getCodigoBackend(N906,A906,VLOOKUP(N906,setup!$A$8:$H$58,2),VLOOKUP(N906,setup!$A$8:$H$58,3),VLOOKUP(N906,setup!$A$8:$H$58,4),VLOOKUP(N906,setup!$A$8:$H$58,5),VLOOKUP(N906,setup!$A$8:$H$58,6),VLOOKUP(N906,setup!$A$8:$H$58,7), VLOOKUP(0,setup!$A$8:$H$58,2),VLOOKUP(0,setup!$A$8:$H$58,5),VLOOKUP(N906,setup!$A$8:$H$58,8))</f>
        <v xml:space="preserve">    }</v>
      </c>
    </row>
    <row r="907" spans="1:15" x14ac:dyDescent="0.25">
      <c r="A907" s="29"/>
      <c r="O907" s="7" t="str">
        <f ca="1">getCodigoBackend(N907,A907,VLOOKUP(N907,setup!$A$8:$H$58,2),VLOOKUP(N907,setup!$A$8:$H$58,3),VLOOKUP(N907,setup!$A$8:$H$58,4),VLOOKUP(N907,setup!$A$8:$H$58,5),VLOOKUP(N907,setup!$A$8:$H$58,6),VLOOKUP(N907,setup!$A$8:$H$58,7), VLOOKUP(0,setup!$A$8:$H$58,2),VLOOKUP(0,setup!$A$8:$H$58,5),VLOOKUP(N907,setup!$A$8:$H$58,8))</f>
        <v/>
      </c>
    </row>
    <row r="908" spans="1:15" x14ac:dyDescent="0.25">
      <c r="A908" s="6" t="s">
        <v>140</v>
      </c>
      <c r="N908">
        <f>N906+1</f>
        <v>5</v>
      </c>
      <c r="O908" s="7" t="str">
        <f ca="1">getCodigoBackend(N908,A908,VLOOKUP(N908,setup!$A$8:$H$58,2),VLOOKUP(N908,setup!$A$8:$H$58,3),VLOOKUP(N908,setup!$A$8:$H$58,4),VLOOKUP(N908,setup!$A$8:$H$58,5),VLOOKUP(N908,setup!$A$8:$H$58,6),VLOOKUP(N908,setup!$A$8:$H$58,7), VLOOKUP(0,setup!$A$8:$H$58,2),VLOOKUP(0,setup!$A$8:$H$58,5),VLOOKUP(N908,setup!$A$8:$H$58,8))</f>
        <v>    /**</v>
      </c>
    </row>
    <row r="909" spans="1:15" x14ac:dyDescent="0.25">
      <c r="A909" s="4" t="s">
        <v>781</v>
      </c>
      <c r="N909">
        <f>N908</f>
        <v>5</v>
      </c>
      <c r="O909" s="7" t="str">
        <f ca="1">getCodigoBackend(N909,A909,VLOOKUP(N909,setup!$A$8:$H$58,2),VLOOKUP(N909,setup!$A$8:$H$58,3),VLOOKUP(N909,setup!$A$8:$H$58,4),VLOOKUP(N909,setup!$A$8:$H$58,5),VLOOKUP(N909,setup!$A$8:$H$58,6),VLOOKUP(N909,setup!$A$8:$H$58,7), VLOOKUP(0,setup!$A$8:$H$58,2),VLOOKUP(0,setup!$A$8:$H$58,5),VLOOKUP(N909,setup!$A$8:$H$58,8))</f>
        <v>    * loadValorresgate() - implementação da assinatura em CampanhaCashbackResgatePixDAO</v>
      </c>
    </row>
    <row r="910" spans="1:15" x14ac:dyDescent="0.25">
      <c r="A910" s="4" t="s">
        <v>141</v>
      </c>
      <c r="N910">
        <f t="shared" ref="N910:N922" si="28">N909</f>
        <v>5</v>
      </c>
      <c r="O910" s="7" t="str">
        <f ca="1">getCodigoBackend(N910,A910,VLOOKUP(N910,setup!$A$8:$H$58,2),VLOOKUP(N910,setup!$A$8:$H$58,3),VLOOKUP(N910,setup!$A$8:$H$58,4),VLOOKUP(N910,setup!$A$8:$H$58,5),VLOOKUP(N910,setup!$A$8:$H$58,6),VLOOKUP(N910,setup!$A$8:$H$58,7), VLOOKUP(0,setup!$A$8:$H$58,2),VLOOKUP(0,setup!$A$8:$H$58,5),VLOOKUP(N910,setup!$A$8:$H$58,8))</f>
        <v>    */</v>
      </c>
    </row>
    <row r="911" spans="1:15" x14ac:dyDescent="0.25">
      <c r="A911" s="6"/>
      <c r="N911">
        <f t="shared" si="28"/>
        <v>5</v>
      </c>
      <c r="O911" s="7" t="str">
        <f ca="1">getCodigoBackend(N911,A911,VLOOKUP(N911,setup!$A$8:$H$58,2),VLOOKUP(N911,setup!$A$8:$H$58,3),VLOOKUP(N911,setup!$A$8:$H$58,4),VLOOKUP(N911,setup!$A$8:$H$58,5),VLOOKUP(N911,setup!$A$8:$H$58,6),VLOOKUP(N911,setup!$A$8:$H$58,7), VLOOKUP(0,setup!$A$8:$H$58,2),VLOOKUP(0,setup!$A$8:$H$58,5),VLOOKUP(N911,setup!$A$8:$H$58,8))</f>
        <v/>
      </c>
    </row>
    <row r="912" spans="1:15" x14ac:dyDescent="0.25">
      <c r="A912" s="29" t="s">
        <v>777</v>
      </c>
      <c r="N912">
        <f t="shared" si="28"/>
        <v>5</v>
      </c>
      <c r="O912" s="7" t="str">
        <f ca="1">getCodigoBackend(N912,A912,VLOOKUP(N912,setup!$A$8:$H$58,2),VLOOKUP(N912,setup!$A$8:$H$58,3),VLOOKUP(N912,setup!$A$8:$H$58,4),VLOOKUP(N912,setup!$A$8:$H$58,5),VLOOKUP(N912,setup!$A$8:$H$58,6),VLOOKUP(N912,setup!$A$8:$H$58,7), VLOOKUP(0,setup!$A$8:$H$58,2),VLOOKUP(0,setup!$A$8:$H$58,5),VLOOKUP(N912,setup!$A$8:$H$58,8))</f>
        <v xml:space="preserve">    public function loadValorresgate($valorResgate)</v>
      </c>
    </row>
    <row r="913" spans="1:15" x14ac:dyDescent="0.25">
      <c r="A913" s="29" t="s">
        <v>763</v>
      </c>
      <c r="N913">
        <f t="shared" si="28"/>
        <v>5</v>
      </c>
      <c r="O913" s="7" t="str">
        <f ca="1">getCodigoBackend(N913,A913,VLOOKUP(N913,setup!$A$8:$H$58,2),VLOOKUP(N913,setup!$A$8:$H$58,3),VLOOKUP(N913,setup!$A$8:$H$58,4),VLOOKUP(N913,setup!$A$8:$H$58,5),VLOOKUP(N913,setup!$A$8:$H$58,6),VLOOKUP(N913,setup!$A$8:$H$58,7), VLOOKUP(0,setup!$A$8:$H$58,2),VLOOKUP(0,setup!$A$8:$H$58,5),VLOOKUP(N913,setup!$A$8:$H$58,8))</f>
        <v xml:space="preserve">    {   </v>
      </c>
    </row>
    <row r="914" spans="1:15" x14ac:dyDescent="0.25">
      <c r="A914" s="29" t="s">
        <v>725</v>
      </c>
      <c r="N914">
        <f t="shared" si="28"/>
        <v>5</v>
      </c>
      <c r="O914" s="7" t="str">
        <f ca="1">getCodigoBackend(N914,A914,VLOOKUP(N914,setup!$A$8:$H$58,2),VLOOKUP(N914,setup!$A$8:$H$58,3),VLOOKUP(N914,setup!$A$8:$H$58,4),VLOOKUP(N914,setup!$A$8:$H$58,5),VLOOKUP(N914,setup!$A$8:$H$58,6),VLOOKUP(N914,setup!$A$8:$H$58,7), VLOOKUP(0,setup!$A$8:$H$58,2),VLOOKUP(0,setup!$A$8:$H$58,5),VLOOKUP(N914,setup!$A$8:$H$58,8))</f>
        <v xml:space="preserve">        $retorno = NULL;</v>
      </c>
    </row>
    <row r="915" spans="1:15" x14ac:dyDescent="0.25">
      <c r="A915" s="29" t="s">
        <v>765</v>
      </c>
      <c r="N915">
        <f t="shared" si="28"/>
        <v>5</v>
      </c>
      <c r="O915" s="7" t="str">
        <f ca="1">getCodigoBackend(N915,A915,VLOOKUP(N915,setup!$A$8:$H$58,2),VLOOKUP(N915,setup!$A$8:$H$58,3),VLOOKUP(N915,setup!$A$8:$H$58,4),VLOOKUP(N915,setup!$A$8:$H$58,5),VLOOKUP(N915,setup!$A$8:$H$58,6),VLOOKUP(N915,setup!$A$8:$H$58,7), VLOOKUP(0,setup!$A$8:$H$58,2),VLOOKUP(0,setup!$A$8:$H$58,5),VLOOKUP(N915,setup!$A$8:$H$58,8))</f>
        <v xml:space="preserve">        // prepara sessão, query, troca de valores, acoplagem do resultado e o fetch</v>
      </c>
    </row>
    <row r="916" spans="1:15" x14ac:dyDescent="0.25">
      <c r="A916" s="29" t="s">
        <v>766</v>
      </c>
      <c r="N916">
        <f t="shared" si="28"/>
        <v>5</v>
      </c>
      <c r="O916" s="7" t="str">
        <f ca="1">getCodigoBackend(N916,A916,VLOOKUP(N916,setup!$A$8:$H$58,2),VLOOKUP(N916,setup!$A$8:$H$58,3),VLOOKUP(N916,setup!$A$8:$H$58,4),VLOOKUP(N916,setup!$A$8:$H$58,5),VLOOKUP(N916,setup!$A$8:$H$58,6),VLOOKUP(N916,setup!$A$8:$H$58,7), VLOOKUP(0,setup!$A$8:$H$58,2),VLOOKUP(0,setup!$A$8:$H$58,5),VLOOKUP(N916,setup!$A$8:$H$58,8))</f>
        <v xml:space="preserve">        $conexao = $this-&gt;daofactory-&gt;getSession();</v>
      </c>
    </row>
    <row r="917" spans="1:15" x14ac:dyDescent="0.25">
      <c r="A917" s="29" t="s">
        <v>780</v>
      </c>
      <c r="N917">
        <f t="shared" si="28"/>
        <v>5</v>
      </c>
      <c r="O917" s="7" t="str">
        <f ca="1">getCodigoBackend(N917,A917,VLOOKUP(N917,setup!$A$8:$H$58,2),VLOOKUP(N917,setup!$A$8:$H$58,3),VLOOKUP(N917,setup!$A$8:$H$58,4),VLOOKUP(N917,setup!$A$8:$H$58,5),VLOOKUP(N917,setup!$A$8:$H$58,6),VLOOKUP(N917,setup!$A$8:$H$58,7), VLOOKUP(0,setup!$A$8:$H$58,2),VLOOKUP(0,setup!$A$8:$H$58,5),VLOOKUP(N917,setup!$A$8:$H$58,8))</f>
        <v xml:space="preserve">        $res = $conexao-&gt;query(DmlSqlCampanhaCashbackResgatePix::SELECT . ' WHERE ' . DmlSqlCampanhaCashbackResgatePix::CCRP_VL_RESGATE . '=' . $valorResgate );</v>
      </c>
    </row>
    <row r="918" spans="1:15" x14ac:dyDescent="0.25">
      <c r="A918" s="29" t="s">
        <v>778</v>
      </c>
      <c r="N918">
        <f t="shared" si="28"/>
        <v>5</v>
      </c>
      <c r="O918" s="7" t="str">
        <f ca="1">getCodigoBackend(N918,A918,VLOOKUP(N918,setup!$A$8:$H$58,2),VLOOKUP(N918,setup!$A$8:$H$58,3),VLOOKUP(N918,setup!$A$8:$H$58,4),VLOOKUP(N918,setup!$A$8:$H$58,5),VLOOKUP(N918,setup!$A$8:$H$58,6),VLOOKUP(N918,setup!$A$8:$H$58,7), VLOOKUP(0,setup!$A$8:$H$58,2),VLOOKUP(0,setup!$A$8:$H$58,5),VLOOKUP(N918,setup!$A$8:$H$58,8))</f>
        <v xml:space="preserve">        if ($res){</v>
      </c>
    </row>
    <row r="919" spans="1:15" x14ac:dyDescent="0.25">
      <c r="A919" s="29" t="s">
        <v>779</v>
      </c>
      <c r="N919">
        <f t="shared" si="28"/>
        <v>5</v>
      </c>
      <c r="O919" s="7" t="str">
        <f ca="1">getCodigoBackend(N919,A919,VLOOKUP(N919,setup!$A$8:$H$58,2),VLOOKUP(N919,setup!$A$8:$H$58,3),VLOOKUP(N919,setup!$A$8:$H$58,4),VLOOKUP(N919,setup!$A$8:$H$58,5),VLOOKUP(N919,setup!$A$8:$H$58,6),VLOOKUP(N919,setup!$A$8:$H$58,7), VLOOKUP(0,setup!$A$8:$H$58,2),VLOOKUP(0,setup!$A$8:$H$58,5),VLOOKUP(N919,setup!$A$8:$H$58,8))</f>
        <v xml:space="preserve">            $retorno = $this-&gt;getDTO($res-&gt;fetch_assoc());</v>
      </c>
    </row>
    <row r="920" spans="1:15" x14ac:dyDescent="0.25">
      <c r="A920" s="29" t="s">
        <v>157</v>
      </c>
      <c r="N920">
        <f t="shared" si="28"/>
        <v>5</v>
      </c>
      <c r="O920" s="7" t="str">
        <f ca="1">getCodigoBackend(N920,A920,VLOOKUP(N920,setup!$A$8:$H$58,2),VLOOKUP(N920,setup!$A$8:$H$58,3),VLOOKUP(N920,setup!$A$8:$H$58,4),VLOOKUP(N920,setup!$A$8:$H$58,5),VLOOKUP(N920,setup!$A$8:$H$58,6),VLOOKUP(N920,setup!$A$8:$H$58,7), VLOOKUP(0,setup!$A$8:$H$58,2),VLOOKUP(0,setup!$A$8:$H$58,5),VLOOKUP(N920,setup!$A$8:$H$58,8))</f>
        <v xml:space="preserve">        }</v>
      </c>
    </row>
    <row r="921" spans="1:15" x14ac:dyDescent="0.25">
      <c r="A921" s="29" t="s">
        <v>743</v>
      </c>
      <c r="N921">
        <f t="shared" si="28"/>
        <v>5</v>
      </c>
      <c r="O921" s="7" t="str">
        <f ca="1">getCodigoBackend(N921,A921,VLOOKUP(N921,setup!$A$8:$H$58,2),VLOOKUP(N921,setup!$A$8:$H$58,3),VLOOKUP(N921,setup!$A$8:$H$58,4),VLOOKUP(N921,setup!$A$8:$H$58,5),VLOOKUP(N921,setup!$A$8:$H$58,6),VLOOKUP(N921,setup!$A$8:$H$58,7), VLOOKUP(0,setup!$A$8:$H$58,2),VLOOKUP(0,setup!$A$8:$H$58,5),VLOOKUP(N921,setup!$A$8:$H$58,8))</f>
        <v xml:space="preserve">        return $retorno;</v>
      </c>
    </row>
    <row r="922" spans="1:15" x14ac:dyDescent="0.25">
      <c r="A922" s="29" t="s">
        <v>406</v>
      </c>
      <c r="N922">
        <f t="shared" si="28"/>
        <v>5</v>
      </c>
      <c r="O922" s="7" t="str">
        <f ca="1">getCodigoBackend(N922,A922,VLOOKUP(N922,setup!$A$8:$H$58,2),VLOOKUP(N922,setup!$A$8:$H$58,3),VLOOKUP(N922,setup!$A$8:$H$58,4),VLOOKUP(N922,setup!$A$8:$H$58,5),VLOOKUP(N922,setup!$A$8:$H$58,6),VLOOKUP(N922,setup!$A$8:$H$58,7), VLOOKUP(0,setup!$A$8:$H$58,2),VLOOKUP(0,setup!$A$8:$H$58,5),VLOOKUP(N922,setup!$A$8:$H$58,8))</f>
        <v xml:space="preserve">    }</v>
      </c>
    </row>
    <row r="923" spans="1:15" x14ac:dyDescent="0.25">
      <c r="A923" s="29"/>
      <c r="O923" s="7" t="str">
        <f ca="1">getCodigoBackend(N923,A923,VLOOKUP(N923,setup!$A$8:$H$58,2),VLOOKUP(N923,setup!$A$8:$H$58,3),VLOOKUP(N923,setup!$A$8:$H$58,4),VLOOKUP(N923,setup!$A$8:$H$58,5),VLOOKUP(N923,setup!$A$8:$H$58,6),VLOOKUP(N923,setup!$A$8:$H$58,7), VLOOKUP(0,setup!$A$8:$H$58,2),VLOOKUP(0,setup!$A$8:$H$58,5),VLOOKUP(N923,setup!$A$8:$H$58,8))</f>
        <v/>
      </c>
    </row>
    <row r="924" spans="1:15" x14ac:dyDescent="0.25">
      <c r="A924" s="6" t="s">
        <v>140</v>
      </c>
      <c r="N924">
        <f>N922+1</f>
        <v>6</v>
      </c>
      <c r="O924" s="7" t="str">
        <f ca="1">getCodigoBackend(N924,A924,VLOOKUP(N924,setup!$A$8:$H$58,2),VLOOKUP(N924,setup!$A$8:$H$58,3),VLOOKUP(N924,setup!$A$8:$H$58,4),VLOOKUP(N924,setup!$A$8:$H$58,5),VLOOKUP(N924,setup!$A$8:$H$58,6),VLOOKUP(N924,setup!$A$8:$H$58,7), VLOOKUP(0,setup!$A$8:$H$58,2),VLOOKUP(0,setup!$A$8:$H$58,5),VLOOKUP(N924,setup!$A$8:$H$58,8))</f>
        <v>    /**</v>
      </c>
    </row>
    <row r="925" spans="1:15" x14ac:dyDescent="0.25">
      <c r="A925" s="4" t="s">
        <v>781</v>
      </c>
      <c r="N925">
        <f>N924</f>
        <v>6</v>
      </c>
      <c r="O925" s="7" t="str">
        <f ca="1">getCodigoBackend(N925,A925,VLOOKUP(N925,setup!$A$8:$H$58,2),VLOOKUP(N925,setup!$A$8:$H$58,3),VLOOKUP(N925,setup!$A$8:$H$58,4),VLOOKUP(N925,setup!$A$8:$H$58,5),VLOOKUP(N925,setup!$A$8:$H$58,6),VLOOKUP(N925,setup!$A$8:$H$58,7), VLOOKUP(0,setup!$A$8:$H$58,2),VLOOKUP(0,setup!$A$8:$H$58,5),VLOOKUP(N925,setup!$A$8:$H$58,8))</f>
        <v>    * loadAutenticacaobco() - implementação da assinatura em CampanhaCashbackResgatePixDAO</v>
      </c>
    </row>
    <row r="926" spans="1:15" x14ac:dyDescent="0.25">
      <c r="A926" s="4" t="s">
        <v>141</v>
      </c>
      <c r="N926">
        <f t="shared" ref="N926:N938" si="29">N925</f>
        <v>6</v>
      </c>
      <c r="O926" s="7" t="str">
        <f ca="1">getCodigoBackend(N926,A926,VLOOKUP(N926,setup!$A$8:$H$58,2),VLOOKUP(N926,setup!$A$8:$H$58,3),VLOOKUP(N926,setup!$A$8:$H$58,4),VLOOKUP(N926,setup!$A$8:$H$58,5),VLOOKUP(N926,setup!$A$8:$H$58,6),VLOOKUP(N926,setup!$A$8:$H$58,7), VLOOKUP(0,setup!$A$8:$H$58,2),VLOOKUP(0,setup!$A$8:$H$58,5),VLOOKUP(N926,setup!$A$8:$H$58,8))</f>
        <v>    */</v>
      </c>
    </row>
    <row r="927" spans="1:15" x14ac:dyDescent="0.25">
      <c r="A927" s="6"/>
      <c r="N927">
        <f t="shared" si="29"/>
        <v>6</v>
      </c>
      <c r="O927" s="7" t="str">
        <f ca="1">getCodigoBackend(N927,A927,VLOOKUP(N927,setup!$A$8:$H$58,2),VLOOKUP(N927,setup!$A$8:$H$58,3),VLOOKUP(N927,setup!$A$8:$H$58,4),VLOOKUP(N927,setup!$A$8:$H$58,5),VLOOKUP(N927,setup!$A$8:$H$58,6),VLOOKUP(N927,setup!$A$8:$H$58,7), VLOOKUP(0,setup!$A$8:$H$58,2),VLOOKUP(0,setup!$A$8:$H$58,5),VLOOKUP(N927,setup!$A$8:$H$58,8))</f>
        <v/>
      </c>
    </row>
    <row r="928" spans="1:15" x14ac:dyDescent="0.25">
      <c r="A928" s="29" t="s">
        <v>777</v>
      </c>
      <c r="N928">
        <f t="shared" si="29"/>
        <v>6</v>
      </c>
      <c r="O928" s="7" t="str">
        <f ca="1">getCodigoBackend(N928,A928,VLOOKUP(N928,setup!$A$8:$H$58,2),VLOOKUP(N928,setup!$A$8:$H$58,3),VLOOKUP(N928,setup!$A$8:$H$58,4),VLOOKUP(N928,setup!$A$8:$H$58,5),VLOOKUP(N928,setup!$A$8:$H$58,6),VLOOKUP(N928,setup!$A$8:$H$58,7), VLOOKUP(0,setup!$A$8:$H$58,2),VLOOKUP(0,setup!$A$8:$H$58,5),VLOOKUP(N928,setup!$A$8:$H$58,8))</f>
        <v xml:space="preserve">    public function loadAutenticacaobco($autenticacaoBco)</v>
      </c>
    </row>
    <row r="929" spans="1:15" x14ac:dyDescent="0.25">
      <c r="A929" s="29" t="s">
        <v>763</v>
      </c>
      <c r="N929">
        <f t="shared" si="29"/>
        <v>6</v>
      </c>
      <c r="O929" s="7" t="str">
        <f ca="1">getCodigoBackend(N929,A929,VLOOKUP(N929,setup!$A$8:$H$58,2),VLOOKUP(N929,setup!$A$8:$H$58,3),VLOOKUP(N929,setup!$A$8:$H$58,4),VLOOKUP(N929,setup!$A$8:$H$58,5),VLOOKUP(N929,setup!$A$8:$H$58,6),VLOOKUP(N929,setup!$A$8:$H$58,7), VLOOKUP(0,setup!$A$8:$H$58,2),VLOOKUP(0,setup!$A$8:$H$58,5),VLOOKUP(N929,setup!$A$8:$H$58,8))</f>
        <v xml:space="preserve">    {   </v>
      </c>
    </row>
    <row r="930" spans="1:15" x14ac:dyDescent="0.25">
      <c r="A930" s="29" t="s">
        <v>725</v>
      </c>
      <c r="N930">
        <f t="shared" si="29"/>
        <v>6</v>
      </c>
      <c r="O930" s="7" t="str">
        <f ca="1">getCodigoBackend(N930,A930,VLOOKUP(N930,setup!$A$8:$H$58,2),VLOOKUP(N930,setup!$A$8:$H$58,3),VLOOKUP(N930,setup!$A$8:$H$58,4),VLOOKUP(N930,setup!$A$8:$H$58,5),VLOOKUP(N930,setup!$A$8:$H$58,6),VLOOKUP(N930,setup!$A$8:$H$58,7), VLOOKUP(0,setup!$A$8:$H$58,2),VLOOKUP(0,setup!$A$8:$H$58,5),VLOOKUP(N930,setup!$A$8:$H$58,8))</f>
        <v xml:space="preserve">        $retorno = NULL;</v>
      </c>
    </row>
    <row r="931" spans="1:15" x14ac:dyDescent="0.25">
      <c r="A931" s="29" t="s">
        <v>765</v>
      </c>
      <c r="N931">
        <f t="shared" si="29"/>
        <v>6</v>
      </c>
      <c r="O931" s="7" t="str">
        <f ca="1">getCodigoBackend(N931,A931,VLOOKUP(N931,setup!$A$8:$H$58,2),VLOOKUP(N931,setup!$A$8:$H$58,3),VLOOKUP(N931,setup!$A$8:$H$58,4),VLOOKUP(N931,setup!$A$8:$H$58,5),VLOOKUP(N931,setup!$A$8:$H$58,6),VLOOKUP(N931,setup!$A$8:$H$58,7), VLOOKUP(0,setup!$A$8:$H$58,2),VLOOKUP(0,setup!$A$8:$H$58,5),VLOOKUP(N931,setup!$A$8:$H$58,8))</f>
        <v xml:space="preserve">        // prepara sessão, query, troca de valores, acoplagem do resultado e o fetch</v>
      </c>
    </row>
    <row r="932" spans="1:15" x14ac:dyDescent="0.25">
      <c r="A932" s="29" t="s">
        <v>766</v>
      </c>
      <c r="N932">
        <f t="shared" si="29"/>
        <v>6</v>
      </c>
      <c r="O932" s="7" t="str">
        <f ca="1">getCodigoBackend(N932,A932,VLOOKUP(N932,setup!$A$8:$H$58,2),VLOOKUP(N932,setup!$A$8:$H$58,3),VLOOKUP(N932,setup!$A$8:$H$58,4),VLOOKUP(N932,setup!$A$8:$H$58,5),VLOOKUP(N932,setup!$A$8:$H$58,6),VLOOKUP(N932,setup!$A$8:$H$58,7), VLOOKUP(0,setup!$A$8:$H$58,2),VLOOKUP(0,setup!$A$8:$H$58,5),VLOOKUP(N932,setup!$A$8:$H$58,8))</f>
        <v xml:space="preserve">        $conexao = $this-&gt;daofactory-&gt;getSession();</v>
      </c>
    </row>
    <row r="933" spans="1:15" x14ac:dyDescent="0.25">
      <c r="A933" s="29" t="s">
        <v>780</v>
      </c>
      <c r="N933">
        <f t="shared" si="29"/>
        <v>6</v>
      </c>
      <c r="O933" s="7" t="str">
        <f ca="1">getCodigoBackend(N933,A933,VLOOKUP(N933,setup!$A$8:$H$58,2),VLOOKUP(N933,setup!$A$8:$H$58,3),VLOOKUP(N933,setup!$A$8:$H$58,4),VLOOKUP(N933,setup!$A$8:$H$58,5),VLOOKUP(N933,setup!$A$8:$H$58,6),VLOOKUP(N933,setup!$A$8:$H$58,7), VLOOKUP(0,setup!$A$8:$H$58,2),VLOOKUP(0,setup!$A$8:$H$58,5),VLOOKUP(N933,setup!$A$8:$H$58,8))</f>
        <v xml:space="preserve">        $res = $conexao-&gt;query(DmlSqlCampanhaCashbackResgatePix::SELECT . ' WHERE ' . DmlSqlCampanhaCashbackResgatePix::CCRP_TX_AUTENT_BCO . '=' . $autenticacaoBco );</v>
      </c>
    </row>
    <row r="934" spans="1:15" x14ac:dyDescent="0.25">
      <c r="A934" s="29" t="s">
        <v>778</v>
      </c>
      <c r="N934">
        <f t="shared" si="29"/>
        <v>6</v>
      </c>
      <c r="O934" s="7" t="str">
        <f ca="1">getCodigoBackend(N934,A934,VLOOKUP(N934,setup!$A$8:$H$58,2),VLOOKUP(N934,setup!$A$8:$H$58,3),VLOOKUP(N934,setup!$A$8:$H$58,4),VLOOKUP(N934,setup!$A$8:$H$58,5),VLOOKUP(N934,setup!$A$8:$H$58,6),VLOOKUP(N934,setup!$A$8:$H$58,7), VLOOKUP(0,setup!$A$8:$H$58,2),VLOOKUP(0,setup!$A$8:$H$58,5),VLOOKUP(N934,setup!$A$8:$H$58,8))</f>
        <v xml:space="preserve">        if ($res){</v>
      </c>
    </row>
    <row r="935" spans="1:15" x14ac:dyDescent="0.25">
      <c r="A935" s="29" t="s">
        <v>779</v>
      </c>
      <c r="N935">
        <f t="shared" si="29"/>
        <v>6</v>
      </c>
      <c r="O935" s="7" t="str">
        <f ca="1">getCodigoBackend(N935,A935,VLOOKUP(N935,setup!$A$8:$H$58,2),VLOOKUP(N935,setup!$A$8:$H$58,3),VLOOKUP(N935,setup!$A$8:$H$58,4),VLOOKUP(N935,setup!$A$8:$H$58,5),VLOOKUP(N935,setup!$A$8:$H$58,6),VLOOKUP(N935,setup!$A$8:$H$58,7), VLOOKUP(0,setup!$A$8:$H$58,2),VLOOKUP(0,setup!$A$8:$H$58,5),VLOOKUP(N935,setup!$A$8:$H$58,8))</f>
        <v xml:space="preserve">            $retorno = $this-&gt;getDTO($res-&gt;fetch_assoc());</v>
      </c>
    </row>
    <row r="936" spans="1:15" x14ac:dyDescent="0.25">
      <c r="A936" s="29" t="s">
        <v>157</v>
      </c>
      <c r="N936">
        <f t="shared" si="29"/>
        <v>6</v>
      </c>
      <c r="O936" s="7" t="str">
        <f ca="1">getCodigoBackend(N936,A936,VLOOKUP(N936,setup!$A$8:$H$58,2),VLOOKUP(N936,setup!$A$8:$H$58,3),VLOOKUP(N936,setup!$A$8:$H$58,4),VLOOKUP(N936,setup!$A$8:$H$58,5),VLOOKUP(N936,setup!$A$8:$H$58,6),VLOOKUP(N936,setup!$A$8:$H$58,7), VLOOKUP(0,setup!$A$8:$H$58,2),VLOOKUP(0,setup!$A$8:$H$58,5),VLOOKUP(N936,setup!$A$8:$H$58,8))</f>
        <v xml:space="preserve">        }</v>
      </c>
    </row>
    <row r="937" spans="1:15" x14ac:dyDescent="0.25">
      <c r="A937" s="29" t="s">
        <v>743</v>
      </c>
      <c r="N937">
        <f t="shared" si="29"/>
        <v>6</v>
      </c>
      <c r="O937" s="7" t="str">
        <f ca="1">getCodigoBackend(N937,A937,VLOOKUP(N937,setup!$A$8:$H$58,2),VLOOKUP(N937,setup!$A$8:$H$58,3),VLOOKUP(N937,setup!$A$8:$H$58,4),VLOOKUP(N937,setup!$A$8:$H$58,5),VLOOKUP(N937,setup!$A$8:$H$58,6),VLOOKUP(N937,setup!$A$8:$H$58,7), VLOOKUP(0,setup!$A$8:$H$58,2),VLOOKUP(0,setup!$A$8:$H$58,5),VLOOKUP(N937,setup!$A$8:$H$58,8))</f>
        <v xml:space="preserve">        return $retorno;</v>
      </c>
    </row>
    <row r="938" spans="1:15" x14ac:dyDescent="0.25">
      <c r="A938" s="29" t="s">
        <v>406</v>
      </c>
      <c r="N938">
        <f t="shared" si="29"/>
        <v>6</v>
      </c>
      <c r="O938" s="7" t="str">
        <f ca="1">getCodigoBackend(N938,A938,VLOOKUP(N938,setup!$A$8:$H$58,2),VLOOKUP(N938,setup!$A$8:$H$58,3),VLOOKUP(N938,setup!$A$8:$H$58,4),VLOOKUP(N938,setup!$A$8:$H$58,5),VLOOKUP(N938,setup!$A$8:$H$58,6),VLOOKUP(N938,setup!$A$8:$H$58,7), VLOOKUP(0,setup!$A$8:$H$58,2),VLOOKUP(0,setup!$A$8:$H$58,5),VLOOKUP(N938,setup!$A$8:$H$58,8))</f>
        <v xml:space="preserve">    }</v>
      </c>
    </row>
    <row r="939" spans="1:15" x14ac:dyDescent="0.25">
      <c r="A939" s="29"/>
      <c r="O939" s="7" t="str">
        <f ca="1">getCodigoBackend(N939,A939,VLOOKUP(N939,setup!$A$8:$H$58,2),VLOOKUP(N939,setup!$A$8:$H$58,3),VLOOKUP(N939,setup!$A$8:$H$58,4),VLOOKUP(N939,setup!$A$8:$H$58,5),VLOOKUP(N939,setup!$A$8:$H$58,6),VLOOKUP(N939,setup!$A$8:$H$58,7), VLOOKUP(0,setup!$A$8:$H$58,2),VLOOKUP(0,setup!$A$8:$H$58,5),VLOOKUP(N939,setup!$A$8:$H$58,8))</f>
        <v/>
      </c>
    </row>
    <row r="940" spans="1:15" x14ac:dyDescent="0.25">
      <c r="A940" s="6" t="s">
        <v>140</v>
      </c>
      <c r="N940">
        <f>N938+1</f>
        <v>7</v>
      </c>
      <c r="O940" s="7" t="str">
        <f ca="1">getCodigoBackend(N940,A940,VLOOKUP(N940,setup!$A$8:$H$58,2),VLOOKUP(N940,setup!$A$8:$H$58,3),VLOOKUP(N940,setup!$A$8:$H$58,4),VLOOKUP(N940,setup!$A$8:$H$58,5),VLOOKUP(N940,setup!$A$8:$H$58,6),VLOOKUP(N940,setup!$A$8:$H$58,7), VLOOKUP(0,setup!$A$8:$H$58,2),VLOOKUP(0,setup!$A$8:$H$58,5),VLOOKUP(N940,setup!$A$8:$H$58,8))</f>
        <v>    /**</v>
      </c>
    </row>
    <row r="941" spans="1:15" x14ac:dyDescent="0.25">
      <c r="A941" s="4" t="s">
        <v>781</v>
      </c>
      <c r="N941">
        <f>N940</f>
        <v>7</v>
      </c>
      <c r="O941" s="7" t="str">
        <f ca="1">getCodigoBackend(N941,A941,VLOOKUP(N941,setup!$A$8:$H$58,2),VLOOKUP(N941,setup!$A$8:$H$58,3),VLOOKUP(N941,setup!$A$8:$H$58,4),VLOOKUP(N941,setup!$A$8:$H$58,5),VLOOKUP(N941,setup!$A$8:$H$58,6),VLOOKUP(N941,setup!$A$8:$H$58,7), VLOOKUP(0,setup!$A$8:$H$58,2),VLOOKUP(0,setup!$A$8:$H$58,5),VLOOKUP(N941,setup!$A$8:$H$58,8))</f>
        <v>    * loadEstagiorealtime() - implementação da assinatura em CampanhaCashbackResgatePixDAO</v>
      </c>
    </row>
    <row r="942" spans="1:15" x14ac:dyDescent="0.25">
      <c r="A942" s="4" t="s">
        <v>141</v>
      </c>
      <c r="N942">
        <f t="shared" ref="N942:N954" si="30">N941</f>
        <v>7</v>
      </c>
      <c r="O942" s="7" t="str">
        <f ca="1">getCodigoBackend(N942,A942,VLOOKUP(N942,setup!$A$8:$H$58,2),VLOOKUP(N942,setup!$A$8:$H$58,3),VLOOKUP(N942,setup!$A$8:$H$58,4),VLOOKUP(N942,setup!$A$8:$H$58,5),VLOOKUP(N942,setup!$A$8:$H$58,6),VLOOKUP(N942,setup!$A$8:$H$58,7), VLOOKUP(0,setup!$A$8:$H$58,2),VLOOKUP(0,setup!$A$8:$H$58,5),VLOOKUP(N942,setup!$A$8:$H$58,8))</f>
        <v>    */</v>
      </c>
    </row>
    <row r="943" spans="1:15" x14ac:dyDescent="0.25">
      <c r="A943" s="6"/>
      <c r="N943">
        <f t="shared" si="30"/>
        <v>7</v>
      </c>
      <c r="O943" s="7" t="str">
        <f ca="1">getCodigoBackend(N943,A943,VLOOKUP(N943,setup!$A$8:$H$58,2),VLOOKUP(N943,setup!$A$8:$H$58,3),VLOOKUP(N943,setup!$A$8:$H$58,4),VLOOKUP(N943,setup!$A$8:$H$58,5),VLOOKUP(N943,setup!$A$8:$H$58,6),VLOOKUP(N943,setup!$A$8:$H$58,7), VLOOKUP(0,setup!$A$8:$H$58,2),VLOOKUP(0,setup!$A$8:$H$58,5),VLOOKUP(N943,setup!$A$8:$H$58,8))</f>
        <v/>
      </c>
    </row>
    <row r="944" spans="1:15" x14ac:dyDescent="0.25">
      <c r="A944" s="29" t="s">
        <v>777</v>
      </c>
      <c r="N944">
        <f t="shared" si="30"/>
        <v>7</v>
      </c>
      <c r="O944" s="7" t="str">
        <f ca="1">getCodigoBackend(N944,A944,VLOOKUP(N944,setup!$A$8:$H$58,2),VLOOKUP(N944,setup!$A$8:$H$58,3),VLOOKUP(N944,setup!$A$8:$H$58,4),VLOOKUP(N944,setup!$A$8:$H$58,5),VLOOKUP(N944,setup!$A$8:$H$58,6),VLOOKUP(N944,setup!$A$8:$H$58,7), VLOOKUP(0,setup!$A$8:$H$58,2),VLOOKUP(0,setup!$A$8:$H$58,5),VLOOKUP(N944,setup!$A$8:$H$58,8))</f>
        <v xml:space="preserve">    public function loadEstagiorealtime($estagioRealTime)</v>
      </c>
    </row>
    <row r="945" spans="1:15" x14ac:dyDescent="0.25">
      <c r="A945" s="29" t="s">
        <v>763</v>
      </c>
      <c r="N945">
        <f t="shared" si="30"/>
        <v>7</v>
      </c>
      <c r="O945" s="7" t="str">
        <f ca="1">getCodigoBackend(N945,A945,VLOOKUP(N945,setup!$A$8:$H$58,2),VLOOKUP(N945,setup!$A$8:$H$58,3),VLOOKUP(N945,setup!$A$8:$H$58,4),VLOOKUP(N945,setup!$A$8:$H$58,5),VLOOKUP(N945,setup!$A$8:$H$58,6),VLOOKUP(N945,setup!$A$8:$H$58,7), VLOOKUP(0,setup!$A$8:$H$58,2),VLOOKUP(0,setup!$A$8:$H$58,5),VLOOKUP(N945,setup!$A$8:$H$58,8))</f>
        <v xml:space="preserve">    {   </v>
      </c>
    </row>
    <row r="946" spans="1:15" x14ac:dyDescent="0.25">
      <c r="A946" s="29" t="s">
        <v>725</v>
      </c>
      <c r="N946">
        <f t="shared" si="30"/>
        <v>7</v>
      </c>
      <c r="O946" s="7" t="str">
        <f ca="1">getCodigoBackend(N946,A946,VLOOKUP(N946,setup!$A$8:$H$58,2),VLOOKUP(N946,setup!$A$8:$H$58,3),VLOOKUP(N946,setup!$A$8:$H$58,4),VLOOKUP(N946,setup!$A$8:$H$58,5),VLOOKUP(N946,setup!$A$8:$H$58,6),VLOOKUP(N946,setup!$A$8:$H$58,7), VLOOKUP(0,setup!$A$8:$H$58,2),VLOOKUP(0,setup!$A$8:$H$58,5),VLOOKUP(N946,setup!$A$8:$H$58,8))</f>
        <v xml:space="preserve">        $retorno = NULL;</v>
      </c>
    </row>
    <row r="947" spans="1:15" x14ac:dyDescent="0.25">
      <c r="A947" s="29" t="s">
        <v>765</v>
      </c>
      <c r="N947">
        <f t="shared" si="30"/>
        <v>7</v>
      </c>
      <c r="O947" s="7" t="str">
        <f ca="1">getCodigoBackend(N947,A947,VLOOKUP(N947,setup!$A$8:$H$58,2),VLOOKUP(N947,setup!$A$8:$H$58,3),VLOOKUP(N947,setup!$A$8:$H$58,4),VLOOKUP(N947,setup!$A$8:$H$58,5),VLOOKUP(N947,setup!$A$8:$H$58,6),VLOOKUP(N947,setup!$A$8:$H$58,7), VLOOKUP(0,setup!$A$8:$H$58,2),VLOOKUP(0,setup!$A$8:$H$58,5),VLOOKUP(N947,setup!$A$8:$H$58,8))</f>
        <v xml:space="preserve">        // prepara sessão, query, troca de valores, acoplagem do resultado e o fetch</v>
      </c>
    </row>
    <row r="948" spans="1:15" x14ac:dyDescent="0.25">
      <c r="A948" s="29" t="s">
        <v>766</v>
      </c>
      <c r="N948">
        <f t="shared" si="30"/>
        <v>7</v>
      </c>
      <c r="O948" s="7" t="str">
        <f ca="1">getCodigoBackend(N948,A948,VLOOKUP(N948,setup!$A$8:$H$58,2),VLOOKUP(N948,setup!$A$8:$H$58,3),VLOOKUP(N948,setup!$A$8:$H$58,4),VLOOKUP(N948,setup!$A$8:$H$58,5),VLOOKUP(N948,setup!$A$8:$H$58,6),VLOOKUP(N948,setup!$A$8:$H$58,7), VLOOKUP(0,setup!$A$8:$H$58,2),VLOOKUP(0,setup!$A$8:$H$58,5),VLOOKUP(N948,setup!$A$8:$H$58,8))</f>
        <v xml:space="preserve">        $conexao = $this-&gt;daofactory-&gt;getSession();</v>
      </c>
    </row>
    <row r="949" spans="1:15" x14ac:dyDescent="0.25">
      <c r="A949" s="29" t="s">
        <v>780</v>
      </c>
      <c r="N949">
        <f t="shared" si="30"/>
        <v>7</v>
      </c>
      <c r="O949" s="7" t="str">
        <f ca="1">getCodigoBackend(N949,A949,VLOOKUP(N949,setup!$A$8:$H$58,2),VLOOKUP(N949,setup!$A$8:$H$58,3),VLOOKUP(N949,setup!$A$8:$H$58,4),VLOOKUP(N949,setup!$A$8:$H$58,5),VLOOKUP(N949,setup!$A$8:$H$58,6),VLOOKUP(N949,setup!$A$8:$H$58,7), VLOOKUP(0,setup!$A$8:$H$58,2),VLOOKUP(0,setup!$A$8:$H$58,5),VLOOKUP(N949,setup!$A$8:$H$58,8))</f>
        <v xml:space="preserve">        $res = $conexao-&gt;query(DmlSqlCampanhaCashbackResgatePix::SELECT . ' WHERE ' . DmlSqlCampanhaCashbackResgatePix::CCRP_IN_ESTAGIO_RT . '=' . $estagioRealTime );</v>
      </c>
    </row>
    <row r="950" spans="1:15" x14ac:dyDescent="0.25">
      <c r="A950" s="29" t="s">
        <v>778</v>
      </c>
      <c r="N950">
        <f t="shared" si="30"/>
        <v>7</v>
      </c>
      <c r="O950" s="7" t="str">
        <f ca="1">getCodigoBackend(N950,A950,VLOOKUP(N950,setup!$A$8:$H$58,2),VLOOKUP(N950,setup!$A$8:$H$58,3),VLOOKUP(N950,setup!$A$8:$H$58,4),VLOOKUP(N950,setup!$A$8:$H$58,5),VLOOKUP(N950,setup!$A$8:$H$58,6),VLOOKUP(N950,setup!$A$8:$H$58,7), VLOOKUP(0,setup!$A$8:$H$58,2),VLOOKUP(0,setup!$A$8:$H$58,5),VLOOKUP(N950,setup!$A$8:$H$58,8))</f>
        <v xml:space="preserve">        if ($res){</v>
      </c>
    </row>
    <row r="951" spans="1:15" x14ac:dyDescent="0.25">
      <c r="A951" s="29" t="s">
        <v>779</v>
      </c>
      <c r="N951">
        <f t="shared" si="30"/>
        <v>7</v>
      </c>
      <c r="O951" s="7" t="str">
        <f ca="1">getCodigoBackend(N951,A951,VLOOKUP(N951,setup!$A$8:$H$58,2),VLOOKUP(N951,setup!$A$8:$H$58,3),VLOOKUP(N951,setup!$A$8:$H$58,4),VLOOKUP(N951,setup!$A$8:$H$58,5),VLOOKUP(N951,setup!$A$8:$H$58,6),VLOOKUP(N951,setup!$A$8:$H$58,7), VLOOKUP(0,setup!$A$8:$H$58,2),VLOOKUP(0,setup!$A$8:$H$58,5),VLOOKUP(N951,setup!$A$8:$H$58,8))</f>
        <v xml:space="preserve">            $retorno = $this-&gt;getDTO($res-&gt;fetch_assoc());</v>
      </c>
    </row>
    <row r="952" spans="1:15" x14ac:dyDescent="0.25">
      <c r="A952" s="29" t="s">
        <v>157</v>
      </c>
      <c r="N952">
        <f t="shared" si="30"/>
        <v>7</v>
      </c>
      <c r="O952" s="7" t="str">
        <f ca="1">getCodigoBackend(N952,A952,VLOOKUP(N952,setup!$A$8:$H$58,2),VLOOKUP(N952,setup!$A$8:$H$58,3),VLOOKUP(N952,setup!$A$8:$H$58,4),VLOOKUP(N952,setup!$A$8:$H$58,5),VLOOKUP(N952,setup!$A$8:$H$58,6),VLOOKUP(N952,setup!$A$8:$H$58,7), VLOOKUP(0,setup!$A$8:$H$58,2),VLOOKUP(0,setup!$A$8:$H$58,5),VLOOKUP(N952,setup!$A$8:$H$58,8))</f>
        <v xml:space="preserve">        }</v>
      </c>
    </row>
    <row r="953" spans="1:15" x14ac:dyDescent="0.25">
      <c r="A953" s="29" t="s">
        <v>743</v>
      </c>
      <c r="N953">
        <f t="shared" si="30"/>
        <v>7</v>
      </c>
      <c r="O953" s="7" t="str">
        <f ca="1">getCodigoBackend(N953,A953,VLOOKUP(N953,setup!$A$8:$H$58,2),VLOOKUP(N953,setup!$A$8:$H$58,3),VLOOKUP(N953,setup!$A$8:$H$58,4),VLOOKUP(N953,setup!$A$8:$H$58,5),VLOOKUP(N953,setup!$A$8:$H$58,6),VLOOKUP(N953,setup!$A$8:$H$58,7), VLOOKUP(0,setup!$A$8:$H$58,2),VLOOKUP(0,setup!$A$8:$H$58,5),VLOOKUP(N953,setup!$A$8:$H$58,8))</f>
        <v xml:space="preserve">        return $retorno;</v>
      </c>
    </row>
    <row r="954" spans="1:15" x14ac:dyDescent="0.25">
      <c r="A954" s="29" t="s">
        <v>406</v>
      </c>
      <c r="N954">
        <f t="shared" si="30"/>
        <v>7</v>
      </c>
      <c r="O954" s="7" t="str">
        <f ca="1">getCodigoBackend(N954,A954,VLOOKUP(N954,setup!$A$8:$H$58,2),VLOOKUP(N954,setup!$A$8:$H$58,3),VLOOKUP(N954,setup!$A$8:$H$58,4),VLOOKUP(N954,setup!$A$8:$H$58,5),VLOOKUP(N954,setup!$A$8:$H$58,6),VLOOKUP(N954,setup!$A$8:$H$58,7), VLOOKUP(0,setup!$A$8:$H$58,2),VLOOKUP(0,setup!$A$8:$H$58,5),VLOOKUP(N954,setup!$A$8:$H$58,8))</f>
        <v xml:space="preserve">    }</v>
      </c>
    </row>
    <row r="955" spans="1:15" x14ac:dyDescent="0.25">
      <c r="A955" s="29"/>
      <c r="O955" s="7" t="str">
        <f ca="1">getCodigoBackend(N955,A955,VLOOKUP(N955,setup!$A$8:$H$58,2),VLOOKUP(N955,setup!$A$8:$H$58,3),VLOOKUP(N955,setup!$A$8:$H$58,4),VLOOKUP(N955,setup!$A$8:$H$58,5),VLOOKUP(N955,setup!$A$8:$H$58,6),VLOOKUP(N955,setup!$A$8:$H$58,7), VLOOKUP(0,setup!$A$8:$H$58,2),VLOOKUP(0,setup!$A$8:$H$58,5),VLOOKUP(N955,setup!$A$8:$H$58,8))</f>
        <v/>
      </c>
    </row>
    <row r="956" spans="1:15" x14ac:dyDescent="0.25">
      <c r="A956" s="6" t="s">
        <v>140</v>
      </c>
      <c r="N956">
        <f>N954+1</f>
        <v>8</v>
      </c>
      <c r="O956" s="7" t="str">
        <f ca="1">getCodigoBackend(N956,A956,VLOOKUP(N956,setup!$A$8:$H$58,2),VLOOKUP(N956,setup!$A$8:$H$58,3),VLOOKUP(N956,setup!$A$8:$H$58,4),VLOOKUP(N956,setup!$A$8:$H$58,5),VLOOKUP(N956,setup!$A$8:$H$58,6),VLOOKUP(N956,setup!$A$8:$H$58,7), VLOOKUP(0,setup!$A$8:$H$58,2),VLOOKUP(0,setup!$A$8:$H$58,5),VLOOKUP(N956,setup!$A$8:$H$58,8))</f>
        <v>    /**</v>
      </c>
    </row>
    <row r="957" spans="1:15" x14ac:dyDescent="0.25">
      <c r="A957" s="4" t="s">
        <v>781</v>
      </c>
      <c r="N957">
        <f>N956</f>
        <v>8</v>
      </c>
      <c r="O957" s="7" t="str">
        <f ca="1">getCodigoBackend(N957,A957,VLOOKUP(N957,setup!$A$8:$H$58,2),VLOOKUP(N957,setup!$A$8:$H$58,3),VLOOKUP(N957,setup!$A$8:$H$58,4),VLOOKUP(N957,setup!$A$8:$H$58,5),VLOOKUP(N957,setup!$A$8:$H$58,6),VLOOKUP(N957,setup!$A$8:$H$58,7), VLOOKUP(0,setup!$A$8:$H$58,2),VLOOKUP(0,setup!$A$8:$H$58,5),VLOOKUP(N957,setup!$A$8:$H$58,8))</f>
        <v>    * loadDtestagioanalise() - implementação da assinatura em CampanhaCashbackResgatePixDAO</v>
      </c>
    </row>
    <row r="958" spans="1:15" x14ac:dyDescent="0.25">
      <c r="A958" s="4" t="s">
        <v>141</v>
      </c>
      <c r="N958">
        <f t="shared" ref="N958:N970" si="31">N957</f>
        <v>8</v>
      </c>
      <c r="O958" s="7" t="str">
        <f ca="1">getCodigoBackend(N958,A958,VLOOKUP(N958,setup!$A$8:$H$58,2),VLOOKUP(N958,setup!$A$8:$H$58,3),VLOOKUP(N958,setup!$A$8:$H$58,4),VLOOKUP(N958,setup!$A$8:$H$58,5),VLOOKUP(N958,setup!$A$8:$H$58,6),VLOOKUP(N958,setup!$A$8:$H$58,7), VLOOKUP(0,setup!$A$8:$H$58,2),VLOOKUP(0,setup!$A$8:$H$58,5),VLOOKUP(N958,setup!$A$8:$H$58,8))</f>
        <v>    */</v>
      </c>
    </row>
    <row r="959" spans="1:15" x14ac:dyDescent="0.25">
      <c r="A959" s="6"/>
      <c r="N959">
        <f t="shared" si="31"/>
        <v>8</v>
      </c>
      <c r="O959" s="7" t="str">
        <f ca="1">getCodigoBackend(N959,A959,VLOOKUP(N959,setup!$A$8:$H$58,2),VLOOKUP(N959,setup!$A$8:$H$58,3),VLOOKUP(N959,setup!$A$8:$H$58,4),VLOOKUP(N959,setup!$A$8:$H$58,5),VLOOKUP(N959,setup!$A$8:$H$58,6),VLOOKUP(N959,setup!$A$8:$H$58,7), VLOOKUP(0,setup!$A$8:$H$58,2),VLOOKUP(0,setup!$A$8:$H$58,5),VLOOKUP(N959,setup!$A$8:$H$58,8))</f>
        <v/>
      </c>
    </row>
    <row r="960" spans="1:15" x14ac:dyDescent="0.25">
      <c r="A960" s="29" t="s">
        <v>777</v>
      </c>
      <c r="N960">
        <f t="shared" si="31"/>
        <v>8</v>
      </c>
      <c r="O960" s="7" t="str">
        <f ca="1">getCodigoBackend(N960,A960,VLOOKUP(N960,setup!$A$8:$H$58,2),VLOOKUP(N960,setup!$A$8:$H$58,3),VLOOKUP(N960,setup!$A$8:$H$58,4),VLOOKUP(N960,setup!$A$8:$H$58,5),VLOOKUP(N960,setup!$A$8:$H$58,6),VLOOKUP(N960,setup!$A$8:$H$58,7), VLOOKUP(0,setup!$A$8:$H$58,2),VLOOKUP(0,setup!$A$8:$H$58,5),VLOOKUP(N960,setup!$A$8:$H$58,8))</f>
        <v xml:space="preserve">    public function loadDtestagioanalise($dtEstagioAnalise)</v>
      </c>
    </row>
    <row r="961" spans="1:15" x14ac:dyDescent="0.25">
      <c r="A961" s="29" t="s">
        <v>763</v>
      </c>
      <c r="N961">
        <f t="shared" si="31"/>
        <v>8</v>
      </c>
      <c r="O961" s="7" t="str">
        <f ca="1">getCodigoBackend(N961,A961,VLOOKUP(N961,setup!$A$8:$H$58,2),VLOOKUP(N961,setup!$A$8:$H$58,3),VLOOKUP(N961,setup!$A$8:$H$58,4),VLOOKUP(N961,setup!$A$8:$H$58,5),VLOOKUP(N961,setup!$A$8:$H$58,6),VLOOKUP(N961,setup!$A$8:$H$58,7), VLOOKUP(0,setup!$A$8:$H$58,2),VLOOKUP(0,setup!$A$8:$H$58,5),VLOOKUP(N961,setup!$A$8:$H$58,8))</f>
        <v xml:space="preserve">    {   </v>
      </c>
    </row>
    <row r="962" spans="1:15" x14ac:dyDescent="0.25">
      <c r="A962" s="29" t="s">
        <v>725</v>
      </c>
      <c r="N962">
        <f t="shared" si="31"/>
        <v>8</v>
      </c>
      <c r="O962" s="7" t="str">
        <f ca="1">getCodigoBackend(N962,A962,VLOOKUP(N962,setup!$A$8:$H$58,2),VLOOKUP(N962,setup!$A$8:$H$58,3),VLOOKUP(N962,setup!$A$8:$H$58,4),VLOOKUP(N962,setup!$A$8:$H$58,5),VLOOKUP(N962,setup!$A$8:$H$58,6),VLOOKUP(N962,setup!$A$8:$H$58,7), VLOOKUP(0,setup!$A$8:$H$58,2),VLOOKUP(0,setup!$A$8:$H$58,5),VLOOKUP(N962,setup!$A$8:$H$58,8))</f>
        <v xml:space="preserve">        $retorno = NULL;</v>
      </c>
    </row>
    <row r="963" spans="1:15" x14ac:dyDescent="0.25">
      <c r="A963" s="29" t="s">
        <v>765</v>
      </c>
      <c r="N963">
        <f t="shared" si="31"/>
        <v>8</v>
      </c>
      <c r="O963" s="7" t="str">
        <f ca="1">getCodigoBackend(N963,A963,VLOOKUP(N963,setup!$A$8:$H$58,2),VLOOKUP(N963,setup!$A$8:$H$58,3),VLOOKUP(N963,setup!$A$8:$H$58,4),VLOOKUP(N963,setup!$A$8:$H$58,5),VLOOKUP(N963,setup!$A$8:$H$58,6),VLOOKUP(N963,setup!$A$8:$H$58,7), VLOOKUP(0,setup!$A$8:$H$58,2),VLOOKUP(0,setup!$A$8:$H$58,5),VLOOKUP(N963,setup!$A$8:$H$58,8))</f>
        <v xml:space="preserve">        // prepara sessão, query, troca de valores, acoplagem do resultado e o fetch</v>
      </c>
    </row>
    <row r="964" spans="1:15" x14ac:dyDescent="0.25">
      <c r="A964" s="29" t="s">
        <v>766</v>
      </c>
      <c r="N964">
        <f t="shared" si="31"/>
        <v>8</v>
      </c>
      <c r="O964" s="7" t="str">
        <f ca="1">getCodigoBackend(N964,A964,VLOOKUP(N964,setup!$A$8:$H$58,2),VLOOKUP(N964,setup!$A$8:$H$58,3),VLOOKUP(N964,setup!$A$8:$H$58,4),VLOOKUP(N964,setup!$A$8:$H$58,5),VLOOKUP(N964,setup!$A$8:$H$58,6),VLOOKUP(N964,setup!$A$8:$H$58,7), VLOOKUP(0,setup!$A$8:$H$58,2),VLOOKUP(0,setup!$A$8:$H$58,5),VLOOKUP(N964,setup!$A$8:$H$58,8))</f>
        <v xml:space="preserve">        $conexao = $this-&gt;daofactory-&gt;getSession();</v>
      </c>
    </row>
    <row r="965" spans="1:15" x14ac:dyDescent="0.25">
      <c r="A965" s="29" t="s">
        <v>780</v>
      </c>
      <c r="N965">
        <f t="shared" si="31"/>
        <v>8</v>
      </c>
      <c r="O965" s="7" t="str">
        <f ca="1">getCodigoBackend(N965,A965,VLOOKUP(N965,setup!$A$8:$H$58,2),VLOOKUP(N965,setup!$A$8:$H$58,3),VLOOKUP(N965,setup!$A$8:$H$58,4),VLOOKUP(N965,setup!$A$8:$H$58,5),VLOOKUP(N965,setup!$A$8:$H$58,6),VLOOKUP(N965,setup!$A$8:$H$58,7), VLOOKUP(0,setup!$A$8:$H$58,2),VLOOKUP(0,setup!$A$8:$H$58,5),VLOOKUP(N965,setup!$A$8:$H$58,8))</f>
        <v xml:space="preserve">        $res = $conexao-&gt;query(DmlSqlCampanhaCashbackResgatePix::SELECT . ' WHERE ' . DmlSqlCampanhaCashbackResgatePix::CCRP_DT_ESTAGIO_ANALISE . '=' . $dtEstagioAnalise );</v>
      </c>
    </row>
    <row r="966" spans="1:15" x14ac:dyDescent="0.25">
      <c r="A966" s="29" t="s">
        <v>778</v>
      </c>
      <c r="N966">
        <f t="shared" si="31"/>
        <v>8</v>
      </c>
      <c r="O966" s="7" t="str">
        <f ca="1">getCodigoBackend(N966,A966,VLOOKUP(N966,setup!$A$8:$H$58,2),VLOOKUP(N966,setup!$A$8:$H$58,3),VLOOKUP(N966,setup!$A$8:$H$58,4),VLOOKUP(N966,setup!$A$8:$H$58,5),VLOOKUP(N966,setup!$A$8:$H$58,6),VLOOKUP(N966,setup!$A$8:$H$58,7), VLOOKUP(0,setup!$A$8:$H$58,2),VLOOKUP(0,setup!$A$8:$H$58,5),VLOOKUP(N966,setup!$A$8:$H$58,8))</f>
        <v xml:space="preserve">        if ($res){</v>
      </c>
    </row>
    <row r="967" spans="1:15" x14ac:dyDescent="0.25">
      <c r="A967" s="29" t="s">
        <v>779</v>
      </c>
      <c r="N967">
        <f t="shared" si="31"/>
        <v>8</v>
      </c>
      <c r="O967" s="7" t="str">
        <f ca="1">getCodigoBackend(N967,A967,VLOOKUP(N967,setup!$A$8:$H$58,2),VLOOKUP(N967,setup!$A$8:$H$58,3),VLOOKUP(N967,setup!$A$8:$H$58,4),VLOOKUP(N967,setup!$A$8:$H$58,5),VLOOKUP(N967,setup!$A$8:$H$58,6),VLOOKUP(N967,setup!$A$8:$H$58,7), VLOOKUP(0,setup!$A$8:$H$58,2),VLOOKUP(0,setup!$A$8:$H$58,5),VLOOKUP(N967,setup!$A$8:$H$58,8))</f>
        <v xml:space="preserve">            $retorno = $this-&gt;getDTO($res-&gt;fetch_assoc());</v>
      </c>
    </row>
    <row r="968" spans="1:15" x14ac:dyDescent="0.25">
      <c r="A968" s="29" t="s">
        <v>157</v>
      </c>
      <c r="N968">
        <f t="shared" si="31"/>
        <v>8</v>
      </c>
      <c r="O968" s="7" t="str">
        <f ca="1">getCodigoBackend(N968,A968,VLOOKUP(N968,setup!$A$8:$H$58,2),VLOOKUP(N968,setup!$A$8:$H$58,3),VLOOKUP(N968,setup!$A$8:$H$58,4),VLOOKUP(N968,setup!$A$8:$H$58,5),VLOOKUP(N968,setup!$A$8:$H$58,6),VLOOKUP(N968,setup!$A$8:$H$58,7), VLOOKUP(0,setup!$A$8:$H$58,2),VLOOKUP(0,setup!$A$8:$H$58,5),VLOOKUP(N968,setup!$A$8:$H$58,8))</f>
        <v xml:space="preserve">        }</v>
      </c>
    </row>
    <row r="969" spans="1:15" x14ac:dyDescent="0.25">
      <c r="A969" s="29" t="s">
        <v>743</v>
      </c>
      <c r="N969">
        <f t="shared" si="31"/>
        <v>8</v>
      </c>
      <c r="O969" s="7" t="str">
        <f ca="1">getCodigoBackend(N969,A969,VLOOKUP(N969,setup!$A$8:$H$58,2),VLOOKUP(N969,setup!$A$8:$H$58,3),VLOOKUP(N969,setup!$A$8:$H$58,4),VLOOKUP(N969,setup!$A$8:$H$58,5),VLOOKUP(N969,setup!$A$8:$H$58,6),VLOOKUP(N969,setup!$A$8:$H$58,7), VLOOKUP(0,setup!$A$8:$H$58,2),VLOOKUP(0,setup!$A$8:$H$58,5),VLOOKUP(N969,setup!$A$8:$H$58,8))</f>
        <v xml:space="preserve">        return $retorno;</v>
      </c>
    </row>
    <row r="970" spans="1:15" x14ac:dyDescent="0.25">
      <c r="A970" s="29" t="s">
        <v>406</v>
      </c>
      <c r="N970">
        <f t="shared" si="31"/>
        <v>8</v>
      </c>
      <c r="O970" s="7" t="str">
        <f ca="1">getCodigoBackend(N970,A970,VLOOKUP(N970,setup!$A$8:$H$58,2),VLOOKUP(N970,setup!$A$8:$H$58,3),VLOOKUP(N970,setup!$A$8:$H$58,4),VLOOKUP(N970,setup!$A$8:$H$58,5),VLOOKUP(N970,setup!$A$8:$H$58,6),VLOOKUP(N970,setup!$A$8:$H$58,7), VLOOKUP(0,setup!$A$8:$H$58,2),VLOOKUP(0,setup!$A$8:$H$58,5),VLOOKUP(N970,setup!$A$8:$H$58,8))</f>
        <v xml:space="preserve">    }</v>
      </c>
    </row>
    <row r="971" spans="1:15" x14ac:dyDescent="0.25">
      <c r="A971" s="29"/>
      <c r="O971" s="7" t="str">
        <f ca="1">getCodigoBackend(N971,A971,VLOOKUP(N971,setup!$A$8:$H$58,2),VLOOKUP(N971,setup!$A$8:$H$58,3),VLOOKUP(N971,setup!$A$8:$H$58,4),VLOOKUP(N971,setup!$A$8:$H$58,5),VLOOKUP(N971,setup!$A$8:$H$58,6),VLOOKUP(N971,setup!$A$8:$H$58,7), VLOOKUP(0,setup!$A$8:$H$58,2),VLOOKUP(0,setup!$A$8:$H$58,5),VLOOKUP(N971,setup!$A$8:$H$58,8))</f>
        <v/>
      </c>
    </row>
    <row r="972" spans="1:15" x14ac:dyDescent="0.25">
      <c r="A972" s="6" t="s">
        <v>140</v>
      </c>
      <c r="N972">
        <f>N970+1</f>
        <v>9</v>
      </c>
      <c r="O972" s="7" t="str">
        <f ca="1">getCodigoBackend(N972,A972,VLOOKUP(N972,setup!$A$8:$H$58,2),VLOOKUP(N972,setup!$A$8:$H$58,3),VLOOKUP(N972,setup!$A$8:$H$58,4),VLOOKUP(N972,setup!$A$8:$H$58,5),VLOOKUP(N972,setup!$A$8:$H$58,6),VLOOKUP(N972,setup!$A$8:$H$58,7), VLOOKUP(0,setup!$A$8:$H$58,2),VLOOKUP(0,setup!$A$8:$H$58,5),VLOOKUP(N972,setup!$A$8:$H$58,8))</f>
        <v>    /**</v>
      </c>
    </row>
    <row r="973" spans="1:15" x14ac:dyDescent="0.25">
      <c r="A973" s="4" t="s">
        <v>781</v>
      </c>
      <c r="N973">
        <f>N972</f>
        <v>9</v>
      </c>
      <c r="O973" s="7" t="str">
        <f ca="1">getCodigoBackend(N973,A973,VLOOKUP(N973,setup!$A$8:$H$58,2),VLOOKUP(N973,setup!$A$8:$H$58,3),VLOOKUP(N973,setup!$A$8:$H$58,4),VLOOKUP(N973,setup!$A$8:$H$58,5),VLOOKUP(N973,setup!$A$8:$H$58,6),VLOOKUP(N973,setup!$A$8:$H$58,7), VLOOKUP(0,setup!$A$8:$H$58,2),VLOOKUP(0,setup!$A$8:$H$58,5),VLOOKUP(N973,setup!$A$8:$H$58,8))</f>
        <v>    * loadDtestagiofinanceiro() - implementação da assinatura em CampanhaCashbackResgatePixDAO</v>
      </c>
    </row>
    <row r="974" spans="1:15" x14ac:dyDescent="0.25">
      <c r="A974" s="4" t="s">
        <v>141</v>
      </c>
      <c r="N974">
        <f t="shared" ref="N974:N986" si="32">N973</f>
        <v>9</v>
      </c>
      <c r="O974" s="7" t="str">
        <f ca="1">getCodigoBackend(N974,A974,VLOOKUP(N974,setup!$A$8:$H$58,2),VLOOKUP(N974,setup!$A$8:$H$58,3),VLOOKUP(N974,setup!$A$8:$H$58,4),VLOOKUP(N974,setup!$A$8:$H$58,5),VLOOKUP(N974,setup!$A$8:$H$58,6),VLOOKUP(N974,setup!$A$8:$H$58,7), VLOOKUP(0,setup!$A$8:$H$58,2),VLOOKUP(0,setup!$A$8:$H$58,5),VLOOKUP(N974,setup!$A$8:$H$58,8))</f>
        <v>    */</v>
      </c>
    </row>
    <row r="975" spans="1:15" x14ac:dyDescent="0.25">
      <c r="A975" s="6"/>
      <c r="N975">
        <f t="shared" si="32"/>
        <v>9</v>
      </c>
      <c r="O975" s="7" t="str">
        <f ca="1">getCodigoBackend(N975,A975,VLOOKUP(N975,setup!$A$8:$H$58,2),VLOOKUP(N975,setup!$A$8:$H$58,3),VLOOKUP(N975,setup!$A$8:$H$58,4),VLOOKUP(N975,setup!$A$8:$H$58,5),VLOOKUP(N975,setup!$A$8:$H$58,6),VLOOKUP(N975,setup!$A$8:$H$58,7), VLOOKUP(0,setup!$A$8:$H$58,2),VLOOKUP(0,setup!$A$8:$H$58,5),VLOOKUP(N975,setup!$A$8:$H$58,8))</f>
        <v/>
      </c>
    </row>
    <row r="976" spans="1:15" x14ac:dyDescent="0.25">
      <c r="A976" s="29" t="s">
        <v>777</v>
      </c>
      <c r="N976">
        <f t="shared" si="32"/>
        <v>9</v>
      </c>
      <c r="O976" s="7" t="str">
        <f ca="1">getCodigoBackend(N976,A976,VLOOKUP(N976,setup!$A$8:$H$58,2),VLOOKUP(N976,setup!$A$8:$H$58,3),VLOOKUP(N976,setup!$A$8:$H$58,4),VLOOKUP(N976,setup!$A$8:$H$58,5),VLOOKUP(N976,setup!$A$8:$H$58,6),VLOOKUP(N976,setup!$A$8:$H$58,7), VLOOKUP(0,setup!$A$8:$H$58,2),VLOOKUP(0,setup!$A$8:$H$58,5),VLOOKUP(N976,setup!$A$8:$H$58,8))</f>
        <v xml:space="preserve">    public function loadDtestagiofinanceiro($dtEstagioFinanceiro)</v>
      </c>
    </row>
    <row r="977" spans="1:15" x14ac:dyDescent="0.25">
      <c r="A977" s="29" t="s">
        <v>763</v>
      </c>
      <c r="N977">
        <f t="shared" si="32"/>
        <v>9</v>
      </c>
      <c r="O977" s="7" t="str">
        <f ca="1">getCodigoBackend(N977,A977,VLOOKUP(N977,setup!$A$8:$H$58,2),VLOOKUP(N977,setup!$A$8:$H$58,3),VLOOKUP(N977,setup!$A$8:$H$58,4),VLOOKUP(N977,setup!$A$8:$H$58,5),VLOOKUP(N977,setup!$A$8:$H$58,6),VLOOKUP(N977,setup!$A$8:$H$58,7), VLOOKUP(0,setup!$A$8:$H$58,2),VLOOKUP(0,setup!$A$8:$H$58,5),VLOOKUP(N977,setup!$A$8:$H$58,8))</f>
        <v xml:space="preserve">    {   </v>
      </c>
    </row>
    <row r="978" spans="1:15" x14ac:dyDescent="0.25">
      <c r="A978" s="29" t="s">
        <v>725</v>
      </c>
      <c r="N978">
        <f t="shared" si="32"/>
        <v>9</v>
      </c>
      <c r="O978" s="7" t="str">
        <f ca="1">getCodigoBackend(N978,A978,VLOOKUP(N978,setup!$A$8:$H$58,2),VLOOKUP(N978,setup!$A$8:$H$58,3),VLOOKUP(N978,setup!$A$8:$H$58,4),VLOOKUP(N978,setup!$A$8:$H$58,5),VLOOKUP(N978,setup!$A$8:$H$58,6),VLOOKUP(N978,setup!$A$8:$H$58,7), VLOOKUP(0,setup!$A$8:$H$58,2),VLOOKUP(0,setup!$A$8:$H$58,5),VLOOKUP(N978,setup!$A$8:$H$58,8))</f>
        <v xml:space="preserve">        $retorno = NULL;</v>
      </c>
    </row>
    <row r="979" spans="1:15" x14ac:dyDescent="0.25">
      <c r="A979" s="29" t="s">
        <v>765</v>
      </c>
      <c r="N979">
        <f t="shared" si="32"/>
        <v>9</v>
      </c>
      <c r="O979" s="7" t="str">
        <f ca="1">getCodigoBackend(N979,A979,VLOOKUP(N979,setup!$A$8:$H$58,2),VLOOKUP(N979,setup!$A$8:$H$58,3),VLOOKUP(N979,setup!$A$8:$H$58,4),VLOOKUP(N979,setup!$A$8:$H$58,5),VLOOKUP(N979,setup!$A$8:$H$58,6),VLOOKUP(N979,setup!$A$8:$H$58,7), VLOOKUP(0,setup!$A$8:$H$58,2),VLOOKUP(0,setup!$A$8:$H$58,5),VLOOKUP(N979,setup!$A$8:$H$58,8))</f>
        <v xml:space="preserve">        // prepara sessão, query, troca de valores, acoplagem do resultado e o fetch</v>
      </c>
    </row>
    <row r="980" spans="1:15" x14ac:dyDescent="0.25">
      <c r="A980" s="29" t="s">
        <v>766</v>
      </c>
      <c r="N980">
        <f t="shared" si="32"/>
        <v>9</v>
      </c>
      <c r="O980" s="7" t="str">
        <f ca="1">getCodigoBackend(N980,A980,VLOOKUP(N980,setup!$A$8:$H$58,2),VLOOKUP(N980,setup!$A$8:$H$58,3),VLOOKUP(N980,setup!$A$8:$H$58,4),VLOOKUP(N980,setup!$A$8:$H$58,5),VLOOKUP(N980,setup!$A$8:$H$58,6),VLOOKUP(N980,setup!$A$8:$H$58,7), VLOOKUP(0,setup!$A$8:$H$58,2),VLOOKUP(0,setup!$A$8:$H$58,5),VLOOKUP(N980,setup!$A$8:$H$58,8))</f>
        <v xml:space="preserve">        $conexao = $this-&gt;daofactory-&gt;getSession();</v>
      </c>
    </row>
    <row r="981" spans="1:15" x14ac:dyDescent="0.25">
      <c r="A981" s="29" t="s">
        <v>780</v>
      </c>
      <c r="N981">
        <f t="shared" si="32"/>
        <v>9</v>
      </c>
      <c r="O981" s="7" t="str">
        <f ca="1">getCodigoBackend(N981,A981,VLOOKUP(N981,setup!$A$8:$H$58,2),VLOOKUP(N981,setup!$A$8:$H$58,3),VLOOKUP(N981,setup!$A$8:$H$58,4),VLOOKUP(N981,setup!$A$8:$H$58,5),VLOOKUP(N981,setup!$A$8:$H$58,6),VLOOKUP(N981,setup!$A$8:$H$58,7), VLOOKUP(0,setup!$A$8:$H$58,2),VLOOKUP(0,setup!$A$8:$H$58,5),VLOOKUP(N981,setup!$A$8:$H$58,8))</f>
        <v xml:space="preserve">        $res = $conexao-&gt;query(DmlSqlCampanhaCashbackResgatePix::SELECT . ' WHERE ' . DmlSqlCampanhaCashbackResgatePix::CCRP_DT_ESTAGIO_FINANCEIRO . '=' . $dtEstagioFinanceiro );</v>
      </c>
    </row>
    <row r="982" spans="1:15" x14ac:dyDescent="0.25">
      <c r="A982" s="29" t="s">
        <v>778</v>
      </c>
      <c r="N982">
        <f t="shared" si="32"/>
        <v>9</v>
      </c>
      <c r="O982" s="7" t="str">
        <f ca="1">getCodigoBackend(N982,A982,VLOOKUP(N982,setup!$A$8:$H$58,2),VLOOKUP(N982,setup!$A$8:$H$58,3),VLOOKUP(N982,setup!$A$8:$H$58,4),VLOOKUP(N982,setup!$A$8:$H$58,5),VLOOKUP(N982,setup!$A$8:$H$58,6),VLOOKUP(N982,setup!$A$8:$H$58,7), VLOOKUP(0,setup!$A$8:$H$58,2),VLOOKUP(0,setup!$A$8:$H$58,5),VLOOKUP(N982,setup!$A$8:$H$58,8))</f>
        <v xml:space="preserve">        if ($res){</v>
      </c>
    </row>
    <row r="983" spans="1:15" x14ac:dyDescent="0.25">
      <c r="A983" s="29" t="s">
        <v>779</v>
      </c>
      <c r="N983">
        <f t="shared" si="32"/>
        <v>9</v>
      </c>
      <c r="O983" s="7" t="str">
        <f ca="1">getCodigoBackend(N983,A983,VLOOKUP(N983,setup!$A$8:$H$58,2),VLOOKUP(N983,setup!$A$8:$H$58,3),VLOOKUP(N983,setup!$A$8:$H$58,4),VLOOKUP(N983,setup!$A$8:$H$58,5),VLOOKUP(N983,setup!$A$8:$H$58,6),VLOOKUP(N983,setup!$A$8:$H$58,7), VLOOKUP(0,setup!$A$8:$H$58,2),VLOOKUP(0,setup!$A$8:$H$58,5),VLOOKUP(N983,setup!$A$8:$H$58,8))</f>
        <v xml:space="preserve">            $retorno = $this-&gt;getDTO($res-&gt;fetch_assoc());</v>
      </c>
    </row>
    <row r="984" spans="1:15" x14ac:dyDescent="0.25">
      <c r="A984" s="29" t="s">
        <v>157</v>
      </c>
      <c r="N984">
        <f t="shared" si="32"/>
        <v>9</v>
      </c>
      <c r="O984" s="7" t="str">
        <f ca="1">getCodigoBackend(N984,A984,VLOOKUP(N984,setup!$A$8:$H$58,2),VLOOKUP(N984,setup!$A$8:$H$58,3),VLOOKUP(N984,setup!$A$8:$H$58,4),VLOOKUP(N984,setup!$A$8:$H$58,5),VLOOKUP(N984,setup!$A$8:$H$58,6),VLOOKUP(N984,setup!$A$8:$H$58,7), VLOOKUP(0,setup!$A$8:$H$58,2),VLOOKUP(0,setup!$A$8:$H$58,5),VLOOKUP(N984,setup!$A$8:$H$58,8))</f>
        <v xml:space="preserve">        }</v>
      </c>
    </row>
    <row r="985" spans="1:15" x14ac:dyDescent="0.25">
      <c r="A985" s="29" t="s">
        <v>743</v>
      </c>
      <c r="N985">
        <f t="shared" si="32"/>
        <v>9</v>
      </c>
      <c r="O985" s="7" t="str">
        <f ca="1">getCodigoBackend(N985,A985,VLOOKUP(N985,setup!$A$8:$H$58,2),VLOOKUP(N985,setup!$A$8:$H$58,3),VLOOKUP(N985,setup!$A$8:$H$58,4),VLOOKUP(N985,setup!$A$8:$H$58,5),VLOOKUP(N985,setup!$A$8:$H$58,6),VLOOKUP(N985,setup!$A$8:$H$58,7), VLOOKUP(0,setup!$A$8:$H$58,2),VLOOKUP(0,setup!$A$8:$H$58,5),VLOOKUP(N985,setup!$A$8:$H$58,8))</f>
        <v xml:space="preserve">        return $retorno;</v>
      </c>
    </row>
    <row r="986" spans="1:15" x14ac:dyDescent="0.25">
      <c r="A986" s="29" t="s">
        <v>406</v>
      </c>
      <c r="N986">
        <f t="shared" si="32"/>
        <v>9</v>
      </c>
      <c r="O986" s="7" t="str">
        <f ca="1">getCodigoBackend(N986,A986,VLOOKUP(N986,setup!$A$8:$H$58,2),VLOOKUP(N986,setup!$A$8:$H$58,3),VLOOKUP(N986,setup!$A$8:$H$58,4),VLOOKUP(N986,setup!$A$8:$H$58,5),VLOOKUP(N986,setup!$A$8:$H$58,6),VLOOKUP(N986,setup!$A$8:$H$58,7), VLOOKUP(0,setup!$A$8:$H$58,2),VLOOKUP(0,setup!$A$8:$H$58,5),VLOOKUP(N986,setup!$A$8:$H$58,8))</f>
        <v xml:space="preserve">    }</v>
      </c>
    </row>
    <row r="987" spans="1:15" x14ac:dyDescent="0.25">
      <c r="A987" s="29"/>
      <c r="O987" s="7" t="str">
        <f ca="1">getCodigoBackend(N987,A987,VLOOKUP(N987,setup!$A$8:$H$58,2),VLOOKUP(N987,setup!$A$8:$H$58,3),VLOOKUP(N987,setup!$A$8:$H$58,4),VLOOKUP(N987,setup!$A$8:$H$58,5),VLOOKUP(N987,setup!$A$8:$H$58,6),VLOOKUP(N987,setup!$A$8:$H$58,7), VLOOKUP(0,setup!$A$8:$H$58,2),VLOOKUP(0,setup!$A$8:$H$58,5),VLOOKUP(N987,setup!$A$8:$H$58,8))</f>
        <v/>
      </c>
    </row>
    <row r="988" spans="1:15" x14ac:dyDescent="0.25">
      <c r="A988" s="6" t="s">
        <v>140</v>
      </c>
      <c r="N988">
        <f>N986+1</f>
        <v>10</v>
      </c>
      <c r="O988" s="7" t="str">
        <f ca="1">getCodigoBackend(N988,A988,VLOOKUP(N988,setup!$A$8:$H$58,2),VLOOKUP(N988,setup!$A$8:$H$58,3),VLOOKUP(N988,setup!$A$8:$H$58,4),VLOOKUP(N988,setup!$A$8:$H$58,5),VLOOKUP(N988,setup!$A$8:$H$58,6),VLOOKUP(N988,setup!$A$8:$H$58,7), VLOOKUP(0,setup!$A$8:$H$58,2),VLOOKUP(0,setup!$A$8:$H$58,5),VLOOKUP(N988,setup!$A$8:$H$58,8))</f>
        <v>    /**</v>
      </c>
    </row>
    <row r="989" spans="1:15" x14ac:dyDescent="0.25">
      <c r="A989" s="4" t="s">
        <v>781</v>
      </c>
      <c r="N989">
        <f>N988</f>
        <v>10</v>
      </c>
      <c r="O989" s="7" t="str">
        <f ca="1">getCodigoBackend(N989,A989,VLOOKUP(N989,setup!$A$8:$H$58,2),VLOOKUP(N989,setup!$A$8:$H$58,3),VLOOKUP(N989,setup!$A$8:$H$58,4),VLOOKUP(N989,setup!$A$8:$H$58,5),VLOOKUP(N989,setup!$A$8:$H$58,6),VLOOKUP(N989,setup!$A$8:$H$58,7), VLOOKUP(0,setup!$A$8:$H$58,2),VLOOKUP(0,setup!$A$8:$H$58,5),VLOOKUP(N989,setup!$A$8:$H$58,8))</f>
        <v>    * loadDtestagioerro() - implementação da assinatura em CampanhaCashbackResgatePixDAO</v>
      </c>
    </row>
    <row r="990" spans="1:15" x14ac:dyDescent="0.25">
      <c r="A990" s="4" t="s">
        <v>141</v>
      </c>
      <c r="N990">
        <f t="shared" ref="N990:N1002" si="33">N989</f>
        <v>10</v>
      </c>
      <c r="O990" s="7" t="str">
        <f ca="1">getCodigoBackend(N990,A990,VLOOKUP(N990,setup!$A$8:$H$58,2),VLOOKUP(N990,setup!$A$8:$H$58,3),VLOOKUP(N990,setup!$A$8:$H$58,4),VLOOKUP(N990,setup!$A$8:$H$58,5),VLOOKUP(N990,setup!$A$8:$H$58,6),VLOOKUP(N990,setup!$A$8:$H$58,7), VLOOKUP(0,setup!$A$8:$H$58,2),VLOOKUP(0,setup!$A$8:$H$58,5),VLOOKUP(N990,setup!$A$8:$H$58,8))</f>
        <v>    */</v>
      </c>
    </row>
    <row r="991" spans="1:15" x14ac:dyDescent="0.25">
      <c r="A991" s="6"/>
      <c r="N991">
        <f t="shared" si="33"/>
        <v>10</v>
      </c>
      <c r="O991" s="7" t="str">
        <f ca="1">getCodigoBackend(N991,A991,VLOOKUP(N991,setup!$A$8:$H$58,2),VLOOKUP(N991,setup!$A$8:$H$58,3),VLOOKUP(N991,setup!$A$8:$H$58,4),VLOOKUP(N991,setup!$A$8:$H$58,5),VLOOKUP(N991,setup!$A$8:$H$58,6),VLOOKUP(N991,setup!$A$8:$H$58,7), VLOOKUP(0,setup!$A$8:$H$58,2),VLOOKUP(0,setup!$A$8:$H$58,5),VLOOKUP(N991,setup!$A$8:$H$58,8))</f>
        <v/>
      </c>
    </row>
    <row r="992" spans="1:15" x14ac:dyDescent="0.25">
      <c r="A992" s="29" t="s">
        <v>777</v>
      </c>
      <c r="N992">
        <f t="shared" si="33"/>
        <v>10</v>
      </c>
      <c r="O992" s="7" t="str">
        <f ca="1">getCodigoBackend(N992,A992,VLOOKUP(N992,setup!$A$8:$H$58,2),VLOOKUP(N992,setup!$A$8:$H$58,3),VLOOKUP(N992,setup!$A$8:$H$58,4),VLOOKUP(N992,setup!$A$8:$H$58,5),VLOOKUP(N992,setup!$A$8:$H$58,6),VLOOKUP(N992,setup!$A$8:$H$58,7), VLOOKUP(0,setup!$A$8:$H$58,2),VLOOKUP(0,setup!$A$8:$H$58,5),VLOOKUP(N992,setup!$A$8:$H$58,8))</f>
        <v xml:space="preserve">    public function loadDtestagioerro($dtEstagioErro)</v>
      </c>
    </row>
    <row r="993" spans="1:15" x14ac:dyDescent="0.25">
      <c r="A993" s="29" t="s">
        <v>763</v>
      </c>
      <c r="N993">
        <f t="shared" si="33"/>
        <v>10</v>
      </c>
      <c r="O993" s="7" t="str">
        <f ca="1">getCodigoBackend(N993,A993,VLOOKUP(N993,setup!$A$8:$H$58,2),VLOOKUP(N993,setup!$A$8:$H$58,3),VLOOKUP(N993,setup!$A$8:$H$58,4),VLOOKUP(N993,setup!$A$8:$H$58,5),VLOOKUP(N993,setup!$A$8:$H$58,6),VLOOKUP(N993,setup!$A$8:$H$58,7), VLOOKUP(0,setup!$A$8:$H$58,2),VLOOKUP(0,setup!$A$8:$H$58,5),VLOOKUP(N993,setup!$A$8:$H$58,8))</f>
        <v xml:space="preserve">    {   </v>
      </c>
    </row>
    <row r="994" spans="1:15" x14ac:dyDescent="0.25">
      <c r="A994" s="29" t="s">
        <v>725</v>
      </c>
      <c r="N994">
        <f t="shared" si="33"/>
        <v>10</v>
      </c>
      <c r="O994" s="7" t="str">
        <f ca="1">getCodigoBackend(N994,A994,VLOOKUP(N994,setup!$A$8:$H$58,2),VLOOKUP(N994,setup!$A$8:$H$58,3),VLOOKUP(N994,setup!$A$8:$H$58,4),VLOOKUP(N994,setup!$A$8:$H$58,5),VLOOKUP(N994,setup!$A$8:$H$58,6),VLOOKUP(N994,setup!$A$8:$H$58,7), VLOOKUP(0,setup!$A$8:$H$58,2),VLOOKUP(0,setup!$A$8:$H$58,5),VLOOKUP(N994,setup!$A$8:$H$58,8))</f>
        <v xml:space="preserve">        $retorno = NULL;</v>
      </c>
    </row>
    <row r="995" spans="1:15" x14ac:dyDescent="0.25">
      <c r="A995" s="29" t="s">
        <v>765</v>
      </c>
      <c r="N995">
        <f t="shared" si="33"/>
        <v>10</v>
      </c>
      <c r="O995" s="7" t="str">
        <f ca="1">getCodigoBackend(N995,A995,VLOOKUP(N995,setup!$A$8:$H$58,2),VLOOKUP(N995,setup!$A$8:$H$58,3),VLOOKUP(N995,setup!$A$8:$H$58,4),VLOOKUP(N995,setup!$A$8:$H$58,5),VLOOKUP(N995,setup!$A$8:$H$58,6),VLOOKUP(N995,setup!$A$8:$H$58,7), VLOOKUP(0,setup!$A$8:$H$58,2),VLOOKUP(0,setup!$A$8:$H$58,5),VLOOKUP(N995,setup!$A$8:$H$58,8))</f>
        <v xml:space="preserve">        // prepara sessão, query, troca de valores, acoplagem do resultado e o fetch</v>
      </c>
    </row>
    <row r="996" spans="1:15" x14ac:dyDescent="0.25">
      <c r="A996" s="29" t="s">
        <v>766</v>
      </c>
      <c r="N996">
        <f t="shared" si="33"/>
        <v>10</v>
      </c>
      <c r="O996" s="7" t="str">
        <f ca="1">getCodigoBackend(N996,A996,VLOOKUP(N996,setup!$A$8:$H$58,2),VLOOKUP(N996,setup!$A$8:$H$58,3),VLOOKUP(N996,setup!$A$8:$H$58,4),VLOOKUP(N996,setup!$A$8:$H$58,5),VLOOKUP(N996,setup!$A$8:$H$58,6),VLOOKUP(N996,setup!$A$8:$H$58,7), VLOOKUP(0,setup!$A$8:$H$58,2),VLOOKUP(0,setup!$A$8:$H$58,5),VLOOKUP(N996,setup!$A$8:$H$58,8))</f>
        <v xml:space="preserve">        $conexao = $this-&gt;daofactory-&gt;getSession();</v>
      </c>
    </row>
    <row r="997" spans="1:15" x14ac:dyDescent="0.25">
      <c r="A997" s="29" t="s">
        <v>780</v>
      </c>
      <c r="N997">
        <f t="shared" si="33"/>
        <v>10</v>
      </c>
      <c r="O997" s="7" t="str">
        <f ca="1">getCodigoBackend(N997,A997,VLOOKUP(N997,setup!$A$8:$H$58,2),VLOOKUP(N997,setup!$A$8:$H$58,3),VLOOKUP(N997,setup!$A$8:$H$58,4),VLOOKUP(N997,setup!$A$8:$H$58,5),VLOOKUP(N997,setup!$A$8:$H$58,6),VLOOKUP(N997,setup!$A$8:$H$58,7), VLOOKUP(0,setup!$A$8:$H$58,2),VLOOKUP(0,setup!$A$8:$H$58,5),VLOOKUP(N997,setup!$A$8:$H$58,8))</f>
        <v xml:space="preserve">        $res = $conexao-&gt;query(DmlSqlCampanhaCashbackResgatePix::SELECT . ' WHERE ' . DmlSqlCampanhaCashbackResgatePix::CCRP_DT_ESTAGIO_ERRO . '=' . $dtEstagioErro );</v>
      </c>
    </row>
    <row r="998" spans="1:15" x14ac:dyDescent="0.25">
      <c r="A998" s="29" t="s">
        <v>778</v>
      </c>
      <c r="N998">
        <f t="shared" si="33"/>
        <v>10</v>
      </c>
      <c r="O998" s="7" t="str">
        <f ca="1">getCodigoBackend(N998,A998,VLOOKUP(N998,setup!$A$8:$H$58,2),VLOOKUP(N998,setup!$A$8:$H$58,3),VLOOKUP(N998,setup!$A$8:$H$58,4),VLOOKUP(N998,setup!$A$8:$H$58,5),VLOOKUP(N998,setup!$A$8:$H$58,6),VLOOKUP(N998,setup!$A$8:$H$58,7), VLOOKUP(0,setup!$A$8:$H$58,2),VLOOKUP(0,setup!$A$8:$H$58,5),VLOOKUP(N998,setup!$A$8:$H$58,8))</f>
        <v xml:space="preserve">        if ($res){</v>
      </c>
    </row>
    <row r="999" spans="1:15" x14ac:dyDescent="0.25">
      <c r="A999" s="29" t="s">
        <v>779</v>
      </c>
      <c r="N999">
        <f t="shared" si="33"/>
        <v>10</v>
      </c>
      <c r="O999" s="7" t="str">
        <f ca="1">getCodigoBackend(N999,A999,VLOOKUP(N999,setup!$A$8:$H$58,2),VLOOKUP(N999,setup!$A$8:$H$58,3),VLOOKUP(N999,setup!$A$8:$H$58,4),VLOOKUP(N999,setup!$A$8:$H$58,5),VLOOKUP(N999,setup!$A$8:$H$58,6),VLOOKUP(N999,setup!$A$8:$H$58,7), VLOOKUP(0,setup!$A$8:$H$58,2),VLOOKUP(0,setup!$A$8:$H$58,5),VLOOKUP(N999,setup!$A$8:$H$58,8))</f>
        <v xml:space="preserve">            $retorno = $this-&gt;getDTO($res-&gt;fetch_assoc());</v>
      </c>
    </row>
    <row r="1000" spans="1:15" x14ac:dyDescent="0.25">
      <c r="A1000" s="29" t="s">
        <v>157</v>
      </c>
      <c r="N1000">
        <f t="shared" si="33"/>
        <v>10</v>
      </c>
      <c r="O1000" s="7" t="str">
        <f ca="1">getCodigoBackend(N1000,A1000,VLOOKUP(N1000,setup!$A$8:$H$58,2),VLOOKUP(N1000,setup!$A$8:$H$58,3),VLOOKUP(N1000,setup!$A$8:$H$58,4),VLOOKUP(N1000,setup!$A$8:$H$58,5),VLOOKUP(N1000,setup!$A$8:$H$58,6),VLOOKUP(N1000,setup!$A$8:$H$58,7), VLOOKUP(0,setup!$A$8:$H$58,2),VLOOKUP(0,setup!$A$8:$H$58,5),VLOOKUP(N1000,setup!$A$8:$H$58,8))</f>
        <v xml:space="preserve">        }</v>
      </c>
    </row>
    <row r="1001" spans="1:15" x14ac:dyDescent="0.25">
      <c r="A1001" s="29" t="s">
        <v>743</v>
      </c>
      <c r="N1001">
        <f t="shared" si="33"/>
        <v>10</v>
      </c>
      <c r="O1001" s="7" t="str">
        <f ca="1">getCodigoBackend(N1001,A1001,VLOOKUP(N1001,setup!$A$8:$H$58,2),VLOOKUP(N1001,setup!$A$8:$H$58,3),VLOOKUP(N1001,setup!$A$8:$H$58,4),VLOOKUP(N1001,setup!$A$8:$H$58,5),VLOOKUP(N1001,setup!$A$8:$H$58,6),VLOOKUP(N1001,setup!$A$8:$H$58,7), VLOOKUP(0,setup!$A$8:$H$58,2),VLOOKUP(0,setup!$A$8:$H$58,5),VLOOKUP(N1001,setup!$A$8:$H$58,8))</f>
        <v xml:space="preserve">        return $retorno;</v>
      </c>
    </row>
    <row r="1002" spans="1:15" x14ac:dyDescent="0.25">
      <c r="A1002" s="29" t="s">
        <v>406</v>
      </c>
      <c r="N1002">
        <f t="shared" si="33"/>
        <v>10</v>
      </c>
      <c r="O1002" s="7" t="str">
        <f ca="1">getCodigoBackend(N1002,A1002,VLOOKUP(N1002,setup!$A$8:$H$58,2),VLOOKUP(N1002,setup!$A$8:$H$58,3),VLOOKUP(N1002,setup!$A$8:$H$58,4),VLOOKUP(N1002,setup!$A$8:$H$58,5),VLOOKUP(N1002,setup!$A$8:$H$58,6),VLOOKUP(N1002,setup!$A$8:$H$58,7), VLOOKUP(0,setup!$A$8:$H$58,2),VLOOKUP(0,setup!$A$8:$H$58,5),VLOOKUP(N1002,setup!$A$8:$H$58,8))</f>
        <v xml:space="preserve">    }</v>
      </c>
    </row>
    <row r="1003" spans="1:15" x14ac:dyDescent="0.25">
      <c r="A1003" s="29"/>
      <c r="O1003" s="7" t="str">
        <f ca="1">getCodigoBackend(N1003,A1003,VLOOKUP(N1003,setup!$A$8:$H$58,2),VLOOKUP(N1003,setup!$A$8:$H$58,3),VLOOKUP(N1003,setup!$A$8:$H$58,4),VLOOKUP(N1003,setup!$A$8:$H$58,5),VLOOKUP(N1003,setup!$A$8:$H$58,6),VLOOKUP(N1003,setup!$A$8:$H$58,7), VLOOKUP(0,setup!$A$8:$H$58,2),VLOOKUP(0,setup!$A$8:$H$58,5),VLOOKUP(N1003,setup!$A$8:$H$58,8))</f>
        <v/>
      </c>
    </row>
    <row r="1004" spans="1:15" x14ac:dyDescent="0.25">
      <c r="A1004" s="6" t="s">
        <v>140</v>
      </c>
      <c r="N1004">
        <f>N1002+1</f>
        <v>11</v>
      </c>
      <c r="O1004" s="7" t="str">
        <f ca="1">getCodigoBackend(N1004,A1004,VLOOKUP(N1004,setup!$A$8:$H$58,2),VLOOKUP(N1004,setup!$A$8:$H$58,3),VLOOKUP(N1004,setup!$A$8:$H$58,4),VLOOKUP(N1004,setup!$A$8:$H$58,5),VLOOKUP(N1004,setup!$A$8:$H$58,6),VLOOKUP(N1004,setup!$A$8:$H$58,7), VLOOKUP(0,setup!$A$8:$H$58,2),VLOOKUP(0,setup!$A$8:$H$58,5),VLOOKUP(N1004,setup!$A$8:$H$58,8))</f>
        <v>    /**</v>
      </c>
    </row>
    <row r="1005" spans="1:15" x14ac:dyDescent="0.25">
      <c r="A1005" s="4" t="s">
        <v>781</v>
      </c>
      <c r="N1005">
        <f>N1004</f>
        <v>11</v>
      </c>
      <c r="O1005" s="7" t="str">
        <f ca="1">getCodigoBackend(N1005,A1005,VLOOKUP(N1005,setup!$A$8:$H$58,2),VLOOKUP(N1005,setup!$A$8:$H$58,3),VLOOKUP(N1005,setup!$A$8:$H$58,4),VLOOKUP(N1005,setup!$A$8:$H$58,5),VLOOKUP(N1005,setup!$A$8:$H$58,6),VLOOKUP(N1005,setup!$A$8:$H$58,7), VLOOKUP(0,setup!$A$8:$H$58,2),VLOOKUP(0,setup!$A$8:$H$58,5),VLOOKUP(N1005,setup!$A$8:$H$58,8))</f>
        <v>    * loadDtestagiotranfbco() - implementação da assinatura em CampanhaCashbackResgatePixDAO</v>
      </c>
    </row>
    <row r="1006" spans="1:15" x14ac:dyDescent="0.25">
      <c r="A1006" s="4" t="s">
        <v>141</v>
      </c>
      <c r="N1006">
        <f t="shared" ref="N1006:N1018" si="34">N1005</f>
        <v>11</v>
      </c>
      <c r="O1006" s="7" t="str">
        <f ca="1">getCodigoBackend(N1006,A1006,VLOOKUP(N1006,setup!$A$8:$H$58,2),VLOOKUP(N1006,setup!$A$8:$H$58,3),VLOOKUP(N1006,setup!$A$8:$H$58,4),VLOOKUP(N1006,setup!$A$8:$H$58,5),VLOOKUP(N1006,setup!$A$8:$H$58,6),VLOOKUP(N1006,setup!$A$8:$H$58,7), VLOOKUP(0,setup!$A$8:$H$58,2),VLOOKUP(0,setup!$A$8:$H$58,5),VLOOKUP(N1006,setup!$A$8:$H$58,8))</f>
        <v>    */</v>
      </c>
    </row>
    <row r="1007" spans="1:15" x14ac:dyDescent="0.25">
      <c r="A1007" s="6"/>
      <c r="N1007">
        <f t="shared" si="34"/>
        <v>11</v>
      </c>
      <c r="O1007" s="7" t="str">
        <f ca="1">getCodigoBackend(N1007,A1007,VLOOKUP(N1007,setup!$A$8:$H$58,2),VLOOKUP(N1007,setup!$A$8:$H$58,3),VLOOKUP(N1007,setup!$A$8:$H$58,4),VLOOKUP(N1007,setup!$A$8:$H$58,5),VLOOKUP(N1007,setup!$A$8:$H$58,6),VLOOKUP(N1007,setup!$A$8:$H$58,7), VLOOKUP(0,setup!$A$8:$H$58,2),VLOOKUP(0,setup!$A$8:$H$58,5),VLOOKUP(N1007,setup!$A$8:$H$58,8))</f>
        <v/>
      </c>
    </row>
    <row r="1008" spans="1:15" x14ac:dyDescent="0.25">
      <c r="A1008" s="29" t="s">
        <v>777</v>
      </c>
      <c r="N1008">
        <f t="shared" si="34"/>
        <v>11</v>
      </c>
      <c r="O1008" s="7" t="str">
        <f ca="1">getCodigoBackend(N1008,A1008,VLOOKUP(N1008,setup!$A$8:$H$58,2),VLOOKUP(N1008,setup!$A$8:$H$58,3),VLOOKUP(N1008,setup!$A$8:$H$58,4),VLOOKUP(N1008,setup!$A$8:$H$58,5),VLOOKUP(N1008,setup!$A$8:$H$58,6),VLOOKUP(N1008,setup!$A$8:$H$58,7), VLOOKUP(0,setup!$A$8:$H$58,2),VLOOKUP(0,setup!$A$8:$H$58,5),VLOOKUP(N1008,setup!$A$8:$H$58,8))</f>
        <v xml:space="preserve">    public function loadDtestagiotranfbco($dtEstagioTranfBco)</v>
      </c>
    </row>
    <row r="1009" spans="1:15" x14ac:dyDescent="0.25">
      <c r="A1009" s="29" t="s">
        <v>763</v>
      </c>
      <c r="N1009">
        <f t="shared" si="34"/>
        <v>11</v>
      </c>
      <c r="O1009" s="7" t="str">
        <f ca="1">getCodigoBackend(N1009,A1009,VLOOKUP(N1009,setup!$A$8:$H$58,2),VLOOKUP(N1009,setup!$A$8:$H$58,3),VLOOKUP(N1009,setup!$A$8:$H$58,4),VLOOKUP(N1009,setup!$A$8:$H$58,5),VLOOKUP(N1009,setup!$A$8:$H$58,6),VLOOKUP(N1009,setup!$A$8:$H$58,7), VLOOKUP(0,setup!$A$8:$H$58,2),VLOOKUP(0,setup!$A$8:$H$58,5),VLOOKUP(N1009,setup!$A$8:$H$58,8))</f>
        <v xml:space="preserve">    {   </v>
      </c>
    </row>
    <row r="1010" spans="1:15" x14ac:dyDescent="0.25">
      <c r="A1010" s="29" t="s">
        <v>725</v>
      </c>
      <c r="N1010">
        <f t="shared" si="34"/>
        <v>11</v>
      </c>
      <c r="O1010" s="7" t="str">
        <f ca="1">getCodigoBackend(N1010,A1010,VLOOKUP(N1010,setup!$A$8:$H$58,2),VLOOKUP(N1010,setup!$A$8:$H$58,3),VLOOKUP(N1010,setup!$A$8:$H$58,4),VLOOKUP(N1010,setup!$A$8:$H$58,5),VLOOKUP(N1010,setup!$A$8:$H$58,6),VLOOKUP(N1010,setup!$A$8:$H$58,7), VLOOKUP(0,setup!$A$8:$H$58,2),VLOOKUP(0,setup!$A$8:$H$58,5),VLOOKUP(N1010,setup!$A$8:$H$58,8))</f>
        <v xml:space="preserve">        $retorno = NULL;</v>
      </c>
    </row>
    <row r="1011" spans="1:15" x14ac:dyDescent="0.25">
      <c r="A1011" s="29" t="s">
        <v>765</v>
      </c>
      <c r="N1011">
        <f t="shared" si="34"/>
        <v>11</v>
      </c>
      <c r="O1011" s="7" t="str">
        <f ca="1">getCodigoBackend(N1011,A1011,VLOOKUP(N1011,setup!$A$8:$H$58,2),VLOOKUP(N1011,setup!$A$8:$H$58,3),VLOOKUP(N1011,setup!$A$8:$H$58,4),VLOOKUP(N1011,setup!$A$8:$H$58,5),VLOOKUP(N1011,setup!$A$8:$H$58,6),VLOOKUP(N1011,setup!$A$8:$H$58,7), VLOOKUP(0,setup!$A$8:$H$58,2),VLOOKUP(0,setup!$A$8:$H$58,5),VLOOKUP(N1011,setup!$A$8:$H$58,8))</f>
        <v xml:space="preserve">        // prepara sessão, query, troca de valores, acoplagem do resultado e o fetch</v>
      </c>
    </row>
    <row r="1012" spans="1:15" x14ac:dyDescent="0.25">
      <c r="A1012" s="29" t="s">
        <v>766</v>
      </c>
      <c r="N1012">
        <f t="shared" si="34"/>
        <v>11</v>
      </c>
      <c r="O1012" s="7" t="str">
        <f ca="1">getCodigoBackend(N1012,A1012,VLOOKUP(N1012,setup!$A$8:$H$58,2),VLOOKUP(N1012,setup!$A$8:$H$58,3),VLOOKUP(N1012,setup!$A$8:$H$58,4),VLOOKUP(N1012,setup!$A$8:$H$58,5),VLOOKUP(N1012,setup!$A$8:$H$58,6),VLOOKUP(N1012,setup!$A$8:$H$58,7), VLOOKUP(0,setup!$A$8:$H$58,2),VLOOKUP(0,setup!$A$8:$H$58,5),VLOOKUP(N1012,setup!$A$8:$H$58,8))</f>
        <v xml:space="preserve">        $conexao = $this-&gt;daofactory-&gt;getSession();</v>
      </c>
    </row>
    <row r="1013" spans="1:15" x14ac:dyDescent="0.25">
      <c r="A1013" s="29" t="s">
        <v>780</v>
      </c>
      <c r="N1013">
        <f t="shared" si="34"/>
        <v>11</v>
      </c>
      <c r="O1013" s="7" t="str">
        <f ca="1">getCodigoBackend(N1013,A1013,VLOOKUP(N1013,setup!$A$8:$H$58,2),VLOOKUP(N1013,setup!$A$8:$H$58,3),VLOOKUP(N1013,setup!$A$8:$H$58,4),VLOOKUP(N1013,setup!$A$8:$H$58,5),VLOOKUP(N1013,setup!$A$8:$H$58,6),VLOOKUP(N1013,setup!$A$8:$H$58,7), VLOOKUP(0,setup!$A$8:$H$58,2),VLOOKUP(0,setup!$A$8:$H$58,5),VLOOKUP(N1013,setup!$A$8:$H$58,8))</f>
        <v xml:space="preserve">        $res = $conexao-&gt;query(DmlSqlCampanhaCashbackResgatePix::SELECT . ' WHERE ' . DmlSqlCampanhaCashbackResgatePix::CCRP_DT_ESTAGIO_TRANSF_BCO . '=' . $dtEstagioTranfBco );</v>
      </c>
    </row>
    <row r="1014" spans="1:15" x14ac:dyDescent="0.25">
      <c r="A1014" s="29" t="s">
        <v>778</v>
      </c>
      <c r="N1014">
        <f t="shared" si="34"/>
        <v>11</v>
      </c>
      <c r="O1014" s="7" t="str">
        <f ca="1">getCodigoBackend(N1014,A1014,VLOOKUP(N1014,setup!$A$8:$H$58,2),VLOOKUP(N1014,setup!$A$8:$H$58,3),VLOOKUP(N1014,setup!$A$8:$H$58,4),VLOOKUP(N1014,setup!$A$8:$H$58,5),VLOOKUP(N1014,setup!$A$8:$H$58,6),VLOOKUP(N1014,setup!$A$8:$H$58,7), VLOOKUP(0,setup!$A$8:$H$58,2),VLOOKUP(0,setup!$A$8:$H$58,5),VLOOKUP(N1014,setup!$A$8:$H$58,8))</f>
        <v xml:space="preserve">        if ($res){</v>
      </c>
    </row>
    <row r="1015" spans="1:15" x14ac:dyDescent="0.25">
      <c r="A1015" s="29" t="s">
        <v>779</v>
      </c>
      <c r="N1015">
        <f t="shared" si="34"/>
        <v>11</v>
      </c>
      <c r="O1015" s="7" t="str">
        <f ca="1">getCodigoBackend(N1015,A1015,VLOOKUP(N1015,setup!$A$8:$H$58,2),VLOOKUP(N1015,setup!$A$8:$H$58,3),VLOOKUP(N1015,setup!$A$8:$H$58,4),VLOOKUP(N1015,setup!$A$8:$H$58,5),VLOOKUP(N1015,setup!$A$8:$H$58,6),VLOOKUP(N1015,setup!$A$8:$H$58,7), VLOOKUP(0,setup!$A$8:$H$58,2),VLOOKUP(0,setup!$A$8:$H$58,5),VLOOKUP(N1015,setup!$A$8:$H$58,8))</f>
        <v xml:space="preserve">            $retorno = $this-&gt;getDTO($res-&gt;fetch_assoc());</v>
      </c>
    </row>
    <row r="1016" spans="1:15" x14ac:dyDescent="0.25">
      <c r="A1016" s="29" t="s">
        <v>157</v>
      </c>
      <c r="N1016">
        <f t="shared" si="34"/>
        <v>11</v>
      </c>
      <c r="O1016" s="7" t="str">
        <f ca="1">getCodigoBackend(N1016,A1016,VLOOKUP(N1016,setup!$A$8:$H$58,2),VLOOKUP(N1016,setup!$A$8:$H$58,3),VLOOKUP(N1016,setup!$A$8:$H$58,4),VLOOKUP(N1016,setup!$A$8:$H$58,5),VLOOKUP(N1016,setup!$A$8:$H$58,6),VLOOKUP(N1016,setup!$A$8:$H$58,7), VLOOKUP(0,setup!$A$8:$H$58,2),VLOOKUP(0,setup!$A$8:$H$58,5),VLOOKUP(N1016,setup!$A$8:$H$58,8))</f>
        <v xml:space="preserve">        }</v>
      </c>
    </row>
    <row r="1017" spans="1:15" x14ac:dyDescent="0.25">
      <c r="A1017" s="29" t="s">
        <v>743</v>
      </c>
      <c r="N1017">
        <f t="shared" si="34"/>
        <v>11</v>
      </c>
      <c r="O1017" s="7" t="str">
        <f ca="1">getCodigoBackend(N1017,A1017,VLOOKUP(N1017,setup!$A$8:$H$58,2),VLOOKUP(N1017,setup!$A$8:$H$58,3),VLOOKUP(N1017,setup!$A$8:$H$58,4),VLOOKUP(N1017,setup!$A$8:$H$58,5),VLOOKUP(N1017,setup!$A$8:$H$58,6),VLOOKUP(N1017,setup!$A$8:$H$58,7), VLOOKUP(0,setup!$A$8:$H$58,2),VLOOKUP(0,setup!$A$8:$H$58,5),VLOOKUP(N1017,setup!$A$8:$H$58,8))</f>
        <v xml:space="preserve">        return $retorno;</v>
      </c>
    </row>
    <row r="1018" spans="1:15" x14ac:dyDescent="0.25">
      <c r="A1018" s="29" t="s">
        <v>406</v>
      </c>
      <c r="N1018">
        <f t="shared" si="34"/>
        <v>11</v>
      </c>
      <c r="O1018" s="7" t="str">
        <f ca="1">getCodigoBackend(N1018,A1018,VLOOKUP(N1018,setup!$A$8:$H$58,2),VLOOKUP(N1018,setup!$A$8:$H$58,3),VLOOKUP(N1018,setup!$A$8:$H$58,4),VLOOKUP(N1018,setup!$A$8:$H$58,5),VLOOKUP(N1018,setup!$A$8:$H$58,6),VLOOKUP(N1018,setup!$A$8:$H$58,7), VLOOKUP(0,setup!$A$8:$H$58,2),VLOOKUP(0,setup!$A$8:$H$58,5),VLOOKUP(N1018,setup!$A$8:$H$58,8))</f>
        <v xml:space="preserve">    }</v>
      </c>
    </row>
    <row r="1019" spans="1:15" x14ac:dyDescent="0.25">
      <c r="A1019" s="29"/>
      <c r="O1019" s="7" t="str">
        <f ca="1">getCodigoBackend(N1019,A1019,VLOOKUP(N1019,setup!$A$8:$H$58,2),VLOOKUP(N1019,setup!$A$8:$H$58,3),VLOOKUP(N1019,setup!$A$8:$H$58,4),VLOOKUP(N1019,setup!$A$8:$H$58,5),VLOOKUP(N1019,setup!$A$8:$H$58,6),VLOOKUP(N1019,setup!$A$8:$H$58,7), VLOOKUP(0,setup!$A$8:$H$58,2),VLOOKUP(0,setup!$A$8:$H$58,5),VLOOKUP(N1019,setup!$A$8:$H$58,8))</f>
        <v/>
      </c>
    </row>
    <row r="1020" spans="1:15" x14ac:dyDescent="0.25">
      <c r="A1020" s="6" t="s">
        <v>140</v>
      </c>
      <c r="N1020">
        <f>N1018+1</f>
        <v>12</v>
      </c>
      <c r="O1020" s="7" t="str">
        <f ca="1">getCodigoBackend(N1020,A1020,VLOOKUP(N1020,setup!$A$8:$H$58,2),VLOOKUP(N1020,setup!$A$8:$H$58,3),VLOOKUP(N1020,setup!$A$8:$H$58,4),VLOOKUP(N1020,setup!$A$8:$H$58,5),VLOOKUP(N1020,setup!$A$8:$H$58,6),VLOOKUP(N1020,setup!$A$8:$H$58,7), VLOOKUP(0,setup!$A$8:$H$58,2),VLOOKUP(0,setup!$A$8:$H$58,5),VLOOKUP(N1020,setup!$A$8:$H$58,8))</f>
        <v>    /**</v>
      </c>
    </row>
    <row r="1021" spans="1:15" x14ac:dyDescent="0.25">
      <c r="A1021" s="4" t="s">
        <v>781</v>
      </c>
      <c r="N1021">
        <f>N1020</f>
        <v>12</v>
      </c>
      <c r="O1021" s="7" t="str">
        <f ca="1">getCodigoBackend(N1021,A1021,VLOOKUP(N1021,setup!$A$8:$H$58,2),VLOOKUP(N1021,setup!$A$8:$H$58,3),VLOOKUP(N1021,setup!$A$8:$H$58,4),VLOOKUP(N1021,setup!$A$8:$H$58,5),VLOOKUP(N1021,setup!$A$8:$H$58,6),VLOOKUP(N1021,setup!$A$8:$H$58,7), VLOOKUP(0,setup!$A$8:$H$58,2),VLOOKUP(0,setup!$A$8:$H$58,5),VLOOKUP(N1021,setup!$A$8:$H$58,8))</f>
        <v>    * loadTxtlivreestagiort() - implementação da assinatura em CampanhaCashbackResgatePixDAO</v>
      </c>
    </row>
    <row r="1022" spans="1:15" x14ac:dyDescent="0.25">
      <c r="A1022" s="4" t="s">
        <v>141</v>
      </c>
      <c r="N1022">
        <f t="shared" ref="N1022:N1034" si="35">N1021</f>
        <v>12</v>
      </c>
      <c r="O1022" s="7" t="str">
        <f ca="1">getCodigoBackend(N1022,A1022,VLOOKUP(N1022,setup!$A$8:$H$58,2),VLOOKUP(N1022,setup!$A$8:$H$58,3),VLOOKUP(N1022,setup!$A$8:$H$58,4),VLOOKUP(N1022,setup!$A$8:$H$58,5),VLOOKUP(N1022,setup!$A$8:$H$58,6),VLOOKUP(N1022,setup!$A$8:$H$58,7), VLOOKUP(0,setup!$A$8:$H$58,2),VLOOKUP(0,setup!$A$8:$H$58,5),VLOOKUP(N1022,setup!$A$8:$H$58,8))</f>
        <v>    */</v>
      </c>
    </row>
    <row r="1023" spans="1:15" x14ac:dyDescent="0.25">
      <c r="A1023" s="6"/>
      <c r="N1023">
        <f t="shared" si="35"/>
        <v>12</v>
      </c>
      <c r="O1023" s="7" t="str">
        <f ca="1">getCodigoBackend(N1023,A1023,VLOOKUP(N1023,setup!$A$8:$H$58,2),VLOOKUP(N1023,setup!$A$8:$H$58,3),VLOOKUP(N1023,setup!$A$8:$H$58,4),VLOOKUP(N1023,setup!$A$8:$H$58,5),VLOOKUP(N1023,setup!$A$8:$H$58,6),VLOOKUP(N1023,setup!$A$8:$H$58,7), VLOOKUP(0,setup!$A$8:$H$58,2),VLOOKUP(0,setup!$A$8:$H$58,5),VLOOKUP(N1023,setup!$A$8:$H$58,8))</f>
        <v/>
      </c>
    </row>
    <row r="1024" spans="1:15" x14ac:dyDescent="0.25">
      <c r="A1024" s="29" t="s">
        <v>777</v>
      </c>
      <c r="N1024">
        <f t="shared" si="35"/>
        <v>12</v>
      </c>
      <c r="O1024" s="7" t="str">
        <f ca="1">getCodigoBackend(N1024,A1024,VLOOKUP(N1024,setup!$A$8:$H$58,2),VLOOKUP(N1024,setup!$A$8:$H$58,3),VLOOKUP(N1024,setup!$A$8:$H$58,4),VLOOKUP(N1024,setup!$A$8:$H$58,5),VLOOKUP(N1024,setup!$A$8:$H$58,6),VLOOKUP(N1024,setup!$A$8:$H$58,7), VLOOKUP(0,setup!$A$8:$H$58,2),VLOOKUP(0,setup!$A$8:$H$58,5),VLOOKUP(N1024,setup!$A$8:$H$58,8))</f>
        <v xml:space="preserve">    public function loadTxtlivreestagiort($txtLivreEstagioRT)</v>
      </c>
    </row>
    <row r="1025" spans="1:15" x14ac:dyDescent="0.25">
      <c r="A1025" s="29" t="s">
        <v>763</v>
      </c>
      <c r="N1025">
        <f t="shared" si="35"/>
        <v>12</v>
      </c>
      <c r="O1025" s="7" t="str">
        <f ca="1">getCodigoBackend(N1025,A1025,VLOOKUP(N1025,setup!$A$8:$H$58,2),VLOOKUP(N1025,setup!$A$8:$H$58,3),VLOOKUP(N1025,setup!$A$8:$H$58,4),VLOOKUP(N1025,setup!$A$8:$H$58,5),VLOOKUP(N1025,setup!$A$8:$H$58,6),VLOOKUP(N1025,setup!$A$8:$H$58,7), VLOOKUP(0,setup!$A$8:$H$58,2),VLOOKUP(0,setup!$A$8:$H$58,5),VLOOKUP(N1025,setup!$A$8:$H$58,8))</f>
        <v xml:space="preserve">    {   </v>
      </c>
    </row>
    <row r="1026" spans="1:15" x14ac:dyDescent="0.25">
      <c r="A1026" s="29" t="s">
        <v>725</v>
      </c>
      <c r="N1026">
        <f t="shared" si="35"/>
        <v>12</v>
      </c>
      <c r="O1026" s="7" t="str">
        <f ca="1">getCodigoBackend(N1026,A1026,VLOOKUP(N1026,setup!$A$8:$H$58,2),VLOOKUP(N1026,setup!$A$8:$H$58,3),VLOOKUP(N1026,setup!$A$8:$H$58,4),VLOOKUP(N1026,setup!$A$8:$H$58,5),VLOOKUP(N1026,setup!$A$8:$H$58,6),VLOOKUP(N1026,setup!$A$8:$H$58,7), VLOOKUP(0,setup!$A$8:$H$58,2),VLOOKUP(0,setup!$A$8:$H$58,5),VLOOKUP(N1026,setup!$A$8:$H$58,8))</f>
        <v xml:space="preserve">        $retorno = NULL;</v>
      </c>
    </row>
    <row r="1027" spans="1:15" x14ac:dyDescent="0.25">
      <c r="A1027" s="29" t="s">
        <v>765</v>
      </c>
      <c r="N1027">
        <f t="shared" si="35"/>
        <v>12</v>
      </c>
      <c r="O1027" s="7" t="str">
        <f ca="1">getCodigoBackend(N1027,A1027,VLOOKUP(N1027,setup!$A$8:$H$58,2),VLOOKUP(N1027,setup!$A$8:$H$58,3),VLOOKUP(N1027,setup!$A$8:$H$58,4),VLOOKUP(N1027,setup!$A$8:$H$58,5),VLOOKUP(N1027,setup!$A$8:$H$58,6),VLOOKUP(N1027,setup!$A$8:$H$58,7), VLOOKUP(0,setup!$A$8:$H$58,2),VLOOKUP(0,setup!$A$8:$H$58,5),VLOOKUP(N1027,setup!$A$8:$H$58,8))</f>
        <v xml:space="preserve">        // prepara sessão, query, troca de valores, acoplagem do resultado e o fetch</v>
      </c>
    </row>
    <row r="1028" spans="1:15" x14ac:dyDescent="0.25">
      <c r="A1028" s="29" t="s">
        <v>766</v>
      </c>
      <c r="N1028">
        <f t="shared" si="35"/>
        <v>12</v>
      </c>
      <c r="O1028" s="7" t="str">
        <f ca="1">getCodigoBackend(N1028,A1028,VLOOKUP(N1028,setup!$A$8:$H$58,2),VLOOKUP(N1028,setup!$A$8:$H$58,3),VLOOKUP(N1028,setup!$A$8:$H$58,4),VLOOKUP(N1028,setup!$A$8:$H$58,5),VLOOKUP(N1028,setup!$A$8:$H$58,6),VLOOKUP(N1028,setup!$A$8:$H$58,7), VLOOKUP(0,setup!$A$8:$H$58,2),VLOOKUP(0,setup!$A$8:$H$58,5),VLOOKUP(N1028,setup!$A$8:$H$58,8))</f>
        <v xml:space="preserve">        $conexao = $this-&gt;daofactory-&gt;getSession();</v>
      </c>
    </row>
    <row r="1029" spans="1:15" x14ac:dyDescent="0.25">
      <c r="A1029" s="29" t="s">
        <v>780</v>
      </c>
      <c r="N1029">
        <f t="shared" si="35"/>
        <v>12</v>
      </c>
      <c r="O1029" s="7" t="str">
        <f ca="1">getCodigoBackend(N1029,A1029,VLOOKUP(N1029,setup!$A$8:$H$58,2),VLOOKUP(N1029,setup!$A$8:$H$58,3),VLOOKUP(N1029,setup!$A$8:$H$58,4),VLOOKUP(N1029,setup!$A$8:$H$58,5),VLOOKUP(N1029,setup!$A$8:$H$58,6),VLOOKUP(N1029,setup!$A$8:$H$58,7), VLOOKUP(0,setup!$A$8:$H$58,2),VLOOKUP(0,setup!$A$8:$H$58,5),VLOOKUP(N1029,setup!$A$8:$H$58,8))</f>
        <v xml:space="preserve">        $res = $conexao-&gt;query(DmlSqlCampanhaCashbackResgatePix::SELECT . ' WHERE ' . DmlSqlCampanhaCashbackResgatePix::CCRP_TX_LIVRE_ESTAGIO_RT . '=' . $txtLivreEstagioRT );</v>
      </c>
    </row>
    <row r="1030" spans="1:15" x14ac:dyDescent="0.25">
      <c r="A1030" s="29" t="s">
        <v>778</v>
      </c>
      <c r="N1030">
        <f t="shared" si="35"/>
        <v>12</v>
      </c>
      <c r="O1030" s="7" t="str">
        <f ca="1">getCodigoBackend(N1030,A1030,VLOOKUP(N1030,setup!$A$8:$H$58,2),VLOOKUP(N1030,setup!$A$8:$H$58,3),VLOOKUP(N1030,setup!$A$8:$H$58,4),VLOOKUP(N1030,setup!$A$8:$H$58,5),VLOOKUP(N1030,setup!$A$8:$H$58,6),VLOOKUP(N1030,setup!$A$8:$H$58,7), VLOOKUP(0,setup!$A$8:$H$58,2),VLOOKUP(0,setup!$A$8:$H$58,5),VLOOKUP(N1030,setup!$A$8:$H$58,8))</f>
        <v xml:space="preserve">        if ($res){</v>
      </c>
    </row>
    <row r="1031" spans="1:15" x14ac:dyDescent="0.25">
      <c r="A1031" s="29" t="s">
        <v>779</v>
      </c>
      <c r="N1031">
        <f t="shared" si="35"/>
        <v>12</v>
      </c>
      <c r="O1031" s="7" t="str">
        <f ca="1">getCodigoBackend(N1031,A1031,VLOOKUP(N1031,setup!$A$8:$H$58,2),VLOOKUP(N1031,setup!$A$8:$H$58,3),VLOOKUP(N1031,setup!$A$8:$H$58,4),VLOOKUP(N1031,setup!$A$8:$H$58,5),VLOOKUP(N1031,setup!$A$8:$H$58,6),VLOOKUP(N1031,setup!$A$8:$H$58,7), VLOOKUP(0,setup!$A$8:$H$58,2),VLOOKUP(0,setup!$A$8:$H$58,5),VLOOKUP(N1031,setup!$A$8:$H$58,8))</f>
        <v xml:space="preserve">            $retorno = $this-&gt;getDTO($res-&gt;fetch_assoc());</v>
      </c>
    </row>
    <row r="1032" spans="1:15" x14ac:dyDescent="0.25">
      <c r="A1032" s="29" t="s">
        <v>157</v>
      </c>
      <c r="N1032">
        <f t="shared" si="35"/>
        <v>12</v>
      </c>
      <c r="O1032" s="7" t="str">
        <f ca="1">getCodigoBackend(N1032,A1032,VLOOKUP(N1032,setup!$A$8:$H$58,2),VLOOKUP(N1032,setup!$A$8:$H$58,3),VLOOKUP(N1032,setup!$A$8:$H$58,4),VLOOKUP(N1032,setup!$A$8:$H$58,5),VLOOKUP(N1032,setup!$A$8:$H$58,6),VLOOKUP(N1032,setup!$A$8:$H$58,7), VLOOKUP(0,setup!$A$8:$H$58,2),VLOOKUP(0,setup!$A$8:$H$58,5),VLOOKUP(N1032,setup!$A$8:$H$58,8))</f>
        <v xml:space="preserve">        }</v>
      </c>
    </row>
    <row r="1033" spans="1:15" x14ac:dyDescent="0.25">
      <c r="A1033" s="29" t="s">
        <v>743</v>
      </c>
      <c r="N1033">
        <f t="shared" si="35"/>
        <v>12</v>
      </c>
      <c r="O1033" s="7" t="str">
        <f ca="1">getCodigoBackend(N1033,A1033,VLOOKUP(N1033,setup!$A$8:$H$58,2),VLOOKUP(N1033,setup!$A$8:$H$58,3),VLOOKUP(N1033,setup!$A$8:$H$58,4),VLOOKUP(N1033,setup!$A$8:$H$58,5),VLOOKUP(N1033,setup!$A$8:$H$58,6),VLOOKUP(N1033,setup!$A$8:$H$58,7), VLOOKUP(0,setup!$A$8:$H$58,2),VLOOKUP(0,setup!$A$8:$H$58,5),VLOOKUP(N1033,setup!$A$8:$H$58,8))</f>
        <v xml:space="preserve">        return $retorno;</v>
      </c>
    </row>
    <row r="1034" spans="1:15" x14ac:dyDescent="0.25">
      <c r="A1034" s="29" t="s">
        <v>406</v>
      </c>
      <c r="N1034">
        <f t="shared" si="35"/>
        <v>12</v>
      </c>
      <c r="O1034" s="7" t="str">
        <f ca="1">getCodigoBackend(N1034,A1034,VLOOKUP(N1034,setup!$A$8:$H$58,2),VLOOKUP(N1034,setup!$A$8:$H$58,3),VLOOKUP(N1034,setup!$A$8:$H$58,4),VLOOKUP(N1034,setup!$A$8:$H$58,5),VLOOKUP(N1034,setup!$A$8:$H$58,6),VLOOKUP(N1034,setup!$A$8:$H$58,7), VLOOKUP(0,setup!$A$8:$H$58,2),VLOOKUP(0,setup!$A$8:$H$58,5),VLOOKUP(N1034,setup!$A$8:$H$58,8))</f>
        <v xml:space="preserve">    }</v>
      </c>
    </row>
    <row r="1035" spans="1:15" x14ac:dyDescent="0.25">
      <c r="A1035" s="29"/>
      <c r="O1035" s="7" t="str">
        <f ca="1">getCodigoBackend(N1035,A1035,VLOOKUP(N1035,setup!$A$8:$H$58,2),VLOOKUP(N1035,setup!$A$8:$H$58,3),VLOOKUP(N1035,setup!$A$8:$H$58,4),VLOOKUP(N1035,setup!$A$8:$H$58,5),VLOOKUP(N1035,setup!$A$8:$H$58,6),VLOOKUP(N1035,setup!$A$8:$H$58,7), VLOOKUP(0,setup!$A$8:$H$58,2),VLOOKUP(0,setup!$A$8:$H$58,5),VLOOKUP(N1035,setup!$A$8:$H$58,8))</f>
        <v/>
      </c>
    </row>
    <row r="1036" spans="1:15" x14ac:dyDescent="0.25">
      <c r="A1036" s="6" t="s">
        <v>140</v>
      </c>
      <c r="N1036">
        <f>N1034+1</f>
        <v>13</v>
      </c>
      <c r="O1036" s="7" t="e">
        <f>getCodigoBackend(N1036,A1036,VLOOKUP(N1036,setup!$A$8:$H$58,2),VLOOKUP(N1036,setup!$A$8:$H$58,3),VLOOKUP(N1036,setup!$A$8:$H$58,4),VLOOKUP(N1036,setup!$A$8:$H$58,5),VLOOKUP(N1036,setup!$A$8:$H$58,6),VLOOKUP(N1036,setup!$A$8:$H$58,7), VLOOKUP(0,setup!$A$8:$H$58,2),VLOOKUP(0,setup!$A$8:$H$58,5),VLOOKUP(N1036,setup!$A$8:$H$58,8))</f>
        <v>#VALUE!</v>
      </c>
    </row>
    <row r="1037" spans="1:15" x14ac:dyDescent="0.25">
      <c r="A1037" s="4" t="s">
        <v>781</v>
      </c>
      <c r="N1037">
        <f>N1036</f>
        <v>13</v>
      </c>
      <c r="O1037" s="7" t="e">
        <f>getCodigoBackend(N1037,A1037,VLOOKUP(N1037,setup!$A$8:$H$58,2),VLOOKUP(N1037,setup!$A$8:$H$58,3),VLOOKUP(N1037,setup!$A$8:$H$58,4),VLOOKUP(N1037,setup!$A$8:$H$58,5),VLOOKUP(N1037,setup!$A$8:$H$58,6),VLOOKUP(N1037,setup!$A$8:$H$58,7), VLOOKUP(0,setup!$A$8:$H$58,2),VLOOKUP(0,setup!$A$8:$H$58,5),VLOOKUP(N1037,setup!$A$8:$H$58,8))</f>
        <v>#VALUE!</v>
      </c>
    </row>
    <row r="1038" spans="1:15" x14ac:dyDescent="0.25">
      <c r="A1038" s="4" t="s">
        <v>141</v>
      </c>
      <c r="N1038">
        <f t="shared" ref="N1038:N1050" si="36">N1037</f>
        <v>13</v>
      </c>
      <c r="O1038" s="7" t="e">
        <f>getCodigoBackend(N1038,A1038,VLOOKUP(N1038,setup!$A$8:$H$58,2),VLOOKUP(N1038,setup!$A$8:$H$58,3),VLOOKUP(N1038,setup!$A$8:$H$58,4),VLOOKUP(N1038,setup!$A$8:$H$58,5),VLOOKUP(N1038,setup!$A$8:$H$58,6),VLOOKUP(N1038,setup!$A$8:$H$58,7), VLOOKUP(0,setup!$A$8:$H$58,2),VLOOKUP(0,setup!$A$8:$H$58,5),VLOOKUP(N1038,setup!$A$8:$H$58,8))</f>
        <v>#VALUE!</v>
      </c>
    </row>
    <row r="1039" spans="1:15" x14ac:dyDescent="0.25">
      <c r="A1039" s="6"/>
      <c r="N1039">
        <f t="shared" si="36"/>
        <v>13</v>
      </c>
      <c r="O1039" s="7" t="e">
        <f>getCodigoBackend(N1039,A1039,VLOOKUP(N1039,setup!$A$8:$H$58,2),VLOOKUP(N1039,setup!$A$8:$H$58,3),VLOOKUP(N1039,setup!$A$8:$H$58,4),VLOOKUP(N1039,setup!$A$8:$H$58,5),VLOOKUP(N1039,setup!$A$8:$H$58,6),VLOOKUP(N1039,setup!$A$8:$H$58,7), VLOOKUP(0,setup!$A$8:$H$58,2),VLOOKUP(0,setup!$A$8:$H$58,5),VLOOKUP(N1039,setup!$A$8:$H$58,8))</f>
        <v>#VALUE!</v>
      </c>
    </row>
    <row r="1040" spans="1:15" x14ac:dyDescent="0.25">
      <c r="A1040" s="29" t="s">
        <v>777</v>
      </c>
      <c r="N1040">
        <f t="shared" si="36"/>
        <v>13</v>
      </c>
      <c r="O1040" s="7" t="e">
        <f>getCodigoBackend(N1040,A1040,VLOOKUP(N1040,setup!$A$8:$H$58,2),VLOOKUP(N1040,setup!$A$8:$H$58,3),VLOOKUP(N1040,setup!$A$8:$H$58,4),VLOOKUP(N1040,setup!$A$8:$H$58,5),VLOOKUP(N1040,setup!$A$8:$H$58,6),VLOOKUP(N1040,setup!$A$8:$H$58,7), VLOOKUP(0,setup!$A$8:$H$58,2),VLOOKUP(0,setup!$A$8:$H$58,5),VLOOKUP(N1040,setup!$A$8:$H$58,8))</f>
        <v>#VALUE!</v>
      </c>
    </row>
    <row r="1041" spans="1:15" x14ac:dyDescent="0.25">
      <c r="A1041" s="29" t="s">
        <v>763</v>
      </c>
      <c r="N1041">
        <f t="shared" si="36"/>
        <v>13</v>
      </c>
      <c r="O1041" s="7" t="e">
        <f>getCodigoBackend(N1041,A1041,VLOOKUP(N1041,setup!$A$8:$H$58,2),VLOOKUP(N1041,setup!$A$8:$H$58,3),VLOOKUP(N1041,setup!$A$8:$H$58,4),VLOOKUP(N1041,setup!$A$8:$H$58,5),VLOOKUP(N1041,setup!$A$8:$H$58,6),VLOOKUP(N1041,setup!$A$8:$H$58,7), VLOOKUP(0,setup!$A$8:$H$58,2),VLOOKUP(0,setup!$A$8:$H$58,5),VLOOKUP(N1041,setup!$A$8:$H$58,8))</f>
        <v>#VALUE!</v>
      </c>
    </row>
    <row r="1042" spans="1:15" x14ac:dyDescent="0.25">
      <c r="A1042" s="29" t="s">
        <v>725</v>
      </c>
      <c r="N1042">
        <f t="shared" si="36"/>
        <v>13</v>
      </c>
      <c r="O1042" s="7" t="e">
        <f>getCodigoBackend(N1042,A1042,VLOOKUP(N1042,setup!$A$8:$H$58,2),VLOOKUP(N1042,setup!$A$8:$H$58,3),VLOOKUP(N1042,setup!$A$8:$H$58,4),VLOOKUP(N1042,setup!$A$8:$H$58,5),VLOOKUP(N1042,setup!$A$8:$H$58,6),VLOOKUP(N1042,setup!$A$8:$H$58,7), VLOOKUP(0,setup!$A$8:$H$58,2),VLOOKUP(0,setup!$A$8:$H$58,5),VLOOKUP(N1042,setup!$A$8:$H$58,8))</f>
        <v>#VALUE!</v>
      </c>
    </row>
    <row r="1043" spans="1:15" x14ac:dyDescent="0.25">
      <c r="A1043" s="29" t="s">
        <v>765</v>
      </c>
      <c r="N1043">
        <f t="shared" si="36"/>
        <v>13</v>
      </c>
      <c r="O1043" s="7" t="e">
        <f>getCodigoBackend(N1043,A1043,VLOOKUP(N1043,setup!$A$8:$H$58,2),VLOOKUP(N1043,setup!$A$8:$H$58,3),VLOOKUP(N1043,setup!$A$8:$H$58,4),VLOOKUP(N1043,setup!$A$8:$H$58,5),VLOOKUP(N1043,setup!$A$8:$H$58,6),VLOOKUP(N1043,setup!$A$8:$H$58,7), VLOOKUP(0,setup!$A$8:$H$58,2),VLOOKUP(0,setup!$A$8:$H$58,5),VLOOKUP(N1043,setup!$A$8:$H$58,8))</f>
        <v>#VALUE!</v>
      </c>
    </row>
    <row r="1044" spans="1:15" x14ac:dyDescent="0.25">
      <c r="A1044" s="29" t="s">
        <v>766</v>
      </c>
      <c r="N1044">
        <f t="shared" si="36"/>
        <v>13</v>
      </c>
      <c r="O1044" s="7" t="e">
        <f>getCodigoBackend(N1044,A1044,VLOOKUP(N1044,setup!$A$8:$H$58,2),VLOOKUP(N1044,setup!$A$8:$H$58,3),VLOOKUP(N1044,setup!$A$8:$H$58,4),VLOOKUP(N1044,setup!$A$8:$H$58,5),VLOOKUP(N1044,setup!$A$8:$H$58,6),VLOOKUP(N1044,setup!$A$8:$H$58,7), VLOOKUP(0,setup!$A$8:$H$58,2),VLOOKUP(0,setup!$A$8:$H$58,5),VLOOKUP(N1044,setup!$A$8:$H$58,8))</f>
        <v>#VALUE!</v>
      </c>
    </row>
    <row r="1045" spans="1:15" x14ac:dyDescent="0.25">
      <c r="A1045" s="29" t="s">
        <v>780</v>
      </c>
      <c r="N1045">
        <f t="shared" si="36"/>
        <v>13</v>
      </c>
      <c r="O1045" s="7" t="e">
        <f>getCodigoBackend(N1045,A1045,VLOOKUP(N1045,setup!$A$8:$H$58,2),VLOOKUP(N1045,setup!$A$8:$H$58,3),VLOOKUP(N1045,setup!$A$8:$H$58,4),VLOOKUP(N1045,setup!$A$8:$H$58,5),VLOOKUP(N1045,setup!$A$8:$H$58,6),VLOOKUP(N1045,setup!$A$8:$H$58,7), VLOOKUP(0,setup!$A$8:$H$58,2),VLOOKUP(0,setup!$A$8:$H$58,5),VLOOKUP(N1045,setup!$A$8:$H$58,8))</f>
        <v>#VALUE!</v>
      </c>
    </row>
    <row r="1046" spans="1:15" x14ac:dyDescent="0.25">
      <c r="A1046" s="29" t="s">
        <v>778</v>
      </c>
      <c r="N1046">
        <f t="shared" si="36"/>
        <v>13</v>
      </c>
      <c r="O1046" s="7" t="e">
        <f>getCodigoBackend(N1046,A1046,VLOOKUP(N1046,setup!$A$8:$H$58,2),VLOOKUP(N1046,setup!$A$8:$H$58,3),VLOOKUP(N1046,setup!$A$8:$H$58,4),VLOOKUP(N1046,setup!$A$8:$H$58,5),VLOOKUP(N1046,setup!$A$8:$H$58,6),VLOOKUP(N1046,setup!$A$8:$H$58,7), VLOOKUP(0,setup!$A$8:$H$58,2),VLOOKUP(0,setup!$A$8:$H$58,5),VLOOKUP(N1046,setup!$A$8:$H$58,8))</f>
        <v>#VALUE!</v>
      </c>
    </row>
    <row r="1047" spans="1:15" x14ac:dyDescent="0.25">
      <c r="A1047" s="29" t="s">
        <v>779</v>
      </c>
      <c r="N1047">
        <f t="shared" si="36"/>
        <v>13</v>
      </c>
      <c r="O1047" s="7" t="e">
        <f>getCodigoBackend(N1047,A1047,VLOOKUP(N1047,setup!$A$8:$H$58,2),VLOOKUP(N1047,setup!$A$8:$H$58,3),VLOOKUP(N1047,setup!$A$8:$H$58,4),VLOOKUP(N1047,setup!$A$8:$H$58,5),VLOOKUP(N1047,setup!$A$8:$H$58,6),VLOOKUP(N1047,setup!$A$8:$H$58,7), VLOOKUP(0,setup!$A$8:$H$58,2),VLOOKUP(0,setup!$A$8:$H$58,5),VLOOKUP(N1047,setup!$A$8:$H$58,8))</f>
        <v>#VALUE!</v>
      </c>
    </row>
    <row r="1048" spans="1:15" x14ac:dyDescent="0.25">
      <c r="A1048" s="29" t="s">
        <v>157</v>
      </c>
      <c r="N1048">
        <f t="shared" si="36"/>
        <v>13</v>
      </c>
      <c r="O1048" s="7" t="e">
        <f>getCodigoBackend(N1048,A1048,VLOOKUP(N1048,setup!$A$8:$H$58,2),VLOOKUP(N1048,setup!$A$8:$H$58,3),VLOOKUP(N1048,setup!$A$8:$H$58,4),VLOOKUP(N1048,setup!$A$8:$H$58,5),VLOOKUP(N1048,setup!$A$8:$H$58,6),VLOOKUP(N1048,setup!$A$8:$H$58,7), VLOOKUP(0,setup!$A$8:$H$58,2),VLOOKUP(0,setup!$A$8:$H$58,5),VLOOKUP(N1048,setup!$A$8:$H$58,8))</f>
        <v>#VALUE!</v>
      </c>
    </row>
    <row r="1049" spans="1:15" x14ac:dyDescent="0.25">
      <c r="A1049" s="29" t="s">
        <v>743</v>
      </c>
      <c r="N1049">
        <f t="shared" si="36"/>
        <v>13</v>
      </c>
      <c r="O1049" s="7" t="e">
        <f>getCodigoBackend(N1049,A1049,VLOOKUP(N1049,setup!$A$8:$H$58,2),VLOOKUP(N1049,setup!$A$8:$H$58,3),VLOOKUP(N1049,setup!$A$8:$H$58,4),VLOOKUP(N1049,setup!$A$8:$H$58,5),VLOOKUP(N1049,setup!$A$8:$H$58,6),VLOOKUP(N1049,setup!$A$8:$H$58,7), VLOOKUP(0,setup!$A$8:$H$58,2),VLOOKUP(0,setup!$A$8:$H$58,5),VLOOKUP(N1049,setup!$A$8:$H$58,8))</f>
        <v>#VALUE!</v>
      </c>
    </row>
    <row r="1050" spans="1:15" x14ac:dyDescent="0.25">
      <c r="A1050" s="29" t="s">
        <v>406</v>
      </c>
      <c r="N1050">
        <f t="shared" si="36"/>
        <v>13</v>
      </c>
      <c r="O1050" s="7" t="e">
        <f>getCodigoBackend(N1050,A1050,VLOOKUP(N1050,setup!$A$8:$H$58,2),VLOOKUP(N1050,setup!$A$8:$H$58,3),VLOOKUP(N1050,setup!$A$8:$H$58,4),VLOOKUP(N1050,setup!$A$8:$H$58,5),VLOOKUP(N1050,setup!$A$8:$H$58,6),VLOOKUP(N1050,setup!$A$8:$H$58,7), VLOOKUP(0,setup!$A$8:$H$58,2),VLOOKUP(0,setup!$A$8:$H$58,5),VLOOKUP(N1050,setup!$A$8:$H$58,8))</f>
        <v>#VALUE!</v>
      </c>
    </row>
    <row r="1051" spans="1:15" x14ac:dyDescent="0.25">
      <c r="A1051" s="29"/>
      <c r="O1051" s="7" t="str">
        <f ca="1">getCodigoBackend(N1051,A1051,VLOOKUP(N1051,setup!$A$8:$H$58,2),VLOOKUP(N1051,setup!$A$8:$H$58,3),VLOOKUP(N1051,setup!$A$8:$H$58,4),VLOOKUP(N1051,setup!$A$8:$H$58,5),VLOOKUP(N1051,setup!$A$8:$H$58,6),VLOOKUP(N1051,setup!$A$8:$H$58,7), VLOOKUP(0,setup!$A$8:$H$58,2),VLOOKUP(0,setup!$A$8:$H$58,5),VLOOKUP(N1051,setup!$A$8:$H$58,8))</f>
        <v/>
      </c>
    </row>
    <row r="1052" spans="1:15" x14ac:dyDescent="0.25">
      <c r="A1052" s="6" t="s">
        <v>140</v>
      </c>
      <c r="N1052">
        <f>N1050+1</f>
        <v>14</v>
      </c>
      <c r="O1052" s="7" t="e">
        <f>getCodigoBackend(N1052,A1052,VLOOKUP(N1052,setup!$A$8:$H$58,2),VLOOKUP(N1052,setup!$A$8:$H$58,3),VLOOKUP(N1052,setup!$A$8:$H$58,4),VLOOKUP(N1052,setup!$A$8:$H$58,5),VLOOKUP(N1052,setup!$A$8:$H$58,6),VLOOKUP(N1052,setup!$A$8:$H$58,7), VLOOKUP(0,setup!$A$8:$H$58,2),VLOOKUP(0,setup!$A$8:$H$58,5),VLOOKUP(N1052,setup!$A$8:$H$58,8))</f>
        <v>#VALUE!</v>
      </c>
    </row>
    <row r="1053" spans="1:15" x14ac:dyDescent="0.25">
      <c r="A1053" s="4" t="s">
        <v>781</v>
      </c>
      <c r="N1053">
        <f>N1052</f>
        <v>14</v>
      </c>
      <c r="O1053" s="7" t="e">
        <f>getCodigoBackend(N1053,A1053,VLOOKUP(N1053,setup!$A$8:$H$58,2),VLOOKUP(N1053,setup!$A$8:$H$58,3),VLOOKUP(N1053,setup!$A$8:$H$58,4),VLOOKUP(N1053,setup!$A$8:$H$58,5),VLOOKUP(N1053,setup!$A$8:$H$58,6),VLOOKUP(N1053,setup!$A$8:$H$58,7), VLOOKUP(0,setup!$A$8:$H$58,2),VLOOKUP(0,setup!$A$8:$H$58,5),VLOOKUP(N1053,setup!$A$8:$H$58,8))</f>
        <v>#VALUE!</v>
      </c>
    </row>
    <row r="1054" spans="1:15" x14ac:dyDescent="0.25">
      <c r="A1054" s="4" t="s">
        <v>141</v>
      </c>
      <c r="N1054">
        <f t="shared" ref="N1054:N1066" si="37">N1053</f>
        <v>14</v>
      </c>
      <c r="O1054" s="7" t="e">
        <f>getCodigoBackend(N1054,A1054,VLOOKUP(N1054,setup!$A$8:$H$58,2),VLOOKUP(N1054,setup!$A$8:$H$58,3),VLOOKUP(N1054,setup!$A$8:$H$58,4),VLOOKUP(N1054,setup!$A$8:$H$58,5),VLOOKUP(N1054,setup!$A$8:$H$58,6),VLOOKUP(N1054,setup!$A$8:$H$58,7), VLOOKUP(0,setup!$A$8:$H$58,2),VLOOKUP(0,setup!$A$8:$H$58,5),VLOOKUP(N1054,setup!$A$8:$H$58,8))</f>
        <v>#VALUE!</v>
      </c>
    </row>
    <row r="1055" spans="1:15" x14ac:dyDescent="0.25">
      <c r="A1055" s="6"/>
      <c r="N1055">
        <f t="shared" si="37"/>
        <v>14</v>
      </c>
      <c r="O1055" s="7" t="e">
        <f>getCodigoBackend(N1055,A1055,VLOOKUP(N1055,setup!$A$8:$H$58,2),VLOOKUP(N1055,setup!$A$8:$H$58,3),VLOOKUP(N1055,setup!$A$8:$H$58,4),VLOOKUP(N1055,setup!$A$8:$H$58,5),VLOOKUP(N1055,setup!$A$8:$H$58,6),VLOOKUP(N1055,setup!$A$8:$H$58,7), VLOOKUP(0,setup!$A$8:$H$58,2),VLOOKUP(0,setup!$A$8:$H$58,5),VLOOKUP(N1055,setup!$A$8:$H$58,8))</f>
        <v>#VALUE!</v>
      </c>
    </row>
    <row r="1056" spans="1:15" x14ac:dyDescent="0.25">
      <c r="A1056" s="29" t="s">
        <v>777</v>
      </c>
      <c r="N1056">
        <f t="shared" si="37"/>
        <v>14</v>
      </c>
      <c r="O1056" s="7" t="e">
        <f>getCodigoBackend(N1056,A1056,VLOOKUP(N1056,setup!$A$8:$H$58,2),VLOOKUP(N1056,setup!$A$8:$H$58,3),VLOOKUP(N1056,setup!$A$8:$H$58,4),VLOOKUP(N1056,setup!$A$8:$H$58,5),VLOOKUP(N1056,setup!$A$8:$H$58,6),VLOOKUP(N1056,setup!$A$8:$H$58,7), VLOOKUP(0,setup!$A$8:$H$58,2),VLOOKUP(0,setup!$A$8:$H$58,5),VLOOKUP(N1056,setup!$A$8:$H$58,8))</f>
        <v>#VALUE!</v>
      </c>
    </row>
    <row r="1057" spans="1:15" x14ac:dyDescent="0.25">
      <c r="A1057" s="29" t="s">
        <v>763</v>
      </c>
      <c r="N1057">
        <f t="shared" si="37"/>
        <v>14</v>
      </c>
      <c r="O1057" s="7" t="e">
        <f>getCodigoBackend(N1057,A1057,VLOOKUP(N1057,setup!$A$8:$H$58,2),VLOOKUP(N1057,setup!$A$8:$H$58,3),VLOOKUP(N1057,setup!$A$8:$H$58,4),VLOOKUP(N1057,setup!$A$8:$H$58,5),VLOOKUP(N1057,setup!$A$8:$H$58,6),VLOOKUP(N1057,setup!$A$8:$H$58,7), VLOOKUP(0,setup!$A$8:$H$58,2),VLOOKUP(0,setup!$A$8:$H$58,5),VLOOKUP(N1057,setup!$A$8:$H$58,8))</f>
        <v>#VALUE!</v>
      </c>
    </row>
    <row r="1058" spans="1:15" x14ac:dyDescent="0.25">
      <c r="A1058" s="29" t="s">
        <v>725</v>
      </c>
      <c r="N1058">
        <f t="shared" si="37"/>
        <v>14</v>
      </c>
      <c r="O1058" s="7" t="e">
        <f>getCodigoBackend(N1058,A1058,VLOOKUP(N1058,setup!$A$8:$H$58,2),VLOOKUP(N1058,setup!$A$8:$H$58,3),VLOOKUP(N1058,setup!$A$8:$H$58,4),VLOOKUP(N1058,setup!$A$8:$H$58,5),VLOOKUP(N1058,setup!$A$8:$H$58,6),VLOOKUP(N1058,setup!$A$8:$H$58,7), VLOOKUP(0,setup!$A$8:$H$58,2),VLOOKUP(0,setup!$A$8:$H$58,5),VLOOKUP(N1058,setup!$A$8:$H$58,8))</f>
        <v>#VALUE!</v>
      </c>
    </row>
    <row r="1059" spans="1:15" x14ac:dyDescent="0.25">
      <c r="A1059" s="29" t="s">
        <v>765</v>
      </c>
      <c r="N1059">
        <f t="shared" si="37"/>
        <v>14</v>
      </c>
      <c r="O1059" s="7" t="e">
        <f>getCodigoBackend(N1059,A1059,VLOOKUP(N1059,setup!$A$8:$H$58,2),VLOOKUP(N1059,setup!$A$8:$H$58,3),VLOOKUP(N1059,setup!$A$8:$H$58,4),VLOOKUP(N1059,setup!$A$8:$H$58,5),VLOOKUP(N1059,setup!$A$8:$H$58,6),VLOOKUP(N1059,setup!$A$8:$H$58,7), VLOOKUP(0,setup!$A$8:$H$58,2),VLOOKUP(0,setup!$A$8:$H$58,5),VLOOKUP(N1059,setup!$A$8:$H$58,8))</f>
        <v>#VALUE!</v>
      </c>
    </row>
    <row r="1060" spans="1:15" x14ac:dyDescent="0.25">
      <c r="A1060" s="29" t="s">
        <v>766</v>
      </c>
      <c r="N1060">
        <f t="shared" si="37"/>
        <v>14</v>
      </c>
      <c r="O1060" s="7" t="e">
        <f>getCodigoBackend(N1060,A1060,VLOOKUP(N1060,setup!$A$8:$H$58,2),VLOOKUP(N1060,setup!$A$8:$H$58,3),VLOOKUP(N1060,setup!$A$8:$H$58,4),VLOOKUP(N1060,setup!$A$8:$H$58,5),VLOOKUP(N1060,setup!$A$8:$H$58,6),VLOOKUP(N1060,setup!$A$8:$H$58,7), VLOOKUP(0,setup!$A$8:$H$58,2),VLOOKUP(0,setup!$A$8:$H$58,5),VLOOKUP(N1060,setup!$A$8:$H$58,8))</f>
        <v>#VALUE!</v>
      </c>
    </row>
    <row r="1061" spans="1:15" x14ac:dyDescent="0.25">
      <c r="A1061" s="29" t="s">
        <v>780</v>
      </c>
      <c r="N1061">
        <f t="shared" si="37"/>
        <v>14</v>
      </c>
      <c r="O1061" s="7" t="e">
        <f>getCodigoBackend(N1061,A1061,VLOOKUP(N1061,setup!$A$8:$H$58,2),VLOOKUP(N1061,setup!$A$8:$H$58,3),VLOOKUP(N1061,setup!$A$8:$H$58,4),VLOOKUP(N1061,setup!$A$8:$H$58,5),VLOOKUP(N1061,setup!$A$8:$H$58,6),VLOOKUP(N1061,setup!$A$8:$H$58,7), VLOOKUP(0,setup!$A$8:$H$58,2),VLOOKUP(0,setup!$A$8:$H$58,5),VLOOKUP(N1061,setup!$A$8:$H$58,8))</f>
        <v>#VALUE!</v>
      </c>
    </row>
    <row r="1062" spans="1:15" x14ac:dyDescent="0.25">
      <c r="A1062" s="29" t="s">
        <v>778</v>
      </c>
      <c r="N1062">
        <f t="shared" si="37"/>
        <v>14</v>
      </c>
      <c r="O1062" s="7" t="e">
        <f>getCodigoBackend(N1062,A1062,VLOOKUP(N1062,setup!$A$8:$H$58,2),VLOOKUP(N1062,setup!$A$8:$H$58,3),VLOOKUP(N1062,setup!$A$8:$H$58,4),VLOOKUP(N1062,setup!$A$8:$H$58,5),VLOOKUP(N1062,setup!$A$8:$H$58,6),VLOOKUP(N1062,setup!$A$8:$H$58,7), VLOOKUP(0,setup!$A$8:$H$58,2),VLOOKUP(0,setup!$A$8:$H$58,5),VLOOKUP(N1062,setup!$A$8:$H$58,8))</f>
        <v>#VALUE!</v>
      </c>
    </row>
    <row r="1063" spans="1:15" x14ac:dyDescent="0.25">
      <c r="A1063" s="29" t="s">
        <v>779</v>
      </c>
      <c r="N1063">
        <f t="shared" si="37"/>
        <v>14</v>
      </c>
      <c r="O1063" s="7" t="e">
        <f>getCodigoBackend(N1063,A1063,VLOOKUP(N1063,setup!$A$8:$H$58,2),VLOOKUP(N1063,setup!$A$8:$H$58,3),VLOOKUP(N1063,setup!$A$8:$H$58,4),VLOOKUP(N1063,setup!$A$8:$H$58,5),VLOOKUP(N1063,setup!$A$8:$H$58,6),VLOOKUP(N1063,setup!$A$8:$H$58,7), VLOOKUP(0,setup!$A$8:$H$58,2),VLOOKUP(0,setup!$A$8:$H$58,5),VLOOKUP(N1063,setup!$A$8:$H$58,8))</f>
        <v>#VALUE!</v>
      </c>
    </row>
    <row r="1064" spans="1:15" x14ac:dyDescent="0.25">
      <c r="A1064" s="29" t="s">
        <v>157</v>
      </c>
      <c r="N1064">
        <f t="shared" si="37"/>
        <v>14</v>
      </c>
      <c r="O1064" s="7" t="e">
        <f>getCodigoBackend(N1064,A1064,VLOOKUP(N1064,setup!$A$8:$H$58,2),VLOOKUP(N1064,setup!$A$8:$H$58,3),VLOOKUP(N1064,setup!$A$8:$H$58,4),VLOOKUP(N1064,setup!$A$8:$H$58,5),VLOOKUP(N1064,setup!$A$8:$H$58,6),VLOOKUP(N1064,setup!$A$8:$H$58,7), VLOOKUP(0,setup!$A$8:$H$58,2),VLOOKUP(0,setup!$A$8:$H$58,5),VLOOKUP(N1064,setup!$A$8:$H$58,8))</f>
        <v>#VALUE!</v>
      </c>
    </row>
    <row r="1065" spans="1:15" x14ac:dyDescent="0.25">
      <c r="A1065" s="29" t="s">
        <v>743</v>
      </c>
      <c r="N1065">
        <f t="shared" si="37"/>
        <v>14</v>
      </c>
      <c r="O1065" s="7" t="e">
        <f>getCodigoBackend(N1065,A1065,VLOOKUP(N1065,setup!$A$8:$H$58,2),VLOOKUP(N1065,setup!$A$8:$H$58,3),VLOOKUP(N1065,setup!$A$8:$H$58,4),VLOOKUP(N1065,setup!$A$8:$H$58,5),VLOOKUP(N1065,setup!$A$8:$H$58,6),VLOOKUP(N1065,setup!$A$8:$H$58,7), VLOOKUP(0,setup!$A$8:$H$58,2),VLOOKUP(0,setup!$A$8:$H$58,5),VLOOKUP(N1065,setup!$A$8:$H$58,8))</f>
        <v>#VALUE!</v>
      </c>
    </row>
    <row r="1066" spans="1:15" x14ac:dyDescent="0.25">
      <c r="A1066" s="29" t="s">
        <v>406</v>
      </c>
      <c r="N1066">
        <f t="shared" si="37"/>
        <v>14</v>
      </c>
      <c r="O1066" s="7" t="e">
        <f>getCodigoBackend(N1066,A1066,VLOOKUP(N1066,setup!$A$8:$H$58,2),VLOOKUP(N1066,setup!$A$8:$H$58,3),VLOOKUP(N1066,setup!$A$8:$H$58,4),VLOOKUP(N1066,setup!$A$8:$H$58,5),VLOOKUP(N1066,setup!$A$8:$H$58,6),VLOOKUP(N1066,setup!$A$8:$H$58,7), VLOOKUP(0,setup!$A$8:$H$58,2),VLOOKUP(0,setup!$A$8:$H$58,5),VLOOKUP(N1066,setup!$A$8:$H$58,8))</f>
        <v>#VALUE!</v>
      </c>
    </row>
    <row r="1067" spans="1:15" x14ac:dyDescent="0.25">
      <c r="A1067" s="29"/>
      <c r="O1067" s="7" t="str">
        <f ca="1">getCodigoBackend(N1067,A1067,VLOOKUP(N1067,setup!$A$8:$H$58,2),VLOOKUP(N1067,setup!$A$8:$H$58,3),VLOOKUP(N1067,setup!$A$8:$H$58,4),VLOOKUP(N1067,setup!$A$8:$H$58,5),VLOOKUP(N1067,setup!$A$8:$H$58,6),VLOOKUP(N1067,setup!$A$8:$H$58,7), VLOOKUP(0,setup!$A$8:$H$58,2),VLOOKUP(0,setup!$A$8:$H$58,5),VLOOKUP(N1067,setup!$A$8:$H$58,8))</f>
        <v/>
      </c>
    </row>
    <row r="1068" spans="1:15" x14ac:dyDescent="0.25">
      <c r="A1068" s="6" t="s">
        <v>140</v>
      </c>
      <c r="N1068">
        <f>N1066+1</f>
        <v>15</v>
      </c>
      <c r="O1068" s="7" t="e">
        <f>getCodigoBackend(N1068,A1068,VLOOKUP(N1068,setup!$A$8:$H$58,2),VLOOKUP(N1068,setup!$A$8:$H$58,3),VLOOKUP(N1068,setup!$A$8:$H$58,4),VLOOKUP(N1068,setup!$A$8:$H$58,5),VLOOKUP(N1068,setup!$A$8:$H$58,6),VLOOKUP(N1068,setup!$A$8:$H$58,7), VLOOKUP(0,setup!$A$8:$H$58,2),VLOOKUP(0,setup!$A$8:$H$58,5),VLOOKUP(N1068,setup!$A$8:$H$58,8))</f>
        <v>#VALUE!</v>
      </c>
    </row>
    <row r="1069" spans="1:15" x14ac:dyDescent="0.25">
      <c r="A1069" s="4" t="s">
        <v>781</v>
      </c>
      <c r="N1069">
        <f>N1068</f>
        <v>15</v>
      </c>
      <c r="O1069" s="7" t="e">
        <f>getCodigoBackend(N1069,A1069,VLOOKUP(N1069,setup!$A$8:$H$58,2),VLOOKUP(N1069,setup!$A$8:$H$58,3),VLOOKUP(N1069,setup!$A$8:$H$58,4),VLOOKUP(N1069,setup!$A$8:$H$58,5),VLOOKUP(N1069,setup!$A$8:$H$58,6),VLOOKUP(N1069,setup!$A$8:$H$58,7), VLOOKUP(0,setup!$A$8:$H$58,2),VLOOKUP(0,setup!$A$8:$H$58,5),VLOOKUP(N1069,setup!$A$8:$H$58,8))</f>
        <v>#VALUE!</v>
      </c>
    </row>
    <row r="1070" spans="1:15" x14ac:dyDescent="0.25">
      <c r="A1070" s="4" t="s">
        <v>141</v>
      </c>
      <c r="N1070">
        <f t="shared" ref="N1070:N1082" si="38">N1069</f>
        <v>15</v>
      </c>
      <c r="O1070" s="7" t="e">
        <f>getCodigoBackend(N1070,A1070,VLOOKUP(N1070,setup!$A$8:$H$58,2),VLOOKUP(N1070,setup!$A$8:$H$58,3),VLOOKUP(N1070,setup!$A$8:$H$58,4),VLOOKUP(N1070,setup!$A$8:$H$58,5),VLOOKUP(N1070,setup!$A$8:$H$58,6),VLOOKUP(N1070,setup!$A$8:$H$58,7), VLOOKUP(0,setup!$A$8:$H$58,2),VLOOKUP(0,setup!$A$8:$H$58,5),VLOOKUP(N1070,setup!$A$8:$H$58,8))</f>
        <v>#VALUE!</v>
      </c>
    </row>
    <row r="1071" spans="1:15" x14ac:dyDescent="0.25">
      <c r="A1071" s="6"/>
      <c r="N1071">
        <f t="shared" si="38"/>
        <v>15</v>
      </c>
      <c r="O1071" s="7" t="e">
        <f>getCodigoBackend(N1071,A1071,VLOOKUP(N1071,setup!$A$8:$H$58,2),VLOOKUP(N1071,setup!$A$8:$H$58,3),VLOOKUP(N1071,setup!$A$8:$H$58,4),VLOOKUP(N1071,setup!$A$8:$H$58,5),VLOOKUP(N1071,setup!$A$8:$H$58,6),VLOOKUP(N1071,setup!$A$8:$H$58,7), VLOOKUP(0,setup!$A$8:$H$58,2),VLOOKUP(0,setup!$A$8:$H$58,5),VLOOKUP(N1071,setup!$A$8:$H$58,8))</f>
        <v>#VALUE!</v>
      </c>
    </row>
    <row r="1072" spans="1:15" x14ac:dyDescent="0.25">
      <c r="A1072" s="29" t="s">
        <v>777</v>
      </c>
      <c r="N1072">
        <f t="shared" si="38"/>
        <v>15</v>
      </c>
      <c r="O1072" s="7" t="e">
        <f>getCodigoBackend(N1072,A1072,VLOOKUP(N1072,setup!$A$8:$H$58,2),VLOOKUP(N1072,setup!$A$8:$H$58,3),VLOOKUP(N1072,setup!$A$8:$H$58,4),VLOOKUP(N1072,setup!$A$8:$H$58,5),VLOOKUP(N1072,setup!$A$8:$H$58,6),VLOOKUP(N1072,setup!$A$8:$H$58,7), VLOOKUP(0,setup!$A$8:$H$58,2),VLOOKUP(0,setup!$A$8:$H$58,5),VLOOKUP(N1072,setup!$A$8:$H$58,8))</f>
        <v>#VALUE!</v>
      </c>
    </row>
    <row r="1073" spans="1:15" x14ac:dyDescent="0.25">
      <c r="A1073" s="29" t="s">
        <v>763</v>
      </c>
      <c r="N1073">
        <f t="shared" si="38"/>
        <v>15</v>
      </c>
      <c r="O1073" s="7" t="e">
        <f>getCodigoBackend(N1073,A1073,VLOOKUP(N1073,setup!$A$8:$H$58,2),VLOOKUP(N1073,setup!$A$8:$H$58,3),VLOOKUP(N1073,setup!$A$8:$H$58,4),VLOOKUP(N1073,setup!$A$8:$H$58,5),VLOOKUP(N1073,setup!$A$8:$H$58,6),VLOOKUP(N1073,setup!$A$8:$H$58,7), VLOOKUP(0,setup!$A$8:$H$58,2),VLOOKUP(0,setup!$A$8:$H$58,5),VLOOKUP(N1073,setup!$A$8:$H$58,8))</f>
        <v>#VALUE!</v>
      </c>
    </row>
    <row r="1074" spans="1:15" x14ac:dyDescent="0.25">
      <c r="A1074" s="29" t="s">
        <v>725</v>
      </c>
      <c r="N1074">
        <f t="shared" si="38"/>
        <v>15</v>
      </c>
      <c r="O1074" s="7" t="e">
        <f>getCodigoBackend(N1074,A1074,VLOOKUP(N1074,setup!$A$8:$H$58,2),VLOOKUP(N1074,setup!$A$8:$H$58,3),VLOOKUP(N1074,setup!$A$8:$H$58,4),VLOOKUP(N1074,setup!$A$8:$H$58,5),VLOOKUP(N1074,setup!$A$8:$H$58,6),VLOOKUP(N1074,setup!$A$8:$H$58,7), VLOOKUP(0,setup!$A$8:$H$58,2),VLOOKUP(0,setup!$A$8:$H$58,5),VLOOKUP(N1074,setup!$A$8:$H$58,8))</f>
        <v>#VALUE!</v>
      </c>
    </row>
    <row r="1075" spans="1:15" x14ac:dyDescent="0.25">
      <c r="A1075" s="29" t="s">
        <v>765</v>
      </c>
      <c r="N1075">
        <f t="shared" si="38"/>
        <v>15</v>
      </c>
      <c r="O1075" s="7" t="e">
        <f>getCodigoBackend(N1075,A1075,VLOOKUP(N1075,setup!$A$8:$H$58,2),VLOOKUP(N1075,setup!$A$8:$H$58,3),VLOOKUP(N1075,setup!$A$8:$H$58,4),VLOOKUP(N1075,setup!$A$8:$H$58,5),VLOOKUP(N1075,setup!$A$8:$H$58,6),VLOOKUP(N1075,setup!$A$8:$H$58,7), VLOOKUP(0,setup!$A$8:$H$58,2),VLOOKUP(0,setup!$A$8:$H$58,5),VLOOKUP(N1075,setup!$A$8:$H$58,8))</f>
        <v>#VALUE!</v>
      </c>
    </row>
    <row r="1076" spans="1:15" x14ac:dyDescent="0.25">
      <c r="A1076" s="29" t="s">
        <v>766</v>
      </c>
      <c r="N1076">
        <f t="shared" si="38"/>
        <v>15</v>
      </c>
      <c r="O1076" s="7" t="e">
        <f>getCodigoBackend(N1076,A1076,VLOOKUP(N1076,setup!$A$8:$H$58,2),VLOOKUP(N1076,setup!$A$8:$H$58,3),VLOOKUP(N1076,setup!$A$8:$H$58,4),VLOOKUP(N1076,setup!$A$8:$H$58,5),VLOOKUP(N1076,setup!$A$8:$H$58,6),VLOOKUP(N1076,setup!$A$8:$H$58,7), VLOOKUP(0,setup!$A$8:$H$58,2),VLOOKUP(0,setup!$A$8:$H$58,5),VLOOKUP(N1076,setup!$A$8:$H$58,8))</f>
        <v>#VALUE!</v>
      </c>
    </row>
    <row r="1077" spans="1:15" x14ac:dyDescent="0.25">
      <c r="A1077" s="29" t="s">
        <v>780</v>
      </c>
      <c r="N1077">
        <f t="shared" si="38"/>
        <v>15</v>
      </c>
      <c r="O1077" s="7" t="e">
        <f>getCodigoBackend(N1077,A1077,VLOOKUP(N1077,setup!$A$8:$H$58,2),VLOOKUP(N1077,setup!$A$8:$H$58,3),VLOOKUP(N1077,setup!$A$8:$H$58,4),VLOOKUP(N1077,setup!$A$8:$H$58,5),VLOOKUP(N1077,setup!$A$8:$H$58,6),VLOOKUP(N1077,setup!$A$8:$H$58,7), VLOOKUP(0,setup!$A$8:$H$58,2),VLOOKUP(0,setup!$A$8:$H$58,5),VLOOKUP(N1077,setup!$A$8:$H$58,8))</f>
        <v>#VALUE!</v>
      </c>
    </row>
    <row r="1078" spans="1:15" x14ac:dyDescent="0.25">
      <c r="A1078" s="29" t="s">
        <v>778</v>
      </c>
      <c r="N1078">
        <f t="shared" si="38"/>
        <v>15</v>
      </c>
      <c r="O1078" s="7" t="e">
        <f>getCodigoBackend(N1078,A1078,VLOOKUP(N1078,setup!$A$8:$H$58,2),VLOOKUP(N1078,setup!$A$8:$H$58,3),VLOOKUP(N1078,setup!$A$8:$H$58,4),VLOOKUP(N1078,setup!$A$8:$H$58,5),VLOOKUP(N1078,setup!$A$8:$H$58,6),VLOOKUP(N1078,setup!$A$8:$H$58,7), VLOOKUP(0,setup!$A$8:$H$58,2),VLOOKUP(0,setup!$A$8:$H$58,5),VLOOKUP(N1078,setup!$A$8:$H$58,8))</f>
        <v>#VALUE!</v>
      </c>
    </row>
    <row r="1079" spans="1:15" x14ac:dyDescent="0.25">
      <c r="A1079" s="29" t="s">
        <v>779</v>
      </c>
      <c r="N1079">
        <f t="shared" si="38"/>
        <v>15</v>
      </c>
      <c r="O1079" s="7" t="e">
        <f>getCodigoBackend(N1079,A1079,VLOOKUP(N1079,setup!$A$8:$H$58,2),VLOOKUP(N1079,setup!$A$8:$H$58,3),VLOOKUP(N1079,setup!$A$8:$H$58,4),VLOOKUP(N1079,setup!$A$8:$H$58,5),VLOOKUP(N1079,setup!$A$8:$H$58,6),VLOOKUP(N1079,setup!$A$8:$H$58,7), VLOOKUP(0,setup!$A$8:$H$58,2),VLOOKUP(0,setup!$A$8:$H$58,5),VLOOKUP(N1079,setup!$A$8:$H$58,8))</f>
        <v>#VALUE!</v>
      </c>
    </row>
    <row r="1080" spans="1:15" x14ac:dyDescent="0.25">
      <c r="A1080" s="29" t="s">
        <v>157</v>
      </c>
      <c r="N1080">
        <f t="shared" si="38"/>
        <v>15</v>
      </c>
      <c r="O1080" s="7" t="e">
        <f>getCodigoBackend(N1080,A1080,VLOOKUP(N1080,setup!$A$8:$H$58,2),VLOOKUP(N1080,setup!$A$8:$H$58,3),VLOOKUP(N1080,setup!$A$8:$H$58,4),VLOOKUP(N1080,setup!$A$8:$H$58,5),VLOOKUP(N1080,setup!$A$8:$H$58,6),VLOOKUP(N1080,setup!$A$8:$H$58,7), VLOOKUP(0,setup!$A$8:$H$58,2),VLOOKUP(0,setup!$A$8:$H$58,5),VLOOKUP(N1080,setup!$A$8:$H$58,8))</f>
        <v>#VALUE!</v>
      </c>
    </row>
    <row r="1081" spans="1:15" x14ac:dyDescent="0.25">
      <c r="A1081" s="29" t="s">
        <v>743</v>
      </c>
      <c r="N1081">
        <f t="shared" si="38"/>
        <v>15</v>
      </c>
      <c r="O1081" s="7" t="e">
        <f>getCodigoBackend(N1081,A1081,VLOOKUP(N1081,setup!$A$8:$H$58,2),VLOOKUP(N1081,setup!$A$8:$H$58,3),VLOOKUP(N1081,setup!$A$8:$H$58,4),VLOOKUP(N1081,setup!$A$8:$H$58,5),VLOOKUP(N1081,setup!$A$8:$H$58,6),VLOOKUP(N1081,setup!$A$8:$H$58,7), VLOOKUP(0,setup!$A$8:$H$58,2),VLOOKUP(0,setup!$A$8:$H$58,5),VLOOKUP(N1081,setup!$A$8:$H$58,8))</f>
        <v>#VALUE!</v>
      </c>
    </row>
    <row r="1082" spans="1:15" x14ac:dyDescent="0.25">
      <c r="A1082" s="29" t="s">
        <v>406</v>
      </c>
      <c r="N1082">
        <f t="shared" si="38"/>
        <v>15</v>
      </c>
      <c r="O1082" s="7" t="e">
        <f>getCodigoBackend(N1082,A1082,VLOOKUP(N1082,setup!$A$8:$H$58,2),VLOOKUP(N1082,setup!$A$8:$H$58,3),VLOOKUP(N1082,setup!$A$8:$H$58,4),VLOOKUP(N1082,setup!$A$8:$H$58,5),VLOOKUP(N1082,setup!$A$8:$H$58,6),VLOOKUP(N1082,setup!$A$8:$H$58,7), VLOOKUP(0,setup!$A$8:$H$58,2),VLOOKUP(0,setup!$A$8:$H$58,5),VLOOKUP(N1082,setup!$A$8:$H$58,8))</f>
        <v>#VALUE!</v>
      </c>
    </row>
    <row r="1083" spans="1:15" x14ac:dyDescent="0.25">
      <c r="A1083" s="29"/>
      <c r="O1083" s="7" t="str">
        <f ca="1">getCodigoBackend(N1083,A1083,VLOOKUP(N1083,setup!$A$8:$H$58,2),VLOOKUP(N1083,setup!$A$8:$H$58,3),VLOOKUP(N1083,setup!$A$8:$H$58,4),VLOOKUP(N1083,setup!$A$8:$H$58,5),VLOOKUP(N1083,setup!$A$8:$H$58,6),VLOOKUP(N1083,setup!$A$8:$H$58,7), VLOOKUP(0,setup!$A$8:$H$58,2),VLOOKUP(0,setup!$A$8:$H$58,5),VLOOKUP(N1083,setup!$A$8:$H$58,8))</f>
        <v/>
      </c>
    </row>
    <row r="1084" spans="1:15" x14ac:dyDescent="0.25">
      <c r="A1084" s="6" t="s">
        <v>140</v>
      </c>
      <c r="N1084">
        <v>48</v>
      </c>
      <c r="O1084" s="7" t="str">
        <f ca="1">getCodigoBackend(N1084,A1084,VLOOKUP(N1084,setup!$A$8:$H$58,2),VLOOKUP(N1084,setup!$A$8:$H$58,3),VLOOKUP(N1084,setup!$A$8:$H$58,4),VLOOKUP(N1084,setup!$A$8:$H$58,5),VLOOKUP(N1084,setup!$A$8:$H$58,6),VLOOKUP(N1084,setup!$A$8:$H$58,7), VLOOKUP(0,setup!$A$8:$H$58,2),VLOOKUP(0,setup!$A$8:$H$58,5),VLOOKUP(N1084,setup!$A$8:$H$58,8))</f>
        <v>    /**</v>
      </c>
    </row>
    <row r="1085" spans="1:15" x14ac:dyDescent="0.25">
      <c r="A1085" s="4" t="s">
        <v>781</v>
      </c>
      <c r="N1085">
        <v>48</v>
      </c>
      <c r="O1085" s="7" t="str">
        <f ca="1">getCodigoBackend(N1085,A1085,VLOOKUP(N1085,setup!$A$8:$H$58,2),VLOOKUP(N1085,setup!$A$8:$H$58,3),VLOOKUP(N1085,setup!$A$8:$H$58,4),VLOOKUP(N1085,setup!$A$8:$H$58,5),VLOOKUP(N1085,setup!$A$8:$H$58,6),VLOOKUP(N1085,setup!$A$8:$H$58,7), VLOOKUP(0,setup!$A$8:$H$58,2),VLOOKUP(0,setup!$A$8:$H$58,5),VLOOKUP(N1085,setup!$A$8:$H$58,8))</f>
        <v>    * loadStatus() - implementação da assinatura em CampanhaCashbackResgatePixDAO</v>
      </c>
    </row>
    <row r="1086" spans="1:15" x14ac:dyDescent="0.25">
      <c r="A1086" s="4" t="s">
        <v>141</v>
      </c>
      <c r="N1086">
        <v>48</v>
      </c>
      <c r="O1086" s="7" t="str">
        <f ca="1">getCodigoBackend(N1086,A1086,VLOOKUP(N1086,setup!$A$8:$H$58,2),VLOOKUP(N1086,setup!$A$8:$H$58,3),VLOOKUP(N1086,setup!$A$8:$H$58,4),VLOOKUP(N1086,setup!$A$8:$H$58,5),VLOOKUP(N1086,setup!$A$8:$H$58,6),VLOOKUP(N1086,setup!$A$8:$H$58,7), VLOOKUP(0,setup!$A$8:$H$58,2),VLOOKUP(0,setup!$A$8:$H$58,5),VLOOKUP(N1086,setup!$A$8:$H$58,8))</f>
        <v>    */</v>
      </c>
    </row>
    <row r="1087" spans="1:15" x14ac:dyDescent="0.25">
      <c r="A1087" s="6"/>
      <c r="N1087">
        <v>48</v>
      </c>
      <c r="O1087" s="7" t="str">
        <f ca="1">getCodigoBackend(N1087,A1087,VLOOKUP(N1087,setup!$A$8:$H$58,2),VLOOKUP(N1087,setup!$A$8:$H$58,3),VLOOKUP(N1087,setup!$A$8:$H$58,4),VLOOKUP(N1087,setup!$A$8:$H$58,5),VLOOKUP(N1087,setup!$A$8:$H$58,6),VLOOKUP(N1087,setup!$A$8:$H$58,7), VLOOKUP(0,setup!$A$8:$H$58,2),VLOOKUP(0,setup!$A$8:$H$58,5),VLOOKUP(N1087,setup!$A$8:$H$58,8))</f>
        <v/>
      </c>
    </row>
    <row r="1088" spans="1:15" x14ac:dyDescent="0.25">
      <c r="A1088" s="29" t="s">
        <v>777</v>
      </c>
      <c r="N1088">
        <v>48</v>
      </c>
      <c r="O1088" s="7" t="str">
        <f ca="1">getCodigoBackend(N1088,A1088,VLOOKUP(N1088,setup!$A$8:$H$58,2),VLOOKUP(N1088,setup!$A$8:$H$58,3),VLOOKUP(N1088,setup!$A$8:$H$58,4),VLOOKUP(N1088,setup!$A$8:$H$58,5),VLOOKUP(N1088,setup!$A$8:$H$58,6),VLOOKUP(N1088,setup!$A$8:$H$58,7), VLOOKUP(0,setup!$A$8:$H$58,2),VLOOKUP(0,setup!$A$8:$H$58,5),VLOOKUP(N1088,setup!$A$8:$H$58,8))</f>
        <v xml:space="preserve">    public function loadStatus($status)</v>
      </c>
    </row>
    <row r="1089" spans="1:15" x14ac:dyDescent="0.25">
      <c r="A1089" s="29" t="s">
        <v>763</v>
      </c>
      <c r="N1089">
        <v>48</v>
      </c>
      <c r="O1089" s="7" t="str">
        <f ca="1">getCodigoBackend(N1089,A1089,VLOOKUP(N1089,setup!$A$8:$H$58,2),VLOOKUP(N1089,setup!$A$8:$H$58,3),VLOOKUP(N1089,setup!$A$8:$H$58,4),VLOOKUP(N1089,setup!$A$8:$H$58,5),VLOOKUP(N1089,setup!$A$8:$H$58,6),VLOOKUP(N1089,setup!$A$8:$H$58,7), VLOOKUP(0,setup!$A$8:$H$58,2),VLOOKUP(0,setup!$A$8:$H$58,5),VLOOKUP(N1089,setup!$A$8:$H$58,8))</f>
        <v xml:space="preserve">    {   </v>
      </c>
    </row>
    <row r="1090" spans="1:15" x14ac:dyDescent="0.25">
      <c r="A1090" s="29" t="s">
        <v>725</v>
      </c>
      <c r="N1090">
        <v>48</v>
      </c>
      <c r="O1090" s="7" t="str">
        <f ca="1">getCodigoBackend(N1090,A1090,VLOOKUP(N1090,setup!$A$8:$H$58,2),VLOOKUP(N1090,setup!$A$8:$H$58,3),VLOOKUP(N1090,setup!$A$8:$H$58,4),VLOOKUP(N1090,setup!$A$8:$H$58,5),VLOOKUP(N1090,setup!$A$8:$H$58,6),VLOOKUP(N1090,setup!$A$8:$H$58,7), VLOOKUP(0,setup!$A$8:$H$58,2),VLOOKUP(0,setup!$A$8:$H$58,5),VLOOKUP(N1090,setup!$A$8:$H$58,8))</f>
        <v xml:space="preserve">        $retorno = NULL;</v>
      </c>
    </row>
    <row r="1091" spans="1:15" x14ac:dyDescent="0.25">
      <c r="A1091" s="29" t="s">
        <v>765</v>
      </c>
      <c r="N1091">
        <v>48</v>
      </c>
      <c r="O1091" s="7" t="str">
        <f ca="1">getCodigoBackend(N1091,A1091,VLOOKUP(N1091,setup!$A$8:$H$58,2),VLOOKUP(N1091,setup!$A$8:$H$58,3),VLOOKUP(N1091,setup!$A$8:$H$58,4),VLOOKUP(N1091,setup!$A$8:$H$58,5),VLOOKUP(N1091,setup!$A$8:$H$58,6),VLOOKUP(N1091,setup!$A$8:$H$58,7), VLOOKUP(0,setup!$A$8:$H$58,2),VLOOKUP(0,setup!$A$8:$H$58,5),VLOOKUP(N1091,setup!$A$8:$H$58,8))</f>
        <v xml:space="preserve">        // prepara sessão, query, troca de valores, acoplagem do resultado e o fetch</v>
      </c>
    </row>
    <row r="1092" spans="1:15" x14ac:dyDescent="0.25">
      <c r="A1092" s="29" t="s">
        <v>766</v>
      </c>
      <c r="N1092">
        <v>48</v>
      </c>
      <c r="O1092" s="7" t="str">
        <f ca="1">getCodigoBackend(N1092,A1092,VLOOKUP(N1092,setup!$A$8:$H$58,2),VLOOKUP(N1092,setup!$A$8:$H$58,3),VLOOKUP(N1092,setup!$A$8:$H$58,4),VLOOKUP(N1092,setup!$A$8:$H$58,5),VLOOKUP(N1092,setup!$A$8:$H$58,6),VLOOKUP(N1092,setup!$A$8:$H$58,7), VLOOKUP(0,setup!$A$8:$H$58,2),VLOOKUP(0,setup!$A$8:$H$58,5),VLOOKUP(N1092,setup!$A$8:$H$58,8))</f>
        <v xml:space="preserve">        $conexao = $this-&gt;daofactory-&gt;getSession();</v>
      </c>
    </row>
    <row r="1093" spans="1:15" x14ac:dyDescent="0.25">
      <c r="A1093" s="29" t="s">
        <v>780</v>
      </c>
      <c r="N1093">
        <v>48</v>
      </c>
      <c r="O1093" s="7" t="str">
        <f ca="1">getCodigoBackend(N1093,A1093,VLOOKUP(N1093,setup!$A$8:$H$58,2),VLOOKUP(N1093,setup!$A$8:$H$58,3),VLOOKUP(N1093,setup!$A$8:$H$58,4),VLOOKUP(N1093,setup!$A$8:$H$58,5),VLOOKUP(N1093,setup!$A$8:$H$58,6),VLOOKUP(N1093,setup!$A$8:$H$58,7), VLOOKUP(0,setup!$A$8:$H$58,2),VLOOKUP(0,setup!$A$8:$H$58,5),VLOOKUP(N1093,setup!$A$8:$H$58,8))</f>
        <v xml:space="preserve">        $res = $conexao-&gt;query(DmlSqlCampanhaCashbackResgatePix::SELECT . ' WHERE ' . DmlSqlCampanhaCashbackResgatePix::CCRP_IN_STATUS . '=' . $status );</v>
      </c>
    </row>
    <row r="1094" spans="1:15" x14ac:dyDescent="0.25">
      <c r="A1094" s="29" t="s">
        <v>778</v>
      </c>
      <c r="N1094">
        <v>48</v>
      </c>
      <c r="O1094" s="7" t="str">
        <f ca="1">getCodigoBackend(N1094,A1094,VLOOKUP(N1094,setup!$A$8:$H$58,2),VLOOKUP(N1094,setup!$A$8:$H$58,3),VLOOKUP(N1094,setup!$A$8:$H$58,4),VLOOKUP(N1094,setup!$A$8:$H$58,5),VLOOKUP(N1094,setup!$A$8:$H$58,6),VLOOKUP(N1094,setup!$A$8:$H$58,7), VLOOKUP(0,setup!$A$8:$H$58,2),VLOOKUP(0,setup!$A$8:$H$58,5),VLOOKUP(N1094,setup!$A$8:$H$58,8))</f>
        <v xml:space="preserve">        if ($res){</v>
      </c>
    </row>
    <row r="1095" spans="1:15" x14ac:dyDescent="0.25">
      <c r="A1095" s="29" t="s">
        <v>779</v>
      </c>
      <c r="N1095">
        <v>48</v>
      </c>
      <c r="O1095" s="7" t="str">
        <f ca="1">getCodigoBackend(N1095,A1095,VLOOKUP(N1095,setup!$A$8:$H$58,2),VLOOKUP(N1095,setup!$A$8:$H$58,3),VLOOKUP(N1095,setup!$A$8:$H$58,4),VLOOKUP(N1095,setup!$A$8:$H$58,5),VLOOKUP(N1095,setup!$A$8:$H$58,6),VLOOKUP(N1095,setup!$A$8:$H$58,7), VLOOKUP(0,setup!$A$8:$H$58,2),VLOOKUP(0,setup!$A$8:$H$58,5),VLOOKUP(N1095,setup!$A$8:$H$58,8))</f>
        <v xml:space="preserve">            $retorno = $this-&gt;getDTO($res-&gt;fetch_assoc());</v>
      </c>
    </row>
    <row r="1096" spans="1:15" x14ac:dyDescent="0.25">
      <c r="A1096" s="29" t="s">
        <v>157</v>
      </c>
      <c r="N1096">
        <v>48</v>
      </c>
      <c r="O1096" s="7" t="str">
        <f ca="1">getCodigoBackend(N1096,A1096,VLOOKUP(N1096,setup!$A$8:$H$58,2),VLOOKUP(N1096,setup!$A$8:$H$58,3),VLOOKUP(N1096,setup!$A$8:$H$58,4),VLOOKUP(N1096,setup!$A$8:$H$58,5),VLOOKUP(N1096,setup!$A$8:$H$58,6),VLOOKUP(N1096,setup!$A$8:$H$58,7), VLOOKUP(0,setup!$A$8:$H$58,2),VLOOKUP(0,setup!$A$8:$H$58,5),VLOOKUP(N1096,setup!$A$8:$H$58,8))</f>
        <v xml:space="preserve">        }</v>
      </c>
    </row>
    <row r="1097" spans="1:15" x14ac:dyDescent="0.25">
      <c r="A1097" s="29" t="s">
        <v>743</v>
      </c>
      <c r="N1097">
        <v>48</v>
      </c>
      <c r="O1097" s="7" t="str">
        <f ca="1">getCodigoBackend(N1097,A1097,VLOOKUP(N1097,setup!$A$8:$H$58,2),VLOOKUP(N1097,setup!$A$8:$H$58,3),VLOOKUP(N1097,setup!$A$8:$H$58,4),VLOOKUP(N1097,setup!$A$8:$H$58,5),VLOOKUP(N1097,setup!$A$8:$H$58,6),VLOOKUP(N1097,setup!$A$8:$H$58,7), VLOOKUP(0,setup!$A$8:$H$58,2),VLOOKUP(0,setup!$A$8:$H$58,5),VLOOKUP(N1097,setup!$A$8:$H$58,8))</f>
        <v xml:space="preserve">        return $retorno;</v>
      </c>
    </row>
    <row r="1098" spans="1:15" x14ac:dyDescent="0.25">
      <c r="A1098" s="29" t="s">
        <v>406</v>
      </c>
      <c r="N1098">
        <v>48</v>
      </c>
      <c r="O1098" s="7" t="str">
        <f ca="1">getCodigoBackend(N1098,A1098,VLOOKUP(N1098,setup!$A$8:$H$58,2),VLOOKUP(N1098,setup!$A$8:$H$58,3),VLOOKUP(N1098,setup!$A$8:$H$58,4),VLOOKUP(N1098,setup!$A$8:$H$58,5),VLOOKUP(N1098,setup!$A$8:$H$58,6),VLOOKUP(N1098,setup!$A$8:$H$58,7), VLOOKUP(0,setup!$A$8:$H$58,2),VLOOKUP(0,setup!$A$8:$H$58,5),VLOOKUP(N1098,setup!$A$8:$H$58,8))</f>
        <v xml:space="preserve">    }</v>
      </c>
    </row>
    <row r="1099" spans="1:15" x14ac:dyDescent="0.25">
      <c r="A1099" s="29"/>
      <c r="O1099" s="7" t="str">
        <f ca="1">getCodigoBackend(N1099,A1099,VLOOKUP(N1099,setup!$A$8:$H$58,2),VLOOKUP(N1099,setup!$A$8:$H$58,3),VLOOKUP(N1099,setup!$A$8:$H$58,4),VLOOKUP(N1099,setup!$A$8:$H$58,5),VLOOKUP(N1099,setup!$A$8:$H$58,6),VLOOKUP(N1099,setup!$A$8:$H$58,7), VLOOKUP(0,setup!$A$8:$H$58,2),VLOOKUP(0,setup!$A$8:$H$58,5),VLOOKUP(N1099,setup!$A$8:$H$58,8))</f>
        <v/>
      </c>
    </row>
    <row r="1100" spans="1:15" x14ac:dyDescent="0.25">
      <c r="A1100" s="6" t="s">
        <v>140</v>
      </c>
      <c r="N1100">
        <f>N1098+1</f>
        <v>49</v>
      </c>
      <c r="O1100" s="7" t="str">
        <f ca="1">getCodigoBackend(N1100,A1100,VLOOKUP(N1100,setup!$A$8:$H$58,2),VLOOKUP(N1100,setup!$A$8:$H$58,3),VLOOKUP(N1100,setup!$A$8:$H$58,4),VLOOKUP(N1100,setup!$A$8:$H$58,5),VLOOKUP(N1100,setup!$A$8:$H$58,6),VLOOKUP(N1100,setup!$A$8:$H$58,7), VLOOKUP(0,setup!$A$8:$H$58,2),VLOOKUP(0,setup!$A$8:$H$58,5),VLOOKUP(N1100,setup!$A$8:$H$58,8))</f>
        <v>    /**</v>
      </c>
    </row>
    <row r="1101" spans="1:15" x14ac:dyDescent="0.25">
      <c r="A1101" s="4" t="s">
        <v>781</v>
      </c>
      <c r="N1101">
        <f>N1100</f>
        <v>49</v>
      </c>
      <c r="O1101" s="7" t="str">
        <f ca="1">getCodigoBackend(N1101,A1101,VLOOKUP(N1101,setup!$A$8:$H$58,2),VLOOKUP(N1101,setup!$A$8:$H$58,3),VLOOKUP(N1101,setup!$A$8:$H$58,4),VLOOKUP(N1101,setup!$A$8:$H$58,5),VLOOKUP(N1101,setup!$A$8:$H$58,6),VLOOKUP(N1101,setup!$A$8:$H$58,7), VLOOKUP(0,setup!$A$8:$H$58,2),VLOOKUP(0,setup!$A$8:$H$58,5),VLOOKUP(N1101,setup!$A$8:$H$58,8))</f>
        <v>    * loadDatacadastro() - implementação da assinatura em CampanhaCashbackResgatePixDAO</v>
      </c>
    </row>
    <row r="1102" spans="1:15" x14ac:dyDescent="0.25">
      <c r="A1102" s="4" t="s">
        <v>141</v>
      </c>
      <c r="N1102">
        <f t="shared" ref="N1102:N1114" si="39">N1101</f>
        <v>49</v>
      </c>
      <c r="O1102" s="7" t="str">
        <f ca="1">getCodigoBackend(N1102,A1102,VLOOKUP(N1102,setup!$A$8:$H$58,2),VLOOKUP(N1102,setup!$A$8:$H$58,3),VLOOKUP(N1102,setup!$A$8:$H$58,4),VLOOKUP(N1102,setup!$A$8:$H$58,5),VLOOKUP(N1102,setup!$A$8:$H$58,6),VLOOKUP(N1102,setup!$A$8:$H$58,7), VLOOKUP(0,setup!$A$8:$H$58,2),VLOOKUP(0,setup!$A$8:$H$58,5),VLOOKUP(N1102,setup!$A$8:$H$58,8))</f>
        <v>    */</v>
      </c>
    </row>
    <row r="1103" spans="1:15" x14ac:dyDescent="0.25">
      <c r="A1103" s="6"/>
      <c r="N1103">
        <f t="shared" si="39"/>
        <v>49</v>
      </c>
      <c r="O1103" s="7" t="str">
        <f ca="1">getCodigoBackend(N1103,A1103,VLOOKUP(N1103,setup!$A$8:$H$58,2),VLOOKUP(N1103,setup!$A$8:$H$58,3),VLOOKUP(N1103,setup!$A$8:$H$58,4),VLOOKUP(N1103,setup!$A$8:$H$58,5),VLOOKUP(N1103,setup!$A$8:$H$58,6),VLOOKUP(N1103,setup!$A$8:$H$58,7), VLOOKUP(0,setup!$A$8:$H$58,2),VLOOKUP(0,setup!$A$8:$H$58,5),VLOOKUP(N1103,setup!$A$8:$H$58,8))</f>
        <v/>
      </c>
    </row>
    <row r="1104" spans="1:15" x14ac:dyDescent="0.25">
      <c r="A1104" s="29" t="s">
        <v>777</v>
      </c>
      <c r="N1104">
        <f t="shared" si="39"/>
        <v>49</v>
      </c>
      <c r="O1104" s="7" t="str">
        <f ca="1">getCodigoBackend(N1104,A1104,VLOOKUP(N1104,setup!$A$8:$H$58,2),VLOOKUP(N1104,setup!$A$8:$H$58,3),VLOOKUP(N1104,setup!$A$8:$H$58,4),VLOOKUP(N1104,setup!$A$8:$H$58,5),VLOOKUP(N1104,setup!$A$8:$H$58,6),VLOOKUP(N1104,setup!$A$8:$H$58,7), VLOOKUP(0,setup!$A$8:$H$58,2),VLOOKUP(0,setup!$A$8:$H$58,5),VLOOKUP(N1104,setup!$A$8:$H$58,8))</f>
        <v xml:space="preserve">    public function loadDatacadastro($dataCadastro)</v>
      </c>
    </row>
    <row r="1105" spans="1:15" x14ac:dyDescent="0.25">
      <c r="A1105" s="29" t="s">
        <v>763</v>
      </c>
      <c r="N1105">
        <f t="shared" si="39"/>
        <v>49</v>
      </c>
      <c r="O1105" s="7" t="str">
        <f ca="1">getCodigoBackend(N1105,A1105,VLOOKUP(N1105,setup!$A$8:$H$58,2),VLOOKUP(N1105,setup!$A$8:$H$58,3),VLOOKUP(N1105,setup!$A$8:$H$58,4),VLOOKUP(N1105,setup!$A$8:$H$58,5),VLOOKUP(N1105,setup!$A$8:$H$58,6),VLOOKUP(N1105,setup!$A$8:$H$58,7), VLOOKUP(0,setup!$A$8:$H$58,2),VLOOKUP(0,setup!$A$8:$H$58,5),VLOOKUP(N1105,setup!$A$8:$H$58,8))</f>
        <v xml:space="preserve">    {   </v>
      </c>
    </row>
    <row r="1106" spans="1:15" x14ac:dyDescent="0.25">
      <c r="A1106" s="29" t="s">
        <v>725</v>
      </c>
      <c r="N1106">
        <f t="shared" si="39"/>
        <v>49</v>
      </c>
      <c r="O1106" s="7" t="str">
        <f ca="1">getCodigoBackend(N1106,A1106,VLOOKUP(N1106,setup!$A$8:$H$58,2),VLOOKUP(N1106,setup!$A$8:$H$58,3),VLOOKUP(N1106,setup!$A$8:$H$58,4),VLOOKUP(N1106,setup!$A$8:$H$58,5),VLOOKUP(N1106,setup!$A$8:$H$58,6),VLOOKUP(N1106,setup!$A$8:$H$58,7), VLOOKUP(0,setup!$A$8:$H$58,2),VLOOKUP(0,setup!$A$8:$H$58,5),VLOOKUP(N1106,setup!$A$8:$H$58,8))</f>
        <v xml:space="preserve">        $retorno = NULL;</v>
      </c>
    </row>
    <row r="1107" spans="1:15" x14ac:dyDescent="0.25">
      <c r="A1107" s="29" t="s">
        <v>765</v>
      </c>
      <c r="N1107">
        <f t="shared" si="39"/>
        <v>49</v>
      </c>
      <c r="O1107" s="7" t="str">
        <f ca="1">getCodigoBackend(N1107,A1107,VLOOKUP(N1107,setup!$A$8:$H$58,2),VLOOKUP(N1107,setup!$A$8:$H$58,3),VLOOKUP(N1107,setup!$A$8:$H$58,4),VLOOKUP(N1107,setup!$A$8:$H$58,5),VLOOKUP(N1107,setup!$A$8:$H$58,6),VLOOKUP(N1107,setup!$A$8:$H$58,7), VLOOKUP(0,setup!$A$8:$H$58,2),VLOOKUP(0,setup!$A$8:$H$58,5),VLOOKUP(N1107,setup!$A$8:$H$58,8))</f>
        <v xml:space="preserve">        // prepara sessão, query, troca de valores, acoplagem do resultado e o fetch</v>
      </c>
    </row>
    <row r="1108" spans="1:15" x14ac:dyDescent="0.25">
      <c r="A1108" s="29" t="s">
        <v>766</v>
      </c>
      <c r="N1108">
        <f t="shared" si="39"/>
        <v>49</v>
      </c>
      <c r="O1108" s="7" t="str">
        <f ca="1">getCodigoBackend(N1108,A1108,VLOOKUP(N1108,setup!$A$8:$H$58,2),VLOOKUP(N1108,setup!$A$8:$H$58,3),VLOOKUP(N1108,setup!$A$8:$H$58,4),VLOOKUP(N1108,setup!$A$8:$H$58,5),VLOOKUP(N1108,setup!$A$8:$H$58,6),VLOOKUP(N1108,setup!$A$8:$H$58,7), VLOOKUP(0,setup!$A$8:$H$58,2),VLOOKUP(0,setup!$A$8:$H$58,5),VLOOKUP(N1108,setup!$A$8:$H$58,8))</f>
        <v xml:space="preserve">        $conexao = $this-&gt;daofactory-&gt;getSession();</v>
      </c>
    </row>
    <row r="1109" spans="1:15" x14ac:dyDescent="0.25">
      <c r="A1109" s="29" t="s">
        <v>780</v>
      </c>
      <c r="N1109">
        <f t="shared" si="39"/>
        <v>49</v>
      </c>
      <c r="O1109" s="7" t="str">
        <f ca="1">getCodigoBackend(N1109,A1109,VLOOKUP(N1109,setup!$A$8:$H$58,2),VLOOKUP(N1109,setup!$A$8:$H$58,3),VLOOKUP(N1109,setup!$A$8:$H$58,4),VLOOKUP(N1109,setup!$A$8:$H$58,5),VLOOKUP(N1109,setup!$A$8:$H$58,6),VLOOKUP(N1109,setup!$A$8:$H$58,7), VLOOKUP(0,setup!$A$8:$H$58,2),VLOOKUP(0,setup!$A$8:$H$58,5),VLOOKUP(N1109,setup!$A$8:$H$58,8))</f>
        <v xml:space="preserve">        $res = $conexao-&gt;query(DmlSqlCampanhaCashbackResgatePix::SELECT . ' WHERE ' . DmlSqlCampanhaCashbackResgatePix::CCRP_DT_CADASTRO . '=' . $dataCadastro );</v>
      </c>
    </row>
    <row r="1110" spans="1:15" x14ac:dyDescent="0.25">
      <c r="A1110" s="29" t="s">
        <v>778</v>
      </c>
      <c r="N1110">
        <f t="shared" si="39"/>
        <v>49</v>
      </c>
      <c r="O1110" s="7" t="str">
        <f ca="1">getCodigoBackend(N1110,A1110,VLOOKUP(N1110,setup!$A$8:$H$58,2),VLOOKUP(N1110,setup!$A$8:$H$58,3),VLOOKUP(N1110,setup!$A$8:$H$58,4),VLOOKUP(N1110,setup!$A$8:$H$58,5),VLOOKUP(N1110,setup!$A$8:$H$58,6),VLOOKUP(N1110,setup!$A$8:$H$58,7), VLOOKUP(0,setup!$A$8:$H$58,2),VLOOKUP(0,setup!$A$8:$H$58,5),VLOOKUP(N1110,setup!$A$8:$H$58,8))</f>
        <v xml:space="preserve">        if ($res){</v>
      </c>
    </row>
    <row r="1111" spans="1:15" x14ac:dyDescent="0.25">
      <c r="A1111" s="29" t="s">
        <v>779</v>
      </c>
      <c r="N1111">
        <f t="shared" si="39"/>
        <v>49</v>
      </c>
      <c r="O1111" s="7" t="str">
        <f ca="1">getCodigoBackend(N1111,A1111,VLOOKUP(N1111,setup!$A$8:$H$58,2),VLOOKUP(N1111,setup!$A$8:$H$58,3),VLOOKUP(N1111,setup!$A$8:$H$58,4),VLOOKUP(N1111,setup!$A$8:$H$58,5),VLOOKUP(N1111,setup!$A$8:$H$58,6),VLOOKUP(N1111,setup!$A$8:$H$58,7), VLOOKUP(0,setup!$A$8:$H$58,2),VLOOKUP(0,setup!$A$8:$H$58,5),VLOOKUP(N1111,setup!$A$8:$H$58,8))</f>
        <v xml:space="preserve">            $retorno = $this-&gt;getDTO($res-&gt;fetch_assoc());</v>
      </c>
    </row>
    <row r="1112" spans="1:15" x14ac:dyDescent="0.25">
      <c r="A1112" s="29" t="s">
        <v>157</v>
      </c>
      <c r="N1112">
        <f t="shared" si="39"/>
        <v>49</v>
      </c>
      <c r="O1112" s="7" t="str">
        <f ca="1">getCodigoBackend(N1112,A1112,VLOOKUP(N1112,setup!$A$8:$H$58,2),VLOOKUP(N1112,setup!$A$8:$H$58,3),VLOOKUP(N1112,setup!$A$8:$H$58,4),VLOOKUP(N1112,setup!$A$8:$H$58,5),VLOOKUP(N1112,setup!$A$8:$H$58,6),VLOOKUP(N1112,setup!$A$8:$H$58,7), VLOOKUP(0,setup!$A$8:$H$58,2),VLOOKUP(0,setup!$A$8:$H$58,5),VLOOKUP(N1112,setup!$A$8:$H$58,8))</f>
        <v xml:space="preserve">        }</v>
      </c>
    </row>
    <row r="1113" spans="1:15" x14ac:dyDescent="0.25">
      <c r="A1113" s="29" t="s">
        <v>743</v>
      </c>
      <c r="N1113">
        <f t="shared" si="39"/>
        <v>49</v>
      </c>
      <c r="O1113" s="7" t="str">
        <f ca="1">getCodigoBackend(N1113,A1113,VLOOKUP(N1113,setup!$A$8:$H$58,2),VLOOKUP(N1113,setup!$A$8:$H$58,3),VLOOKUP(N1113,setup!$A$8:$H$58,4),VLOOKUP(N1113,setup!$A$8:$H$58,5),VLOOKUP(N1113,setup!$A$8:$H$58,6),VLOOKUP(N1113,setup!$A$8:$H$58,7), VLOOKUP(0,setup!$A$8:$H$58,2),VLOOKUP(0,setup!$A$8:$H$58,5),VLOOKUP(N1113,setup!$A$8:$H$58,8))</f>
        <v xml:space="preserve">        return $retorno;</v>
      </c>
    </row>
    <row r="1114" spans="1:15" x14ac:dyDescent="0.25">
      <c r="A1114" s="29" t="s">
        <v>406</v>
      </c>
      <c r="N1114">
        <f t="shared" si="39"/>
        <v>49</v>
      </c>
      <c r="O1114" s="7" t="str">
        <f ca="1">getCodigoBackend(N1114,A1114,VLOOKUP(N1114,setup!$A$8:$H$58,2),VLOOKUP(N1114,setup!$A$8:$H$58,3),VLOOKUP(N1114,setup!$A$8:$H$58,4),VLOOKUP(N1114,setup!$A$8:$H$58,5),VLOOKUP(N1114,setup!$A$8:$H$58,6),VLOOKUP(N1114,setup!$A$8:$H$58,7), VLOOKUP(0,setup!$A$8:$H$58,2),VLOOKUP(0,setup!$A$8:$H$58,5),VLOOKUP(N1114,setup!$A$8:$H$58,8))</f>
        <v xml:space="preserve">    }</v>
      </c>
    </row>
    <row r="1115" spans="1:15" x14ac:dyDescent="0.25">
      <c r="A1115" s="29"/>
      <c r="O1115" s="7" t="str">
        <f ca="1">getCodigoBackend(N1115,A1115,VLOOKUP(N1115,setup!$A$8:$H$58,2),VLOOKUP(N1115,setup!$A$8:$H$58,3),VLOOKUP(N1115,setup!$A$8:$H$58,4),VLOOKUP(N1115,setup!$A$8:$H$58,5),VLOOKUP(N1115,setup!$A$8:$H$58,6),VLOOKUP(N1115,setup!$A$8:$H$58,7), VLOOKUP(0,setup!$A$8:$H$58,2),VLOOKUP(0,setup!$A$8:$H$58,5),VLOOKUP(N1115,setup!$A$8:$H$58,8))</f>
        <v/>
      </c>
    </row>
    <row r="1116" spans="1:15" x14ac:dyDescent="0.25">
      <c r="A1116" s="6" t="s">
        <v>140</v>
      </c>
      <c r="N1116">
        <f>N1114+1</f>
        <v>50</v>
      </c>
      <c r="O1116" s="7" t="str">
        <f ca="1">getCodigoBackend(N1116,A1116,VLOOKUP(N1116,setup!$A$8:$H$58,2),VLOOKUP(N1116,setup!$A$8:$H$58,3),VLOOKUP(N1116,setup!$A$8:$H$58,4),VLOOKUP(N1116,setup!$A$8:$H$58,5),VLOOKUP(N1116,setup!$A$8:$H$58,6),VLOOKUP(N1116,setup!$A$8:$H$58,7), VLOOKUP(0,setup!$A$8:$H$58,2),VLOOKUP(0,setup!$A$8:$H$58,5),VLOOKUP(N1116,setup!$A$8:$H$58,8))</f>
        <v>    /**</v>
      </c>
    </row>
    <row r="1117" spans="1:15" x14ac:dyDescent="0.25">
      <c r="A1117" s="4" t="s">
        <v>781</v>
      </c>
      <c r="N1117">
        <f>N1116</f>
        <v>50</v>
      </c>
      <c r="O1117" s="7" t="str">
        <f ca="1">getCodigoBackend(N1117,A1117,VLOOKUP(N1117,setup!$A$8:$H$58,2),VLOOKUP(N1117,setup!$A$8:$H$58,3),VLOOKUP(N1117,setup!$A$8:$H$58,4),VLOOKUP(N1117,setup!$A$8:$H$58,5),VLOOKUP(N1117,setup!$A$8:$H$58,6),VLOOKUP(N1117,setup!$A$8:$H$58,7), VLOOKUP(0,setup!$A$8:$H$58,2),VLOOKUP(0,setup!$A$8:$H$58,5),VLOOKUP(N1117,setup!$A$8:$H$58,8))</f>
        <v>    * loadDataatualizacao() - implementação da assinatura em CampanhaCashbackResgatePixDAO</v>
      </c>
    </row>
    <row r="1118" spans="1:15" x14ac:dyDescent="0.25">
      <c r="A1118" s="4" t="s">
        <v>141</v>
      </c>
      <c r="N1118">
        <f t="shared" ref="N1118:N1130" si="40">N1117</f>
        <v>50</v>
      </c>
      <c r="O1118" s="7" t="str">
        <f ca="1">getCodigoBackend(N1118,A1118,VLOOKUP(N1118,setup!$A$8:$H$58,2),VLOOKUP(N1118,setup!$A$8:$H$58,3),VLOOKUP(N1118,setup!$A$8:$H$58,4),VLOOKUP(N1118,setup!$A$8:$H$58,5),VLOOKUP(N1118,setup!$A$8:$H$58,6),VLOOKUP(N1118,setup!$A$8:$H$58,7), VLOOKUP(0,setup!$A$8:$H$58,2),VLOOKUP(0,setup!$A$8:$H$58,5),VLOOKUP(N1118,setup!$A$8:$H$58,8))</f>
        <v>    */</v>
      </c>
    </row>
    <row r="1119" spans="1:15" x14ac:dyDescent="0.25">
      <c r="A1119" s="6"/>
      <c r="N1119">
        <f t="shared" si="40"/>
        <v>50</v>
      </c>
      <c r="O1119" s="7" t="str">
        <f ca="1">getCodigoBackend(N1119,A1119,VLOOKUP(N1119,setup!$A$8:$H$58,2),VLOOKUP(N1119,setup!$A$8:$H$58,3),VLOOKUP(N1119,setup!$A$8:$H$58,4),VLOOKUP(N1119,setup!$A$8:$H$58,5),VLOOKUP(N1119,setup!$A$8:$H$58,6),VLOOKUP(N1119,setup!$A$8:$H$58,7), VLOOKUP(0,setup!$A$8:$H$58,2),VLOOKUP(0,setup!$A$8:$H$58,5),VLOOKUP(N1119,setup!$A$8:$H$58,8))</f>
        <v/>
      </c>
    </row>
    <row r="1120" spans="1:15" x14ac:dyDescent="0.25">
      <c r="A1120" s="29" t="s">
        <v>777</v>
      </c>
      <c r="N1120">
        <f t="shared" si="40"/>
        <v>50</v>
      </c>
      <c r="O1120" s="7" t="str">
        <f ca="1">getCodigoBackend(N1120,A1120,VLOOKUP(N1120,setup!$A$8:$H$58,2),VLOOKUP(N1120,setup!$A$8:$H$58,3),VLOOKUP(N1120,setup!$A$8:$H$58,4),VLOOKUP(N1120,setup!$A$8:$H$58,5),VLOOKUP(N1120,setup!$A$8:$H$58,6),VLOOKUP(N1120,setup!$A$8:$H$58,7), VLOOKUP(0,setup!$A$8:$H$58,2),VLOOKUP(0,setup!$A$8:$H$58,5),VLOOKUP(N1120,setup!$A$8:$H$58,8))</f>
        <v xml:space="preserve">    public function loadDataatualizacao($dataAtualizacao)</v>
      </c>
    </row>
    <row r="1121" spans="1:15" x14ac:dyDescent="0.25">
      <c r="A1121" s="29" t="s">
        <v>763</v>
      </c>
      <c r="N1121">
        <f t="shared" si="40"/>
        <v>50</v>
      </c>
      <c r="O1121" s="7" t="str">
        <f ca="1">getCodigoBackend(N1121,A1121,VLOOKUP(N1121,setup!$A$8:$H$58,2),VLOOKUP(N1121,setup!$A$8:$H$58,3),VLOOKUP(N1121,setup!$A$8:$H$58,4),VLOOKUP(N1121,setup!$A$8:$H$58,5),VLOOKUP(N1121,setup!$A$8:$H$58,6),VLOOKUP(N1121,setup!$A$8:$H$58,7), VLOOKUP(0,setup!$A$8:$H$58,2),VLOOKUP(0,setup!$A$8:$H$58,5),VLOOKUP(N1121,setup!$A$8:$H$58,8))</f>
        <v xml:space="preserve">    {   </v>
      </c>
    </row>
    <row r="1122" spans="1:15" x14ac:dyDescent="0.25">
      <c r="A1122" s="29" t="s">
        <v>725</v>
      </c>
      <c r="N1122">
        <f t="shared" si="40"/>
        <v>50</v>
      </c>
      <c r="O1122" s="7" t="str">
        <f ca="1">getCodigoBackend(N1122,A1122,VLOOKUP(N1122,setup!$A$8:$H$58,2),VLOOKUP(N1122,setup!$A$8:$H$58,3),VLOOKUP(N1122,setup!$A$8:$H$58,4),VLOOKUP(N1122,setup!$A$8:$H$58,5),VLOOKUP(N1122,setup!$A$8:$H$58,6),VLOOKUP(N1122,setup!$A$8:$H$58,7), VLOOKUP(0,setup!$A$8:$H$58,2),VLOOKUP(0,setup!$A$8:$H$58,5),VLOOKUP(N1122,setup!$A$8:$H$58,8))</f>
        <v xml:space="preserve">        $retorno = NULL;</v>
      </c>
    </row>
    <row r="1123" spans="1:15" x14ac:dyDescent="0.25">
      <c r="A1123" s="29" t="s">
        <v>765</v>
      </c>
      <c r="N1123">
        <f t="shared" si="40"/>
        <v>50</v>
      </c>
      <c r="O1123" s="7" t="str">
        <f ca="1">getCodigoBackend(N1123,A1123,VLOOKUP(N1123,setup!$A$8:$H$58,2),VLOOKUP(N1123,setup!$A$8:$H$58,3),VLOOKUP(N1123,setup!$A$8:$H$58,4),VLOOKUP(N1123,setup!$A$8:$H$58,5),VLOOKUP(N1123,setup!$A$8:$H$58,6),VLOOKUP(N1123,setup!$A$8:$H$58,7), VLOOKUP(0,setup!$A$8:$H$58,2),VLOOKUP(0,setup!$A$8:$H$58,5),VLOOKUP(N1123,setup!$A$8:$H$58,8))</f>
        <v xml:space="preserve">        // prepara sessão, query, troca de valores, acoplagem do resultado e o fetch</v>
      </c>
    </row>
    <row r="1124" spans="1:15" x14ac:dyDescent="0.25">
      <c r="A1124" s="29" t="s">
        <v>766</v>
      </c>
      <c r="N1124">
        <f t="shared" si="40"/>
        <v>50</v>
      </c>
      <c r="O1124" s="7" t="str">
        <f ca="1">getCodigoBackend(N1124,A1124,VLOOKUP(N1124,setup!$A$8:$H$58,2),VLOOKUP(N1124,setup!$A$8:$H$58,3),VLOOKUP(N1124,setup!$A$8:$H$58,4),VLOOKUP(N1124,setup!$A$8:$H$58,5),VLOOKUP(N1124,setup!$A$8:$H$58,6),VLOOKUP(N1124,setup!$A$8:$H$58,7), VLOOKUP(0,setup!$A$8:$H$58,2),VLOOKUP(0,setup!$A$8:$H$58,5),VLOOKUP(N1124,setup!$A$8:$H$58,8))</f>
        <v xml:space="preserve">        $conexao = $this-&gt;daofactory-&gt;getSession();</v>
      </c>
    </row>
    <row r="1125" spans="1:15" x14ac:dyDescent="0.25">
      <c r="A1125" s="29" t="s">
        <v>780</v>
      </c>
      <c r="N1125">
        <f t="shared" si="40"/>
        <v>50</v>
      </c>
      <c r="O1125" s="7" t="str">
        <f ca="1">getCodigoBackend(N1125,A1125,VLOOKUP(N1125,setup!$A$8:$H$58,2),VLOOKUP(N1125,setup!$A$8:$H$58,3),VLOOKUP(N1125,setup!$A$8:$H$58,4),VLOOKUP(N1125,setup!$A$8:$H$58,5),VLOOKUP(N1125,setup!$A$8:$H$58,6),VLOOKUP(N1125,setup!$A$8:$H$58,7), VLOOKUP(0,setup!$A$8:$H$58,2),VLOOKUP(0,setup!$A$8:$H$58,5),VLOOKUP(N1125,setup!$A$8:$H$58,8))</f>
        <v xml:space="preserve">        $res = $conexao-&gt;query(DmlSqlCampanhaCashbackResgatePix::SELECT . ' WHERE ' . DmlSqlCampanhaCashbackResgatePix::CCRP_DT_UPDATE . '=' . $dataAtualizacao );</v>
      </c>
    </row>
    <row r="1126" spans="1:15" x14ac:dyDescent="0.25">
      <c r="A1126" s="29" t="s">
        <v>778</v>
      </c>
      <c r="N1126">
        <f t="shared" si="40"/>
        <v>50</v>
      </c>
      <c r="O1126" s="7" t="str">
        <f ca="1">getCodigoBackend(N1126,A1126,VLOOKUP(N1126,setup!$A$8:$H$58,2),VLOOKUP(N1126,setup!$A$8:$H$58,3),VLOOKUP(N1126,setup!$A$8:$H$58,4),VLOOKUP(N1126,setup!$A$8:$H$58,5),VLOOKUP(N1126,setup!$A$8:$H$58,6),VLOOKUP(N1126,setup!$A$8:$H$58,7), VLOOKUP(0,setup!$A$8:$H$58,2),VLOOKUP(0,setup!$A$8:$H$58,5),VLOOKUP(N1126,setup!$A$8:$H$58,8))</f>
        <v xml:space="preserve">        if ($res){</v>
      </c>
    </row>
    <row r="1127" spans="1:15" x14ac:dyDescent="0.25">
      <c r="A1127" s="29" t="s">
        <v>779</v>
      </c>
      <c r="N1127">
        <f t="shared" si="40"/>
        <v>50</v>
      </c>
      <c r="O1127" s="7" t="str">
        <f ca="1">getCodigoBackend(N1127,A1127,VLOOKUP(N1127,setup!$A$8:$H$58,2),VLOOKUP(N1127,setup!$A$8:$H$58,3),VLOOKUP(N1127,setup!$A$8:$H$58,4),VLOOKUP(N1127,setup!$A$8:$H$58,5),VLOOKUP(N1127,setup!$A$8:$H$58,6),VLOOKUP(N1127,setup!$A$8:$H$58,7), VLOOKUP(0,setup!$A$8:$H$58,2),VLOOKUP(0,setup!$A$8:$H$58,5),VLOOKUP(N1127,setup!$A$8:$H$58,8))</f>
        <v xml:space="preserve">            $retorno = $this-&gt;getDTO($res-&gt;fetch_assoc());</v>
      </c>
    </row>
    <row r="1128" spans="1:15" x14ac:dyDescent="0.25">
      <c r="A1128" s="29" t="s">
        <v>157</v>
      </c>
      <c r="N1128">
        <f t="shared" si="40"/>
        <v>50</v>
      </c>
      <c r="O1128" s="7" t="str">
        <f ca="1">getCodigoBackend(N1128,A1128,VLOOKUP(N1128,setup!$A$8:$H$58,2),VLOOKUP(N1128,setup!$A$8:$H$58,3),VLOOKUP(N1128,setup!$A$8:$H$58,4),VLOOKUP(N1128,setup!$A$8:$H$58,5),VLOOKUP(N1128,setup!$A$8:$H$58,6),VLOOKUP(N1128,setup!$A$8:$H$58,7), VLOOKUP(0,setup!$A$8:$H$58,2),VLOOKUP(0,setup!$A$8:$H$58,5),VLOOKUP(N1128,setup!$A$8:$H$58,8))</f>
        <v xml:space="preserve">        }</v>
      </c>
    </row>
    <row r="1129" spans="1:15" x14ac:dyDescent="0.25">
      <c r="A1129" s="29" t="s">
        <v>743</v>
      </c>
      <c r="N1129">
        <f t="shared" si="40"/>
        <v>50</v>
      </c>
      <c r="O1129" s="7" t="str">
        <f ca="1">getCodigoBackend(N1129,A1129,VLOOKUP(N1129,setup!$A$8:$H$58,2),VLOOKUP(N1129,setup!$A$8:$H$58,3),VLOOKUP(N1129,setup!$A$8:$H$58,4),VLOOKUP(N1129,setup!$A$8:$H$58,5),VLOOKUP(N1129,setup!$A$8:$H$58,6),VLOOKUP(N1129,setup!$A$8:$H$58,7), VLOOKUP(0,setup!$A$8:$H$58,2),VLOOKUP(0,setup!$A$8:$H$58,5),VLOOKUP(N1129,setup!$A$8:$H$58,8))</f>
        <v xml:space="preserve">        return $retorno;</v>
      </c>
    </row>
    <row r="1130" spans="1:15" x14ac:dyDescent="0.25">
      <c r="A1130" s="29" t="s">
        <v>406</v>
      </c>
      <c r="N1130">
        <f t="shared" si="40"/>
        <v>50</v>
      </c>
      <c r="O1130" s="7" t="str">
        <f ca="1">getCodigoBackend(N1130,A1130,VLOOKUP(N1130,setup!$A$8:$H$58,2),VLOOKUP(N1130,setup!$A$8:$H$58,3),VLOOKUP(N1130,setup!$A$8:$H$58,4),VLOOKUP(N1130,setup!$A$8:$H$58,5),VLOOKUP(N1130,setup!$A$8:$H$58,6),VLOOKUP(N1130,setup!$A$8:$H$58,7), VLOOKUP(0,setup!$A$8:$H$58,2),VLOOKUP(0,setup!$A$8:$H$58,5),VLOOKUP(N1130,setup!$A$8:$H$58,8))</f>
        <v xml:space="preserve">    }</v>
      </c>
    </row>
    <row r="1131" spans="1:15" x14ac:dyDescent="0.25">
      <c r="A1131" s="29"/>
      <c r="O1131" s="7" t="str">
        <f ca="1">getCodigoBackend(N1131,A1131,VLOOKUP(N1131,setup!$A$8:$H$58,2),VLOOKUP(N1131,setup!$A$8:$H$58,3),VLOOKUP(N1131,setup!$A$8:$H$58,4),VLOOKUP(N1131,setup!$A$8:$H$58,5),VLOOKUP(N1131,setup!$A$8:$H$58,6),VLOOKUP(N1131,setup!$A$8:$H$58,7), VLOOKUP(0,setup!$A$8:$H$58,2),VLOOKUP(0,setup!$A$8:$H$58,5),VLOOKUP(N1131,setup!$A$8:$H$58,8))</f>
        <v/>
      </c>
    </row>
    <row r="1132" spans="1:15" x14ac:dyDescent="0.25">
      <c r="A1132" s="6"/>
      <c r="O1132" s="7" t="str">
        <f ca="1">getCodigoBackend(N1132,A1132,VLOOKUP(N1132,setup!$A$8:$H$58,2),VLOOKUP(N1132,setup!$A$8:$H$58,3),VLOOKUP(N1132,setup!$A$8:$H$58,4),VLOOKUP(N1132,setup!$A$8:$H$58,5),VLOOKUP(N1132,setup!$A$8:$H$58,6),VLOOKUP(N1132,setup!$A$8:$H$58,7), VLOOKUP(0,setup!$A$8:$H$58,2),VLOOKUP(0,setup!$A$8:$H$58,5),VLOOKUP(N1132,setup!$A$8:$H$58,8))</f>
        <v/>
      </c>
    </row>
    <row r="1133" spans="1:15" x14ac:dyDescent="0.25">
      <c r="A1133" s="6"/>
      <c r="O1133" s="7" t="str">
        <f ca="1">getCodigoBackend(N1133,A1133,VLOOKUP(N1133,setup!$A$8:$H$58,2),VLOOKUP(N1133,setup!$A$8:$H$58,3),VLOOKUP(N1133,setup!$A$8:$H$58,4),VLOOKUP(N1133,setup!$A$8:$H$58,5),VLOOKUP(N1133,setup!$A$8:$H$58,6),VLOOKUP(N1133,setup!$A$8:$H$58,7), VLOOKUP(0,setup!$A$8:$H$58,2),VLOOKUP(0,setup!$A$8:$H$58,5),VLOOKUP(N1133,setup!$A$8:$H$58,8))</f>
        <v/>
      </c>
    </row>
    <row r="1134" spans="1:15" x14ac:dyDescent="0.25">
      <c r="A1134" s="6"/>
      <c r="O1134" s="7" t="str">
        <f ca="1">getCodigoBackend(N1134,A1134,VLOOKUP(N1134,setup!$A$8:$H$58,2),VLOOKUP(N1134,setup!$A$8:$H$58,3),VLOOKUP(N1134,setup!$A$8:$H$58,4),VLOOKUP(N1134,setup!$A$8:$H$58,5),VLOOKUP(N1134,setup!$A$8:$H$58,6),VLOOKUP(N1134,setup!$A$8:$H$58,7), VLOOKUP(0,setup!$A$8:$H$58,2),VLOOKUP(0,setup!$A$8:$H$58,5),VLOOKUP(N1134,setup!$A$8:$H$58,8))</f>
        <v/>
      </c>
    </row>
    <row r="1135" spans="1:15" x14ac:dyDescent="0.25">
      <c r="A1135" s="6"/>
      <c r="O1135" s="7" t="str">
        <f ca="1">getCodigoBackend(N1135,A1135,VLOOKUP(N1135,setup!$A$8:$H$58,2),VLOOKUP(N1135,setup!$A$8:$H$58,3),VLOOKUP(N1135,setup!$A$8:$H$58,4),VLOOKUP(N1135,setup!$A$8:$H$58,5),VLOOKUP(N1135,setup!$A$8:$H$58,6),VLOOKUP(N1135,setup!$A$8:$H$58,7), VLOOKUP(0,setup!$A$8:$H$58,2),VLOOKUP(0,setup!$A$8:$H$58,5),VLOOKUP(N1135,setup!$A$8:$H$58,8))</f>
        <v/>
      </c>
    </row>
    <row r="1136" spans="1:15" x14ac:dyDescent="0.25">
      <c r="A1136" s="6"/>
      <c r="O1136" s="7" t="str">
        <f ca="1">getCodigoBackend(N1136,A1136,VLOOKUP(N1136,setup!$A$8:$H$58,2),VLOOKUP(N1136,setup!$A$8:$H$58,3),VLOOKUP(N1136,setup!$A$8:$H$58,4),VLOOKUP(N1136,setup!$A$8:$H$58,5),VLOOKUP(N1136,setup!$A$8:$H$58,6),VLOOKUP(N1136,setup!$A$8:$H$58,7), VLOOKUP(0,setup!$A$8:$H$58,2),VLOOKUP(0,setup!$A$8:$H$58,5),VLOOKUP(N1136,setup!$A$8:$H$58,8))</f>
        <v/>
      </c>
    </row>
    <row r="1137" spans="1:15" x14ac:dyDescent="0.25">
      <c r="A1137" s="6"/>
      <c r="O1137" s="7" t="str">
        <f ca="1">getCodigoBackend(N1137,A1137,VLOOKUP(N1137,setup!$A$8:$H$58,2),VLOOKUP(N1137,setup!$A$8:$H$58,3),VLOOKUP(N1137,setup!$A$8:$H$58,4),VLOOKUP(N1137,setup!$A$8:$H$58,5),VLOOKUP(N1137,setup!$A$8:$H$58,6),VLOOKUP(N1137,setup!$A$8:$H$58,7), VLOOKUP(0,setup!$A$8:$H$58,2),VLOOKUP(0,setup!$A$8:$H$58,5),VLOOKUP(N1137,setup!$A$8:$H$58,8))</f>
        <v/>
      </c>
    </row>
    <row r="1138" spans="1:15" x14ac:dyDescent="0.25">
      <c r="O1138" s="7" t="str">
        <f ca="1">getCodigoBackend(N1138,A1138,VLOOKUP(N1138,setup!$A$8:$H$58,2),VLOOKUP(N1138,setup!$A$8:$H$58,3),VLOOKUP(N1138,setup!$A$8:$H$58,4),VLOOKUP(N1138,setup!$A$8:$H$58,5),VLOOKUP(N1138,setup!$A$8:$H$58,6),VLOOKUP(N1138,setup!$A$8:$H$58,7), VLOOKUP(0,setup!$A$8:$H$58,2),VLOOKUP(0,setup!$A$8:$H$58,5),VLOOKUP(N1138,setup!$A$8:$H$58,8))</f>
        <v/>
      </c>
    </row>
    <row r="1139" spans="1:15" x14ac:dyDescent="0.25">
      <c r="A1139" s="6" t="s">
        <v>28</v>
      </c>
      <c r="O1139" s="7" t="str">
        <f ca="1">getCodigoBackend(N1139,A1139,VLOOKUP(N1139,setup!$A$8:$H$58,2),VLOOKUP(N1139,setup!$A$8:$H$58,3),VLOOKUP(N1139,setup!$A$8:$H$58,4),VLOOKUP(N1139,setup!$A$8:$H$58,5),VLOOKUP(N1139,setup!$A$8:$H$58,6),VLOOKUP(N1139,setup!$A$8:$H$58,7), VLOOKUP(0,setup!$A$8:$H$58,2),VLOOKUP(0,setup!$A$8:$H$58,5),VLOOKUP(N1139,setup!$A$8:$H$58,8))</f>
        <v>}</v>
      </c>
    </row>
    <row r="1140" spans="1:15" x14ac:dyDescent="0.25">
      <c r="A1140" s="2" t="s">
        <v>29</v>
      </c>
      <c r="O1140" s="7" t="str">
        <f ca="1">getCodigoBackend(N1140,A1140,VLOOKUP(N1140,setup!$A$8:$H$58,2),VLOOKUP(N1140,setup!$A$8:$H$58,3),VLOOKUP(N1140,setup!$A$8:$H$58,4),VLOOKUP(N1140,setup!$A$8:$H$58,5),VLOOKUP(N1140,setup!$A$8:$H$58,6),VLOOKUP(N1140,setup!$A$8:$H$58,7), VLOOKUP(0,setup!$A$8:$H$58,2),VLOOKUP(0,setup!$A$8:$H$58,5),VLOOKUP(N1140,setup!$A$8:$H$58,8))</f>
        <v>?&gt;</v>
      </c>
    </row>
    <row r="1141" spans="1:15" x14ac:dyDescent="0.25">
      <c r="O1141" s="7" t="str">
        <f ca="1">getCodigoBackend(N1141,A1141,VLOOKUP(N1141,setup!$A$8:$H$58,2),VLOOKUP(N1141,setup!$A$8:$H$58,3),VLOOKUP(N1141,setup!$A$8:$H$58,4),VLOOKUP(N1141,setup!$A$8:$H$58,5),VLOOKUP(N1141,setup!$A$8:$H$58,6),VLOOKUP(N1141,setup!$A$8:$H$58,7), VLOOKUP(0,setup!$A$8:$H$58,2),VLOOKUP(0,setup!$A$8:$H$58,5),VLOOKUP(N1141,setup!$A$8:$H$58,8))</f>
        <v/>
      </c>
    </row>
    <row r="1142" spans="1:15" x14ac:dyDescent="0.25">
      <c r="O1142" s="7" t="str">
        <f ca="1">getCodigoBackend(N1142,A1142,VLOOKUP(N1142,setup!$A$8:$H$58,2),VLOOKUP(N1142,setup!$A$8:$H$58,3),VLOOKUP(N1142,setup!$A$8:$H$58,4),VLOOKUP(N1142,setup!$A$8:$H$58,5),VLOOKUP(N1142,setup!$A$8:$H$58,6),VLOOKUP(N1142,setup!$A$8:$H$58,7), VLOOKUP(0,setup!$A$8:$H$58,2),VLOOKUP(0,setup!$A$8:$H$58,5),VLOOKUP(N1142,setup!$A$8:$H$58,8))</f>
        <v/>
      </c>
    </row>
    <row r="1143" spans="1:15" x14ac:dyDescent="0.25">
      <c r="O1143" s="7" t="str">
        <f ca="1">getCodigoBackend(N1143,A1143,VLOOKUP(N1143,setup!$A$8:$H$58,2),VLOOKUP(N1143,setup!$A$8:$H$58,3),VLOOKUP(N1143,setup!$A$8:$H$58,4),VLOOKUP(N1143,setup!$A$8:$H$58,5),VLOOKUP(N1143,setup!$A$8:$H$58,6),VLOOKUP(N1143,setup!$A$8:$H$58,7), VLOOKUP(0,setup!$A$8:$H$58,2),VLOOKUP(0,setup!$A$8:$H$58,5),VLOOKUP(N1143,setup!$A$8:$H$58,8))</f>
        <v/>
      </c>
    </row>
    <row r="1144" spans="1:15" x14ac:dyDescent="0.25">
      <c r="O1144" t="str">
        <f>SUBSTITUTE(SUBSTITUTE(A1144,"${dto}",setup!$C$3),"${pk}",setup!$E$8)</f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D272BB-4151-464E-835E-8CE02C2BF2CD}">
  <sheetPr codeName="Sheet10"/>
  <dimension ref="A1:O199"/>
  <sheetViews>
    <sheetView workbookViewId="0">
      <selection activeCell="O4" sqref="O4"/>
    </sheetView>
  </sheetViews>
  <sheetFormatPr defaultRowHeight="15" x14ac:dyDescent="0.25"/>
  <sheetData>
    <row r="1" spans="1:15" x14ac:dyDescent="0.25">
      <c r="O1" t="s">
        <v>74</v>
      </c>
    </row>
    <row r="3" spans="1:15" x14ac:dyDescent="0.25">
      <c r="A3" s="6" t="s">
        <v>324</v>
      </c>
      <c r="O3" s="7" t="str">
        <f ca="1">getCodigoBackend(N3,A3,VLOOKUP(N3,setup!$A$8:$H$58,2),VLOOKUP(N3,setup!$A$8:$H$58,3),VLOOKUP(N3,setup!$A$8:$H$58,4),VLOOKUP(N3,setup!$A$8:$H$58,5),VLOOKUP(N3,setup!$A$8:$H$58,6),VLOOKUP(N3,setup!$A$8:$H$58,7), VLOOKUP(0,setup!$A$8:$H$58,2),VLOOKUP(0,setup!$A$8:$H$58,5),VLOOKUP(N3,setup!$A$8:$H$58,8))</f>
        <v>    // método a ser implementado na DAOFactory</v>
      </c>
    </row>
    <row r="4" spans="1:15" x14ac:dyDescent="0.25">
      <c r="A4" s="6" t="s">
        <v>323</v>
      </c>
      <c r="O4" s="7" t="str">
        <f ca="1">getCodigoBackend(N4,A4,VLOOKUP(N4,setup!$A$8:$H$58,2),VLOOKUP(N4,setup!$A$8:$H$58,3),VLOOKUP(N4,setup!$A$8:$H$58,4),VLOOKUP(N4,setup!$A$8:$H$58,5),VLOOKUP(N4,setup!$A$8:$H$58,6),VLOOKUP(N4,setup!$A$8:$H$58,7), VLOOKUP(0,setup!$A$8:$H$58,2),VLOOKUP(0,setup!$A$8:$H$58,5),VLOOKUP(N4,setup!$A$8:$H$58,8))</f>
        <v>    public abstract function getCampanhaCashbackResgatePixDAO($daofactory);</v>
      </c>
    </row>
    <row r="5" spans="1:15" x14ac:dyDescent="0.25">
      <c r="A5" s="4"/>
      <c r="O5" t="str">
        <f>SUBSTITUTE(SUBSTITUTE(A5,"${dto}",setup!$C$3),"${pk}",setup!$E$8)</f>
        <v/>
      </c>
    </row>
    <row r="6" spans="1:15" x14ac:dyDescent="0.25">
      <c r="A6" s="4"/>
      <c r="O6" t="str">
        <f>SUBSTITUTE(SUBSTITUTE(A6,"${dto}",setup!$C$3),"${pk}",setup!$E$8)</f>
        <v/>
      </c>
    </row>
    <row r="7" spans="1:15" x14ac:dyDescent="0.25">
      <c r="A7" s="6"/>
      <c r="O7" t="str">
        <f>SUBSTITUTE(SUBSTITUTE(A7,"${dto}",setup!$C$3),"${pk}",setup!$E$8)</f>
        <v/>
      </c>
    </row>
    <row r="8" spans="1:15" x14ac:dyDescent="0.25">
      <c r="A8" s="6"/>
      <c r="O8" t="str">
        <f>SUBSTITUTE(SUBSTITUTE(A8,"${dto}",setup!$C$3),"${pk}",setup!$E$8)</f>
        <v/>
      </c>
    </row>
    <row r="9" spans="1:15" x14ac:dyDescent="0.25">
      <c r="A9" s="6"/>
      <c r="O9" t="str">
        <f>SUBSTITUTE(SUBSTITUTE(A9,"${dto}",setup!$C$3),"${pk}",setup!$E$8)</f>
        <v/>
      </c>
    </row>
    <row r="10" spans="1:15" x14ac:dyDescent="0.25">
      <c r="A10" s="6"/>
      <c r="O10" t="str">
        <f>SUBSTITUTE(SUBSTITUTE(A10,"${dto}",setup!$C$3),"${pk}",setup!$E$8)</f>
        <v/>
      </c>
    </row>
    <row r="11" spans="1:15" x14ac:dyDescent="0.25">
      <c r="A11" s="5"/>
      <c r="O11" t="str">
        <f>SUBSTITUTE(SUBSTITUTE(A11,"${dto}",setup!$C$3),"${pk}",setup!$E$8)</f>
        <v/>
      </c>
    </row>
    <row r="12" spans="1:15" x14ac:dyDescent="0.25">
      <c r="A12" s="3"/>
      <c r="O12" t="str">
        <f>SUBSTITUTE(SUBSTITUTE(A12,"${dto}",setup!$C$3),"${pk}",setup!$E$8)</f>
        <v/>
      </c>
    </row>
    <row r="13" spans="1:15" x14ac:dyDescent="0.25">
      <c r="A13" s="2"/>
      <c r="O13" t="str">
        <f>SUBSTITUTE(SUBSTITUTE(A13,"${dto}",setup!$C$3),"${pk}",setup!$E$8)</f>
        <v/>
      </c>
    </row>
    <row r="14" spans="1:15" x14ac:dyDescent="0.25">
      <c r="A14" s="6"/>
      <c r="O14" t="str">
        <f>SUBSTITUTE(SUBSTITUTE(A14,"${dto}",setup!$C$3),"${pk}",setup!$E$8)</f>
        <v/>
      </c>
    </row>
    <row r="15" spans="1:15" x14ac:dyDescent="0.25">
      <c r="A15" s="6"/>
      <c r="O15" t="str">
        <f>SUBSTITUTE(SUBSTITUTE(A15,"${dto}",setup!$C$3),"${pk}",setup!$E$8)</f>
        <v/>
      </c>
    </row>
    <row r="16" spans="1:15" x14ac:dyDescent="0.25">
      <c r="A16" s="6"/>
      <c r="O16" t="str">
        <f>SUBSTITUTE(SUBSTITUTE(A16,"${dto}",setup!$C$3),"${pk}",setup!$E$8)</f>
        <v/>
      </c>
    </row>
    <row r="17" spans="1:15" x14ac:dyDescent="0.25">
      <c r="A17" s="6"/>
      <c r="O17" t="str">
        <f>SUBSTITUTE(SUBSTITUTE(A17,"${dto}",setup!$C$3),"${pk}",setup!$E$8)</f>
        <v/>
      </c>
    </row>
    <row r="18" spans="1:15" x14ac:dyDescent="0.25">
      <c r="A18" s="6"/>
      <c r="O18" t="str">
        <f>SUBSTITUTE(SUBSTITUTE(A18,"${dto}",setup!$C$3),"${pk}",setup!$E$8)</f>
        <v/>
      </c>
    </row>
    <row r="19" spans="1:15" x14ac:dyDescent="0.25">
      <c r="A19" s="6"/>
      <c r="O19" t="str">
        <f>SUBSTITUTE(SUBSTITUTE(A19,"${dto}",setup!$C$3),"${pk}",setup!$E$8)</f>
        <v/>
      </c>
    </row>
    <row r="20" spans="1:15" x14ac:dyDescent="0.25">
      <c r="A20" s="6"/>
      <c r="O20" t="str">
        <f>SUBSTITUTE(SUBSTITUTE(A20,"${dto}",setup!$C$3),"${pk}",setup!$E$8)</f>
        <v/>
      </c>
    </row>
    <row r="21" spans="1:15" x14ac:dyDescent="0.25">
      <c r="A21" s="6"/>
      <c r="O21" t="str">
        <f>SUBSTITUTE(SUBSTITUTE(A21,"${dto}",setup!$C$3),"${pk}",setup!$E$8)</f>
        <v/>
      </c>
    </row>
    <row r="22" spans="1:15" x14ac:dyDescent="0.25">
      <c r="A22" s="6"/>
      <c r="O22" t="str">
        <f>SUBSTITUTE(SUBSTITUTE(A22,"${dto}",setup!$C$3),"${pk}",setup!$E$8)</f>
        <v/>
      </c>
    </row>
    <row r="23" spans="1:15" x14ac:dyDescent="0.25">
      <c r="A23" s="6"/>
      <c r="O23" t="str">
        <f>SUBSTITUTE(SUBSTITUTE(A23,"${dto}",setup!$C$3),"${pk}",setup!$E$8)</f>
        <v/>
      </c>
    </row>
    <row r="24" spans="1:15" x14ac:dyDescent="0.25">
      <c r="A24" s="6"/>
      <c r="O24" t="str">
        <f>SUBSTITUTE(SUBSTITUTE(A24,"${dto}",setup!$C$3),"${pk}",setup!$E$8)</f>
        <v/>
      </c>
    </row>
    <row r="25" spans="1:15" x14ac:dyDescent="0.25">
      <c r="A25" s="6"/>
      <c r="O25" t="str">
        <f>SUBSTITUTE(SUBSTITUTE(A25,"${dto}",setup!$C$3),"${pk}",setup!$E$8)</f>
        <v/>
      </c>
    </row>
    <row r="26" spans="1:15" x14ac:dyDescent="0.25">
      <c r="A26" s="6"/>
      <c r="O26" t="str">
        <f>SUBSTITUTE(SUBSTITUTE(A26,"${dto}",setup!$C$3),"${pk}",setup!$E$8)</f>
        <v/>
      </c>
    </row>
    <row r="27" spans="1:15" x14ac:dyDescent="0.25">
      <c r="A27" s="6"/>
      <c r="O27" t="str">
        <f>SUBSTITUTE(SUBSTITUTE(A27,"${dto}",setup!$C$3),"${pk}",setup!$E$8)</f>
        <v/>
      </c>
    </row>
    <row r="28" spans="1:15" x14ac:dyDescent="0.25">
      <c r="A28" s="6"/>
      <c r="O28" t="str">
        <f>SUBSTITUTE(SUBSTITUTE(A28,"${dto}",setup!$C$3),"${pk}",setup!$E$8)</f>
        <v/>
      </c>
    </row>
    <row r="29" spans="1:15" x14ac:dyDescent="0.25">
      <c r="A29" s="6"/>
      <c r="O29" t="str">
        <f>SUBSTITUTE(SUBSTITUTE(A29,"${dto}",setup!$C$3),"${pk}",setup!$E$8)</f>
        <v/>
      </c>
    </row>
    <row r="30" spans="1:15" x14ac:dyDescent="0.25">
      <c r="A30" s="3"/>
      <c r="O30" t="str">
        <f>SUBSTITUTE(SUBSTITUTE(A30,"${dto}",setup!$C$3),"${pk}",setup!$E$8)</f>
        <v/>
      </c>
    </row>
    <row r="31" spans="1:15" x14ac:dyDescent="0.25">
      <c r="A31" s="3"/>
      <c r="O31" t="str">
        <f>SUBSTITUTE(SUBSTITUTE(A31,"${dto}",setup!$C$3),"${pk}",setup!$E$8)</f>
        <v/>
      </c>
    </row>
    <row r="32" spans="1:15" x14ac:dyDescent="0.25">
      <c r="A32" s="6"/>
      <c r="O32" t="str">
        <f>SUBSTITUTE(SUBSTITUTE(A32,"${dto}",setup!$C$3),"${pk}",setup!$E$8)</f>
        <v/>
      </c>
    </row>
    <row r="33" spans="1:15" x14ac:dyDescent="0.25">
      <c r="A33" s="3"/>
      <c r="O33" t="str">
        <f>SUBSTITUTE(SUBSTITUTE(A33,"${dto}",setup!$C$3),"${pk}",setup!$E$8)</f>
        <v/>
      </c>
    </row>
    <row r="34" spans="1:15" x14ac:dyDescent="0.25">
      <c r="A34" s="2"/>
      <c r="O34" t="str">
        <f>SUBSTITUTE(SUBSTITUTE(A34,"${dto}",setup!$C$3),"${pk}",setup!$E$8)</f>
        <v/>
      </c>
    </row>
    <row r="35" spans="1:15" x14ac:dyDescent="0.25">
      <c r="A35" s="6"/>
      <c r="O35" t="str">
        <f>SUBSTITUTE(SUBSTITUTE(A35,"${dto}",setup!$C$3),"${pk}",setup!$E$8)</f>
        <v/>
      </c>
    </row>
    <row r="36" spans="1:15" x14ac:dyDescent="0.25">
      <c r="A36" s="6"/>
      <c r="O36" t="str">
        <f>SUBSTITUTE(SUBSTITUTE(A36,"${dto}",setup!$C$3),"${pk}",setup!$E$8)</f>
        <v/>
      </c>
    </row>
    <row r="37" spans="1:15" x14ac:dyDescent="0.25">
      <c r="A37" s="6"/>
      <c r="O37" t="str">
        <f>SUBSTITUTE(SUBSTITUTE(A37,"${dto}",setup!$C$3),"${pk}",setup!$E$8)</f>
        <v/>
      </c>
    </row>
    <row r="38" spans="1:15" x14ac:dyDescent="0.25">
      <c r="A38" s="6"/>
      <c r="O38" t="str">
        <f>SUBSTITUTE(SUBSTITUTE(A38,"${dto}",setup!$C$3),"${pk}",setup!$E$8)</f>
        <v/>
      </c>
    </row>
    <row r="39" spans="1:15" x14ac:dyDescent="0.25">
      <c r="A39" s="6"/>
      <c r="O39" t="str">
        <f>SUBSTITUTE(SUBSTITUTE(A39,"${dto}",setup!$C$3),"${pk}",setup!$E$8)</f>
        <v/>
      </c>
    </row>
    <row r="40" spans="1:15" x14ac:dyDescent="0.25">
      <c r="A40" s="6"/>
      <c r="O40" t="str">
        <f>SUBSTITUTE(SUBSTITUTE(A40,"${dto}",setup!$C$3),"${pk}",setup!$E$8)</f>
        <v/>
      </c>
    </row>
    <row r="41" spans="1:15" x14ac:dyDescent="0.25">
      <c r="A41" s="3"/>
      <c r="O41" t="str">
        <f>SUBSTITUTE(SUBSTITUTE(A41,"${dto}",setup!$C$3),"${pk}",setup!$E$8)</f>
        <v/>
      </c>
    </row>
    <row r="42" spans="1:15" x14ac:dyDescent="0.25">
      <c r="A42" s="6"/>
      <c r="O42" t="str">
        <f>SUBSTITUTE(SUBSTITUTE(A42,"${dto}",setup!$C$3),"${pk}",setup!$E$8)</f>
        <v/>
      </c>
    </row>
    <row r="43" spans="1:15" x14ac:dyDescent="0.25">
      <c r="A43" s="6"/>
      <c r="O43" t="str">
        <f>SUBSTITUTE(SUBSTITUTE(A43,"${dto}",setup!$C$3),"${pk}",setup!$E$8)</f>
        <v/>
      </c>
    </row>
    <row r="44" spans="1:15" x14ac:dyDescent="0.25">
      <c r="A44" s="6"/>
      <c r="O44" t="str">
        <f>SUBSTITUTE(SUBSTITUTE(A44,"${dto}",setup!$C$3),"${pk}",setup!$E$8)</f>
        <v/>
      </c>
    </row>
    <row r="45" spans="1:15" x14ac:dyDescent="0.25">
      <c r="A45" s="6"/>
      <c r="O45" t="str">
        <f>SUBSTITUTE(SUBSTITUTE(A45,"${dto}",setup!$C$3),"${pk}",setup!$E$8)</f>
        <v/>
      </c>
    </row>
    <row r="46" spans="1:15" x14ac:dyDescent="0.25">
      <c r="A46" s="6"/>
      <c r="O46" t="str">
        <f>SUBSTITUTE(SUBSTITUTE(A46,"${dto}",setup!$C$3),"${pk}",setup!$E$8)</f>
        <v/>
      </c>
    </row>
    <row r="47" spans="1:15" x14ac:dyDescent="0.25">
      <c r="A47" s="6"/>
      <c r="O47" t="str">
        <f>SUBSTITUTE(SUBSTITUTE(A47,"${dto}",setup!$C$3),"${pk}",setup!$E$8)</f>
        <v/>
      </c>
    </row>
    <row r="48" spans="1:15" x14ac:dyDescent="0.25">
      <c r="A48" s="6"/>
      <c r="O48" t="str">
        <f>SUBSTITUTE(SUBSTITUTE(A48,"${dto}",setup!$C$3),"${pk}",setup!$E$8)</f>
        <v/>
      </c>
    </row>
    <row r="49" spans="1:15" x14ac:dyDescent="0.25">
      <c r="A49" s="6"/>
      <c r="O49" t="str">
        <f>SUBSTITUTE(SUBSTITUTE(A49,"${dto}",setup!$C$3),"${pk}",setup!$E$8)</f>
        <v/>
      </c>
    </row>
    <row r="50" spans="1:15" x14ac:dyDescent="0.25">
      <c r="A50" s="6"/>
      <c r="O50" t="str">
        <f>SUBSTITUTE(SUBSTITUTE(A50,"${dto}",setup!$C$3),"${pk}",setup!$E$8)</f>
        <v/>
      </c>
    </row>
    <row r="51" spans="1:15" x14ac:dyDescent="0.25">
      <c r="A51" s="3"/>
      <c r="O51" t="str">
        <f>SUBSTITUTE(SUBSTITUTE(A51,"${dto}",setup!$C$3),"${pk}",setup!$E$8)</f>
        <v/>
      </c>
    </row>
    <row r="52" spans="1:15" x14ac:dyDescent="0.25">
      <c r="A52" s="6"/>
      <c r="O52" t="str">
        <f>SUBSTITUTE(SUBSTITUTE(A52,"${dto}",setup!$C$3),"${pk}",setup!$E$8)</f>
        <v/>
      </c>
    </row>
    <row r="53" spans="1:15" x14ac:dyDescent="0.25">
      <c r="A53" s="6"/>
      <c r="O53" t="str">
        <f>SUBSTITUTE(SUBSTITUTE(A53,"${dto}",setup!$C$3),"${pk}",setup!$E$8)</f>
        <v/>
      </c>
    </row>
    <row r="54" spans="1:15" x14ac:dyDescent="0.25">
      <c r="A54" s="6"/>
      <c r="O54" t="str">
        <f>SUBSTITUTE(SUBSTITUTE(A54,"${dto}",setup!$C$3),"${pk}",setup!$E$8)</f>
        <v/>
      </c>
    </row>
    <row r="55" spans="1:15" x14ac:dyDescent="0.25">
      <c r="A55" s="6"/>
      <c r="O55" t="str">
        <f>SUBSTITUTE(SUBSTITUTE(A55,"${dto}",setup!$C$3),"${pk}",setup!$E$8)</f>
        <v/>
      </c>
    </row>
    <row r="56" spans="1:15" x14ac:dyDescent="0.25">
      <c r="A56" s="6"/>
      <c r="O56" t="str">
        <f>SUBSTITUTE(SUBSTITUTE(A56,"${dto}",setup!$C$3),"${pk}",setup!$E$8)</f>
        <v/>
      </c>
    </row>
    <row r="57" spans="1:15" x14ac:dyDescent="0.25">
      <c r="A57" s="6"/>
      <c r="O57" t="str">
        <f>SUBSTITUTE(SUBSTITUTE(A57,"${dto}",setup!$C$3),"${pk}",setup!$E$8)</f>
        <v/>
      </c>
    </row>
    <row r="58" spans="1:15" x14ac:dyDescent="0.25">
      <c r="A58" s="6"/>
      <c r="O58" t="str">
        <f>SUBSTITUTE(SUBSTITUTE(A58,"${dto}",setup!$C$3),"${pk}",setup!$E$8)</f>
        <v/>
      </c>
    </row>
    <row r="59" spans="1:15" x14ac:dyDescent="0.25">
      <c r="A59" s="3"/>
      <c r="O59" t="str">
        <f>SUBSTITUTE(SUBSTITUTE(A59,"${dto}",setup!$C$3),"${pk}",setup!$E$8)</f>
        <v/>
      </c>
    </row>
    <row r="60" spans="1:15" x14ac:dyDescent="0.25">
      <c r="A60" s="6"/>
      <c r="O60" t="str">
        <f>SUBSTITUTE(SUBSTITUTE(A60,"${dto}",setup!$C$3),"${pk}",setup!$E$8)</f>
        <v/>
      </c>
    </row>
    <row r="61" spans="1:15" x14ac:dyDescent="0.25">
      <c r="A61" s="6"/>
      <c r="O61" t="str">
        <f>SUBSTITUTE(SUBSTITUTE(A61,"${dto}",setup!$C$3),"${pk}",setup!$E$8)</f>
        <v/>
      </c>
    </row>
    <row r="62" spans="1:15" x14ac:dyDescent="0.25">
      <c r="A62" s="3"/>
      <c r="O62" t="str">
        <f>SUBSTITUTE(SUBSTITUTE(A62,"${dto}",setup!$C$3),"${pk}",setup!$E$8)</f>
        <v/>
      </c>
    </row>
    <row r="63" spans="1:15" x14ac:dyDescent="0.25">
      <c r="A63" s="3"/>
      <c r="O63" t="str">
        <f>SUBSTITUTE(SUBSTITUTE(A63,"${dto}",setup!$C$3),"${pk}",setup!$E$8)</f>
        <v/>
      </c>
    </row>
    <row r="64" spans="1:15" x14ac:dyDescent="0.25">
      <c r="A64" s="6"/>
      <c r="O64" t="str">
        <f>SUBSTITUTE(SUBSTITUTE(A64,"${dto}",setup!$C$3),"${pk}",setup!$E$8)</f>
        <v/>
      </c>
    </row>
    <row r="65" spans="1:15" x14ac:dyDescent="0.25">
      <c r="A65" s="6"/>
      <c r="O65" t="str">
        <f>SUBSTITUTE(SUBSTITUTE(A65,"${dto}",setup!$C$3),"${pk}",setup!$E$8)</f>
        <v/>
      </c>
    </row>
    <row r="66" spans="1:15" x14ac:dyDescent="0.25">
      <c r="A66" s="6"/>
      <c r="O66" t="str">
        <f>SUBSTITUTE(SUBSTITUTE(A66,"${dto}",setup!$C$3),"${pk}",setup!$E$8)</f>
        <v/>
      </c>
    </row>
    <row r="67" spans="1:15" x14ac:dyDescent="0.25">
      <c r="A67" s="6"/>
      <c r="O67" t="str">
        <f>SUBSTITUTE(SUBSTITUTE(A67,"${dto}",setup!$C$3),"${pk}",setup!$E$8)</f>
        <v/>
      </c>
    </row>
    <row r="68" spans="1:15" x14ac:dyDescent="0.25">
      <c r="A68" s="6"/>
      <c r="O68" t="str">
        <f>SUBSTITUTE(SUBSTITUTE(A68,"${dto}",setup!$C$3),"${pk}",setup!$E$8)</f>
        <v/>
      </c>
    </row>
    <row r="69" spans="1:15" x14ac:dyDescent="0.25">
      <c r="A69" s="6"/>
      <c r="O69" t="str">
        <f>SUBSTITUTE(SUBSTITUTE(A69,"${dto}",setup!$C$3),"${pk}",setup!$E$8)</f>
        <v/>
      </c>
    </row>
    <row r="70" spans="1:15" x14ac:dyDescent="0.25">
      <c r="A70" s="6"/>
      <c r="O70" t="str">
        <f>SUBSTITUTE(SUBSTITUTE(A70,"${dto}",setup!$C$3),"${pk}",setup!$E$8)</f>
        <v/>
      </c>
    </row>
    <row r="71" spans="1:15" x14ac:dyDescent="0.25">
      <c r="A71" s="6"/>
      <c r="O71" t="str">
        <f>SUBSTITUTE(SUBSTITUTE(A71,"${dto}",setup!$C$3),"${pk}",setup!$E$8)</f>
        <v/>
      </c>
    </row>
    <row r="72" spans="1:15" x14ac:dyDescent="0.25">
      <c r="A72" s="6"/>
      <c r="O72" t="str">
        <f>SUBSTITUTE(SUBSTITUTE(A72,"${dto}",setup!$C$3),"${pk}",setup!$E$8)</f>
        <v/>
      </c>
    </row>
    <row r="73" spans="1:15" x14ac:dyDescent="0.25">
      <c r="A73" s="6"/>
      <c r="O73" t="str">
        <f>SUBSTITUTE(SUBSTITUTE(A73,"${dto}",setup!$C$3),"${pk}",setup!$E$8)</f>
        <v/>
      </c>
    </row>
    <row r="74" spans="1:15" x14ac:dyDescent="0.25">
      <c r="A74" s="6"/>
      <c r="O74" t="str">
        <f>SUBSTITUTE(SUBSTITUTE(A74,"${dto}",setup!$C$3),"${pk}",setup!$E$8)</f>
        <v/>
      </c>
    </row>
    <row r="75" spans="1:15" x14ac:dyDescent="0.25">
      <c r="A75" s="6"/>
      <c r="O75" t="str">
        <f>SUBSTITUTE(SUBSTITUTE(A75,"${dto}",setup!$C$3),"${pk}",setup!$E$8)</f>
        <v/>
      </c>
    </row>
    <row r="76" spans="1:15" x14ac:dyDescent="0.25">
      <c r="A76" s="6"/>
      <c r="O76" t="str">
        <f>SUBSTITUTE(SUBSTITUTE(A76,"${dto}",setup!$C$3),"${pk}",setup!$E$8)</f>
        <v/>
      </c>
    </row>
    <row r="77" spans="1:15" x14ac:dyDescent="0.25">
      <c r="A77" s="6"/>
      <c r="O77" t="str">
        <f>SUBSTITUTE(SUBSTITUTE(A77,"${dto}",setup!$C$3),"${pk}",setup!$E$8)</f>
        <v/>
      </c>
    </row>
    <row r="78" spans="1:15" x14ac:dyDescent="0.25">
      <c r="A78" s="3"/>
      <c r="O78" t="str">
        <f>SUBSTITUTE(SUBSTITUTE(A78,"${dto}",setup!$C$3),"${pk}",setup!$E$8)</f>
        <v/>
      </c>
    </row>
    <row r="79" spans="1:15" x14ac:dyDescent="0.25">
      <c r="A79" s="6"/>
      <c r="O79" t="str">
        <f>SUBSTITUTE(SUBSTITUTE(A79,"${dto}",setup!$C$3),"${pk}",setup!$E$8)</f>
        <v/>
      </c>
    </row>
    <row r="80" spans="1:15" x14ac:dyDescent="0.25">
      <c r="A80" s="6"/>
      <c r="O80" t="str">
        <f>SUBSTITUTE(SUBSTITUTE(A80,"${dto}",setup!$C$3),"${pk}",setup!$E$8)</f>
        <v/>
      </c>
    </row>
    <row r="81" spans="1:15" x14ac:dyDescent="0.25">
      <c r="A81" s="6"/>
      <c r="O81" t="str">
        <f>SUBSTITUTE(SUBSTITUTE(A81,"${dto}",setup!$C$3),"${pk}",setup!$E$8)</f>
        <v/>
      </c>
    </row>
    <row r="82" spans="1:15" x14ac:dyDescent="0.25">
      <c r="A82" s="6"/>
      <c r="O82" t="str">
        <f>SUBSTITUTE(SUBSTITUTE(A82,"${dto}",setup!$C$3),"${pk}",setup!$E$8)</f>
        <v/>
      </c>
    </row>
    <row r="83" spans="1:15" x14ac:dyDescent="0.25">
      <c r="A83" s="6"/>
      <c r="O83" t="str">
        <f>SUBSTITUTE(SUBSTITUTE(A83,"${dto}",setup!$C$3),"${pk}",setup!$E$8)</f>
        <v/>
      </c>
    </row>
    <row r="84" spans="1:15" x14ac:dyDescent="0.25">
      <c r="A84" s="6"/>
      <c r="O84" t="str">
        <f>SUBSTITUTE(SUBSTITUTE(A84,"${dto}",setup!$C$3),"${pk}",setup!$E$8)</f>
        <v/>
      </c>
    </row>
    <row r="85" spans="1:15" x14ac:dyDescent="0.25">
      <c r="A85" s="6"/>
      <c r="O85" t="str">
        <f>SUBSTITUTE(SUBSTITUTE(A85,"${dto}",setup!$C$3),"${pk}",setup!$E$8)</f>
        <v/>
      </c>
    </row>
    <row r="86" spans="1:15" x14ac:dyDescent="0.25">
      <c r="A86" s="6"/>
      <c r="O86" t="str">
        <f>SUBSTITUTE(SUBSTITUTE(A86,"${dto}",setup!$C$3),"${pk}",setup!$E$8)</f>
        <v/>
      </c>
    </row>
    <row r="87" spans="1:15" x14ac:dyDescent="0.25">
      <c r="A87" s="6"/>
      <c r="O87" t="str">
        <f>SUBSTITUTE(SUBSTITUTE(A87,"${dto}",setup!$C$3),"${pk}",setup!$E$8)</f>
        <v/>
      </c>
    </row>
    <row r="88" spans="1:15" x14ac:dyDescent="0.25">
      <c r="A88" s="3"/>
      <c r="O88" t="str">
        <f>SUBSTITUTE(SUBSTITUTE(A88,"${dto}",setup!$C$3),"${pk}",setup!$E$8)</f>
        <v/>
      </c>
    </row>
    <row r="89" spans="1:15" x14ac:dyDescent="0.25">
      <c r="A89" s="6"/>
      <c r="O89" t="str">
        <f>SUBSTITUTE(SUBSTITUTE(A89,"${dto}",setup!$C$3),"${pk}",setup!$E$8)</f>
        <v/>
      </c>
    </row>
    <row r="90" spans="1:15" x14ac:dyDescent="0.25">
      <c r="A90" s="6"/>
      <c r="O90" t="str">
        <f>SUBSTITUTE(SUBSTITUTE(A90,"${dto}",setup!$C$3),"${pk}",setup!$E$8)</f>
        <v/>
      </c>
    </row>
    <row r="91" spans="1:15" x14ac:dyDescent="0.25">
      <c r="A91" s="6"/>
      <c r="O91" t="str">
        <f>SUBSTITUTE(SUBSTITUTE(A91,"${dto}",setup!$C$3),"${pk}",setup!$E$8)</f>
        <v/>
      </c>
    </row>
    <row r="92" spans="1:15" x14ac:dyDescent="0.25">
      <c r="A92" s="6"/>
      <c r="O92" t="str">
        <f>SUBSTITUTE(SUBSTITUTE(A92,"${dto}",setup!$C$3),"${pk}",setup!$E$8)</f>
        <v/>
      </c>
    </row>
    <row r="93" spans="1:15" x14ac:dyDescent="0.25">
      <c r="A93" s="6"/>
      <c r="O93" t="str">
        <f>SUBSTITUTE(SUBSTITUTE(A93,"${dto}",setup!$C$3),"${pk}",setup!$E$8)</f>
        <v/>
      </c>
    </row>
    <row r="94" spans="1:15" x14ac:dyDescent="0.25">
      <c r="A94" s="6"/>
      <c r="O94" t="str">
        <f>SUBSTITUTE(SUBSTITUTE(A94,"${dto}",setup!$C$3),"${pk}",setup!$E$8)</f>
        <v/>
      </c>
    </row>
    <row r="95" spans="1:15" x14ac:dyDescent="0.25">
      <c r="A95" s="6"/>
      <c r="O95" t="str">
        <f>SUBSTITUTE(SUBSTITUTE(A95,"${dto}",setup!$C$3),"${pk}",setup!$E$8)</f>
        <v/>
      </c>
    </row>
    <row r="96" spans="1:15" x14ac:dyDescent="0.25">
      <c r="A96" s="3"/>
      <c r="O96" t="str">
        <f>SUBSTITUTE(SUBSTITUTE(A96,"${dto}",setup!$C$3),"${pk}",setup!$E$8)</f>
        <v/>
      </c>
    </row>
    <row r="97" spans="1:15" x14ac:dyDescent="0.25">
      <c r="A97" s="6"/>
      <c r="O97" t="str">
        <f>SUBSTITUTE(SUBSTITUTE(A97,"${dto}",setup!$C$3),"${pk}",setup!$E$8)</f>
        <v/>
      </c>
    </row>
    <row r="98" spans="1:15" x14ac:dyDescent="0.25">
      <c r="A98" s="6"/>
      <c r="O98" t="str">
        <f>SUBSTITUTE(SUBSTITUTE(A98,"${dto}",setup!$C$3),"${pk}",setup!$E$8)</f>
        <v/>
      </c>
    </row>
    <row r="99" spans="1:15" x14ac:dyDescent="0.25">
      <c r="A99" s="3"/>
      <c r="O99" t="str">
        <f>SUBSTITUTE(SUBSTITUTE(A99,"${dto}",setup!$C$3),"${pk}",setup!$E$8)</f>
        <v/>
      </c>
    </row>
    <row r="100" spans="1:15" x14ac:dyDescent="0.25">
      <c r="A100" s="3"/>
      <c r="O100" t="str">
        <f>SUBSTITUTE(SUBSTITUTE(A100,"${dto}",setup!$C$3),"${pk}",setup!$E$8)</f>
        <v/>
      </c>
    </row>
    <row r="101" spans="1:15" x14ac:dyDescent="0.25">
      <c r="A101" s="6"/>
      <c r="O101" t="str">
        <f>SUBSTITUTE(SUBSTITUTE(A101,"${dto}",setup!$C$3),"${pk}",setup!$E$8)</f>
        <v/>
      </c>
    </row>
    <row r="102" spans="1:15" x14ac:dyDescent="0.25">
      <c r="A102" s="6"/>
      <c r="O102" t="str">
        <f>SUBSTITUTE(SUBSTITUTE(A102,"${dto}",setup!$C$3),"${pk}",setup!$E$8)</f>
        <v/>
      </c>
    </row>
    <row r="103" spans="1:15" x14ac:dyDescent="0.25">
      <c r="A103" s="6"/>
      <c r="O103" t="str">
        <f>SUBSTITUTE(SUBSTITUTE(A103,"${dto}",setup!$C$3),"${pk}",setup!$E$8)</f>
        <v/>
      </c>
    </row>
    <row r="104" spans="1:15" x14ac:dyDescent="0.25">
      <c r="A104" s="6"/>
      <c r="O104" t="str">
        <f>SUBSTITUTE(SUBSTITUTE(A104,"${dto}",setup!$C$3),"${pk}",setup!$E$8)</f>
        <v/>
      </c>
    </row>
    <row r="105" spans="1:15" x14ac:dyDescent="0.25">
      <c r="A105" s="6"/>
      <c r="O105" t="str">
        <f>SUBSTITUTE(SUBSTITUTE(A105,"${dto}",setup!$C$3),"${pk}",setup!$E$8)</f>
        <v/>
      </c>
    </row>
    <row r="106" spans="1:15" x14ac:dyDescent="0.25">
      <c r="A106" s="6"/>
      <c r="O106" t="str">
        <f>SUBSTITUTE(SUBSTITUTE(A106,"${dto}",setup!$C$3),"${pk}",setup!$E$8)</f>
        <v/>
      </c>
    </row>
    <row r="107" spans="1:15" x14ac:dyDescent="0.25">
      <c r="A107" s="6"/>
      <c r="O107" t="str">
        <f>SUBSTITUTE(SUBSTITUTE(A107,"${dto}",setup!$C$3),"${pk}",setup!$E$8)</f>
        <v/>
      </c>
    </row>
    <row r="108" spans="1:15" x14ac:dyDescent="0.25">
      <c r="A108" s="6"/>
      <c r="O108" t="str">
        <f>SUBSTITUTE(SUBSTITUTE(A108,"${dto}",setup!$C$3),"${pk}",setup!$E$8)</f>
        <v/>
      </c>
    </row>
    <row r="109" spans="1:15" x14ac:dyDescent="0.25">
      <c r="A109" s="6"/>
      <c r="O109" t="str">
        <f>SUBSTITUTE(SUBSTITUTE(A109,"${dto}",setup!$C$3),"${pk}",setup!$E$8)</f>
        <v/>
      </c>
    </row>
    <row r="110" spans="1:15" x14ac:dyDescent="0.25">
      <c r="A110" s="6"/>
      <c r="O110" t="str">
        <f>SUBSTITUTE(SUBSTITUTE(A110,"${dto}",setup!$C$3),"${pk}",setup!$E$8)</f>
        <v/>
      </c>
    </row>
    <row r="111" spans="1:15" x14ac:dyDescent="0.25">
      <c r="A111" s="6"/>
      <c r="O111" t="str">
        <f>SUBSTITUTE(SUBSTITUTE(A111,"${dto}",setup!$C$3),"${pk}",setup!$E$8)</f>
        <v/>
      </c>
    </row>
    <row r="112" spans="1:15" x14ac:dyDescent="0.25">
      <c r="A112" s="6"/>
      <c r="O112" t="str">
        <f>SUBSTITUTE(SUBSTITUTE(A112,"${dto}",setup!$C$3),"${pk}",setup!$E$8)</f>
        <v/>
      </c>
    </row>
    <row r="113" spans="1:15" x14ac:dyDescent="0.25">
      <c r="A113" s="3"/>
      <c r="O113" t="str">
        <f>SUBSTITUTE(SUBSTITUTE(A113,"${dto}",setup!$C$3),"${pk}",setup!$E$8)</f>
        <v/>
      </c>
    </row>
    <row r="114" spans="1:15" x14ac:dyDescent="0.25">
      <c r="A114" s="6"/>
      <c r="O114" t="str">
        <f>SUBSTITUTE(SUBSTITUTE(A114,"${dto}",setup!$C$3),"${pk}",setup!$E$8)</f>
        <v/>
      </c>
    </row>
    <row r="115" spans="1:15" x14ac:dyDescent="0.25">
      <c r="A115" s="6"/>
      <c r="O115" t="str">
        <f>SUBSTITUTE(SUBSTITUTE(A115,"${dto}",setup!$C$3),"${pk}",setup!$E$8)</f>
        <v/>
      </c>
    </row>
    <row r="116" spans="1:15" x14ac:dyDescent="0.25">
      <c r="A116" s="6"/>
      <c r="O116" t="str">
        <f>SUBSTITUTE(SUBSTITUTE(A116,"${dto}",setup!$C$3),"${pk}",setup!$E$8)</f>
        <v/>
      </c>
    </row>
    <row r="117" spans="1:15" x14ac:dyDescent="0.25">
      <c r="A117" s="6"/>
      <c r="O117" t="str">
        <f>SUBSTITUTE(SUBSTITUTE(A117,"${dto}",setup!$C$3),"${pk}",setup!$E$8)</f>
        <v/>
      </c>
    </row>
    <row r="118" spans="1:15" x14ac:dyDescent="0.25">
      <c r="A118" s="6"/>
      <c r="O118" t="str">
        <f>SUBSTITUTE(SUBSTITUTE(A118,"${dto}",setup!$C$3),"${pk}",setup!$E$8)</f>
        <v/>
      </c>
    </row>
    <row r="119" spans="1:15" x14ac:dyDescent="0.25">
      <c r="A119" s="6"/>
      <c r="O119" t="str">
        <f>SUBSTITUTE(SUBSTITUTE(A119,"${dto}",setup!$C$3),"${pk}",setup!$E$8)</f>
        <v/>
      </c>
    </row>
    <row r="120" spans="1:15" x14ac:dyDescent="0.25">
      <c r="A120" s="6"/>
      <c r="O120" t="str">
        <f>SUBSTITUTE(SUBSTITUTE(A120,"${dto}",setup!$C$3),"${pk}",setup!$E$8)</f>
        <v/>
      </c>
    </row>
    <row r="121" spans="1:15" x14ac:dyDescent="0.25">
      <c r="A121" s="6"/>
      <c r="O121" t="str">
        <f>SUBSTITUTE(SUBSTITUTE(A121,"${dto}",setup!$C$3),"${pk}",setup!$E$8)</f>
        <v/>
      </c>
    </row>
    <row r="122" spans="1:15" x14ac:dyDescent="0.25">
      <c r="A122" s="6"/>
      <c r="O122" t="str">
        <f>SUBSTITUTE(SUBSTITUTE(A122,"${dto}",setup!$C$3),"${pk}",setup!$E$8)</f>
        <v/>
      </c>
    </row>
    <row r="123" spans="1:15" x14ac:dyDescent="0.25">
      <c r="A123" s="3"/>
      <c r="O123" t="str">
        <f>SUBSTITUTE(SUBSTITUTE(A123,"${dto}",setup!$C$3),"${pk}",setup!$E$8)</f>
        <v/>
      </c>
    </row>
    <row r="124" spans="1:15" x14ac:dyDescent="0.25">
      <c r="A124" s="6"/>
      <c r="O124" t="str">
        <f>SUBSTITUTE(SUBSTITUTE(A124,"${dto}",setup!$C$3),"${pk}",setup!$E$8)</f>
        <v/>
      </c>
    </row>
    <row r="125" spans="1:15" x14ac:dyDescent="0.25">
      <c r="A125" s="6"/>
      <c r="O125" t="str">
        <f>SUBSTITUTE(SUBSTITUTE(A125,"${dto}",setup!$C$3),"${pk}",setup!$E$8)</f>
        <v/>
      </c>
    </row>
    <row r="126" spans="1:15" x14ac:dyDescent="0.25">
      <c r="A126" s="6"/>
      <c r="O126" t="str">
        <f>SUBSTITUTE(SUBSTITUTE(A126,"${dto}",setup!$C$3),"${pk}",setup!$E$8)</f>
        <v/>
      </c>
    </row>
    <row r="127" spans="1:15" x14ac:dyDescent="0.25">
      <c r="A127" s="6"/>
      <c r="O127" t="str">
        <f>SUBSTITUTE(SUBSTITUTE(A127,"${dto}",setup!$C$3),"${pk}",setup!$E$8)</f>
        <v/>
      </c>
    </row>
    <row r="128" spans="1:15" x14ac:dyDescent="0.25">
      <c r="A128" s="6"/>
      <c r="O128" t="str">
        <f>SUBSTITUTE(SUBSTITUTE(A128,"${dto}",setup!$C$3),"${pk}",setup!$E$8)</f>
        <v/>
      </c>
    </row>
    <row r="129" spans="1:15" x14ac:dyDescent="0.25">
      <c r="A129" s="6"/>
      <c r="O129" t="str">
        <f>SUBSTITUTE(SUBSTITUTE(A129,"${dto}",setup!$C$3),"${pk}",setup!$E$8)</f>
        <v/>
      </c>
    </row>
    <row r="130" spans="1:15" x14ac:dyDescent="0.25">
      <c r="A130" s="6"/>
      <c r="O130" t="str">
        <f>SUBSTITUTE(SUBSTITUTE(A130,"${dto}",setup!$C$3),"${pk}",setup!$E$8)</f>
        <v/>
      </c>
    </row>
    <row r="131" spans="1:15" x14ac:dyDescent="0.25">
      <c r="A131" s="3"/>
      <c r="O131" t="str">
        <f>SUBSTITUTE(SUBSTITUTE(A131,"${dto}",setup!$C$3),"${pk}",setup!$E$8)</f>
        <v/>
      </c>
    </row>
    <row r="132" spans="1:15" x14ac:dyDescent="0.25">
      <c r="A132" s="6"/>
      <c r="O132" t="str">
        <f>SUBSTITUTE(SUBSTITUTE(A132,"${dto}",setup!$C$3),"${pk}",setup!$E$8)</f>
        <v/>
      </c>
    </row>
    <row r="133" spans="1:15" x14ac:dyDescent="0.25">
      <c r="A133" s="6"/>
      <c r="O133" t="str">
        <f>SUBSTITUTE(SUBSTITUTE(A133,"${dto}",setup!$C$3),"${pk}",setup!$E$8)</f>
        <v/>
      </c>
    </row>
    <row r="134" spans="1:15" x14ac:dyDescent="0.25">
      <c r="A134" s="3"/>
      <c r="O134" t="str">
        <f>SUBSTITUTE(SUBSTITUTE(A134,"${dto}",setup!$C$3),"${pk}",setup!$E$8)</f>
        <v/>
      </c>
    </row>
    <row r="135" spans="1:15" x14ac:dyDescent="0.25">
      <c r="A135" s="6"/>
      <c r="O135" t="str">
        <f>SUBSTITUTE(SUBSTITUTE(A135,"${dto}",setup!$C$3),"${pk}",setup!$E$8)</f>
        <v/>
      </c>
    </row>
    <row r="136" spans="1:15" x14ac:dyDescent="0.25">
      <c r="A136" s="6"/>
      <c r="O136" t="str">
        <f>SUBSTITUTE(SUBSTITUTE(A136,"${dto}",setup!$C$3),"${pk}",setup!$E$8)</f>
        <v/>
      </c>
    </row>
    <row r="137" spans="1:15" x14ac:dyDescent="0.25">
      <c r="A137" s="6"/>
      <c r="O137" t="str">
        <f>SUBSTITUTE(SUBSTITUTE(A137,"${dto}",setup!$C$3),"${pk}",setup!$E$8)</f>
        <v/>
      </c>
    </row>
    <row r="138" spans="1:15" x14ac:dyDescent="0.25">
      <c r="A138" s="6"/>
      <c r="O138" t="str">
        <f>SUBSTITUTE(SUBSTITUTE(A138,"${dto}",setup!$C$3),"${pk}",setup!$E$8)</f>
        <v/>
      </c>
    </row>
    <row r="139" spans="1:15" x14ac:dyDescent="0.25">
      <c r="A139" s="6"/>
      <c r="O139" t="str">
        <f>SUBSTITUTE(SUBSTITUTE(A139,"${dto}",setup!$C$3),"${pk}",setup!$E$8)</f>
        <v/>
      </c>
    </row>
    <row r="140" spans="1:15" x14ac:dyDescent="0.25">
      <c r="A140" s="6"/>
      <c r="O140" t="str">
        <f>SUBSTITUTE(SUBSTITUTE(A140,"${dto}",setup!$C$3),"${pk}",setup!$E$8)</f>
        <v/>
      </c>
    </row>
    <row r="141" spans="1:15" x14ac:dyDescent="0.25">
      <c r="A141" s="6"/>
      <c r="O141" t="str">
        <f>SUBSTITUTE(SUBSTITUTE(A141,"${dto}",setup!$C$3),"${pk}",setup!$E$8)</f>
        <v/>
      </c>
    </row>
    <row r="142" spans="1:15" x14ac:dyDescent="0.25">
      <c r="A142" s="6"/>
      <c r="O142" t="str">
        <f>SUBSTITUTE(SUBSTITUTE(A142,"${dto}",setup!$C$3),"${pk}",setup!$E$8)</f>
        <v/>
      </c>
    </row>
    <row r="143" spans="1:15" x14ac:dyDescent="0.25">
      <c r="A143" s="6"/>
      <c r="O143" t="str">
        <f>SUBSTITUTE(SUBSTITUTE(A143,"${dto}",setup!$C$3),"${pk}",setup!$E$8)</f>
        <v/>
      </c>
    </row>
    <row r="144" spans="1:15" x14ac:dyDescent="0.25">
      <c r="A144" s="6"/>
      <c r="O144" t="str">
        <f>SUBSTITUTE(SUBSTITUTE(A144,"${dto}",setup!$C$3),"${pk}",setup!$E$8)</f>
        <v/>
      </c>
    </row>
    <row r="145" spans="1:15" x14ac:dyDescent="0.25">
      <c r="A145" s="6"/>
      <c r="O145" t="str">
        <f>SUBSTITUTE(SUBSTITUTE(A145,"${dto}",setup!$C$3),"${pk}",setup!$E$8)</f>
        <v/>
      </c>
    </row>
    <row r="146" spans="1:15" x14ac:dyDescent="0.25">
      <c r="A146" s="6"/>
      <c r="O146" t="str">
        <f>SUBSTITUTE(SUBSTITUTE(A146,"${dto}",setup!$C$3),"${pk}",setup!$E$8)</f>
        <v/>
      </c>
    </row>
    <row r="147" spans="1:15" x14ac:dyDescent="0.25">
      <c r="A147" s="6"/>
      <c r="O147" t="str">
        <f>SUBSTITUTE(SUBSTITUTE(A147,"${dto}",setup!$C$3),"${pk}",setup!$E$8)</f>
        <v/>
      </c>
    </row>
    <row r="148" spans="1:15" x14ac:dyDescent="0.25">
      <c r="A148" s="6"/>
      <c r="O148" t="str">
        <f>SUBSTITUTE(SUBSTITUTE(A148,"${dto}",setup!$C$3),"${pk}",setup!$E$8)</f>
        <v/>
      </c>
    </row>
    <row r="149" spans="1:15" x14ac:dyDescent="0.25">
      <c r="A149" s="6"/>
      <c r="O149" t="str">
        <f>SUBSTITUTE(SUBSTITUTE(A149,"${dto}",setup!$C$3),"${pk}",setup!$E$8)</f>
        <v/>
      </c>
    </row>
    <row r="150" spans="1:15" x14ac:dyDescent="0.25">
      <c r="A150" s="6"/>
      <c r="O150" t="str">
        <f>SUBSTITUTE(SUBSTITUTE(A150,"${dto}",setup!$C$3),"${pk}",setup!$E$8)</f>
        <v/>
      </c>
    </row>
    <row r="151" spans="1:15" x14ac:dyDescent="0.25">
      <c r="A151" s="3"/>
      <c r="O151" t="str">
        <f>SUBSTITUTE(SUBSTITUTE(A151,"${dto}",setup!$C$3),"${pk}",setup!$E$8)</f>
        <v/>
      </c>
    </row>
    <row r="152" spans="1:15" x14ac:dyDescent="0.25">
      <c r="A152" s="6"/>
      <c r="O152" t="str">
        <f>SUBSTITUTE(SUBSTITUTE(A152,"${dto}",setup!$C$3),"${pk}",setup!$E$8)</f>
        <v/>
      </c>
    </row>
    <row r="153" spans="1:15" x14ac:dyDescent="0.25">
      <c r="A153" s="6"/>
      <c r="O153" t="str">
        <f>SUBSTITUTE(SUBSTITUTE(A153,"${dto}",setup!$C$3),"${pk}",setup!$E$8)</f>
        <v/>
      </c>
    </row>
    <row r="154" spans="1:15" x14ac:dyDescent="0.25">
      <c r="A154" s="6"/>
      <c r="O154" t="str">
        <f>SUBSTITUTE(SUBSTITUTE(A154,"${dto}",setup!$C$3),"${pk}",setup!$E$8)</f>
        <v/>
      </c>
    </row>
    <row r="155" spans="1:15" x14ac:dyDescent="0.25">
      <c r="A155" s="6"/>
      <c r="O155" t="str">
        <f>SUBSTITUTE(SUBSTITUTE(A155,"${dto}",setup!$C$3),"${pk}",setup!$E$8)</f>
        <v/>
      </c>
    </row>
    <row r="156" spans="1:15" x14ac:dyDescent="0.25">
      <c r="A156" s="6"/>
      <c r="O156" t="str">
        <f>SUBSTITUTE(SUBSTITUTE(A156,"${dto}",setup!$C$3),"${pk}",setup!$E$8)</f>
        <v/>
      </c>
    </row>
    <row r="157" spans="1:15" x14ac:dyDescent="0.25">
      <c r="A157" s="6"/>
      <c r="O157" t="str">
        <f>SUBSTITUTE(SUBSTITUTE(A157,"${dto}",setup!$C$3),"${pk}",setup!$E$8)</f>
        <v/>
      </c>
    </row>
    <row r="158" spans="1:15" x14ac:dyDescent="0.25">
      <c r="A158" s="6"/>
      <c r="O158" t="str">
        <f>SUBSTITUTE(SUBSTITUTE(A158,"${dto}",setup!$C$3),"${pk}",setup!$E$8)</f>
        <v/>
      </c>
    </row>
    <row r="159" spans="1:15" x14ac:dyDescent="0.25">
      <c r="A159" s="3"/>
      <c r="O159" t="str">
        <f>SUBSTITUTE(SUBSTITUTE(A159,"${dto}",setup!$C$3),"${pk}",setup!$E$8)</f>
        <v/>
      </c>
    </row>
    <row r="160" spans="1:15" x14ac:dyDescent="0.25">
      <c r="A160" s="6"/>
      <c r="O160" t="str">
        <f>SUBSTITUTE(SUBSTITUTE(A160,"${dto}",setup!$C$3),"${pk}",setup!$E$8)</f>
        <v/>
      </c>
    </row>
    <row r="161" spans="1:15" x14ac:dyDescent="0.25">
      <c r="A161" s="6"/>
      <c r="O161" t="str">
        <f>SUBSTITUTE(SUBSTITUTE(A161,"${dto}",setup!$C$3),"${pk}",setup!$E$8)</f>
        <v/>
      </c>
    </row>
    <row r="162" spans="1:15" x14ac:dyDescent="0.25">
      <c r="A162" s="3"/>
      <c r="O162" t="str">
        <f>SUBSTITUTE(SUBSTITUTE(A162,"${dto}",setup!$C$3),"${pk}",setup!$E$8)</f>
        <v/>
      </c>
    </row>
    <row r="163" spans="1:15" x14ac:dyDescent="0.25">
      <c r="A163" s="3"/>
      <c r="O163" t="str">
        <f>SUBSTITUTE(SUBSTITUTE(A163,"${dto}",setup!$C$3),"${pk}",setup!$E$8)</f>
        <v/>
      </c>
    </row>
    <row r="164" spans="1:15" x14ac:dyDescent="0.25">
      <c r="A164" s="6"/>
      <c r="O164" t="str">
        <f>SUBSTITUTE(SUBSTITUTE(A164,"${dto}",setup!$C$3),"${pk}",setup!$E$8)</f>
        <v/>
      </c>
    </row>
    <row r="165" spans="1:15" x14ac:dyDescent="0.25">
      <c r="A165" s="6"/>
      <c r="O165" t="str">
        <f>SUBSTITUTE(SUBSTITUTE(A165,"${dto}",setup!$C$3),"${pk}",setup!$E$8)</f>
        <v/>
      </c>
    </row>
    <row r="166" spans="1:15" x14ac:dyDescent="0.25">
      <c r="A166" s="6"/>
      <c r="O166" t="str">
        <f>SUBSTITUTE(SUBSTITUTE(A166,"${dto}",setup!$C$3),"${pk}",setup!$E$8)</f>
        <v/>
      </c>
    </row>
    <row r="167" spans="1:15" x14ac:dyDescent="0.25">
      <c r="A167" s="6"/>
      <c r="O167" t="str">
        <f>SUBSTITUTE(SUBSTITUTE(A167,"${dto}",setup!$C$3),"${pk}",setup!$E$8)</f>
        <v/>
      </c>
    </row>
    <row r="168" spans="1:15" x14ac:dyDescent="0.25">
      <c r="A168" s="6"/>
      <c r="O168" t="str">
        <f>SUBSTITUTE(SUBSTITUTE(A168,"${dto}",setup!$C$3),"${pk}",setup!$E$8)</f>
        <v/>
      </c>
    </row>
    <row r="169" spans="1:15" x14ac:dyDescent="0.25">
      <c r="A169" s="6"/>
      <c r="O169" t="str">
        <f>SUBSTITUTE(SUBSTITUTE(A169,"${dto}",setup!$C$3),"${pk}",setup!$E$8)</f>
        <v/>
      </c>
    </row>
    <row r="170" spans="1:15" x14ac:dyDescent="0.25">
      <c r="A170" s="6"/>
      <c r="O170" t="str">
        <f>SUBSTITUTE(SUBSTITUTE(A170,"${dto}",setup!$C$3),"${pk}",setup!$E$8)</f>
        <v/>
      </c>
    </row>
    <row r="171" spans="1:15" x14ac:dyDescent="0.25">
      <c r="A171" s="6"/>
      <c r="O171" t="str">
        <f>SUBSTITUTE(SUBSTITUTE(A171,"${dto}",setup!$C$3),"${pk}",setup!$E$8)</f>
        <v/>
      </c>
    </row>
    <row r="172" spans="1:15" x14ac:dyDescent="0.25">
      <c r="A172" s="6"/>
      <c r="O172" t="str">
        <f>SUBSTITUTE(SUBSTITUTE(A172,"${dto}",setup!$C$3),"${pk}",setup!$E$8)</f>
        <v/>
      </c>
    </row>
    <row r="173" spans="1:15" x14ac:dyDescent="0.25">
      <c r="A173" s="6"/>
      <c r="O173" t="str">
        <f>SUBSTITUTE(SUBSTITUTE(A173,"${dto}",setup!$C$3),"${pk}",setup!$E$8)</f>
        <v/>
      </c>
    </row>
    <row r="174" spans="1:15" x14ac:dyDescent="0.25">
      <c r="A174" s="6"/>
      <c r="O174" t="str">
        <f>SUBSTITUTE(SUBSTITUTE(A174,"${dto}",setup!$C$3),"${pk}",setup!$E$8)</f>
        <v/>
      </c>
    </row>
    <row r="175" spans="1:15" x14ac:dyDescent="0.25">
      <c r="A175" s="6"/>
      <c r="O175" t="str">
        <f>SUBSTITUTE(SUBSTITUTE(A175,"${dto}",setup!$C$3),"${pk}",setup!$E$8)</f>
        <v/>
      </c>
    </row>
    <row r="176" spans="1:15" x14ac:dyDescent="0.25">
      <c r="A176" s="6"/>
      <c r="O176" t="str">
        <f>SUBSTITUTE(SUBSTITUTE(A176,"${dto}",setup!$C$3),"${pk}",setup!$E$8)</f>
        <v/>
      </c>
    </row>
    <row r="177" spans="1:15" x14ac:dyDescent="0.25">
      <c r="A177" s="6"/>
      <c r="O177" t="str">
        <f>SUBSTITUTE(SUBSTITUTE(A177,"${dto}",setup!$C$3),"${pk}",setup!$E$8)</f>
        <v/>
      </c>
    </row>
    <row r="178" spans="1:15" x14ac:dyDescent="0.25">
      <c r="A178" s="6"/>
      <c r="O178" t="str">
        <f>SUBSTITUTE(SUBSTITUTE(A178,"${dto}",setup!$C$3),"${pk}",setup!$E$8)</f>
        <v/>
      </c>
    </row>
    <row r="179" spans="1:15" x14ac:dyDescent="0.25">
      <c r="A179" s="6"/>
      <c r="O179" t="str">
        <f>SUBSTITUTE(SUBSTITUTE(A179,"${dto}",setup!$C$3),"${pk}",setup!$E$8)</f>
        <v/>
      </c>
    </row>
    <row r="180" spans="1:15" x14ac:dyDescent="0.25">
      <c r="A180" s="6"/>
      <c r="O180" t="str">
        <f>SUBSTITUTE(SUBSTITUTE(A180,"${dto}",setup!$C$3),"${pk}",setup!$E$8)</f>
        <v/>
      </c>
    </row>
    <row r="181" spans="1:15" x14ac:dyDescent="0.25">
      <c r="A181" s="6"/>
      <c r="O181" t="str">
        <f>SUBSTITUTE(SUBSTITUTE(A181,"${dto}",setup!$C$3),"${pk}",setup!$E$8)</f>
        <v/>
      </c>
    </row>
    <row r="182" spans="1:15" x14ac:dyDescent="0.25">
      <c r="A182" s="6"/>
      <c r="O182" t="str">
        <f>SUBSTITUTE(SUBSTITUTE(A182,"${dto}",setup!$C$3),"${pk}",setup!$E$8)</f>
        <v/>
      </c>
    </row>
    <row r="183" spans="1:15" x14ac:dyDescent="0.25">
      <c r="A183" s="6"/>
      <c r="O183" t="str">
        <f>SUBSTITUTE(SUBSTITUTE(A183,"${dto}",setup!$C$3),"${pk}",setup!$E$8)</f>
        <v/>
      </c>
    </row>
    <row r="184" spans="1:15" x14ac:dyDescent="0.25">
      <c r="A184" s="3"/>
      <c r="O184" t="str">
        <f>SUBSTITUTE(SUBSTITUTE(A184,"${dto}",setup!$C$3),"${pk}",setup!$E$8)</f>
        <v/>
      </c>
    </row>
    <row r="185" spans="1:15" x14ac:dyDescent="0.25">
      <c r="A185" s="6"/>
      <c r="O185" t="str">
        <f>SUBSTITUTE(SUBSTITUTE(A185,"${dto}",setup!$C$3),"${pk}",setup!$E$8)</f>
        <v/>
      </c>
    </row>
    <row r="186" spans="1:15" x14ac:dyDescent="0.25">
      <c r="A186" s="6"/>
      <c r="O186" t="str">
        <f>SUBSTITUTE(SUBSTITUTE(A186,"${dto}",setup!$C$3),"${pk}",setup!$E$8)</f>
        <v/>
      </c>
    </row>
    <row r="187" spans="1:15" x14ac:dyDescent="0.25">
      <c r="A187" s="6"/>
      <c r="O187" t="str">
        <f>SUBSTITUTE(SUBSTITUTE(A187,"${dto}",setup!$C$3),"${pk}",setup!$E$8)</f>
        <v/>
      </c>
    </row>
    <row r="188" spans="1:15" x14ac:dyDescent="0.25">
      <c r="A188" s="6"/>
      <c r="O188" t="str">
        <f>SUBSTITUTE(SUBSTITUTE(A188,"${dto}",setup!$C$3),"${pk}",setup!$E$8)</f>
        <v/>
      </c>
    </row>
    <row r="189" spans="1:15" x14ac:dyDescent="0.25">
      <c r="A189" s="6"/>
      <c r="O189" t="str">
        <f>SUBSTITUTE(SUBSTITUTE(A189,"${dto}",setup!$C$3),"${pk}",setup!$E$8)</f>
        <v/>
      </c>
    </row>
    <row r="190" spans="1:15" x14ac:dyDescent="0.25">
      <c r="A190" s="6"/>
      <c r="O190" t="str">
        <f>SUBSTITUTE(SUBSTITUTE(A190,"${dto}",setup!$C$3),"${pk}",setup!$E$8)</f>
        <v/>
      </c>
    </row>
    <row r="191" spans="1:15" x14ac:dyDescent="0.25">
      <c r="A191" s="6"/>
      <c r="O191" t="str">
        <f>SUBSTITUTE(SUBSTITUTE(A191,"${dto}",setup!$C$3),"${pk}",setup!$E$8)</f>
        <v/>
      </c>
    </row>
    <row r="192" spans="1:15" x14ac:dyDescent="0.25">
      <c r="A192" s="3"/>
      <c r="O192" t="str">
        <f>SUBSTITUTE(SUBSTITUTE(A192,"${dto}",setup!$C$3),"${pk}",setup!$E$8)</f>
        <v/>
      </c>
    </row>
    <row r="193" spans="1:15" x14ac:dyDescent="0.25">
      <c r="A193" s="6"/>
      <c r="O193" t="str">
        <f>SUBSTITUTE(SUBSTITUTE(A193,"${dto}",setup!$C$3),"${pk}",setup!$E$8)</f>
        <v/>
      </c>
    </row>
    <row r="194" spans="1:15" x14ac:dyDescent="0.25">
      <c r="A194" s="6"/>
      <c r="O194" t="str">
        <f>SUBSTITUTE(SUBSTITUTE(A194,"${dto}",setup!$C$3),"${pk}",setup!$E$8)</f>
        <v/>
      </c>
    </row>
    <row r="195" spans="1:15" x14ac:dyDescent="0.25">
      <c r="A195" s="3"/>
      <c r="O195" t="str">
        <f>SUBSTITUTE(SUBSTITUTE(A195,"${dto}",setup!$C$3),"${pk}",setup!$E$8)</f>
        <v/>
      </c>
    </row>
    <row r="196" spans="1:15" x14ac:dyDescent="0.25">
      <c r="A196" s="3"/>
      <c r="O196" t="str">
        <f>SUBSTITUTE(SUBSTITUTE(A196,"${dto}",setup!$C$3),"${pk}",setup!$E$8)</f>
        <v/>
      </c>
    </row>
    <row r="197" spans="1:15" x14ac:dyDescent="0.25">
      <c r="A197" s="6"/>
      <c r="O197" t="str">
        <f>SUBSTITUTE(SUBSTITUTE(A197,"${dto}",setup!$C$3),"${pk}",setup!$E$8)</f>
        <v/>
      </c>
    </row>
    <row r="198" spans="1:15" x14ac:dyDescent="0.25">
      <c r="A198" s="3"/>
      <c r="O198" t="str">
        <f>SUBSTITUTE(SUBSTITUTE(A198,"${dto}",setup!$C$3),"${pk}",setup!$E$8)</f>
        <v/>
      </c>
    </row>
    <row r="199" spans="1:15" x14ac:dyDescent="0.25">
      <c r="A199" s="2"/>
      <c r="O199" t="str">
        <f>SUBSTITUTE(SUBSTITUTE(A199,"${dto}",setup!$C$3),"${pk}",setup!$E$8)</f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12826-EB26-47D9-BDAD-3B2E080C57E7}">
  <sheetPr codeName="Sheet11"/>
  <dimension ref="A1:O199"/>
  <sheetViews>
    <sheetView workbookViewId="0">
      <selection activeCell="O3" sqref="O3:O12"/>
    </sheetView>
  </sheetViews>
  <sheetFormatPr defaultRowHeight="15" x14ac:dyDescent="0.25"/>
  <sheetData>
    <row r="1" spans="1:15" x14ac:dyDescent="0.25">
      <c r="O1" t="s">
        <v>74</v>
      </c>
    </row>
    <row r="3" spans="1:15" x14ac:dyDescent="0.25">
      <c r="A3" s="6" t="s">
        <v>140</v>
      </c>
      <c r="O3" s="7" t="str">
        <f ca="1">getCodigoBackend(N3,A3,VLOOKUP(N3,setup!$A$8:$H$58,2),VLOOKUP(N3,setup!$A$8:$H$58,3),VLOOKUP(N3,setup!$A$8:$H$58,4),VLOOKUP(N3,setup!$A$8:$H$58,5),VLOOKUP(N3,setup!$A$8:$H$58,6),VLOOKUP(N3,setup!$A$8:$H$58,7), VLOOKUP(0,setup!$A$8:$H$58,2),VLOOKUP(0,setup!$A$8:$H$58,5),VLOOKUP(N3,setup!$A$8:$H$58,8))</f>
        <v>    /**</v>
      </c>
    </row>
    <row r="4" spans="1:15" x14ac:dyDescent="0.25">
      <c r="A4" s="4" t="s">
        <v>154</v>
      </c>
      <c r="O4" s="7" t="str">
        <f ca="1">getCodigoBackend(N4,A4,VLOOKUP(N4,setup!$A$8:$H$58,2),VLOOKUP(N4,setup!$A$8:$H$58,3),VLOOKUP(N4,setup!$A$8:$H$58,4),VLOOKUP(N4,setup!$A$8:$H$58,5),VLOOKUP(N4,setup!$A$8:$H$58,6),VLOOKUP(N4,setup!$A$8:$H$58,7), VLOOKUP(0,setup!$A$8:$H$58,2),VLOOKUP(0,setup!$A$8:$H$58,5),VLOOKUP(N4,setup!$A$8:$H$58,8))</f>
        <v>     * Retorna uma instância de acesso a dados</v>
      </c>
    </row>
    <row r="5" spans="1:15" x14ac:dyDescent="0.25">
      <c r="A5" s="4" t="s">
        <v>325</v>
      </c>
      <c r="O5" s="7" t="str">
        <f ca="1">getCodigoBackend(N5,A5,VLOOKUP(N5,setup!$A$8:$H$58,2),VLOOKUP(N5,setup!$A$8:$H$58,3),VLOOKUP(N5,setup!$A$8:$H$58,4),VLOOKUP(N5,setup!$A$8:$H$58,5),VLOOKUP(N5,setup!$A$8:$H$58,6),VLOOKUP(N5,setup!$A$8:$H$58,7), VLOOKUP(0,setup!$A$8:$H$58,2),VLOOKUP(0,setup!$A$8:$H$58,5),VLOOKUP(N5,setup!$A$8:$H$58,8))</f>
        <v>     * @return MySqlKinghostCampanhaCashbackResgatePixDAO</v>
      </c>
    </row>
    <row r="6" spans="1:15" x14ac:dyDescent="0.25">
      <c r="A6" s="4" t="s">
        <v>155</v>
      </c>
      <c r="O6" s="7" t="str">
        <f ca="1">getCodigoBackend(N6,A6,VLOOKUP(N6,setup!$A$8:$H$58,2),VLOOKUP(N6,setup!$A$8:$H$58,3),VLOOKUP(N6,setup!$A$8:$H$58,4),VLOOKUP(N6,setup!$A$8:$H$58,5),VLOOKUP(N6,setup!$A$8:$H$58,6),VLOOKUP(N6,setup!$A$8:$H$58,7), VLOOKUP(0,setup!$A$8:$H$58,2),VLOOKUP(0,setup!$A$8:$H$58,5),VLOOKUP(N6,setup!$A$8:$H$58,8))</f>
        <v>     */</v>
      </c>
    </row>
    <row r="7" spans="1:15" x14ac:dyDescent="0.25">
      <c r="A7" s="6" t="s">
        <v>326</v>
      </c>
      <c r="O7" s="7" t="str">
        <f ca="1">getCodigoBackend(N7,A7,VLOOKUP(N7,setup!$A$8:$H$58,2),VLOOKUP(N7,setup!$A$8:$H$58,3),VLOOKUP(N7,setup!$A$8:$H$58,4),VLOOKUP(N7,setup!$A$8:$H$58,5),VLOOKUP(N7,setup!$A$8:$H$58,6),VLOOKUP(N7,setup!$A$8:$H$58,7), VLOOKUP(0,setup!$A$8:$H$58,2),VLOOKUP(0,setup!$A$8:$H$58,5),VLOOKUP(N7,setup!$A$8:$H$58,8))</f>
        <v>    public function getCampanhaCashbackResgatePixDAO($daofactory)</v>
      </c>
    </row>
    <row r="8" spans="1:15" x14ac:dyDescent="0.25">
      <c r="A8" s="6" t="s">
        <v>38</v>
      </c>
      <c r="O8" s="7" t="str">
        <f ca="1">getCodigoBackend(N8,A8,VLOOKUP(N8,setup!$A$8:$H$58,2),VLOOKUP(N8,setup!$A$8:$H$58,3),VLOOKUP(N8,setup!$A$8:$H$58,4),VLOOKUP(N8,setup!$A$8:$H$58,5),VLOOKUP(N8,setup!$A$8:$H$58,6),VLOOKUP(N8,setup!$A$8:$H$58,7), VLOOKUP(0,setup!$A$8:$H$58,2),VLOOKUP(0,setup!$A$8:$H$58,5),VLOOKUP(N8,setup!$A$8:$H$58,8))</f>
        <v>    {</v>
      </c>
    </row>
    <row r="9" spans="1:15" x14ac:dyDescent="0.25">
      <c r="A9" s="6" t="s">
        <v>327</v>
      </c>
      <c r="O9" s="7" t="str">
        <f ca="1">getCodigoBackend(N9,A9,VLOOKUP(N9,setup!$A$8:$H$58,2),VLOOKUP(N9,setup!$A$8:$H$58,3),VLOOKUP(N9,setup!$A$8:$H$58,4),VLOOKUP(N9,setup!$A$8:$H$58,5),VLOOKUP(N9,setup!$A$8:$H$58,6),VLOOKUP(N9,setup!$A$8:$H$58,7), VLOOKUP(0,setup!$A$8:$H$58,2),VLOOKUP(0,setup!$A$8:$H$58,5),VLOOKUP(N9,setup!$A$8:$H$58,8))</f>
        <v>        return new MySqlKinghostCampanhaCashbackResgatePixDAO($daofactory);</v>
      </c>
    </row>
    <row r="10" spans="1:15" x14ac:dyDescent="0.25">
      <c r="A10" s="6" t="s">
        <v>62</v>
      </c>
      <c r="O10" s="7" t="str">
        <f ca="1">getCodigoBackend(N10,A10,VLOOKUP(N10,setup!$A$8:$H$58,2),VLOOKUP(N10,setup!$A$8:$H$58,3),VLOOKUP(N10,setup!$A$8:$H$58,4),VLOOKUP(N10,setup!$A$8:$H$58,5),VLOOKUP(N10,setup!$A$8:$H$58,6),VLOOKUP(N10,setup!$A$8:$H$58,7), VLOOKUP(0,setup!$A$8:$H$58,2),VLOOKUP(0,setup!$A$8:$H$58,5),VLOOKUP(N10,setup!$A$8:$H$58,8))</f>
        <v>    }</v>
      </c>
    </row>
    <row r="11" spans="1:15" x14ac:dyDescent="0.25">
      <c r="A11" s="5"/>
      <c r="O11" s="7" t="str">
        <f ca="1">getCodigoBackend(N11,A11,VLOOKUP(N11,setup!$A$8:$H$58,2),VLOOKUP(N11,setup!$A$8:$H$58,3),VLOOKUP(N11,setup!$A$8:$H$58,4),VLOOKUP(N11,setup!$A$8:$H$58,5),VLOOKUP(N11,setup!$A$8:$H$58,6),VLOOKUP(N11,setup!$A$8:$H$58,7), VLOOKUP(0,setup!$A$8:$H$58,2),VLOOKUP(0,setup!$A$8:$H$58,5),VLOOKUP(N11,setup!$A$8:$H$58,8))</f>
        <v/>
      </c>
    </row>
    <row r="12" spans="1:15" x14ac:dyDescent="0.25">
      <c r="A12" s="5" t="s">
        <v>574</v>
      </c>
      <c r="O12" s="7" t="str">
        <f ca="1">getCodigoBackend(N12,A12,VLOOKUP(N12,setup!$A$8:$H$58,2),VLOOKUP(N12,setup!$A$8:$H$58,3),VLOOKUP(N12,setup!$A$8:$H$58,4),VLOOKUP(N12,setup!$A$8:$H$58,5),VLOOKUP(N12,setup!$A$8:$H$58,6),VLOOKUP(N12,setup!$A$8:$H$58,7), VLOOKUP(0,setup!$A$8:$H$58,2),VLOOKUP(0,setup!$A$8:$H$58,5),VLOOKUP(N12,setup!$A$8:$H$58,8))</f>
        <v>require_once '../campanhacashbackresgatepix/MySqlKinghostCampanhaCashbackResgatePixDAO.php';</v>
      </c>
    </row>
    <row r="13" spans="1:15" x14ac:dyDescent="0.25">
      <c r="A13" s="2"/>
      <c r="O13" t="str">
        <f>SUBSTITUTE(SUBSTITUTE(A13,"${dto}",setup!$C$3),"${pk}",setup!$E$8)</f>
        <v/>
      </c>
    </row>
    <row r="14" spans="1:15" x14ac:dyDescent="0.25">
      <c r="A14" s="6"/>
      <c r="O14" t="str">
        <f>SUBSTITUTE(SUBSTITUTE(A14,"${dto}",setup!$C$3),"${pk}",setup!$E$8)</f>
        <v/>
      </c>
    </row>
    <row r="15" spans="1:15" x14ac:dyDescent="0.25">
      <c r="A15" s="6"/>
      <c r="O15" t="str">
        <f>SUBSTITUTE(SUBSTITUTE(A15,"${dto}",setup!$C$3),"${pk}",setup!$E$8)</f>
        <v/>
      </c>
    </row>
    <row r="16" spans="1:15" x14ac:dyDescent="0.25">
      <c r="A16" s="6"/>
      <c r="O16" t="str">
        <f>SUBSTITUTE(SUBSTITUTE(A16,"${dto}",setup!$C$3),"${pk}",setup!$E$8)</f>
        <v/>
      </c>
    </row>
    <row r="17" spans="1:15" x14ac:dyDescent="0.25">
      <c r="A17" s="6"/>
      <c r="O17" t="str">
        <f>SUBSTITUTE(SUBSTITUTE(A17,"${dto}",setup!$C$3),"${pk}",setup!$E$8)</f>
        <v/>
      </c>
    </row>
    <row r="18" spans="1:15" x14ac:dyDescent="0.25">
      <c r="A18" s="6"/>
      <c r="O18" t="str">
        <f>SUBSTITUTE(SUBSTITUTE(A18,"${dto}",setup!$C$3),"${pk}",setup!$E$8)</f>
        <v/>
      </c>
    </row>
    <row r="19" spans="1:15" x14ac:dyDescent="0.25">
      <c r="A19" s="6"/>
      <c r="O19" t="str">
        <f>SUBSTITUTE(SUBSTITUTE(A19,"${dto}",setup!$C$3),"${pk}",setup!$E$8)</f>
        <v/>
      </c>
    </row>
    <row r="20" spans="1:15" x14ac:dyDescent="0.25">
      <c r="A20" s="6"/>
      <c r="O20" t="str">
        <f>SUBSTITUTE(SUBSTITUTE(A20,"${dto}",setup!$C$3),"${pk}",setup!$E$8)</f>
        <v/>
      </c>
    </row>
    <row r="21" spans="1:15" x14ac:dyDescent="0.25">
      <c r="A21" s="6"/>
      <c r="O21" t="str">
        <f>SUBSTITUTE(SUBSTITUTE(A21,"${dto}",setup!$C$3),"${pk}",setup!$E$8)</f>
        <v/>
      </c>
    </row>
    <row r="22" spans="1:15" x14ac:dyDescent="0.25">
      <c r="A22" s="6"/>
      <c r="O22" t="str">
        <f>SUBSTITUTE(SUBSTITUTE(A22,"${dto}",setup!$C$3),"${pk}",setup!$E$8)</f>
        <v/>
      </c>
    </row>
    <row r="23" spans="1:15" x14ac:dyDescent="0.25">
      <c r="A23" s="6"/>
      <c r="O23" t="str">
        <f>SUBSTITUTE(SUBSTITUTE(A23,"${dto}",setup!$C$3),"${pk}",setup!$E$8)</f>
        <v/>
      </c>
    </row>
    <row r="24" spans="1:15" x14ac:dyDescent="0.25">
      <c r="A24" s="6"/>
      <c r="O24" t="str">
        <f>SUBSTITUTE(SUBSTITUTE(A24,"${dto}",setup!$C$3),"${pk}",setup!$E$8)</f>
        <v/>
      </c>
    </row>
    <row r="25" spans="1:15" x14ac:dyDescent="0.25">
      <c r="A25" s="6"/>
      <c r="O25" t="str">
        <f>SUBSTITUTE(SUBSTITUTE(A25,"${dto}",setup!$C$3),"${pk}",setup!$E$8)</f>
        <v/>
      </c>
    </row>
    <row r="26" spans="1:15" x14ac:dyDescent="0.25">
      <c r="A26" s="6"/>
      <c r="O26" t="str">
        <f>SUBSTITUTE(SUBSTITUTE(A26,"${dto}",setup!$C$3),"${pk}",setup!$E$8)</f>
        <v/>
      </c>
    </row>
    <row r="27" spans="1:15" x14ac:dyDescent="0.25">
      <c r="A27" s="6"/>
      <c r="O27" t="str">
        <f>SUBSTITUTE(SUBSTITUTE(A27,"${dto}",setup!$C$3),"${pk}",setup!$E$8)</f>
        <v/>
      </c>
    </row>
    <row r="28" spans="1:15" x14ac:dyDescent="0.25">
      <c r="A28" s="6"/>
      <c r="O28" t="str">
        <f>SUBSTITUTE(SUBSTITUTE(A28,"${dto}",setup!$C$3),"${pk}",setup!$E$8)</f>
        <v/>
      </c>
    </row>
    <row r="29" spans="1:15" x14ac:dyDescent="0.25">
      <c r="A29" s="6"/>
      <c r="O29" t="str">
        <f>SUBSTITUTE(SUBSTITUTE(A29,"${dto}",setup!$C$3),"${pk}",setup!$E$8)</f>
        <v/>
      </c>
    </row>
    <row r="30" spans="1:15" x14ac:dyDescent="0.25">
      <c r="A30" s="3"/>
      <c r="O30" t="str">
        <f>SUBSTITUTE(SUBSTITUTE(A30,"${dto}",setup!$C$3),"${pk}",setup!$E$8)</f>
        <v/>
      </c>
    </row>
    <row r="31" spans="1:15" x14ac:dyDescent="0.25">
      <c r="A31" s="3"/>
      <c r="O31" t="str">
        <f>SUBSTITUTE(SUBSTITUTE(A31,"${dto}",setup!$C$3),"${pk}",setup!$E$8)</f>
        <v/>
      </c>
    </row>
    <row r="32" spans="1:15" x14ac:dyDescent="0.25">
      <c r="A32" s="6"/>
      <c r="O32" t="str">
        <f>SUBSTITUTE(SUBSTITUTE(A32,"${dto}",setup!$C$3),"${pk}",setup!$E$8)</f>
        <v/>
      </c>
    </row>
    <row r="33" spans="1:15" x14ac:dyDescent="0.25">
      <c r="A33" s="3"/>
      <c r="O33" t="str">
        <f>SUBSTITUTE(SUBSTITUTE(A33,"${dto}",setup!$C$3),"${pk}",setup!$E$8)</f>
        <v/>
      </c>
    </row>
    <row r="34" spans="1:15" x14ac:dyDescent="0.25">
      <c r="A34" s="2"/>
      <c r="O34" t="str">
        <f>SUBSTITUTE(SUBSTITUTE(A34,"${dto}",setup!$C$3),"${pk}",setup!$E$8)</f>
        <v/>
      </c>
    </row>
    <row r="35" spans="1:15" x14ac:dyDescent="0.25">
      <c r="A35" s="6"/>
      <c r="O35" t="str">
        <f>SUBSTITUTE(SUBSTITUTE(A35,"${dto}",setup!$C$3),"${pk}",setup!$E$8)</f>
        <v/>
      </c>
    </row>
    <row r="36" spans="1:15" x14ac:dyDescent="0.25">
      <c r="A36" s="6"/>
      <c r="O36" t="str">
        <f>SUBSTITUTE(SUBSTITUTE(A36,"${dto}",setup!$C$3),"${pk}",setup!$E$8)</f>
        <v/>
      </c>
    </row>
    <row r="37" spans="1:15" x14ac:dyDescent="0.25">
      <c r="A37" s="6"/>
      <c r="O37" t="str">
        <f>SUBSTITUTE(SUBSTITUTE(A37,"${dto}",setup!$C$3),"${pk}",setup!$E$8)</f>
        <v/>
      </c>
    </row>
    <row r="38" spans="1:15" x14ac:dyDescent="0.25">
      <c r="A38" s="6"/>
      <c r="O38" t="str">
        <f>SUBSTITUTE(SUBSTITUTE(A38,"${dto}",setup!$C$3),"${pk}",setup!$E$8)</f>
        <v/>
      </c>
    </row>
    <row r="39" spans="1:15" x14ac:dyDescent="0.25">
      <c r="A39" s="6"/>
      <c r="O39" t="str">
        <f>SUBSTITUTE(SUBSTITUTE(A39,"${dto}",setup!$C$3),"${pk}",setup!$E$8)</f>
        <v/>
      </c>
    </row>
    <row r="40" spans="1:15" x14ac:dyDescent="0.25">
      <c r="A40" s="6"/>
      <c r="O40" t="str">
        <f>SUBSTITUTE(SUBSTITUTE(A40,"${dto}",setup!$C$3),"${pk}",setup!$E$8)</f>
        <v/>
      </c>
    </row>
    <row r="41" spans="1:15" x14ac:dyDescent="0.25">
      <c r="A41" s="3"/>
      <c r="O41" t="str">
        <f>SUBSTITUTE(SUBSTITUTE(A41,"${dto}",setup!$C$3),"${pk}",setup!$E$8)</f>
        <v/>
      </c>
    </row>
    <row r="42" spans="1:15" x14ac:dyDescent="0.25">
      <c r="A42" s="6"/>
      <c r="O42" t="str">
        <f>SUBSTITUTE(SUBSTITUTE(A42,"${dto}",setup!$C$3),"${pk}",setup!$E$8)</f>
        <v/>
      </c>
    </row>
    <row r="43" spans="1:15" x14ac:dyDescent="0.25">
      <c r="A43" s="6"/>
      <c r="O43" t="str">
        <f>SUBSTITUTE(SUBSTITUTE(A43,"${dto}",setup!$C$3),"${pk}",setup!$E$8)</f>
        <v/>
      </c>
    </row>
    <row r="44" spans="1:15" x14ac:dyDescent="0.25">
      <c r="A44" s="6"/>
      <c r="O44" t="str">
        <f>SUBSTITUTE(SUBSTITUTE(A44,"${dto}",setup!$C$3),"${pk}",setup!$E$8)</f>
        <v/>
      </c>
    </row>
    <row r="45" spans="1:15" x14ac:dyDescent="0.25">
      <c r="A45" s="6"/>
      <c r="O45" t="str">
        <f>SUBSTITUTE(SUBSTITUTE(A45,"${dto}",setup!$C$3),"${pk}",setup!$E$8)</f>
        <v/>
      </c>
    </row>
    <row r="46" spans="1:15" x14ac:dyDescent="0.25">
      <c r="A46" s="6"/>
      <c r="O46" t="str">
        <f>SUBSTITUTE(SUBSTITUTE(A46,"${dto}",setup!$C$3),"${pk}",setup!$E$8)</f>
        <v/>
      </c>
    </row>
    <row r="47" spans="1:15" x14ac:dyDescent="0.25">
      <c r="A47" s="6"/>
      <c r="O47" t="str">
        <f>SUBSTITUTE(SUBSTITUTE(A47,"${dto}",setup!$C$3),"${pk}",setup!$E$8)</f>
        <v/>
      </c>
    </row>
    <row r="48" spans="1:15" x14ac:dyDescent="0.25">
      <c r="A48" s="6"/>
      <c r="O48" t="str">
        <f>SUBSTITUTE(SUBSTITUTE(A48,"${dto}",setup!$C$3),"${pk}",setup!$E$8)</f>
        <v/>
      </c>
    </row>
    <row r="49" spans="1:15" x14ac:dyDescent="0.25">
      <c r="A49" s="6"/>
      <c r="O49" t="str">
        <f>SUBSTITUTE(SUBSTITUTE(A49,"${dto}",setup!$C$3),"${pk}",setup!$E$8)</f>
        <v/>
      </c>
    </row>
    <row r="50" spans="1:15" x14ac:dyDescent="0.25">
      <c r="A50" s="6"/>
      <c r="O50" t="str">
        <f>SUBSTITUTE(SUBSTITUTE(A50,"${dto}",setup!$C$3),"${pk}",setup!$E$8)</f>
        <v/>
      </c>
    </row>
    <row r="51" spans="1:15" x14ac:dyDescent="0.25">
      <c r="A51" s="3"/>
      <c r="O51" t="str">
        <f>SUBSTITUTE(SUBSTITUTE(A51,"${dto}",setup!$C$3),"${pk}",setup!$E$8)</f>
        <v/>
      </c>
    </row>
    <row r="52" spans="1:15" x14ac:dyDescent="0.25">
      <c r="A52" s="6"/>
      <c r="O52" t="str">
        <f>SUBSTITUTE(SUBSTITUTE(A52,"${dto}",setup!$C$3),"${pk}",setup!$E$8)</f>
        <v/>
      </c>
    </row>
    <row r="53" spans="1:15" x14ac:dyDescent="0.25">
      <c r="A53" s="6"/>
      <c r="O53" t="str">
        <f>SUBSTITUTE(SUBSTITUTE(A53,"${dto}",setup!$C$3),"${pk}",setup!$E$8)</f>
        <v/>
      </c>
    </row>
    <row r="54" spans="1:15" x14ac:dyDescent="0.25">
      <c r="A54" s="6"/>
      <c r="O54" t="str">
        <f>SUBSTITUTE(SUBSTITUTE(A54,"${dto}",setup!$C$3),"${pk}",setup!$E$8)</f>
        <v/>
      </c>
    </row>
    <row r="55" spans="1:15" x14ac:dyDescent="0.25">
      <c r="A55" s="6"/>
      <c r="O55" t="str">
        <f>SUBSTITUTE(SUBSTITUTE(A55,"${dto}",setup!$C$3),"${pk}",setup!$E$8)</f>
        <v/>
      </c>
    </row>
    <row r="56" spans="1:15" x14ac:dyDescent="0.25">
      <c r="A56" s="6"/>
      <c r="O56" t="str">
        <f>SUBSTITUTE(SUBSTITUTE(A56,"${dto}",setup!$C$3),"${pk}",setup!$E$8)</f>
        <v/>
      </c>
    </row>
    <row r="57" spans="1:15" x14ac:dyDescent="0.25">
      <c r="A57" s="6"/>
      <c r="O57" t="str">
        <f>SUBSTITUTE(SUBSTITUTE(A57,"${dto}",setup!$C$3),"${pk}",setup!$E$8)</f>
        <v/>
      </c>
    </row>
    <row r="58" spans="1:15" x14ac:dyDescent="0.25">
      <c r="A58" s="6"/>
      <c r="O58" t="str">
        <f>SUBSTITUTE(SUBSTITUTE(A58,"${dto}",setup!$C$3),"${pk}",setup!$E$8)</f>
        <v/>
      </c>
    </row>
    <row r="59" spans="1:15" x14ac:dyDescent="0.25">
      <c r="A59" s="3"/>
      <c r="O59" t="str">
        <f>SUBSTITUTE(SUBSTITUTE(A59,"${dto}",setup!$C$3),"${pk}",setup!$E$8)</f>
        <v/>
      </c>
    </row>
    <row r="60" spans="1:15" x14ac:dyDescent="0.25">
      <c r="A60" s="6"/>
      <c r="O60" t="str">
        <f>SUBSTITUTE(SUBSTITUTE(A60,"${dto}",setup!$C$3),"${pk}",setup!$E$8)</f>
        <v/>
      </c>
    </row>
    <row r="61" spans="1:15" x14ac:dyDescent="0.25">
      <c r="A61" s="6"/>
      <c r="O61" t="str">
        <f>SUBSTITUTE(SUBSTITUTE(A61,"${dto}",setup!$C$3),"${pk}",setup!$E$8)</f>
        <v/>
      </c>
    </row>
    <row r="62" spans="1:15" x14ac:dyDescent="0.25">
      <c r="A62" s="3"/>
      <c r="O62" t="str">
        <f>SUBSTITUTE(SUBSTITUTE(A62,"${dto}",setup!$C$3),"${pk}",setup!$E$8)</f>
        <v/>
      </c>
    </row>
    <row r="63" spans="1:15" x14ac:dyDescent="0.25">
      <c r="A63" s="3"/>
      <c r="O63" t="str">
        <f>SUBSTITUTE(SUBSTITUTE(A63,"${dto}",setup!$C$3),"${pk}",setup!$E$8)</f>
        <v/>
      </c>
    </row>
    <row r="64" spans="1:15" x14ac:dyDescent="0.25">
      <c r="A64" s="6"/>
      <c r="O64" t="str">
        <f>SUBSTITUTE(SUBSTITUTE(A64,"${dto}",setup!$C$3),"${pk}",setup!$E$8)</f>
        <v/>
      </c>
    </row>
    <row r="65" spans="1:15" x14ac:dyDescent="0.25">
      <c r="A65" s="6"/>
      <c r="O65" t="str">
        <f>SUBSTITUTE(SUBSTITUTE(A65,"${dto}",setup!$C$3),"${pk}",setup!$E$8)</f>
        <v/>
      </c>
    </row>
    <row r="66" spans="1:15" x14ac:dyDescent="0.25">
      <c r="A66" s="6"/>
      <c r="O66" t="str">
        <f>SUBSTITUTE(SUBSTITUTE(A66,"${dto}",setup!$C$3),"${pk}",setup!$E$8)</f>
        <v/>
      </c>
    </row>
    <row r="67" spans="1:15" x14ac:dyDescent="0.25">
      <c r="A67" s="6"/>
      <c r="O67" t="str">
        <f>SUBSTITUTE(SUBSTITUTE(A67,"${dto}",setup!$C$3),"${pk}",setup!$E$8)</f>
        <v/>
      </c>
    </row>
    <row r="68" spans="1:15" x14ac:dyDescent="0.25">
      <c r="A68" s="6"/>
      <c r="O68" t="str">
        <f>SUBSTITUTE(SUBSTITUTE(A68,"${dto}",setup!$C$3),"${pk}",setup!$E$8)</f>
        <v/>
      </c>
    </row>
    <row r="69" spans="1:15" x14ac:dyDescent="0.25">
      <c r="A69" s="6"/>
      <c r="O69" t="str">
        <f>SUBSTITUTE(SUBSTITUTE(A69,"${dto}",setup!$C$3),"${pk}",setup!$E$8)</f>
        <v/>
      </c>
    </row>
    <row r="70" spans="1:15" x14ac:dyDescent="0.25">
      <c r="A70" s="6"/>
      <c r="O70" t="str">
        <f>SUBSTITUTE(SUBSTITUTE(A70,"${dto}",setup!$C$3),"${pk}",setup!$E$8)</f>
        <v/>
      </c>
    </row>
    <row r="71" spans="1:15" x14ac:dyDescent="0.25">
      <c r="A71" s="6"/>
      <c r="O71" t="str">
        <f>SUBSTITUTE(SUBSTITUTE(A71,"${dto}",setup!$C$3),"${pk}",setup!$E$8)</f>
        <v/>
      </c>
    </row>
    <row r="72" spans="1:15" x14ac:dyDescent="0.25">
      <c r="A72" s="6"/>
      <c r="O72" t="str">
        <f>SUBSTITUTE(SUBSTITUTE(A72,"${dto}",setup!$C$3),"${pk}",setup!$E$8)</f>
        <v/>
      </c>
    </row>
    <row r="73" spans="1:15" x14ac:dyDescent="0.25">
      <c r="A73" s="6"/>
      <c r="O73" t="str">
        <f>SUBSTITUTE(SUBSTITUTE(A73,"${dto}",setup!$C$3),"${pk}",setup!$E$8)</f>
        <v/>
      </c>
    </row>
    <row r="74" spans="1:15" x14ac:dyDescent="0.25">
      <c r="A74" s="6"/>
      <c r="O74" t="str">
        <f>SUBSTITUTE(SUBSTITUTE(A74,"${dto}",setup!$C$3),"${pk}",setup!$E$8)</f>
        <v/>
      </c>
    </row>
    <row r="75" spans="1:15" x14ac:dyDescent="0.25">
      <c r="A75" s="6"/>
      <c r="O75" t="str">
        <f>SUBSTITUTE(SUBSTITUTE(A75,"${dto}",setup!$C$3),"${pk}",setup!$E$8)</f>
        <v/>
      </c>
    </row>
    <row r="76" spans="1:15" x14ac:dyDescent="0.25">
      <c r="A76" s="6"/>
      <c r="O76" t="str">
        <f>SUBSTITUTE(SUBSTITUTE(A76,"${dto}",setup!$C$3),"${pk}",setup!$E$8)</f>
        <v/>
      </c>
    </row>
    <row r="77" spans="1:15" x14ac:dyDescent="0.25">
      <c r="A77" s="6"/>
      <c r="O77" t="str">
        <f>SUBSTITUTE(SUBSTITUTE(A77,"${dto}",setup!$C$3),"${pk}",setup!$E$8)</f>
        <v/>
      </c>
    </row>
    <row r="78" spans="1:15" x14ac:dyDescent="0.25">
      <c r="A78" s="3"/>
      <c r="O78" t="str">
        <f>SUBSTITUTE(SUBSTITUTE(A78,"${dto}",setup!$C$3),"${pk}",setup!$E$8)</f>
        <v/>
      </c>
    </row>
    <row r="79" spans="1:15" x14ac:dyDescent="0.25">
      <c r="A79" s="6"/>
      <c r="O79" t="str">
        <f>SUBSTITUTE(SUBSTITUTE(A79,"${dto}",setup!$C$3),"${pk}",setup!$E$8)</f>
        <v/>
      </c>
    </row>
    <row r="80" spans="1:15" x14ac:dyDescent="0.25">
      <c r="A80" s="6"/>
      <c r="O80" t="str">
        <f>SUBSTITUTE(SUBSTITUTE(A80,"${dto}",setup!$C$3),"${pk}",setup!$E$8)</f>
        <v/>
      </c>
    </row>
    <row r="81" spans="1:15" x14ac:dyDescent="0.25">
      <c r="A81" s="6"/>
      <c r="O81" t="str">
        <f>SUBSTITUTE(SUBSTITUTE(A81,"${dto}",setup!$C$3),"${pk}",setup!$E$8)</f>
        <v/>
      </c>
    </row>
    <row r="82" spans="1:15" x14ac:dyDescent="0.25">
      <c r="A82" s="6"/>
      <c r="O82" t="str">
        <f>SUBSTITUTE(SUBSTITUTE(A82,"${dto}",setup!$C$3),"${pk}",setup!$E$8)</f>
        <v/>
      </c>
    </row>
    <row r="83" spans="1:15" x14ac:dyDescent="0.25">
      <c r="A83" s="6"/>
      <c r="O83" t="str">
        <f>SUBSTITUTE(SUBSTITUTE(A83,"${dto}",setup!$C$3),"${pk}",setup!$E$8)</f>
        <v/>
      </c>
    </row>
    <row r="84" spans="1:15" x14ac:dyDescent="0.25">
      <c r="A84" s="6"/>
      <c r="O84" t="str">
        <f>SUBSTITUTE(SUBSTITUTE(A84,"${dto}",setup!$C$3),"${pk}",setup!$E$8)</f>
        <v/>
      </c>
    </row>
    <row r="85" spans="1:15" x14ac:dyDescent="0.25">
      <c r="A85" s="6"/>
      <c r="O85" t="str">
        <f>SUBSTITUTE(SUBSTITUTE(A85,"${dto}",setup!$C$3),"${pk}",setup!$E$8)</f>
        <v/>
      </c>
    </row>
    <row r="86" spans="1:15" x14ac:dyDescent="0.25">
      <c r="A86" s="6"/>
      <c r="O86" t="str">
        <f>SUBSTITUTE(SUBSTITUTE(A86,"${dto}",setup!$C$3),"${pk}",setup!$E$8)</f>
        <v/>
      </c>
    </row>
    <row r="87" spans="1:15" x14ac:dyDescent="0.25">
      <c r="A87" s="6"/>
      <c r="O87" t="str">
        <f>SUBSTITUTE(SUBSTITUTE(A87,"${dto}",setup!$C$3),"${pk}",setup!$E$8)</f>
        <v/>
      </c>
    </row>
    <row r="88" spans="1:15" x14ac:dyDescent="0.25">
      <c r="A88" s="3"/>
      <c r="O88" t="str">
        <f>SUBSTITUTE(SUBSTITUTE(A88,"${dto}",setup!$C$3),"${pk}",setup!$E$8)</f>
        <v/>
      </c>
    </row>
    <row r="89" spans="1:15" x14ac:dyDescent="0.25">
      <c r="A89" s="6"/>
      <c r="O89" t="str">
        <f>SUBSTITUTE(SUBSTITUTE(A89,"${dto}",setup!$C$3),"${pk}",setup!$E$8)</f>
        <v/>
      </c>
    </row>
    <row r="90" spans="1:15" x14ac:dyDescent="0.25">
      <c r="A90" s="6"/>
      <c r="O90" t="str">
        <f>SUBSTITUTE(SUBSTITUTE(A90,"${dto}",setup!$C$3),"${pk}",setup!$E$8)</f>
        <v/>
      </c>
    </row>
    <row r="91" spans="1:15" x14ac:dyDescent="0.25">
      <c r="A91" s="6"/>
      <c r="O91" t="str">
        <f>SUBSTITUTE(SUBSTITUTE(A91,"${dto}",setup!$C$3),"${pk}",setup!$E$8)</f>
        <v/>
      </c>
    </row>
    <row r="92" spans="1:15" x14ac:dyDescent="0.25">
      <c r="A92" s="6"/>
      <c r="O92" t="str">
        <f>SUBSTITUTE(SUBSTITUTE(A92,"${dto}",setup!$C$3),"${pk}",setup!$E$8)</f>
        <v/>
      </c>
    </row>
    <row r="93" spans="1:15" x14ac:dyDescent="0.25">
      <c r="A93" s="6"/>
      <c r="O93" t="str">
        <f>SUBSTITUTE(SUBSTITUTE(A93,"${dto}",setup!$C$3),"${pk}",setup!$E$8)</f>
        <v/>
      </c>
    </row>
    <row r="94" spans="1:15" x14ac:dyDescent="0.25">
      <c r="A94" s="6"/>
      <c r="O94" t="str">
        <f>SUBSTITUTE(SUBSTITUTE(A94,"${dto}",setup!$C$3),"${pk}",setup!$E$8)</f>
        <v/>
      </c>
    </row>
    <row r="95" spans="1:15" x14ac:dyDescent="0.25">
      <c r="A95" s="6"/>
      <c r="O95" t="str">
        <f>SUBSTITUTE(SUBSTITUTE(A95,"${dto}",setup!$C$3),"${pk}",setup!$E$8)</f>
        <v/>
      </c>
    </row>
    <row r="96" spans="1:15" x14ac:dyDescent="0.25">
      <c r="A96" s="3"/>
      <c r="O96" t="str">
        <f>SUBSTITUTE(SUBSTITUTE(A96,"${dto}",setup!$C$3),"${pk}",setup!$E$8)</f>
        <v/>
      </c>
    </row>
    <row r="97" spans="1:15" x14ac:dyDescent="0.25">
      <c r="A97" s="6"/>
      <c r="O97" t="str">
        <f>SUBSTITUTE(SUBSTITUTE(A97,"${dto}",setup!$C$3),"${pk}",setup!$E$8)</f>
        <v/>
      </c>
    </row>
    <row r="98" spans="1:15" x14ac:dyDescent="0.25">
      <c r="A98" s="6"/>
      <c r="O98" t="str">
        <f>SUBSTITUTE(SUBSTITUTE(A98,"${dto}",setup!$C$3),"${pk}",setup!$E$8)</f>
        <v/>
      </c>
    </row>
    <row r="99" spans="1:15" x14ac:dyDescent="0.25">
      <c r="A99" s="3"/>
      <c r="O99" t="str">
        <f>SUBSTITUTE(SUBSTITUTE(A99,"${dto}",setup!$C$3),"${pk}",setup!$E$8)</f>
        <v/>
      </c>
    </row>
    <row r="100" spans="1:15" x14ac:dyDescent="0.25">
      <c r="A100" s="3"/>
      <c r="O100" t="str">
        <f>SUBSTITUTE(SUBSTITUTE(A100,"${dto}",setup!$C$3),"${pk}",setup!$E$8)</f>
        <v/>
      </c>
    </row>
    <row r="101" spans="1:15" x14ac:dyDescent="0.25">
      <c r="A101" s="6"/>
      <c r="O101" t="str">
        <f>SUBSTITUTE(SUBSTITUTE(A101,"${dto}",setup!$C$3),"${pk}",setup!$E$8)</f>
        <v/>
      </c>
    </row>
    <row r="102" spans="1:15" x14ac:dyDescent="0.25">
      <c r="A102" s="6"/>
      <c r="O102" t="str">
        <f>SUBSTITUTE(SUBSTITUTE(A102,"${dto}",setup!$C$3),"${pk}",setup!$E$8)</f>
        <v/>
      </c>
    </row>
    <row r="103" spans="1:15" x14ac:dyDescent="0.25">
      <c r="A103" s="6"/>
      <c r="O103" t="str">
        <f>SUBSTITUTE(SUBSTITUTE(A103,"${dto}",setup!$C$3),"${pk}",setup!$E$8)</f>
        <v/>
      </c>
    </row>
    <row r="104" spans="1:15" x14ac:dyDescent="0.25">
      <c r="A104" s="6"/>
      <c r="O104" t="str">
        <f>SUBSTITUTE(SUBSTITUTE(A104,"${dto}",setup!$C$3),"${pk}",setup!$E$8)</f>
        <v/>
      </c>
    </row>
    <row r="105" spans="1:15" x14ac:dyDescent="0.25">
      <c r="A105" s="6"/>
      <c r="O105" t="str">
        <f>SUBSTITUTE(SUBSTITUTE(A105,"${dto}",setup!$C$3),"${pk}",setup!$E$8)</f>
        <v/>
      </c>
    </row>
    <row r="106" spans="1:15" x14ac:dyDescent="0.25">
      <c r="A106" s="6"/>
      <c r="O106" t="str">
        <f>SUBSTITUTE(SUBSTITUTE(A106,"${dto}",setup!$C$3),"${pk}",setup!$E$8)</f>
        <v/>
      </c>
    </row>
    <row r="107" spans="1:15" x14ac:dyDescent="0.25">
      <c r="A107" s="6"/>
      <c r="O107" t="str">
        <f>SUBSTITUTE(SUBSTITUTE(A107,"${dto}",setup!$C$3),"${pk}",setup!$E$8)</f>
        <v/>
      </c>
    </row>
    <row r="108" spans="1:15" x14ac:dyDescent="0.25">
      <c r="A108" s="6"/>
      <c r="O108" t="str">
        <f>SUBSTITUTE(SUBSTITUTE(A108,"${dto}",setup!$C$3),"${pk}",setup!$E$8)</f>
        <v/>
      </c>
    </row>
    <row r="109" spans="1:15" x14ac:dyDescent="0.25">
      <c r="A109" s="6"/>
      <c r="O109" t="str">
        <f>SUBSTITUTE(SUBSTITUTE(A109,"${dto}",setup!$C$3),"${pk}",setup!$E$8)</f>
        <v/>
      </c>
    </row>
    <row r="110" spans="1:15" x14ac:dyDescent="0.25">
      <c r="A110" s="6"/>
      <c r="O110" t="str">
        <f>SUBSTITUTE(SUBSTITUTE(A110,"${dto}",setup!$C$3),"${pk}",setup!$E$8)</f>
        <v/>
      </c>
    </row>
    <row r="111" spans="1:15" x14ac:dyDescent="0.25">
      <c r="A111" s="6"/>
      <c r="O111" t="str">
        <f>SUBSTITUTE(SUBSTITUTE(A111,"${dto}",setup!$C$3),"${pk}",setup!$E$8)</f>
        <v/>
      </c>
    </row>
    <row r="112" spans="1:15" x14ac:dyDescent="0.25">
      <c r="A112" s="6"/>
      <c r="O112" t="str">
        <f>SUBSTITUTE(SUBSTITUTE(A112,"${dto}",setup!$C$3),"${pk}",setup!$E$8)</f>
        <v/>
      </c>
    </row>
    <row r="113" spans="1:15" x14ac:dyDescent="0.25">
      <c r="A113" s="3"/>
      <c r="O113" t="str">
        <f>SUBSTITUTE(SUBSTITUTE(A113,"${dto}",setup!$C$3),"${pk}",setup!$E$8)</f>
        <v/>
      </c>
    </row>
    <row r="114" spans="1:15" x14ac:dyDescent="0.25">
      <c r="A114" s="6"/>
      <c r="O114" t="str">
        <f>SUBSTITUTE(SUBSTITUTE(A114,"${dto}",setup!$C$3),"${pk}",setup!$E$8)</f>
        <v/>
      </c>
    </row>
    <row r="115" spans="1:15" x14ac:dyDescent="0.25">
      <c r="A115" s="6"/>
      <c r="O115" t="str">
        <f>SUBSTITUTE(SUBSTITUTE(A115,"${dto}",setup!$C$3),"${pk}",setup!$E$8)</f>
        <v/>
      </c>
    </row>
    <row r="116" spans="1:15" x14ac:dyDescent="0.25">
      <c r="A116" s="6"/>
      <c r="O116" t="str">
        <f>SUBSTITUTE(SUBSTITUTE(A116,"${dto}",setup!$C$3),"${pk}",setup!$E$8)</f>
        <v/>
      </c>
    </row>
    <row r="117" spans="1:15" x14ac:dyDescent="0.25">
      <c r="A117" s="6"/>
      <c r="O117" t="str">
        <f>SUBSTITUTE(SUBSTITUTE(A117,"${dto}",setup!$C$3),"${pk}",setup!$E$8)</f>
        <v/>
      </c>
    </row>
    <row r="118" spans="1:15" x14ac:dyDescent="0.25">
      <c r="A118" s="6"/>
      <c r="O118" t="str">
        <f>SUBSTITUTE(SUBSTITUTE(A118,"${dto}",setup!$C$3),"${pk}",setup!$E$8)</f>
        <v/>
      </c>
    </row>
    <row r="119" spans="1:15" x14ac:dyDescent="0.25">
      <c r="A119" s="6"/>
      <c r="O119" t="str">
        <f>SUBSTITUTE(SUBSTITUTE(A119,"${dto}",setup!$C$3),"${pk}",setup!$E$8)</f>
        <v/>
      </c>
    </row>
    <row r="120" spans="1:15" x14ac:dyDescent="0.25">
      <c r="A120" s="6"/>
      <c r="O120" t="str">
        <f>SUBSTITUTE(SUBSTITUTE(A120,"${dto}",setup!$C$3),"${pk}",setup!$E$8)</f>
        <v/>
      </c>
    </row>
    <row r="121" spans="1:15" x14ac:dyDescent="0.25">
      <c r="A121" s="6"/>
      <c r="O121" t="str">
        <f>SUBSTITUTE(SUBSTITUTE(A121,"${dto}",setup!$C$3),"${pk}",setup!$E$8)</f>
        <v/>
      </c>
    </row>
    <row r="122" spans="1:15" x14ac:dyDescent="0.25">
      <c r="A122" s="6"/>
      <c r="O122" t="str">
        <f>SUBSTITUTE(SUBSTITUTE(A122,"${dto}",setup!$C$3),"${pk}",setup!$E$8)</f>
        <v/>
      </c>
    </row>
    <row r="123" spans="1:15" x14ac:dyDescent="0.25">
      <c r="A123" s="3"/>
      <c r="O123" t="str">
        <f>SUBSTITUTE(SUBSTITUTE(A123,"${dto}",setup!$C$3),"${pk}",setup!$E$8)</f>
        <v/>
      </c>
    </row>
    <row r="124" spans="1:15" x14ac:dyDescent="0.25">
      <c r="A124" s="6"/>
      <c r="O124" t="str">
        <f>SUBSTITUTE(SUBSTITUTE(A124,"${dto}",setup!$C$3),"${pk}",setup!$E$8)</f>
        <v/>
      </c>
    </row>
    <row r="125" spans="1:15" x14ac:dyDescent="0.25">
      <c r="A125" s="6"/>
      <c r="O125" t="str">
        <f>SUBSTITUTE(SUBSTITUTE(A125,"${dto}",setup!$C$3),"${pk}",setup!$E$8)</f>
        <v/>
      </c>
    </row>
    <row r="126" spans="1:15" x14ac:dyDescent="0.25">
      <c r="A126" s="6"/>
      <c r="O126" t="str">
        <f>SUBSTITUTE(SUBSTITUTE(A126,"${dto}",setup!$C$3),"${pk}",setup!$E$8)</f>
        <v/>
      </c>
    </row>
    <row r="127" spans="1:15" x14ac:dyDescent="0.25">
      <c r="A127" s="6"/>
      <c r="O127" t="str">
        <f>SUBSTITUTE(SUBSTITUTE(A127,"${dto}",setup!$C$3),"${pk}",setup!$E$8)</f>
        <v/>
      </c>
    </row>
    <row r="128" spans="1:15" x14ac:dyDescent="0.25">
      <c r="A128" s="6"/>
      <c r="O128" t="str">
        <f>SUBSTITUTE(SUBSTITUTE(A128,"${dto}",setup!$C$3),"${pk}",setup!$E$8)</f>
        <v/>
      </c>
    </row>
    <row r="129" spans="1:15" x14ac:dyDescent="0.25">
      <c r="A129" s="6"/>
      <c r="O129" t="str">
        <f>SUBSTITUTE(SUBSTITUTE(A129,"${dto}",setup!$C$3),"${pk}",setup!$E$8)</f>
        <v/>
      </c>
    </row>
    <row r="130" spans="1:15" x14ac:dyDescent="0.25">
      <c r="A130" s="6"/>
      <c r="O130" t="str">
        <f>SUBSTITUTE(SUBSTITUTE(A130,"${dto}",setup!$C$3),"${pk}",setup!$E$8)</f>
        <v/>
      </c>
    </row>
    <row r="131" spans="1:15" x14ac:dyDescent="0.25">
      <c r="A131" s="3"/>
      <c r="O131" t="str">
        <f>SUBSTITUTE(SUBSTITUTE(A131,"${dto}",setup!$C$3),"${pk}",setup!$E$8)</f>
        <v/>
      </c>
    </row>
    <row r="132" spans="1:15" x14ac:dyDescent="0.25">
      <c r="A132" s="6"/>
      <c r="O132" t="str">
        <f>SUBSTITUTE(SUBSTITUTE(A132,"${dto}",setup!$C$3),"${pk}",setup!$E$8)</f>
        <v/>
      </c>
    </row>
    <row r="133" spans="1:15" x14ac:dyDescent="0.25">
      <c r="A133" s="6"/>
      <c r="O133" t="str">
        <f>SUBSTITUTE(SUBSTITUTE(A133,"${dto}",setup!$C$3),"${pk}",setup!$E$8)</f>
        <v/>
      </c>
    </row>
    <row r="134" spans="1:15" x14ac:dyDescent="0.25">
      <c r="A134" s="3"/>
      <c r="O134" t="str">
        <f>SUBSTITUTE(SUBSTITUTE(A134,"${dto}",setup!$C$3),"${pk}",setup!$E$8)</f>
        <v/>
      </c>
    </row>
    <row r="135" spans="1:15" x14ac:dyDescent="0.25">
      <c r="A135" s="6"/>
      <c r="O135" t="str">
        <f>SUBSTITUTE(SUBSTITUTE(A135,"${dto}",setup!$C$3),"${pk}",setup!$E$8)</f>
        <v/>
      </c>
    </row>
    <row r="136" spans="1:15" x14ac:dyDescent="0.25">
      <c r="A136" s="6"/>
      <c r="O136" t="str">
        <f>SUBSTITUTE(SUBSTITUTE(A136,"${dto}",setup!$C$3),"${pk}",setup!$E$8)</f>
        <v/>
      </c>
    </row>
    <row r="137" spans="1:15" x14ac:dyDescent="0.25">
      <c r="A137" s="6"/>
      <c r="O137" t="str">
        <f>SUBSTITUTE(SUBSTITUTE(A137,"${dto}",setup!$C$3),"${pk}",setup!$E$8)</f>
        <v/>
      </c>
    </row>
    <row r="138" spans="1:15" x14ac:dyDescent="0.25">
      <c r="A138" s="6"/>
      <c r="O138" t="str">
        <f>SUBSTITUTE(SUBSTITUTE(A138,"${dto}",setup!$C$3),"${pk}",setup!$E$8)</f>
        <v/>
      </c>
    </row>
    <row r="139" spans="1:15" x14ac:dyDescent="0.25">
      <c r="A139" s="6"/>
      <c r="O139" t="str">
        <f>SUBSTITUTE(SUBSTITUTE(A139,"${dto}",setup!$C$3),"${pk}",setup!$E$8)</f>
        <v/>
      </c>
    </row>
    <row r="140" spans="1:15" x14ac:dyDescent="0.25">
      <c r="A140" s="6"/>
      <c r="O140" t="str">
        <f>SUBSTITUTE(SUBSTITUTE(A140,"${dto}",setup!$C$3),"${pk}",setup!$E$8)</f>
        <v/>
      </c>
    </row>
    <row r="141" spans="1:15" x14ac:dyDescent="0.25">
      <c r="A141" s="6"/>
      <c r="O141" t="str">
        <f>SUBSTITUTE(SUBSTITUTE(A141,"${dto}",setup!$C$3),"${pk}",setup!$E$8)</f>
        <v/>
      </c>
    </row>
    <row r="142" spans="1:15" x14ac:dyDescent="0.25">
      <c r="A142" s="6"/>
      <c r="O142" t="str">
        <f>SUBSTITUTE(SUBSTITUTE(A142,"${dto}",setup!$C$3),"${pk}",setup!$E$8)</f>
        <v/>
      </c>
    </row>
    <row r="143" spans="1:15" x14ac:dyDescent="0.25">
      <c r="A143" s="6"/>
      <c r="O143" t="str">
        <f>SUBSTITUTE(SUBSTITUTE(A143,"${dto}",setup!$C$3),"${pk}",setup!$E$8)</f>
        <v/>
      </c>
    </row>
    <row r="144" spans="1:15" x14ac:dyDescent="0.25">
      <c r="A144" s="6"/>
      <c r="O144" t="str">
        <f>SUBSTITUTE(SUBSTITUTE(A144,"${dto}",setup!$C$3),"${pk}",setup!$E$8)</f>
        <v/>
      </c>
    </row>
    <row r="145" spans="1:15" x14ac:dyDescent="0.25">
      <c r="A145" s="6"/>
      <c r="O145" t="str">
        <f>SUBSTITUTE(SUBSTITUTE(A145,"${dto}",setup!$C$3),"${pk}",setup!$E$8)</f>
        <v/>
      </c>
    </row>
    <row r="146" spans="1:15" x14ac:dyDescent="0.25">
      <c r="A146" s="6"/>
      <c r="O146" t="str">
        <f>SUBSTITUTE(SUBSTITUTE(A146,"${dto}",setup!$C$3),"${pk}",setup!$E$8)</f>
        <v/>
      </c>
    </row>
    <row r="147" spans="1:15" x14ac:dyDescent="0.25">
      <c r="A147" s="6"/>
      <c r="O147" t="str">
        <f>SUBSTITUTE(SUBSTITUTE(A147,"${dto}",setup!$C$3),"${pk}",setup!$E$8)</f>
        <v/>
      </c>
    </row>
    <row r="148" spans="1:15" x14ac:dyDescent="0.25">
      <c r="A148" s="6"/>
      <c r="O148" t="str">
        <f>SUBSTITUTE(SUBSTITUTE(A148,"${dto}",setup!$C$3),"${pk}",setup!$E$8)</f>
        <v/>
      </c>
    </row>
    <row r="149" spans="1:15" x14ac:dyDescent="0.25">
      <c r="A149" s="6"/>
      <c r="O149" t="str">
        <f>SUBSTITUTE(SUBSTITUTE(A149,"${dto}",setup!$C$3),"${pk}",setup!$E$8)</f>
        <v/>
      </c>
    </row>
    <row r="150" spans="1:15" x14ac:dyDescent="0.25">
      <c r="A150" s="6"/>
      <c r="O150" t="str">
        <f>SUBSTITUTE(SUBSTITUTE(A150,"${dto}",setup!$C$3),"${pk}",setup!$E$8)</f>
        <v/>
      </c>
    </row>
    <row r="151" spans="1:15" x14ac:dyDescent="0.25">
      <c r="A151" s="3"/>
      <c r="O151" t="str">
        <f>SUBSTITUTE(SUBSTITUTE(A151,"${dto}",setup!$C$3),"${pk}",setup!$E$8)</f>
        <v/>
      </c>
    </row>
    <row r="152" spans="1:15" x14ac:dyDescent="0.25">
      <c r="A152" s="6"/>
      <c r="O152" t="str">
        <f>SUBSTITUTE(SUBSTITUTE(A152,"${dto}",setup!$C$3),"${pk}",setup!$E$8)</f>
        <v/>
      </c>
    </row>
    <row r="153" spans="1:15" x14ac:dyDescent="0.25">
      <c r="A153" s="6"/>
      <c r="O153" t="str">
        <f>SUBSTITUTE(SUBSTITUTE(A153,"${dto}",setup!$C$3),"${pk}",setup!$E$8)</f>
        <v/>
      </c>
    </row>
    <row r="154" spans="1:15" x14ac:dyDescent="0.25">
      <c r="A154" s="6"/>
      <c r="O154" t="str">
        <f>SUBSTITUTE(SUBSTITUTE(A154,"${dto}",setup!$C$3),"${pk}",setup!$E$8)</f>
        <v/>
      </c>
    </row>
    <row r="155" spans="1:15" x14ac:dyDescent="0.25">
      <c r="A155" s="6"/>
      <c r="O155" t="str">
        <f>SUBSTITUTE(SUBSTITUTE(A155,"${dto}",setup!$C$3),"${pk}",setup!$E$8)</f>
        <v/>
      </c>
    </row>
    <row r="156" spans="1:15" x14ac:dyDescent="0.25">
      <c r="A156" s="6"/>
      <c r="O156" t="str">
        <f>SUBSTITUTE(SUBSTITUTE(A156,"${dto}",setup!$C$3),"${pk}",setup!$E$8)</f>
        <v/>
      </c>
    </row>
    <row r="157" spans="1:15" x14ac:dyDescent="0.25">
      <c r="A157" s="6"/>
      <c r="O157" t="str">
        <f>SUBSTITUTE(SUBSTITUTE(A157,"${dto}",setup!$C$3),"${pk}",setup!$E$8)</f>
        <v/>
      </c>
    </row>
    <row r="158" spans="1:15" x14ac:dyDescent="0.25">
      <c r="A158" s="6"/>
      <c r="O158" t="str">
        <f>SUBSTITUTE(SUBSTITUTE(A158,"${dto}",setup!$C$3),"${pk}",setup!$E$8)</f>
        <v/>
      </c>
    </row>
    <row r="159" spans="1:15" x14ac:dyDescent="0.25">
      <c r="A159" s="3"/>
      <c r="O159" t="str">
        <f>SUBSTITUTE(SUBSTITUTE(A159,"${dto}",setup!$C$3),"${pk}",setup!$E$8)</f>
        <v/>
      </c>
    </row>
    <row r="160" spans="1:15" x14ac:dyDescent="0.25">
      <c r="A160" s="6"/>
      <c r="O160" t="str">
        <f>SUBSTITUTE(SUBSTITUTE(A160,"${dto}",setup!$C$3),"${pk}",setup!$E$8)</f>
        <v/>
      </c>
    </row>
    <row r="161" spans="1:15" x14ac:dyDescent="0.25">
      <c r="A161" s="6"/>
      <c r="O161" t="str">
        <f>SUBSTITUTE(SUBSTITUTE(A161,"${dto}",setup!$C$3),"${pk}",setup!$E$8)</f>
        <v/>
      </c>
    </row>
    <row r="162" spans="1:15" x14ac:dyDescent="0.25">
      <c r="A162" s="3"/>
      <c r="O162" t="str">
        <f>SUBSTITUTE(SUBSTITUTE(A162,"${dto}",setup!$C$3),"${pk}",setup!$E$8)</f>
        <v/>
      </c>
    </row>
    <row r="163" spans="1:15" x14ac:dyDescent="0.25">
      <c r="A163" s="3"/>
      <c r="O163" t="str">
        <f>SUBSTITUTE(SUBSTITUTE(A163,"${dto}",setup!$C$3),"${pk}",setup!$E$8)</f>
        <v/>
      </c>
    </row>
    <row r="164" spans="1:15" x14ac:dyDescent="0.25">
      <c r="A164" s="6"/>
      <c r="O164" t="str">
        <f>SUBSTITUTE(SUBSTITUTE(A164,"${dto}",setup!$C$3),"${pk}",setup!$E$8)</f>
        <v/>
      </c>
    </row>
    <row r="165" spans="1:15" x14ac:dyDescent="0.25">
      <c r="A165" s="6"/>
      <c r="O165" t="str">
        <f>SUBSTITUTE(SUBSTITUTE(A165,"${dto}",setup!$C$3),"${pk}",setup!$E$8)</f>
        <v/>
      </c>
    </row>
    <row r="166" spans="1:15" x14ac:dyDescent="0.25">
      <c r="A166" s="6"/>
      <c r="O166" t="str">
        <f>SUBSTITUTE(SUBSTITUTE(A166,"${dto}",setup!$C$3),"${pk}",setup!$E$8)</f>
        <v/>
      </c>
    </row>
    <row r="167" spans="1:15" x14ac:dyDescent="0.25">
      <c r="A167" s="6"/>
      <c r="O167" t="str">
        <f>SUBSTITUTE(SUBSTITUTE(A167,"${dto}",setup!$C$3),"${pk}",setup!$E$8)</f>
        <v/>
      </c>
    </row>
    <row r="168" spans="1:15" x14ac:dyDescent="0.25">
      <c r="A168" s="6"/>
      <c r="O168" t="str">
        <f>SUBSTITUTE(SUBSTITUTE(A168,"${dto}",setup!$C$3),"${pk}",setup!$E$8)</f>
        <v/>
      </c>
    </row>
    <row r="169" spans="1:15" x14ac:dyDescent="0.25">
      <c r="A169" s="6"/>
      <c r="O169" t="str">
        <f>SUBSTITUTE(SUBSTITUTE(A169,"${dto}",setup!$C$3),"${pk}",setup!$E$8)</f>
        <v/>
      </c>
    </row>
    <row r="170" spans="1:15" x14ac:dyDescent="0.25">
      <c r="A170" s="6"/>
      <c r="O170" t="str">
        <f>SUBSTITUTE(SUBSTITUTE(A170,"${dto}",setup!$C$3),"${pk}",setup!$E$8)</f>
        <v/>
      </c>
    </row>
    <row r="171" spans="1:15" x14ac:dyDescent="0.25">
      <c r="A171" s="6"/>
      <c r="O171" t="str">
        <f>SUBSTITUTE(SUBSTITUTE(A171,"${dto}",setup!$C$3),"${pk}",setup!$E$8)</f>
        <v/>
      </c>
    </row>
    <row r="172" spans="1:15" x14ac:dyDescent="0.25">
      <c r="A172" s="6"/>
      <c r="O172" t="str">
        <f>SUBSTITUTE(SUBSTITUTE(A172,"${dto}",setup!$C$3),"${pk}",setup!$E$8)</f>
        <v/>
      </c>
    </row>
    <row r="173" spans="1:15" x14ac:dyDescent="0.25">
      <c r="A173" s="6"/>
      <c r="O173" t="str">
        <f>SUBSTITUTE(SUBSTITUTE(A173,"${dto}",setup!$C$3),"${pk}",setup!$E$8)</f>
        <v/>
      </c>
    </row>
    <row r="174" spans="1:15" x14ac:dyDescent="0.25">
      <c r="A174" s="6"/>
      <c r="O174" t="str">
        <f>SUBSTITUTE(SUBSTITUTE(A174,"${dto}",setup!$C$3),"${pk}",setup!$E$8)</f>
        <v/>
      </c>
    </row>
    <row r="175" spans="1:15" x14ac:dyDescent="0.25">
      <c r="A175" s="6"/>
      <c r="O175" t="str">
        <f>SUBSTITUTE(SUBSTITUTE(A175,"${dto}",setup!$C$3),"${pk}",setup!$E$8)</f>
        <v/>
      </c>
    </row>
    <row r="176" spans="1:15" x14ac:dyDescent="0.25">
      <c r="A176" s="6"/>
      <c r="O176" t="str">
        <f>SUBSTITUTE(SUBSTITUTE(A176,"${dto}",setup!$C$3),"${pk}",setup!$E$8)</f>
        <v/>
      </c>
    </row>
    <row r="177" spans="1:15" x14ac:dyDescent="0.25">
      <c r="A177" s="6"/>
      <c r="O177" t="str">
        <f>SUBSTITUTE(SUBSTITUTE(A177,"${dto}",setup!$C$3),"${pk}",setup!$E$8)</f>
        <v/>
      </c>
    </row>
    <row r="178" spans="1:15" x14ac:dyDescent="0.25">
      <c r="A178" s="6"/>
      <c r="O178" t="str">
        <f>SUBSTITUTE(SUBSTITUTE(A178,"${dto}",setup!$C$3),"${pk}",setup!$E$8)</f>
        <v/>
      </c>
    </row>
    <row r="179" spans="1:15" x14ac:dyDescent="0.25">
      <c r="A179" s="6"/>
      <c r="O179" t="str">
        <f>SUBSTITUTE(SUBSTITUTE(A179,"${dto}",setup!$C$3),"${pk}",setup!$E$8)</f>
        <v/>
      </c>
    </row>
    <row r="180" spans="1:15" x14ac:dyDescent="0.25">
      <c r="A180" s="6"/>
      <c r="O180" t="str">
        <f>SUBSTITUTE(SUBSTITUTE(A180,"${dto}",setup!$C$3),"${pk}",setup!$E$8)</f>
        <v/>
      </c>
    </row>
    <row r="181" spans="1:15" x14ac:dyDescent="0.25">
      <c r="A181" s="6"/>
      <c r="O181" t="str">
        <f>SUBSTITUTE(SUBSTITUTE(A181,"${dto}",setup!$C$3),"${pk}",setup!$E$8)</f>
        <v/>
      </c>
    </row>
    <row r="182" spans="1:15" x14ac:dyDescent="0.25">
      <c r="A182" s="6"/>
      <c r="O182" t="str">
        <f>SUBSTITUTE(SUBSTITUTE(A182,"${dto}",setup!$C$3),"${pk}",setup!$E$8)</f>
        <v/>
      </c>
    </row>
    <row r="183" spans="1:15" x14ac:dyDescent="0.25">
      <c r="A183" s="6"/>
      <c r="O183" t="str">
        <f>SUBSTITUTE(SUBSTITUTE(A183,"${dto}",setup!$C$3),"${pk}",setup!$E$8)</f>
        <v/>
      </c>
    </row>
    <row r="184" spans="1:15" x14ac:dyDescent="0.25">
      <c r="A184" s="3"/>
      <c r="O184" t="str">
        <f>SUBSTITUTE(SUBSTITUTE(A184,"${dto}",setup!$C$3),"${pk}",setup!$E$8)</f>
        <v/>
      </c>
    </row>
    <row r="185" spans="1:15" x14ac:dyDescent="0.25">
      <c r="A185" s="6"/>
      <c r="O185" t="str">
        <f>SUBSTITUTE(SUBSTITUTE(A185,"${dto}",setup!$C$3),"${pk}",setup!$E$8)</f>
        <v/>
      </c>
    </row>
    <row r="186" spans="1:15" x14ac:dyDescent="0.25">
      <c r="A186" s="6"/>
      <c r="O186" t="str">
        <f>SUBSTITUTE(SUBSTITUTE(A186,"${dto}",setup!$C$3),"${pk}",setup!$E$8)</f>
        <v/>
      </c>
    </row>
    <row r="187" spans="1:15" x14ac:dyDescent="0.25">
      <c r="A187" s="6"/>
      <c r="O187" t="str">
        <f>SUBSTITUTE(SUBSTITUTE(A187,"${dto}",setup!$C$3),"${pk}",setup!$E$8)</f>
        <v/>
      </c>
    </row>
    <row r="188" spans="1:15" x14ac:dyDescent="0.25">
      <c r="A188" s="6"/>
      <c r="O188" t="str">
        <f>SUBSTITUTE(SUBSTITUTE(A188,"${dto}",setup!$C$3),"${pk}",setup!$E$8)</f>
        <v/>
      </c>
    </row>
    <row r="189" spans="1:15" x14ac:dyDescent="0.25">
      <c r="A189" s="6"/>
      <c r="O189" t="str">
        <f>SUBSTITUTE(SUBSTITUTE(A189,"${dto}",setup!$C$3),"${pk}",setup!$E$8)</f>
        <v/>
      </c>
    </row>
    <row r="190" spans="1:15" x14ac:dyDescent="0.25">
      <c r="A190" s="6"/>
      <c r="O190" t="str">
        <f>SUBSTITUTE(SUBSTITUTE(A190,"${dto}",setup!$C$3),"${pk}",setup!$E$8)</f>
        <v/>
      </c>
    </row>
    <row r="191" spans="1:15" x14ac:dyDescent="0.25">
      <c r="A191" s="6"/>
      <c r="O191" t="str">
        <f>SUBSTITUTE(SUBSTITUTE(A191,"${dto}",setup!$C$3),"${pk}",setup!$E$8)</f>
        <v/>
      </c>
    </row>
    <row r="192" spans="1:15" x14ac:dyDescent="0.25">
      <c r="A192" s="3"/>
      <c r="O192" t="str">
        <f>SUBSTITUTE(SUBSTITUTE(A192,"${dto}",setup!$C$3),"${pk}",setup!$E$8)</f>
        <v/>
      </c>
    </row>
    <row r="193" spans="1:15" x14ac:dyDescent="0.25">
      <c r="A193" s="6"/>
      <c r="O193" t="str">
        <f>SUBSTITUTE(SUBSTITUTE(A193,"${dto}",setup!$C$3),"${pk}",setup!$E$8)</f>
        <v/>
      </c>
    </row>
    <row r="194" spans="1:15" x14ac:dyDescent="0.25">
      <c r="A194" s="6"/>
      <c r="O194" t="str">
        <f>SUBSTITUTE(SUBSTITUTE(A194,"${dto}",setup!$C$3),"${pk}",setup!$E$8)</f>
        <v/>
      </c>
    </row>
    <row r="195" spans="1:15" x14ac:dyDescent="0.25">
      <c r="A195" s="3"/>
      <c r="O195" t="str">
        <f>SUBSTITUTE(SUBSTITUTE(A195,"${dto}",setup!$C$3),"${pk}",setup!$E$8)</f>
        <v/>
      </c>
    </row>
    <row r="196" spans="1:15" x14ac:dyDescent="0.25">
      <c r="A196" s="3"/>
      <c r="O196" t="str">
        <f>SUBSTITUTE(SUBSTITUTE(A196,"${dto}",setup!$C$3),"${pk}",setup!$E$8)</f>
        <v/>
      </c>
    </row>
    <row r="197" spans="1:15" x14ac:dyDescent="0.25">
      <c r="A197" s="6"/>
      <c r="O197" t="str">
        <f>SUBSTITUTE(SUBSTITUTE(A197,"${dto}",setup!$C$3),"${pk}",setup!$E$8)</f>
        <v/>
      </c>
    </row>
    <row r="198" spans="1:15" x14ac:dyDescent="0.25">
      <c r="A198" s="3"/>
      <c r="O198" t="str">
        <f>SUBSTITUTE(SUBSTITUTE(A198,"${dto}",setup!$C$3),"${pk}",setup!$E$8)</f>
        <v/>
      </c>
    </row>
    <row r="199" spans="1:15" x14ac:dyDescent="0.25">
      <c r="A199" s="2"/>
      <c r="O199" t="str">
        <f>SUBSTITUTE(SUBSTITUTE(A199,"${dto}",setup!$C$3),"${pk}",setup!$E$8)</f>
        <v/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58916-056C-46D5-8BB1-DAF4825558F4}">
  <sheetPr codeName="Sheet16"/>
  <dimension ref="A7:W455"/>
  <sheetViews>
    <sheetView topLeftCell="A180" workbookViewId="0">
      <selection activeCell="O181" sqref="O1:O1048576"/>
    </sheetView>
  </sheetViews>
  <sheetFormatPr defaultRowHeight="15" x14ac:dyDescent="0.25"/>
  <sheetData>
    <row r="7" spans="1:15" x14ac:dyDescent="0.25">
      <c r="A7" s="2" t="s">
        <v>16</v>
      </c>
      <c r="O7" s="7" t="str">
        <f ca="1">getCodigoBackend(N7,A7,VLOOKUP(N7,setup!$A$8:$H$58,2),VLOOKUP(N7,setup!$A$8:$H$58,3),VLOOKUP(N7,setup!$A$8:$H$58,4),VLOOKUP(N7,setup!$A$8:$H$58,5),VLOOKUP(N7,setup!$A$8:$H$58,6),VLOOKUP(N7,setup!$A$8:$H$58,7), VLOOKUP(0,setup!$A$8:$H$58,2),VLOOKUP(0,setup!$A$8:$H$58,5),VLOOKUP(N7,setup!$A$8:$H$58,8))</f>
        <v>&lt;?php</v>
      </c>
    </row>
    <row r="8" spans="1:15" x14ac:dyDescent="0.25">
      <c r="O8" s="7" t="str">
        <f ca="1">getCodigoBackend(N8,A8,VLOOKUP(N8,setup!$A$8:$H$58,2),VLOOKUP(N8,setup!$A$8:$H$58,3),VLOOKUP(N8,setup!$A$8:$H$58,4),VLOOKUP(N8,setup!$A$8:$H$58,5),VLOOKUP(N8,setup!$A$8:$H$58,6),VLOOKUP(N8,setup!$A$8:$H$58,7), VLOOKUP(0,setup!$A$8:$H$58,2),VLOOKUP(0,setup!$A$8:$H$58,5),VLOOKUP(N8,setup!$A$8:$H$58,8))</f>
        <v/>
      </c>
    </row>
    <row r="9" spans="1:15" x14ac:dyDescent="0.25">
      <c r="A9" s="4" t="s">
        <v>556</v>
      </c>
      <c r="O9" s="7" t="str">
        <f ca="1">getCodigoBackend(N9,A9,VLOOKUP(N9,setup!$A$8:$H$58,2),VLOOKUP(N9,setup!$A$8:$H$58,3),VLOOKUP(N9,setup!$A$8:$H$58,4),VLOOKUP(N9,setup!$A$8:$H$58,5),VLOOKUP(N9,setup!$A$8:$H$58,6),VLOOKUP(N9,setup!$A$8:$H$58,7), VLOOKUP(0,setup!$A$8:$H$58,2),VLOOKUP(0,setup!$A$8:$H$58,5),VLOOKUP(N9,setup!$A$8:$H$58,8))</f>
        <v>// URL http://elitefinanceira.com/cfdi/php/classes/gateway/appInserirCampanhaCashbackResgatePix.php</v>
      </c>
    </row>
    <row r="10" spans="1:15" x14ac:dyDescent="0.25">
      <c r="A10" s="4" t="s">
        <v>557</v>
      </c>
      <c r="O10" s="7" t="str">
        <f ca="1">getCodigoBackend(N10,A10,VLOOKUP(N10,setup!$A$8:$H$58,2),VLOOKUP(N10,setup!$A$8:$H$58,3),VLOOKUP(N10,setup!$A$8:$H$58,4),VLOOKUP(N10,setup!$A$8:$H$58,5),VLOOKUP(N10,setup!$A$8:$H$58,6),VLOOKUP(N10,setup!$A$8:$H$58,7), VLOOKUP(0,setup!$A$8:$H$58,2),VLOOKUP(0,setup!$A$8:$H$58,5),VLOOKUP(N10,setup!$A$8:$H$58,8))</f>
        <v>// URL http://localhost/cfdi/php/classes/gateway/appInserirCampanhaCashbackResgatePix.php</v>
      </c>
    </row>
    <row r="11" spans="1:15" x14ac:dyDescent="0.25">
      <c r="A11" s="4"/>
      <c r="O11" s="7"/>
    </row>
    <row r="12" spans="1:15" x14ac:dyDescent="0.25">
      <c r="A12" s="4"/>
      <c r="O12" s="7"/>
    </row>
    <row r="13" spans="1:15" x14ac:dyDescent="0.25">
      <c r="A13" s="4" t="s">
        <v>568</v>
      </c>
      <c r="O13" s="7" t="str">
        <f ca="1">getCodigoBackend(N13,A13,VLOOKUP(N13,setup!$A$8:$H$58,2),VLOOKUP(N13,setup!$A$8:$H$58,3),VLOOKUP(N13,setup!$A$8:$H$58,4),VLOOKUP(N13,setup!$A$8:$H$58,5),VLOOKUP(N13,setup!$A$8:$H$58,6),VLOOKUP(N13,setup!$A$8:$H$58,7), VLOOKUP(0,setup!$A$8:$H$58,2),VLOOKUP(0,setup!$A$8:$H$58,5),VLOOKUP(N13,setup!$A$8:$H$58,8))</f>
        <v xml:space="preserve"> /*</v>
      </c>
    </row>
    <row r="14" spans="1:15" x14ac:dyDescent="0.25">
      <c r="A14" s="4" t="s">
        <v>572</v>
      </c>
      <c r="O14" s="7" t="str">
        <f ca="1">getCodigoBackend(N14,A14,VLOOKUP(N14,setup!$A$8:$H$58,2),VLOOKUP(N14,setup!$A$8:$H$58,3),VLOOKUP(N14,setup!$A$8:$H$58,4),VLOOKUP(N14,setup!$A$8:$H$58,5),VLOOKUP(N14,setup!$A$8:$H$58,6),VLOOKUP(N14,setup!$A$8:$H$58,7), VLOOKUP(0,setup!$A$8:$H$58,2),VLOOKUP(0,setup!$A$8:$H$58,5),VLOOKUP(N14,setup!$A$8:$H$58,8))</f>
        <v>Faça um Find/Replace em $_POST por $_GET e use os parametros na URL para simular um GET na HttpRequest</v>
      </c>
    </row>
    <row r="15" spans="1:15" x14ac:dyDescent="0.25">
      <c r="A15" s="4" t="s">
        <v>570</v>
      </c>
      <c r="O15" s="7" t="str">
        <f ca="1">getCodigoBackend(N15,A15,VLOOKUP(N15,setup!$A$8:$H$58,2),VLOOKUP(N15,setup!$A$8:$H$58,3),VLOOKUP(N15,setup!$A$8:$H$58,4),VLOOKUP(N15,setup!$A$8:$H$58,5),VLOOKUP(N15,setup!$A$8:$H$58,6),VLOOKUP(N15,setup!$A$8:$H$58,7), VLOOKUP(0,setup!$A$8:$H$58,2),VLOOKUP(0,setup!$A$8:$H$58,5),VLOOKUP(N15,setup!$A$8:$H$58,8))</f>
        <v>?tokenid=tk</v>
      </c>
    </row>
    <row r="16" spans="1:15" x14ac:dyDescent="0.25">
      <c r="A16" s="4" t="s">
        <v>571</v>
      </c>
      <c r="N16">
        <v>0</v>
      </c>
      <c r="O16" s="7" t="str">
        <f ca="1">getCodigoBackend(N16,A16,VLOOKUP(N16,setup!$A$8:$H$58,2),VLOOKUP(N16,setup!$A$8:$H$58,3),VLOOKUP(N16,setup!$A$8:$H$58,4),VLOOKUP(N16,setup!$A$8:$H$58,5),VLOOKUP(N16,setup!$A$8:$H$58,6),VLOOKUP(N16,setup!$A$8:$H$58,7), VLOOKUP(0,setup!$A$8:$H$58,2),VLOOKUP(0,setup!$A$8:$H$58,5),VLOOKUP(N16,setup!$A$8:$H$58,8))</f>
        <v>&amp;id=tr</v>
      </c>
    </row>
    <row r="17" spans="1:15" x14ac:dyDescent="0.25">
      <c r="A17" s="4" t="s">
        <v>571</v>
      </c>
      <c r="N17">
        <f>N16+1</f>
        <v>1</v>
      </c>
      <c r="O17" s="7" t="str">
        <f ca="1">getCodigoBackend(N17,A17,VLOOKUP(N17,setup!$A$8:$H$58,2),VLOOKUP(N17,setup!$A$8:$H$58,3),VLOOKUP(N17,setup!$A$8:$H$58,4),VLOOKUP(N17,setup!$A$8:$H$58,5),VLOOKUP(N17,setup!$A$8:$H$58,6),VLOOKUP(N17,setup!$A$8:$H$58,7), VLOOKUP(0,setup!$A$8:$H$58,2),VLOOKUP(0,setup!$A$8:$H$58,5),VLOOKUP(N17,setup!$A$8:$H$58,8))</f>
        <v>&amp;idCampanhaCashback=tr</v>
      </c>
    </row>
    <row r="18" spans="1:15" x14ac:dyDescent="0.25">
      <c r="A18" s="4" t="s">
        <v>571</v>
      </c>
      <c r="N18">
        <f t="shared" ref="N18:N30" si="0">N17+1</f>
        <v>2</v>
      </c>
      <c r="O18" s="7" t="str">
        <f ca="1">getCodigoBackend(N18,A18,VLOOKUP(N18,setup!$A$8:$H$58,2),VLOOKUP(N18,setup!$A$8:$H$58,3),VLOOKUP(N18,setup!$A$8:$H$58,4),VLOOKUP(N18,setup!$A$8:$H$58,5),VLOOKUP(N18,setup!$A$8:$H$58,6),VLOOKUP(N18,setup!$A$8:$H$58,7), VLOOKUP(0,setup!$A$8:$H$58,2),VLOOKUP(0,setup!$A$8:$H$58,5),VLOOKUP(N18,setup!$A$8:$H$58,8))</f>
        <v>&amp;idUsuarioSolicitante=tr</v>
      </c>
    </row>
    <row r="19" spans="1:15" x14ac:dyDescent="0.25">
      <c r="A19" s="4" t="s">
        <v>571</v>
      </c>
      <c r="N19">
        <f t="shared" si="0"/>
        <v>3</v>
      </c>
      <c r="O19" s="7" t="str">
        <f ca="1">getCodigoBackend(N19,A19,VLOOKUP(N19,setup!$A$8:$H$58,2),VLOOKUP(N19,setup!$A$8:$H$58,3),VLOOKUP(N19,setup!$A$8:$H$58,4),VLOOKUP(N19,setup!$A$8:$H$58,5),VLOOKUP(N19,setup!$A$8:$H$58,6),VLOOKUP(N19,setup!$A$8:$H$58,7), VLOOKUP(0,setup!$A$8:$H$58,2),VLOOKUP(0,setup!$A$8:$H$58,5),VLOOKUP(N19,setup!$A$8:$H$58,8))</f>
        <v>&amp;tipoChavePix=tr</v>
      </c>
    </row>
    <row r="20" spans="1:15" x14ac:dyDescent="0.25">
      <c r="A20" s="4" t="s">
        <v>571</v>
      </c>
      <c r="N20">
        <f t="shared" si="0"/>
        <v>4</v>
      </c>
      <c r="O20" s="7" t="str">
        <f ca="1">getCodigoBackend(N20,A20,VLOOKUP(N20,setup!$A$8:$H$58,2),VLOOKUP(N20,setup!$A$8:$H$58,3),VLOOKUP(N20,setup!$A$8:$H$58,4),VLOOKUP(N20,setup!$A$8:$H$58,5),VLOOKUP(N20,setup!$A$8:$H$58,6),VLOOKUP(N20,setup!$A$8:$H$58,7), VLOOKUP(0,setup!$A$8:$H$58,2),VLOOKUP(0,setup!$A$8:$H$58,5),VLOOKUP(N20,setup!$A$8:$H$58,8))</f>
        <v>&amp;chavePix=tr</v>
      </c>
    </row>
    <row r="21" spans="1:15" x14ac:dyDescent="0.25">
      <c r="A21" s="4" t="s">
        <v>571</v>
      </c>
      <c r="N21">
        <f t="shared" si="0"/>
        <v>5</v>
      </c>
      <c r="O21" s="7" t="str">
        <f ca="1">getCodigoBackend(N21,A21,VLOOKUP(N21,setup!$A$8:$H$58,2),VLOOKUP(N21,setup!$A$8:$H$58,3),VLOOKUP(N21,setup!$A$8:$H$58,4),VLOOKUP(N21,setup!$A$8:$H$58,5),VLOOKUP(N21,setup!$A$8:$H$58,6),VLOOKUP(N21,setup!$A$8:$H$58,7), VLOOKUP(0,setup!$A$8:$H$58,2),VLOOKUP(0,setup!$A$8:$H$58,5),VLOOKUP(N21,setup!$A$8:$H$58,8))</f>
        <v>&amp;valorResgate=tr</v>
      </c>
    </row>
    <row r="22" spans="1:15" x14ac:dyDescent="0.25">
      <c r="A22" s="4" t="s">
        <v>571</v>
      </c>
      <c r="N22">
        <f t="shared" si="0"/>
        <v>6</v>
      </c>
      <c r="O22" s="7" t="str">
        <f ca="1">getCodigoBackend(N22,A22,VLOOKUP(N22,setup!$A$8:$H$58,2),VLOOKUP(N22,setup!$A$8:$H$58,3),VLOOKUP(N22,setup!$A$8:$H$58,4),VLOOKUP(N22,setup!$A$8:$H$58,5),VLOOKUP(N22,setup!$A$8:$H$58,6),VLOOKUP(N22,setup!$A$8:$H$58,7), VLOOKUP(0,setup!$A$8:$H$58,2),VLOOKUP(0,setup!$A$8:$H$58,5),VLOOKUP(N22,setup!$A$8:$H$58,8))</f>
        <v>&amp;autenticacaoBco=tr</v>
      </c>
    </row>
    <row r="23" spans="1:15" x14ac:dyDescent="0.25">
      <c r="A23" s="4" t="s">
        <v>571</v>
      </c>
      <c r="N23">
        <f t="shared" si="0"/>
        <v>7</v>
      </c>
      <c r="O23" s="7" t="str">
        <f ca="1">getCodigoBackend(N23,A23,VLOOKUP(N23,setup!$A$8:$H$58,2),VLOOKUP(N23,setup!$A$8:$H$58,3),VLOOKUP(N23,setup!$A$8:$H$58,4),VLOOKUP(N23,setup!$A$8:$H$58,5),VLOOKUP(N23,setup!$A$8:$H$58,6),VLOOKUP(N23,setup!$A$8:$H$58,7), VLOOKUP(0,setup!$A$8:$H$58,2),VLOOKUP(0,setup!$A$8:$H$58,5),VLOOKUP(N23,setup!$A$8:$H$58,8))</f>
        <v>&amp;estagioRealTime=tr</v>
      </c>
    </row>
    <row r="24" spans="1:15" x14ac:dyDescent="0.25">
      <c r="A24" s="4" t="s">
        <v>571</v>
      </c>
      <c r="N24">
        <f t="shared" si="0"/>
        <v>8</v>
      </c>
      <c r="O24" s="7" t="str">
        <f ca="1">getCodigoBackend(N24,A24,VLOOKUP(N24,setup!$A$8:$H$58,2),VLOOKUP(N24,setup!$A$8:$H$58,3),VLOOKUP(N24,setup!$A$8:$H$58,4),VLOOKUP(N24,setup!$A$8:$H$58,5),VLOOKUP(N24,setup!$A$8:$H$58,6),VLOOKUP(N24,setup!$A$8:$H$58,7), VLOOKUP(0,setup!$A$8:$H$58,2),VLOOKUP(0,setup!$A$8:$H$58,5),VLOOKUP(N24,setup!$A$8:$H$58,8))</f>
        <v>&amp;dtEstagioAnalise=tr</v>
      </c>
    </row>
    <row r="25" spans="1:15" x14ac:dyDescent="0.25">
      <c r="A25" s="4" t="s">
        <v>571</v>
      </c>
      <c r="N25">
        <f t="shared" si="0"/>
        <v>9</v>
      </c>
      <c r="O25" s="7" t="str">
        <f ca="1">getCodigoBackend(N25,A25,VLOOKUP(N25,setup!$A$8:$H$58,2),VLOOKUP(N25,setup!$A$8:$H$58,3),VLOOKUP(N25,setup!$A$8:$H$58,4),VLOOKUP(N25,setup!$A$8:$H$58,5),VLOOKUP(N25,setup!$A$8:$H$58,6),VLOOKUP(N25,setup!$A$8:$H$58,7), VLOOKUP(0,setup!$A$8:$H$58,2),VLOOKUP(0,setup!$A$8:$H$58,5),VLOOKUP(N25,setup!$A$8:$H$58,8))</f>
        <v>&amp;dtEstagioFinanceiro=tr</v>
      </c>
    </row>
    <row r="26" spans="1:15" x14ac:dyDescent="0.25">
      <c r="A26" s="4" t="s">
        <v>571</v>
      </c>
      <c r="N26">
        <f t="shared" si="0"/>
        <v>10</v>
      </c>
      <c r="O26" s="7" t="str">
        <f ca="1">getCodigoBackend(N26,A26,VLOOKUP(N26,setup!$A$8:$H$58,2),VLOOKUP(N26,setup!$A$8:$H$58,3),VLOOKUP(N26,setup!$A$8:$H$58,4),VLOOKUP(N26,setup!$A$8:$H$58,5),VLOOKUP(N26,setup!$A$8:$H$58,6),VLOOKUP(N26,setup!$A$8:$H$58,7), VLOOKUP(0,setup!$A$8:$H$58,2),VLOOKUP(0,setup!$A$8:$H$58,5),VLOOKUP(N26,setup!$A$8:$H$58,8))</f>
        <v>&amp;dtEstagioErro=tr</v>
      </c>
    </row>
    <row r="27" spans="1:15" x14ac:dyDescent="0.25">
      <c r="A27" s="4" t="s">
        <v>571</v>
      </c>
      <c r="N27">
        <f t="shared" si="0"/>
        <v>11</v>
      </c>
      <c r="O27" s="7" t="str">
        <f ca="1">getCodigoBackend(N27,A27,VLOOKUP(N27,setup!$A$8:$H$58,2),VLOOKUP(N27,setup!$A$8:$H$58,3),VLOOKUP(N27,setup!$A$8:$H$58,4),VLOOKUP(N27,setup!$A$8:$H$58,5),VLOOKUP(N27,setup!$A$8:$H$58,6),VLOOKUP(N27,setup!$A$8:$H$58,7), VLOOKUP(0,setup!$A$8:$H$58,2),VLOOKUP(0,setup!$A$8:$H$58,5),VLOOKUP(N27,setup!$A$8:$H$58,8))</f>
        <v>&amp;dtEstagioTranfBco=tr</v>
      </c>
    </row>
    <row r="28" spans="1:15" x14ac:dyDescent="0.25">
      <c r="A28" s="4" t="s">
        <v>571</v>
      </c>
      <c r="N28">
        <f t="shared" si="0"/>
        <v>12</v>
      </c>
      <c r="O28" s="7" t="str">
        <f ca="1">getCodigoBackend(N28,A28,VLOOKUP(N28,setup!$A$8:$H$58,2),VLOOKUP(N28,setup!$A$8:$H$58,3),VLOOKUP(N28,setup!$A$8:$H$58,4),VLOOKUP(N28,setup!$A$8:$H$58,5),VLOOKUP(N28,setup!$A$8:$H$58,6),VLOOKUP(N28,setup!$A$8:$H$58,7), VLOOKUP(0,setup!$A$8:$H$58,2),VLOOKUP(0,setup!$A$8:$H$58,5),VLOOKUP(N28,setup!$A$8:$H$58,8))</f>
        <v>&amp;txtLivreEstagioRT=tr</v>
      </c>
    </row>
    <row r="29" spans="1:15" x14ac:dyDescent="0.25">
      <c r="A29" s="4" t="s">
        <v>571</v>
      </c>
      <c r="N29">
        <f t="shared" si="0"/>
        <v>13</v>
      </c>
      <c r="O29" s="7" t="e">
        <f>getCodigoBackend(N29,A29,VLOOKUP(N29,setup!$A$8:$H$58,2),VLOOKUP(N29,setup!$A$8:$H$58,3),VLOOKUP(N29,setup!$A$8:$H$58,4),VLOOKUP(N29,setup!$A$8:$H$58,5),VLOOKUP(N29,setup!$A$8:$H$58,6),VLOOKUP(N29,setup!$A$8:$H$58,7), VLOOKUP(0,setup!$A$8:$H$58,2),VLOOKUP(0,setup!$A$8:$H$58,5),VLOOKUP(N29,setup!$A$8:$H$58,8))</f>
        <v>#VALUE!</v>
      </c>
    </row>
    <row r="30" spans="1:15" x14ac:dyDescent="0.25">
      <c r="A30" s="4" t="s">
        <v>571</v>
      </c>
      <c r="N30">
        <f t="shared" si="0"/>
        <v>14</v>
      </c>
      <c r="O30" s="7" t="e">
        <f>getCodigoBackend(N30,A30,VLOOKUP(N30,setup!$A$8:$H$58,2),VLOOKUP(N30,setup!$A$8:$H$58,3),VLOOKUP(N30,setup!$A$8:$H$58,4),VLOOKUP(N30,setup!$A$8:$H$58,5),VLOOKUP(N30,setup!$A$8:$H$58,6),VLOOKUP(N30,setup!$A$8:$H$58,7), VLOOKUP(0,setup!$A$8:$H$58,2),VLOOKUP(0,setup!$A$8:$H$58,5),VLOOKUP(N30,setup!$A$8:$H$58,8))</f>
        <v>#VALUE!</v>
      </c>
    </row>
    <row r="31" spans="1:15" x14ac:dyDescent="0.25">
      <c r="A31" s="4" t="s">
        <v>571</v>
      </c>
      <c r="N31">
        <f t="shared" ref="N31:N54" si="1">N30+1</f>
        <v>15</v>
      </c>
      <c r="O31" s="7" t="e">
        <f>getCodigoBackend(N31,A31,VLOOKUP(N31,setup!$A$8:$H$58,2),VLOOKUP(N31,setup!$A$8:$H$58,3),VLOOKUP(N31,setup!$A$8:$H$58,4),VLOOKUP(N31,setup!$A$8:$H$58,5),VLOOKUP(N31,setup!$A$8:$H$58,6),VLOOKUP(N31,setup!$A$8:$H$58,7), VLOOKUP(0,setup!$A$8:$H$58,2),VLOOKUP(0,setup!$A$8:$H$58,5),VLOOKUP(N31,setup!$A$8:$H$58,8))</f>
        <v>#VALUE!</v>
      </c>
    </row>
    <row r="32" spans="1:15" x14ac:dyDescent="0.25">
      <c r="A32" s="4" t="s">
        <v>571</v>
      </c>
      <c r="N32">
        <f t="shared" si="1"/>
        <v>16</v>
      </c>
      <c r="O32" s="7" t="e">
        <f>getCodigoBackend(N32,A32,VLOOKUP(N32,setup!$A$8:$H$58,2),VLOOKUP(N32,setup!$A$8:$H$58,3),VLOOKUP(N32,setup!$A$8:$H$58,4),VLOOKUP(N32,setup!$A$8:$H$58,5),VLOOKUP(N32,setup!$A$8:$H$58,6),VLOOKUP(N32,setup!$A$8:$H$58,7), VLOOKUP(0,setup!$A$8:$H$58,2),VLOOKUP(0,setup!$A$8:$H$58,5),VLOOKUP(N32,setup!$A$8:$H$58,8))</f>
        <v>#VALUE!</v>
      </c>
    </row>
    <row r="33" spans="1:15" x14ac:dyDescent="0.25">
      <c r="A33" s="4" t="s">
        <v>571</v>
      </c>
      <c r="N33">
        <f t="shared" si="1"/>
        <v>17</v>
      </c>
      <c r="O33" s="7" t="e">
        <f>getCodigoBackend(N33,A33,VLOOKUP(N33,setup!$A$8:$H$58,2),VLOOKUP(N33,setup!$A$8:$H$58,3),VLOOKUP(N33,setup!$A$8:$H$58,4),VLOOKUP(N33,setup!$A$8:$H$58,5),VLOOKUP(N33,setup!$A$8:$H$58,6),VLOOKUP(N33,setup!$A$8:$H$58,7), VLOOKUP(0,setup!$A$8:$H$58,2),VLOOKUP(0,setup!$A$8:$H$58,5),VLOOKUP(N33,setup!$A$8:$H$58,8))</f>
        <v>#VALUE!</v>
      </c>
    </row>
    <row r="34" spans="1:15" x14ac:dyDescent="0.25">
      <c r="A34" s="4" t="s">
        <v>571</v>
      </c>
      <c r="N34">
        <f t="shared" si="1"/>
        <v>18</v>
      </c>
      <c r="O34" s="7" t="e">
        <f>getCodigoBackend(N34,A34,VLOOKUP(N34,setup!$A$8:$H$58,2),VLOOKUP(N34,setup!$A$8:$H$58,3),VLOOKUP(N34,setup!$A$8:$H$58,4),VLOOKUP(N34,setup!$A$8:$H$58,5),VLOOKUP(N34,setup!$A$8:$H$58,6),VLOOKUP(N34,setup!$A$8:$H$58,7), VLOOKUP(0,setup!$A$8:$H$58,2),VLOOKUP(0,setup!$A$8:$H$58,5),VLOOKUP(N34,setup!$A$8:$H$58,8))</f>
        <v>#VALUE!</v>
      </c>
    </row>
    <row r="35" spans="1:15" x14ac:dyDescent="0.25">
      <c r="A35" s="4" t="s">
        <v>571</v>
      </c>
      <c r="N35">
        <f t="shared" si="1"/>
        <v>19</v>
      </c>
      <c r="O35" s="7" t="e">
        <f>getCodigoBackend(N35,A35,VLOOKUP(N35,setup!$A$8:$H$58,2),VLOOKUP(N35,setup!$A$8:$H$58,3),VLOOKUP(N35,setup!$A$8:$H$58,4),VLOOKUP(N35,setup!$A$8:$H$58,5),VLOOKUP(N35,setup!$A$8:$H$58,6),VLOOKUP(N35,setup!$A$8:$H$58,7), VLOOKUP(0,setup!$A$8:$H$58,2),VLOOKUP(0,setup!$A$8:$H$58,5),VLOOKUP(N35,setup!$A$8:$H$58,8))</f>
        <v>#VALUE!</v>
      </c>
    </row>
    <row r="36" spans="1:15" x14ac:dyDescent="0.25">
      <c r="A36" s="4" t="s">
        <v>571</v>
      </c>
      <c r="N36">
        <f t="shared" si="1"/>
        <v>20</v>
      </c>
      <c r="O36" s="7" t="e">
        <f>getCodigoBackend(N36,A36,VLOOKUP(N36,setup!$A$8:$H$58,2),VLOOKUP(N36,setup!$A$8:$H$58,3),VLOOKUP(N36,setup!$A$8:$H$58,4),VLOOKUP(N36,setup!$A$8:$H$58,5),VLOOKUP(N36,setup!$A$8:$H$58,6),VLOOKUP(N36,setup!$A$8:$H$58,7), VLOOKUP(0,setup!$A$8:$H$58,2),VLOOKUP(0,setup!$A$8:$H$58,5),VLOOKUP(N36,setup!$A$8:$H$58,8))</f>
        <v>#VALUE!</v>
      </c>
    </row>
    <row r="37" spans="1:15" x14ac:dyDescent="0.25">
      <c r="A37" s="4" t="s">
        <v>571</v>
      </c>
      <c r="N37">
        <f t="shared" si="1"/>
        <v>21</v>
      </c>
      <c r="O37" s="7" t="e">
        <f>getCodigoBackend(N37,A37,VLOOKUP(N37,setup!$A$8:$H$58,2),VLOOKUP(N37,setup!$A$8:$H$58,3),VLOOKUP(N37,setup!$A$8:$H$58,4),VLOOKUP(N37,setup!$A$8:$H$58,5),VLOOKUP(N37,setup!$A$8:$H$58,6),VLOOKUP(N37,setup!$A$8:$H$58,7), VLOOKUP(0,setup!$A$8:$H$58,2),VLOOKUP(0,setup!$A$8:$H$58,5),VLOOKUP(N37,setup!$A$8:$H$58,8))</f>
        <v>#VALUE!</v>
      </c>
    </row>
    <row r="38" spans="1:15" x14ac:dyDescent="0.25">
      <c r="A38" s="4" t="s">
        <v>571</v>
      </c>
      <c r="N38">
        <f t="shared" si="1"/>
        <v>22</v>
      </c>
      <c r="O38" s="7" t="e">
        <f>getCodigoBackend(N38,A38,VLOOKUP(N38,setup!$A$8:$H$58,2),VLOOKUP(N38,setup!$A$8:$H$58,3),VLOOKUP(N38,setup!$A$8:$H$58,4),VLOOKUP(N38,setup!$A$8:$H$58,5),VLOOKUP(N38,setup!$A$8:$H$58,6),VLOOKUP(N38,setup!$A$8:$H$58,7), VLOOKUP(0,setup!$A$8:$H$58,2),VLOOKUP(0,setup!$A$8:$H$58,5),VLOOKUP(N38,setup!$A$8:$H$58,8))</f>
        <v>#VALUE!</v>
      </c>
    </row>
    <row r="39" spans="1:15" x14ac:dyDescent="0.25">
      <c r="A39" s="4" t="s">
        <v>571</v>
      </c>
      <c r="N39">
        <f t="shared" si="1"/>
        <v>23</v>
      </c>
      <c r="O39" s="7" t="e">
        <f>getCodigoBackend(N39,A39,VLOOKUP(N39,setup!$A$8:$H$58,2),VLOOKUP(N39,setup!$A$8:$H$58,3),VLOOKUP(N39,setup!$A$8:$H$58,4),VLOOKUP(N39,setup!$A$8:$H$58,5),VLOOKUP(N39,setup!$A$8:$H$58,6),VLOOKUP(N39,setup!$A$8:$H$58,7), VLOOKUP(0,setup!$A$8:$H$58,2),VLOOKUP(0,setup!$A$8:$H$58,5),VLOOKUP(N39,setup!$A$8:$H$58,8))</f>
        <v>#VALUE!</v>
      </c>
    </row>
    <row r="40" spans="1:15" x14ac:dyDescent="0.25">
      <c r="A40" s="4" t="s">
        <v>571</v>
      </c>
      <c r="N40">
        <f t="shared" si="1"/>
        <v>24</v>
      </c>
      <c r="O40" s="7" t="e">
        <f>getCodigoBackend(N40,A40,VLOOKUP(N40,setup!$A$8:$H$58,2),VLOOKUP(N40,setup!$A$8:$H$58,3),VLOOKUP(N40,setup!$A$8:$H$58,4),VLOOKUP(N40,setup!$A$8:$H$58,5),VLOOKUP(N40,setup!$A$8:$H$58,6),VLOOKUP(N40,setup!$A$8:$H$58,7), VLOOKUP(0,setup!$A$8:$H$58,2),VLOOKUP(0,setup!$A$8:$H$58,5),VLOOKUP(N40,setup!$A$8:$H$58,8))</f>
        <v>#VALUE!</v>
      </c>
    </row>
    <row r="41" spans="1:15" x14ac:dyDescent="0.25">
      <c r="A41" s="4" t="s">
        <v>571</v>
      </c>
      <c r="N41">
        <f t="shared" si="1"/>
        <v>25</v>
      </c>
      <c r="O41" s="7" t="e">
        <f>getCodigoBackend(N41,A41,VLOOKUP(N41,setup!$A$8:$H$58,2),VLOOKUP(N41,setup!$A$8:$H$58,3),VLOOKUP(N41,setup!$A$8:$H$58,4),VLOOKUP(N41,setup!$A$8:$H$58,5),VLOOKUP(N41,setup!$A$8:$H$58,6),VLOOKUP(N41,setup!$A$8:$H$58,7), VLOOKUP(0,setup!$A$8:$H$58,2),VLOOKUP(0,setup!$A$8:$H$58,5),VLOOKUP(N41,setup!$A$8:$H$58,8))</f>
        <v>#VALUE!</v>
      </c>
    </row>
    <row r="42" spans="1:15" x14ac:dyDescent="0.25">
      <c r="A42" s="4" t="s">
        <v>571</v>
      </c>
      <c r="N42">
        <f t="shared" si="1"/>
        <v>26</v>
      </c>
      <c r="O42" s="7" t="e">
        <f>getCodigoBackend(N42,A42,VLOOKUP(N42,setup!$A$8:$H$58,2),VLOOKUP(N42,setup!$A$8:$H$58,3),VLOOKUP(N42,setup!$A$8:$H$58,4),VLOOKUP(N42,setup!$A$8:$H$58,5),VLOOKUP(N42,setup!$A$8:$H$58,6),VLOOKUP(N42,setup!$A$8:$H$58,7), VLOOKUP(0,setup!$A$8:$H$58,2),VLOOKUP(0,setup!$A$8:$H$58,5),VLOOKUP(N42,setup!$A$8:$H$58,8))</f>
        <v>#VALUE!</v>
      </c>
    </row>
    <row r="43" spans="1:15" x14ac:dyDescent="0.25">
      <c r="A43" s="4" t="s">
        <v>571</v>
      </c>
      <c r="N43">
        <f t="shared" si="1"/>
        <v>27</v>
      </c>
      <c r="O43" s="7" t="e">
        <f>getCodigoBackend(N43,A43,VLOOKUP(N43,setup!$A$8:$H$58,2),VLOOKUP(N43,setup!$A$8:$H$58,3),VLOOKUP(N43,setup!$A$8:$H$58,4),VLOOKUP(N43,setup!$A$8:$H$58,5),VLOOKUP(N43,setup!$A$8:$H$58,6),VLOOKUP(N43,setup!$A$8:$H$58,7), VLOOKUP(0,setup!$A$8:$H$58,2),VLOOKUP(0,setup!$A$8:$H$58,5),VLOOKUP(N43,setup!$A$8:$H$58,8))</f>
        <v>#VALUE!</v>
      </c>
    </row>
    <row r="44" spans="1:15" x14ac:dyDescent="0.25">
      <c r="A44" s="4" t="s">
        <v>571</v>
      </c>
      <c r="N44">
        <f t="shared" si="1"/>
        <v>28</v>
      </c>
      <c r="O44" s="7" t="e">
        <f>getCodigoBackend(N44,A44,VLOOKUP(N44,setup!$A$8:$H$58,2),VLOOKUP(N44,setup!$A$8:$H$58,3),VLOOKUP(N44,setup!$A$8:$H$58,4),VLOOKUP(N44,setup!$A$8:$H$58,5),VLOOKUP(N44,setup!$A$8:$H$58,6),VLOOKUP(N44,setup!$A$8:$H$58,7), VLOOKUP(0,setup!$A$8:$H$58,2),VLOOKUP(0,setup!$A$8:$H$58,5),VLOOKUP(N44,setup!$A$8:$H$58,8))</f>
        <v>#VALUE!</v>
      </c>
    </row>
    <row r="45" spans="1:15" x14ac:dyDescent="0.25">
      <c r="A45" s="4" t="s">
        <v>571</v>
      </c>
      <c r="N45">
        <f t="shared" si="1"/>
        <v>29</v>
      </c>
      <c r="O45" s="7" t="e">
        <f>getCodigoBackend(N45,A45,VLOOKUP(N45,setup!$A$8:$H$58,2),VLOOKUP(N45,setup!$A$8:$H$58,3),VLOOKUP(N45,setup!$A$8:$H$58,4),VLOOKUP(N45,setup!$A$8:$H$58,5),VLOOKUP(N45,setup!$A$8:$H$58,6),VLOOKUP(N45,setup!$A$8:$H$58,7), VLOOKUP(0,setup!$A$8:$H$58,2),VLOOKUP(0,setup!$A$8:$H$58,5),VLOOKUP(N45,setup!$A$8:$H$58,8))</f>
        <v>#VALUE!</v>
      </c>
    </row>
    <row r="46" spans="1:15" x14ac:dyDescent="0.25">
      <c r="A46" s="4" t="s">
        <v>571</v>
      </c>
      <c r="N46">
        <f t="shared" si="1"/>
        <v>30</v>
      </c>
      <c r="O46" s="7" t="e">
        <f>getCodigoBackend(N46,A46,VLOOKUP(N46,setup!$A$8:$H$58,2),VLOOKUP(N46,setup!$A$8:$H$58,3),VLOOKUP(N46,setup!$A$8:$H$58,4),VLOOKUP(N46,setup!$A$8:$H$58,5),VLOOKUP(N46,setup!$A$8:$H$58,6),VLOOKUP(N46,setup!$A$8:$H$58,7), VLOOKUP(0,setup!$A$8:$H$58,2),VLOOKUP(0,setup!$A$8:$H$58,5),VLOOKUP(N46,setup!$A$8:$H$58,8))</f>
        <v>#VALUE!</v>
      </c>
    </row>
    <row r="47" spans="1:15" x14ac:dyDescent="0.25">
      <c r="A47" s="4" t="s">
        <v>571</v>
      </c>
      <c r="N47">
        <f t="shared" si="1"/>
        <v>31</v>
      </c>
      <c r="O47" s="7" t="e">
        <f>getCodigoBackend(N47,A47,VLOOKUP(N47,setup!$A$8:$H$58,2),VLOOKUP(N47,setup!$A$8:$H$58,3),VLOOKUP(N47,setup!$A$8:$H$58,4),VLOOKUP(N47,setup!$A$8:$H$58,5),VLOOKUP(N47,setup!$A$8:$H$58,6),VLOOKUP(N47,setup!$A$8:$H$58,7), VLOOKUP(0,setup!$A$8:$H$58,2),VLOOKUP(0,setup!$A$8:$H$58,5),VLOOKUP(N47,setup!$A$8:$H$58,8))</f>
        <v>#VALUE!</v>
      </c>
    </row>
    <row r="48" spans="1:15" x14ac:dyDescent="0.25">
      <c r="A48" s="4" t="s">
        <v>571</v>
      </c>
      <c r="N48">
        <f t="shared" si="1"/>
        <v>32</v>
      </c>
      <c r="O48" s="7" t="e">
        <f>getCodigoBackend(N48,A48,VLOOKUP(N48,setup!$A$8:$H$58,2),VLOOKUP(N48,setup!$A$8:$H$58,3),VLOOKUP(N48,setup!$A$8:$H$58,4),VLOOKUP(N48,setup!$A$8:$H$58,5),VLOOKUP(N48,setup!$A$8:$H$58,6),VLOOKUP(N48,setup!$A$8:$H$58,7), VLOOKUP(0,setup!$A$8:$H$58,2),VLOOKUP(0,setup!$A$8:$H$58,5),VLOOKUP(N48,setup!$A$8:$H$58,8))</f>
        <v>#VALUE!</v>
      </c>
    </row>
    <row r="49" spans="1:15" x14ac:dyDescent="0.25">
      <c r="A49" s="4" t="s">
        <v>571</v>
      </c>
      <c r="N49">
        <f t="shared" si="1"/>
        <v>33</v>
      </c>
      <c r="O49" s="7" t="e">
        <f>getCodigoBackend(N49,A49,VLOOKUP(N49,setup!$A$8:$H$58,2),VLOOKUP(N49,setup!$A$8:$H$58,3),VLOOKUP(N49,setup!$A$8:$H$58,4),VLOOKUP(N49,setup!$A$8:$H$58,5),VLOOKUP(N49,setup!$A$8:$H$58,6),VLOOKUP(N49,setup!$A$8:$H$58,7), VLOOKUP(0,setup!$A$8:$H$58,2),VLOOKUP(0,setup!$A$8:$H$58,5),VLOOKUP(N49,setup!$A$8:$H$58,8))</f>
        <v>#VALUE!</v>
      </c>
    </row>
    <row r="50" spans="1:15" x14ac:dyDescent="0.25">
      <c r="A50" s="4" t="s">
        <v>571</v>
      </c>
      <c r="N50">
        <f t="shared" si="1"/>
        <v>34</v>
      </c>
      <c r="O50" s="7" t="e">
        <f>getCodigoBackend(N50,A50,VLOOKUP(N50,setup!$A$8:$H$58,2),VLOOKUP(N50,setup!$A$8:$H$58,3),VLOOKUP(N50,setup!$A$8:$H$58,4),VLOOKUP(N50,setup!$A$8:$H$58,5),VLOOKUP(N50,setup!$A$8:$H$58,6),VLOOKUP(N50,setup!$A$8:$H$58,7), VLOOKUP(0,setup!$A$8:$H$58,2),VLOOKUP(0,setup!$A$8:$H$58,5),VLOOKUP(N50,setup!$A$8:$H$58,8))</f>
        <v>#VALUE!</v>
      </c>
    </row>
    <row r="51" spans="1:15" x14ac:dyDescent="0.25">
      <c r="A51" s="4" t="s">
        <v>571</v>
      </c>
      <c r="N51">
        <f t="shared" si="1"/>
        <v>35</v>
      </c>
      <c r="O51" s="7" t="e">
        <f>getCodigoBackend(N51,A51,VLOOKUP(N51,setup!$A$8:$H$58,2),VLOOKUP(N51,setup!$A$8:$H$58,3),VLOOKUP(N51,setup!$A$8:$H$58,4),VLOOKUP(N51,setup!$A$8:$H$58,5),VLOOKUP(N51,setup!$A$8:$H$58,6),VLOOKUP(N51,setup!$A$8:$H$58,7), VLOOKUP(0,setup!$A$8:$H$58,2),VLOOKUP(0,setup!$A$8:$H$58,5),VLOOKUP(N51,setup!$A$8:$H$58,8))</f>
        <v>#VALUE!</v>
      </c>
    </row>
    <row r="52" spans="1:15" x14ac:dyDescent="0.25">
      <c r="A52" s="4" t="s">
        <v>571</v>
      </c>
      <c r="N52">
        <f t="shared" si="1"/>
        <v>36</v>
      </c>
      <c r="O52" s="7" t="e">
        <f>getCodigoBackend(N52,A52,VLOOKUP(N52,setup!$A$8:$H$58,2),VLOOKUP(N52,setup!$A$8:$H$58,3),VLOOKUP(N52,setup!$A$8:$H$58,4),VLOOKUP(N52,setup!$A$8:$H$58,5),VLOOKUP(N52,setup!$A$8:$H$58,6),VLOOKUP(N52,setup!$A$8:$H$58,7), VLOOKUP(0,setup!$A$8:$H$58,2),VLOOKUP(0,setup!$A$8:$H$58,5),VLOOKUP(N52,setup!$A$8:$H$58,8))</f>
        <v>#VALUE!</v>
      </c>
    </row>
    <row r="53" spans="1:15" x14ac:dyDescent="0.25">
      <c r="A53" s="4" t="s">
        <v>571</v>
      </c>
      <c r="N53">
        <f t="shared" si="1"/>
        <v>37</v>
      </c>
      <c r="O53" s="7" t="e">
        <f>getCodigoBackend(N53,A53,VLOOKUP(N53,setup!$A$8:$H$58,2),VLOOKUP(N53,setup!$A$8:$H$58,3),VLOOKUP(N53,setup!$A$8:$H$58,4),VLOOKUP(N53,setup!$A$8:$H$58,5),VLOOKUP(N53,setup!$A$8:$H$58,6),VLOOKUP(N53,setup!$A$8:$H$58,7), VLOOKUP(0,setup!$A$8:$H$58,2),VLOOKUP(0,setup!$A$8:$H$58,5),VLOOKUP(N53,setup!$A$8:$H$58,8))</f>
        <v>#VALUE!</v>
      </c>
    </row>
    <row r="54" spans="1:15" x14ac:dyDescent="0.25">
      <c r="A54" s="4" t="s">
        <v>571</v>
      </c>
      <c r="N54">
        <f t="shared" si="1"/>
        <v>38</v>
      </c>
      <c r="O54" s="7" t="e">
        <f>getCodigoBackend(N54,A54,VLOOKUP(N54,setup!$A$8:$H$58,2),VLOOKUP(N54,setup!$A$8:$H$58,3),VLOOKUP(N54,setup!$A$8:$H$58,4),VLOOKUP(N54,setup!$A$8:$H$58,5),VLOOKUP(N54,setup!$A$8:$H$58,6),VLOOKUP(N54,setup!$A$8:$H$58,7), VLOOKUP(0,setup!$A$8:$H$58,2),VLOOKUP(0,setup!$A$8:$H$58,5),VLOOKUP(N54,setup!$A$8:$H$58,8))</f>
        <v>#VALUE!</v>
      </c>
    </row>
    <row r="55" spans="1:15" x14ac:dyDescent="0.25">
      <c r="A55" s="4" t="s">
        <v>571</v>
      </c>
      <c r="N55">
        <f t="shared" ref="N55:N66" si="2">N54+1</f>
        <v>39</v>
      </c>
      <c r="O55" s="7" t="e">
        <f>getCodigoBackend(N55,A55,VLOOKUP(N55,setup!$A$8:$H$58,2),VLOOKUP(N55,setup!$A$8:$H$58,3),VLOOKUP(N55,setup!$A$8:$H$58,4),VLOOKUP(N55,setup!$A$8:$H$58,5),VLOOKUP(N55,setup!$A$8:$H$58,6),VLOOKUP(N55,setup!$A$8:$H$58,7), VLOOKUP(0,setup!$A$8:$H$58,2),VLOOKUP(0,setup!$A$8:$H$58,5),VLOOKUP(N55,setup!$A$8:$H$58,8))</f>
        <v>#VALUE!</v>
      </c>
    </row>
    <row r="56" spans="1:15" x14ac:dyDescent="0.25">
      <c r="A56" s="4" t="s">
        <v>571</v>
      </c>
      <c r="N56">
        <f t="shared" si="2"/>
        <v>40</v>
      </c>
      <c r="O56" s="7" t="e">
        <f>getCodigoBackend(N56,A56,VLOOKUP(N56,setup!$A$8:$H$58,2),VLOOKUP(N56,setup!$A$8:$H$58,3),VLOOKUP(N56,setup!$A$8:$H$58,4),VLOOKUP(N56,setup!$A$8:$H$58,5),VLOOKUP(N56,setup!$A$8:$H$58,6),VLOOKUP(N56,setup!$A$8:$H$58,7), VLOOKUP(0,setup!$A$8:$H$58,2),VLOOKUP(0,setup!$A$8:$H$58,5),VLOOKUP(N56,setup!$A$8:$H$58,8))</f>
        <v>#VALUE!</v>
      </c>
    </row>
    <row r="57" spans="1:15" x14ac:dyDescent="0.25">
      <c r="A57" s="4" t="s">
        <v>571</v>
      </c>
      <c r="N57">
        <f t="shared" si="2"/>
        <v>41</v>
      </c>
      <c r="O57" s="7" t="e">
        <f>getCodigoBackend(N57,A57,VLOOKUP(N57,setup!$A$8:$H$58,2),VLOOKUP(N57,setup!$A$8:$H$58,3),VLOOKUP(N57,setup!$A$8:$H$58,4),VLOOKUP(N57,setup!$A$8:$H$58,5),VLOOKUP(N57,setup!$A$8:$H$58,6),VLOOKUP(N57,setup!$A$8:$H$58,7), VLOOKUP(0,setup!$A$8:$H$58,2),VLOOKUP(0,setup!$A$8:$H$58,5),VLOOKUP(N57,setup!$A$8:$H$58,8))</f>
        <v>#VALUE!</v>
      </c>
    </row>
    <row r="58" spans="1:15" x14ac:dyDescent="0.25">
      <c r="A58" s="4" t="s">
        <v>571</v>
      </c>
      <c r="N58">
        <f t="shared" si="2"/>
        <v>42</v>
      </c>
      <c r="O58" s="7" t="e">
        <f>getCodigoBackend(N58,A58,VLOOKUP(N58,setup!$A$8:$H$58,2),VLOOKUP(N58,setup!$A$8:$H$58,3),VLOOKUP(N58,setup!$A$8:$H$58,4),VLOOKUP(N58,setup!$A$8:$H$58,5),VLOOKUP(N58,setup!$A$8:$H$58,6),VLOOKUP(N58,setup!$A$8:$H$58,7), VLOOKUP(0,setup!$A$8:$H$58,2),VLOOKUP(0,setup!$A$8:$H$58,5),VLOOKUP(N58,setup!$A$8:$H$58,8))</f>
        <v>#VALUE!</v>
      </c>
    </row>
    <row r="59" spans="1:15" x14ac:dyDescent="0.25">
      <c r="A59" s="4" t="s">
        <v>571</v>
      </c>
      <c r="N59">
        <f t="shared" si="2"/>
        <v>43</v>
      </c>
      <c r="O59" s="7" t="e">
        <f>getCodigoBackend(N59,A59,VLOOKUP(N59,setup!$A$8:$H$58,2),VLOOKUP(N59,setup!$A$8:$H$58,3),VLOOKUP(N59,setup!$A$8:$H$58,4),VLOOKUP(N59,setup!$A$8:$H$58,5),VLOOKUP(N59,setup!$A$8:$H$58,6),VLOOKUP(N59,setup!$A$8:$H$58,7), VLOOKUP(0,setup!$A$8:$H$58,2),VLOOKUP(0,setup!$A$8:$H$58,5),VLOOKUP(N59,setup!$A$8:$H$58,8))</f>
        <v>#VALUE!</v>
      </c>
    </row>
    <row r="60" spans="1:15" x14ac:dyDescent="0.25">
      <c r="A60" s="4" t="s">
        <v>571</v>
      </c>
      <c r="N60">
        <f t="shared" si="2"/>
        <v>44</v>
      </c>
      <c r="O60" s="7" t="e">
        <f>getCodigoBackend(N60,A60,VLOOKUP(N60,setup!$A$8:$H$58,2),VLOOKUP(N60,setup!$A$8:$H$58,3),VLOOKUP(N60,setup!$A$8:$H$58,4),VLOOKUP(N60,setup!$A$8:$H$58,5),VLOOKUP(N60,setup!$A$8:$H$58,6),VLOOKUP(N60,setup!$A$8:$H$58,7), VLOOKUP(0,setup!$A$8:$H$58,2),VLOOKUP(0,setup!$A$8:$H$58,5),VLOOKUP(N60,setup!$A$8:$H$58,8))</f>
        <v>#VALUE!</v>
      </c>
    </row>
    <row r="61" spans="1:15" x14ac:dyDescent="0.25">
      <c r="A61" s="4" t="s">
        <v>571</v>
      </c>
      <c r="N61">
        <f t="shared" si="2"/>
        <v>45</v>
      </c>
      <c r="O61" s="7" t="e">
        <f>getCodigoBackend(N61,A61,VLOOKUP(N61,setup!$A$8:$H$58,2),VLOOKUP(N61,setup!$A$8:$H$58,3),VLOOKUP(N61,setup!$A$8:$H$58,4),VLOOKUP(N61,setup!$A$8:$H$58,5),VLOOKUP(N61,setup!$A$8:$H$58,6),VLOOKUP(N61,setup!$A$8:$H$58,7), VLOOKUP(0,setup!$A$8:$H$58,2),VLOOKUP(0,setup!$A$8:$H$58,5),VLOOKUP(N61,setup!$A$8:$H$58,8))</f>
        <v>#VALUE!</v>
      </c>
    </row>
    <row r="62" spans="1:15" x14ac:dyDescent="0.25">
      <c r="A62" s="4" t="s">
        <v>571</v>
      </c>
      <c r="N62">
        <f t="shared" si="2"/>
        <v>46</v>
      </c>
      <c r="O62" s="7" t="e">
        <f>getCodigoBackend(N62,A62,VLOOKUP(N62,setup!$A$8:$H$58,2),VLOOKUP(N62,setup!$A$8:$H$58,3),VLOOKUP(N62,setup!$A$8:$H$58,4),VLOOKUP(N62,setup!$A$8:$H$58,5),VLOOKUP(N62,setup!$A$8:$H$58,6),VLOOKUP(N62,setup!$A$8:$H$58,7), VLOOKUP(0,setup!$A$8:$H$58,2),VLOOKUP(0,setup!$A$8:$H$58,5),VLOOKUP(N62,setup!$A$8:$H$58,8))</f>
        <v>#VALUE!</v>
      </c>
    </row>
    <row r="63" spans="1:15" x14ac:dyDescent="0.25">
      <c r="A63" s="4" t="s">
        <v>571</v>
      </c>
      <c r="N63">
        <f t="shared" si="2"/>
        <v>47</v>
      </c>
      <c r="O63" s="7" t="e">
        <f>getCodigoBackend(N63,A63,VLOOKUP(N63,setup!$A$8:$H$58,2),VLOOKUP(N63,setup!$A$8:$H$58,3),VLOOKUP(N63,setup!$A$8:$H$58,4),VLOOKUP(N63,setup!$A$8:$H$58,5),VLOOKUP(N63,setup!$A$8:$H$58,6),VLOOKUP(N63,setup!$A$8:$H$58,7), VLOOKUP(0,setup!$A$8:$H$58,2),VLOOKUP(0,setup!$A$8:$H$58,5),VLOOKUP(N63,setup!$A$8:$H$58,8))</f>
        <v>#VALUE!</v>
      </c>
    </row>
    <row r="64" spans="1:15" x14ac:dyDescent="0.25">
      <c r="A64" s="4" t="s">
        <v>571</v>
      </c>
      <c r="N64">
        <f t="shared" si="2"/>
        <v>48</v>
      </c>
      <c r="O64" s="7" t="str">
        <f ca="1">getCodigoBackend(N64,A64,VLOOKUP(N64,setup!$A$8:$H$58,2),VLOOKUP(N64,setup!$A$8:$H$58,3),VLOOKUP(N64,setup!$A$8:$H$58,4),VLOOKUP(N64,setup!$A$8:$H$58,5),VLOOKUP(N64,setup!$A$8:$H$58,6),VLOOKUP(N64,setup!$A$8:$H$58,7), VLOOKUP(0,setup!$A$8:$H$58,2),VLOOKUP(0,setup!$A$8:$H$58,5),VLOOKUP(N64,setup!$A$8:$H$58,8))</f>
        <v>&amp;status=tr</v>
      </c>
    </row>
    <row r="65" spans="1:15" x14ac:dyDescent="0.25">
      <c r="A65" s="4" t="s">
        <v>571</v>
      </c>
      <c r="N65">
        <f t="shared" si="2"/>
        <v>49</v>
      </c>
      <c r="O65" s="7" t="str">
        <f ca="1">getCodigoBackend(N65,A65,VLOOKUP(N65,setup!$A$8:$H$58,2),VLOOKUP(N65,setup!$A$8:$H$58,3),VLOOKUP(N65,setup!$A$8:$H$58,4),VLOOKUP(N65,setup!$A$8:$H$58,5),VLOOKUP(N65,setup!$A$8:$H$58,6),VLOOKUP(N65,setup!$A$8:$H$58,7), VLOOKUP(0,setup!$A$8:$H$58,2),VLOOKUP(0,setup!$A$8:$H$58,5),VLOOKUP(N65,setup!$A$8:$H$58,8))</f>
        <v>&amp;dataCadastro=tr</v>
      </c>
    </row>
    <row r="66" spans="1:15" x14ac:dyDescent="0.25">
      <c r="A66" s="4" t="s">
        <v>571</v>
      </c>
      <c r="N66">
        <f t="shared" si="2"/>
        <v>50</v>
      </c>
      <c r="O66" s="7" t="str">
        <f ca="1">getCodigoBackend(N66,A66,VLOOKUP(N66,setup!$A$8:$H$58,2),VLOOKUP(N66,setup!$A$8:$H$58,3),VLOOKUP(N66,setup!$A$8:$H$58,4),VLOOKUP(N66,setup!$A$8:$H$58,5),VLOOKUP(N66,setup!$A$8:$H$58,6),VLOOKUP(N66,setup!$A$8:$H$58,7), VLOOKUP(0,setup!$A$8:$H$58,2),VLOOKUP(0,setup!$A$8:$H$58,5),VLOOKUP(N66,setup!$A$8:$H$58,8))</f>
        <v>&amp;dataAtualizacao=tr</v>
      </c>
    </row>
    <row r="67" spans="1:15" x14ac:dyDescent="0.25">
      <c r="A67" s="4"/>
      <c r="O67" s="7"/>
    </row>
    <row r="68" spans="1:15" x14ac:dyDescent="0.25">
      <c r="A68" s="4" t="s">
        <v>569</v>
      </c>
      <c r="O68" s="7" t="str">
        <f ca="1">getCodigoBackend(N68,A68,VLOOKUP(N68,setup!$A$8:$H$58,2),VLOOKUP(N68,setup!$A$8:$H$58,3),VLOOKUP(N68,setup!$A$8:$H$58,4),VLOOKUP(N68,setup!$A$8:$H$58,5),VLOOKUP(N68,setup!$A$8:$H$58,6),VLOOKUP(N68,setup!$A$8:$H$58,7), VLOOKUP(0,setup!$A$8:$H$58,2),VLOOKUP(0,setup!$A$8:$H$58,5),VLOOKUP(N68,setup!$A$8:$H$58,8))</f>
        <v xml:space="preserve"> */</v>
      </c>
    </row>
    <row r="69" spans="1:15" x14ac:dyDescent="0.25">
      <c r="O69" s="7" t="str">
        <f ca="1">getCodigoBackend(N69,A10,VLOOKUP(N69,setup!$A$8:$H$58,2),VLOOKUP(N69,setup!$A$8:$H$58,3),VLOOKUP(N69,setup!$A$8:$H$58,4),VLOOKUP(N69,setup!$A$8:$H$58,5),VLOOKUP(N69,setup!$A$8:$H$58,6),VLOOKUP(N69,setup!$A$8:$H$58,7), VLOOKUP(0,setup!$A$8:$H$58,2),VLOOKUP(0,setup!$A$8:$H$58,5),VLOOKUP(N69,setup!$A$8:$H$58,8))</f>
        <v>// URL http://localhost/cfdi/php/classes/gateway/appInserirCampanhaCashbackResgatePix.php</v>
      </c>
    </row>
    <row r="70" spans="1:15" x14ac:dyDescent="0.25">
      <c r="A70" s="4"/>
      <c r="O70" s="7" t="str">
        <f ca="1">getCodigoBackend(N70,A70,VLOOKUP(N70,setup!$A$8:$H$58,2),VLOOKUP(N70,setup!$A$8:$H$58,3),VLOOKUP(N70,setup!$A$8:$H$58,4),VLOOKUP(N70,setup!$A$8:$H$58,5),VLOOKUP(N70,setup!$A$8:$H$58,6),VLOOKUP(N70,setup!$A$8:$H$58,7), VLOOKUP(0,setup!$A$8:$H$58,2),VLOOKUP(0,setup!$A$8:$H$58,5),VLOOKUP(N70,setup!$A$8:$H$58,8))</f>
        <v/>
      </c>
    </row>
    <row r="71" spans="1:15" x14ac:dyDescent="0.25">
      <c r="A71" s="4" t="s">
        <v>19</v>
      </c>
      <c r="O71" s="7" t="str">
        <f ca="1">getCodigoBackend(N71,A71,VLOOKUP(N71,setup!$A$8:$H$58,2),VLOOKUP(N71,setup!$A$8:$H$58,3),VLOOKUP(N71,setup!$A$8:$H$58,4),VLOOKUP(N71,setup!$A$8:$H$58,5),VLOOKUP(N71,setup!$A$8:$H$58,6),VLOOKUP(N71,setup!$A$8:$H$58,7), VLOOKUP(0,setup!$A$8:$H$58,2),VLOOKUP(0,setup!$A$8:$H$58,5),VLOOKUP(N71,setup!$A$8:$H$58,8))</f>
        <v>/**</v>
      </c>
    </row>
    <row r="72" spans="1:15" x14ac:dyDescent="0.25">
      <c r="A72" s="4" t="s">
        <v>20</v>
      </c>
      <c r="O72" s="7" t="str">
        <f ca="1">getCodigoBackend(N72,A72,VLOOKUP(N72,setup!$A$8:$H$58,2),VLOOKUP(N72,setup!$A$8:$H$58,3),VLOOKUP(N72,setup!$A$8:$H$58,4),VLOOKUP(N72,setup!$A$8:$H$58,5),VLOOKUP(N72,setup!$A$8:$H$58,6),VLOOKUP(N72,setup!$A$8:$H$58,7), VLOOKUP(0,setup!$A$8:$H$58,2),VLOOKUP(0,setup!$A$8:$H$58,5),VLOOKUP(N72,setup!$A$8:$H$58,8))</f>
        <v>*</v>
      </c>
    </row>
    <row r="73" spans="1:15" x14ac:dyDescent="0.25">
      <c r="A73" s="4" t="s">
        <v>562</v>
      </c>
      <c r="O73" s="7" t="str">
        <f ca="1">getCodigoBackend(N73,A73,VLOOKUP(N73,setup!$A$8:$H$58,2),VLOOKUP(N73,setup!$A$8:$H$58,3),VLOOKUP(N73,setup!$A$8:$H$58,4),VLOOKUP(N73,setup!$A$8:$H$58,5),VLOOKUP(N73,setup!$A$8:$H$58,6),VLOOKUP(N73,setup!$A$8:$H$58,7), VLOOKUP(0,setup!$A$8:$H$58,2),VLOOKUP(0,setup!$A$8:$H$58,5),VLOOKUP(N73,setup!$A$8:$H$58,8))</f>
        <v>* appInserirCampanhaCashbackResgatePix - Controlador para permitir acesso ao backend no método cadastrar</v>
      </c>
    </row>
    <row r="74" spans="1:15" x14ac:dyDescent="0.25">
      <c r="A74" s="4" t="s">
        <v>563</v>
      </c>
      <c r="O74" s="7" t="str">
        <f ca="1">getCodigoBackend(N74,A74,VLOOKUP(N74,setup!$A$8:$H$58,2),VLOOKUP(N74,setup!$A$8:$H$58,3),VLOOKUP(N74,setup!$A$8:$H$58,4),VLOOKUP(N74,setup!$A$8:$H$58,5),VLOOKUP(N74,setup!$A$8:$H$58,6),VLOOKUP(N74,setup!$A$8:$H$58,7), VLOOKUP(0,setup!$A$8:$H$58,2),VLOOKUP(0,setup!$A$8:$H$58,5),VLOOKUP(N74,setup!$A$8:$H$58,8))</f>
        <v>* da classe CampanhaCashbackResgatePixServiceImpl.php</v>
      </c>
    </row>
    <row r="75" spans="1:15" x14ac:dyDescent="0.25">
      <c r="A75" s="4" t="s">
        <v>564</v>
      </c>
      <c r="O75" s="7" t="str">
        <f ca="1">getCodigoBackend(N75,A75,VLOOKUP(N75,setup!$A$8:$H$58,2),VLOOKUP(N75,setup!$A$8:$H$58,3),VLOOKUP(N75,setup!$A$8:$H$58,4),VLOOKUP(N75,setup!$A$8:$H$58,5),VLOOKUP(N75,setup!$A$8:$H$58,6),VLOOKUP(N75,setup!$A$8:$H$58,7), VLOOKUP(0,setup!$A$8:$H$58,2),VLOOKUP(0,setup!$A$8:$H$58,5),VLOOKUP(N75,setup!$A$8:$H$58,8))</f>
        <v>* É uma camada visível para outros dispositivos e requisições</v>
      </c>
    </row>
    <row r="76" spans="1:15" x14ac:dyDescent="0.25">
      <c r="A76" s="4" t="s">
        <v>20</v>
      </c>
      <c r="O76" s="7" t="str">
        <f ca="1">getCodigoBackend(N76,A76,VLOOKUP(N76,setup!$A$8:$H$58,2),VLOOKUP(N76,setup!$A$8:$H$58,3),VLOOKUP(N76,setup!$A$8:$H$58,4),VLOOKUP(N76,setup!$A$8:$H$58,5),VLOOKUP(N76,setup!$A$8:$H$58,6),VLOOKUP(N76,setup!$A$8:$H$58,7), VLOOKUP(0,setup!$A$8:$H$58,2),VLOOKUP(0,setup!$A$8:$H$58,5),VLOOKUP(N76,setup!$A$8:$H$58,8))</f>
        <v>*</v>
      </c>
    </row>
    <row r="77" spans="1:15" x14ac:dyDescent="0.25">
      <c r="A77" s="4" t="s">
        <v>566</v>
      </c>
      <c r="O77" s="7" t="str">
        <f ca="1">getCodigoBackend(N77,A77,VLOOKUP(N77,setup!$A$8:$H$58,2),VLOOKUP(N77,setup!$A$8:$H$58,3),VLOOKUP(N77,setup!$A$8:$H$58,4),VLOOKUP(N77,setup!$A$8:$H$58,5),VLOOKUP(N77,setup!$A$8:$H$58,6),VLOOKUP(N77,setup!$A$8:$H$58,7), VLOOKUP(0,setup!$A$8:$H$58,2),VLOOKUP(0,setup!$A$8:$H$58,5),VLOOKUP(N77,setup!$A$8:$H$58,8))</f>
        <v>*======================================================================================</v>
      </c>
    </row>
    <row r="78" spans="1:15" x14ac:dyDescent="0.25">
      <c r="A78" s="4" t="s">
        <v>565</v>
      </c>
      <c r="O78" s="7" t="str">
        <f ca="1">getCodigoBackend(N78,A78,VLOOKUP(N78,setup!$A$8:$H$58,2),VLOOKUP(N78,setup!$A$8:$H$58,3),VLOOKUP(N78,setup!$A$8:$H$58,4),VLOOKUP(N78,setup!$A$8:$H$58,5),VLOOKUP(N78,setup!$A$8:$H$58,6),VLOOKUP(N78,setup!$A$8:$H$58,7), VLOOKUP(0,setup!$A$8:$H$58,2),VLOOKUP(0,setup!$A$8:$H$58,5),VLOOKUP(N78,setup!$A$8:$H$58,8))</f>
        <v>* É OBRIGATÓRIO o fornecimento do tokenid no corpo da HttpRequest</v>
      </c>
    </row>
    <row r="79" spans="1:15" x14ac:dyDescent="0.25">
      <c r="A79" s="4" t="s">
        <v>566</v>
      </c>
      <c r="O79" s="7" t="str">
        <f ca="1">getCodigoBackend(N79,A79,VLOOKUP(N79,setup!$A$8:$H$58,2),VLOOKUP(N79,setup!$A$8:$H$58,3),VLOOKUP(N79,setup!$A$8:$H$58,4),VLOOKUP(N79,setup!$A$8:$H$58,5),VLOOKUP(N79,setup!$A$8:$H$58,6),VLOOKUP(N79,setup!$A$8:$H$58,7), VLOOKUP(0,setup!$A$8:$H$58,2),VLOOKUP(0,setup!$A$8:$H$58,5),VLOOKUP(N79,setup!$A$8:$H$58,8))</f>
        <v>*======================================================================================</v>
      </c>
    </row>
    <row r="80" spans="1:15" x14ac:dyDescent="0.25">
      <c r="A80" s="4" t="s">
        <v>260</v>
      </c>
      <c r="O80" s="7" t="str">
        <f ca="1">getCodigoBackend(N80,A80,VLOOKUP(N80,setup!$A$8:$H$58,2),VLOOKUP(N80,setup!$A$8:$H$58,3),VLOOKUP(N80,setup!$A$8:$H$58,4),VLOOKUP(N80,setup!$A$8:$H$58,5),VLOOKUP(N80,setup!$A$8:$H$58,6),VLOOKUP(N80,setup!$A$8:$H$58,7), VLOOKUP(0,setup!$A$8:$H$58,2),VLOOKUP(0,setup!$A$8:$H$58,5),VLOOKUP(N80,setup!$A$8:$H$58,8))</f>
        <v>* Changelog:</v>
      </c>
    </row>
    <row r="81" spans="1:15" x14ac:dyDescent="0.25">
      <c r="A81" s="4" t="s">
        <v>20</v>
      </c>
      <c r="O81" s="7" t="str">
        <f ca="1">getCodigoBackend(N81,A81,VLOOKUP(N81,setup!$A$8:$H$58,2),VLOOKUP(N81,setup!$A$8:$H$58,3),VLOOKUP(N81,setup!$A$8:$H$58,4),VLOOKUP(N81,setup!$A$8:$H$58,5),VLOOKUP(N81,setup!$A$8:$H$58,6),VLOOKUP(N81,setup!$A$8:$H$58,7), VLOOKUP(0,setup!$A$8:$H$58,2),VLOOKUP(0,setup!$A$8:$H$58,5),VLOOKUP(N81,setup!$A$8:$H$58,8))</f>
        <v>*</v>
      </c>
    </row>
    <row r="82" spans="1:15" x14ac:dyDescent="0.25">
      <c r="A82" s="4" t="s">
        <v>75</v>
      </c>
      <c r="O82" s="7" t="str">
        <f ca="1">getCodigoBackend(N82,A82,VLOOKUP(N82,setup!$A$8:$H$58,2),VLOOKUP(N82,setup!$A$8:$H$58,3),VLOOKUP(N82,setup!$A$8:$H$58,4),VLOOKUP(N82,setup!$A$8:$H$58,5),VLOOKUP(N82,setup!$A$8:$H$58,6),VLOOKUP(N82,setup!$A$8:$H$58,7), VLOOKUP(0,setup!$A$8:$H$58,2),VLOOKUP(0,setup!$A$8:$H$58,5),VLOOKUP(N82,setup!$A$8:$H$58,8))</f>
        <v xml:space="preserve">* </v>
      </c>
    </row>
    <row r="83" spans="1:15" x14ac:dyDescent="0.25">
      <c r="A83" s="4" t="s">
        <v>254</v>
      </c>
      <c r="O83" s="7" t="str">
        <f ca="1">getCodigoBackend(N83,A83,VLOOKUP(N83,setup!$A$8:$H$58,2),VLOOKUP(N83,setup!$A$8:$H$58,3),VLOOKUP(N83,setup!$A$8:$H$58,4),VLOOKUP(N83,setup!$A$8:$H$58,5),VLOOKUP(N83,setup!$A$8:$H$58,6),VLOOKUP(N83,setup!$A$8:$H$58,7), VLOOKUP(0,setup!$A$8:$H$58,2),VLOOKUP(0,setup!$A$8:$H$58,5),VLOOKUP(N83,setup!$A$8:$H$58,8))</f>
        <v>* @autor Julio Cesar Vitorino</v>
      </c>
    </row>
    <row r="84" spans="1:15" x14ac:dyDescent="0.25">
      <c r="A84" s="4" t="s">
        <v>240</v>
      </c>
      <c r="O84" s="7" t="str">
        <f ca="1">getCodigoBackend(N84,A84,VLOOKUP(N84,setup!$A$8:$H$58,2),VLOOKUP(N84,setup!$A$8:$H$58,3),VLOOKUP(N84,setup!$A$8:$H$58,4),VLOOKUP(N84,setup!$A$8:$H$58,5),VLOOKUP(N84,setup!$A$8:$H$58,6),VLOOKUP(N84,setup!$A$8:$H$58,7), VLOOKUP(0,setup!$A$8:$H$58,2),VLOOKUP(0,setup!$A$8:$H$58,5),VLOOKUP(N84,setup!$A$8:$H$58,8))</f>
        <v>* @since 26/07/2021 15:11:48</v>
      </c>
    </row>
    <row r="85" spans="1:15" x14ac:dyDescent="0.25">
      <c r="A85" s="4" t="s">
        <v>20</v>
      </c>
      <c r="O85" s="7" t="str">
        <f ca="1">getCodigoBackend(N85,A85,VLOOKUP(N85,setup!$A$8:$H$58,2),VLOOKUP(N85,setup!$A$8:$H$58,3),VLOOKUP(N85,setup!$A$8:$H$58,4),VLOOKUP(N85,setup!$A$8:$H$58,5),VLOOKUP(N85,setup!$A$8:$H$58,6),VLOOKUP(N85,setup!$A$8:$H$58,7), VLOOKUP(0,setup!$A$8:$H$58,2),VLOOKUP(0,setup!$A$8:$H$58,5),VLOOKUP(N85,setup!$A$8:$H$58,8))</f>
        <v>*</v>
      </c>
    </row>
    <row r="86" spans="1:15" x14ac:dyDescent="0.25">
      <c r="A86" s="4" t="s">
        <v>21</v>
      </c>
      <c r="O86" s="7" t="str">
        <f ca="1">getCodigoBackend(N86,A86,VLOOKUP(N86,setup!$A$8:$H$58,2),VLOOKUP(N86,setup!$A$8:$H$58,3),VLOOKUP(N86,setup!$A$8:$H$58,4),VLOOKUP(N86,setup!$A$8:$H$58,5),VLOOKUP(N86,setup!$A$8:$H$58,6),VLOOKUP(N86,setup!$A$8:$H$58,7), VLOOKUP(0,setup!$A$8:$H$58,2),VLOOKUP(0,setup!$A$8:$H$58,5),VLOOKUP(N86,setup!$A$8:$H$58,8))</f>
        <v>*/</v>
      </c>
    </row>
    <row r="87" spans="1:15" x14ac:dyDescent="0.25">
      <c r="O87" s="7" t="str">
        <f ca="1">getCodigoBackend(N87,A87,VLOOKUP(N87,setup!$A$8:$H$58,2),VLOOKUP(N87,setup!$A$8:$H$58,3),VLOOKUP(N87,setup!$A$8:$H$58,4),VLOOKUP(N87,setup!$A$8:$H$58,5),VLOOKUP(N87,setup!$A$8:$H$58,6),VLOOKUP(N87,setup!$A$8:$H$58,7), VLOOKUP(0,setup!$A$8:$H$58,2),VLOOKUP(0,setup!$A$8:$H$58,5),VLOOKUP(N87,setup!$A$8:$H$58,8))</f>
        <v/>
      </c>
    </row>
    <row r="88" spans="1:15" x14ac:dyDescent="0.25">
      <c r="A88" s="5" t="s">
        <v>558</v>
      </c>
      <c r="N88">
        <v>0</v>
      </c>
      <c r="O88" s="7" t="str">
        <f ca="1">getCodigoBackend(N88,A88,VLOOKUP(N88,setup!$A$8:$H$58,2),VLOOKUP(N88,setup!$A$8:$H$58,3),VLOOKUP(N88,setup!$A$8:$H$58,4),VLOOKUP(N88,setup!$A$8:$H$58,5),VLOOKUP(N88,setup!$A$8:$H$58,6),VLOOKUP(N88,setup!$A$8:$H$58,7), VLOOKUP(0,setup!$A$8:$H$58,2),VLOOKUP(0,setup!$A$8:$H$58,5),VLOOKUP(N88,setup!$A$8:$H$58,8))</f>
        <v>require_once '../campanhacashbackresgatepix/CampanhaCashbackResgatePixServiceImpl.php';</v>
      </c>
    </row>
    <row r="89" spans="1:15" x14ac:dyDescent="0.25">
      <c r="A89" s="5" t="s">
        <v>559</v>
      </c>
      <c r="N89">
        <f>N88+1</f>
        <v>1</v>
      </c>
      <c r="O89" s="7" t="str">
        <f ca="1">getCodigoBackend(N89,A89,VLOOKUP(N89,setup!$A$8:$H$58,2),VLOOKUP(N89,setup!$A$8:$H$58,3),VLOOKUP(N89,setup!$A$8:$H$58,4),VLOOKUP(N89,setup!$A$8:$H$58,5),VLOOKUP(N89,setup!$A$8:$H$58,6),VLOOKUP(N89,setup!$A$8:$H$58,7), VLOOKUP(0,setup!$A$8:$H$58,2),VLOOKUP(0,setup!$A$8:$H$58,5),VLOOKUP(N89,setup!$A$8:$H$58,8))</f>
        <v>require_once '../campanhacashbackresgatepix/CampanhaCashbackResgatePixDTO.php';</v>
      </c>
    </row>
    <row r="90" spans="1:15" x14ac:dyDescent="0.25">
      <c r="A90" s="5" t="s">
        <v>427</v>
      </c>
      <c r="N90">
        <f t="shared" ref="N90:N95" si="3">N89+1</f>
        <v>2</v>
      </c>
      <c r="O90" s="7" t="str">
        <f ca="1">getCodigoBackend(N90,A90,VLOOKUP(N90,setup!$A$8:$H$58,2),VLOOKUP(N90,setup!$A$8:$H$58,3),VLOOKUP(N90,setup!$A$8:$H$58,4),VLOOKUP(N90,setup!$A$8:$H$58,5),VLOOKUP(N90,setup!$A$8:$H$58,6),VLOOKUP(N90,setup!$A$8:$H$58,7), VLOOKUP(0,setup!$A$8:$H$58,2),VLOOKUP(0,setup!$A$8:$H$58,5),VLOOKUP(N90,setup!$A$8:$H$58,8))</f>
        <v>require_once '../util/util.php';</v>
      </c>
    </row>
    <row r="91" spans="1:15" x14ac:dyDescent="0.25">
      <c r="N91">
        <f t="shared" si="3"/>
        <v>3</v>
      </c>
      <c r="O91" s="7" t="str">
        <f ca="1">getCodigoBackend(N91,A91,VLOOKUP(N91,setup!$A$8:$H$58,2),VLOOKUP(N91,setup!$A$8:$H$58,3),VLOOKUP(N91,setup!$A$8:$H$58,4),VLOOKUP(N91,setup!$A$8:$H$58,5),VLOOKUP(N91,setup!$A$8:$H$58,6),VLOOKUP(N91,setup!$A$8:$H$58,7), VLOOKUP(0,setup!$A$8:$H$58,2),VLOOKUP(0,setup!$A$8:$H$58,5),VLOOKUP(N91,setup!$A$8:$H$58,8))</f>
        <v/>
      </c>
    </row>
    <row r="92" spans="1:15" x14ac:dyDescent="0.25">
      <c r="A92" s="4" t="s">
        <v>551</v>
      </c>
      <c r="N92">
        <f t="shared" si="3"/>
        <v>4</v>
      </c>
      <c r="O92" s="7" t="str">
        <f ca="1">getCodigoBackend(N92,A92,VLOOKUP(N92,setup!$A$8:$H$58,2),VLOOKUP(N92,setup!$A$8:$H$58,3),VLOOKUP(N92,setup!$A$8:$H$58,4),VLOOKUP(N92,setup!$A$8:$H$58,5),VLOOKUP(N92,setup!$A$8:$H$58,6),VLOOKUP(N92,setup!$A$8:$H$58,7), VLOOKUP(0,setup!$A$8:$H$58,2),VLOOKUP(0,setup!$A$8:$H$58,5),VLOOKUP(N92,setup!$A$8:$H$58,8))</f>
        <v>// Obtem o token de sessao (pode ser dispositivo ou outro hardware qualquer)</v>
      </c>
    </row>
    <row r="93" spans="1:15" x14ac:dyDescent="0.25">
      <c r="A93" s="8" t="s">
        <v>555</v>
      </c>
      <c r="N93">
        <f t="shared" si="3"/>
        <v>5</v>
      </c>
      <c r="O93" s="7" t="str">
        <f ca="1">getCodigoBackend(N93,A93,VLOOKUP(N93,setup!$A$8:$H$58,2),VLOOKUP(N93,setup!$A$8:$H$58,3),VLOOKUP(N93,setup!$A$8:$H$58,4),VLOOKUP(N93,setup!$A$8:$H$58,5),VLOOKUP(N93,setup!$A$8:$H$58,6),VLOOKUP(N93,setup!$A$8:$H$58,7), VLOOKUP(0,setup!$A$8:$H$58,2),VLOOKUP(0,setup!$A$8:$H$58,5),VLOOKUP(N93,setup!$A$8:$H$58,8))</f>
        <v>$token = $_POST['tokenid'];</v>
      </c>
    </row>
    <row r="94" spans="1:15" x14ac:dyDescent="0.25">
      <c r="N94">
        <f t="shared" si="3"/>
        <v>6</v>
      </c>
      <c r="O94" s="7" t="str">
        <f ca="1">getCodigoBackend(N94,A94,VLOOKUP(N94,setup!$A$8:$H$58,2),VLOOKUP(N94,setup!$A$8:$H$58,3),VLOOKUP(N94,setup!$A$8:$H$58,4),VLOOKUP(N94,setup!$A$8:$H$58,5),VLOOKUP(N94,setup!$A$8:$H$58,6),VLOOKUP(N94,setup!$A$8:$H$58,7), VLOOKUP(0,setup!$A$8:$H$58,2),VLOOKUP(0,setup!$A$8:$H$58,5),VLOOKUP(N94,setup!$A$8:$H$58,8))</f>
        <v/>
      </c>
    </row>
    <row r="95" spans="1:15" x14ac:dyDescent="0.25">
      <c r="A95" s="5" t="s">
        <v>552</v>
      </c>
      <c r="N95">
        <f t="shared" si="3"/>
        <v>7</v>
      </c>
      <c r="O95" s="7" t="str">
        <f ca="1">getCodigoBackend(N95,A95,VLOOKUP(N95,setup!$A$8:$H$58,2),VLOOKUP(N95,setup!$A$8:$H$58,3),VLOOKUP(N95,setup!$A$8:$H$58,4),VLOOKUP(N95,setup!$A$8:$H$58,5),VLOOKUP(N95,setup!$A$8:$H$58,6),VLOOKUP(N95,setup!$A$8:$H$58,7), VLOOKUP(0,setup!$A$8:$H$58,2),VLOOKUP(0,setup!$A$8:$H$58,5),VLOOKUP(N95,setup!$A$8:$H$58,8))</f>
        <v>include_once '../../inc/validarTokenApp.php';</v>
      </c>
    </row>
    <row r="96" spans="1:15" x14ac:dyDescent="0.25">
      <c r="O96" s="7" t="str">
        <f ca="1">getCodigoBackend(N96,A96,VLOOKUP(N96,setup!$A$8:$H$58,2),VLOOKUP(N96,setup!$A$8:$H$58,3),VLOOKUP(N96,setup!$A$8:$H$58,4),VLOOKUP(N96,setup!$A$8:$H$58,5),VLOOKUP(N96,setup!$A$8:$H$58,6),VLOOKUP(N96,setup!$A$8:$H$58,7), VLOOKUP(0,setup!$A$8:$H$58,2),VLOOKUP(0,setup!$A$8:$H$58,5),VLOOKUP(N96,setup!$A$8:$H$58,8))</f>
        <v/>
      </c>
    </row>
    <row r="97" spans="1:15" x14ac:dyDescent="0.25">
      <c r="A97" s="8" t="s">
        <v>560</v>
      </c>
      <c r="O97" s="7" t="str">
        <f ca="1">getCodigoBackend(N97,A97,VLOOKUP(N97,setup!$A$8:$H$58,2),VLOOKUP(N97,setup!$A$8:$H$58,3),VLOOKUP(N97,setup!$A$8:$H$58,4),VLOOKUP(N97,setup!$A$8:$H$58,5),VLOOKUP(N97,setup!$A$8:$H$58,6),VLOOKUP(N97,setup!$A$8:$H$58,7), VLOOKUP(0,setup!$A$8:$H$58,2),VLOOKUP(0,setup!$A$8:$H$58,5),VLOOKUP(N97,setup!$A$8:$H$58,8))</f>
        <v>$dto = new CampanhaCashbackResgatePixDTO();</v>
      </c>
    </row>
    <row r="98" spans="1:15" x14ac:dyDescent="0.25">
      <c r="O98" s="7" t="str">
        <f ca="1">getCodigoBackend(N98,A98,VLOOKUP(N98,setup!$A$8:$H$58,2),VLOOKUP(N98,setup!$A$8:$H$58,3),VLOOKUP(N98,setup!$A$8:$H$58,4),VLOOKUP(N98,setup!$A$8:$H$58,5),VLOOKUP(N98,setup!$A$8:$H$58,6),VLOOKUP(N98,setup!$A$8:$H$58,7), VLOOKUP(0,setup!$A$8:$H$58,2),VLOOKUP(0,setup!$A$8:$H$58,5),VLOOKUP(N98,setup!$A$8:$H$58,8))</f>
        <v/>
      </c>
    </row>
    <row r="99" spans="1:15" x14ac:dyDescent="0.25">
      <c r="A99" s="8" t="s">
        <v>561</v>
      </c>
      <c r="N99">
        <v>0</v>
      </c>
      <c r="O99" s="7" t="str">
        <f ca="1">getCodigoBackend(N99,A99,VLOOKUP(N99,setup!$A$8:$H$58,2),VLOOKUP(N99,setup!$A$8:$H$58,3),VLOOKUP(N99,setup!$A$8:$H$58,4),VLOOKUP(N99,setup!$A$8:$H$58,5),VLOOKUP(N99,setup!$A$8:$H$58,6),VLOOKUP(N99,setup!$A$8:$H$58,7), VLOOKUP(0,setup!$A$8:$H$58,2),VLOOKUP(0,setup!$A$8:$H$58,5),VLOOKUP(N99,setup!$A$8:$H$58,8))</f>
        <v>$dto-&gt;id = $_POST['id'];</v>
      </c>
    </row>
    <row r="100" spans="1:15" x14ac:dyDescent="0.25">
      <c r="A100" s="8" t="s">
        <v>561</v>
      </c>
      <c r="N100">
        <f>N99+1</f>
        <v>1</v>
      </c>
      <c r="O100" s="7" t="str">
        <f ca="1">getCodigoBackend(N100,A100,VLOOKUP(N100,setup!$A$8:$H$58,2),VLOOKUP(N100,setup!$A$8:$H$58,3),VLOOKUP(N100,setup!$A$8:$H$58,4),VLOOKUP(N100,setup!$A$8:$H$58,5),VLOOKUP(N100,setup!$A$8:$H$58,6),VLOOKUP(N100,setup!$A$8:$H$58,7), VLOOKUP(0,setup!$A$8:$H$58,2),VLOOKUP(0,setup!$A$8:$H$58,5),VLOOKUP(N100,setup!$A$8:$H$58,8))</f>
        <v>$dto-&gt;idCampanhaCashback = $_POST['idCampanhaCashback'];</v>
      </c>
    </row>
    <row r="101" spans="1:15" x14ac:dyDescent="0.25">
      <c r="A101" s="8" t="s">
        <v>561</v>
      </c>
      <c r="N101">
        <f t="shared" ref="N101:N103" si="4">N100+1</f>
        <v>2</v>
      </c>
      <c r="O101" s="7" t="str">
        <f ca="1">getCodigoBackend(N101,A101,VLOOKUP(N101,setup!$A$8:$H$58,2),VLOOKUP(N101,setup!$A$8:$H$58,3),VLOOKUP(N101,setup!$A$8:$H$58,4),VLOOKUP(N101,setup!$A$8:$H$58,5),VLOOKUP(N101,setup!$A$8:$H$58,6),VLOOKUP(N101,setup!$A$8:$H$58,7), VLOOKUP(0,setup!$A$8:$H$58,2),VLOOKUP(0,setup!$A$8:$H$58,5),VLOOKUP(N101,setup!$A$8:$H$58,8))</f>
        <v>$dto-&gt;idUsuarioSolicitante = $_POST['idUsuarioSolicitante'];</v>
      </c>
    </row>
    <row r="102" spans="1:15" x14ac:dyDescent="0.25">
      <c r="A102" s="8" t="s">
        <v>561</v>
      </c>
      <c r="N102">
        <f t="shared" si="4"/>
        <v>3</v>
      </c>
      <c r="O102" s="7" t="str">
        <f ca="1">getCodigoBackend(N102,A102,VLOOKUP(N102,setup!$A$8:$H$58,2),VLOOKUP(N102,setup!$A$8:$H$58,3),VLOOKUP(N102,setup!$A$8:$H$58,4),VLOOKUP(N102,setup!$A$8:$H$58,5),VLOOKUP(N102,setup!$A$8:$H$58,6),VLOOKUP(N102,setup!$A$8:$H$58,7), VLOOKUP(0,setup!$A$8:$H$58,2),VLOOKUP(0,setup!$A$8:$H$58,5),VLOOKUP(N102,setup!$A$8:$H$58,8))</f>
        <v>$dto-&gt;tipoChavePix = $_POST['tipoChavePix'];</v>
      </c>
    </row>
    <row r="103" spans="1:15" x14ac:dyDescent="0.25">
      <c r="A103" s="8" t="s">
        <v>561</v>
      </c>
      <c r="N103">
        <f t="shared" si="4"/>
        <v>4</v>
      </c>
      <c r="O103" s="7" t="str">
        <f ca="1">getCodigoBackend(N103,A103,VLOOKUP(N103,setup!$A$8:$H$58,2),VLOOKUP(N103,setup!$A$8:$H$58,3),VLOOKUP(N103,setup!$A$8:$H$58,4),VLOOKUP(N103,setup!$A$8:$H$58,5),VLOOKUP(N103,setup!$A$8:$H$58,6),VLOOKUP(N103,setup!$A$8:$H$58,7), VLOOKUP(0,setup!$A$8:$H$58,2),VLOOKUP(0,setup!$A$8:$H$58,5),VLOOKUP(N103,setup!$A$8:$H$58,8))</f>
        <v>$dto-&gt;chavePix = $_POST['chavePix'];</v>
      </c>
    </row>
    <row r="104" spans="1:15" x14ac:dyDescent="0.25">
      <c r="A104" s="8" t="s">
        <v>561</v>
      </c>
      <c r="N104">
        <f t="shared" ref="N104:N132" si="5">N103+1</f>
        <v>5</v>
      </c>
      <c r="O104" s="7" t="str">
        <f ca="1">getCodigoBackend(N104,A104,VLOOKUP(N104,setup!$A$8:$H$58,2),VLOOKUP(N104,setup!$A$8:$H$58,3),VLOOKUP(N104,setup!$A$8:$H$58,4),VLOOKUP(N104,setup!$A$8:$H$58,5),VLOOKUP(N104,setup!$A$8:$H$58,6),VLOOKUP(N104,setup!$A$8:$H$58,7), VLOOKUP(0,setup!$A$8:$H$58,2),VLOOKUP(0,setup!$A$8:$H$58,5),VLOOKUP(N104,setup!$A$8:$H$58,8))</f>
        <v>$dto-&gt;valorResgate = $_POST['valorResgate'];</v>
      </c>
    </row>
    <row r="105" spans="1:15" x14ac:dyDescent="0.25">
      <c r="A105" s="8" t="s">
        <v>561</v>
      </c>
      <c r="N105">
        <f t="shared" si="5"/>
        <v>6</v>
      </c>
      <c r="O105" s="7" t="str">
        <f ca="1">getCodigoBackend(N105,A105,VLOOKUP(N105,setup!$A$8:$H$58,2),VLOOKUP(N105,setup!$A$8:$H$58,3),VLOOKUP(N105,setup!$A$8:$H$58,4),VLOOKUP(N105,setup!$A$8:$H$58,5),VLOOKUP(N105,setup!$A$8:$H$58,6),VLOOKUP(N105,setup!$A$8:$H$58,7), VLOOKUP(0,setup!$A$8:$H$58,2),VLOOKUP(0,setup!$A$8:$H$58,5),VLOOKUP(N105,setup!$A$8:$H$58,8))</f>
        <v>$dto-&gt;autenticacaoBco = $_POST['autenticacaoBco'];</v>
      </c>
    </row>
    <row r="106" spans="1:15" x14ac:dyDescent="0.25">
      <c r="A106" s="8" t="s">
        <v>561</v>
      </c>
      <c r="N106">
        <f t="shared" si="5"/>
        <v>7</v>
      </c>
      <c r="O106" s="7" t="str">
        <f ca="1">getCodigoBackend(N106,A106,VLOOKUP(N106,setup!$A$8:$H$58,2),VLOOKUP(N106,setup!$A$8:$H$58,3),VLOOKUP(N106,setup!$A$8:$H$58,4),VLOOKUP(N106,setup!$A$8:$H$58,5),VLOOKUP(N106,setup!$A$8:$H$58,6),VLOOKUP(N106,setup!$A$8:$H$58,7), VLOOKUP(0,setup!$A$8:$H$58,2),VLOOKUP(0,setup!$A$8:$H$58,5),VLOOKUP(N106,setup!$A$8:$H$58,8))</f>
        <v>$dto-&gt;estagioRealTime = $_POST['estagioRealTime'];</v>
      </c>
    </row>
    <row r="107" spans="1:15" x14ac:dyDescent="0.25">
      <c r="A107" s="8" t="s">
        <v>561</v>
      </c>
      <c r="N107">
        <f t="shared" si="5"/>
        <v>8</v>
      </c>
      <c r="O107" s="7" t="str">
        <f ca="1">getCodigoBackend(N107,A107,VLOOKUP(N107,setup!$A$8:$H$58,2),VLOOKUP(N107,setup!$A$8:$H$58,3),VLOOKUP(N107,setup!$A$8:$H$58,4),VLOOKUP(N107,setup!$A$8:$H$58,5),VLOOKUP(N107,setup!$A$8:$H$58,6),VLOOKUP(N107,setup!$A$8:$H$58,7), VLOOKUP(0,setup!$A$8:$H$58,2),VLOOKUP(0,setup!$A$8:$H$58,5),VLOOKUP(N107,setup!$A$8:$H$58,8))</f>
        <v>$dto-&gt;dtEstagioAnalise = $_POST['dtEstagioAnalise'];</v>
      </c>
    </row>
    <row r="108" spans="1:15" x14ac:dyDescent="0.25">
      <c r="A108" s="8" t="s">
        <v>561</v>
      </c>
      <c r="N108">
        <f t="shared" si="5"/>
        <v>9</v>
      </c>
      <c r="O108" s="7" t="str">
        <f ca="1">getCodigoBackend(N108,A108,VLOOKUP(N108,setup!$A$8:$H$58,2),VLOOKUP(N108,setup!$A$8:$H$58,3),VLOOKUP(N108,setup!$A$8:$H$58,4),VLOOKUP(N108,setup!$A$8:$H$58,5),VLOOKUP(N108,setup!$A$8:$H$58,6),VLOOKUP(N108,setup!$A$8:$H$58,7), VLOOKUP(0,setup!$A$8:$H$58,2),VLOOKUP(0,setup!$A$8:$H$58,5),VLOOKUP(N108,setup!$A$8:$H$58,8))</f>
        <v>$dto-&gt;dtEstagioFinanceiro = $_POST['dtEstagioFinanceiro'];</v>
      </c>
    </row>
    <row r="109" spans="1:15" x14ac:dyDescent="0.25">
      <c r="A109" s="8" t="s">
        <v>561</v>
      </c>
      <c r="N109">
        <f t="shared" si="5"/>
        <v>10</v>
      </c>
      <c r="O109" s="7" t="str">
        <f ca="1">getCodigoBackend(N109,A109,VLOOKUP(N109,setup!$A$8:$H$58,2),VLOOKUP(N109,setup!$A$8:$H$58,3),VLOOKUP(N109,setup!$A$8:$H$58,4),VLOOKUP(N109,setup!$A$8:$H$58,5),VLOOKUP(N109,setup!$A$8:$H$58,6),VLOOKUP(N109,setup!$A$8:$H$58,7), VLOOKUP(0,setup!$A$8:$H$58,2),VLOOKUP(0,setup!$A$8:$H$58,5),VLOOKUP(N109,setup!$A$8:$H$58,8))</f>
        <v>$dto-&gt;dtEstagioErro = $_POST['dtEstagioErro'];</v>
      </c>
    </row>
    <row r="110" spans="1:15" x14ac:dyDescent="0.25">
      <c r="A110" s="8" t="s">
        <v>561</v>
      </c>
      <c r="N110">
        <f t="shared" si="5"/>
        <v>11</v>
      </c>
      <c r="O110" s="7" t="str">
        <f ca="1">getCodigoBackend(N110,A110,VLOOKUP(N110,setup!$A$8:$H$58,2),VLOOKUP(N110,setup!$A$8:$H$58,3),VLOOKUP(N110,setup!$A$8:$H$58,4),VLOOKUP(N110,setup!$A$8:$H$58,5),VLOOKUP(N110,setup!$A$8:$H$58,6),VLOOKUP(N110,setup!$A$8:$H$58,7), VLOOKUP(0,setup!$A$8:$H$58,2),VLOOKUP(0,setup!$A$8:$H$58,5),VLOOKUP(N110,setup!$A$8:$H$58,8))</f>
        <v>$dto-&gt;dtEstagioTranfBco = $_POST['dtEstagioTranfBco'];</v>
      </c>
    </row>
    <row r="111" spans="1:15" x14ac:dyDescent="0.25">
      <c r="A111" s="8" t="s">
        <v>561</v>
      </c>
      <c r="N111">
        <f t="shared" si="5"/>
        <v>12</v>
      </c>
      <c r="O111" s="7" t="str">
        <f ca="1">getCodigoBackend(N111,A111,VLOOKUP(N111,setup!$A$8:$H$58,2),VLOOKUP(N111,setup!$A$8:$H$58,3),VLOOKUP(N111,setup!$A$8:$H$58,4),VLOOKUP(N111,setup!$A$8:$H$58,5),VLOOKUP(N111,setup!$A$8:$H$58,6),VLOOKUP(N111,setup!$A$8:$H$58,7), VLOOKUP(0,setup!$A$8:$H$58,2),VLOOKUP(0,setup!$A$8:$H$58,5),VLOOKUP(N111,setup!$A$8:$H$58,8))</f>
        <v>$dto-&gt;txtLivreEstagioRT = $_POST['txtLivreEstagioRT'];</v>
      </c>
    </row>
    <row r="112" spans="1:15" x14ac:dyDescent="0.25">
      <c r="A112" s="8" t="s">
        <v>561</v>
      </c>
      <c r="N112">
        <f t="shared" si="5"/>
        <v>13</v>
      </c>
      <c r="O112" s="7" t="e">
        <f>getCodigoBackend(N112,A112,VLOOKUP(N112,setup!$A$8:$H$58,2),VLOOKUP(N112,setup!$A$8:$H$58,3),VLOOKUP(N112,setup!$A$8:$H$58,4),VLOOKUP(N112,setup!$A$8:$H$58,5),VLOOKUP(N112,setup!$A$8:$H$58,6),VLOOKUP(N112,setup!$A$8:$H$58,7), VLOOKUP(0,setup!$A$8:$H$58,2),VLOOKUP(0,setup!$A$8:$H$58,5),VLOOKUP(N112,setup!$A$8:$H$58,8))</f>
        <v>#VALUE!</v>
      </c>
    </row>
    <row r="113" spans="1:23" x14ac:dyDescent="0.25">
      <c r="A113" s="8" t="s">
        <v>561</v>
      </c>
      <c r="N113">
        <f t="shared" si="5"/>
        <v>14</v>
      </c>
      <c r="O113" s="7" t="e">
        <f>getCodigoBackend(N113,A113,VLOOKUP(N113,setup!$A$8:$H$58,2),VLOOKUP(N113,setup!$A$8:$H$58,3),VLOOKUP(N113,setup!$A$8:$H$58,4),VLOOKUP(N113,setup!$A$8:$H$58,5),VLOOKUP(N113,setup!$A$8:$H$58,6),VLOOKUP(N113,setup!$A$8:$H$58,7), VLOOKUP(0,setup!$A$8:$H$58,2),VLOOKUP(0,setup!$A$8:$H$58,5),VLOOKUP(N113,setup!$A$8:$H$58,8))</f>
        <v>#VALUE!</v>
      </c>
    </row>
    <row r="114" spans="1:23" x14ac:dyDescent="0.25">
      <c r="A114" s="8" t="s">
        <v>561</v>
      </c>
      <c r="N114">
        <f t="shared" si="5"/>
        <v>15</v>
      </c>
      <c r="O114" s="7" t="e">
        <f>getCodigoBackend(N114,A114,VLOOKUP(N114,setup!$A$8:$H$58,2),VLOOKUP(N114,setup!$A$8:$H$58,3),VLOOKUP(N114,setup!$A$8:$H$58,4),VLOOKUP(N114,setup!$A$8:$H$58,5),VLOOKUP(N114,setup!$A$8:$H$58,6),VLOOKUP(N114,setup!$A$8:$H$58,7), VLOOKUP(0,setup!$A$8:$H$58,2),VLOOKUP(0,setup!$A$8:$H$58,5),VLOOKUP(N114,setup!$A$8:$H$58,8))</f>
        <v>#VALUE!</v>
      </c>
    </row>
    <row r="115" spans="1:23" x14ac:dyDescent="0.25">
      <c r="A115" s="8" t="s">
        <v>561</v>
      </c>
      <c r="N115">
        <f t="shared" si="5"/>
        <v>16</v>
      </c>
      <c r="O115" s="7" t="e">
        <f>getCodigoBackend(N115,A115,VLOOKUP(N115,setup!$A$8:$H$58,2),VLOOKUP(N115,setup!$A$8:$H$58,3),VLOOKUP(N115,setup!$A$8:$H$58,4),VLOOKUP(N115,setup!$A$8:$H$58,5),VLOOKUP(N115,setup!$A$8:$H$58,6),VLOOKUP(N115,setup!$A$8:$H$58,7), VLOOKUP(0,setup!$A$8:$H$58,2),VLOOKUP(0,setup!$A$8:$H$58,5),VLOOKUP(N115,setup!$A$8:$H$58,8))</f>
        <v>#VALUE!</v>
      </c>
    </row>
    <row r="116" spans="1:23" x14ac:dyDescent="0.25">
      <c r="A116" s="8" t="s">
        <v>561</v>
      </c>
      <c r="N116">
        <f t="shared" si="5"/>
        <v>17</v>
      </c>
      <c r="O116" s="7" t="e">
        <f>getCodigoBackend(N116,A116,VLOOKUP(N116,setup!$A$8:$H$58,2),VLOOKUP(N116,setup!$A$8:$H$58,3),VLOOKUP(N116,setup!$A$8:$H$58,4),VLOOKUP(N116,setup!$A$8:$H$58,5),VLOOKUP(N116,setup!$A$8:$H$58,6),VLOOKUP(N116,setup!$A$8:$H$58,7), VLOOKUP(0,setup!$A$8:$H$58,2),VLOOKUP(0,setup!$A$8:$H$58,5),VLOOKUP(N116,setup!$A$8:$H$58,8))</f>
        <v>#VALUE!</v>
      </c>
    </row>
    <row r="117" spans="1:23" x14ac:dyDescent="0.25">
      <c r="A117" s="8" t="s">
        <v>561</v>
      </c>
      <c r="N117">
        <f t="shared" si="5"/>
        <v>18</v>
      </c>
      <c r="O117" s="7" t="e">
        <f>getCodigoBackend(N117,A117,VLOOKUP(N117,setup!$A$8:$H$58,2),VLOOKUP(N117,setup!$A$8:$H$58,3),VLOOKUP(N117,setup!$A$8:$H$58,4),VLOOKUP(N117,setup!$A$8:$H$58,5),VLOOKUP(N117,setup!$A$8:$H$58,6),VLOOKUP(N117,setup!$A$8:$H$58,7), VLOOKUP(0,setup!$A$8:$H$58,2),VLOOKUP(0,setup!$A$8:$H$58,5),VLOOKUP(N117,setup!$A$8:$H$58,8))</f>
        <v>#VALUE!</v>
      </c>
    </row>
    <row r="118" spans="1:23" x14ac:dyDescent="0.25">
      <c r="A118" s="8" t="s">
        <v>561</v>
      </c>
      <c r="N118">
        <f t="shared" si="5"/>
        <v>19</v>
      </c>
      <c r="O118" s="7" t="e">
        <f>getCodigoBackend(N118,A118,VLOOKUP(N118,setup!$A$8:$H$58,2),VLOOKUP(N118,setup!$A$8:$H$58,3),VLOOKUP(N118,setup!$A$8:$H$58,4),VLOOKUP(N118,setup!$A$8:$H$58,5),VLOOKUP(N118,setup!$A$8:$H$58,6),VLOOKUP(N118,setup!$A$8:$H$58,7), VLOOKUP(0,setup!$A$8:$H$58,2),VLOOKUP(0,setup!$A$8:$H$58,5),VLOOKUP(N118,setup!$A$8:$H$58,8))</f>
        <v>#VALUE!</v>
      </c>
    </row>
    <row r="119" spans="1:23" x14ac:dyDescent="0.25">
      <c r="A119" s="8" t="s">
        <v>561</v>
      </c>
      <c r="N119">
        <f t="shared" si="5"/>
        <v>20</v>
      </c>
      <c r="O119" s="7" t="e">
        <f>getCodigoBackend(N119,A119,VLOOKUP(N119,setup!$A$8:$H$58,2),VLOOKUP(N119,setup!$A$8:$H$58,3),VLOOKUP(N119,setup!$A$8:$H$58,4),VLOOKUP(N119,setup!$A$8:$H$58,5),VLOOKUP(N119,setup!$A$8:$H$58,6),VLOOKUP(N119,setup!$A$8:$H$58,7), VLOOKUP(0,setup!$A$8:$H$58,2),VLOOKUP(0,setup!$A$8:$H$58,5),VLOOKUP(N119,setup!$A$8:$H$58,8))</f>
        <v>#VALUE!</v>
      </c>
      <c r="W119" s="4" t="s">
        <v>19</v>
      </c>
    </row>
    <row r="120" spans="1:23" x14ac:dyDescent="0.25">
      <c r="A120" s="8" t="s">
        <v>561</v>
      </c>
      <c r="N120">
        <f t="shared" si="5"/>
        <v>21</v>
      </c>
      <c r="O120" s="7" t="e">
        <f>getCodigoBackend(N120,A120,VLOOKUP(N120,setup!$A$8:$H$58,2),VLOOKUP(N120,setup!$A$8:$H$58,3),VLOOKUP(N120,setup!$A$8:$H$58,4),VLOOKUP(N120,setup!$A$8:$H$58,5),VLOOKUP(N120,setup!$A$8:$H$58,6),VLOOKUP(N120,setup!$A$8:$H$58,7), VLOOKUP(0,setup!$A$8:$H$58,2),VLOOKUP(0,setup!$A$8:$H$58,5),VLOOKUP(N120,setup!$A$8:$H$58,8))</f>
        <v>#VALUE!</v>
      </c>
      <c r="W120" s="4" t="s">
        <v>20</v>
      </c>
    </row>
    <row r="121" spans="1:23" x14ac:dyDescent="0.25">
      <c r="A121" s="8" t="s">
        <v>561</v>
      </c>
      <c r="N121">
        <f t="shared" si="5"/>
        <v>22</v>
      </c>
      <c r="O121" s="7" t="e">
        <f>getCodigoBackend(N121,A121,VLOOKUP(N121,setup!$A$8:$H$58,2),VLOOKUP(N121,setup!$A$8:$H$58,3),VLOOKUP(N121,setup!$A$8:$H$58,4),VLOOKUP(N121,setup!$A$8:$H$58,5),VLOOKUP(N121,setup!$A$8:$H$58,6),VLOOKUP(N121,setup!$A$8:$H$58,7), VLOOKUP(0,setup!$A$8:$H$58,2),VLOOKUP(0,setup!$A$8:$H$58,5),VLOOKUP(N121,setup!$A$8:$H$58,8))</f>
        <v>#VALUE!</v>
      </c>
      <c r="W121" s="4" t="s">
        <v>300</v>
      </c>
    </row>
    <row r="122" spans="1:23" x14ac:dyDescent="0.25">
      <c r="A122" s="8" t="s">
        <v>561</v>
      </c>
      <c r="N122">
        <f t="shared" si="5"/>
        <v>23</v>
      </c>
      <c r="O122" s="7" t="e">
        <f>getCodigoBackend(N122,A122,VLOOKUP(N122,setup!$A$8:$H$58,2),VLOOKUP(N122,setup!$A$8:$H$58,3),VLOOKUP(N122,setup!$A$8:$H$58,4),VLOOKUP(N122,setup!$A$8:$H$58,5),VLOOKUP(N122,setup!$A$8:$H$58,6),VLOOKUP(N122,setup!$A$8:$H$58,7), VLOOKUP(0,setup!$A$8:$H$58,2),VLOOKUP(0,setup!$A$8:$H$58,5),VLOOKUP(N122,setup!$A$8:$H$58,8))</f>
        <v>#VALUE!</v>
      </c>
      <c r="W122" s="4" t="s">
        <v>301</v>
      </c>
    </row>
    <row r="123" spans="1:23" x14ac:dyDescent="0.25">
      <c r="A123" s="8" t="s">
        <v>561</v>
      </c>
      <c r="N123">
        <f t="shared" si="5"/>
        <v>24</v>
      </c>
      <c r="O123" s="7" t="e">
        <f>getCodigoBackend(N123,A123,VLOOKUP(N123,setup!$A$8:$H$58,2),VLOOKUP(N123,setup!$A$8:$H$58,3),VLOOKUP(N123,setup!$A$8:$H$58,4),VLOOKUP(N123,setup!$A$8:$H$58,5),VLOOKUP(N123,setup!$A$8:$H$58,6),VLOOKUP(N123,setup!$A$8:$H$58,7), VLOOKUP(0,setup!$A$8:$H$58,2),VLOOKUP(0,setup!$A$8:$H$58,5),VLOOKUP(N123,setup!$A$8:$H$58,8))</f>
        <v>#VALUE!</v>
      </c>
      <c r="W123" s="4" t="s">
        <v>255</v>
      </c>
    </row>
    <row r="124" spans="1:23" x14ac:dyDescent="0.25">
      <c r="A124" s="8" t="s">
        <v>561</v>
      </c>
      <c r="N124">
        <f t="shared" si="5"/>
        <v>25</v>
      </c>
      <c r="O124" s="7" t="e">
        <f>getCodigoBackend(N124,A124,VLOOKUP(N124,setup!$A$8:$H$58,2),VLOOKUP(N124,setup!$A$8:$H$58,3),VLOOKUP(N124,setup!$A$8:$H$58,4),VLOOKUP(N124,setup!$A$8:$H$58,5),VLOOKUP(N124,setup!$A$8:$H$58,6),VLOOKUP(N124,setup!$A$8:$H$58,7), VLOOKUP(0,setup!$A$8:$H$58,2),VLOOKUP(0,setup!$A$8:$H$58,5),VLOOKUP(N124,setup!$A$8:$H$58,8))</f>
        <v>#VALUE!</v>
      </c>
      <c r="W124" s="4" t="s">
        <v>20</v>
      </c>
    </row>
    <row r="125" spans="1:23" x14ac:dyDescent="0.25">
      <c r="A125" s="8" t="s">
        <v>561</v>
      </c>
      <c r="N125">
        <f t="shared" si="5"/>
        <v>26</v>
      </c>
      <c r="O125" s="7" t="e">
        <f>getCodigoBackend(N125,A125,VLOOKUP(N125,setup!$A$8:$H$58,2),VLOOKUP(N125,setup!$A$8:$H$58,3),VLOOKUP(N125,setup!$A$8:$H$58,4),VLOOKUP(N125,setup!$A$8:$H$58,5),VLOOKUP(N125,setup!$A$8:$H$58,6),VLOOKUP(N125,setup!$A$8:$H$58,7), VLOOKUP(0,setup!$A$8:$H$58,2),VLOOKUP(0,setup!$A$8:$H$58,5),VLOOKUP(N125,setup!$A$8:$H$58,8))</f>
        <v>#VALUE!</v>
      </c>
      <c r="W125" s="4" t="s">
        <v>20</v>
      </c>
    </row>
    <row r="126" spans="1:23" x14ac:dyDescent="0.25">
      <c r="A126" s="8" t="s">
        <v>561</v>
      </c>
      <c r="N126">
        <f t="shared" si="5"/>
        <v>27</v>
      </c>
      <c r="O126" s="7" t="e">
        <f>getCodigoBackend(N126,A126,VLOOKUP(N126,setup!$A$8:$H$58,2),VLOOKUP(N126,setup!$A$8:$H$58,3),VLOOKUP(N126,setup!$A$8:$H$58,4),VLOOKUP(N126,setup!$A$8:$H$58,5),VLOOKUP(N126,setup!$A$8:$H$58,6),VLOOKUP(N126,setup!$A$8:$H$58,7), VLOOKUP(0,setup!$A$8:$H$58,2),VLOOKUP(0,setup!$A$8:$H$58,5),VLOOKUP(N126,setup!$A$8:$H$58,8))</f>
        <v>#VALUE!</v>
      </c>
      <c r="W126" s="4" t="s">
        <v>256</v>
      </c>
    </row>
    <row r="127" spans="1:23" x14ac:dyDescent="0.25">
      <c r="A127" s="8" t="s">
        <v>561</v>
      </c>
      <c r="N127">
        <f t="shared" si="5"/>
        <v>28</v>
      </c>
      <c r="O127" s="7" t="e">
        <f>getCodigoBackend(N127,A127,VLOOKUP(N127,setup!$A$8:$H$58,2),VLOOKUP(N127,setup!$A$8:$H$58,3),VLOOKUP(N127,setup!$A$8:$H$58,4),VLOOKUP(N127,setup!$A$8:$H$58,5),VLOOKUP(N127,setup!$A$8:$H$58,6),VLOOKUP(N127,setup!$A$8:$H$58,7), VLOOKUP(0,setup!$A$8:$H$58,2),VLOOKUP(0,setup!$A$8:$H$58,5),VLOOKUP(N127,setup!$A$8:$H$58,8))</f>
        <v>#VALUE!</v>
      </c>
      <c r="W127" s="4" t="s">
        <v>20</v>
      </c>
    </row>
    <row r="128" spans="1:23" x14ac:dyDescent="0.25">
      <c r="A128" s="8" t="s">
        <v>561</v>
      </c>
      <c r="N128">
        <f t="shared" si="5"/>
        <v>29</v>
      </c>
      <c r="O128" s="7" t="e">
        <f>getCodigoBackend(N128,A128,VLOOKUP(N128,setup!$A$8:$H$58,2),VLOOKUP(N128,setup!$A$8:$H$58,3),VLOOKUP(N128,setup!$A$8:$H$58,4),VLOOKUP(N128,setup!$A$8:$H$58,5),VLOOKUP(N128,setup!$A$8:$H$58,6),VLOOKUP(N128,setup!$A$8:$H$58,7), VLOOKUP(0,setup!$A$8:$H$58,2),VLOOKUP(0,setup!$A$8:$H$58,5),VLOOKUP(N128,setup!$A$8:$H$58,8))</f>
        <v>#VALUE!</v>
      </c>
      <c r="W128" s="4" t="s">
        <v>302</v>
      </c>
    </row>
    <row r="129" spans="1:23" x14ac:dyDescent="0.25">
      <c r="A129" s="8" t="s">
        <v>561</v>
      </c>
      <c r="N129">
        <f t="shared" si="5"/>
        <v>30</v>
      </c>
      <c r="O129" s="7" t="e">
        <f>getCodigoBackend(N129,A129,VLOOKUP(N129,setup!$A$8:$H$58,2),VLOOKUP(N129,setup!$A$8:$H$58,3),VLOOKUP(N129,setup!$A$8:$H$58,4),VLOOKUP(N129,setup!$A$8:$H$58,5),VLOOKUP(N129,setup!$A$8:$H$58,6),VLOOKUP(N129,setup!$A$8:$H$58,7), VLOOKUP(0,setup!$A$8:$H$58,2),VLOOKUP(0,setup!$A$8:$H$58,5),VLOOKUP(N129,setup!$A$8:$H$58,8))</f>
        <v>#VALUE!</v>
      </c>
      <c r="W129" s="4" t="s">
        <v>303</v>
      </c>
    </row>
    <row r="130" spans="1:23" x14ac:dyDescent="0.25">
      <c r="A130" s="8" t="s">
        <v>561</v>
      </c>
      <c r="N130">
        <f t="shared" si="5"/>
        <v>31</v>
      </c>
      <c r="O130" s="7" t="e">
        <f>getCodigoBackend(N130,A130,VLOOKUP(N130,setup!$A$8:$H$58,2),VLOOKUP(N130,setup!$A$8:$H$58,3),VLOOKUP(N130,setup!$A$8:$H$58,4),VLOOKUP(N130,setup!$A$8:$H$58,5),VLOOKUP(N130,setup!$A$8:$H$58,6),VLOOKUP(N130,setup!$A$8:$H$58,7), VLOOKUP(0,setup!$A$8:$H$58,2),VLOOKUP(0,setup!$A$8:$H$58,5),VLOOKUP(N130,setup!$A$8:$H$58,8))</f>
        <v>#VALUE!</v>
      </c>
      <c r="W130" s="4" t="s">
        <v>304</v>
      </c>
    </row>
    <row r="131" spans="1:23" x14ac:dyDescent="0.25">
      <c r="A131" s="8" t="s">
        <v>561</v>
      </c>
      <c r="N131">
        <f t="shared" si="5"/>
        <v>32</v>
      </c>
      <c r="O131" s="7" t="e">
        <f>getCodigoBackend(N131,A131,VLOOKUP(N131,setup!$A$8:$H$58,2),VLOOKUP(N131,setup!$A$8:$H$58,3),VLOOKUP(N131,setup!$A$8:$H$58,4),VLOOKUP(N131,setup!$A$8:$H$58,5),VLOOKUP(N131,setup!$A$8:$H$58,6),VLOOKUP(N131,setup!$A$8:$H$58,7), VLOOKUP(0,setup!$A$8:$H$58,2),VLOOKUP(0,setup!$A$8:$H$58,5),VLOOKUP(N131,setup!$A$8:$H$58,8))</f>
        <v>#VALUE!</v>
      </c>
      <c r="W131" s="4" t="s">
        <v>20</v>
      </c>
    </row>
    <row r="132" spans="1:23" x14ac:dyDescent="0.25">
      <c r="A132" s="8" t="s">
        <v>561</v>
      </c>
      <c r="N132">
        <f t="shared" si="5"/>
        <v>33</v>
      </c>
      <c r="O132" s="7" t="e">
        <f>getCodigoBackend(N132,A132,VLOOKUP(N132,setup!$A$8:$H$58,2),VLOOKUP(N132,setup!$A$8:$H$58,3),VLOOKUP(N132,setup!$A$8:$H$58,4),VLOOKUP(N132,setup!$A$8:$H$58,5),VLOOKUP(N132,setup!$A$8:$H$58,6),VLOOKUP(N132,setup!$A$8:$H$58,7), VLOOKUP(0,setup!$A$8:$H$58,2),VLOOKUP(0,setup!$A$8:$H$58,5),VLOOKUP(N132,setup!$A$8:$H$58,8))</f>
        <v>#VALUE!</v>
      </c>
      <c r="W132" s="4" t="s">
        <v>20</v>
      </c>
    </row>
    <row r="133" spans="1:23" x14ac:dyDescent="0.25">
      <c r="A133" s="8" t="s">
        <v>561</v>
      </c>
      <c r="N133">
        <f t="shared" ref="N133:N149" si="6">N132+1</f>
        <v>34</v>
      </c>
      <c r="O133" s="7" t="e">
        <f>getCodigoBackend(N133,A133,VLOOKUP(N133,setup!$A$8:$H$58,2),VLOOKUP(N133,setup!$A$8:$H$58,3),VLOOKUP(N133,setup!$A$8:$H$58,4),VLOOKUP(N133,setup!$A$8:$H$58,5),VLOOKUP(N133,setup!$A$8:$H$58,6),VLOOKUP(N133,setup!$A$8:$H$58,7), VLOOKUP(0,setup!$A$8:$H$58,2),VLOOKUP(0,setup!$A$8:$H$58,5),VLOOKUP(N133,setup!$A$8:$H$58,8))</f>
        <v>#VALUE!</v>
      </c>
      <c r="W133" s="4" t="s">
        <v>260</v>
      </c>
    </row>
    <row r="134" spans="1:23" x14ac:dyDescent="0.25">
      <c r="A134" s="8" t="s">
        <v>561</v>
      </c>
      <c r="N134">
        <f t="shared" si="6"/>
        <v>35</v>
      </c>
      <c r="O134" s="7" t="e">
        <f>getCodigoBackend(N134,A134,VLOOKUP(N134,setup!$A$8:$H$58,2),VLOOKUP(N134,setup!$A$8:$H$58,3),VLOOKUP(N134,setup!$A$8:$H$58,4),VLOOKUP(N134,setup!$A$8:$H$58,5),VLOOKUP(N134,setup!$A$8:$H$58,6),VLOOKUP(N134,setup!$A$8:$H$58,7), VLOOKUP(0,setup!$A$8:$H$58,2),VLOOKUP(0,setup!$A$8:$H$58,5),VLOOKUP(N134,setup!$A$8:$H$58,8))</f>
        <v>#VALUE!</v>
      </c>
      <c r="W134" s="4" t="s">
        <v>20</v>
      </c>
    </row>
    <row r="135" spans="1:23" x14ac:dyDescent="0.25">
      <c r="A135" s="8" t="s">
        <v>561</v>
      </c>
      <c r="N135">
        <f t="shared" si="6"/>
        <v>36</v>
      </c>
      <c r="O135" s="7" t="e">
        <f>getCodigoBackend(N135,A135,VLOOKUP(N135,setup!$A$8:$H$58,2),VLOOKUP(N135,setup!$A$8:$H$58,3),VLOOKUP(N135,setup!$A$8:$H$58,4),VLOOKUP(N135,setup!$A$8:$H$58,5),VLOOKUP(N135,setup!$A$8:$H$58,6),VLOOKUP(N135,setup!$A$8:$H$58,7), VLOOKUP(0,setup!$A$8:$H$58,2),VLOOKUP(0,setup!$A$8:$H$58,5),VLOOKUP(N135,setup!$A$8:$H$58,8))</f>
        <v>#VALUE!</v>
      </c>
      <c r="W135" s="4" t="s">
        <v>75</v>
      </c>
    </row>
    <row r="136" spans="1:23" x14ac:dyDescent="0.25">
      <c r="A136" s="8" t="s">
        <v>561</v>
      </c>
      <c r="N136">
        <f t="shared" si="6"/>
        <v>37</v>
      </c>
      <c r="O136" s="7" t="e">
        <f>getCodigoBackend(N136,A136,VLOOKUP(N136,setup!$A$8:$H$58,2),VLOOKUP(N136,setup!$A$8:$H$58,3),VLOOKUP(N136,setup!$A$8:$H$58,4),VLOOKUP(N136,setup!$A$8:$H$58,5),VLOOKUP(N136,setup!$A$8:$H$58,6),VLOOKUP(N136,setup!$A$8:$H$58,7), VLOOKUP(0,setup!$A$8:$H$58,2),VLOOKUP(0,setup!$A$8:$H$58,5),VLOOKUP(N136,setup!$A$8:$H$58,8))</f>
        <v>#VALUE!</v>
      </c>
      <c r="W136" s="4" t="s">
        <v>254</v>
      </c>
    </row>
    <row r="137" spans="1:23" x14ac:dyDescent="0.25">
      <c r="A137" s="8" t="s">
        <v>561</v>
      </c>
      <c r="N137">
        <f t="shared" si="6"/>
        <v>38</v>
      </c>
      <c r="O137" s="7" t="e">
        <f>getCodigoBackend(N137,A137,VLOOKUP(N137,setup!$A$8:$H$58,2),VLOOKUP(N137,setup!$A$8:$H$58,3),VLOOKUP(N137,setup!$A$8:$H$58,4),VLOOKUP(N137,setup!$A$8:$H$58,5),VLOOKUP(N137,setup!$A$8:$H$58,6),VLOOKUP(N137,setup!$A$8:$H$58,7), VLOOKUP(0,setup!$A$8:$H$58,2),VLOOKUP(0,setup!$A$8:$H$58,5),VLOOKUP(N137,setup!$A$8:$H$58,8))</f>
        <v>#VALUE!</v>
      </c>
      <c r="W137" s="4" t="s">
        <v>240</v>
      </c>
    </row>
    <row r="138" spans="1:23" x14ac:dyDescent="0.25">
      <c r="A138" s="8" t="s">
        <v>561</v>
      </c>
      <c r="N138">
        <f t="shared" si="6"/>
        <v>39</v>
      </c>
      <c r="O138" s="7" t="e">
        <f>getCodigoBackend(N138,A138,VLOOKUP(N138,setup!$A$8:$H$58,2),VLOOKUP(N138,setup!$A$8:$H$58,3),VLOOKUP(N138,setup!$A$8:$H$58,4),VLOOKUP(N138,setup!$A$8:$H$58,5),VLOOKUP(N138,setup!$A$8:$H$58,6),VLOOKUP(N138,setup!$A$8:$H$58,7), VLOOKUP(0,setup!$A$8:$H$58,2),VLOOKUP(0,setup!$A$8:$H$58,5),VLOOKUP(N138,setup!$A$8:$H$58,8))</f>
        <v>#VALUE!</v>
      </c>
      <c r="W138" s="4" t="s">
        <v>20</v>
      </c>
    </row>
    <row r="139" spans="1:23" x14ac:dyDescent="0.25">
      <c r="A139" s="8" t="s">
        <v>561</v>
      </c>
      <c r="N139">
        <f t="shared" si="6"/>
        <v>40</v>
      </c>
      <c r="O139" s="7" t="e">
        <f>getCodigoBackend(N139,A139,VLOOKUP(N139,setup!$A$8:$H$58,2),VLOOKUP(N139,setup!$A$8:$H$58,3),VLOOKUP(N139,setup!$A$8:$H$58,4),VLOOKUP(N139,setup!$A$8:$H$58,5),VLOOKUP(N139,setup!$A$8:$H$58,6),VLOOKUP(N139,setup!$A$8:$H$58,7), VLOOKUP(0,setup!$A$8:$H$58,2),VLOOKUP(0,setup!$A$8:$H$58,5),VLOOKUP(N139,setup!$A$8:$H$58,8))</f>
        <v>#VALUE!</v>
      </c>
      <c r="W139" s="4" t="s">
        <v>21</v>
      </c>
    </row>
    <row r="140" spans="1:23" x14ac:dyDescent="0.25">
      <c r="A140" s="8" t="s">
        <v>561</v>
      </c>
      <c r="N140">
        <f t="shared" si="6"/>
        <v>41</v>
      </c>
      <c r="O140" s="7" t="e">
        <f>getCodigoBackend(N140,A140,VLOOKUP(N140,setup!$A$8:$H$58,2),VLOOKUP(N140,setup!$A$8:$H$58,3),VLOOKUP(N140,setup!$A$8:$H$58,4),VLOOKUP(N140,setup!$A$8:$H$58,5),VLOOKUP(N140,setup!$A$8:$H$58,6),VLOOKUP(N140,setup!$A$8:$H$58,7), VLOOKUP(0,setup!$A$8:$H$58,2),VLOOKUP(0,setup!$A$8:$H$58,5),VLOOKUP(N140,setup!$A$8:$H$58,8))</f>
        <v>#VALUE!</v>
      </c>
    </row>
    <row r="141" spans="1:23" x14ac:dyDescent="0.25">
      <c r="A141" s="8" t="s">
        <v>561</v>
      </c>
      <c r="N141">
        <f t="shared" si="6"/>
        <v>42</v>
      </c>
      <c r="O141" s="7" t="e">
        <f>getCodigoBackend(N141,A141,VLOOKUP(N141,setup!$A$8:$H$58,2),VLOOKUP(N141,setup!$A$8:$H$58,3),VLOOKUP(N141,setup!$A$8:$H$58,4),VLOOKUP(N141,setup!$A$8:$H$58,5),VLOOKUP(N141,setup!$A$8:$H$58,6),VLOOKUP(N141,setup!$A$8:$H$58,7), VLOOKUP(0,setup!$A$8:$H$58,2),VLOOKUP(0,setup!$A$8:$H$58,5),VLOOKUP(N141,setup!$A$8:$H$58,8))</f>
        <v>#VALUE!</v>
      </c>
    </row>
    <row r="142" spans="1:23" x14ac:dyDescent="0.25">
      <c r="A142" s="8" t="s">
        <v>561</v>
      </c>
      <c r="N142">
        <f t="shared" si="6"/>
        <v>43</v>
      </c>
      <c r="O142" s="7" t="e">
        <f>getCodigoBackend(N142,A142,VLOOKUP(N142,setup!$A$8:$H$58,2),VLOOKUP(N142,setup!$A$8:$H$58,3),VLOOKUP(N142,setup!$A$8:$H$58,4),VLOOKUP(N142,setup!$A$8:$H$58,5),VLOOKUP(N142,setup!$A$8:$H$58,6),VLOOKUP(N142,setup!$A$8:$H$58,7), VLOOKUP(0,setup!$A$8:$H$58,2),VLOOKUP(0,setup!$A$8:$H$58,5),VLOOKUP(N142,setup!$A$8:$H$58,8))</f>
        <v>#VALUE!</v>
      </c>
    </row>
    <row r="143" spans="1:23" x14ac:dyDescent="0.25">
      <c r="A143" s="8" t="s">
        <v>561</v>
      </c>
      <c r="N143">
        <f t="shared" si="6"/>
        <v>44</v>
      </c>
      <c r="O143" s="7" t="e">
        <f>getCodigoBackend(N143,A143,VLOOKUP(N143,setup!$A$8:$H$58,2),VLOOKUP(N143,setup!$A$8:$H$58,3),VLOOKUP(N143,setup!$A$8:$H$58,4),VLOOKUP(N143,setup!$A$8:$H$58,5),VLOOKUP(N143,setup!$A$8:$H$58,6),VLOOKUP(N143,setup!$A$8:$H$58,7), VLOOKUP(0,setup!$A$8:$H$58,2),VLOOKUP(0,setup!$A$8:$H$58,5),VLOOKUP(N143,setup!$A$8:$H$58,8))</f>
        <v>#VALUE!</v>
      </c>
    </row>
    <row r="144" spans="1:23" x14ac:dyDescent="0.25">
      <c r="A144" s="8" t="s">
        <v>561</v>
      </c>
      <c r="N144">
        <f t="shared" si="6"/>
        <v>45</v>
      </c>
      <c r="O144" s="7" t="e">
        <f>getCodigoBackend(N144,A144,VLOOKUP(N144,setup!$A$8:$H$58,2),VLOOKUP(N144,setup!$A$8:$H$58,3),VLOOKUP(N144,setup!$A$8:$H$58,4),VLOOKUP(N144,setup!$A$8:$H$58,5),VLOOKUP(N144,setup!$A$8:$H$58,6),VLOOKUP(N144,setup!$A$8:$H$58,7), VLOOKUP(0,setup!$A$8:$H$58,2),VLOOKUP(0,setup!$A$8:$H$58,5),VLOOKUP(N144,setup!$A$8:$H$58,8))</f>
        <v>#VALUE!</v>
      </c>
    </row>
    <row r="145" spans="1:15" x14ac:dyDescent="0.25">
      <c r="A145" s="8" t="s">
        <v>561</v>
      </c>
      <c r="N145">
        <f t="shared" si="6"/>
        <v>46</v>
      </c>
      <c r="O145" s="7" t="e">
        <f>getCodigoBackend(N145,A145,VLOOKUP(N145,setup!$A$8:$H$58,2),VLOOKUP(N145,setup!$A$8:$H$58,3),VLOOKUP(N145,setup!$A$8:$H$58,4),VLOOKUP(N145,setup!$A$8:$H$58,5),VLOOKUP(N145,setup!$A$8:$H$58,6),VLOOKUP(N145,setup!$A$8:$H$58,7), VLOOKUP(0,setup!$A$8:$H$58,2),VLOOKUP(0,setup!$A$8:$H$58,5),VLOOKUP(N145,setup!$A$8:$H$58,8))</f>
        <v>#VALUE!</v>
      </c>
    </row>
    <row r="146" spans="1:15" x14ac:dyDescent="0.25">
      <c r="A146" s="8" t="s">
        <v>561</v>
      </c>
      <c r="N146">
        <f t="shared" si="6"/>
        <v>47</v>
      </c>
      <c r="O146" s="7" t="e">
        <f>getCodigoBackend(N146,A146,VLOOKUP(N146,setup!$A$8:$H$58,2),VLOOKUP(N146,setup!$A$8:$H$58,3),VLOOKUP(N146,setup!$A$8:$H$58,4),VLOOKUP(N146,setup!$A$8:$H$58,5),VLOOKUP(N146,setup!$A$8:$H$58,6),VLOOKUP(N146,setup!$A$8:$H$58,7), VLOOKUP(0,setup!$A$8:$H$58,2),VLOOKUP(0,setup!$A$8:$H$58,5),VLOOKUP(N146,setup!$A$8:$H$58,8))</f>
        <v>#VALUE!</v>
      </c>
    </row>
    <row r="147" spans="1:15" x14ac:dyDescent="0.25">
      <c r="A147" s="8" t="s">
        <v>561</v>
      </c>
      <c r="N147">
        <f t="shared" si="6"/>
        <v>48</v>
      </c>
      <c r="O147" s="7" t="str">
        <f ca="1">getCodigoBackend(N147,A147,VLOOKUP(N147,setup!$A$8:$H$58,2),VLOOKUP(N147,setup!$A$8:$H$58,3),VLOOKUP(N147,setup!$A$8:$H$58,4),VLOOKUP(N147,setup!$A$8:$H$58,5),VLOOKUP(N147,setup!$A$8:$H$58,6),VLOOKUP(N147,setup!$A$8:$H$58,7), VLOOKUP(0,setup!$A$8:$H$58,2),VLOOKUP(0,setup!$A$8:$H$58,5),VLOOKUP(N147,setup!$A$8:$H$58,8))</f>
        <v>$dto-&gt;status = $_POST['status'];</v>
      </c>
    </row>
    <row r="148" spans="1:15" x14ac:dyDescent="0.25">
      <c r="A148" s="8" t="s">
        <v>561</v>
      </c>
      <c r="N148">
        <f t="shared" si="6"/>
        <v>49</v>
      </c>
      <c r="O148" s="7" t="str">
        <f ca="1">getCodigoBackend(N148,A148,VLOOKUP(N148,setup!$A$8:$H$58,2),VLOOKUP(N148,setup!$A$8:$H$58,3),VLOOKUP(N148,setup!$A$8:$H$58,4),VLOOKUP(N148,setup!$A$8:$H$58,5),VLOOKUP(N148,setup!$A$8:$H$58,6),VLOOKUP(N148,setup!$A$8:$H$58,7), VLOOKUP(0,setup!$A$8:$H$58,2),VLOOKUP(0,setup!$A$8:$H$58,5),VLOOKUP(N148,setup!$A$8:$H$58,8))</f>
        <v>$dto-&gt;dataCadastro = $_POST['dataCadastro'];</v>
      </c>
    </row>
    <row r="149" spans="1:15" x14ac:dyDescent="0.25">
      <c r="A149" s="8" t="s">
        <v>561</v>
      </c>
      <c r="N149">
        <f t="shared" si="6"/>
        <v>50</v>
      </c>
      <c r="O149" s="7" t="str">
        <f ca="1">getCodigoBackend(N149,A149,VLOOKUP(N149,setup!$A$8:$H$58,2),VLOOKUP(N149,setup!$A$8:$H$58,3),VLOOKUP(N149,setup!$A$8:$H$58,4),VLOOKUP(N149,setup!$A$8:$H$58,5),VLOOKUP(N149,setup!$A$8:$H$58,6),VLOOKUP(N149,setup!$A$8:$H$58,7), VLOOKUP(0,setup!$A$8:$H$58,2),VLOOKUP(0,setup!$A$8:$H$58,5),VLOOKUP(N149,setup!$A$8:$H$58,8))</f>
        <v>$dto-&gt;dataAtualizacao = $_POST['dataAtualizacao'];</v>
      </c>
    </row>
    <row r="150" spans="1:15" x14ac:dyDescent="0.25">
      <c r="A150" s="8"/>
      <c r="O150" s="7" t="str">
        <f ca="1">getCodigoBackend(N150,A150,VLOOKUP(N150,setup!$A$8:$H$58,2),VLOOKUP(N150,setup!$A$8:$H$58,3),VLOOKUP(N150,setup!$A$8:$H$58,4),VLOOKUP(N150,setup!$A$8:$H$58,5),VLOOKUP(N150,setup!$A$8:$H$58,6),VLOOKUP(N150,setup!$A$8:$H$58,7), VLOOKUP(0,setup!$A$8:$H$58,2),VLOOKUP(0,setup!$A$8:$H$58,5),VLOOKUP(N150,setup!$A$8:$H$58,8))</f>
        <v/>
      </c>
    </row>
    <row r="151" spans="1:15" x14ac:dyDescent="0.25">
      <c r="O151" s="7" t="str">
        <f ca="1">getCodigoBackend(N151,A151,VLOOKUP(N151,setup!$A$8:$H$58,2),VLOOKUP(N151,setup!$A$8:$H$58,3),VLOOKUP(N151,setup!$A$8:$H$58,4),VLOOKUP(N151,setup!$A$8:$H$58,5),VLOOKUP(N151,setup!$A$8:$H$58,6),VLOOKUP(N151,setup!$A$8:$H$58,7), VLOOKUP(0,setup!$A$8:$H$58,2),VLOOKUP(0,setup!$A$8:$H$58,5),VLOOKUP(N151,setup!$A$8:$H$58,8))</f>
        <v/>
      </c>
    </row>
    <row r="152" spans="1:15" x14ac:dyDescent="0.25">
      <c r="A152" s="8" t="s">
        <v>329</v>
      </c>
      <c r="O152" s="7" t="str">
        <f ca="1">getCodigoBackend(N152,A152,VLOOKUP(N152,setup!$A$8:$H$58,2),VLOOKUP(N152,setup!$A$8:$H$58,3),VLOOKUP(N152,setup!$A$8:$H$58,4),VLOOKUP(N152,setup!$A$8:$H$58,5),VLOOKUP(N152,setup!$A$8:$H$58,6),VLOOKUP(N152,setup!$A$8:$H$58,7), VLOOKUP(0,setup!$A$8:$H$58,2),VLOOKUP(0,setup!$A$8:$H$58,5),VLOOKUP(N152,setup!$A$8:$H$58,8))</f>
        <v>$csi = new CampanhaCashbackResgatePixServiceImpl();</v>
      </c>
    </row>
    <row r="153" spans="1:15" x14ac:dyDescent="0.25">
      <c r="O153" s="7" t="str">
        <f ca="1">getCodigoBackend(N153,A153,VLOOKUP(N153,setup!$A$8:$H$58,2),VLOOKUP(N153,setup!$A$8:$H$58,3),VLOOKUP(N153,setup!$A$8:$H$58,4),VLOOKUP(N153,setup!$A$8:$H$58,5),VLOOKUP(N153,setup!$A$8:$H$58,6),VLOOKUP(N153,setup!$A$8:$H$58,7), VLOOKUP(0,setup!$A$8:$H$58,2),VLOOKUP(0,setup!$A$8:$H$58,5),VLOOKUP(N153,setup!$A$8:$H$58,8))</f>
        <v/>
      </c>
    </row>
    <row r="154" spans="1:15" x14ac:dyDescent="0.25">
      <c r="A154" s="4" t="s">
        <v>431</v>
      </c>
      <c r="O154" s="7" t="str">
        <f ca="1">getCodigoBackend(N154,A154,VLOOKUP(N154,setup!$A$8:$H$58,2),VLOOKUP(N154,setup!$A$8:$H$58,3),VLOOKUP(N154,setup!$A$8:$H$58,4),VLOOKUP(N154,setup!$A$8:$H$58,5),VLOOKUP(N154,setup!$A$8:$H$58,6),VLOOKUP(N154,setup!$A$8:$H$58,7), VLOOKUP(0,setup!$A$8:$H$58,2),VLOOKUP(0,setup!$A$8:$H$58,5),VLOOKUP(N154,setup!$A$8:$H$58,8))</f>
        <v>// Cadastra o registro populado no DTO</v>
      </c>
    </row>
    <row r="155" spans="1:15" x14ac:dyDescent="0.25">
      <c r="A155" s="8" t="s">
        <v>430</v>
      </c>
      <c r="O155" s="7" t="str">
        <f ca="1">getCodigoBackend(N155,A155,VLOOKUP(N155,setup!$A$8:$H$58,2),VLOOKUP(N155,setup!$A$8:$H$58,3),VLOOKUP(N155,setup!$A$8:$H$58,4),VLOOKUP(N155,setup!$A$8:$H$58,5),VLOOKUP(N155,setup!$A$8:$H$58,6),VLOOKUP(N155,setup!$A$8:$H$58,7), VLOOKUP(0,setup!$A$8:$H$58,2),VLOOKUP(0,setup!$A$8:$H$58,5),VLOOKUP(N155,setup!$A$8:$H$58,8))</f>
        <v>$retorno = $csi-&gt;cadastrar($dto);</v>
      </c>
    </row>
    <row r="156" spans="1:15" x14ac:dyDescent="0.25">
      <c r="A156" s="9" t="s">
        <v>573</v>
      </c>
      <c r="O156" s="7" t="str">
        <f ca="1">getCodigoBackend(N156,A156,VLOOKUP(N156,setup!$A$8:$H$58,2),VLOOKUP(N156,setup!$A$8:$H$58,3),VLOOKUP(N156,setup!$A$8:$H$58,4),VLOOKUP(N156,setup!$A$8:$H$58,5),VLOOKUP(N156,setup!$A$8:$H$58,6),VLOOKUP(N156,setup!$A$8:$H$58,7), VLOOKUP(0,setup!$A$8:$H$58,2),VLOOKUP(0,setup!$A$8:$H$58,5),VLOOKUP(N156,setup!$A$8:$H$58,8))</f>
        <v>echo json_encode($retorno, JSON_UNESCAPED_SLASHES | JSON_UNESCAPED_UNICODE );</v>
      </c>
    </row>
    <row r="157" spans="1:15" x14ac:dyDescent="0.25">
      <c r="O157" s="7" t="str">
        <f ca="1">getCodigoBackend(N157,A157,VLOOKUP(N157,setup!$A$8:$H$58,2),VLOOKUP(N157,setup!$A$8:$H$58,3),VLOOKUP(N157,setup!$A$8:$H$58,4),VLOOKUP(N157,setup!$A$8:$H$58,5),VLOOKUP(N157,setup!$A$8:$H$58,6),VLOOKUP(N157,setup!$A$8:$H$58,7), VLOOKUP(0,setup!$A$8:$H$58,2),VLOOKUP(0,setup!$A$8:$H$58,5),VLOOKUP(N157,setup!$A$8:$H$58,8))</f>
        <v/>
      </c>
    </row>
    <row r="158" spans="1:15" x14ac:dyDescent="0.25">
      <c r="A158" s="2" t="s">
        <v>29</v>
      </c>
      <c r="O158" s="7" t="str">
        <f ca="1">getCodigoBackend(N158,A158,VLOOKUP(N158,setup!$A$8:$H$58,2),VLOOKUP(N158,setup!$A$8:$H$58,3),VLOOKUP(N158,setup!$A$8:$H$58,4),VLOOKUP(N158,setup!$A$8:$H$58,5),VLOOKUP(N158,setup!$A$8:$H$58,6),VLOOKUP(N158,setup!$A$8:$H$58,7), VLOOKUP(0,setup!$A$8:$H$58,2),VLOOKUP(0,setup!$A$8:$H$58,5),VLOOKUP(N158,setup!$A$8:$H$58,8))</f>
        <v>?&gt;</v>
      </c>
    </row>
    <row r="159" spans="1:15" x14ac:dyDescent="0.25">
      <c r="O159" s="7" t="str">
        <f ca="1">getCodigoBackend(N159,A159,VLOOKUP(N159,setup!$A$8:$H$58,2),VLOOKUP(N159,setup!$A$8:$H$58,3),VLOOKUP(N159,setup!$A$8:$H$58,4),VLOOKUP(N159,setup!$A$8:$H$58,5),VLOOKUP(N159,setup!$A$8:$H$58,6),VLOOKUP(N159,setup!$A$8:$H$58,7), VLOOKUP(0,setup!$A$8:$H$58,2),VLOOKUP(0,setup!$A$8:$H$58,5),VLOOKUP(N159,setup!$A$8:$H$58,8))</f>
        <v/>
      </c>
    </row>
    <row r="160" spans="1:15" x14ac:dyDescent="0.25">
      <c r="A160" s="2" t="s">
        <v>16</v>
      </c>
      <c r="O160" s="7" t="str">
        <f ca="1">getCodigoBackend(N160,A160,VLOOKUP(N160,setup!$A$8:$H$58,2),VLOOKUP(N160,setup!$A$8:$H$58,3),VLOOKUP(N160,setup!$A$8:$H$58,4),VLOOKUP(N160,setup!$A$8:$H$58,5),VLOOKUP(N160,setup!$A$8:$H$58,6),VLOOKUP(N160,setup!$A$8:$H$58,7), VLOOKUP(0,setup!$A$8:$H$58,2),VLOOKUP(0,setup!$A$8:$H$58,5),VLOOKUP(N160,setup!$A$8:$H$58,8))</f>
        <v>&lt;?php</v>
      </c>
    </row>
    <row r="161" spans="1:15" x14ac:dyDescent="0.25">
      <c r="O161" s="7" t="str">
        <f ca="1">getCodigoBackend(N161,A161,VLOOKUP(N161,setup!$A$8:$H$58,2),VLOOKUP(N161,setup!$A$8:$H$58,3),VLOOKUP(N161,setup!$A$8:$H$58,4),VLOOKUP(N161,setup!$A$8:$H$58,5),VLOOKUP(N161,setup!$A$8:$H$58,6),VLOOKUP(N161,setup!$A$8:$H$58,7), VLOOKUP(0,setup!$A$8:$H$58,2),VLOOKUP(0,setup!$A$8:$H$58,5),VLOOKUP(N161,setup!$A$8:$H$58,8))</f>
        <v/>
      </c>
    </row>
    <row r="162" spans="1:15" x14ac:dyDescent="0.25">
      <c r="A162" s="4" t="s">
        <v>673</v>
      </c>
      <c r="O162" s="7" t="str">
        <f ca="1">getCodigoBackend(N162,A162,VLOOKUP(N162,setup!$A$8:$H$58,2),VLOOKUP(N162,setup!$A$8:$H$58,3),VLOOKUP(N162,setup!$A$8:$H$58,4),VLOOKUP(N162,setup!$A$8:$H$58,5),VLOOKUP(N162,setup!$A$8:$H$58,6),VLOOKUP(N162,setup!$A$8:$H$58,7), VLOOKUP(0,setup!$A$8:$H$58,2),VLOOKUP(0,setup!$A$8:$H$58,5),VLOOKUP(N162,setup!$A$8:$H$58,8))</f>
        <v>// URL http://elitefinanceira.com/cfdi/php/classes/gateway/appListarCampanhaCashbackResgatePix.php?tokenid=cb1&amp;pag=1</v>
      </c>
    </row>
    <row r="163" spans="1:15" x14ac:dyDescent="0.25">
      <c r="A163" s="4" t="s">
        <v>674</v>
      </c>
      <c r="O163" s="7" t="str">
        <f ca="1">getCodigoBackend(N163,A163,VLOOKUP(N163,setup!$A$8:$H$58,2),VLOOKUP(N163,setup!$A$8:$H$58,3),VLOOKUP(N163,setup!$A$8:$H$58,4),VLOOKUP(N163,setup!$A$8:$H$58,5),VLOOKUP(N163,setup!$A$8:$H$58,6),VLOOKUP(N163,setup!$A$8:$H$58,7), VLOOKUP(0,setup!$A$8:$H$58,2),VLOOKUP(0,setup!$A$8:$H$58,5),VLOOKUP(N163,setup!$A$8:$H$58,8))</f>
        <v>// URL http://localhost/cfdi/php/classes/gateway/appListarCampanhaCashbackResgatePix.php?tokenid=cb1&amp;pag=1</v>
      </c>
    </row>
    <row r="164" spans="1:15" x14ac:dyDescent="0.25">
      <c r="O164" s="7" t="str">
        <f ca="1">getCodigoBackend(N164,A164,VLOOKUP(N164,setup!$A$8:$H$58,2),VLOOKUP(N164,setup!$A$8:$H$58,3),VLOOKUP(N164,setup!$A$8:$H$58,4),VLOOKUP(N164,setup!$A$8:$H$58,5),VLOOKUP(N164,setup!$A$8:$H$58,6),VLOOKUP(N164,setup!$A$8:$H$58,7), VLOOKUP(0,setup!$A$8:$H$58,2),VLOOKUP(0,setup!$A$8:$H$58,5),VLOOKUP(N164,setup!$A$8:$H$58,8))</f>
        <v/>
      </c>
    </row>
    <row r="165" spans="1:15" x14ac:dyDescent="0.25">
      <c r="A165" s="4" t="s">
        <v>645</v>
      </c>
      <c r="O165" s="7" t="str">
        <f ca="1">getCodigoBackend(N165,A165,VLOOKUP(N165,setup!$A$8:$H$58,2),VLOOKUP(N165,setup!$A$8:$H$58,3),VLOOKUP(N165,setup!$A$8:$H$58,4),VLOOKUP(N165,setup!$A$8:$H$58,5),VLOOKUP(N165,setup!$A$8:$H$58,6),VLOOKUP(N165,setup!$A$8:$H$58,7), VLOOKUP(0,setup!$A$8:$H$58,2),VLOOKUP(0,setup!$A$8:$H$58,5),VLOOKUP(N165,setup!$A$8:$H$58,8))</f>
        <v>// Importar dependencias</v>
      </c>
    </row>
    <row r="166" spans="1:15" x14ac:dyDescent="0.25">
      <c r="A166" s="5" t="s">
        <v>558</v>
      </c>
      <c r="O166" s="7" t="str">
        <f ca="1">getCodigoBackend(N166,A166,VLOOKUP(N166,setup!$A$8:$H$58,2),VLOOKUP(N166,setup!$A$8:$H$58,3),VLOOKUP(N166,setup!$A$8:$H$58,4),VLOOKUP(N166,setup!$A$8:$H$58,5),VLOOKUP(N166,setup!$A$8:$H$58,6),VLOOKUP(N166,setup!$A$8:$H$58,7), VLOOKUP(0,setup!$A$8:$H$58,2),VLOOKUP(0,setup!$A$8:$H$58,5),VLOOKUP(N166,setup!$A$8:$H$58,8))</f>
        <v>require_once '../campanhacashbackresgatepix/CampanhaCashbackResgatePixServiceImpl.php';</v>
      </c>
    </row>
    <row r="167" spans="1:15" x14ac:dyDescent="0.25">
      <c r="O167" s="7" t="str">
        <f ca="1">getCodigoBackend(N167,A167,VLOOKUP(N167,setup!$A$8:$H$58,2),VLOOKUP(N167,setup!$A$8:$H$58,3),VLOOKUP(N167,setup!$A$8:$H$58,4),VLOOKUP(N167,setup!$A$8:$H$58,5),VLOOKUP(N167,setup!$A$8:$H$58,6),VLOOKUP(N167,setup!$A$8:$H$58,7), VLOOKUP(0,setup!$A$8:$H$58,2),VLOOKUP(0,setup!$A$8:$H$58,5),VLOOKUP(N167,setup!$A$8:$H$58,8))</f>
        <v/>
      </c>
    </row>
    <row r="168" spans="1:15" x14ac:dyDescent="0.25">
      <c r="A168" s="4" t="s">
        <v>551</v>
      </c>
      <c r="O168" s="7" t="str">
        <f ca="1">getCodigoBackend(N168,A168,VLOOKUP(N168,setup!$A$8:$H$58,2),VLOOKUP(N168,setup!$A$8:$H$58,3),VLOOKUP(N168,setup!$A$8:$H$58,4),VLOOKUP(N168,setup!$A$8:$H$58,5),VLOOKUP(N168,setup!$A$8:$H$58,6),VLOOKUP(N168,setup!$A$8:$H$58,7), VLOOKUP(0,setup!$A$8:$H$58,2),VLOOKUP(0,setup!$A$8:$H$58,5),VLOOKUP(N168,setup!$A$8:$H$58,8))</f>
        <v>// Obtem o token de sessao (pode ser dispositivo ou outro hardware qualquer)</v>
      </c>
    </row>
    <row r="169" spans="1:15" x14ac:dyDescent="0.25">
      <c r="A169" s="8" t="s">
        <v>646</v>
      </c>
      <c r="O169" s="7" t="str">
        <f ca="1">getCodigoBackend(N169,A169,VLOOKUP(N169,setup!$A$8:$H$58,2),VLOOKUP(N169,setup!$A$8:$H$58,3),VLOOKUP(N169,setup!$A$8:$H$58,4),VLOOKUP(N169,setup!$A$8:$H$58,5),VLOOKUP(N169,setup!$A$8:$H$58,6),VLOOKUP(N169,setup!$A$8:$H$58,7), VLOOKUP(0,setup!$A$8:$H$58,2),VLOOKUP(0,setup!$A$8:$H$58,5),VLOOKUP(N169,setup!$A$8:$H$58,8))</f>
        <v>$token = $_GET['tokenid'];</v>
      </c>
    </row>
    <row r="170" spans="1:15" x14ac:dyDescent="0.25">
      <c r="A170" s="8" t="s">
        <v>647</v>
      </c>
      <c r="O170" s="7" t="str">
        <f ca="1">getCodigoBackend(N170,A170,VLOOKUP(N170,setup!$A$8:$H$58,2),VLOOKUP(N170,setup!$A$8:$H$58,3),VLOOKUP(N170,setup!$A$8:$H$58,4),VLOOKUP(N170,setup!$A$8:$H$58,5),VLOOKUP(N170,setup!$A$8:$H$58,6),VLOOKUP(N170,setup!$A$8:$H$58,7), VLOOKUP(0,setup!$A$8:$H$58,2),VLOOKUP(0,setup!$A$8:$H$58,5),VLOOKUP(N170,setup!$A$8:$H$58,8))</f>
        <v>$pag = $_GET['pag'];</v>
      </c>
    </row>
    <row r="171" spans="1:15" x14ac:dyDescent="0.25">
      <c r="O171" s="7" t="str">
        <f ca="1">getCodigoBackend(N171,A171,VLOOKUP(N171,setup!$A$8:$H$58,2),VLOOKUP(N171,setup!$A$8:$H$58,3),VLOOKUP(N171,setup!$A$8:$H$58,4),VLOOKUP(N171,setup!$A$8:$H$58,5),VLOOKUP(N171,setup!$A$8:$H$58,6),VLOOKUP(N171,setup!$A$8:$H$58,7), VLOOKUP(0,setup!$A$8:$H$58,2),VLOOKUP(0,setup!$A$8:$H$58,5),VLOOKUP(N171,setup!$A$8:$H$58,8))</f>
        <v/>
      </c>
    </row>
    <row r="172" spans="1:15" x14ac:dyDescent="0.25">
      <c r="A172" s="5" t="s">
        <v>552</v>
      </c>
      <c r="O172" s="7" t="str">
        <f ca="1">getCodigoBackend(N172,A172,VLOOKUP(N172,setup!$A$8:$H$58,2),VLOOKUP(N172,setup!$A$8:$H$58,3),VLOOKUP(N172,setup!$A$8:$H$58,4),VLOOKUP(N172,setup!$A$8:$H$58,5),VLOOKUP(N172,setup!$A$8:$H$58,6),VLOOKUP(N172,setup!$A$8:$H$58,7), VLOOKUP(0,setup!$A$8:$H$58,2),VLOOKUP(0,setup!$A$8:$H$58,5),VLOOKUP(N172,setup!$A$8:$H$58,8))</f>
        <v>include_once '../../inc/validarTokenApp.php';</v>
      </c>
    </row>
    <row r="173" spans="1:15" x14ac:dyDescent="0.25">
      <c r="O173" s="7" t="str">
        <f ca="1">getCodigoBackend(N173,A173,VLOOKUP(N173,setup!$A$8:$H$58,2),VLOOKUP(N173,setup!$A$8:$H$58,3),VLOOKUP(N173,setup!$A$8:$H$58,4),VLOOKUP(N173,setup!$A$8:$H$58,5),VLOOKUP(N173,setup!$A$8:$H$58,6),VLOOKUP(N173,setup!$A$8:$H$58,7), VLOOKUP(0,setup!$A$8:$H$58,2),VLOOKUP(0,setup!$A$8:$H$58,5),VLOOKUP(N173,setup!$A$8:$H$58,8))</f>
        <v/>
      </c>
    </row>
    <row r="174" spans="1:15" x14ac:dyDescent="0.25">
      <c r="A174" s="4" t="s">
        <v>648</v>
      </c>
      <c r="O174" s="7" t="str">
        <f ca="1">getCodigoBackend(N174,A174,VLOOKUP(N174,setup!$A$8:$H$58,2),VLOOKUP(N174,setup!$A$8:$H$58,3),VLOOKUP(N174,setup!$A$8:$H$58,4),VLOOKUP(N174,setup!$A$8:$H$58,5),VLOOKUP(N174,setup!$A$8:$H$58,6),VLOOKUP(N174,setup!$A$8:$H$58,7), VLOOKUP(0,setup!$A$8:$H$58,2),VLOOKUP(0,setup!$A$8:$H$58,5),VLOOKUP(N174,setup!$A$8:$H$58,8))</f>
        <v>// &gt;&gt;&gt;Backend</v>
      </c>
    </row>
    <row r="175" spans="1:15" x14ac:dyDescent="0.25">
      <c r="A175" s="8" t="s">
        <v>329</v>
      </c>
      <c r="O175" s="7" t="str">
        <f ca="1">getCodigoBackend(N175,A175,VLOOKUP(N175,setup!$A$8:$H$58,2),VLOOKUP(N175,setup!$A$8:$H$58,3),VLOOKUP(N175,setup!$A$8:$H$58,4),VLOOKUP(N175,setup!$A$8:$H$58,5),VLOOKUP(N175,setup!$A$8:$H$58,6),VLOOKUP(N175,setup!$A$8:$H$58,7), VLOOKUP(0,setup!$A$8:$H$58,2),VLOOKUP(0,setup!$A$8:$H$58,5),VLOOKUP(N175,setup!$A$8:$H$58,8))</f>
        <v>$csi = new CampanhaCashbackResgatePixServiceImpl();</v>
      </c>
    </row>
    <row r="176" spans="1:15" x14ac:dyDescent="0.25">
      <c r="A176" s="8" t="s">
        <v>667</v>
      </c>
      <c r="O176" s="7" t="str">
        <f ca="1">getCodigoBackend(N176,A176,VLOOKUP(N176,setup!$A$8:$H$58,2),VLOOKUP(N176,setup!$A$8:$H$58,3),VLOOKUP(N176,setup!$A$8:$H$58,4),VLOOKUP(N176,setup!$A$8:$H$58,5),VLOOKUP(N176,setup!$A$8:$H$58,6),VLOOKUP(N176,setup!$A$8:$H$58,7), VLOOKUP(0,setup!$A$8:$H$58,2),VLOOKUP(0,setup!$A$8:$H$58,5),VLOOKUP(N176,setup!$A$8:$H$58,8))</f>
        <v>$retorno = $csi-&gt;listarCampanhaCashbackResgatePix($pag);</v>
      </c>
    </row>
    <row r="177" spans="1:15" x14ac:dyDescent="0.25">
      <c r="O177" s="7" t="str">
        <f ca="1">getCodigoBackend(N177,A177,VLOOKUP(N177,setup!$A$8:$H$58,2),VLOOKUP(N177,setup!$A$8:$H$58,3),VLOOKUP(N177,setup!$A$8:$H$58,4),VLOOKUP(N177,setup!$A$8:$H$58,5),VLOOKUP(N177,setup!$A$8:$H$58,6),VLOOKUP(N177,setup!$A$8:$H$58,7), VLOOKUP(0,setup!$A$8:$H$58,2),VLOOKUP(0,setup!$A$8:$H$58,5),VLOOKUP(N177,setup!$A$8:$H$58,8))</f>
        <v/>
      </c>
    </row>
    <row r="178" spans="1:15" x14ac:dyDescent="0.25">
      <c r="A178" s="9" t="s">
        <v>553</v>
      </c>
      <c r="O178" s="7" t="str">
        <f ca="1">getCodigoBackend(N178,A178,VLOOKUP(N178,setup!$A$8:$H$58,2),VLOOKUP(N178,setup!$A$8:$H$58,3),VLOOKUP(N178,setup!$A$8:$H$58,4),VLOOKUP(N178,setup!$A$8:$H$58,5),VLOOKUP(N178,setup!$A$8:$H$58,6),VLOOKUP(N178,setup!$A$8:$H$58,7), VLOOKUP(0,setup!$A$8:$H$58,2),VLOOKUP(0,setup!$A$8:$H$58,5),VLOOKUP(N178,setup!$A$8:$H$58,8))</f>
        <v>echo json_encode($retorno);</v>
      </c>
    </row>
    <row r="179" spans="1:15" x14ac:dyDescent="0.25">
      <c r="O179" s="7" t="str">
        <f ca="1">getCodigoBackend(N179,A179,VLOOKUP(N179,setup!$A$8:$H$58,2),VLOOKUP(N179,setup!$A$8:$H$58,3),VLOOKUP(N179,setup!$A$8:$H$58,4),VLOOKUP(N179,setup!$A$8:$H$58,5),VLOOKUP(N179,setup!$A$8:$H$58,6),VLOOKUP(N179,setup!$A$8:$H$58,7), VLOOKUP(0,setup!$A$8:$H$58,2),VLOOKUP(0,setup!$A$8:$H$58,5),VLOOKUP(N179,setup!$A$8:$H$58,8))</f>
        <v/>
      </c>
    </row>
    <row r="180" spans="1:15" x14ac:dyDescent="0.25">
      <c r="O180" s="7" t="str">
        <f ca="1">getCodigoBackend(N180,A180,VLOOKUP(N180,setup!$A$8:$H$58,2),VLOOKUP(N180,setup!$A$8:$H$58,3),VLOOKUP(N180,setup!$A$8:$H$58,4),VLOOKUP(N180,setup!$A$8:$H$58,5),VLOOKUP(N180,setup!$A$8:$H$58,6),VLOOKUP(N180,setup!$A$8:$H$58,7), VLOOKUP(0,setup!$A$8:$H$58,2),VLOOKUP(0,setup!$A$8:$H$58,5),VLOOKUP(N180,setup!$A$8:$H$58,8))</f>
        <v/>
      </c>
    </row>
    <row r="181" spans="1:15" x14ac:dyDescent="0.25">
      <c r="A181" s="2" t="s">
        <v>29</v>
      </c>
      <c r="O181" s="7" t="str">
        <f ca="1">getCodigoBackend(N181,A181,VLOOKUP(N181,setup!$A$8:$H$58,2),VLOOKUP(N181,setup!$A$8:$H$58,3),VLOOKUP(N181,setup!$A$8:$H$58,4),VLOOKUP(N181,setup!$A$8:$H$58,5),VLOOKUP(N181,setup!$A$8:$H$58,6),VLOOKUP(N181,setup!$A$8:$H$58,7), VLOOKUP(0,setup!$A$8:$H$58,2),VLOOKUP(0,setup!$A$8:$H$58,5),VLOOKUP(N181,setup!$A$8:$H$58,8))</f>
        <v>?&gt;</v>
      </c>
    </row>
    <row r="182" spans="1:15" x14ac:dyDescent="0.25">
      <c r="A182" s="4"/>
      <c r="O182" s="7" t="str">
        <f ca="1">getCodigoBackend(N182,A182,VLOOKUP(N182,setup!$A$8:$H$58,2),VLOOKUP(N182,setup!$A$8:$H$58,3),VLOOKUP(N182,setup!$A$8:$H$58,4),VLOOKUP(N182,setup!$A$8:$H$58,5),VLOOKUP(N182,setup!$A$8:$H$58,6),VLOOKUP(N182,setup!$A$8:$H$58,7), VLOOKUP(0,setup!$A$8:$H$58,2),VLOOKUP(0,setup!$A$8:$H$58,5),VLOOKUP(N182,setup!$A$8:$H$58,8))</f>
        <v/>
      </c>
    </row>
    <row r="183" spans="1:15" x14ac:dyDescent="0.25">
      <c r="A183" s="4"/>
      <c r="O183" s="7" t="str">
        <f ca="1">getCodigoBackend(N183,A183,VLOOKUP(N183,setup!$A$8:$H$58,2),VLOOKUP(N183,setup!$A$8:$H$58,3),VLOOKUP(N183,setup!$A$8:$H$58,4),VLOOKUP(N183,setup!$A$8:$H$58,5),VLOOKUP(N183,setup!$A$8:$H$58,6),VLOOKUP(N183,setup!$A$8:$H$58,7), VLOOKUP(0,setup!$A$8:$H$58,2),VLOOKUP(0,setup!$A$8:$H$58,5),VLOOKUP(N183,setup!$A$8:$H$58,8))</f>
        <v/>
      </c>
    </row>
    <row r="184" spans="1:15" x14ac:dyDescent="0.25">
      <c r="A184" s="2" t="s">
        <v>16</v>
      </c>
      <c r="O184" s="7" t="str">
        <f ca="1">getCodigoBackend(N184,A184,VLOOKUP(N184,setup!$A$8:$H$58,2),VLOOKUP(N184,setup!$A$8:$H$58,3),VLOOKUP(N184,setup!$A$8:$H$58,4),VLOOKUP(N184,setup!$A$8:$H$58,5),VLOOKUP(N184,setup!$A$8:$H$58,6),VLOOKUP(N184,setup!$A$8:$H$58,7), VLOOKUP(0,setup!$A$8:$H$58,2),VLOOKUP(0,setup!$A$8:$H$58,5),VLOOKUP(N184,setup!$A$8:$H$58,8))</f>
        <v>&lt;?php</v>
      </c>
    </row>
    <row r="185" spans="1:15" x14ac:dyDescent="0.25">
      <c r="O185" s="7" t="str">
        <f ca="1">getCodigoBackend(N185,A185,VLOOKUP(N185,setup!$A$8:$H$58,2),VLOOKUP(N185,setup!$A$8:$H$58,3),VLOOKUP(N185,setup!$A$8:$H$58,4),VLOOKUP(N185,setup!$A$8:$H$58,5),VLOOKUP(N185,setup!$A$8:$H$58,6),VLOOKUP(N185,setup!$A$8:$H$58,7), VLOOKUP(0,setup!$A$8:$H$58,2),VLOOKUP(0,setup!$A$8:$H$58,5),VLOOKUP(N185,setup!$A$8:$H$58,8))</f>
        <v/>
      </c>
    </row>
    <row r="186" spans="1:15" x14ac:dyDescent="0.25">
      <c r="A186" s="4" t="s">
        <v>671</v>
      </c>
      <c r="O186" s="7" t="str">
        <f ca="1">getCodigoBackend(N186,A186,VLOOKUP(N186,setup!$A$8:$H$58,2),VLOOKUP(N186,setup!$A$8:$H$58,3),VLOOKUP(N186,setup!$A$8:$H$58,4),VLOOKUP(N186,setup!$A$8:$H$58,5),VLOOKUP(N186,setup!$A$8:$H$58,6),VLOOKUP(N186,setup!$A$8:$H$58,7), VLOOKUP(0,setup!$A$8:$H$58,2),VLOOKUP(0,setup!$A$8:$H$58,5),VLOOKUP(N186,setup!$A$8:$H$58,8))</f>
        <v>// URL http://elitefinanceira.com/cfdi/php/classes/gateway/appListarCampanhaCashbackResgatePixPorUsuaIdStatus.php?tokenid=cb1&amp;pag=1</v>
      </c>
    </row>
    <row r="187" spans="1:15" x14ac:dyDescent="0.25">
      <c r="A187" s="4" t="s">
        <v>672</v>
      </c>
      <c r="O187" s="7" t="str">
        <f ca="1">getCodigoBackend(N187,A187,VLOOKUP(N187,setup!$A$8:$H$58,2),VLOOKUP(N187,setup!$A$8:$H$58,3),VLOOKUP(N187,setup!$A$8:$H$58,4),VLOOKUP(N187,setup!$A$8:$H$58,5),VLOOKUP(N187,setup!$A$8:$H$58,6),VLOOKUP(N187,setup!$A$8:$H$58,7), VLOOKUP(0,setup!$A$8:$H$58,2),VLOOKUP(0,setup!$A$8:$H$58,5),VLOOKUP(N187,setup!$A$8:$H$58,8))</f>
        <v>// URL http://localhost/cfdi/php/classes/gateway/appListarCampanhaCashbackResgatePixPorUsuaIdStatus.php?tokenid=cb1&amp;pag=1</v>
      </c>
    </row>
    <row r="188" spans="1:15" x14ac:dyDescent="0.25">
      <c r="O188" s="7" t="str">
        <f ca="1">getCodigoBackend(N188,A188,VLOOKUP(N188,setup!$A$8:$H$58,2),VLOOKUP(N188,setup!$A$8:$H$58,3),VLOOKUP(N188,setup!$A$8:$H$58,4),VLOOKUP(N188,setup!$A$8:$H$58,5),VLOOKUP(N188,setup!$A$8:$H$58,6),VLOOKUP(N188,setup!$A$8:$H$58,7), VLOOKUP(0,setup!$A$8:$H$58,2),VLOOKUP(0,setup!$A$8:$H$58,5),VLOOKUP(N188,setup!$A$8:$H$58,8))</f>
        <v/>
      </c>
    </row>
    <row r="189" spans="1:15" x14ac:dyDescent="0.25">
      <c r="A189" s="4" t="s">
        <v>645</v>
      </c>
      <c r="O189" s="7" t="str">
        <f ca="1">getCodigoBackend(N189,A189,VLOOKUP(N189,setup!$A$8:$H$58,2),VLOOKUP(N189,setup!$A$8:$H$58,3),VLOOKUP(N189,setup!$A$8:$H$58,4),VLOOKUP(N189,setup!$A$8:$H$58,5),VLOOKUP(N189,setup!$A$8:$H$58,6),VLOOKUP(N189,setup!$A$8:$H$58,7), VLOOKUP(0,setup!$A$8:$H$58,2),VLOOKUP(0,setup!$A$8:$H$58,5),VLOOKUP(N189,setup!$A$8:$H$58,8))</f>
        <v>// Importar dependencias</v>
      </c>
    </row>
    <row r="190" spans="1:15" x14ac:dyDescent="0.25">
      <c r="A190" s="5" t="s">
        <v>558</v>
      </c>
      <c r="O190" s="7" t="str">
        <f ca="1">getCodigoBackend(N190,A190,VLOOKUP(N190,setup!$A$8:$H$58,2),VLOOKUP(N190,setup!$A$8:$H$58,3),VLOOKUP(N190,setup!$A$8:$H$58,4),VLOOKUP(N190,setup!$A$8:$H$58,5),VLOOKUP(N190,setup!$A$8:$H$58,6),VLOOKUP(N190,setup!$A$8:$H$58,7), VLOOKUP(0,setup!$A$8:$H$58,2),VLOOKUP(0,setup!$A$8:$H$58,5),VLOOKUP(N190,setup!$A$8:$H$58,8))</f>
        <v>require_once '../campanhacashbackresgatepix/CampanhaCashbackResgatePixServiceImpl.php';</v>
      </c>
    </row>
    <row r="191" spans="1:15" x14ac:dyDescent="0.25">
      <c r="O191" s="7" t="str">
        <f ca="1">getCodigoBackend(N191,A191,VLOOKUP(N191,setup!$A$8:$H$58,2),VLOOKUP(N191,setup!$A$8:$H$58,3),VLOOKUP(N191,setup!$A$8:$H$58,4),VLOOKUP(N191,setup!$A$8:$H$58,5),VLOOKUP(N191,setup!$A$8:$H$58,6),VLOOKUP(N191,setup!$A$8:$H$58,7), VLOOKUP(0,setup!$A$8:$H$58,2),VLOOKUP(0,setup!$A$8:$H$58,5),VLOOKUP(N191,setup!$A$8:$H$58,8))</f>
        <v/>
      </c>
    </row>
    <row r="192" spans="1:15" x14ac:dyDescent="0.25">
      <c r="A192" s="4" t="s">
        <v>551</v>
      </c>
      <c r="O192" s="7" t="str">
        <f ca="1">getCodigoBackend(N192,A192,VLOOKUP(N192,setup!$A$8:$H$58,2),VLOOKUP(N192,setup!$A$8:$H$58,3),VLOOKUP(N192,setup!$A$8:$H$58,4),VLOOKUP(N192,setup!$A$8:$H$58,5),VLOOKUP(N192,setup!$A$8:$H$58,6),VLOOKUP(N192,setup!$A$8:$H$58,7), VLOOKUP(0,setup!$A$8:$H$58,2),VLOOKUP(0,setup!$A$8:$H$58,5),VLOOKUP(N192,setup!$A$8:$H$58,8))</f>
        <v>// Obtem o token de sessao (pode ser dispositivo ou outro hardware qualquer)</v>
      </c>
    </row>
    <row r="193" spans="1:15" x14ac:dyDescent="0.25">
      <c r="A193" s="8" t="s">
        <v>646</v>
      </c>
      <c r="O193" s="7" t="str">
        <f ca="1">getCodigoBackend(N193,A193,VLOOKUP(N193,setup!$A$8:$H$58,2),VLOOKUP(N193,setup!$A$8:$H$58,3),VLOOKUP(N193,setup!$A$8:$H$58,4),VLOOKUP(N193,setup!$A$8:$H$58,5),VLOOKUP(N193,setup!$A$8:$H$58,6),VLOOKUP(N193,setup!$A$8:$H$58,7), VLOOKUP(0,setup!$A$8:$H$58,2),VLOOKUP(0,setup!$A$8:$H$58,5),VLOOKUP(N193,setup!$A$8:$H$58,8))</f>
        <v>$token = $_GET['tokenid'];</v>
      </c>
    </row>
    <row r="194" spans="1:15" x14ac:dyDescent="0.25">
      <c r="A194" s="8" t="s">
        <v>647</v>
      </c>
      <c r="O194" s="7" t="str">
        <f ca="1">getCodigoBackend(N194,A194,VLOOKUP(N194,setup!$A$8:$H$58,2),VLOOKUP(N194,setup!$A$8:$H$58,3),VLOOKUP(N194,setup!$A$8:$H$58,4),VLOOKUP(N194,setup!$A$8:$H$58,5),VLOOKUP(N194,setup!$A$8:$H$58,6),VLOOKUP(N194,setup!$A$8:$H$58,7), VLOOKUP(0,setup!$A$8:$H$58,2),VLOOKUP(0,setup!$A$8:$H$58,5),VLOOKUP(N194,setup!$A$8:$H$58,8))</f>
        <v>$pag = $_GET['pag'];</v>
      </c>
    </row>
    <row r="195" spans="1:15" x14ac:dyDescent="0.25">
      <c r="O195" s="7" t="str">
        <f ca="1">getCodigoBackend(N195,A195,VLOOKUP(N195,setup!$A$8:$H$58,2),VLOOKUP(N195,setup!$A$8:$H$58,3),VLOOKUP(N195,setup!$A$8:$H$58,4),VLOOKUP(N195,setup!$A$8:$H$58,5),VLOOKUP(N195,setup!$A$8:$H$58,6),VLOOKUP(N195,setup!$A$8:$H$58,7), VLOOKUP(0,setup!$A$8:$H$58,2),VLOOKUP(0,setup!$A$8:$H$58,5),VLOOKUP(N195,setup!$A$8:$H$58,8))</f>
        <v/>
      </c>
    </row>
    <row r="196" spans="1:15" x14ac:dyDescent="0.25">
      <c r="A196" s="5" t="s">
        <v>552</v>
      </c>
      <c r="O196" s="7" t="str">
        <f ca="1">getCodigoBackend(N196,A196,VLOOKUP(N196,setup!$A$8:$H$58,2),VLOOKUP(N196,setup!$A$8:$H$58,3),VLOOKUP(N196,setup!$A$8:$H$58,4),VLOOKUP(N196,setup!$A$8:$H$58,5),VLOOKUP(N196,setup!$A$8:$H$58,6),VLOOKUP(N196,setup!$A$8:$H$58,7), VLOOKUP(0,setup!$A$8:$H$58,2),VLOOKUP(0,setup!$A$8:$H$58,5),VLOOKUP(N196,setup!$A$8:$H$58,8))</f>
        <v>include_once '../../inc/validarTokenApp.php';</v>
      </c>
    </row>
    <row r="197" spans="1:15" x14ac:dyDescent="0.25">
      <c r="O197" s="7" t="str">
        <f ca="1">getCodigoBackend(N197,A197,VLOOKUP(N197,setup!$A$8:$H$58,2),VLOOKUP(N197,setup!$A$8:$H$58,3),VLOOKUP(N197,setup!$A$8:$H$58,4),VLOOKUP(N197,setup!$A$8:$H$58,5),VLOOKUP(N197,setup!$A$8:$H$58,6),VLOOKUP(N197,setup!$A$8:$H$58,7), VLOOKUP(0,setup!$A$8:$H$58,2),VLOOKUP(0,setup!$A$8:$H$58,5),VLOOKUP(N197,setup!$A$8:$H$58,8))</f>
        <v/>
      </c>
    </row>
    <row r="198" spans="1:15" x14ac:dyDescent="0.25">
      <c r="A198" s="4" t="s">
        <v>648</v>
      </c>
      <c r="O198" s="7" t="str">
        <f ca="1">getCodigoBackend(N198,A198,VLOOKUP(N198,setup!$A$8:$H$58,2),VLOOKUP(N198,setup!$A$8:$H$58,3),VLOOKUP(N198,setup!$A$8:$H$58,4),VLOOKUP(N198,setup!$A$8:$H$58,5),VLOOKUP(N198,setup!$A$8:$H$58,6),VLOOKUP(N198,setup!$A$8:$H$58,7), VLOOKUP(0,setup!$A$8:$H$58,2),VLOOKUP(0,setup!$A$8:$H$58,5),VLOOKUP(N198,setup!$A$8:$H$58,8))</f>
        <v>// &gt;&gt;&gt;Backend</v>
      </c>
    </row>
    <row r="199" spans="1:15" x14ac:dyDescent="0.25">
      <c r="A199" s="8" t="s">
        <v>156</v>
      </c>
      <c r="O199" s="7" t="str">
        <f ca="1">getCodigoBackend(N199,A199,VLOOKUP(N199,setup!$A$8:$H$58,2),VLOOKUP(N199,setup!$A$8:$H$58,3),VLOOKUP(N199,setup!$A$8:$H$58,4),VLOOKUP(N199,setup!$A$8:$H$58,5),VLOOKUP(N199,setup!$A$8:$H$58,6),VLOOKUP(N199,setup!$A$8:$H$58,7), VLOOKUP(0,setup!$A$8:$H$58,2),VLOOKUP(0,setup!$A$8:$H$58,5),VLOOKUP(N199,setup!$A$8:$H$58,8))</f>
        <v>$status = ConstantesVariavel::STATUS_ATIVO;</v>
      </c>
    </row>
    <row r="200" spans="1:15" x14ac:dyDescent="0.25">
      <c r="A200" s="8" t="s">
        <v>329</v>
      </c>
      <c r="O200" s="7" t="str">
        <f ca="1">getCodigoBackend(N200,A200,VLOOKUP(N200,setup!$A$8:$H$58,2),VLOOKUP(N200,setup!$A$8:$H$58,3),VLOOKUP(N200,setup!$A$8:$H$58,4),VLOOKUP(N200,setup!$A$8:$H$58,5),VLOOKUP(N200,setup!$A$8:$H$58,6),VLOOKUP(N200,setup!$A$8:$H$58,7), VLOOKUP(0,setup!$A$8:$H$58,2),VLOOKUP(0,setup!$A$8:$H$58,5),VLOOKUP(N200,setup!$A$8:$H$58,8))</f>
        <v>$csi = new CampanhaCashbackResgatePixServiceImpl();</v>
      </c>
    </row>
    <row r="201" spans="1:15" x14ac:dyDescent="0.25">
      <c r="A201" s="8" t="s">
        <v>670</v>
      </c>
      <c r="O201" s="7" t="str">
        <f ca="1">getCodigoBackend(N201,A201,VLOOKUP(N201,setup!$A$8:$H$58,2),VLOOKUP(N201,setup!$A$8:$H$58,3),VLOOKUP(N201,setup!$A$8:$H$58,4),VLOOKUP(N201,setup!$A$8:$H$58,5),VLOOKUP(N201,setup!$A$8:$H$58,6),VLOOKUP(N201,setup!$A$8:$H$58,7), VLOOKUP(0,setup!$A$8:$H$58,2),VLOOKUP(0,setup!$A$8:$H$58,5),VLOOKUP(N201,setup!$A$8:$H$58,8))</f>
        <v>$retorno = $csi-&gt;listarCampanhaCashbackResgatePixPorUsuaIdStatus($sessaodto-&gt;usuariodto-&gt;id, $status, $pag);</v>
      </c>
    </row>
    <row r="202" spans="1:15" x14ac:dyDescent="0.25">
      <c r="O202" s="7" t="str">
        <f ca="1">getCodigoBackend(N202,A202,VLOOKUP(N202,setup!$A$8:$H$58,2),VLOOKUP(N202,setup!$A$8:$H$58,3),VLOOKUP(N202,setup!$A$8:$H$58,4),VLOOKUP(N202,setup!$A$8:$H$58,5),VLOOKUP(N202,setup!$A$8:$H$58,6),VLOOKUP(N202,setup!$A$8:$H$58,7), VLOOKUP(0,setup!$A$8:$H$58,2),VLOOKUP(0,setup!$A$8:$H$58,5),VLOOKUP(N202,setup!$A$8:$H$58,8))</f>
        <v/>
      </c>
    </row>
    <row r="203" spans="1:15" x14ac:dyDescent="0.25">
      <c r="A203" s="9" t="s">
        <v>553</v>
      </c>
      <c r="O203" s="7" t="str">
        <f ca="1">getCodigoBackend(N203,A203,VLOOKUP(N203,setup!$A$8:$H$58,2),VLOOKUP(N203,setup!$A$8:$H$58,3),VLOOKUP(N203,setup!$A$8:$H$58,4),VLOOKUP(N203,setup!$A$8:$H$58,5),VLOOKUP(N203,setup!$A$8:$H$58,6),VLOOKUP(N203,setup!$A$8:$H$58,7), VLOOKUP(0,setup!$A$8:$H$58,2),VLOOKUP(0,setup!$A$8:$H$58,5),VLOOKUP(N203,setup!$A$8:$H$58,8))</f>
        <v>echo json_encode($retorno);</v>
      </c>
    </row>
    <row r="204" spans="1:15" x14ac:dyDescent="0.25">
      <c r="O204" s="7" t="str">
        <f ca="1">getCodigoBackend(N204,A204,VLOOKUP(N204,setup!$A$8:$H$58,2),VLOOKUP(N204,setup!$A$8:$H$58,3),VLOOKUP(N204,setup!$A$8:$H$58,4),VLOOKUP(N204,setup!$A$8:$H$58,5),VLOOKUP(N204,setup!$A$8:$H$58,6),VLOOKUP(N204,setup!$A$8:$H$58,7), VLOOKUP(0,setup!$A$8:$H$58,2),VLOOKUP(0,setup!$A$8:$H$58,5),VLOOKUP(N204,setup!$A$8:$H$58,8))</f>
        <v/>
      </c>
    </row>
    <row r="205" spans="1:15" x14ac:dyDescent="0.25">
      <c r="O205" s="7" t="str">
        <f ca="1">getCodigoBackend(N205,A205,VLOOKUP(N205,setup!$A$8:$H$58,2),VLOOKUP(N205,setup!$A$8:$H$58,3),VLOOKUP(N205,setup!$A$8:$H$58,4),VLOOKUP(N205,setup!$A$8:$H$58,5),VLOOKUP(N205,setup!$A$8:$H$58,6),VLOOKUP(N205,setup!$A$8:$H$58,7), VLOOKUP(0,setup!$A$8:$H$58,2),VLOOKUP(0,setup!$A$8:$H$58,5),VLOOKUP(N205,setup!$A$8:$H$58,8))</f>
        <v/>
      </c>
    </row>
    <row r="206" spans="1:15" x14ac:dyDescent="0.25">
      <c r="A206" s="2" t="s">
        <v>29</v>
      </c>
      <c r="O206" s="7" t="str">
        <f ca="1">getCodigoBackend(N206,A206,VLOOKUP(N206,setup!$A$8:$H$58,2),VLOOKUP(N206,setup!$A$8:$H$58,3),VLOOKUP(N206,setup!$A$8:$H$58,4),VLOOKUP(N206,setup!$A$8:$H$58,5),VLOOKUP(N206,setup!$A$8:$H$58,6),VLOOKUP(N206,setup!$A$8:$H$58,7), VLOOKUP(0,setup!$A$8:$H$58,2),VLOOKUP(0,setup!$A$8:$H$58,5),VLOOKUP(N206,setup!$A$8:$H$58,8))</f>
        <v>?&gt;</v>
      </c>
    </row>
    <row r="207" spans="1:15" x14ac:dyDescent="0.25">
      <c r="A207" s="4"/>
      <c r="O207" s="7" t="str">
        <f ca="1">getCodigoBackend(N207,A207,VLOOKUP(N207,setup!$A$8:$H$58,2),VLOOKUP(N207,setup!$A$8:$H$58,3),VLOOKUP(N207,setup!$A$8:$H$58,4),VLOOKUP(N207,setup!$A$8:$H$58,5),VLOOKUP(N207,setup!$A$8:$H$58,6),VLOOKUP(N207,setup!$A$8:$H$58,7), VLOOKUP(0,setup!$A$8:$H$58,2),VLOOKUP(0,setup!$A$8:$H$58,5),VLOOKUP(N207,setup!$A$8:$H$58,8))</f>
        <v/>
      </c>
    </row>
    <row r="208" spans="1:15" x14ac:dyDescent="0.25">
      <c r="A208" s="4"/>
      <c r="O208" s="7" t="str">
        <f ca="1">getCodigoBackend(N208,A208,VLOOKUP(N208,setup!$A$8:$H$58,2),VLOOKUP(N208,setup!$A$8:$H$58,3),VLOOKUP(N208,setup!$A$8:$H$58,4),VLOOKUP(N208,setup!$A$8:$H$58,5),VLOOKUP(N208,setup!$A$8:$H$58,6),VLOOKUP(N208,setup!$A$8:$H$58,7), VLOOKUP(0,setup!$A$8:$H$58,2),VLOOKUP(0,setup!$A$8:$H$58,5),VLOOKUP(N208,setup!$A$8:$H$58,8))</f>
        <v/>
      </c>
    </row>
    <row r="209" spans="1:15" x14ac:dyDescent="0.25">
      <c r="A209" s="6"/>
      <c r="O209" s="7" t="str">
        <f ca="1">getCodigoBackend(N209,A209,VLOOKUP(N209,setup!$A$8:$H$58,2),VLOOKUP(N209,setup!$A$8:$H$58,3),VLOOKUP(N209,setup!$A$8:$H$58,4),VLOOKUP(N209,setup!$A$8:$H$58,5),VLOOKUP(N209,setup!$A$8:$H$58,6),VLOOKUP(N209,setup!$A$8:$H$58,7), VLOOKUP(0,setup!$A$8:$H$58,2),VLOOKUP(0,setup!$A$8:$H$58,5),VLOOKUP(N209,setup!$A$8:$H$58,8))</f>
        <v/>
      </c>
    </row>
    <row r="210" spans="1:15" x14ac:dyDescent="0.25">
      <c r="A210" s="6"/>
      <c r="O210" s="7" t="str">
        <f ca="1">getCodigoBackend(N210,A210,VLOOKUP(N210,setup!$A$8:$H$58,2),VLOOKUP(N210,setup!$A$8:$H$58,3),VLOOKUP(N210,setup!$A$8:$H$58,4),VLOOKUP(N210,setup!$A$8:$H$58,5),VLOOKUP(N210,setup!$A$8:$H$58,6),VLOOKUP(N210,setup!$A$8:$H$58,7), VLOOKUP(0,setup!$A$8:$H$58,2),VLOOKUP(0,setup!$A$8:$H$58,5),VLOOKUP(N210,setup!$A$8:$H$58,8))</f>
        <v/>
      </c>
    </row>
    <row r="211" spans="1:15" x14ac:dyDescent="0.25">
      <c r="A211" s="6"/>
      <c r="O211" s="7" t="str">
        <f ca="1">getCodigoBackend(N211,A211,VLOOKUP(N211,setup!$A$8:$H$58,2),VLOOKUP(N211,setup!$A$8:$H$58,3),VLOOKUP(N211,setup!$A$8:$H$58,4),VLOOKUP(N211,setup!$A$8:$H$58,5),VLOOKUP(N211,setup!$A$8:$H$58,6),VLOOKUP(N211,setup!$A$8:$H$58,7), VLOOKUP(0,setup!$A$8:$H$58,2),VLOOKUP(0,setup!$A$8:$H$58,5),VLOOKUP(N211,setup!$A$8:$H$58,8))</f>
        <v/>
      </c>
    </row>
    <row r="212" spans="1:15" x14ac:dyDescent="0.25">
      <c r="A212" s="6"/>
      <c r="O212" s="7" t="str">
        <f ca="1">getCodigoBackend(N212,A212,VLOOKUP(N212,setup!$A$8:$H$58,2),VLOOKUP(N212,setup!$A$8:$H$58,3),VLOOKUP(N212,setup!$A$8:$H$58,4),VLOOKUP(N212,setup!$A$8:$H$58,5),VLOOKUP(N212,setup!$A$8:$H$58,6),VLOOKUP(N212,setup!$A$8:$H$58,7), VLOOKUP(0,setup!$A$8:$H$58,2),VLOOKUP(0,setup!$A$8:$H$58,5),VLOOKUP(N212,setup!$A$8:$H$58,8))</f>
        <v/>
      </c>
    </row>
    <row r="213" spans="1:15" x14ac:dyDescent="0.25">
      <c r="A213" s="6"/>
      <c r="O213" s="7" t="str">
        <f ca="1">getCodigoBackend(N213,A213,VLOOKUP(N213,setup!$A$8:$H$58,2),VLOOKUP(N213,setup!$A$8:$H$58,3),VLOOKUP(N213,setup!$A$8:$H$58,4),VLOOKUP(N213,setup!$A$8:$H$58,5),VLOOKUP(N213,setup!$A$8:$H$58,6),VLOOKUP(N213,setup!$A$8:$H$58,7), VLOOKUP(0,setup!$A$8:$H$58,2),VLOOKUP(0,setup!$A$8:$H$58,5),VLOOKUP(N213,setup!$A$8:$H$58,8))</f>
        <v/>
      </c>
    </row>
    <row r="214" spans="1:15" x14ac:dyDescent="0.25">
      <c r="A214" s="6"/>
      <c r="O214" s="7" t="str">
        <f ca="1">getCodigoBackend(N214,A214,VLOOKUP(N214,setup!$A$8:$H$58,2),VLOOKUP(N214,setup!$A$8:$H$58,3),VLOOKUP(N214,setup!$A$8:$H$58,4),VLOOKUP(N214,setup!$A$8:$H$58,5),VLOOKUP(N214,setup!$A$8:$H$58,6),VLOOKUP(N214,setup!$A$8:$H$58,7), VLOOKUP(0,setup!$A$8:$H$58,2),VLOOKUP(0,setup!$A$8:$H$58,5),VLOOKUP(N214,setup!$A$8:$H$58,8))</f>
        <v/>
      </c>
    </row>
    <row r="215" spans="1:15" x14ac:dyDescent="0.25">
      <c r="A215" s="6"/>
      <c r="O215" s="7" t="str">
        <f ca="1">getCodigoBackend(N215,A215,VLOOKUP(N215,setup!$A$8:$H$58,2),VLOOKUP(N215,setup!$A$8:$H$58,3),VLOOKUP(N215,setup!$A$8:$H$58,4),VLOOKUP(N215,setup!$A$8:$H$58,5),VLOOKUP(N215,setup!$A$8:$H$58,6),VLOOKUP(N215,setup!$A$8:$H$58,7), VLOOKUP(0,setup!$A$8:$H$58,2),VLOOKUP(0,setup!$A$8:$H$58,5),VLOOKUP(N215,setup!$A$8:$H$58,8))</f>
        <v/>
      </c>
    </row>
    <row r="216" spans="1:15" x14ac:dyDescent="0.25">
      <c r="A216" s="6"/>
      <c r="O216" s="7" t="str">
        <f ca="1">getCodigoBackend(N216,A216,VLOOKUP(N216,setup!$A$8:$H$58,2),VLOOKUP(N216,setup!$A$8:$H$58,3),VLOOKUP(N216,setup!$A$8:$H$58,4),VLOOKUP(N216,setup!$A$8:$H$58,5),VLOOKUP(N216,setup!$A$8:$H$58,6),VLOOKUP(N216,setup!$A$8:$H$58,7), VLOOKUP(0,setup!$A$8:$H$58,2),VLOOKUP(0,setup!$A$8:$H$58,5),VLOOKUP(N216,setup!$A$8:$H$58,8))</f>
        <v/>
      </c>
    </row>
    <row r="217" spans="1:15" x14ac:dyDescent="0.25">
      <c r="A217" s="6"/>
      <c r="O217" s="7" t="str">
        <f ca="1">getCodigoBackend(N217,A217,VLOOKUP(N217,setup!$A$8:$H$58,2),VLOOKUP(N217,setup!$A$8:$H$58,3),VLOOKUP(N217,setup!$A$8:$H$58,4),VLOOKUP(N217,setup!$A$8:$H$58,5),VLOOKUP(N217,setup!$A$8:$H$58,6),VLOOKUP(N217,setup!$A$8:$H$58,7), VLOOKUP(0,setup!$A$8:$H$58,2),VLOOKUP(0,setup!$A$8:$H$58,5),VLOOKUP(N217,setup!$A$8:$H$58,8))</f>
        <v/>
      </c>
    </row>
    <row r="218" spans="1:15" x14ac:dyDescent="0.25">
      <c r="A218" s="6"/>
      <c r="O218" s="7" t="str">
        <f ca="1">getCodigoBackend(N218,A218,VLOOKUP(N218,setup!$A$8:$H$58,2),VLOOKUP(N218,setup!$A$8:$H$58,3),VLOOKUP(N218,setup!$A$8:$H$58,4),VLOOKUP(N218,setup!$A$8:$H$58,5),VLOOKUP(N218,setup!$A$8:$H$58,6),VLOOKUP(N218,setup!$A$8:$H$58,7), VLOOKUP(0,setup!$A$8:$H$58,2),VLOOKUP(0,setup!$A$8:$H$58,5),VLOOKUP(N218,setup!$A$8:$H$58,8))</f>
        <v/>
      </c>
    </row>
    <row r="219" spans="1:15" x14ac:dyDescent="0.25">
      <c r="A219" s="6"/>
      <c r="O219" s="7" t="str">
        <f ca="1">getCodigoBackend(N219,A219,VLOOKUP(N219,setup!$A$8:$H$58,2),VLOOKUP(N219,setup!$A$8:$H$58,3),VLOOKUP(N219,setup!$A$8:$H$58,4),VLOOKUP(N219,setup!$A$8:$H$58,5),VLOOKUP(N219,setup!$A$8:$H$58,6),VLOOKUP(N219,setup!$A$8:$H$58,7), VLOOKUP(0,setup!$A$8:$H$58,2),VLOOKUP(0,setup!$A$8:$H$58,5),VLOOKUP(N219,setup!$A$8:$H$58,8))</f>
        <v/>
      </c>
    </row>
    <row r="220" spans="1:15" x14ac:dyDescent="0.25">
      <c r="A220" s="6"/>
      <c r="O220" s="7" t="str">
        <f ca="1">getCodigoBackend(N220,A220,VLOOKUP(N220,setup!$A$8:$H$58,2),VLOOKUP(N220,setup!$A$8:$H$58,3),VLOOKUP(N220,setup!$A$8:$H$58,4),VLOOKUP(N220,setup!$A$8:$H$58,5),VLOOKUP(N220,setup!$A$8:$H$58,6),VLOOKUP(N220,setup!$A$8:$H$58,7), VLOOKUP(0,setup!$A$8:$H$58,2),VLOOKUP(0,setup!$A$8:$H$58,5),VLOOKUP(N220,setup!$A$8:$H$58,8))</f>
        <v/>
      </c>
    </row>
    <row r="221" spans="1:15" x14ac:dyDescent="0.25">
      <c r="A221" s="6"/>
      <c r="O221" s="7" t="str">
        <f ca="1">getCodigoBackend(N221,A221,VLOOKUP(N221,setup!$A$8:$H$58,2),VLOOKUP(N221,setup!$A$8:$H$58,3),VLOOKUP(N221,setup!$A$8:$H$58,4),VLOOKUP(N221,setup!$A$8:$H$58,5),VLOOKUP(N221,setup!$A$8:$H$58,6),VLOOKUP(N221,setup!$A$8:$H$58,7), VLOOKUP(0,setup!$A$8:$H$58,2),VLOOKUP(0,setup!$A$8:$H$58,5),VLOOKUP(N221,setup!$A$8:$H$58,8))</f>
        <v/>
      </c>
    </row>
    <row r="222" spans="1:15" x14ac:dyDescent="0.25">
      <c r="A222" s="6"/>
      <c r="O222" s="7" t="str">
        <f ca="1">getCodigoBackend(N222,A222,VLOOKUP(N222,setup!$A$8:$H$58,2),VLOOKUP(N222,setup!$A$8:$H$58,3),VLOOKUP(N222,setup!$A$8:$H$58,4),VLOOKUP(N222,setup!$A$8:$H$58,5),VLOOKUP(N222,setup!$A$8:$H$58,6),VLOOKUP(N222,setup!$A$8:$H$58,7), VLOOKUP(0,setup!$A$8:$H$58,2),VLOOKUP(0,setup!$A$8:$H$58,5),VLOOKUP(N222,setup!$A$8:$H$58,8))</f>
        <v/>
      </c>
    </row>
    <row r="223" spans="1:15" x14ac:dyDescent="0.25">
      <c r="A223" s="6"/>
      <c r="O223" s="7" t="str">
        <f ca="1">getCodigoBackend(N223,A223,VLOOKUP(N223,setup!$A$8:$H$58,2),VLOOKUP(N223,setup!$A$8:$H$58,3),VLOOKUP(N223,setup!$A$8:$H$58,4),VLOOKUP(N223,setup!$A$8:$H$58,5),VLOOKUP(N223,setup!$A$8:$H$58,6),VLOOKUP(N223,setup!$A$8:$H$58,7), VLOOKUP(0,setup!$A$8:$H$58,2),VLOOKUP(0,setup!$A$8:$H$58,5),VLOOKUP(N223,setup!$A$8:$H$58,8))</f>
        <v/>
      </c>
    </row>
    <row r="224" spans="1:15" x14ac:dyDescent="0.25">
      <c r="A224" s="6"/>
      <c r="O224" s="7" t="str">
        <f ca="1">getCodigoBackend(N224,A224,VLOOKUP(N224,setup!$A$8:$H$58,2),VLOOKUP(N224,setup!$A$8:$H$58,3),VLOOKUP(N224,setup!$A$8:$H$58,4),VLOOKUP(N224,setup!$A$8:$H$58,5),VLOOKUP(N224,setup!$A$8:$H$58,6),VLOOKUP(N224,setup!$A$8:$H$58,7), VLOOKUP(0,setup!$A$8:$H$58,2),VLOOKUP(0,setup!$A$8:$H$58,5),VLOOKUP(N224,setup!$A$8:$H$58,8))</f>
        <v/>
      </c>
    </row>
    <row r="225" spans="1:15" x14ac:dyDescent="0.25">
      <c r="A225" s="6"/>
      <c r="O225" s="7" t="str">
        <f ca="1">getCodigoBackend(N225,A225,VLOOKUP(N225,setup!$A$8:$H$58,2),VLOOKUP(N225,setup!$A$8:$H$58,3),VLOOKUP(N225,setup!$A$8:$H$58,4),VLOOKUP(N225,setup!$A$8:$H$58,5),VLOOKUP(N225,setup!$A$8:$H$58,6),VLOOKUP(N225,setup!$A$8:$H$58,7), VLOOKUP(0,setup!$A$8:$H$58,2),VLOOKUP(0,setup!$A$8:$H$58,5),VLOOKUP(N225,setup!$A$8:$H$58,8))</f>
        <v/>
      </c>
    </row>
    <row r="226" spans="1:15" x14ac:dyDescent="0.25">
      <c r="A226" s="6"/>
      <c r="O226" s="7" t="str">
        <f ca="1">getCodigoBackend(N226,A226,VLOOKUP(N226,setup!$A$8:$H$58,2),VLOOKUP(N226,setup!$A$8:$H$58,3),VLOOKUP(N226,setup!$A$8:$H$58,4),VLOOKUP(N226,setup!$A$8:$H$58,5),VLOOKUP(N226,setup!$A$8:$H$58,6),VLOOKUP(N226,setup!$A$8:$H$58,7), VLOOKUP(0,setup!$A$8:$H$58,2),VLOOKUP(0,setup!$A$8:$H$58,5),VLOOKUP(N226,setup!$A$8:$H$58,8))</f>
        <v/>
      </c>
    </row>
    <row r="227" spans="1:15" x14ac:dyDescent="0.25">
      <c r="A227" s="6"/>
      <c r="O227" s="7" t="str">
        <f ca="1">getCodigoBackend(N227,A227,VLOOKUP(N227,setup!$A$8:$H$58,2),VLOOKUP(N227,setup!$A$8:$H$58,3),VLOOKUP(N227,setup!$A$8:$H$58,4),VLOOKUP(N227,setup!$A$8:$H$58,5),VLOOKUP(N227,setup!$A$8:$H$58,6),VLOOKUP(N227,setup!$A$8:$H$58,7), VLOOKUP(0,setup!$A$8:$H$58,2),VLOOKUP(0,setup!$A$8:$H$58,5),VLOOKUP(N227,setup!$A$8:$H$58,8))</f>
        <v/>
      </c>
    </row>
    <row r="228" spans="1:15" x14ac:dyDescent="0.25">
      <c r="A228" s="6"/>
      <c r="O228" s="7" t="str">
        <f ca="1">getCodigoBackend(N228,A228,VLOOKUP(N228,setup!$A$8:$H$58,2),VLOOKUP(N228,setup!$A$8:$H$58,3),VLOOKUP(N228,setup!$A$8:$H$58,4),VLOOKUP(N228,setup!$A$8:$H$58,5),VLOOKUP(N228,setup!$A$8:$H$58,6),VLOOKUP(N228,setup!$A$8:$H$58,7), VLOOKUP(0,setup!$A$8:$H$58,2),VLOOKUP(0,setup!$A$8:$H$58,5),VLOOKUP(N228,setup!$A$8:$H$58,8))</f>
        <v/>
      </c>
    </row>
    <row r="229" spans="1:15" x14ac:dyDescent="0.25">
      <c r="A229" s="6"/>
      <c r="O229" s="7" t="str">
        <f ca="1">getCodigoBackend(N229,A229,VLOOKUP(N229,setup!$A$8:$H$58,2),VLOOKUP(N229,setup!$A$8:$H$58,3),VLOOKUP(N229,setup!$A$8:$H$58,4),VLOOKUP(N229,setup!$A$8:$H$58,5),VLOOKUP(N229,setup!$A$8:$H$58,6),VLOOKUP(N229,setup!$A$8:$H$58,7), VLOOKUP(0,setup!$A$8:$H$58,2),VLOOKUP(0,setup!$A$8:$H$58,5),VLOOKUP(N229,setup!$A$8:$H$58,8))</f>
        <v/>
      </c>
    </row>
    <row r="230" spans="1:15" x14ac:dyDescent="0.25">
      <c r="A230" s="6"/>
      <c r="O230" s="7" t="str">
        <f ca="1">getCodigoBackend(N230,A230,VLOOKUP(N230,setup!$A$8:$H$58,2),VLOOKUP(N230,setup!$A$8:$H$58,3),VLOOKUP(N230,setup!$A$8:$H$58,4),VLOOKUP(N230,setup!$A$8:$H$58,5),VLOOKUP(N230,setup!$A$8:$H$58,6),VLOOKUP(N230,setup!$A$8:$H$58,7), VLOOKUP(0,setup!$A$8:$H$58,2),VLOOKUP(0,setup!$A$8:$H$58,5),VLOOKUP(N230,setup!$A$8:$H$58,8))</f>
        <v/>
      </c>
    </row>
    <row r="231" spans="1:15" x14ac:dyDescent="0.25">
      <c r="A231" s="6"/>
      <c r="O231" s="7" t="str">
        <f ca="1">getCodigoBackend(N231,A231,VLOOKUP(N231,setup!$A$8:$H$58,2),VLOOKUP(N231,setup!$A$8:$H$58,3),VLOOKUP(N231,setup!$A$8:$H$58,4),VLOOKUP(N231,setup!$A$8:$H$58,5),VLOOKUP(N231,setup!$A$8:$H$58,6),VLOOKUP(N231,setup!$A$8:$H$58,7), VLOOKUP(0,setup!$A$8:$H$58,2),VLOOKUP(0,setup!$A$8:$H$58,5),VLOOKUP(N231,setup!$A$8:$H$58,8))</f>
        <v/>
      </c>
    </row>
    <row r="232" spans="1:15" x14ac:dyDescent="0.25">
      <c r="A232" s="6"/>
      <c r="O232" s="7" t="str">
        <f ca="1">getCodigoBackend(N232,A232,VLOOKUP(N232,setup!$A$8:$H$58,2),VLOOKUP(N232,setup!$A$8:$H$58,3),VLOOKUP(N232,setup!$A$8:$H$58,4),VLOOKUP(N232,setup!$A$8:$H$58,5),VLOOKUP(N232,setup!$A$8:$H$58,6),VLOOKUP(N232,setup!$A$8:$H$58,7), VLOOKUP(0,setup!$A$8:$H$58,2),VLOOKUP(0,setup!$A$8:$H$58,5),VLOOKUP(N232,setup!$A$8:$H$58,8))</f>
        <v/>
      </c>
    </row>
    <row r="233" spans="1:15" x14ac:dyDescent="0.25">
      <c r="A233" s="6"/>
      <c r="O233" s="7" t="str">
        <f ca="1">getCodigoBackend(N233,A233,VLOOKUP(N233,setup!$A$8:$H$58,2),VLOOKUP(N233,setup!$A$8:$H$58,3),VLOOKUP(N233,setup!$A$8:$H$58,4),VLOOKUP(N233,setup!$A$8:$H$58,5),VLOOKUP(N233,setup!$A$8:$H$58,6),VLOOKUP(N233,setup!$A$8:$H$58,7), VLOOKUP(0,setup!$A$8:$H$58,2),VLOOKUP(0,setup!$A$8:$H$58,5),VLOOKUP(N233,setup!$A$8:$H$58,8))</f>
        <v/>
      </c>
    </row>
    <row r="234" spans="1:15" x14ac:dyDescent="0.25">
      <c r="A234" s="6"/>
      <c r="O234" s="7" t="str">
        <f ca="1">getCodigoBackend(N234,A234,VLOOKUP(N234,setup!$A$8:$H$58,2),VLOOKUP(N234,setup!$A$8:$H$58,3),VLOOKUP(N234,setup!$A$8:$H$58,4),VLOOKUP(N234,setup!$A$8:$H$58,5),VLOOKUP(N234,setup!$A$8:$H$58,6),VLOOKUP(N234,setup!$A$8:$H$58,7), VLOOKUP(0,setup!$A$8:$H$58,2),VLOOKUP(0,setup!$A$8:$H$58,5),VLOOKUP(N234,setup!$A$8:$H$58,8))</f>
        <v/>
      </c>
    </row>
    <row r="235" spans="1:15" x14ac:dyDescent="0.25">
      <c r="A235" s="6"/>
      <c r="O235" s="7" t="str">
        <f ca="1">getCodigoBackend(N235,A235,VLOOKUP(N235,setup!$A$8:$H$58,2),VLOOKUP(N235,setup!$A$8:$H$58,3),VLOOKUP(N235,setup!$A$8:$H$58,4),VLOOKUP(N235,setup!$A$8:$H$58,5),VLOOKUP(N235,setup!$A$8:$H$58,6),VLOOKUP(N235,setup!$A$8:$H$58,7), VLOOKUP(0,setup!$A$8:$H$58,2),VLOOKUP(0,setup!$A$8:$H$58,5),VLOOKUP(N235,setup!$A$8:$H$58,8))</f>
        <v/>
      </c>
    </row>
    <row r="236" spans="1:15" x14ac:dyDescent="0.25">
      <c r="A236" s="6"/>
      <c r="O236" s="7" t="str">
        <f ca="1">getCodigoBackend(N236,A236,VLOOKUP(N236,setup!$A$8:$H$58,2),VLOOKUP(N236,setup!$A$8:$H$58,3),VLOOKUP(N236,setup!$A$8:$H$58,4),VLOOKUP(N236,setup!$A$8:$H$58,5),VLOOKUP(N236,setup!$A$8:$H$58,6),VLOOKUP(N236,setup!$A$8:$H$58,7), VLOOKUP(0,setup!$A$8:$H$58,2),VLOOKUP(0,setup!$A$8:$H$58,5),VLOOKUP(N236,setup!$A$8:$H$58,8))</f>
        <v/>
      </c>
    </row>
    <row r="237" spans="1:15" x14ac:dyDescent="0.25">
      <c r="A237" s="6"/>
      <c r="O237" s="7" t="str">
        <f ca="1">getCodigoBackend(N237,A237,VLOOKUP(N237,setup!$A$8:$H$58,2),VLOOKUP(N237,setup!$A$8:$H$58,3),VLOOKUP(N237,setup!$A$8:$H$58,4),VLOOKUP(N237,setup!$A$8:$H$58,5),VLOOKUP(N237,setup!$A$8:$H$58,6),VLOOKUP(N237,setup!$A$8:$H$58,7), VLOOKUP(0,setup!$A$8:$H$58,2),VLOOKUP(0,setup!$A$8:$H$58,5),VLOOKUP(N237,setup!$A$8:$H$58,8))</f>
        <v/>
      </c>
    </row>
    <row r="238" spans="1:15" x14ac:dyDescent="0.25">
      <c r="A238" s="6"/>
      <c r="O238" s="7" t="str">
        <f ca="1">getCodigoBackend(N238,A238,VLOOKUP(N238,setup!$A$8:$H$58,2),VLOOKUP(N238,setup!$A$8:$H$58,3),VLOOKUP(N238,setup!$A$8:$H$58,4),VLOOKUP(N238,setup!$A$8:$H$58,5),VLOOKUP(N238,setup!$A$8:$H$58,6),VLOOKUP(N238,setup!$A$8:$H$58,7), VLOOKUP(0,setup!$A$8:$H$58,2),VLOOKUP(0,setup!$A$8:$H$58,5),VLOOKUP(N238,setup!$A$8:$H$58,8))</f>
        <v/>
      </c>
    </row>
    <row r="239" spans="1:15" x14ac:dyDescent="0.25">
      <c r="A239" s="6"/>
      <c r="O239" s="7" t="str">
        <f ca="1">getCodigoBackend(N239,A239,VLOOKUP(N239,setup!$A$8:$H$58,2),VLOOKUP(N239,setup!$A$8:$H$58,3),VLOOKUP(N239,setup!$A$8:$H$58,4),VLOOKUP(N239,setup!$A$8:$H$58,5),VLOOKUP(N239,setup!$A$8:$H$58,6),VLOOKUP(N239,setup!$A$8:$H$58,7), VLOOKUP(0,setup!$A$8:$H$58,2),VLOOKUP(0,setup!$A$8:$H$58,5),VLOOKUP(N239,setup!$A$8:$H$58,8))</f>
        <v/>
      </c>
    </row>
    <row r="240" spans="1:15" x14ac:dyDescent="0.25">
      <c r="A240" s="6"/>
      <c r="O240" s="7" t="str">
        <f ca="1">getCodigoBackend(N240,A240,VLOOKUP(N240,setup!$A$8:$H$58,2),VLOOKUP(N240,setup!$A$8:$H$58,3),VLOOKUP(N240,setup!$A$8:$H$58,4),VLOOKUP(N240,setup!$A$8:$H$58,5),VLOOKUP(N240,setup!$A$8:$H$58,6),VLOOKUP(N240,setup!$A$8:$H$58,7), VLOOKUP(0,setup!$A$8:$H$58,2),VLOOKUP(0,setup!$A$8:$H$58,5),VLOOKUP(N240,setup!$A$8:$H$58,8))</f>
        <v/>
      </c>
    </row>
    <row r="241" spans="1:15" x14ac:dyDescent="0.25">
      <c r="A241" s="6"/>
      <c r="O241" s="7" t="str">
        <f ca="1">getCodigoBackend(N241,A241,VLOOKUP(N241,setup!$A$8:$H$58,2),VLOOKUP(N241,setup!$A$8:$H$58,3),VLOOKUP(N241,setup!$A$8:$H$58,4),VLOOKUP(N241,setup!$A$8:$H$58,5),VLOOKUP(N241,setup!$A$8:$H$58,6),VLOOKUP(N241,setup!$A$8:$H$58,7), VLOOKUP(0,setup!$A$8:$H$58,2),VLOOKUP(0,setup!$A$8:$H$58,5),VLOOKUP(N241,setup!$A$8:$H$58,8))</f>
        <v/>
      </c>
    </row>
    <row r="242" spans="1:15" x14ac:dyDescent="0.25">
      <c r="A242" s="6"/>
      <c r="O242" s="7" t="str">
        <f ca="1">getCodigoBackend(N242,A242,VLOOKUP(N242,setup!$A$8:$H$58,2),VLOOKUP(N242,setup!$A$8:$H$58,3),VLOOKUP(N242,setup!$A$8:$H$58,4),VLOOKUP(N242,setup!$A$8:$H$58,5),VLOOKUP(N242,setup!$A$8:$H$58,6),VLOOKUP(N242,setup!$A$8:$H$58,7), VLOOKUP(0,setup!$A$8:$H$58,2),VLOOKUP(0,setup!$A$8:$H$58,5),VLOOKUP(N242,setup!$A$8:$H$58,8))</f>
        <v/>
      </c>
    </row>
    <row r="243" spans="1:15" x14ac:dyDescent="0.25">
      <c r="A243" s="6"/>
      <c r="O243" s="7" t="str">
        <f ca="1">getCodigoBackend(N243,A243,VLOOKUP(N243,setup!$A$8:$H$58,2),VLOOKUP(N243,setup!$A$8:$H$58,3),VLOOKUP(N243,setup!$A$8:$H$58,4),VLOOKUP(N243,setup!$A$8:$H$58,5),VLOOKUP(N243,setup!$A$8:$H$58,6),VLOOKUP(N243,setup!$A$8:$H$58,7), VLOOKUP(0,setup!$A$8:$H$58,2),VLOOKUP(0,setup!$A$8:$H$58,5),VLOOKUP(N243,setup!$A$8:$H$58,8))</f>
        <v/>
      </c>
    </row>
    <row r="244" spans="1:15" x14ac:dyDescent="0.25">
      <c r="A244" s="6"/>
      <c r="O244" s="7" t="str">
        <f ca="1">getCodigoBackend(N244,A244,VLOOKUP(N244,setup!$A$8:$H$58,2),VLOOKUP(N244,setup!$A$8:$H$58,3),VLOOKUP(N244,setup!$A$8:$H$58,4),VLOOKUP(N244,setup!$A$8:$H$58,5),VLOOKUP(N244,setup!$A$8:$H$58,6),VLOOKUP(N244,setup!$A$8:$H$58,7), VLOOKUP(0,setup!$A$8:$H$58,2),VLOOKUP(0,setup!$A$8:$H$58,5),VLOOKUP(N244,setup!$A$8:$H$58,8))</f>
        <v/>
      </c>
    </row>
    <row r="245" spans="1:15" x14ac:dyDescent="0.25">
      <c r="A245" s="6"/>
      <c r="O245" s="7" t="str">
        <f ca="1">getCodigoBackend(N245,A245,VLOOKUP(N245,setup!$A$8:$H$58,2),VLOOKUP(N245,setup!$A$8:$H$58,3),VLOOKUP(N245,setup!$A$8:$H$58,4),VLOOKUP(N245,setup!$A$8:$H$58,5),VLOOKUP(N245,setup!$A$8:$H$58,6),VLOOKUP(N245,setup!$A$8:$H$58,7), VLOOKUP(0,setup!$A$8:$H$58,2),VLOOKUP(0,setup!$A$8:$H$58,5),VLOOKUP(N245,setup!$A$8:$H$58,8))</f>
        <v/>
      </c>
    </row>
    <row r="246" spans="1:15" x14ac:dyDescent="0.25">
      <c r="A246" s="6"/>
      <c r="O246" s="7" t="str">
        <f ca="1">getCodigoBackend(N246,A246,VLOOKUP(N246,setup!$A$8:$H$58,2),VLOOKUP(N246,setup!$A$8:$H$58,3),VLOOKUP(N246,setup!$A$8:$H$58,4),VLOOKUP(N246,setup!$A$8:$H$58,5),VLOOKUP(N246,setup!$A$8:$H$58,6),VLOOKUP(N246,setup!$A$8:$H$58,7), VLOOKUP(0,setup!$A$8:$H$58,2),VLOOKUP(0,setup!$A$8:$H$58,5),VLOOKUP(N246,setup!$A$8:$H$58,8))</f>
        <v/>
      </c>
    </row>
    <row r="247" spans="1:15" x14ac:dyDescent="0.25">
      <c r="A247" s="6"/>
      <c r="O247" s="7" t="str">
        <f ca="1">getCodigoBackend(N247,A247,VLOOKUP(N247,setup!$A$8:$H$58,2),VLOOKUP(N247,setup!$A$8:$H$58,3),VLOOKUP(N247,setup!$A$8:$H$58,4),VLOOKUP(N247,setup!$A$8:$H$58,5),VLOOKUP(N247,setup!$A$8:$H$58,6),VLOOKUP(N247,setup!$A$8:$H$58,7), VLOOKUP(0,setup!$A$8:$H$58,2),VLOOKUP(0,setup!$A$8:$H$58,5),VLOOKUP(N247,setup!$A$8:$H$58,8))</f>
        <v/>
      </c>
    </row>
    <row r="248" spans="1:15" x14ac:dyDescent="0.25">
      <c r="A248" s="6"/>
      <c r="O248" s="7" t="str">
        <f ca="1">getCodigoBackend(N248,A248,VLOOKUP(N248,setup!$A$8:$H$58,2),VLOOKUP(N248,setup!$A$8:$H$58,3),VLOOKUP(N248,setup!$A$8:$H$58,4),VLOOKUP(N248,setup!$A$8:$H$58,5),VLOOKUP(N248,setup!$A$8:$H$58,6),VLOOKUP(N248,setup!$A$8:$H$58,7), VLOOKUP(0,setup!$A$8:$H$58,2),VLOOKUP(0,setup!$A$8:$H$58,5),VLOOKUP(N248,setup!$A$8:$H$58,8))</f>
        <v/>
      </c>
    </row>
    <row r="249" spans="1:15" x14ac:dyDescent="0.25">
      <c r="A249" s="6"/>
      <c r="O249" s="7" t="str">
        <f ca="1">getCodigoBackend(N249,A249,VLOOKUP(N249,setup!$A$8:$H$58,2),VLOOKUP(N249,setup!$A$8:$H$58,3),VLOOKUP(N249,setup!$A$8:$H$58,4),VLOOKUP(N249,setup!$A$8:$H$58,5),VLOOKUP(N249,setup!$A$8:$H$58,6),VLOOKUP(N249,setup!$A$8:$H$58,7), VLOOKUP(0,setup!$A$8:$H$58,2),VLOOKUP(0,setup!$A$8:$H$58,5),VLOOKUP(N249,setup!$A$8:$H$58,8))</f>
        <v/>
      </c>
    </row>
    <row r="250" spans="1:15" x14ac:dyDescent="0.25">
      <c r="A250" s="6"/>
      <c r="O250" s="7" t="str">
        <f ca="1">getCodigoBackend(N250,A250,VLOOKUP(N250,setup!$A$8:$H$58,2),VLOOKUP(N250,setup!$A$8:$H$58,3),VLOOKUP(N250,setup!$A$8:$H$58,4),VLOOKUP(N250,setup!$A$8:$H$58,5),VLOOKUP(N250,setup!$A$8:$H$58,6),VLOOKUP(N250,setup!$A$8:$H$58,7), VLOOKUP(0,setup!$A$8:$H$58,2),VLOOKUP(0,setup!$A$8:$H$58,5),VLOOKUP(N250,setup!$A$8:$H$58,8))</f>
        <v/>
      </c>
    </row>
    <row r="251" spans="1:15" x14ac:dyDescent="0.25">
      <c r="A251" s="6"/>
      <c r="O251" s="7" t="str">
        <f ca="1">getCodigoBackend(N251,A251,VLOOKUP(N251,setup!$A$8:$H$58,2),VLOOKUP(N251,setup!$A$8:$H$58,3),VLOOKUP(N251,setup!$A$8:$H$58,4),VLOOKUP(N251,setup!$A$8:$H$58,5),VLOOKUP(N251,setup!$A$8:$H$58,6),VLOOKUP(N251,setup!$A$8:$H$58,7), VLOOKUP(0,setup!$A$8:$H$58,2),VLOOKUP(0,setup!$A$8:$H$58,5),VLOOKUP(N251,setup!$A$8:$H$58,8))</f>
        <v/>
      </c>
    </row>
    <row r="252" spans="1:15" x14ac:dyDescent="0.25">
      <c r="A252" s="6"/>
      <c r="O252" s="7" t="str">
        <f ca="1">getCodigoBackend(N252,A252,VLOOKUP(N252,setup!$A$8:$H$58,2),VLOOKUP(N252,setup!$A$8:$H$58,3),VLOOKUP(N252,setup!$A$8:$H$58,4),VLOOKUP(N252,setup!$A$8:$H$58,5),VLOOKUP(N252,setup!$A$8:$H$58,6),VLOOKUP(N252,setup!$A$8:$H$58,7), VLOOKUP(0,setup!$A$8:$H$58,2),VLOOKUP(0,setup!$A$8:$H$58,5),VLOOKUP(N252,setup!$A$8:$H$58,8))</f>
        <v/>
      </c>
    </row>
    <row r="253" spans="1:15" x14ac:dyDescent="0.25">
      <c r="A253" s="6"/>
      <c r="O253" s="7" t="str">
        <f ca="1">getCodigoBackend(N253,A253,VLOOKUP(N253,setup!$A$8:$H$58,2),VLOOKUP(N253,setup!$A$8:$H$58,3),VLOOKUP(N253,setup!$A$8:$H$58,4),VLOOKUP(N253,setup!$A$8:$H$58,5),VLOOKUP(N253,setup!$A$8:$H$58,6),VLOOKUP(N253,setup!$A$8:$H$58,7), VLOOKUP(0,setup!$A$8:$H$58,2),VLOOKUP(0,setup!$A$8:$H$58,5),VLOOKUP(N253,setup!$A$8:$H$58,8))</f>
        <v/>
      </c>
    </row>
    <row r="254" spans="1:15" x14ac:dyDescent="0.25">
      <c r="A254" s="6"/>
      <c r="O254" s="7" t="str">
        <f ca="1">getCodigoBackend(N254,A254,VLOOKUP(N254,setup!$A$8:$H$58,2),VLOOKUP(N254,setup!$A$8:$H$58,3),VLOOKUP(N254,setup!$A$8:$H$58,4),VLOOKUP(N254,setup!$A$8:$H$58,5),VLOOKUP(N254,setup!$A$8:$H$58,6),VLOOKUP(N254,setup!$A$8:$H$58,7), VLOOKUP(0,setup!$A$8:$H$58,2),VLOOKUP(0,setup!$A$8:$H$58,5),VLOOKUP(N254,setup!$A$8:$H$58,8))</f>
        <v/>
      </c>
    </row>
    <row r="255" spans="1:15" x14ac:dyDescent="0.25">
      <c r="A255" s="6"/>
      <c r="O255" s="7" t="str">
        <f ca="1">getCodigoBackend(N255,A255,VLOOKUP(N255,setup!$A$8:$H$58,2),VLOOKUP(N255,setup!$A$8:$H$58,3),VLOOKUP(N255,setup!$A$8:$H$58,4),VLOOKUP(N255,setup!$A$8:$H$58,5),VLOOKUP(N255,setup!$A$8:$H$58,6),VLOOKUP(N255,setup!$A$8:$H$58,7), VLOOKUP(0,setup!$A$8:$H$58,2),VLOOKUP(0,setup!$A$8:$H$58,5),VLOOKUP(N255,setup!$A$8:$H$58,8))</f>
        <v/>
      </c>
    </row>
    <row r="256" spans="1:15" x14ac:dyDescent="0.25">
      <c r="A256" s="6"/>
      <c r="O256" s="7" t="str">
        <f ca="1">getCodigoBackend(N256,A256,VLOOKUP(N256,setup!$A$8:$H$58,2),VLOOKUP(N256,setup!$A$8:$H$58,3),VLOOKUP(N256,setup!$A$8:$H$58,4),VLOOKUP(N256,setup!$A$8:$H$58,5),VLOOKUP(N256,setup!$A$8:$H$58,6),VLOOKUP(N256,setup!$A$8:$H$58,7), VLOOKUP(0,setup!$A$8:$H$58,2),VLOOKUP(0,setup!$A$8:$H$58,5),VLOOKUP(N256,setup!$A$8:$H$58,8))</f>
        <v/>
      </c>
    </row>
    <row r="257" spans="1:15" x14ac:dyDescent="0.25">
      <c r="A257" s="6"/>
      <c r="O257" s="7" t="str">
        <f ca="1">getCodigoBackend(N257,A257,VLOOKUP(N257,setup!$A$8:$H$58,2),VLOOKUP(N257,setup!$A$8:$H$58,3),VLOOKUP(N257,setup!$A$8:$H$58,4),VLOOKUP(N257,setup!$A$8:$H$58,5),VLOOKUP(N257,setup!$A$8:$H$58,6),VLOOKUP(N257,setup!$A$8:$H$58,7), VLOOKUP(0,setup!$A$8:$H$58,2),VLOOKUP(0,setup!$A$8:$H$58,5),VLOOKUP(N257,setup!$A$8:$H$58,8))</f>
        <v/>
      </c>
    </row>
    <row r="258" spans="1:15" x14ac:dyDescent="0.25">
      <c r="A258" s="6"/>
      <c r="O258" s="7" t="str">
        <f ca="1">getCodigoBackend(N258,A258,VLOOKUP(N258,setup!$A$8:$H$58,2),VLOOKUP(N258,setup!$A$8:$H$58,3),VLOOKUP(N258,setup!$A$8:$H$58,4),VLOOKUP(N258,setup!$A$8:$H$58,5),VLOOKUP(N258,setup!$A$8:$H$58,6),VLOOKUP(N258,setup!$A$8:$H$58,7), VLOOKUP(0,setup!$A$8:$H$58,2),VLOOKUP(0,setup!$A$8:$H$58,5),VLOOKUP(N258,setup!$A$8:$H$58,8))</f>
        <v/>
      </c>
    </row>
    <row r="259" spans="1:15" x14ac:dyDescent="0.25">
      <c r="A259" s="15"/>
      <c r="O259" s="7" t="str">
        <f ca="1">getCodigoBackend(N259,A259,VLOOKUP(N259,setup!$A$8:$H$58,2),VLOOKUP(N259,setup!$A$8:$H$58,3),VLOOKUP(N259,setup!$A$8:$H$58,4),VLOOKUP(N259,setup!$A$8:$H$58,5),VLOOKUP(N259,setup!$A$8:$H$58,6),VLOOKUP(N259,setup!$A$8:$H$58,7), VLOOKUP(0,setup!$A$8:$H$58,2),VLOOKUP(0,setup!$A$8:$H$58,5),VLOOKUP(N259,setup!$A$8:$H$58,8))</f>
        <v/>
      </c>
    </row>
    <row r="260" spans="1:15" x14ac:dyDescent="0.25">
      <c r="A260" s="6"/>
      <c r="O260" s="7" t="str">
        <f ca="1">getCodigoBackend(N260,A260,VLOOKUP(N260,setup!$A$8:$H$58,2),VLOOKUP(N260,setup!$A$8:$H$58,3),VLOOKUP(N260,setup!$A$8:$H$58,4),VLOOKUP(N260,setup!$A$8:$H$58,5),VLOOKUP(N260,setup!$A$8:$H$58,6),VLOOKUP(N260,setup!$A$8:$H$58,7), VLOOKUP(0,setup!$A$8:$H$58,2),VLOOKUP(0,setup!$A$8:$H$58,5),VLOOKUP(N260,setup!$A$8:$H$58,8))</f>
        <v/>
      </c>
    </row>
    <row r="261" spans="1:15" x14ac:dyDescent="0.25">
      <c r="A261" s="6"/>
      <c r="O261" s="7" t="str">
        <f ca="1">getCodigoBackend(N261,A261,VLOOKUP(N261,setup!$A$8:$H$58,2),VLOOKUP(N261,setup!$A$8:$H$58,3),VLOOKUP(N261,setup!$A$8:$H$58,4),VLOOKUP(N261,setup!$A$8:$H$58,5),VLOOKUP(N261,setup!$A$8:$H$58,6),VLOOKUP(N261,setup!$A$8:$H$58,7), VLOOKUP(0,setup!$A$8:$H$58,2),VLOOKUP(0,setup!$A$8:$H$58,5),VLOOKUP(N261,setup!$A$8:$H$58,8))</f>
        <v/>
      </c>
    </row>
    <row r="262" spans="1:15" x14ac:dyDescent="0.25">
      <c r="A262" s="6"/>
      <c r="O262" s="7" t="str">
        <f ca="1">getCodigoBackend(N262,A262,VLOOKUP(N262,setup!$A$8:$H$58,2),VLOOKUP(N262,setup!$A$8:$H$58,3),VLOOKUP(N262,setup!$A$8:$H$58,4),VLOOKUP(N262,setup!$A$8:$H$58,5),VLOOKUP(N262,setup!$A$8:$H$58,6),VLOOKUP(N262,setup!$A$8:$H$58,7), VLOOKUP(0,setup!$A$8:$H$58,2),VLOOKUP(0,setup!$A$8:$H$58,5),VLOOKUP(N262,setup!$A$8:$H$58,8))</f>
        <v/>
      </c>
    </row>
    <row r="263" spans="1:15" x14ac:dyDescent="0.25">
      <c r="A263" s="6"/>
      <c r="O263" s="7" t="str">
        <f ca="1">getCodigoBackend(N263,A263,VLOOKUP(N263,setup!$A$8:$H$58,2),VLOOKUP(N263,setup!$A$8:$H$58,3),VLOOKUP(N263,setup!$A$8:$H$58,4),VLOOKUP(N263,setup!$A$8:$H$58,5),VLOOKUP(N263,setup!$A$8:$H$58,6),VLOOKUP(N263,setup!$A$8:$H$58,7), VLOOKUP(0,setup!$A$8:$H$58,2),VLOOKUP(0,setup!$A$8:$H$58,5),VLOOKUP(N263,setup!$A$8:$H$58,8))</f>
        <v/>
      </c>
    </row>
    <row r="264" spans="1:15" x14ac:dyDescent="0.25">
      <c r="A264" s="6"/>
      <c r="O264" s="7" t="str">
        <f ca="1">getCodigoBackend(N264,A264,VLOOKUP(N264,setup!$A$8:$H$58,2),VLOOKUP(N264,setup!$A$8:$H$58,3),VLOOKUP(N264,setup!$A$8:$H$58,4),VLOOKUP(N264,setup!$A$8:$H$58,5),VLOOKUP(N264,setup!$A$8:$H$58,6),VLOOKUP(N264,setup!$A$8:$H$58,7), VLOOKUP(0,setup!$A$8:$H$58,2),VLOOKUP(0,setup!$A$8:$H$58,5),VLOOKUP(N264,setup!$A$8:$H$58,8))</f>
        <v/>
      </c>
    </row>
    <row r="265" spans="1:15" x14ac:dyDescent="0.25">
      <c r="A265" s="6"/>
      <c r="O265" s="7" t="str">
        <f ca="1">getCodigoBackend(N265,A265,VLOOKUP(N265,setup!$A$8:$H$58,2),VLOOKUP(N265,setup!$A$8:$H$58,3),VLOOKUP(N265,setup!$A$8:$H$58,4),VLOOKUP(N265,setup!$A$8:$H$58,5),VLOOKUP(N265,setup!$A$8:$H$58,6),VLOOKUP(N265,setup!$A$8:$H$58,7), VLOOKUP(0,setup!$A$8:$H$58,2),VLOOKUP(0,setup!$A$8:$H$58,5),VLOOKUP(N265,setup!$A$8:$H$58,8))</f>
        <v/>
      </c>
    </row>
    <row r="266" spans="1:15" x14ac:dyDescent="0.25">
      <c r="A266" s="6"/>
      <c r="O266" s="7" t="str">
        <f ca="1">getCodigoBackend(N266,A266,VLOOKUP(N266,setup!$A$8:$H$58,2),VLOOKUP(N266,setup!$A$8:$H$58,3),VLOOKUP(N266,setup!$A$8:$H$58,4),VLOOKUP(N266,setup!$A$8:$H$58,5),VLOOKUP(N266,setup!$A$8:$H$58,6),VLOOKUP(N266,setup!$A$8:$H$58,7), VLOOKUP(0,setup!$A$8:$H$58,2),VLOOKUP(0,setup!$A$8:$H$58,5),VLOOKUP(N266,setup!$A$8:$H$58,8))</f>
        <v/>
      </c>
    </row>
    <row r="267" spans="1:15" x14ac:dyDescent="0.25">
      <c r="A267" s="6"/>
      <c r="O267" s="7" t="str">
        <f ca="1">getCodigoBackend(N267,A267,VLOOKUP(N267,setup!$A$8:$H$58,2),VLOOKUP(N267,setup!$A$8:$H$58,3),VLOOKUP(N267,setup!$A$8:$H$58,4),VLOOKUP(N267,setup!$A$8:$H$58,5),VLOOKUP(N267,setup!$A$8:$H$58,6),VLOOKUP(N267,setup!$A$8:$H$58,7), VLOOKUP(0,setup!$A$8:$H$58,2),VLOOKUP(0,setup!$A$8:$H$58,5),VLOOKUP(N267,setup!$A$8:$H$58,8))</f>
        <v/>
      </c>
    </row>
    <row r="268" spans="1:15" x14ac:dyDescent="0.25">
      <c r="A268" s="6"/>
      <c r="O268" s="7" t="str">
        <f ca="1">getCodigoBackend(N268,A268,VLOOKUP(N268,setup!$A$8:$H$58,2),VLOOKUP(N268,setup!$A$8:$H$58,3),VLOOKUP(N268,setup!$A$8:$H$58,4),VLOOKUP(N268,setup!$A$8:$H$58,5),VLOOKUP(N268,setup!$A$8:$H$58,6),VLOOKUP(N268,setup!$A$8:$H$58,7), VLOOKUP(0,setup!$A$8:$H$58,2),VLOOKUP(0,setup!$A$8:$H$58,5),VLOOKUP(N268,setup!$A$8:$H$58,8))</f>
        <v/>
      </c>
    </row>
    <row r="269" spans="1:15" x14ac:dyDescent="0.25">
      <c r="A269" s="6"/>
      <c r="O269" s="7" t="str">
        <f ca="1">getCodigoBackend(N269,A269,VLOOKUP(N269,setup!$A$8:$H$58,2),VLOOKUP(N269,setup!$A$8:$H$58,3),VLOOKUP(N269,setup!$A$8:$H$58,4),VLOOKUP(N269,setup!$A$8:$H$58,5),VLOOKUP(N269,setup!$A$8:$H$58,6),VLOOKUP(N269,setup!$A$8:$H$58,7), VLOOKUP(0,setup!$A$8:$H$58,2),VLOOKUP(0,setup!$A$8:$H$58,5),VLOOKUP(N269,setup!$A$8:$H$58,8))</f>
        <v/>
      </c>
    </row>
    <row r="270" spans="1:15" x14ac:dyDescent="0.25">
      <c r="A270" s="6"/>
      <c r="O270" s="7" t="str">
        <f ca="1">getCodigoBackend(N270,A270,VLOOKUP(N270,setup!$A$8:$H$58,2),VLOOKUP(N270,setup!$A$8:$H$58,3),VLOOKUP(N270,setup!$A$8:$H$58,4),VLOOKUP(N270,setup!$A$8:$H$58,5),VLOOKUP(N270,setup!$A$8:$H$58,6),VLOOKUP(N270,setup!$A$8:$H$58,7), VLOOKUP(0,setup!$A$8:$H$58,2),VLOOKUP(0,setup!$A$8:$H$58,5),VLOOKUP(N270,setup!$A$8:$H$58,8))</f>
        <v/>
      </c>
    </row>
    <row r="271" spans="1:15" x14ac:dyDescent="0.25">
      <c r="A271" s="6"/>
      <c r="O271" s="7" t="str">
        <f ca="1">getCodigoBackend(N271,A271,VLOOKUP(N271,setup!$A$8:$H$58,2),VLOOKUP(N271,setup!$A$8:$H$58,3),VLOOKUP(N271,setup!$A$8:$H$58,4),VLOOKUP(N271,setup!$A$8:$H$58,5),VLOOKUP(N271,setup!$A$8:$H$58,6),VLOOKUP(N271,setup!$A$8:$H$58,7), VLOOKUP(0,setup!$A$8:$H$58,2),VLOOKUP(0,setup!$A$8:$H$58,5),VLOOKUP(N271,setup!$A$8:$H$58,8))</f>
        <v/>
      </c>
    </row>
    <row r="272" spans="1:15" x14ac:dyDescent="0.25">
      <c r="A272" s="6"/>
      <c r="O272" s="7" t="str">
        <f ca="1">getCodigoBackend(N272,A272,VLOOKUP(N272,setup!$A$8:$H$58,2),VLOOKUP(N272,setup!$A$8:$H$58,3),VLOOKUP(N272,setup!$A$8:$H$58,4),VLOOKUP(N272,setup!$A$8:$H$58,5),VLOOKUP(N272,setup!$A$8:$H$58,6),VLOOKUP(N272,setup!$A$8:$H$58,7), VLOOKUP(0,setup!$A$8:$H$58,2),VLOOKUP(0,setup!$A$8:$H$58,5),VLOOKUP(N272,setup!$A$8:$H$58,8))</f>
        <v/>
      </c>
    </row>
    <row r="273" spans="1:15" x14ac:dyDescent="0.25">
      <c r="A273" s="6"/>
      <c r="O273" s="7" t="str">
        <f ca="1">getCodigoBackend(N273,A273,VLOOKUP(N273,setup!$A$8:$H$58,2),VLOOKUP(N273,setup!$A$8:$H$58,3),VLOOKUP(N273,setup!$A$8:$H$58,4),VLOOKUP(N273,setup!$A$8:$H$58,5),VLOOKUP(N273,setup!$A$8:$H$58,6),VLOOKUP(N273,setup!$A$8:$H$58,7), VLOOKUP(0,setup!$A$8:$H$58,2),VLOOKUP(0,setup!$A$8:$H$58,5),VLOOKUP(N273,setup!$A$8:$H$58,8))</f>
        <v/>
      </c>
    </row>
    <row r="274" spans="1:15" x14ac:dyDescent="0.25">
      <c r="A274" s="6"/>
      <c r="O274" s="7" t="str">
        <f ca="1">getCodigoBackend(N274,A274,VLOOKUP(N274,setup!$A$8:$H$58,2),VLOOKUP(N274,setup!$A$8:$H$58,3),VLOOKUP(N274,setup!$A$8:$H$58,4),VLOOKUP(N274,setup!$A$8:$H$58,5),VLOOKUP(N274,setup!$A$8:$H$58,6),VLOOKUP(N274,setup!$A$8:$H$58,7), VLOOKUP(0,setup!$A$8:$H$58,2),VLOOKUP(0,setup!$A$8:$H$58,5),VLOOKUP(N274,setup!$A$8:$H$58,8))</f>
        <v/>
      </c>
    </row>
    <row r="275" spans="1:15" x14ac:dyDescent="0.25">
      <c r="A275" s="6"/>
      <c r="O275" s="7" t="str">
        <f ca="1">getCodigoBackend(N275,A275,VLOOKUP(N275,setup!$A$8:$H$58,2),VLOOKUP(N275,setup!$A$8:$H$58,3),VLOOKUP(N275,setup!$A$8:$H$58,4),VLOOKUP(N275,setup!$A$8:$H$58,5),VLOOKUP(N275,setup!$A$8:$H$58,6),VLOOKUP(N275,setup!$A$8:$H$58,7), VLOOKUP(0,setup!$A$8:$H$58,2),VLOOKUP(0,setup!$A$8:$H$58,5),VLOOKUP(N275,setup!$A$8:$H$58,8))</f>
        <v/>
      </c>
    </row>
    <row r="276" spans="1:15" x14ac:dyDescent="0.25">
      <c r="A276" s="6"/>
      <c r="O276" s="7" t="str">
        <f ca="1">getCodigoBackend(N276,A276,VLOOKUP(N276,setup!$A$8:$H$58,2),VLOOKUP(N276,setup!$A$8:$H$58,3),VLOOKUP(N276,setup!$A$8:$H$58,4),VLOOKUP(N276,setup!$A$8:$H$58,5),VLOOKUP(N276,setup!$A$8:$H$58,6),VLOOKUP(N276,setup!$A$8:$H$58,7), VLOOKUP(0,setup!$A$8:$H$58,2),VLOOKUP(0,setup!$A$8:$H$58,5),VLOOKUP(N276,setup!$A$8:$H$58,8))</f>
        <v/>
      </c>
    </row>
    <row r="277" spans="1:15" x14ac:dyDescent="0.25">
      <c r="A277" s="6"/>
      <c r="O277" s="7" t="str">
        <f ca="1">getCodigoBackend(N277,A277,VLOOKUP(N277,setup!$A$8:$H$58,2),VLOOKUP(N277,setup!$A$8:$H$58,3),VLOOKUP(N277,setup!$A$8:$H$58,4),VLOOKUP(N277,setup!$A$8:$H$58,5),VLOOKUP(N277,setup!$A$8:$H$58,6),VLOOKUP(N277,setup!$A$8:$H$58,7), VLOOKUP(0,setup!$A$8:$H$58,2),VLOOKUP(0,setup!$A$8:$H$58,5),VLOOKUP(N277,setup!$A$8:$H$58,8))</f>
        <v/>
      </c>
    </row>
    <row r="278" spans="1:15" x14ac:dyDescent="0.25">
      <c r="A278" s="6"/>
      <c r="O278" s="7" t="str">
        <f ca="1">getCodigoBackend(N278,A278,VLOOKUP(N278,setup!$A$8:$H$58,2),VLOOKUP(N278,setup!$A$8:$H$58,3),VLOOKUP(N278,setup!$A$8:$H$58,4),VLOOKUP(N278,setup!$A$8:$H$58,5),VLOOKUP(N278,setup!$A$8:$H$58,6),VLOOKUP(N278,setup!$A$8:$H$58,7), VLOOKUP(0,setup!$A$8:$H$58,2),VLOOKUP(0,setup!$A$8:$H$58,5),VLOOKUP(N278,setup!$A$8:$H$58,8))</f>
        <v/>
      </c>
    </row>
    <row r="279" spans="1:15" x14ac:dyDescent="0.25">
      <c r="A279" s="6"/>
      <c r="O279" s="7" t="str">
        <f ca="1">getCodigoBackend(N279,A279,VLOOKUP(N279,setup!$A$8:$H$58,2),VLOOKUP(N279,setup!$A$8:$H$58,3),VLOOKUP(N279,setup!$A$8:$H$58,4),VLOOKUP(N279,setup!$A$8:$H$58,5),VLOOKUP(N279,setup!$A$8:$H$58,6),VLOOKUP(N279,setup!$A$8:$H$58,7), VLOOKUP(0,setup!$A$8:$H$58,2),VLOOKUP(0,setup!$A$8:$H$58,5),VLOOKUP(N279,setup!$A$8:$H$58,8))</f>
        <v/>
      </c>
    </row>
    <row r="280" spans="1:15" x14ac:dyDescent="0.25">
      <c r="A280" s="6"/>
      <c r="O280" s="7" t="str">
        <f ca="1">getCodigoBackend(N280,A280,VLOOKUP(N280,setup!$A$8:$H$58,2),VLOOKUP(N280,setup!$A$8:$H$58,3),VLOOKUP(N280,setup!$A$8:$H$58,4),VLOOKUP(N280,setup!$A$8:$H$58,5),VLOOKUP(N280,setup!$A$8:$H$58,6),VLOOKUP(N280,setup!$A$8:$H$58,7), VLOOKUP(0,setup!$A$8:$H$58,2),VLOOKUP(0,setup!$A$8:$H$58,5),VLOOKUP(N280,setup!$A$8:$H$58,8))</f>
        <v/>
      </c>
    </row>
    <row r="281" spans="1:15" x14ac:dyDescent="0.25">
      <c r="A281" s="6"/>
      <c r="O281" s="7" t="str">
        <f ca="1">getCodigoBackend(N281,A281,VLOOKUP(N281,setup!$A$8:$H$58,2),VLOOKUP(N281,setup!$A$8:$H$58,3),VLOOKUP(N281,setup!$A$8:$H$58,4),VLOOKUP(N281,setup!$A$8:$H$58,5),VLOOKUP(N281,setup!$A$8:$H$58,6),VLOOKUP(N281,setup!$A$8:$H$58,7), VLOOKUP(0,setup!$A$8:$H$58,2),VLOOKUP(0,setup!$A$8:$H$58,5),VLOOKUP(N281,setup!$A$8:$H$58,8))</f>
        <v/>
      </c>
    </row>
    <row r="282" spans="1:15" x14ac:dyDescent="0.25">
      <c r="A282" s="6"/>
      <c r="O282" s="7" t="str">
        <f ca="1">getCodigoBackend(N282,A282,VLOOKUP(N282,setup!$A$8:$H$58,2),VLOOKUP(N282,setup!$A$8:$H$58,3),VLOOKUP(N282,setup!$A$8:$H$58,4),VLOOKUP(N282,setup!$A$8:$H$58,5),VLOOKUP(N282,setup!$A$8:$H$58,6),VLOOKUP(N282,setup!$A$8:$H$58,7), VLOOKUP(0,setup!$A$8:$H$58,2),VLOOKUP(0,setup!$A$8:$H$58,5),VLOOKUP(N282,setup!$A$8:$H$58,8))</f>
        <v/>
      </c>
    </row>
    <row r="283" spans="1:15" x14ac:dyDescent="0.25">
      <c r="A283" s="6"/>
      <c r="O283" s="7" t="str">
        <f ca="1">getCodigoBackend(N283,A283,VLOOKUP(N283,setup!$A$8:$H$58,2),VLOOKUP(N283,setup!$A$8:$H$58,3),VLOOKUP(N283,setup!$A$8:$H$58,4),VLOOKUP(N283,setup!$A$8:$H$58,5),VLOOKUP(N283,setup!$A$8:$H$58,6),VLOOKUP(N283,setup!$A$8:$H$58,7), VLOOKUP(0,setup!$A$8:$H$58,2),VLOOKUP(0,setup!$A$8:$H$58,5),VLOOKUP(N283,setup!$A$8:$H$58,8))</f>
        <v/>
      </c>
    </row>
    <row r="284" spans="1:15" x14ac:dyDescent="0.25">
      <c r="A284" s="6"/>
      <c r="O284" s="7" t="str">
        <f ca="1">getCodigoBackend(N284,A284,VLOOKUP(N284,setup!$A$8:$H$58,2),VLOOKUP(N284,setup!$A$8:$H$58,3),VLOOKUP(N284,setup!$A$8:$H$58,4),VLOOKUP(N284,setup!$A$8:$H$58,5),VLOOKUP(N284,setup!$A$8:$H$58,6),VLOOKUP(N284,setup!$A$8:$H$58,7), VLOOKUP(0,setup!$A$8:$H$58,2),VLOOKUP(0,setup!$A$8:$H$58,5),VLOOKUP(N284,setup!$A$8:$H$58,8))</f>
        <v/>
      </c>
    </row>
    <row r="285" spans="1:15" x14ac:dyDescent="0.25">
      <c r="A285" s="6"/>
      <c r="O285" s="7" t="str">
        <f ca="1">getCodigoBackend(N285,A285,VLOOKUP(N285,setup!$A$8:$H$58,2),VLOOKUP(N285,setup!$A$8:$H$58,3),VLOOKUP(N285,setup!$A$8:$H$58,4),VLOOKUP(N285,setup!$A$8:$H$58,5),VLOOKUP(N285,setup!$A$8:$H$58,6),VLOOKUP(N285,setup!$A$8:$H$58,7), VLOOKUP(0,setup!$A$8:$H$58,2),VLOOKUP(0,setup!$A$8:$H$58,5),VLOOKUP(N285,setup!$A$8:$H$58,8))</f>
        <v/>
      </c>
    </row>
    <row r="286" spans="1:15" x14ac:dyDescent="0.25">
      <c r="A286" s="6"/>
      <c r="O286" s="7" t="str">
        <f ca="1">getCodigoBackend(N286,A286,VLOOKUP(N286,setup!$A$8:$H$58,2),VLOOKUP(N286,setup!$A$8:$H$58,3),VLOOKUP(N286,setup!$A$8:$H$58,4),VLOOKUP(N286,setup!$A$8:$H$58,5),VLOOKUP(N286,setup!$A$8:$H$58,6),VLOOKUP(N286,setup!$A$8:$H$58,7), VLOOKUP(0,setup!$A$8:$H$58,2),VLOOKUP(0,setup!$A$8:$H$58,5),VLOOKUP(N286,setup!$A$8:$H$58,8))</f>
        <v/>
      </c>
    </row>
    <row r="287" spans="1:15" x14ac:dyDescent="0.25">
      <c r="A287" s="6"/>
      <c r="O287" s="7" t="str">
        <f ca="1">getCodigoBackend(N287,A287,VLOOKUP(N287,setup!$A$8:$H$58,2),VLOOKUP(N287,setup!$A$8:$H$58,3),VLOOKUP(N287,setup!$A$8:$H$58,4),VLOOKUP(N287,setup!$A$8:$H$58,5),VLOOKUP(N287,setup!$A$8:$H$58,6),VLOOKUP(N287,setup!$A$8:$H$58,7), VLOOKUP(0,setup!$A$8:$H$58,2),VLOOKUP(0,setup!$A$8:$H$58,5),VLOOKUP(N287,setup!$A$8:$H$58,8))</f>
        <v/>
      </c>
    </row>
    <row r="288" spans="1:15" x14ac:dyDescent="0.25">
      <c r="A288" s="6"/>
      <c r="O288" s="7" t="str">
        <f ca="1">getCodigoBackend(N288,A288,VLOOKUP(N288,setup!$A$8:$H$58,2),VLOOKUP(N288,setup!$A$8:$H$58,3),VLOOKUP(N288,setup!$A$8:$H$58,4),VLOOKUP(N288,setup!$A$8:$H$58,5),VLOOKUP(N288,setup!$A$8:$H$58,6),VLOOKUP(N288,setup!$A$8:$H$58,7), VLOOKUP(0,setup!$A$8:$H$58,2),VLOOKUP(0,setup!$A$8:$H$58,5),VLOOKUP(N288,setup!$A$8:$H$58,8))</f>
        <v/>
      </c>
    </row>
    <row r="289" spans="1:15" x14ac:dyDescent="0.25">
      <c r="A289" s="6"/>
      <c r="O289" s="7" t="str">
        <f ca="1">getCodigoBackend(N289,A289,VLOOKUP(N289,setup!$A$8:$H$58,2),VLOOKUP(N289,setup!$A$8:$H$58,3),VLOOKUP(N289,setup!$A$8:$H$58,4),VLOOKUP(N289,setup!$A$8:$H$58,5),VLOOKUP(N289,setup!$A$8:$H$58,6),VLOOKUP(N289,setup!$A$8:$H$58,7), VLOOKUP(0,setup!$A$8:$H$58,2),VLOOKUP(0,setup!$A$8:$H$58,5),VLOOKUP(N289,setup!$A$8:$H$58,8))</f>
        <v/>
      </c>
    </row>
    <row r="290" spans="1:15" x14ac:dyDescent="0.25">
      <c r="A290" s="6"/>
      <c r="O290" s="7" t="str">
        <f ca="1">getCodigoBackend(N290,A290,VLOOKUP(N290,setup!$A$8:$H$58,2),VLOOKUP(N290,setup!$A$8:$H$58,3),VLOOKUP(N290,setup!$A$8:$H$58,4),VLOOKUP(N290,setup!$A$8:$H$58,5),VLOOKUP(N290,setup!$A$8:$H$58,6),VLOOKUP(N290,setup!$A$8:$H$58,7), VLOOKUP(0,setup!$A$8:$H$58,2),VLOOKUP(0,setup!$A$8:$H$58,5),VLOOKUP(N290,setup!$A$8:$H$58,8))</f>
        <v/>
      </c>
    </row>
    <row r="291" spans="1:15" x14ac:dyDescent="0.25">
      <c r="A291" s="6"/>
      <c r="O291" s="7" t="str">
        <f ca="1">getCodigoBackend(N291,A291,VLOOKUP(N291,setup!$A$8:$H$58,2),VLOOKUP(N291,setup!$A$8:$H$58,3),VLOOKUP(N291,setup!$A$8:$H$58,4),VLOOKUP(N291,setup!$A$8:$H$58,5),VLOOKUP(N291,setup!$A$8:$H$58,6),VLOOKUP(N291,setup!$A$8:$H$58,7), VLOOKUP(0,setup!$A$8:$H$58,2),VLOOKUP(0,setup!$A$8:$H$58,5),VLOOKUP(N291,setup!$A$8:$H$58,8))</f>
        <v/>
      </c>
    </row>
    <row r="292" spans="1:15" x14ac:dyDescent="0.25">
      <c r="A292" s="6"/>
      <c r="O292" s="7" t="str">
        <f ca="1">getCodigoBackend(N292,A292,VLOOKUP(N292,setup!$A$8:$H$58,2),VLOOKUP(N292,setup!$A$8:$H$58,3),VLOOKUP(N292,setup!$A$8:$H$58,4),VLOOKUP(N292,setup!$A$8:$H$58,5),VLOOKUP(N292,setup!$A$8:$H$58,6),VLOOKUP(N292,setup!$A$8:$H$58,7), VLOOKUP(0,setup!$A$8:$H$58,2),VLOOKUP(0,setup!$A$8:$H$58,5),VLOOKUP(N292,setup!$A$8:$H$58,8))</f>
        <v/>
      </c>
    </row>
    <row r="293" spans="1:15" x14ac:dyDescent="0.25">
      <c r="A293" s="6"/>
      <c r="O293" s="7" t="str">
        <f ca="1">getCodigoBackend(N293,A293,VLOOKUP(N293,setup!$A$8:$H$58,2),VLOOKUP(N293,setup!$A$8:$H$58,3),VLOOKUP(N293,setup!$A$8:$H$58,4),VLOOKUP(N293,setup!$A$8:$H$58,5),VLOOKUP(N293,setup!$A$8:$H$58,6),VLOOKUP(N293,setup!$A$8:$H$58,7), VLOOKUP(0,setup!$A$8:$H$58,2),VLOOKUP(0,setup!$A$8:$H$58,5),VLOOKUP(N293,setup!$A$8:$H$58,8))</f>
        <v/>
      </c>
    </row>
    <row r="294" spans="1:15" x14ac:dyDescent="0.25">
      <c r="A294" s="6"/>
      <c r="O294" s="7" t="str">
        <f ca="1">getCodigoBackend(N294,A294,VLOOKUP(N294,setup!$A$8:$H$58,2),VLOOKUP(N294,setup!$A$8:$H$58,3),VLOOKUP(N294,setup!$A$8:$H$58,4),VLOOKUP(N294,setup!$A$8:$H$58,5),VLOOKUP(N294,setup!$A$8:$H$58,6),VLOOKUP(N294,setup!$A$8:$H$58,7), VLOOKUP(0,setup!$A$8:$H$58,2),VLOOKUP(0,setup!$A$8:$H$58,5),VLOOKUP(N294,setup!$A$8:$H$58,8))</f>
        <v/>
      </c>
    </row>
    <row r="295" spans="1:15" x14ac:dyDescent="0.25">
      <c r="A295" s="6"/>
      <c r="O295" s="7" t="str">
        <f ca="1">getCodigoBackend(N295,A295,VLOOKUP(N295,setup!$A$8:$H$58,2),VLOOKUP(N295,setup!$A$8:$H$58,3),VLOOKUP(N295,setup!$A$8:$H$58,4),VLOOKUP(N295,setup!$A$8:$H$58,5),VLOOKUP(N295,setup!$A$8:$H$58,6),VLOOKUP(N295,setup!$A$8:$H$58,7), VLOOKUP(0,setup!$A$8:$H$58,2),VLOOKUP(0,setup!$A$8:$H$58,5),VLOOKUP(N295,setup!$A$8:$H$58,8))</f>
        <v/>
      </c>
    </row>
    <row r="296" spans="1:15" x14ac:dyDescent="0.25">
      <c r="A296" s="6"/>
      <c r="O296" s="7" t="str">
        <f ca="1">getCodigoBackend(N296,A296,VLOOKUP(N296,setup!$A$8:$H$58,2),VLOOKUP(N296,setup!$A$8:$H$58,3),VLOOKUP(N296,setup!$A$8:$H$58,4),VLOOKUP(N296,setup!$A$8:$H$58,5),VLOOKUP(N296,setup!$A$8:$H$58,6),VLOOKUP(N296,setup!$A$8:$H$58,7), VLOOKUP(0,setup!$A$8:$H$58,2),VLOOKUP(0,setup!$A$8:$H$58,5),VLOOKUP(N296,setup!$A$8:$H$58,8))</f>
        <v/>
      </c>
    </row>
    <row r="297" spans="1:15" x14ac:dyDescent="0.25">
      <c r="A297" s="6"/>
      <c r="O297" s="7" t="str">
        <f ca="1">getCodigoBackend(N297,A297,VLOOKUP(N297,setup!$A$8:$H$58,2),VLOOKUP(N297,setup!$A$8:$H$58,3),VLOOKUP(N297,setup!$A$8:$H$58,4),VLOOKUP(N297,setup!$A$8:$H$58,5),VLOOKUP(N297,setup!$A$8:$H$58,6),VLOOKUP(N297,setup!$A$8:$H$58,7), VLOOKUP(0,setup!$A$8:$H$58,2),VLOOKUP(0,setup!$A$8:$H$58,5),VLOOKUP(N297,setup!$A$8:$H$58,8))</f>
        <v/>
      </c>
    </row>
    <row r="298" spans="1:15" x14ac:dyDescent="0.25">
      <c r="A298" s="6"/>
      <c r="O298" s="7" t="str">
        <f ca="1">getCodigoBackend(N298,A298,VLOOKUP(N298,setup!$A$8:$H$58,2),VLOOKUP(N298,setup!$A$8:$H$58,3),VLOOKUP(N298,setup!$A$8:$H$58,4),VLOOKUP(N298,setup!$A$8:$H$58,5),VLOOKUP(N298,setup!$A$8:$H$58,6),VLOOKUP(N298,setup!$A$8:$H$58,7), VLOOKUP(0,setup!$A$8:$H$58,2),VLOOKUP(0,setup!$A$8:$H$58,5),VLOOKUP(N298,setup!$A$8:$H$58,8))</f>
        <v/>
      </c>
    </row>
    <row r="299" spans="1:15" x14ac:dyDescent="0.25">
      <c r="A299" s="6"/>
      <c r="O299" s="7" t="str">
        <f ca="1">getCodigoBackend(N299,A299,VLOOKUP(N299,setup!$A$8:$H$58,2),VLOOKUP(N299,setup!$A$8:$H$58,3),VLOOKUP(N299,setup!$A$8:$H$58,4),VLOOKUP(N299,setup!$A$8:$H$58,5),VLOOKUP(N299,setup!$A$8:$H$58,6),VLOOKUP(N299,setup!$A$8:$H$58,7), VLOOKUP(0,setup!$A$8:$H$58,2),VLOOKUP(0,setup!$A$8:$H$58,5),VLOOKUP(N299,setup!$A$8:$H$58,8))</f>
        <v/>
      </c>
    </row>
    <row r="300" spans="1:15" x14ac:dyDescent="0.25">
      <c r="A300" s="6"/>
      <c r="O300" s="7" t="str">
        <f ca="1">getCodigoBackend(N300,A300,VLOOKUP(N300,setup!$A$8:$H$58,2),VLOOKUP(N300,setup!$A$8:$H$58,3),VLOOKUP(N300,setup!$A$8:$H$58,4),VLOOKUP(N300,setup!$A$8:$H$58,5),VLOOKUP(N300,setup!$A$8:$H$58,6),VLOOKUP(N300,setup!$A$8:$H$58,7), VLOOKUP(0,setup!$A$8:$H$58,2),VLOOKUP(0,setup!$A$8:$H$58,5),VLOOKUP(N300,setup!$A$8:$H$58,8))</f>
        <v/>
      </c>
    </row>
    <row r="301" spans="1:15" x14ac:dyDescent="0.25">
      <c r="A301" s="6"/>
      <c r="O301" s="7" t="str">
        <f ca="1">getCodigoBackend(N301,A301,VLOOKUP(N301,setup!$A$8:$H$58,2),VLOOKUP(N301,setup!$A$8:$H$58,3),VLOOKUP(N301,setup!$A$8:$H$58,4),VLOOKUP(N301,setup!$A$8:$H$58,5),VLOOKUP(N301,setup!$A$8:$H$58,6),VLOOKUP(N301,setup!$A$8:$H$58,7), VLOOKUP(0,setup!$A$8:$H$58,2),VLOOKUP(0,setup!$A$8:$H$58,5),VLOOKUP(N301,setup!$A$8:$H$58,8))</f>
        <v/>
      </c>
    </row>
    <row r="302" spans="1:15" x14ac:dyDescent="0.25">
      <c r="A302" s="6"/>
      <c r="O302" s="7" t="str">
        <f ca="1">getCodigoBackend(N302,A302,VLOOKUP(N302,setup!$A$8:$H$58,2),VLOOKUP(N302,setup!$A$8:$H$58,3),VLOOKUP(N302,setup!$A$8:$H$58,4),VLOOKUP(N302,setup!$A$8:$H$58,5),VLOOKUP(N302,setup!$A$8:$H$58,6),VLOOKUP(N302,setup!$A$8:$H$58,7), VLOOKUP(0,setup!$A$8:$H$58,2),VLOOKUP(0,setup!$A$8:$H$58,5),VLOOKUP(N302,setup!$A$8:$H$58,8))</f>
        <v/>
      </c>
    </row>
    <row r="303" spans="1:15" x14ac:dyDescent="0.25">
      <c r="A303" s="6"/>
      <c r="O303" s="7" t="str">
        <f ca="1">getCodigoBackend(N303,A303,VLOOKUP(N303,setup!$A$8:$H$58,2),VLOOKUP(N303,setup!$A$8:$H$58,3),VLOOKUP(N303,setup!$A$8:$H$58,4),VLOOKUP(N303,setup!$A$8:$H$58,5),VLOOKUP(N303,setup!$A$8:$H$58,6),VLOOKUP(N303,setup!$A$8:$H$58,7), VLOOKUP(0,setup!$A$8:$H$58,2),VLOOKUP(0,setup!$A$8:$H$58,5),VLOOKUP(N303,setup!$A$8:$H$58,8))</f>
        <v/>
      </c>
    </row>
    <row r="304" spans="1:15" x14ac:dyDescent="0.25">
      <c r="A304" s="6"/>
      <c r="O304" s="7" t="str">
        <f ca="1">getCodigoBackend(N304,A304,VLOOKUP(N304,setup!$A$8:$H$58,2),VLOOKUP(N304,setup!$A$8:$H$58,3),VLOOKUP(N304,setup!$A$8:$H$58,4),VLOOKUP(N304,setup!$A$8:$H$58,5),VLOOKUP(N304,setup!$A$8:$H$58,6),VLOOKUP(N304,setup!$A$8:$H$58,7), VLOOKUP(0,setup!$A$8:$H$58,2),VLOOKUP(0,setup!$A$8:$H$58,5),VLOOKUP(N304,setup!$A$8:$H$58,8))</f>
        <v/>
      </c>
    </row>
    <row r="305" spans="1:15" x14ac:dyDescent="0.25">
      <c r="A305" s="6"/>
      <c r="O305" s="7" t="str">
        <f ca="1">getCodigoBackend(N305,A305,VLOOKUP(N305,setup!$A$8:$H$58,2),VLOOKUP(N305,setup!$A$8:$H$58,3),VLOOKUP(N305,setup!$A$8:$H$58,4),VLOOKUP(N305,setup!$A$8:$H$58,5),VLOOKUP(N305,setup!$A$8:$H$58,6),VLOOKUP(N305,setup!$A$8:$H$58,7), VLOOKUP(0,setup!$A$8:$H$58,2),VLOOKUP(0,setup!$A$8:$H$58,5),VLOOKUP(N305,setup!$A$8:$H$58,8))</f>
        <v/>
      </c>
    </row>
    <row r="306" spans="1:15" x14ac:dyDescent="0.25">
      <c r="A306" s="6"/>
      <c r="O306" s="7" t="str">
        <f ca="1">getCodigoBackend(N306,A306,VLOOKUP(N306,setup!$A$8:$H$58,2),VLOOKUP(N306,setup!$A$8:$H$58,3),VLOOKUP(N306,setup!$A$8:$H$58,4),VLOOKUP(N306,setup!$A$8:$H$58,5),VLOOKUP(N306,setup!$A$8:$H$58,6),VLOOKUP(N306,setup!$A$8:$H$58,7), VLOOKUP(0,setup!$A$8:$H$58,2),VLOOKUP(0,setup!$A$8:$H$58,5),VLOOKUP(N306,setup!$A$8:$H$58,8))</f>
        <v/>
      </c>
    </row>
    <row r="307" spans="1:15" x14ac:dyDescent="0.25">
      <c r="A307" s="6"/>
      <c r="O307" s="7" t="str">
        <f ca="1">getCodigoBackend(N307,A307,VLOOKUP(N307,setup!$A$8:$H$58,2),VLOOKUP(N307,setup!$A$8:$H$58,3),VLOOKUP(N307,setup!$A$8:$H$58,4),VLOOKUP(N307,setup!$A$8:$H$58,5),VLOOKUP(N307,setup!$A$8:$H$58,6),VLOOKUP(N307,setup!$A$8:$H$58,7), VLOOKUP(0,setup!$A$8:$H$58,2),VLOOKUP(0,setup!$A$8:$H$58,5),VLOOKUP(N307,setup!$A$8:$H$58,8))</f>
        <v/>
      </c>
    </row>
    <row r="308" spans="1:15" x14ac:dyDescent="0.25">
      <c r="A308" s="6"/>
      <c r="O308" s="7" t="str">
        <f ca="1">getCodigoBackend(N308,A308,VLOOKUP(N308,setup!$A$8:$H$58,2),VLOOKUP(N308,setup!$A$8:$H$58,3),VLOOKUP(N308,setup!$A$8:$H$58,4),VLOOKUP(N308,setup!$A$8:$H$58,5),VLOOKUP(N308,setup!$A$8:$H$58,6),VLOOKUP(N308,setup!$A$8:$H$58,7), VLOOKUP(0,setup!$A$8:$H$58,2),VLOOKUP(0,setup!$A$8:$H$58,5),VLOOKUP(N308,setup!$A$8:$H$58,8))</f>
        <v/>
      </c>
    </row>
    <row r="309" spans="1:15" x14ac:dyDescent="0.25">
      <c r="A309" s="6"/>
      <c r="O309" s="7" t="str">
        <f ca="1">getCodigoBackend(N309,A309,VLOOKUP(N309,setup!$A$8:$H$58,2),VLOOKUP(N309,setup!$A$8:$H$58,3),VLOOKUP(N309,setup!$A$8:$H$58,4),VLOOKUP(N309,setup!$A$8:$H$58,5),VLOOKUP(N309,setup!$A$8:$H$58,6),VLOOKUP(N309,setup!$A$8:$H$58,7), VLOOKUP(0,setup!$A$8:$H$58,2),VLOOKUP(0,setup!$A$8:$H$58,5),VLOOKUP(N309,setup!$A$8:$H$58,8))</f>
        <v/>
      </c>
    </row>
    <row r="310" spans="1:15" x14ac:dyDescent="0.25">
      <c r="A310" s="6"/>
      <c r="O310" s="7" t="str">
        <f ca="1">getCodigoBackend(N310,A310,VLOOKUP(N310,setup!$A$8:$H$58,2),VLOOKUP(N310,setup!$A$8:$H$58,3),VLOOKUP(N310,setup!$A$8:$H$58,4),VLOOKUP(N310,setup!$A$8:$H$58,5),VLOOKUP(N310,setup!$A$8:$H$58,6),VLOOKUP(N310,setup!$A$8:$H$58,7), VLOOKUP(0,setup!$A$8:$H$58,2),VLOOKUP(0,setup!$A$8:$H$58,5),VLOOKUP(N310,setup!$A$8:$H$58,8))</f>
        <v/>
      </c>
    </row>
    <row r="311" spans="1:15" x14ac:dyDescent="0.25">
      <c r="A311" s="6"/>
      <c r="O311" s="7" t="str">
        <f ca="1">getCodigoBackend(N311,A311,VLOOKUP(N311,setup!$A$8:$H$58,2),VLOOKUP(N311,setup!$A$8:$H$58,3),VLOOKUP(N311,setup!$A$8:$H$58,4),VLOOKUP(N311,setup!$A$8:$H$58,5),VLOOKUP(N311,setup!$A$8:$H$58,6),VLOOKUP(N311,setup!$A$8:$H$58,7), VLOOKUP(0,setup!$A$8:$H$58,2),VLOOKUP(0,setup!$A$8:$H$58,5),VLOOKUP(N311,setup!$A$8:$H$58,8))</f>
        <v/>
      </c>
    </row>
    <row r="312" spans="1:15" x14ac:dyDescent="0.25">
      <c r="A312" s="6"/>
      <c r="O312" s="7" t="str">
        <f ca="1">getCodigoBackend(N312,A312,VLOOKUP(N312,setup!$A$8:$H$58,2),VLOOKUP(N312,setup!$A$8:$H$58,3),VLOOKUP(N312,setup!$A$8:$H$58,4),VLOOKUP(N312,setup!$A$8:$H$58,5),VLOOKUP(N312,setup!$A$8:$H$58,6),VLOOKUP(N312,setup!$A$8:$H$58,7), VLOOKUP(0,setup!$A$8:$H$58,2),VLOOKUP(0,setup!$A$8:$H$58,5),VLOOKUP(N312,setup!$A$8:$H$58,8))</f>
        <v/>
      </c>
    </row>
    <row r="313" spans="1:15" x14ac:dyDescent="0.25">
      <c r="A313" s="6"/>
      <c r="O313" s="7" t="str">
        <f ca="1">getCodigoBackend(N313,A313,VLOOKUP(N313,setup!$A$8:$H$58,2),VLOOKUP(N313,setup!$A$8:$H$58,3),VLOOKUP(N313,setup!$A$8:$H$58,4),VLOOKUP(N313,setup!$A$8:$H$58,5),VLOOKUP(N313,setup!$A$8:$H$58,6),VLOOKUP(N313,setup!$A$8:$H$58,7), VLOOKUP(0,setup!$A$8:$H$58,2),VLOOKUP(0,setup!$A$8:$H$58,5),VLOOKUP(N313,setup!$A$8:$H$58,8))</f>
        <v/>
      </c>
    </row>
    <row r="314" spans="1:15" x14ac:dyDescent="0.25">
      <c r="A314" s="6"/>
      <c r="O314" s="7" t="str">
        <f ca="1">getCodigoBackend(N314,A314,VLOOKUP(N314,setup!$A$8:$H$58,2),VLOOKUP(N314,setup!$A$8:$H$58,3),VLOOKUP(N314,setup!$A$8:$H$58,4),VLOOKUP(N314,setup!$A$8:$H$58,5),VLOOKUP(N314,setup!$A$8:$H$58,6),VLOOKUP(N314,setup!$A$8:$H$58,7), VLOOKUP(0,setup!$A$8:$H$58,2),VLOOKUP(0,setup!$A$8:$H$58,5),VLOOKUP(N314,setup!$A$8:$H$58,8))</f>
        <v/>
      </c>
    </row>
    <row r="315" spans="1:15" x14ac:dyDescent="0.25">
      <c r="A315" s="6"/>
      <c r="O315" s="7" t="str">
        <f ca="1">getCodigoBackend(N315,A315,VLOOKUP(N315,setup!$A$8:$H$58,2),VLOOKUP(N315,setup!$A$8:$H$58,3),VLOOKUP(N315,setup!$A$8:$H$58,4),VLOOKUP(N315,setup!$A$8:$H$58,5),VLOOKUP(N315,setup!$A$8:$H$58,6),VLOOKUP(N315,setup!$A$8:$H$58,7), VLOOKUP(0,setup!$A$8:$H$58,2),VLOOKUP(0,setup!$A$8:$H$58,5),VLOOKUP(N315,setup!$A$8:$H$58,8))</f>
        <v/>
      </c>
    </row>
    <row r="316" spans="1:15" x14ac:dyDescent="0.25">
      <c r="A316" s="6"/>
      <c r="O316" s="7" t="str">
        <f ca="1">getCodigoBackend(N316,A316,VLOOKUP(N316,setup!$A$8:$H$58,2),VLOOKUP(N316,setup!$A$8:$H$58,3),VLOOKUP(N316,setup!$A$8:$H$58,4),VLOOKUP(N316,setup!$A$8:$H$58,5),VLOOKUP(N316,setup!$A$8:$H$58,6),VLOOKUP(N316,setup!$A$8:$H$58,7), VLOOKUP(0,setup!$A$8:$H$58,2),VLOOKUP(0,setup!$A$8:$H$58,5),VLOOKUP(N316,setup!$A$8:$H$58,8))</f>
        <v/>
      </c>
    </row>
    <row r="317" spans="1:15" x14ac:dyDescent="0.25">
      <c r="A317" s="6"/>
      <c r="O317" s="7" t="str">
        <f ca="1">getCodigoBackend(N317,A317,VLOOKUP(N317,setup!$A$8:$H$58,2),VLOOKUP(N317,setup!$A$8:$H$58,3),VLOOKUP(N317,setup!$A$8:$H$58,4),VLOOKUP(N317,setup!$A$8:$H$58,5),VLOOKUP(N317,setup!$A$8:$H$58,6),VLOOKUP(N317,setup!$A$8:$H$58,7), VLOOKUP(0,setup!$A$8:$H$58,2),VLOOKUP(0,setup!$A$8:$H$58,5),VLOOKUP(N317,setup!$A$8:$H$58,8))</f>
        <v/>
      </c>
    </row>
    <row r="318" spans="1:15" x14ac:dyDescent="0.25">
      <c r="A318" s="6"/>
      <c r="O318" s="7" t="str">
        <f ca="1">getCodigoBackend(N318,A318,VLOOKUP(N318,setup!$A$8:$H$58,2),VLOOKUP(N318,setup!$A$8:$H$58,3),VLOOKUP(N318,setup!$A$8:$H$58,4),VLOOKUP(N318,setup!$A$8:$H$58,5),VLOOKUP(N318,setup!$A$8:$H$58,6),VLOOKUP(N318,setup!$A$8:$H$58,7), VLOOKUP(0,setup!$A$8:$H$58,2),VLOOKUP(0,setup!$A$8:$H$58,5),VLOOKUP(N318,setup!$A$8:$H$58,8))</f>
        <v/>
      </c>
    </row>
    <row r="319" spans="1:15" x14ac:dyDescent="0.25">
      <c r="A319" s="15"/>
      <c r="O319" s="7" t="str">
        <f ca="1">getCodigoBackend(N319,A319,VLOOKUP(N319,setup!$A$8:$H$58,2),VLOOKUP(N319,setup!$A$8:$H$58,3),VLOOKUP(N319,setup!$A$8:$H$58,4),VLOOKUP(N319,setup!$A$8:$H$58,5),VLOOKUP(N319,setup!$A$8:$H$58,6),VLOOKUP(N319,setup!$A$8:$H$58,7), VLOOKUP(0,setup!$A$8:$H$58,2),VLOOKUP(0,setup!$A$8:$H$58,5),VLOOKUP(N319,setup!$A$8:$H$58,8))</f>
        <v/>
      </c>
    </row>
    <row r="320" spans="1:15" x14ac:dyDescent="0.25">
      <c r="A320" s="6"/>
      <c r="O320" s="7" t="str">
        <f ca="1">getCodigoBackend(N320,A320,VLOOKUP(N320,setup!$A$8:$H$58,2),VLOOKUP(N320,setup!$A$8:$H$58,3),VLOOKUP(N320,setup!$A$8:$H$58,4),VLOOKUP(N320,setup!$A$8:$H$58,5),VLOOKUP(N320,setup!$A$8:$H$58,6),VLOOKUP(N320,setup!$A$8:$H$58,7), VLOOKUP(0,setup!$A$8:$H$58,2),VLOOKUP(0,setup!$A$8:$H$58,5),VLOOKUP(N320,setup!$A$8:$H$58,8))</f>
        <v/>
      </c>
    </row>
    <row r="321" spans="1:15" x14ac:dyDescent="0.25">
      <c r="A321" s="6"/>
      <c r="O321" s="7" t="str">
        <f ca="1">getCodigoBackend(N321,A321,VLOOKUP(N321,setup!$A$8:$H$58,2),VLOOKUP(N321,setup!$A$8:$H$58,3),VLOOKUP(N321,setup!$A$8:$H$58,4),VLOOKUP(N321,setup!$A$8:$H$58,5),VLOOKUP(N321,setup!$A$8:$H$58,6),VLOOKUP(N321,setup!$A$8:$H$58,7), VLOOKUP(0,setup!$A$8:$H$58,2),VLOOKUP(0,setup!$A$8:$H$58,5),VLOOKUP(N321,setup!$A$8:$H$58,8))</f>
        <v/>
      </c>
    </row>
    <row r="322" spans="1:15" x14ac:dyDescent="0.25">
      <c r="A322" s="6"/>
      <c r="O322" s="7" t="str">
        <f ca="1">getCodigoBackend(N322,A322,VLOOKUP(N322,setup!$A$8:$H$58,2),VLOOKUP(N322,setup!$A$8:$H$58,3),VLOOKUP(N322,setup!$A$8:$H$58,4),VLOOKUP(N322,setup!$A$8:$H$58,5),VLOOKUP(N322,setup!$A$8:$H$58,6),VLOOKUP(N322,setup!$A$8:$H$58,7), VLOOKUP(0,setup!$A$8:$H$58,2),VLOOKUP(0,setup!$A$8:$H$58,5),VLOOKUP(N322,setup!$A$8:$H$58,8))</f>
        <v/>
      </c>
    </row>
    <row r="323" spans="1:15" x14ac:dyDescent="0.25">
      <c r="A323" s="6"/>
      <c r="O323" s="7" t="str">
        <f ca="1">getCodigoBackend(N323,A323,VLOOKUP(N323,setup!$A$8:$H$58,2),VLOOKUP(N323,setup!$A$8:$H$58,3),VLOOKUP(N323,setup!$A$8:$H$58,4),VLOOKUP(N323,setup!$A$8:$H$58,5),VLOOKUP(N323,setup!$A$8:$H$58,6),VLOOKUP(N323,setup!$A$8:$H$58,7), VLOOKUP(0,setup!$A$8:$H$58,2),VLOOKUP(0,setup!$A$8:$H$58,5),VLOOKUP(N323,setup!$A$8:$H$58,8))</f>
        <v/>
      </c>
    </row>
    <row r="324" spans="1:15" x14ac:dyDescent="0.25">
      <c r="A324" s="6"/>
      <c r="O324" s="7" t="str">
        <f ca="1">getCodigoBackend(N324,A324,VLOOKUP(N324,setup!$A$8:$H$58,2),VLOOKUP(N324,setup!$A$8:$H$58,3),VLOOKUP(N324,setup!$A$8:$H$58,4),VLOOKUP(N324,setup!$A$8:$H$58,5),VLOOKUP(N324,setup!$A$8:$H$58,6),VLOOKUP(N324,setup!$A$8:$H$58,7), VLOOKUP(0,setup!$A$8:$H$58,2),VLOOKUP(0,setup!$A$8:$H$58,5),VLOOKUP(N324,setup!$A$8:$H$58,8))</f>
        <v/>
      </c>
    </row>
    <row r="325" spans="1:15" x14ac:dyDescent="0.25">
      <c r="A325" s="6"/>
      <c r="O325" s="7" t="str">
        <f ca="1">getCodigoBackend(N325,A325,VLOOKUP(N325,setup!$A$8:$H$58,2),VLOOKUP(N325,setup!$A$8:$H$58,3),VLOOKUP(N325,setup!$A$8:$H$58,4),VLOOKUP(N325,setup!$A$8:$H$58,5),VLOOKUP(N325,setup!$A$8:$H$58,6),VLOOKUP(N325,setup!$A$8:$H$58,7), VLOOKUP(0,setup!$A$8:$H$58,2),VLOOKUP(0,setup!$A$8:$H$58,5),VLOOKUP(N325,setup!$A$8:$H$58,8))</f>
        <v/>
      </c>
    </row>
    <row r="326" spans="1:15" x14ac:dyDescent="0.25">
      <c r="A326" s="6"/>
      <c r="O326" s="7" t="str">
        <f ca="1">getCodigoBackend(N326,A326,VLOOKUP(N326,setup!$A$8:$H$58,2),VLOOKUP(N326,setup!$A$8:$H$58,3),VLOOKUP(N326,setup!$A$8:$H$58,4),VLOOKUP(N326,setup!$A$8:$H$58,5),VLOOKUP(N326,setup!$A$8:$H$58,6),VLOOKUP(N326,setup!$A$8:$H$58,7), VLOOKUP(0,setup!$A$8:$H$58,2),VLOOKUP(0,setup!$A$8:$H$58,5),VLOOKUP(N326,setup!$A$8:$H$58,8))</f>
        <v/>
      </c>
    </row>
    <row r="327" spans="1:15" x14ac:dyDescent="0.25">
      <c r="A327" s="6"/>
      <c r="O327" s="7" t="str">
        <f ca="1">getCodigoBackend(N327,A327,VLOOKUP(N327,setup!$A$8:$H$58,2),VLOOKUP(N327,setup!$A$8:$H$58,3),VLOOKUP(N327,setup!$A$8:$H$58,4),VLOOKUP(N327,setup!$A$8:$H$58,5),VLOOKUP(N327,setup!$A$8:$H$58,6),VLOOKUP(N327,setup!$A$8:$H$58,7), VLOOKUP(0,setup!$A$8:$H$58,2),VLOOKUP(0,setup!$A$8:$H$58,5),VLOOKUP(N327,setup!$A$8:$H$58,8))</f>
        <v/>
      </c>
    </row>
    <row r="328" spans="1:15" x14ac:dyDescent="0.25">
      <c r="A328" s="6"/>
      <c r="O328" s="7" t="str">
        <f ca="1">getCodigoBackend(N328,A328,VLOOKUP(N328,setup!$A$8:$H$58,2),VLOOKUP(N328,setup!$A$8:$H$58,3),VLOOKUP(N328,setup!$A$8:$H$58,4),VLOOKUP(N328,setup!$A$8:$H$58,5),VLOOKUP(N328,setup!$A$8:$H$58,6),VLOOKUP(N328,setup!$A$8:$H$58,7), VLOOKUP(0,setup!$A$8:$H$58,2),VLOOKUP(0,setup!$A$8:$H$58,5),VLOOKUP(N328,setup!$A$8:$H$58,8))</f>
        <v/>
      </c>
    </row>
    <row r="329" spans="1:15" x14ac:dyDescent="0.25">
      <c r="A329" s="6"/>
      <c r="O329" s="7" t="str">
        <f ca="1">getCodigoBackend(N329,A329,VLOOKUP(N329,setup!$A$8:$H$58,2),VLOOKUP(N329,setup!$A$8:$H$58,3),VLOOKUP(N329,setup!$A$8:$H$58,4),VLOOKUP(N329,setup!$A$8:$H$58,5),VLOOKUP(N329,setup!$A$8:$H$58,6),VLOOKUP(N329,setup!$A$8:$H$58,7), VLOOKUP(0,setup!$A$8:$H$58,2),VLOOKUP(0,setup!$A$8:$H$58,5),VLOOKUP(N329,setup!$A$8:$H$58,8))</f>
        <v/>
      </c>
    </row>
    <row r="330" spans="1:15" x14ac:dyDescent="0.25">
      <c r="A330" s="6"/>
      <c r="O330" s="7" t="str">
        <f ca="1">getCodigoBackend(N330,A330,VLOOKUP(N330,setup!$A$8:$H$58,2),VLOOKUP(N330,setup!$A$8:$H$58,3),VLOOKUP(N330,setup!$A$8:$H$58,4),VLOOKUP(N330,setup!$A$8:$H$58,5),VLOOKUP(N330,setup!$A$8:$H$58,6),VLOOKUP(N330,setup!$A$8:$H$58,7), VLOOKUP(0,setup!$A$8:$H$58,2),VLOOKUP(0,setup!$A$8:$H$58,5),VLOOKUP(N330,setup!$A$8:$H$58,8))</f>
        <v/>
      </c>
    </row>
    <row r="331" spans="1:15" x14ac:dyDescent="0.25">
      <c r="A331" s="6"/>
      <c r="O331" s="7" t="str">
        <f ca="1">getCodigoBackend(N331,A331,VLOOKUP(N331,setup!$A$8:$H$58,2),VLOOKUP(N331,setup!$A$8:$H$58,3),VLOOKUP(N331,setup!$A$8:$H$58,4),VLOOKUP(N331,setup!$A$8:$H$58,5),VLOOKUP(N331,setup!$A$8:$H$58,6),VLOOKUP(N331,setup!$A$8:$H$58,7), VLOOKUP(0,setup!$A$8:$H$58,2),VLOOKUP(0,setup!$A$8:$H$58,5),VLOOKUP(N331,setup!$A$8:$H$58,8))</f>
        <v/>
      </c>
    </row>
    <row r="332" spans="1:15" x14ac:dyDescent="0.25">
      <c r="A332" s="6"/>
      <c r="O332" s="7" t="str">
        <f ca="1">getCodigoBackend(N332,A332,VLOOKUP(N332,setup!$A$8:$H$58,2),VLOOKUP(N332,setup!$A$8:$H$58,3),VLOOKUP(N332,setup!$A$8:$H$58,4),VLOOKUP(N332,setup!$A$8:$H$58,5),VLOOKUP(N332,setup!$A$8:$H$58,6),VLOOKUP(N332,setup!$A$8:$H$58,7), VLOOKUP(0,setup!$A$8:$H$58,2),VLOOKUP(0,setup!$A$8:$H$58,5),VLOOKUP(N332,setup!$A$8:$H$58,8))</f>
        <v/>
      </c>
    </row>
    <row r="333" spans="1:15" x14ac:dyDescent="0.25">
      <c r="A333" s="6"/>
      <c r="O333" s="7" t="str">
        <f ca="1">getCodigoBackend(N333,A333,VLOOKUP(N333,setup!$A$8:$H$58,2),VLOOKUP(N333,setup!$A$8:$H$58,3),VLOOKUP(N333,setup!$A$8:$H$58,4),VLOOKUP(N333,setup!$A$8:$H$58,5),VLOOKUP(N333,setup!$A$8:$H$58,6),VLOOKUP(N333,setup!$A$8:$H$58,7), VLOOKUP(0,setup!$A$8:$H$58,2),VLOOKUP(0,setup!$A$8:$H$58,5),VLOOKUP(N333,setup!$A$8:$H$58,8))</f>
        <v/>
      </c>
    </row>
    <row r="334" spans="1:15" x14ac:dyDescent="0.25">
      <c r="A334" s="6"/>
      <c r="O334" s="7" t="str">
        <f ca="1">getCodigoBackend(N334,A334,VLOOKUP(N334,setup!$A$8:$H$58,2),VLOOKUP(N334,setup!$A$8:$H$58,3),VLOOKUP(N334,setup!$A$8:$H$58,4),VLOOKUP(N334,setup!$A$8:$H$58,5),VLOOKUP(N334,setup!$A$8:$H$58,6),VLOOKUP(N334,setup!$A$8:$H$58,7), VLOOKUP(0,setup!$A$8:$H$58,2),VLOOKUP(0,setup!$A$8:$H$58,5),VLOOKUP(N334,setup!$A$8:$H$58,8))</f>
        <v/>
      </c>
    </row>
    <row r="335" spans="1:15" x14ac:dyDescent="0.25">
      <c r="A335" s="6"/>
      <c r="O335" s="7" t="str">
        <f ca="1">getCodigoBackend(N335,A335,VLOOKUP(N335,setup!$A$8:$H$58,2),VLOOKUP(N335,setup!$A$8:$H$58,3),VLOOKUP(N335,setup!$A$8:$H$58,4),VLOOKUP(N335,setup!$A$8:$H$58,5),VLOOKUP(N335,setup!$A$8:$H$58,6),VLOOKUP(N335,setup!$A$8:$H$58,7), VLOOKUP(0,setup!$A$8:$H$58,2),VLOOKUP(0,setup!$A$8:$H$58,5),VLOOKUP(N335,setup!$A$8:$H$58,8))</f>
        <v/>
      </c>
    </row>
    <row r="336" spans="1:15" x14ac:dyDescent="0.25">
      <c r="A336" s="6"/>
      <c r="O336" s="7" t="str">
        <f ca="1">getCodigoBackend(N336,A336,VLOOKUP(N336,setup!$A$8:$H$58,2),VLOOKUP(N336,setup!$A$8:$H$58,3),VLOOKUP(N336,setup!$A$8:$H$58,4),VLOOKUP(N336,setup!$A$8:$H$58,5),VLOOKUP(N336,setup!$A$8:$H$58,6),VLOOKUP(N336,setup!$A$8:$H$58,7), VLOOKUP(0,setup!$A$8:$H$58,2),VLOOKUP(0,setup!$A$8:$H$58,5),VLOOKUP(N336,setup!$A$8:$H$58,8))</f>
        <v/>
      </c>
    </row>
    <row r="337" spans="1:15" x14ac:dyDescent="0.25">
      <c r="A337" s="6"/>
      <c r="O337" s="7" t="str">
        <f ca="1">getCodigoBackend(N337,A337,VLOOKUP(N337,setup!$A$8:$H$58,2),VLOOKUP(N337,setup!$A$8:$H$58,3),VLOOKUP(N337,setup!$A$8:$H$58,4),VLOOKUP(N337,setup!$A$8:$H$58,5),VLOOKUP(N337,setup!$A$8:$H$58,6),VLOOKUP(N337,setup!$A$8:$H$58,7), VLOOKUP(0,setup!$A$8:$H$58,2),VLOOKUP(0,setup!$A$8:$H$58,5),VLOOKUP(N337,setup!$A$8:$H$58,8))</f>
        <v/>
      </c>
    </row>
    <row r="338" spans="1:15" x14ac:dyDescent="0.25">
      <c r="A338" s="6"/>
      <c r="O338" s="7" t="str">
        <f ca="1">getCodigoBackend(N338,A338,VLOOKUP(N338,setup!$A$8:$H$58,2),VLOOKUP(N338,setup!$A$8:$H$58,3),VLOOKUP(N338,setup!$A$8:$H$58,4),VLOOKUP(N338,setup!$A$8:$H$58,5),VLOOKUP(N338,setup!$A$8:$H$58,6),VLOOKUP(N338,setup!$A$8:$H$58,7), VLOOKUP(0,setup!$A$8:$H$58,2),VLOOKUP(0,setup!$A$8:$H$58,5),VLOOKUP(N338,setup!$A$8:$H$58,8))</f>
        <v/>
      </c>
    </row>
    <row r="339" spans="1:15" x14ac:dyDescent="0.25">
      <c r="A339" s="6"/>
      <c r="O339" s="7" t="str">
        <f ca="1">getCodigoBackend(N339,A339,VLOOKUP(N339,setup!$A$8:$H$58,2),VLOOKUP(N339,setup!$A$8:$H$58,3),VLOOKUP(N339,setup!$A$8:$H$58,4),VLOOKUP(N339,setup!$A$8:$H$58,5),VLOOKUP(N339,setup!$A$8:$H$58,6),VLOOKUP(N339,setup!$A$8:$H$58,7), VLOOKUP(0,setup!$A$8:$H$58,2),VLOOKUP(0,setup!$A$8:$H$58,5),VLOOKUP(N339,setup!$A$8:$H$58,8))</f>
        <v/>
      </c>
    </row>
    <row r="340" spans="1:15" x14ac:dyDescent="0.25">
      <c r="A340" s="6"/>
      <c r="O340" s="7" t="str">
        <f ca="1">getCodigoBackend(N340,A340,VLOOKUP(N340,setup!$A$8:$H$58,2),VLOOKUP(N340,setup!$A$8:$H$58,3),VLOOKUP(N340,setup!$A$8:$H$58,4),VLOOKUP(N340,setup!$A$8:$H$58,5),VLOOKUP(N340,setup!$A$8:$H$58,6),VLOOKUP(N340,setup!$A$8:$H$58,7), VLOOKUP(0,setup!$A$8:$H$58,2),VLOOKUP(0,setup!$A$8:$H$58,5),VLOOKUP(N340,setup!$A$8:$H$58,8))</f>
        <v/>
      </c>
    </row>
    <row r="341" spans="1:15" x14ac:dyDescent="0.25">
      <c r="A341" s="6"/>
      <c r="O341" s="7" t="str">
        <f ca="1">getCodigoBackend(N341,A341,VLOOKUP(N341,setup!$A$8:$H$58,2),VLOOKUP(N341,setup!$A$8:$H$58,3),VLOOKUP(N341,setup!$A$8:$H$58,4),VLOOKUP(N341,setup!$A$8:$H$58,5),VLOOKUP(N341,setup!$A$8:$H$58,6),VLOOKUP(N341,setup!$A$8:$H$58,7), VLOOKUP(0,setup!$A$8:$H$58,2),VLOOKUP(0,setup!$A$8:$H$58,5),VLOOKUP(N341,setup!$A$8:$H$58,8))</f>
        <v/>
      </c>
    </row>
    <row r="342" spans="1:15" x14ac:dyDescent="0.25">
      <c r="A342" s="6"/>
      <c r="O342" s="7" t="str">
        <f ca="1">getCodigoBackend(N342,A342,VLOOKUP(N342,setup!$A$8:$H$58,2),VLOOKUP(N342,setup!$A$8:$H$58,3),VLOOKUP(N342,setup!$A$8:$H$58,4),VLOOKUP(N342,setup!$A$8:$H$58,5),VLOOKUP(N342,setup!$A$8:$H$58,6),VLOOKUP(N342,setup!$A$8:$H$58,7), VLOOKUP(0,setup!$A$8:$H$58,2),VLOOKUP(0,setup!$A$8:$H$58,5),VLOOKUP(N342,setup!$A$8:$H$58,8))</f>
        <v/>
      </c>
    </row>
    <row r="343" spans="1:15" x14ac:dyDescent="0.25">
      <c r="A343" s="6"/>
      <c r="O343" s="7" t="str">
        <f ca="1">getCodigoBackend(N343,A343,VLOOKUP(N343,setup!$A$8:$H$58,2),VLOOKUP(N343,setup!$A$8:$H$58,3),VLOOKUP(N343,setup!$A$8:$H$58,4),VLOOKUP(N343,setup!$A$8:$H$58,5),VLOOKUP(N343,setup!$A$8:$H$58,6),VLOOKUP(N343,setup!$A$8:$H$58,7), VLOOKUP(0,setup!$A$8:$H$58,2),VLOOKUP(0,setup!$A$8:$H$58,5),VLOOKUP(N343,setup!$A$8:$H$58,8))</f>
        <v/>
      </c>
    </row>
    <row r="344" spans="1:15" x14ac:dyDescent="0.25">
      <c r="A344" s="6"/>
      <c r="O344" s="7" t="str">
        <f ca="1">getCodigoBackend(N344,A344,VLOOKUP(N344,setup!$A$8:$H$58,2),VLOOKUP(N344,setup!$A$8:$H$58,3),VLOOKUP(N344,setup!$A$8:$H$58,4),VLOOKUP(N344,setup!$A$8:$H$58,5),VLOOKUP(N344,setup!$A$8:$H$58,6),VLOOKUP(N344,setup!$A$8:$H$58,7), VLOOKUP(0,setup!$A$8:$H$58,2),VLOOKUP(0,setup!$A$8:$H$58,5),VLOOKUP(N344,setup!$A$8:$H$58,8))</f>
        <v/>
      </c>
    </row>
    <row r="345" spans="1:15" x14ac:dyDescent="0.25">
      <c r="A345" s="6"/>
      <c r="O345" s="7" t="str">
        <f ca="1">getCodigoBackend(N345,A345,VLOOKUP(N345,setup!$A$8:$H$58,2),VLOOKUP(N345,setup!$A$8:$H$58,3),VLOOKUP(N345,setup!$A$8:$H$58,4),VLOOKUP(N345,setup!$A$8:$H$58,5),VLOOKUP(N345,setup!$A$8:$H$58,6),VLOOKUP(N345,setup!$A$8:$H$58,7), VLOOKUP(0,setup!$A$8:$H$58,2),VLOOKUP(0,setup!$A$8:$H$58,5),VLOOKUP(N345,setup!$A$8:$H$58,8))</f>
        <v/>
      </c>
    </row>
    <row r="346" spans="1:15" x14ac:dyDescent="0.25">
      <c r="A346" s="6"/>
      <c r="O346" s="7" t="str">
        <f ca="1">getCodigoBackend(N346,A346,VLOOKUP(N346,setup!$A$8:$H$58,2),VLOOKUP(N346,setup!$A$8:$H$58,3),VLOOKUP(N346,setup!$A$8:$H$58,4),VLOOKUP(N346,setup!$A$8:$H$58,5),VLOOKUP(N346,setup!$A$8:$H$58,6),VLOOKUP(N346,setup!$A$8:$H$58,7), VLOOKUP(0,setup!$A$8:$H$58,2),VLOOKUP(0,setup!$A$8:$H$58,5),VLOOKUP(N346,setup!$A$8:$H$58,8))</f>
        <v/>
      </c>
    </row>
    <row r="347" spans="1:15" x14ac:dyDescent="0.25">
      <c r="A347" s="6"/>
      <c r="O347" s="7" t="str">
        <f ca="1">getCodigoBackend(N347,A347,VLOOKUP(N347,setup!$A$8:$H$58,2),VLOOKUP(N347,setup!$A$8:$H$58,3),VLOOKUP(N347,setup!$A$8:$H$58,4),VLOOKUP(N347,setup!$A$8:$H$58,5),VLOOKUP(N347,setup!$A$8:$H$58,6),VLOOKUP(N347,setup!$A$8:$H$58,7), VLOOKUP(0,setup!$A$8:$H$58,2),VLOOKUP(0,setup!$A$8:$H$58,5),VLOOKUP(N347,setup!$A$8:$H$58,8))</f>
        <v/>
      </c>
    </row>
    <row r="348" spans="1:15" x14ac:dyDescent="0.25">
      <c r="A348" s="6"/>
      <c r="O348" s="7" t="str">
        <f ca="1">getCodigoBackend(N348,A348,VLOOKUP(N348,setup!$A$8:$H$58,2),VLOOKUP(N348,setup!$A$8:$H$58,3),VLOOKUP(N348,setup!$A$8:$H$58,4),VLOOKUP(N348,setup!$A$8:$H$58,5),VLOOKUP(N348,setup!$A$8:$H$58,6),VLOOKUP(N348,setup!$A$8:$H$58,7), VLOOKUP(0,setup!$A$8:$H$58,2),VLOOKUP(0,setup!$A$8:$H$58,5),VLOOKUP(N348,setup!$A$8:$H$58,8))</f>
        <v/>
      </c>
    </row>
    <row r="349" spans="1:15" x14ac:dyDescent="0.25">
      <c r="A349" s="6"/>
      <c r="O349" s="7" t="str">
        <f ca="1">getCodigoBackend(N349,A349,VLOOKUP(N349,setup!$A$8:$H$58,2),VLOOKUP(N349,setup!$A$8:$H$58,3),VLOOKUP(N349,setup!$A$8:$H$58,4),VLOOKUP(N349,setup!$A$8:$H$58,5),VLOOKUP(N349,setup!$A$8:$H$58,6),VLOOKUP(N349,setup!$A$8:$H$58,7), VLOOKUP(0,setup!$A$8:$H$58,2),VLOOKUP(0,setup!$A$8:$H$58,5),VLOOKUP(N349,setup!$A$8:$H$58,8))</f>
        <v/>
      </c>
    </row>
    <row r="350" spans="1:15" x14ac:dyDescent="0.25">
      <c r="A350" s="6"/>
      <c r="O350" s="7" t="str">
        <f ca="1">getCodigoBackend(N350,A350,VLOOKUP(N350,setup!$A$8:$H$58,2),VLOOKUP(N350,setup!$A$8:$H$58,3),VLOOKUP(N350,setup!$A$8:$H$58,4),VLOOKUP(N350,setup!$A$8:$H$58,5),VLOOKUP(N350,setup!$A$8:$H$58,6),VLOOKUP(N350,setup!$A$8:$H$58,7), VLOOKUP(0,setup!$A$8:$H$58,2),VLOOKUP(0,setup!$A$8:$H$58,5),VLOOKUP(N350,setup!$A$8:$H$58,8))</f>
        <v/>
      </c>
    </row>
    <row r="351" spans="1:15" x14ac:dyDescent="0.25">
      <c r="A351" s="6"/>
      <c r="O351" s="7" t="str">
        <f ca="1">getCodigoBackend(N351,A351,VLOOKUP(N351,setup!$A$8:$H$58,2),VLOOKUP(N351,setup!$A$8:$H$58,3),VLOOKUP(N351,setup!$A$8:$H$58,4),VLOOKUP(N351,setup!$A$8:$H$58,5),VLOOKUP(N351,setup!$A$8:$H$58,6),VLOOKUP(N351,setup!$A$8:$H$58,7), VLOOKUP(0,setup!$A$8:$H$58,2),VLOOKUP(0,setup!$A$8:$H$58,5),VLOOKUP(N351,setup!$A$8:$H$58,8))</f>
        <v/>
      </c>
    </row>
    <row r="352" spans="1:15" x14ac:dyDescent="0.25">
      <c r="A352" s="6"/>
      <c r="O352" s="7" t="str">
        <f ca="1">getCodigoBackend(N352,A352,VLOOKUP(N352,setup!$A$8:$H$58,2),VLOOKUP(N352,setup!$A$8:$H$58,3),VLOOKUP(N352,setup!$A$8:$H$58,4),VLOOKUP(N352,setup!$A$8:$H$58,5),VLOOKUP(N352,setup!$A$8:$H$58,6),VLOOKUP(N352,setup!$A$8:$H$58,7), VLOOKUP(0,setup!$A$8:$H$58,2),VLOOKUP(0,setup!$A$8:$H$58,5),VLOOKUP(N352,setup!$A$8:$H$58,8))</f>
        <v/>
      </c>
    </row>
    <row r="353" spans="1:15" x14ac:dyDescent="0.25">
      <c r="A353" s="6"/>
      <c r="O353" s="7" t="str">
        <f ca="1">getCodigoBackend(N353,A353,VLOOKUP(N353,setup!$A$8:$H$58,2),VLOOKUP(N353,setup!$A$8:$H$58,3),VLOOKUP(N353,setup!$A$8:$H$58,4),VLOOKUP(N353,setup!$A$8:$H$58,5),VLOOKUP(N353,setup!$A$8:$H$58,6),VLOOKUP(N353,setup!$A$8:$H$58,7), VLOOKUP(0,setup!$A$8:$H$58,2),VLOOKUP(0,setup!$A$8:$H$58,5),VLOOKUP(N353,setup!$A$8:$H$58,8))</f>
        <v/>
      </c>
    </row>
    <row r="354" spans="1:15" x14ac:dyDescent="0.25">
      <c r="A354" s="6"/>
      <c r="O354" s="7" t="str">
        <f ca="1">getCodigoBackend(N354,A354,VLOOKUP(N354,setup!$A$8:$H$58,2),VLOOKUP(N354,setup!$A$8:$H$58,3),VLOOKUP(N354,setup!$A$8:$H$58,4),VLOOKUP(N354,setup!$A$8:$H$58,5),VLOOKUP(N354,setup!$A$8:$H$58,6),VLOOKUP(N354,setup!$A$8:$H$58,7), VLOOKUP(0,setup!$A$8:$H$58,2),VLOOKUP(0,setup!$A$8:$H$58,5),VLOOKUP(N354,setup!$A$8:$H$58,8))</f>
        <v/>
      </c>
    </row>
    <row r="355" spans="1:15" x14ac:dyDescent="0.25">
      <c r="A355" s="6"/>
      <c r="O355" s="7" t="str">
        <f ca="1">getCodigoBackend(N355,A355,VLOOKUP(N355,setup!$A$8:$H$58,2),VLOOKUP(N355,setup!$A$8:$H$58,3),VLOOKUP(N355,setup!$A$8:$H$58,4),VLOOKUP(N355,setup!$A$8:$H$58,5),VLOOKUP(N355,setup!$A$8:$H$58,6),VLOOKUP(N355,setup!$A$8:$H$58,7), VLOOKUP(0,setup!$A$8:$H$58,2),VLOOKUP(0,setup!$A$8:$H$58,5),VLOOKUP(N355,setup!$A$8:$H$58,8))</f>
        <v/>
      </c>
    </row>
    <row r="356" spans="1:15" x14ac:dyDescent="0.25">
      <c r="A356" s="6"/>
      <c r="O356" s="7" t="str">
        <f ca="1">getCodigoBackend(N356,A356,VLOOKUP(N356,setup!$A$8:$H$58,2),VLOOKUP(N356,setup!$A$8:$H$58,3),VLOOKUP(N356,setup!$A$8:$H$58,4),VLOOKUP(N356,setup!$A$8:$H$58,5),VLOOKUP(N356,setup!$A$8:$H$58,6),VLOOKUP(N356,setup!$A$8:$H$58,7), VLOOKUP(0,setup!$A$8:$H$58,2),VLOOKUP(0,setup!$A$8:$H$58,5),VLOOKUP(N356,setup!$A$8:$H$58,8))</f>
        <v/>
      </c>
    </row>
    <row r="357" spans="1:15" x14ac:dyDescent="0.25">
      <c r="A357" s="6"/>
      <c r="O357" s="7" t="str">
        <f ca="1">getCodigoBackend(N357,A357,VLOOKUP(N357,setup!$A$8:$H$58,2),VLOOKUP(N357,setup!$A$8:$H$58,3),VLOOKUP(N357,setup!$A$8:$H$58,4),VLOOKUP(N357,setup!$A$8:$H$58,5),VLOOKUP(N357,setup!$A$8:$H$58,6),VLOOKUP(N357,setup!$A$8:$H$58,7), VLOOKUP(0,setup!$A$8:$H$58,2),VLOOKUP(0,setup!$A$8:$H$58,5),VLOOKUP(N357,setup!$A$8:$H$58,8))</f>
        <v/>
      </c>
    </row>
    <row r="358" spans="1:15" x14ac:dyDescent="0.25">
      <c r="A358" s="6"/>
      <c r="O358" s="7" t="str">
        <f ca="1">getCodigoBackend(N358,A358,VLOOKUP(N358,setup!$A$8:$H$58,2),VLOOKUP(N358,setup!$A$8:$H$58,3),VLOOKUP(N358,setup!$A$8:$H$58,4),VLOOKUP(N358,setup!$A$8:$H$58,5),VLOOKUP(N358,setup!$A$8:$H$58,6),VLOOKUP(N358,setup!$A$8:$H$58,7), VLOOKUP(0,setup!$A$8:$H$58,2),VLOOKUP(0,setup!$A$8:$H$58,5),VLOOKUP(N358,setup!$A$8:$H$58,8))</f>
        <v/>
      </c>
    </row>
    <row r="359" spans="1:15" x14ac:dyDescent="0.25">
      <c r="A359" s="6"/>
      <c r="O359" s="7" t="str">
        <f ca="1">getCodigoBackend(N359,A359,VLOOKUP(N359,setup!$A$8:$H$58,2),VLOOKUP(N359,setup!$A$8:$H$58,3),VLOOKUP(N359,setup!$A$8:$H$58,4),VLOOKUP(N359,setup!$A$8:$H$58,5),VLOOKUP(N359,setup!$A$8:$H$58,6),VLOOKUP(N359,setup!$A$8:$H$58,7), VLOOKUP(0,setup!$A$8:$H$58,2),VLOOKUP(0,setup!$A$8:$H$58,5),VLOOKUP(N359,setup!$A$8:$H$58,8))</f>
        <v/>
      </c>
    </row>
    <row r="360" spans="1:15" x14ac:dyDescent="0.25">
      <c r="A360" s="6"/>
      <c r="O360" s="7" t="str">
        <f ca="1">getCodigoBackend(N360,A360,VLOOKUP(N360,setup!$A$8:$H$58,2),VLOOKUP(N360,setup!$A$8:$H$58,3),VLOOKUP(N360,setup!$A$8:$H$58,4),VLOOKUP(N360,setup!$A$8:$H$58,5),VLOOKUP(N360,setup!$A$8:$H$58,6),VLOOKUP(N360,setup!$A$8:$H$58,7), VLOOKUP(0,setup!$A$8:$H$58,2),VLOOKUP(0,setup!$A$8:$H$58,5),VLOOKUP(N360,setup!$A$8:$H$58,8))</f>
        <v/>
      </c>
    </row>
    <row r="361" spans="1:15" x14ac:dyDescent="0.25">
      <c r="A361" s="6"/>
      <c r="O361" s="7" t="str">
        <f ca="1">getCodigoBackend(N361,A361,VLOOKUP(N361,setup!$A$8:$H$58,2),VLOOKUP(N361,setup!$A$8:$H$58,3),VLOOKUP(N361,setup!$A$8:$H$58,4),VLOOKUP(N361,setup!$A$8:$H$58,5),VLOOKUP(N361,setup!$A$8:$H$58,6),VLOOKUP(N361,setup!$A$8:$H$58,7), VLOOKUP(0,setup!$A$8:$H$58,2),VLOOKUP(0,setup!$A$8:$H$58,5),VLOOKUP(N361,setup!$A$8:$H$58,8))</f>
        <v/>
      </c>
    </row>
    <row r="362" spans="1:15" x14ac:dyDescent="0.25">
      <c r="A362" s="6"/>
      <c r="O362" s="7" t="str">
        <f ca="1">getCodigoBackend(N362,A362,VLOOKUP(N362,setup!$A$8:$H$58,2),VLOOKUP(N362,setup!$A$8:$H$58,3),VLOOKUP(N362,setup!$A$8:$H$58,4),VLOOKUP(N362,setup!$A$8:$H$58,5),VLOOKUP(N362,setup!$A$8:$H$58,6),VLOOKUP(N362,setup!$A$8:$H$58,7), VLOOKUP(0,setup!$A$8:$H$58,2),VLOOKUP(0,setup!$A$8:$H$58,5),VLOOKUP(N362,setup!$A$8:$H$58,8))</f>
        <v/>
      </c>
    </row>
    <row r="363" spans="1:15" x14ac:dyDescent="0.25">
      <c r="A363" s="6"/>
      <c r="O363" s="7" t="str">
        <f ca="1">getCodigoBackend(N363,A363,VLOOKUP(N363,setup!$A$8:$H$58,2),VLOOKUP(N363,setup!$A$8:$H$58,3),VLOOKUP(N363,setup!$A$8:$H$58,4),VLOOKUP(N363,setup!$A$8:$H$58,5),VLOOKUP(N363,setup!$A$8:$H$58,6),VLOOKUP(N363,setup!$A$8:$H$58,7), VLOOKUP(0,setup!$A$8:$H$58,2),VLOOKUP(0,setup!$A$8:$H$58,5),VLOOKUP(N363,setup!$A$8:$H$58,8))</f>
        <v/>
      </c>
    </row>
    <row r="364" spans="1:15" x14ac:dyDescent="0.25">
      <c r="A364" s="6"/>
      <c r="O364" s="7" t="str">
        <f ca="1">getCodigoBackend(N364,A364,VLOOKUP(N364,setup!$A$8:$H$58,2),VLOOKUP(N364,setup!$A$8:$H$58,3),VLOOKUP(N364,setup!$A$8:$H$58,4),VLOOKUP(N364,setup!$A$8:$H$58,5),VLOOKUP(N364,setup!$A$8:$H$58,6),VLOOKUP(N364,setup!$A$8:$H$58,7), VLOOKUP(0,setup!$A$8:$H$58,2),VLOOKUP(0,setup!$A$8:$H$58,5),VLOOKUP(N364,setup!$A$8:$H$58,8))</f>
        <v/>
      </c>
    </row>
    <row r="365" spans="1:15" x14ac:dyDescent="0.25">
      <c r="A365" s="6"/>
      <c r="O365" s="7" t="str">
        <f ca="1">getCodigoBackend(N365,A365,VLOOKUP(N365,setup!$A$8:$H$58,2),VLOOKUP(N365,setup!$A$8:$H$58,3),VLOOKUP(N365,setup!$A$8:$H$58,4),VLOOKUP(N365,setup!$A$8:$H$58,5),VLOOKUP(N365,setup!$A$8:$H$58,6),VLOOKUP(N365,setup!$A$8:$H$58,7), VLOOKUP(0,setup!$A$8:$H$58,2),VLOOKUP(0,setup!$A$8:$H$58,5),VLOOKUP(N365,setup!$A$8:$H$58,8))</f>
        <v/>
      </c>
    </row>
    <row r="366" spans="1:15" x14ac:dyDescent="0.25">
      <c r="A366" s="6"/>
      <c r="O366" s="7" t="str">
        <f ca="1">getCodigoBackend(N366,A366,VLOOKUP(N366,setup!$A$8:$H$58,2),VLOOKUP(N366,setup!$A$8:$H$58,3),VLOOKUP(N366,setup!$A$8:$H$58,4),VLOOKUP(N366,setup!$A$8:$H$58,5),VLOOKUP(N366,setup!$A$8:$H$58,6),VLOOKUP(N366,setup!$A$8:$H$58,7), VLOOKUP(0,setup!$A$8:$H$58,2),VLOOKUP(0,setup!$A$8:$H$58,5),VLOOKUP(N366,setup!$A$8:$H$58,8))</f>
        <v/>
      </c>
    </row>
    <row r="367" spans="1:15" x14ac:dyDescent="0.25">
      <c r="A367" s="6"/>
      <c r="O367" s="7" t="str">
        <f ca="1">getCodigoBackend(N367,A367,VLOOKUP(N367,setup!$A$8:$H$58,2),VLOOKUP(N367,setup!$A$8:$H$58,3),VLOOKUP(N367,setup!$A$8:$H$58,4),VLOOKUP(N367,setup!$A$8:$H$58,5),VLOOKUP(N367,setup!$A$8:$H$58,6),VLOOKUP(N367,setup!$A$8:$H$58,7), VLOOKUP(0,setup!$A$8:$H$58,2),VLOOKUP(0,setup!$A$8:$H$58,5),VLOOKUP(N367,setup!$A$8:$H$58,8))</f>
        <v/>
      </c>
    </row>
    <row r="368" spans="1:15" x14ac:dyDescent="0.25">
      <c r="A368" s="6"/>
      <c r="O368" s="7" t="str">
        <f ca="1">getCodigoBackend(N368,A368,VLOOKUP(N368,setup!$A$8:$H$58,2),VLOOKUP(N368,setup!$A$8:$H$58,3),VLOOKUP(N368,setup!$A$8:$H$58,4),VLOOKUP(N368,setup!$A$8:$H$58,5),VLOOKUP(N368,setup!$A$8:$H$58,6),VLOOKUP(N368,setup!$A$8:$H$58,7), VLOOKUP(0,setup!$A$8:$H$58,2),VLOOKUP(0,setup!$A$8:$H$58,5),VLOOKUP(N368,setup!$A$8:$H$58,8))</f>
        <v/>
      </c>
    </row>
    <row r="369" spans="1:15" x14ac:dyDescent="0.25">
      <c r="A369" s="6"/>
      <c r="O369" s="7" t="str">
        <f ca="1">getCodigoBackend(N369,A369,VLOOKUP(N369,setup!$A$8:$H$58,2),VLOOKUP(N369,setup!$A$8:$H$58,3),VLOOKUP(N369,setup!$A$8:$H$58,4),VLOOKUP(N369,setup!$A$8:$H$58,5),VLOOKUP(N369,setup!$A$8:$H$58,6),VLOOKUP(N369,setup!$A$8:$H$58,7), VLOOKUP(0,setup!$A$8:$H$58,2),VLOOKUP(0,setup!$A$8:$H$58,5),VLOOKUP(N369,setup!$A$8:$H$58,8))</f>
        <v/>
      </c>
    </row>
    <row r="370" spans="1:15" x14ac:dyDescent="0.25">
      <c r="A370" s="6"/>
      <c r="O370" s="7" t="str">
        <f ca="1">getCodigoBackend(N370,A370,VLOOKUP(N370,setup!$A$8:$H$58,2),VLOOKUP(N370,setup!$A$8:$H$58,3),VLOOKUP(N370,setup!$A$8:$H$58,4),VLOOKUP(N370,setup!$A$8:$H$58,5),VLOOKUP(N370,setup!$A$8:$H$58,6),VLOOKUP(N370,setup!$A$8:$H$58,7), VLOOKUP(0,setup!$A$8:$H$58,2),VLOOKUP(0,setup!$A$8:$H$58,5),VLOOKUP(N370,setup!$A$8:$H$58,8))</f>
        <v/>
      </c>
    </row>
    <row r="371" spans="1:15" x14ac:dyDescent="0.25">
      <c r="A371" s="6"/>
      <c r="O371" s="7" t="str">
        <f ca="1">getCodigoBackend(N371,A371,VLOOKUP(N371,setup!$A$8:$H$58,2),VLOOKUP(N371,setup!$A$8:$H$58,3),VLOOKUP(N371,setup!$A$8:$H$58,4),VLOOKUP(N371,setup!$A$8:$H$58,5),VLOOKUP(N371,setup!$A$8:$H$58,6),VLOOKUP(N371,setup!$A$8:$H$58,7), VLOOKUP(0,setup!$A$8:$H$58,2),VLOOKUP(0,setup!$A$8:$H$58,5),VLOOKUP(N371,setup!$A$8:$H$58,8))</f>
        <v/>
      </c>
    </row>
    <row r="372" spans="1:15" x14ac:dyDescent="0.25">
      <c r="A372" s="6"/>
      <c r="O372" s="7" t="str">
        <f ca="1">getCodigoBackend(N372,A372,VLOOKUP(N372,setup!$A$8:$H$58,2),VLOOKUP(N372,setup!$A$8:$H$58,3),VLOOKUP(N372,setup!$A$8:$H$58,4),VLOOKUP(N372,setup!$A$8:$H$58,5),VLOOKUP(N372,setup!$A$8:$H$58,6),VLOOKUP(N372,setup!$A$8:$H$58,7), VLOOKUP(0,setup!$A$8:$H$58,2),VLOOKUP(0,setup!$A$8:$H$58,5),VLOOKUP(N372,setup!$A$8:$H$58,8))</f>
        <v/>
      </c>
    </row>
    <row r="373" spans="1:15" x14ac:dyDescent="0.25">
      <c r="A373" s="6"/>
      <c r="O373" s="7" t="str">
        <f ca="1">getCodigoBackend(N373,A373,VLOOKUP(N373,setup!$A$8:$H$58,2),VLOOKUP(N373,setup!$A$8:$H$58,3),VLOOKUP(N373,setup!$A$8:$H$58,4),VLOOKUP(N373,setup!$A$8:$H$58,5),VLOOKUP(N373,setup!$A$8:$H$58,6),VLOOKUP(N373,setup!$A$8:$H$58,7), VLOOKUP(0,setup!$A$8:$H$58,2),VLOOKUP(0,setup!$A$8:$H$58,5),VLOOKUP(N373,setup!$A$8:$H$58,8))</f>
        <v/>
      </c>
    </row>
    <row r="374" spans="1:15" x14ac:dyDescent="0.25">
      <c r="A374" s="6"/>
      <c r="O374" s="7" t="str">
        <f ca="1">getCodigoBackend(N374,A374,VLOOKUP(N374,setup!$A$8:$H$58,2),VLOOKUP(N374,setup!$A$8:$H$58,3),VLOOKUP(N374,setup!$A$8:$H$58,4),VLOOKUP(N374,setup!$A$8:$H$58,5),VLOOKUP(N374,setup!$A$8:$H$58,6),VLOOKUP(N374,setup!$A$8:$H$58,7), VLOOKUP(0,setup!$A$8:$H$58,2),VLOOKUP(0,setup!$A$8:$H$58,5),VLOOKUP(N374,setup!$A$8:$H$58,8))</f>
        <v/>
      </c>
    </row>
    <row r="375" spans="1:15" x14ac:dyDescent="0.25">
      <c r="A375" s="6"/>
      <c r="O375" s="7" t="str">
        <f ca="1">getCodigoBackend(N375,A375,VLOOKUP(N375,setup!$A$8:$H$58,2),VLOOKUP(N375,setup!$A$8:$H$58,3),VLOOKUP(N375,setup!$A$8:$H$58,4),VLOOKUP(N375,setup!$A$8:$H$58,5),VLOOKUP(N375,setup!$A$8:$H$58,6),VLOOKUP(N375,setup!$A$8:$H$58,7), VLOOKUP(0,setup!$A$8:$H$58,2),VLOOKUP(0,setup!$A$8:$H$58,5),VLOOKUP(N375,setup!$A$8:$H$58,8))</f>
        <v/>
      </c>
    </row>
    <row r="376" spans="1:15" x14ac:dyDescent="0.25">
      <c r="A376" s="6"/>
      <c r="O376" s="7" t="str">
        <f ca="1">getCodigoBackend(N376,A376,VLOOKUP(N376,setup!$A$8:$H$58,2),VLOOKUP(N376,setup!$A$8:$H$58,3),VLOOKUP(N376,setup!$A$8:$H$58,4),VLOOKUP(N376,setup!$A$8:$H$58,5),VLOOKUP(N376,setup!$A$8:$H$58,6),VLOOKUP(N376,setup!$A$8:$H$58,7), VLOOKUP(0,setup!$A$8:$H$58,2),VLOOKUP(0,setup!$A$8:$H$58,5),VLOOKUP(N376,setup!$A$8:$H$58,8))</f>
        <v/>
      </c>
    </row>
    <row r="377" spans="1:15" x14ac:dyDescent="0.25">
      <c r="A377" s="2"/>
      <c r="O377" s="7" t="str">
        <f ca="1">getCodigoBackend(N377,A377,VLOOKUP(N377,setup!$A$8:$H$58,2),VLOOKUP(N377,setup!$A$8:$H$58,3),VLOOKUP(N377,setup!$A$8:$H$58,4),VLOOKUP(N377,setup!$A$8:$H$58,5),VLOOKUP(N377,setup!$A$8:$H$58,6),VLOOKUP(N377,setup!$A$8:$H$58,7), VLOOKUP(0,setup!$A$8:$H$58,2),VLOOKUP(0,setup!$A$8:$H$58,5),VLOOKUP(N377,setup!$A$8:$H$58,8))</f>
        <v/>
      </c>
    </row>
    <row r="378" spans="1:15" x14ac:dyDescent="0.25">
      <c r="A378" s="2"/>
      <c r="O378" s="7" t="str">
        <f ca="1">getCodigoBackend(N378,A378,VLOOKUP(N378,setup!$A$8:$H$58,2),VLOOKUP(N378,setup!$A$8:$H$58,3),VLOOKUP(N378,setup!$A$8:$H$58,4),VLOOKUP(N378,setup!$A$8:$H$58,5),VLOOKUP(N378,setup!$A$8:$H$58,6),VLOOKUP(N378,setup!$A$8:$H$58,7), VLOOKUP(0,setup!$A$8:$H$58,2),VLOOKUP(0,setup!$A$8:$H$58,5),VLOOKUP(N378,setup!$A$8:$H$58,8))</f>
        <v/>
      </c>
    </row>
    <row r="379" spans="1:15" x14ac:dyDescent="0.25">
      <c r="A379" s="3"/>
      <c r="O379" s="7" t="str">
        <f ca="1">getCodigoBackend(N379,A379,VLOOKUP(N379,setup!$A$8:$H$58,2),VLOOKUP(N379,setup!$A$8:$H$58,3),VLOOKUP(N379,setup!$A$8:$H$58,4),VLOOKUP(N379,setup!$A$8:$H$58,5),VLOOKUP(N379,setup!$A$8:$H$58,6),VLOOKUP(N379,setup!$A$8:$H$58,7), VLOOKUP(0,setup!$A$8:$H$58,2),VLOOKUP(0,setup!$A$8:$H$58,5),VLOOKUP(N379,setup!$A$8:$H$58,8))</f>
        <v/>
      </c>
    </row>
    <row r="380" spans="1:15" x14ac:dyDescent="0.25">
      <c r="A380" s="2"/>
      <c r="O380" s="7" t="str">
        <f ca="1">getCodigoBackend(N380,A380,VLOOKUP(N380,setup!$A$8:$H$58,2),VLOOKUP(N380,setup!$A$8:$H$58,3),VLOOKUP(N380,setup!$A$8:$H$58,4),VLOOKUP(N380,setup!$A$8:$H$58,5),VLOOKUP(N380,setup!$A$8:$H$58,6),VLOOKUP(N380,setup!$A$8:$H$58,7), VLOOKUP(0,setup!$A$8:$H$58,2),VLOOKUP(0,setup!$A$8:$H$58,5),VLOOKUP(N380,setup!$A$8:$H$58,8))</f>
        <v/>
      </c>
    </row>
    <row r="381" spans="1:15" x14ac:dyDescent="0.25">
      <c r="A381" s="6"/>
      <c r="O381" s="7" t="str">
        <f ca="1">getCodigoBackend(N381,A381,VLOOKUP(N381,setup!$A$8:$H$58,2),VLOOKUP(N381,setup!$A$8:$H$58,3),VLOOKUP(N381,setup!$A$8:$H$58,4),VLOOKUP(N381,setup!$A$8:$H$58,5),VLOOKUP(N381,setup!$A$8:$H$58,6),VLOOKUP(N381,setup!$A$8:$H$58,7), VLOOKUP(0,setup!$A$8:$H$58,2),VLOOKUP(0,setup!$A$8:$H$58,5),VLOOKUP(N381,setup!$A$8:$H$58,8))</f>
        <v/>
      </c>
    </row>
    <row r="382" spans="1:15" x14ac:dyDescent="0.25">
      <c r="A382" s="5"/>
      <c r="O382" s="7" t="str">
        <f ca="1">getCodigoBackend(N382,A382,VLOOKUP(N382,setup!$A$8:$H$58,2),VLOOKUP(N382,setup!$A$8:$H$58,3),VLOOKUP(N382,setup!$A$8:$H$58,4),VLOOKUP(N382,setup!$A$8:$H$58,5),VLOOKUP(N382,setup!$A$8:$H$58,6),VLOOKUP(N382,setup!$A$8:$H$58,7), VLOOKUP(0,setup!$A$8:$H$58,2),VLOOKUP(0,setup!$A$8:$H$58,5),VLOOKUP(N382,setup!$A$8:$H$58,8))</f>
        <v/>
      </c>
    </row>
    <row r="383" spans="1:15" x14ac:dyDescent="0.25">
      <c r="A383" s="6"/>
      <c r="O383" s="7" t="str">
        <f ca="1">getCodigoBackend(N383,A383,VLOOKUP(N383,setup!$A$8:$H$58,2),VLOOKUP(N383,setup!$A$8:$H$58,3),VLOOKUP(N383,setup!$A$8:$H$58,4),VLOOKUP(N383,setup!$A$8:$H$58,5),VLOOKUP(N383,setup!$A$8:$H$58,6),VLOOKUP(N383,setup!$A$8:$H$58,7), VLOOKUP(0,setup!$A$8:$H$58,2),VLOOKUP(0,setup!$A$8:$H$58,5),VLOOKUP(N383,setup!$A$8:$H$58,8))</f>
        <v/>
      </c>
    </row>
    <row r="384" spans="1:15" x14ac:dyDescent="0.25">
      <c r="A384" s="10"/>
      <c r="O384" s="7" t="str">
        <f ca="1">getCodigoBackend(N384,A384,VLOOKUP(N384,setup!$A$8:$H$58,2),VLOOKUP(N384,setup!$A$8:$H$58,3),VLOOKUP(N384,setup!$A$8:$H$58,4),VLOOKUP(N384,setup!$A$8:$H$58,5),VLOOKUP(N384,setup!$A$8:$H$58,6),VLOOKUP(N384,setup!$A$8:$H$58,7), VLOOKUP(0,setup!$A$8:$H$58,2),VLOOKUP(0,setup!$A$8:$H$58,5),VLOOKUP(N384,setup!$A$8:$H$58,8))</f>
        <v/>
      </c>
    </row>
    <row r="385" spans="1:15" x14ac:dyDescent="0.25">
      <c r="A385" s="10"/>
      <c r="O385" s="7" t="str">
        <f ca="1">getCodigoBackend(N385,A385,VLOOKUP(N385,setup!$A$8:$H$58,2),VLOOKUP(N385,setup!$A$8:$H$58,3),VLOOKUP(N385,setup!$A$8:$H$58,4),VLOOKUP(N385,setup!$A$8:$H$58,5),VLOOKUP(N385,setup!$A$8:$H$58,6),VLOOKUP(N385,setup!$A$8:$H$58,7), VLOOKUP(0,setup!$A$8:$H$58,2),VLOOKUP(0,setup!$A$8:$H$58,5),VLOOKUP(N385,setup!$A$8:$H$58,8))</f>
        <v/>
      </c>
    </row>
    <row r="386" spans="1:15" x14ac:dyDescent="0.25">
      <c r="A386" s="10"/>
      <c r="O386" s="7" t="str">
        <f ca="1">getCodigoBackend(N386,A386,VLOOKUP(N386,setup!$A$8:$H$58,2),VLOOKUP(N386,setup!$A$8:$H$58,3),VLOOKUP(N386,setup!$A$8:$H$58,4),VLOOKUP(N386,setup!$A$8:$H$58,5),VLOOKUP(N386,setup!$A$8:$H$58,6),VLOOKUP(N386,setup!$A$8:$H$58,7), VLOOKUP(0,setup!$A$8:$H$58,2),VLOOKUP(0,setup!$A$8:$H$58,5),VLOOKUP(N386,setup!$A$8:$H$58,8))</f>
        <v/>
      </c>
    </row>
    <row r="387" spans="1:15" x14ac:dyDescent="0.25">
      <c r="A387" s="10"/>
      <c r="O387" s="7" t="str">
        <f ca="1">getCodigoBackend(N387,A387,VLOOKUP(N387,setup!$A$8:$H$58,2),VLOOKUP(N387,setup!$A$8:$H$58,3),VLOOKUP(N387,setup!$A$8:$H$58,4),VLOOKUP(N387,setup!$A$8:$H$58,5),VLOOKUP(N387,setup!$A$8:$H$58,6),VLOOKUP(N387,setup!$A$8:$H$58,7), VLOOKUP(0,setup!$A$8:$H$58,2),VLOOKUP(0,setup!$A$8:$H$58,5),VLOOKUP(N387,setup!$A$8:$H$58,8))</f>
        <v/>
      </c>
    </row>
    <row r="388" spans="1:15" x14ac:dyDescent="0.25">
      <c r="A388" s="10"/>
      <c r="O388" s="7" t="str">
        <f ca="1">getCodigoBackend(N388,A388,VLOOKUP(N388,setup!$A$8:$H$58,2),VLOOKUP(N388,setup!$A$8:$H$58,3),VLOOKUP(N388,setup!$A$8:$H$58,4),VLOOKUP(N388,setup!$A$8:$H$58,5),VLOOKUP(N388,setup!$A$8:$H$58,6),VLOOKUP(N388,setup!$A$8:$H$58,7), VLOOKUP(0,setup!$A$8:$H$58,2),VLOOKUP(0,setup!$A$8:$H$58,5),VLOOKUP(N388,setup!$A$8:$H$58,8))</f>
        <v/>
      </c>
    </row>
    <row r="389" spans="1:15" x14ac:dyDescent="0.25">
      <c r="A389" s="10"/>
      <c r="O389" s="7" t="str">
        <f ca="1">getCodigoBackend(N389,A389,VLOOKUP(N389,setup!$A$8:$H$58,2),VLOOKUP(N389,setup!$A$8:$H$58,3),VLOOKUP(N389,setup!$A$8:$H$58,4),VLOOKUP(N389,setup!$A$8:$H$58,5),VLOOKUP(N389,setup!$A$8:$H$58,6),VLOOKUP(N389,setup!$A$8:$H$58,7), VLOOKUP(0,setup!$A$8:$H$58,2),VLOOKUP(0,setup!$A$8:$H$58,5),VLOOKUP(N389,setup!$A$8:$H$58,8))</f>
        <v/>
      </c>
    </row>
    <row r="390" spans="1:15" x14ac:dyDescent="0.25">
      <c r="A390" s="10"/>
      <c r="O390" s="7" t="str">
        <f ca="1">getCodigoBackend(N390,A390,VLOOKUP(N390,setup!$A$8:$H$58,2),VLOOKUP(N390,setup!$A$8:$H$58,3),VLOOKUP(N390,setup!$A$8:$H$58,4),VLOOKUP(N390,setup!$A$8:$H$58,5),VLOOKUP(N390,setup!$A$8:$H$58,6),VLOOKUP(N390,setup!$A$8:$H$58,7), VLOOKUP(0,setup!$A$8:$H$58,2),VLOOKUP(0,setup!$A$8:$H$58,5),VLOOKUP(N390,setup!$A$8:$H$58,8))</f>
        <v/>
      </c>
    </row>
    <row r="391" spans="1:15" x14ac:dyDescent="0.25">
      <c r="A391" s="10"/>
      <c r="O391" s="7" t="str">
        <f ca="1">getCodigoBackend(N391,A391,VLOOKUP(N391,setup!$A$8:$H$58,2),VLOOKUP(N391,setup!$A$8:$H$58,3),VLOOKUP(N391,setup!$A$8:$H$58,4),VLOOKUP(N391,setup!$A$8:$H$58,5),VLOOKUP(N391,setup!$A$8:$H$58,6),VLOOKUP(N391,setup!$A$8:$H$58,7), VLOOKUP(0,setup!$A$8:$H$58,2),VLOOKUP(0,setup!$A$8:$H$58,5),VLOOKUP(N391,setup!$A$8:$H$58,8))</f>
        <v/>
      </c>
    </row>
    <row r="392" spans="1:15" x14ac:dyDescent="0.25">
      <c r="A392" s="10"/>
      <c r="O392" s="7" t="str">
        <f ca="1">getCodigoBackend(N392,A392,VLOOKUP(N392,setup!$A$8:$H$58,2),VLOOKUP(N392,setup!$A$8:$H$58,3),VLOOKUP(N392,setup!$A$8:$H$58,4),VLOOKUP(N392,setup!$A$8:$H$58,5),VLOOKUP(N392,setup!$A$8:$H$58,6),VLOOKUP(N392,setup!$A$8:$H$58,7), VLOOKUP(0,setup!$A$8:$H$58,2),VLOOKUP(0,setup!$A$8:$H$58,5),VLOOKUP(N392,setup!$A$8:$H$58,8))</f>
        <v/>
      </c>
    </row>
    <row r="393" spans="1:15" x14ac:dyDescent="0.25">
      <c r="A393" s="10"/>
      <c r="O393" s="7" t="str">
        <f ca="1">getCodigoBackend(N393,A393,VLOOKUP(N393,setup!$A$8:$H$58,2),VLOOKUP(N393,setup!$A$8:$H$58,3),VLOOKUP(N393,setup!$A$8:$H$58,4),VLOOKUP(N393,setup!$A$8:$H$58,5),VLOOKUP(N393,setup!$A$8:$H$58,6),VLOOKUP(N393,setup!$A$8:$H$58,7), VLOOKUP(0,setup!$A$8:$H$58,2),VLOOKUP(0,setup!$A$8:$H$58,5),VLOOKUP(N393,setup!$A$8:$H$58,8))</f>
        <v/>
      </c>
    </row>
    <row r="394" spans="1:15" x14ac:dyDescent="0.25">
      <c r="A394" s="10"/>
      <c r="O394" s="7" t="str">
        <f ca="1">getCodigoBackend(N394,A394,VLOOKUP(N394,setup!$A$8:$H$58,2),VLOOKUP(N394,setup!$A$8:$H$58,3),VLOOKUP(N394,setup!$A$8:$H$58,4),VLOOKUP(N394,setup!$A$8:$H$58,5),VLOOKUP(N394,setup!$A$8:$H$58,6),VLOOKUP(N394,setup!$A$8:$H$58,7), VLOOKUP(0,setup!$A$8:$H$58,2),VLOOKUP(0,setup!$A$8:$H$58,5),VLOOKUP(N394,setup!$A$8:$H$58,8))</f>
        <v/>
      </c>
    </row>
    <row r="395" spans="1:15" x14ac:dyDescent="0.25">
      <c r="A395" s="10"/>
      <c r="O395" s="7" t="str">
        <f ca="1">getCodigoBackend(N395,A395,VLOOKUP(N395,setup!$A$8:$H$58,2),VLOOKUP(N395,setup!$A$8:$H$58,3),VLOOKUP(N395,setup!$A$8:$H$58,4),VLOOKUP(N395,setup!$A$8:$H$58,5),VLOOKUP(N395,setup!$A$8:$H$58,6),VLOOKUP(N395,setup!$A$8:$H$58,7), VLOOKUP(0,setup!$A$8:$H$58,2),VLOOKUP(0,setup!$A$8:$H$58,5),VLOOKUP(N395,setup!$A$8:$H$58,8))</f>
        <v/>
      </c>
    </row>
    <row r="396" spans="1:15" x14ac:dyDescent="0.25">
      <c r="A396" s="10"/>
      <c r="O396" s="7" t="str">
        <f ca="1">getCodigoBackend(N396,A396,VLOOKUP(N396,setup!$A$8:$H$58,2),VLOOKUP(N396,setup!$A$8:$H$58,3),VLOOKUP(N396,setup!$A$8:$H$58,4),VLOOKUP(N396,setup!$A$8:$H$58,5),VLOOKUP(N396,setup!$A$8:$H$58,6),VLOOKUP(N396,setup!$A$8:$H$58,7), VLOOKUP(0,setup!$A$8:$H$58,2),VLOOKUP(0,setup!$A$8:$H$58,5),VLOOKUP(N396,setup!$A$8:$H$58,8))</f>
        <v/>
      </c>
    </row>
    <row r="397" spans="1:15" x14ac:dyDescent="0.25">
      <c r="A397" s="10"/>
      <c r="O397" s="7" t="str">
        <f ca="1">getCodigoBackend(N397,A397,VLOOKUP(N397,setup!$A$8:$H$58,2),VLOOKUP(N397,setup!$A$8:$H$58,3),VLOOKUP(N397,setup!$A$8:$H$58,4),VLOOKUP(N397,setup!$A$8:$H$58,5),VLOOKUP(N397,setup!$A$8:$H$58,6),VLOOKUP(N397,setup!$A$8:$H$58,7), VLOOKUP(0,setup!$A$8:$H$58,2),VLOOKUP(0,setup!$A$8:$H$58,5),VLOOKUP(N397,setup!$A$8:$H$58,8))</f>
        <v/>
      </c>
    </row>
    <row r="398" spans="1:15" x14ac:dyDescent="0.25">
      <c r="A398" s="10"/>
      <c r="O398" s="7" t="str">
        <f ca="1">getCodigoBackend(N398,A398,VLOOKUP(N398,setup!$A$8:$H$58,2),VLOOKUP(N398,setup!$A$8:$H$58,3),VLOOKUP(N398,setup!$A$8:$H$58,4),VLOOKUP(N398,setup!$A$8:$H$58,5),VLOOKUP(N398,setup!$A$8:$H$58,6),VLOOKUP(N398,setup!$A$8:$H$58,7), VLOOKUP(0,setup!$A$8:$H$58,2),VLOOKUP(0,setup!$A$8:$H$58,5),VLOOKUP(N398,setup!$A$8:$H$58,8))</f>
        <v/>
      </c>
    </row>
    <row r="399" spans="1:15" x14ac:dyDescent="0.25">
      <c r="A399" s="10"/>
      <c r="O399" s="7" t="str">
        <f ca="1">getCodigoBackend(N399,A399,VLOOKUP(N399,setup!$A$8:$H$58,2),VLOOKUP(N399,setup!$A$8:$H$58,3),VLOOKUP(N399,setup!$A$8:$H$58,4),VLOOKUP(N399,setup!$A$8:$H$58,5),VLOOKUP(N399,setup!$A$8:$H$58,6),VLOOKUP(N399,setup!$A$8:$H$58,7), VLOOKUP(0,setup!$A$8:$H$58,2),VLOOKUP(0,setup!$A$8:$H$58,5),VLOOKUP(N399,setup!$A$8:$H$58,8))</f>
        <v/>
      </c>
    </row>
    <row r="400" spans="1:15" x14ac:dyDescent="0.25">
      <c r="A400" s="10"/>
      <c r="O400" s="7" t="str">
        <f ca="1">getCodigoBackend(N400,A400,VLOOKUP(N400,setup!$A$8:$H$58,2),VLOOKUP(N400,setup!$A$8:$H$58,3),VLOOKUP(N400,setup!$A$8:$H$58,4),VLOOKUP(N400,setup!$A$8:$H$58,5),VLOOKUP(N400,setup!$A$8:$H$58,6),VLOOKUP(N400,setup!$A$8:$H$58,7), VLOOKUP(0,setup!$A$8:$H$58,2),VLOOKUP(0,setup!$A$8:$H$58,5),VLOOKUP(N400,setup!$A$8:$H$58,8))</f>
        <v/>
      </c>
    </row>
    <row r="401" spans="1:15" x14ac:dyDescent="0.25">
      <c r="A401" s="10"/>
      <c r="O401" s="7" t="str">
        <f ca="1">getCodigoBackend(N401,A401,VLOOKUP(N401,setup!$A$8:$H$58,2),VLOOKUP(N401,setup!$A$8:$H$58,3),VLOOKUP(N401,setup!$A$8:$H$58,4),VLOOKUP(N401,setup!$A$8:$H$58,5),VLOOKUP(N401,setup!$A$8:$H$58,6),VLOOKUP(N401,setup!$A$8:$H$58,7), VLOOKUP(0,setup!$A$8:$H$58,2),VLOOKUP(0,setup!$A$8:$H$58,5),VLOOKUP(N401,setup!$A$8:$H$58,8))</f>
        <v/>
      </c>
    </row>
    <row r="402" spans="1:15" x14ac:dyDescent="0.25">
      <c r="A402" s="10"/>
      <c r="O402" s="7" t="str">
        <f ca="1">getCodigoBackend(N402,A402,VLOOKUP(N402,setup!$A$8:$H$58,2),VLOOKUP(N402,setup!$A$8:$H$58,3),VLOOKUP(N402,setup!$A$8:$H$58,4),VLOOKUP(N402,setup!$A$8:$H$58,5),VLOOKUP(N402,setup!$A$8:$H$58,6),VLOOKUP(N402,setup!$A$8:$H$58,7), VLOOKUP(0,setup!$A$8:$H$58,2),VLOOKUP(0,setup!$A$8:$H$58,5),VLOOKUP(N402,setup!$A$8:$H$58,8))</f>
        <v/>
      </c>
    </row>
    <row r="403" spans="1:15" x14ac:dyDescent="0.25">
      <c r="A403" s="10"/>
      <c r="O403" s="7" t="str">
        <f ca="1">getCodigoBackend(N403,A403,VLOOKUP(N403,setup!$A$8:$H$58,2),VLOOKUP(N403,setup!$A$8:$H$58,3),VLOOKUP(N403,setup!$A$8:$H$58,4),VLOOKUP(N403,setup!$A$8:$H$58,5),VLOOKUP(N403,setup!$A$8:$H$58,6),VLOOKUP(N403,setup!$A$8:$H$58,7), VLOOKUP(0,setup!$A$8:$H$58,2),VLOOKUP(0,setup!$A$8:$H$58,5),VLOOKUP(N403,setup!$A$8:$H$58,8))</f>
        <v/>
      </c>
    </row>
    <row r="404" spans="1:15" x14ac:dyDescent="0.25">
      <c r="A404" s="10"/>
      <c r="O404" s="7" t="str">
        <f ca="1">getCodigoBackend(N404,A404,VLOOKUP(N404,setup!$A$8:$H$58,2),VLOOKUP(N404,setup!$A$8:$H$58,3),VLOOKUP(N404,setup!$A$8:$H$58,4),VLOOKUP(N404,setup!$A$8:$H$58,5),VLOOKUP(N404,setup!$A$8:$H$58,6),VLOOKUP(N404,setup!$A$8:$H$58,7), VLOOKUP(0,setup!$A$8:$H$58,2),VLOOKUP(0,setup!$A$8:$H$58,5),VLOOKUP(N404,setup!$A$8:$H$58,8))</f>
        <v/>
      </c>
    </row>
    <row r="405" spans="1:15" x14ac:dyDescent="0.25">
      <c r="A405" s="10"/>
      <c r="O405" s="7" t="str">
        <f ca="1">getCodigoBackend(N405,A405,VLOOKUP(N405,setup!$A$8:$H$58,2),VLOOKUP(N405,setup!$A$8:$H$58,3),VLOOKUP(N405,setup!$A$8:$H$58,4),VLOOKUP(N405,setup!$A$8:$H$58,5),VLOOKUP(N405,setup!$A$8:$H$58,6),VLOOKUP(N405,setup!$A$8:$H$58,7), VLOOKUP(0,setup!$A$8:$H$58,2),VLOOKUP(0,setup!$A$8:$H$58,5),VLOOKUP(N405,setup!$A$8:$H$58,8))</f>
        <v/>
      </c>
    </row>
    <row r="406" spans="1:15" x14ac:dyDescent="0.25">
      <c r="A406" s="10"/>
      <c r="O406" s="7" t="str">
        <f ca="1">getCodigoBackend(N406,A406,VLOOKUP(N406,setup!$A$8:$H$58,2),VLOOKUP(N406,setup!$A$8:$H$58,3),VLOOKUP(N406,setup!$A$8:$H$58,4),VLOOKUP(N406,setup!$A$8:$H$58,5),VLOOKUP(N406,setup!$A$8:$H$58,6),VLOOKUP(N406,setup!$A$8:$H$58,7), VLOOKUP(0,setup!$A$8:$H$58,2),VLOOKUP(0,setup!$A$8:$H$58,5),VLOOKUP(N406,setup!$A$8:$H$58,8))</f>
        <v/>
      </c>
    </row>
    <row r="407" spans="1:15" x14ac:dyDescent="0.25">
      <c r="A407" s="10"/>
      <c r="O407" s="7" t="str">
        <f ca="1">getCodigoBackend(N407,A407,VLOOKUP(N407,setup!$A$8:$H$58,2),VLOOKUP(N407,setup!$A$8:$H$58,3),VLOOKUP(N407,setup!$A$8:$H$58,4),VLOOKUP(N407,setup!$A$8:$H$58,5),VLOOKUP(N407,setup!$A$8:$H$58,6),VLOOKUP(N407,setup!$A$8:$H$58,7), VLOOKUP(0,setup!$A$8:$H$58,2),VLOOKUP(0,setup!$A$8:$H$58,5),VLOOKUP(N407,setup!$A$8:$H$58,8))</f>
        <v/>
      </c>
    </row>
    <row r="408" spans="1:15" x14ac:dyDescent="0.25">
      <c r="A408" s="10"/>
      <c r="O408" s="7" t="str">
        <f ca="1">getCodigoBackend(N408,A408,VLOOKUP(N408,setup!$A$8:$H$58,2),VLOOKUP(N408,setup!$A$8:$H$58,3),VLOOKUP(N408,setup!$A$8:$H$58,4),VLOOKUP(N408,setup!$A$8:$H$58,5),VLOOKUP(N408,setup!$A$8:$H$58,6),VLOOKUP(N408,setup!$A$8:$H$58,7), VLOOKUP(0,setup!$A$8:$H$58,2),VLOOKUP(0,setup!$A$8:$H$58,5),VLOOKUP(N408,setup!$A$8:$H$58,8))</f>
        <v/>
      </c>
    </row>
    <row r="409" spans="1:15" x14ac:dyDescent="0.25">
      <c r="A409" s="10"/>
      <c r="O409" s="7" t="str">
        <f ca="1">getCodigoBackend(N409,A409,VLOOKUP(N409,setup!$A$8:$H$58,2),VLOOKUP(N409,setup!$A$8:$H$58,3),VLOOKUP(N409,setup!$A$8:$H$58,4),VLOOKUP(N409,setup!$A$8:$H$58,5),VLOOKUP(N409,setup!$A$8:$H$58,6),VLOOKUP(N409,setup!$A$8:$H$58,7), VLOOKUP(0,setup!$A$8:$H$58,2),VLOOKUP(0,setup!$A$8:$H$58,5),VLOOKUP(N409,setup!$A$8:$H$58,8))</f>
        <v/>
      </c>
    </row>
    <row r="410" spans="1:15" x14ac:dyDescent="0.25">
      <c r="A410" s="10"/>
      <c r="O410" s="7" t="str">
        <f ca="1">getCodigoBackend(N410,A410,VLOOKUP(N410,setup!$A$8:$H$58,2),VLOOKUP(N410,setup!$A$8:$H$58,3),VLOOKUP(N410,setup!$A$8:$H$58,4),VLOOKUP(N410,setup!$A$8:$H$58,5),VLOOKUP(N410,setup!$A$8:$H$58,6),VLOOKUP(N410,setup!$A$8:$H$58,7), VLOOKUP(0,setup!$A$8:$H$58,2),VLOOKUP(0,setup!$A$8:$H$58,5),VLOOKUP(N410,setup!$A$8:$H$58,8))</f>
        <v/>
      </c>
    </row>
    <row r="411" spans="1:15" x14ac:dyDescent="0.25">
      <c r="A411" s="10"/>
      <c r="O411" s="7" t="str">
        <f ca="1">getCodigoBackend(N411,A411,VLOOKUP(N411,setup!$A$8:$H$58,2),VLOOKUP(N411,setup!$A$8:$H$58,3),VLOOKUP(N411,setup!$A$8:$H$58,4),VLOOKUP(N411,setup!$A$8:$H$58,5),VLOOKUP(N411,setup!$A$8:$H$58,6),VLOOKUP(N411,setup!$A$8:$H$58,7), VLOOKUP(0,setup!$A$8:$H$58,2),VLOOKUP(0,setup!$A$8:$H$58,5),VLOOKUP(N411,setup!$A$8:$H$58,8))</f>
        <v/>
      </c>
    </row>
    <row r="412" spans="1:15" x14ac:dyDescent="0.25">
      <c r="A412" s="10"/>
      <c r="O412" s="7" t="str">
        <f ca="1">getCodigoBackend(N412,A412,VLOOKUP(N412,setup!$A$8:$H$58,2),VLOOKUP(N412,setup!$A$8:$H$58,3),VLOOKUP(N412,setup!$A$8:$H$58,4),VLOOKUP(N412,setup!$A$8:$H$58,5),VLOOKUP(N412,setup!$A$8:$H$58,6),VLOOKUP(N412,setup!$A$8:$H$58,7), VLOOKUP(0,setup!$A$8:$H$58,2),VLOOKUP(0,setup!$A$8:$H$58,5),VLOOKUP(N412,setup!$A$8:$H$58,8))</f>
        <v/>
      </c>
    </row>
    <row r="413" spans="1:15" x14ac:dyDescent="0.25">
      <c r="A413" s="10"/>
      <c r="O413" s="7" t="str">
        <f ca="1">getCodigoBackend(N413,A413,VLOOKUP(N413,setup!$A$8:$H$58,2),VLOOKUP(N413,setup!$A$8:$H$58,3),VLOOKUP(N413,setup!$A$8:$H$58,4),VLOOKUP(N413,setup!$A$8:$H$58,5),VLOOKUP(N413,setup!$A$8:$H$58,6),VLOOKUP(N413,setup!$A$8:$H$58,7), VLOOKUP(0,setup!$A$8:$H$58,2),VLOOKUP(0,setup!$A$8:$H$58,5),VLOOKUP(N413,setup!$A$8:$H$58,8))</f>
        <v/>
      </c>
    </row>
    <row r="414" spans="1:15" x14ac:dyDescent="0.25">
      <c r="A414" s="10"/>
      <c r="O414" s="7" t="str">
        <f ca="1">getCodigoBackend(N414,A414,VLOOKUP(N414,setup!$A$8:$H$58,2),VLOOKUP(N414,setup!$A$8:$H$58,3),VLOOKUP(N414,setup!$A$8:$H$58,4),VLOOKUP(N414,setup!$A$8:$H$58,5),VLOOKUP(N414,setup!$A$8:$H$58,6),VLOOKUP(N414,setup!$A$8:$H$58,7), VLOOKUP(0,setup!$A$8:$H$58,2),VLOOKUP(0,setup!$A$8:$H$58,5),VLOOKUP(N414,setup!$A$8:$H$58,8))</f>
        <v/>
      </c>
    </row>
    <row r="415" spans="1:15" x14ac:dyDescent="0.25">
      <c r="A415" s="10"/>
      <c r="O415" s="7" t="str">
        <f ca="1">getCodigoBackend(N415,A415,VLOOKUP(N415,setup!$A$8:$H$58,2),VLOOKUP(N415,setup!$A$8:$H$58,3),VLOOKUP(N415,setup!$A$8:$H$58,4),VLOOKUP(N415,setup!$A$8:$H$58,5),VLOOKUP(N415,setup!$A$8:$H$58,6),VLOOKUP(N415,setup!$A$8:$H$58,7), VLOOKUP(0,setup!$A$8:$H$58,2),VLOOKUP(0,setup!$A$8:$H$58,5),VLOOKUP(N415,setup!$A$8:$H$58,8))</f>
        <v/>
      </c>
    </row>
    <row r="416" spans="1:15" x14ac:dyDescent="0.25">
      <c r="A416" s="10"/>
      <c r="O416" s="7" t="str">
        <f ca="1">getCodigoBackend(N416,A416,VLOOKUP(N416,setup!$A$8:$H$58,2),VLOOKUP(N416,setup!$A$8:$H$58,3),VLOOKUP(N416,setup!$A$8:$H$58,4),VLOOKUP(N416,setup!$A$8:$H$58,5),VLOOKUP(N416,setup!$A$8:$H$58,6),VLOOKUP(N416,setup!$A$8:$H$58,7), VLOOKUP(0,setup!$A$8:$H$58,2),VLOOKUP(0,setup!$A$8:$H$58,5),VLOOKUP(N416,setup!$A$8:$H$58,8))</f>
        <v/>
      </c>
    </row>
    <row r="417" spans="1:15" x14ac:dyDescent="0.25">
      <c r="A417" s="10"/>
      <c r="O417" s="7" t="str">
        <f ca="1">getCodigoBackend(N417,A417,VLOOKUP(N417,setup!$A$8:$H$58,2),VLOOKUP(N417,setup!$A$8:$H$58,3),VLOOKUP(N417,setup!$A$8:$H$58,4),VLOOKUP(N417,setup!$A$8:$H$58,5),VLOOKUP(N417,setup!$A$8:$H$58,6),VLOOKUP(N417,setup!$A$8:$H$58,7), VLOOKUP(0,setup!$A$8:$H$58,2),VLOOKUP(0,setup!$A$8:$H$58,5),VLOOKUP(N417,setup!$A$8:$H$58,8))</f>
        <v/>
      </c>
    </row>
    <row r="418" spans="1:15" x14ac:dyDescent="0.25">
      <c r="A418" s="10"/>
      <c r="O418" s="7" t="str">
        <f ca="1">getCodigoBackend(N418,A418,VLOOKUP(N418,setup!$A$8:$H$58,2),VLOOKUP(N418,setup!$A$8:$H$58,3),VLOOKUP(N418,setup!$A$8:$H$58,4),VLOOKUP(N418,setup!$A$8:$H$58,5),VLOOKUP(N418,setup!$A$8:$H$58,6),VLOOKUP(N418,setup!$A$8:$H$58,7), VLOOKUP(0,setup!$A$8:$H$58,2),VLOOKUP(0,setup!$A$8:$H$58,5),VLOOKUP(N418,setup!$A$8:$H$58,8))</f>
        <v/>
      </c>
    </row>
    <row r="419" spans="1:15" x14ac:dyDescent="0.25">
      <c r="A419" s="10"/>
      <c r="O419" s="7" t="str">
        <f ca="1">getCodigoBackend(N419,A419,VLOOKUP(N419,setup!$A$8:$H$58,2),VLOOKUP(N419,setup!$A$8:$H$58,3),VLOOKUP(N419,setup!$A$8:$H$58,4),VLOOKUP(N419,setup!$A$8:$H$58,5),VLOOKUP(N419,setup!$A$8:$H$58,6),VLOOKUP(N419,setup!$A$8:$H$58,7), VLOOKUP(0,setup!$A$8:$H$58,2),VLOOKUP(0,setup!$A$8:$H$58,5),VLOOKUP(N419,setup!$A$8:$H$58,8))</f>
        <v/>
      </c>
    </row>
    <row r="420" spans="1:15" x14ac:dyDescent="0.25">
      <c r="A420" s="10"/>
      <c r="O420" s="7" t="str">
        <f ca="1">getCodigoBackend(N420,A420,VLOOKUP(N420,setup!$A$8:$H$58,2),VLOOKUP(N420,setup!$A$8:$H$58,3),VLOOKUP(N420,setup!$A$8:$H$58,4),VLOOKUP(N420,setup!$A$8:$H$58,5),VLOOKUP(N420,setup!$A$8:$H$58,6),VLOOKUP(N420,setup!$A$8:$H$58,7), VLOOKUP(0,setup!$A$8:$H$58,2),VLOOKUP(0,setup!$A$8:$H$58,5),VLOOKUP(N420,setup!$A$8:$H$58,8))</f>
        <v/>
      </c>
    </row>
    <row r="421" spans="1:15" x14ac:dyDescent="0.25">
      <c r="A421" s="10"/>
      <c r="O421" s="7" t="str">
        <f ca="1">getCodigoBackend(N421,A421,VLOOKUP(N421,setup!$A$8:$H$58,2),VLOOKUP(N421,setup!$A$8:$H$58,3),VLOOKUP(N421,setup!$A$8:$H$58,4),VLOOKUP(N421,setup!$A$8:$H$58,5),VLOOKUP(N421,setup!$A$8:$H$58,6),VLOOKUP(N421,setup!$A$8:$H$58,7), VLOOKUP(0,setup!$A$8:$H$58,2),VLOOKUP(0,setup!$A$8:$H$58,5),VLOOKUP(N421,setup!$A$8:$H$58,8))</f>
        <v/>
      </c>
    </row>
    <row r="422" spans="1:15" x14ac:dyDescent="0.25">
      <c r="A422" s="10"/>
      <c r="O422" s="7" t="str">
        <f ca="1">getCodigoBackend(N422,A422,VLOOKUP(N422,setup!$A$8:$H$58,2),VLOOKUP(N422,setup!$A$8:$H$58,3),VLOOKUP(N422,setup!$A$8:$H$58,4),VLOOKUP(N422,setup!$A$8:$H$58,5),VLOOKUP(N422,setup!$A$8:$H$58,6),VLOOKUP(N422,setup!$A$8:$H$58,7), VLOOKUP(0,setup!$A$8:$H$58,2),VLOOKUP(0,setup!$A$8:$H$58,5),VLOOKUP(N422,setup!$A$8:$H$58,8))</f>
        <v/>
      </c>
    </row>
    <row r="423" spans="1:15" x14ac:dyDescent="0.25">
      <c r="A423" s="10"/>
      <c r="O423" s="7" t="str">
        <f ca="1">getCodigoBackend(N423,A423,VLOOKUP(N423,setup!$A$8:$H$58,2),VLOOKUP(N423,setup!$A$8:$H$58,3),VLOOKUP(N423,setup!$A$8:$H$58,4),VLOOKUP(N423,setup!$A$8:$H$58,5),VLOOKUP(N423,setup!$A$8:$H$58,6),VLOOKUP(N423,setup!$A$8:$H$58,7), VLOOKUP(0,setup!$A$8:$H$58,2),VLOOKUP(0,setup!$A$8:$H$58,5),VLOOKUP(N423,setup!$A$8:$H$58,8))</f>
        <v/>
      </c>
    </row>
    <row r="424" spans="1:15" x14ac:dyDescent="0.25">
      <c r="A424" s="10"/>
      <c r="O424" s="7" t="str">
        <f ca="1">getCodigoBackend(N424,A424,VLOOKUP(N424,setup!$A$8:$H$58,2),VLOOKUP(N424,setup!$A$8:$H$58,3),VLOOKUP(N424,setup!$A$8:$H$58,4),VLOOKUP(N424,setup!$A$8:$H$58,5),VLOOKUP(N424,setup!$A$8:$H$58,6),VLOOKUP(N424,setup!$A$8:$H$58,7), VLOOKUP(0,setup!$A$8:$H$58,2),VLOOKUP(0,setup!$A$8:$H$58,5),VLOOKUP(N424,setup!$A$8:$H$58,8))</f>
        <v/>
      </c>
    </row>
    <row r="425" spans="1:15" x14ac:dyDescent="0.25">
      <c r="A425" s="10"/>
      <c r="O425" s="7" t="str">
        <f ca="1">getCodigoBackend(N425,A425,VLOOKUP(N425,setup!$A$8:$H$58,2),VLOOKUP(N425,setup!$A$8:$H$58,3),VLOOKUP(N425,setup!$A$8:$H$58,4),VLOOKUP(N425,setup!$A$8:$H$58,5),VLOOKUP(N425,setup!$A$8:$H$58,6),VLOOKUP(N425,setup!$A$8:$H$58,7), VLOOKUP(0,setup!$A$8:$H$58,2),VLOOKUP(0,setup!$A$8:$H$58,5),VLOOKUP(N425,setup!$A$8:$H$58,8))</f>
        <v/>
      </c>
    </row>
    <row r="426" spans="1:15" x14ac:dyDescent="0.25">
      <c r="A426" s="10"/>
      <c r="O426" s="7" t="str">
        <f ca="1">getCodigoBackend(N426,A426,VLOOKUP(N426,setup!$A$8:$H$58,2),VLOOKUP(N426,setup!$A$8:$H$58,3),VLOOKUP(N426,setup!$A$8:$H$58,4),VLOOKUP(N426,setup!$A$8:$H$58,5),VLOOKUP(N426,setup!$A$8:$H$58,6),VLOOKUP(N426,setup!$A$8:$H$58,7), VLOOKUP(0,setup!$A$8:$H$58,2),VLOOKUP(0,setup!$A$8:$H$58,5),VLOOKUP(N426,setup!$A$8:$H$58,8))</f>
        <v/>
      </c>
    </row>
    <row r="427" spans="1:15" x14ac:dyDescent="0.25">
      <c r="A427" s="10"/>
      <c r="O427" s="7" t="str">
        <f ca="1">getCodigoBackend(N427,A427,VLOOKUP(N427,setup!$A$8:$H$58,2),VLOOKUP(N427,setup!$A$8:$H$58,3),VLOOKUP(N427,setup!$A$8:$H$58,4),VLOOKUP(N427,setup!$A$8:$H$58,5),VLOOKUP(N427,setup!$A$8:$H$58,6),VLOOKUP(N427,setup!$A$8:$H$58,7), VLOOKUP(0,setup!$A$8:$H$58,2),VLOOKUP(0,setup!$A$8:$H$58,5),VLOOKUP(N427,setup!$A$8:$H$58,8))</f>
        <v/>
      </c>
    </row>
    <row r="428" spans="1:15" x14ac:dyDescent="0.25">
      <c r="A428" s="10"/>
      <c r="O428" s="7" t="str">
        <f ca="1">getCodigoBackend(N428,A428,VLOOKUP(N428,setup!$A$8:$H$58,2),VLOOKUP(N428,setup!$A$8:$H$58,3),VLOOKUP(N428,setup!$A$8:$H$58,4),VLOOKUP(N428,setup!$A$8:$H$58,5),VLOOKUP(N428,setup!$A$8:$H$58,6),VLOOKUP(N428,setup!$A$8:$H$58,7), VLOOKUP(0,setup!$A$8:$H$58,2),VLOOKUP(0,setup!$A$8:$H$58,5),VLOOKUP(N428,setup!$A$8:$H$58,8))</f>
        <v/>
      </c>
    </row>
    <row r="429" spans="1:15" x14ac:dyDescent="0.25">
      <c r="A429" s="10"/>
      <c r="O429" s="7" t="str">
        <f ca="1">getCodigoBackend(N429,A429,VLOOKUP(N429,setup!$A$8:$H$58,2),VLOOKUP(N429,setup!$A$8:$H$58,3),VLOOKUP(N429,setup!$A$8:$H$58,4),VLOOKUP(N429,setup!$A$8:$H$58,5),VLOOKUP(N429,setup!$A$8:$H$58,6),VLOOKUP(N429,setup!$A$8:$H$58,7), VLOOKUP(0,setup!$A$8:$H$58,2),VLOOKUP(0,setup!$A$8:$H$58,5),VLOOKUP(N429,setup!$A$8:$H$58,8))</f>
        <v/>
      </c>
    </row>
    <row r="430" spans="1:15" x14ac:dyDescent="0.25">
      <c r="A430" s="10"/>
      <c r="O430" s="7" t="str">
        <f ca="1">getCodigoBackend(N430,A430,VLOOKUP(N430,setup!$A$8:$H$58,2),VLOOKUP(N430,setup!$A$8:$H$58,3),VLOOKUP(N430,setup!$A$8:$H$58,4),VLOOKUP(N430,setup!$A$8:$H$58,5),VLOOKUP(N430,setup!$A$8:$H$58,6),VLOOKUP(N430,setup!$A$8:$H$58,7), VLOOKUP(0,setup!$A$8:$H$58,2),VLOOKUP(0,setup!$A$8:$H$58,5),VLOOKUP(N430,setup!$A$8:$H$58,8))</f>
        <v/>
      </c>
    </row>
    <row r="431" spans="1:15" x14ac:dyDescent="0.25">
      <c r="A431" s="10"/>
      <c r="O431" s="7" t="str">
        <f ca="1">getCodigoBackend(N431,A431,VLOOKUP(N431,setup!$A$8:$H$58,2),VLOOKUP(N431,setup!$A$8:$H$58,3),VLOOKUP(N431,setup!$A$8:$H$58,4),VLOOKUP(N431,setup!$A$8:$H$58,5),VLOOKUP(N431,setup!$A$8:$H$58,6),VLOOKUP(N431,setup!$A$8:$H$58,7), VLOOKUP(0,setup!$A$8:$H$58,2),VLOOKUP(0,setup!$A$8:$H$58,5),VLOOKUP(N431,setup!$A$8:$H$58,8))</f>
        <v/>
      </c>
    </row>
    <row r="432" spans="1:15" x14ac:dyDescent="0.25">
      <c r="A432" s="10"/>
      <c r="O432" s="7" t="str">
        <f ca="1">getCodigoBackend(N432,A432,VLOOKUP(N432,setup!$A$8:$H$58,2),VLOOKUP(N432,setup!$A$8:$H$58,3),VLOOKUP(N432,setup!$A$8:$H$58,4),VLOOKUP(N432,setup!$A$8:$H$58,5),VLOOKUP(N432,setup!$A$8:$H$58,6),VLOOKUP(N432,setup!$A$8:$H$58,7), VLOOKUP(0,setup!$A$8:$H$58,2),VLOOKUP(0,setup!$A$8:$H$58,5),VLOOKUP(N432,setup!$A$8:$H$58,8))</f>
        <v/>
      </c>
    </row>
    <row r="433" spans="1:15" x14ac:dyDescent="0.25">
      <c r="A433" s="10"/>
      <c r="O433" s="7" t="str">
        <f ca="1">getCodigoBackend(N433,A433,VLOOKUP(N433,setup!$A$8:$H$58,2),VLOOKUP(N433,setup!$A$8:$H$58,3),VLOOKUP(N433,setup!$A$8:$H$58,4),VLOOKUP(N433,setup!$A$8:$H$58,5),VLOOKUP(N433,setup!$A$8:$H$58,6),VLOOKUP(N433,setup!$A$8:$H$58,7), VLOOKUP(0,setup!$A$8:$H$58,2),VLOOKUP(0,setup!$A$8:$H$58,5),VLOOKUP(N433,setup!$A$8:$H$58,8))</f>
        <v/>
      </c>
    </row>
    <row r="434" spans="1:15" x14ac:dyDescent="0.25">
      <c r="A434" s="10"/>
      <c r="O434" s="7" t="str">
        <f ca="1">getCodigoBackend(N434,A434,VLOOKUP(N434,setup!$A$8:$H$58,2),VLOOKUP(N434,setup!$A$8:$H$58,3),VLOOKUP(N434,setup!$A$8:$H$58,4),VLOOKUP(N434,setup!$A$8:$H$58,5),VLOOKUP(N434,setup!$A$8:$H$58,6),VLOOKUP(N434,setup!$A$8:$H$58,7), VLOOKUP(0,setup!$A$8:$H$58,2),VLOOKUP(0,setup!$A$8:$H$58,5),VLOOKUP(N434,setup!$A$8:$H$58,8))</f>
        <v/>
      </c>
    </row>
    <row r="435" spans="1:15" x14ac:dyDescent="0.25">
      <c r="A435" s="1"/>
      <c r="O435" s="7" t="str">
        <f ca="1">getCodigoBackend(N435,A435,VLOOKUP(N435,setup!$A$8:$H$58,2),VLOOKUP(N435,setup!$A$8:$H$58,3),VLOOKUP(N435,setup!$A$8:$H$58,4),VLOOKUP(N435,setup!$A$8:$H$58,5),VLOOKUP(N435,setup!$A$8:$H$58,6),VLOOKUP(N435,setup!$A$8:$H$58,7), VLOOKUP(0,setup!$A$8:$H$58,2),VLOOKUP(0,setup!$A$8:$H$58,5),VLOOKUP(N435,setup!$A$8:$H$58,8))</f>
        <v/>
      </c>
    </row>
    <row r="436" spans="1:15" x14ac:dyDescent="0.25">
      <c r="A436" s="1"/>
      <c r="O436" s="7" t="str">
        <f ca="1">getCodigoBackend(N436,A436,VLOOKUP(N436,setup!$A$8:$H$58,2),VLOOKUP(N436,setup!$A$8:$H$58,3),VLOOKUP(N436,setup!$A$8:$H$58,4),VLOOKUP(N436,setup!$A$8:$H$58,5),VLOOKUP(N436,setup!$A$8:$H$58,6),VLOOKUP(N436,setup!$A$8:$H$58,7), VLOOKUP(0,setup!$A$8:$H$58,2),VLOOKUP(0,setup!$A$8:$H$58,5),VLOOKUP(N436,setup!$A$8:$H$58,8))</f>
        <v/>
      </c>
    </row>
    <row r="437" spans="1:15" x14ac:dyDescent="0.25">
      <c r="A437" s="1"/>
      <c r="O437" s="7" t="str">
        <f ca="1">getCodigoBackend(N437,A437,VLOOKUP(N437,setup!$A$8:$H$58,2),VLOOKUP(N437,setup!$A$8:$H$58,3),VLOOKUP(N437,setup!$A$8:$H$58,4),VLOOKUP(N437,setup!$A$8:$H$58,5),VLOOKUP(N437,setup!$A$8:$H$58,6),VLOOKUP(N437,setup!$A$8:$H$58,7), VLOOKUP(0,setup!$A$8:$H$58,2),VLOOKUP(0,setup!$A$8:$H$58,5),VLOOKUP(N437,setup!$A$8:$H$58,8))</f>
        <v/>
      </c>
    </row>
    <row r="438" spans="1:15" x14ac:dyDescent="0.25">
      <c r="A438" s="1"/>
      <c r="O438" s="7" t="str">
        <f ca="1">getCodigoBackend(N438,A438,VLOOKUP(N438,setup!$A$8:$H$58,2),VLOOKUP(N438,setup!$A$8:$H$58,3),VLOOKUP(N438,setup!$A$8:$H$58,4),VLOOKUP(N438,setup!$A$8:$H$58,5),VLOOKUP(N438,setup!$A$8:$H$58,6),VLOOKUP(N438,setup!$A$8:$H$58,7), VLOOKUP(0,setup!$A$8:$H$58,2),VLOOKUP(0,setup!$A$8:$H$58,5),VLOOKUP(N438,setup!$A$8:$H$58,8))</f>
        <v/>
      </c>
    </row>
    <row r="439" spans="1:15" x14ac:dyDescent="0.25">
      <c r="A439" s="6"/>
      <c r="O439" s="7" t="str">
        <f ca="1">getCodigoBackend(N439,A439,VLOOKUP(N439,setup!$A$8:$H$58,2),VLOOKUP(N439,setup!$A$8:$H$58,3),VLOOKUP(N439,setup!$A$8:$H$58,4),VLOOKUP(N439,setup!$A$8:$H$58,5),VLOOKUP(N439,setup!$A$8:$H$58,6),VLOOKUP(N439,setup!$A$8:$H$58,7), VLOOKUP(0,setup!$A$8:$H$58,2),VLOOKUP(0,setup!$A$8:$H$58,5),VLOOKUP(N439,setup!$A$8:$H$58,8))</f>
        <v/>
      </c>
    </row>
    <row r="440" spans="1:15" x14ac:dyDescent="0.25">
      <c r="A440" s="6"/>
      <c r="O440" s="7" t="str">
        <f ca="1">getCodigoBackend(N440,A440,VLOOKUP(N440,setup!$A$8:$H$58,2),VLOOKUP(N440,setup!$A$8:$H$58,3),VLOOKUP(N440,setup!$A$8:$H$58,4),VLOOKUP(N440,setup!$A$8:$H$58,5),VLOOKUP(N440,setup!$A$8:$H$58,6),VLOOKUP(N440,setup!$A$8:$H$58,7), VLOOKUP(0,setup!$A$8:$H$58,2),VLOOKUP(0,setup!$A$8:$H$58,5),VLOOKUP(N440,setup!$A$8:$H$58,8))</f>
        <v/>
      </c>
    </row>
    <row r="441" spans="1:15" x14ac:dyDescent="0.25">
      <c r="A441" s="3"/>
      <c r="O441" s="7" t="str">
        <f ca="1">getCodigoBackend(N441,A441,VLOOKUP(N441,setup!$A$8:$H$58,2),VLOOKUP(N441,setup!$A$8:$H$58,3),VLOOKUP(N441,setup!$A$8:$H$58,4),VLOOKUP(N441,setup!$A$8:$H$58,5),VLOOKUP(N441,setup!$A$8:$H$58,6),VLOOKUP(N441,setup!$A$8:$H$58,7), VLOOKUP(0,setup!$A$8:$H$58,2),VLOOKUP(0,setup!$A$8:$H$58,5),VLOOKUP(N441,setup!$A$8:$H$58,8))</f>
        <v/>
      </c>
    </row>
    <row r="442" spans="1:15" x14ac:dyDescent="0.25">
      <c r="A442" s="3"/>
      <c r="O442" s="7" t="str">
        <f ca="1">getCodigoBackend(N442,A442,VLOOKUP(N442,setup!$A$8:$H$58,2),VLOOKUP(N442,setup!$A$8:$H$58,3),VLOOKUP(N442,setup!$A$8:$H$58,4),VLOOKUP(N442,setup!$A$8:$H$58,5),VLOOKUP(N442,setup!$A$8:$H$58,6),VLOOKUP(N442,setup!$A$8:$H$58,7), VLOOKUP(0,setup!$A$8:$H$58,2),VLOOKUP(0,setup!$A$8:$H$58,5),VLOOKUP(N442,setup!$A$8:$H$58,8))</f>
        <v/>
      </c>
    </row>
    <row r="443" spans="1:15" x14ac:dyDescent="0.25">
      <c r="A443" s="6"/>
      <c r="O443" s="7" t="str">
        <f ca="1">getCodigoBackend(N443,A443,VLOOKUP(N443,setup!$A$8:$H$58,2),VLOOKUP(N443,setup!$A$8:$H$58,3),VLOOKUP(N443,setup!$A$8:$H$58,4),VLOOKUP(N443,setup!$A$8:$H$58,5),VLOOKUP(N443,setup!$A$8:$H$58,6),VLOOKUP(N443,setup!$A$8:$H$58,7), VLOOKUP(0,setup!$A$8:$H$58,2),VLOOKUP(0,setup!$A$8:$H$58,5),VLOOKUP(N443,setup!$A$8:$H$58,8))</f>
        <v/>
      </c>
    </row>
    <row r="444" spans="1:15" x14ac:dyDescent="0.25">
      <c r="A444" s="2"/>
      <c r="O444" s="7" t="str">
        <f ca="1">getCodigoBackend(N444,A444,VLOOKUP(N444,setup!$A$8:$H$58,2),VLOOKUP(N444,setup!$A$8:$H$58,3),VLOOKUP(N444,setup!$A$8:$H$58,4),VLOOKUP(N444,setup!$A$8:$H$58,5),VLOOKUP(N444,setup!$A$8:$H$58,6),VLOOKUP(N444,setup!$A$8:$H$58,7), VLOOKUP(0,setup!$A$8:$H$58,2),VLOOKUP(0,setup!$A$8:$H$58,5),VLOOKUP(N444,setup!$A$8:$H$58,8))</f>
        <v/>
      </c>
    </row>
    <row r="445" spans="1:15" x14ac:dyDescent="0.25">
      <c r="O445" t="str">
        <f>SUBSTITUTE(SUBSTITUTE(SUBSTITUTE(SUBSTITUTE(A445,"${dto}",setup!$C$3),"${pk}",setup!$E$8),"${tabela}",setup!$C$2),CONCATENATE("${",N445,"}"),VLOOKUP(N445,setup!$A$8:$E$58,5))</f>
        <v/>
      </c>
    </row>
    <row r="446" spans="1:15" x14ac:dyDescent="0.25">
      <c r="O446" t="str">
        <f>SUBSTITUTE(SUBSTITUTE(SUBSTITUTE(SUBSTITUTE(A446,"${dto}",setup!$C$3),"${pk}",setup!$E$8),"${tabela}",setup!$C$2),CONCATENATE("${",N446,"}"),VLOOKUP(N446,setup!$A$8:$E$58,5))</f>
        <v/>
      </c>
    </row>
    <row r="447" spans="1:15" x14ac:dyDescent="0.25">
      <c r="O447" t="str">
        <f>SUBSTITUTE(SUBSTITUTE(SUBSTITUTE(SUBSTITUTE(A447,"${dto}",setup!$C$3),"${pk}",setup!$E$8),"${tabela}",setup!$C$2),CONCATENATE("${",N447,"}"),VLOOKUP(N447,setup!$A$8:$E$58,5))</f>
        <v/>
      </c>
    </row>
    <row r="448" spans="1:15" x14ac:dyDescent="0.25">
      <c r="O448" t="str">
        <f>SUBSTITUTE(SUBSTITUTE(SUBSTITUTE(SUBSTITUTE(A448,"${dto}",setup!$C$3),"${pk}",setup!$E$8),"${tabela}",setup!$C$2),CONCATENATE("${",N448,"}"),VLOOKUP(N448,setup!$A$8:$E$58,5))</f>
        <v/>
      </c>
    </row>
    <row r="449" spans="15:15" x14ac:dyDescent="0.25">
      <c r="O449" t="str">
        <f>SUBSTITUTE(SUBSTITUTE(SUBSTITUTE(SUBSTITUTE(A449,"${dto}",setup!$C$3),"${pk}",setup!$E$8),"${tabela}",setup!$C$2),CONCATENATE("${",N449,"}"),VLOOKUP(N449,setup!$A$8:$E$58,5))</f>
        <v/>
      </c>
    </row>
    <row r="450" spans="15:15" x14ac:dyDescent="0.25">
      <c r="O450" t="str">
        <f>SUBSTITUTE(SUBSTITUTE(SUBSTITUTE(SUBSTITUTE(A450,"${dto}",setup!$C$3),"${pk}",setup!$E$8),"${tabela}",setup!$C$2),CONCATENATE("${",N450,"}"),VLOOKUP(N450,setup!$A$8:$E$58,5))</f>
        <v/>
      </c>
    </row>
    <row r="451" spans="15:15" x14ac:dyDescent="0.25">
      <c r="O451" t="str">
        <f>SUBSTITUTE(SUBSTITUTE(SUBSTITUTE(SUBSTITUTE(A451,"${dto}",setup!$C$3),"${pk}",setup!$E$8),"${tabela}",setup!$C$2),CONCATENATE("${",N451,"}"),VLOOKUP(N451,setup!$A$8:$E$58,5))</f>
        <v/>
      </c>
    </row>
    <row r="452" spans="15:15" x14ac:dyDescent="0.25">
      <c r="O452" t="str">
        <f>SUBSTITUTE(SUBSTITUTE(SUBSTITUTE(SUBSTITUTE(A452,"${dto}",setup!$C$3),"${pk}",setup!$E$8),"${tabela}",setup!$C$2),CONCATENATE("${",N452,"}"),VLOOKUP(N452,setup!$A$8:$E$58,5))</f>
        <v/>
      </c>
    </row>
    <row r="453" spans="15:15" x14ac:dyDescent="0.25">
      <c r="O453" t="str">
        <f>SUBSTITUTE(SUBSTITUTE(SUBSTITUTE(SUBSTITUTE(A453,"${dto}",setup!$C$3),"${pk}",setup!$E$8),"${tabela}",setup!$C$2),CONCATENATE("${",N453,"}"),VLOOKUP(N453,setup!$A$8:$E$58,5))</f>
        <v/>
      </c>
    </row>
    <row r="454" spans="15:15" x14ac:dyDescent="0.25">
      <c r="O454" t="str">
        <f>SUBSTITUTE(SUBSTITUTE(SUBSTITUTE(SUBSTITUTE(A454,"${dto}",setup!$C$3),"${pk}",setup!$E$8),"${tabela}",setup!$C$2),CONCATENATE("${",N454,"}"),VLOOKUP(N454,setup!$A$8:$E$58,5))</f>
        <v/>
      </c>
    </row>
    <row r="455" spans="15:15" x14ac:dyDescent="0.25">
      <c r="O455" t="str">
        <f>SUBSTITUTE(SUBSTITUTE(SUBSTITUTE(SUBSTITUTE(A455,"${dto}",setup!$C$3),"${pk}",setup!$E$8),"${tabela}",setup!$C$2),CONCATENATE("${",N455,"}"),VLOOKUP(N455,setup!$A$8:$E$58,5))</f>
        <v/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5740A-A4BF-41ED-9CAC-E2492E7B030C}">
  <sheetPr codeName="Sheet13"/>
  <dimension ref="A1:O183"/>
  <sheetViews>
    <sheetView topLeftCell="A42" workbookViewId="0">
      <selection activeCell="O42" sqref="O1:O1048576"/>
    </sheetView>
  </sheetViews>
  <sheetFormatPr defaultRowHeight="15" x14ac:dyDescent="0.25"/>
  <sheetData>
    <row r="1" spans="1:15" x14ac:dyDescent="0.25">
      <c r="O1" t="s">
        <v>74</v>
      </c>
    </row>
    <row r="3" spans="1:15" x14ac:dyDescent="0.25">
      <c r="A3" s="2"/>
      <c r="O3" t="str">
        <f>SUBSTITUTE(SUBSTITUTE(A3,"${dto}",setup!$C$3),"${pk}",setup!$E$8)</f>
        <v/>
      </c>
    </row>
    <row r="4" spans="1:15" x14ac:dyDescent="0.25">
      <c r="A4" s="2" t="s">
        <v>80</v>
      </c>
      <c r="O4" s="7" t="str">
        <f ca="1">getCodigoBackend(N4,A4,VLOOKUP(N4,setup!$A$8:$H$58,2),VLOOKUP(N4,setup!$A$8:$H$58,3),VLOOKUP(N4,setup!$A$8:$H$58,4),VLOOKUP(N4,setup!$A$8:$H$58,5),VLOOKUP(N4,setup!$A$8:$H$58,6),VLOOKUP(N4,setup!$A$8:$H$58,7), VLOOKUP(0,setup!$A$8:$H$58,2),VLOOKUP(0,setup!$A$8:$H$58,5),VLOOKUP(N4,setup!$A$8:$H$58,8))</f>
        <v xml:space="preserve">&lt;?php </v>
      </c>
    </row>
    <row r="5" spans="1:15" x14ac:dyDescent="0.25">
      <c r="A5" s="2"/>
      <c r="O5" s="7" t="str">
        <f ca="1">getCodigoBackend(N5,A5,VLOOKUP(N5,setup!$A$8:$H$58,2),VLOOKUP(N5,setup!$A$8:$H$58,3),VLOOKUP(N5,setup!$A$8:$H$58,4),VLOOKUP(N5,setup!$A$8:$H$58,5),VLOOKUP(N5,setup!$A$8:$H$58,6),VLOOKUP(N5,setup!$A$8:$H$58,7), VLOOKUP(0,setup!$A$8:$H$58,2),VLOOKUP(0,setup!$A$8:$H$58,5),VLOOKUP(N5,setup!$A$8:$H$58,8))</f>
        <v/>
      </c>
    </row>
    <row r="6" spans="1:15" x14ac:dyDescent="0.25">
      <c r="A6" s="4" t="s">
        <v>644</v>
      </c>
      <c r="O6" s="7" t="str">
        <f ca="1">getCodigoBackend(N6,A6,VLOOKUP(N6,setup!$A$8:$H$58,2),VLOOKUP(N6,setup!$A$8:$H$58,3),VLOOKUP(N6,setup!$A$8:$H$58,4),VLOOKUP(N6,setup!$A$8:$H$58,5),VLOOKUP(N6,setup!$A$8:$H$58,6),VLOOKUP(N6,setup!$A$8:$H$58,7), VLOOKUP(0,setup!$A$8:$H$58,2),VLOOKUP(0,setup!$A$8:$H$58,5),VLOOKUP(N6,setup!$A$8:$H$58,8))</f>
        <v>// URL http://localhost/cfdi/php/classes/campanhacashbackresgatepix/clientListarCampanhaCashbackResgatePixPorStatus.php</v>
      </c>
    </row>
    <row r="7" spans="1:15" x14ac:dyDescent="0.25">
      <c r="A7" s="2"/>
      <c r="O7" s="7" t="str">
        <f ca="1">getCodigoBackend(N7,A7,VLOOKUP(N7,setup!$A$8:$H$58,2),VLOOKUP(N7,setup!$A$8:$H$58,3),VLOOKUP(N7,setup!$A$8:$H$58,4),VLOOKUP(N7,setup!$A$8:$H$58,5),VLOOKUP(N7,setup!$A$8:$H$58,6),VLOOKUP(N7,setup!$A$8:$H$58,7), VLOOKUP(0,setup!$A$8:$H$58,2),VLOOKUP(0,setup!$A$8:$H$58,5),VLOOKUP(N7,setup!$A$8:$H$58,8))</f>
        <v/>
      </c>
    </row>
    <row r="8" spans="1:15" x14ac:dyDescent="0.25">
      <c r="A8" s="5" t="s">
        <v>328</v>
      </c>
      <c r="O8" s="7" t="str">
        <f ca="1">getCodigoBackend(N8,A8,VLOOKUP(N8,setup!$A$8:$H$58,2),VLOOKUP(N8,setup!$A$8:$H$58,3),VLOOKUP(N8,setup!$A$8:$H$58,4),VLOOKUP(N8,setup!$A$8:$H$58,5),VLOOKUP(N8,setup!$A$8:$H$58,6),VLOOKUP(N8,setup!$A$8:$H$58,7), VLOOKUP(0,setup!$A$8:$H$58,2),VLOOKUP(0,setup!$A$8:$H$58,5),VLOOKUP(N8,setup!$A$8:$H$58,8))</f>
        <v>require_once 'CampanhaCashbackResgatePixServiceImpl.php';</v>
      </c>
    </row>
    <row r="9" spans="1:15" x14ac:dyDescent="0.25">
      <c r="A9" s="5" t="s">
        <v>83</v>
      </c>
      <c r="O9" s="7" t="str">
        <f ca="1">getCodigoBackend(N9,A9,VLOOKUP(N9,setup!$A$8:$H$58,2),VLOOKUP(N9,setup!$A$8:$H$58,3),VLOOKUP(N9,setup!$A$8:$H$58,4),VLOOKUP(N9,setup!$A$8:$H$58,5),VLOOKUP(N9,setup!$A$8:$H$58,6),VLOOKUP(N9,setup!$A$8:$H$58,7), VLOOKUP(0,setup!$A$8:$H$58,2),VLOOKUP(0,setup!$A$8:$H$58,5),VLOOKUP(N9,setup!$A$8:$H$58,8))</f>
        <v>require_once '../variavel/ConstantesVariavel.php';</v>
      </c>
    </row>
    <row r="10" spans="1:15" x14ac:dyDescent="0.25">
      <c r="A10" s="2"/>
      <c r="O10" s="7" t="str">
        <f ca="1">getCodigoBackend(N10,A10,VLOOKUP(N10,setup!$A$8:$H$58,2),VLOOKUP(N10,setup!$A$8:$H$58,3),VLOOKUP(N10,setup!$A$8:$H$58,4),VLOOKUP(N10,setup!$A$8:$H$58,5),VLOOKUP(N10,setup!$A$8:$H$58,6),VLOOKUP(N10,setup!$A$8:$H$58,7), VLOOKUP(0,setup!$A$8:$H$58,2),VLOOKUP(0,setup!$A$8:$H$58,5),VLOOKUP(N10,setup!$A$8:$H$58,8))</f>
        <v/>
      </c>
    </row>
    <row r="11" spans="1:15" x14ac:dyDescent="0.25">
      <c r="A11" s="8" t="s">
        <v>151</v>
      </c>
      <c r="O11" s="7" t="str">
        <f ca="1">getCodigoBackend(N11,A11,VLOOKUP(N11,setup!$A$8:$H$58,2),VLOOKUP(N11,setup!$A$8:$H$58,3),VLOOKUP(N11,setup!$A$8:$H$58,4),VLOOKUP(N11,setup!$A$8:$H$58,5),VLOOKUP(N11,setup!$A$8:$H$58,6),VLOOKUP(N11,setup!$A$8:$H$58,7), VLOOKUP(0,setup!$A$8:$H$58,2),VLOOKUP(0,setup!$A$8:$H$58,5),VLOOKUP(N11,setup!$A$8:$H$58,8))</f>
        <v>$date = new DateTime();</v>
      </c>
    </row>
    <row r="12" spans="1:15" x14ac:dyDescent="0.25">
      <c r="A12" s="8" t="s">
        <v>152</v>
      </c>
      <c r="O12" s="7" t="str">
        <f ca="1">getCodigoBackend(N12,A12,VLOOKUP(N12,setup!$A$8:$H$58,2),VLOOKUP(N12,setup!$A$8:$H$58,3),VLOOKUP(N12,setup!$A$8:$H$58,4),VLOOKUP(N12,setup!$A$8:$H$58,5),VLOOKUP(N12,setup!$A$8:$H$58,6),VLOOKUP(N12,setup!$A$8:$H$58,7), VLOOKUP(0,setup!$A$8:$H$58,2),VLOOKUP(0,setup!$A$8:$H$58,5),VLOOKUP(N12,setup!$A$8:$H$58,8))</f>
        <v>$ts = $date-&gt;getTimestamp();</v>
      </c>
    </row>
    <row r="13" spans="1:15" x14ac:dyDescent="0.25">
      <c r="A13" s="2"/>
      <c r="O13" s="7" t="str">
        <f ca="1">getCodigoBackend(N13,A13,VLOOKUP(N13,setup!$A$8:$H$58,2),VLOOKUP(N13,setup!$A$8:$H$58,3),VLOOKUP(N13,setup!$A$8:$H$58,4),VLOOKUP(N13,setup!$A$8:$H$58,5),VLOOKUP(N13,setup!$A$8:$H$58,6),VLOOKUP(N13,setup!$A$8:$H$58,7), VLOOKUP(0,setup!$A$8:$H$58,2),VLOOKUP(0,setup!$A$8:$H$58,5),VLOOKUP(N13,setup!$A$8:$H$58,8))</f>
        <v/>
      </c>
    </row>
    <row r="14" spans="1:15" x14ac:dyDescent="0.25">
      <c r="A14" s="8" t="s">
        <v>329</v>
      </c>
      <c r="O14" s="7" t="str">
        <f ca="1">getCodigoBackend(N14,A14,VLOOKUP(N14,setup!$A$8:$H$58,2),VLOOKUP(N14,setup!$A$8:$H$58,3),VLOOKUP(N14,setup!$A$8:$H$58,4),VLOOKUP(N14,setup!$A$8:$H$58,5),VLOOKUP(N14,setup!$A$8:$H$58,6),VLOOKUP(N14,setup!$A$8:$H$58,7), VLOOKUP(0,setup!$A$8:$H$58,2),VLOOKUP(0,setup!$A$8:$H$58,5),VLOOKUP(N14,setup!$A$8:$H$58,8))</f>
        <v>$csi = new CampanhaCashbackResgatePixServiceImpl();</v>
      </c>
    </row>
    <row r="15" spans="1:15" x14ac:dyDescent="0.25">
      <c r="A15" s="2" t="s">
        <v>156</v>
      </c>
      <c r="N15" s="7"/>
      <c r="O15" s="7" t="str">
        <f ca="1">getCodigoBackend(N15,A15,VLOOKUP(N15,setup!$A$8:$H$58,2),VLOOKUP(N15,setup!$A$8:$H$58,3),VLOOKUP(N15,setup!$A$8:$H$58,4),VLOOKUP(N15,setup!$A$8:$H$58,5),VLOOKUP(N15,setup!$A$8:$H$58,6),VLOOKUP(N15,setup!$A$8:$H$58,7), VLOOKUP(0,setup!$A$8:$H$58,2),VLOOKUP(0,setup!$A$8:$H$58,5),VLOOKUP(N15,setup!$A$8:$H$58,8))</f>
        <v>$status = ConstantesVariavel::STATUS_ATIVO;</v>
      </c>
    </row>
    <row r="16" spans="1:15" x14ac:dyDescent="0.25">
      <c r="A16" s="2"/>
      <c r="N16" s="7"/>
      <c r="O16" s="7" t="str">
        <f ca="1">getCodigoBackend(N16,A16,VLOOKUP(N16,setup!$A$8:$H$58,2),VLOOKUP(N16,setup!$A$8:$H$58,3),VLOOKUP(N16,setup!$A$8:$H$58,4),VLOOKUP(N16,setup!$A$8:$H$58,5),VLOOKUP(N16,setup!$A$8:$H$58,6),VLOOKUP(N16,setup!$A$8:$H$58,7), VLOOKUP(0,setup!$A$8:$H$58,2),VLOOKUP(0,setup!$A$8:$H$58,5),VLOOKUP(N16,setup!$A$8:$H$58,8))</f>
        <v/>
      </c>
    </row>
    <row r="17" spans="1:15" x14ac:dyDescent="0.25">
      <c r="A17" s="4" t="s">
        <v>333</v>
      </c>
      <c r="O17" s="7" t="str">
        <f ca="1">getCodigoBackend(N17,A17,VLOOKUP(N17,setup!$A$8:$H$58,2),VLOOKUP(N17,setup!$A$8:$H$58,3),VLOOKUP(N17,setup!$A$8:$H$58,4),VLOOKUP(N17,setup!$A$8:$H$58,5),VLOOKUP(N17,setup!$A$8:$H$58,6),VLOOKUP(N17,setup!$A$8:$H$58,7), VLOOKUP(0,setup!$A$8:$H$58,2),VLOOKUP(0,setup!$A$8:$H$58,5),VLOOKUP(N17,setup!$A$8:$H$58,8))</f>
        <v>// Imprime a 1a pagina</v>
      </c>
    </row>
    <row r="18" spans="1:15" x14ac:dyDescent="0.25">
      <c r="A18" s="8" t="s">
        <v>330</v>
      </c>
      <c r="O18" s="7" t="str">
        <f ca="1">getCodigoBackend(N18,A18,VLOOKUP(N18,setup!$A$8:$H$58,2),VLOOKUP(N18,setup!$A$8:$H$58,3),VLOOKUP(N18,setup!$A$8:$H$58,4),VLOOKUP(N18,setup!$A$8:$H$58,5),VLOOKUP(N18,setup!$A$8:$H$58,6),VLOOKUP(N18,setup!$A$8:$H$58,7), VLOOKUP(0,setup!$A$8:$H$58,2),VLOOKUP(0,setup!$A$8:$H$58,5),VLOOKUP(N18,setup!$A$8:$H$58,8))</f>
        <v>$retorno = $csi-&gt;listarCampanhaCashbackResgatePixPorStatus($status,1,2);</v>
      </c>
    </row>
    <row r="19" spans="1:15" x14ac:dyDescent="0.25">
      <c r="A19" s="9" t="s">
        <v>153</v>
      </c>
      <c r="O19" s="7" t="str">
        <f ca="1">getCodigoBackend(N19,A19,VLOOKUP(N19,setup!$A$8:$H$58,2),VLOOKUP(N19,setup!$A$8:$H$58,3),VLOOKUP(N19,setup!$A$8:$H$58,4),VLOOKUP(N19,setup!$A$8:$H$58,5),VLOOKUP(N19,setup!$A$8:$H$58,6),VLOOKUP(N19,setup!$A$8:$H$58,7), VLOOKUP(0,setup!$A$8:$H$58,2),VLOOKUP(0,setup!$A$8:$H$58,5),VLOOKUP(N19,setup!$A$8:$H$58,8))</f>
        <v>var_dump($retorno);</v>
      </c>
    </row>
    <row r="20" spans="1:15" x14ac:dyDescent="0.25">
      <c r="A20" s="9"/>
      <c r="O20" s="7" t="str">
        <f ca="1">getCodigoBackend(N20,A20,VLOOKUP(N20,setup!$A$8:$H$58,2),VLOOKUP(N20,setup!$A$8:$H$58,3),VLOOKUP(N20,setup!$A$8:$H$58,4),VLOOKUP(N20,setup!$A$8:$H$58,5),VLOOKUP(N20,setup!$A$8:$H$58,6),VLOOKUP(N20,setup!$A$8:$H$58,7), VLOOKUP(0,setup!$A$8:$H$58,2),VLOOKUP(0,setup!$A$8:$H$58,5),VLOOKUP(N20,setup!$A$8:$H$58,8))</f>
        <v/>
      </c>
    </row>
    <row r="21" spans="1:15" x14ac:dyDescent="0.25">
      <c r="A21" s="4" t="s">
        <v>334</v>
      </c>
      <c r="O21" s="7" t="str">
        <f ca="1">getCodigoBackend(N21,A21,VLOOKUP(N21,setup!$A$8:$H$58,2),VLOOKUP(N21,setup!$A$8:$H$58,3),VLOOKUP(N21,setup!$A$8:$H$58,4),VLOOKUP(N21,setup!$A$8:$H$58,5),VLOOKUP(N21,setup!$A$8:$H$58,6),VLOOKUP(N21,setup!$A$8:$H$58,7), VLOOKUP(0,setup!$A$8:$H$58,2),VLOOKUP(0,setup!$A$8:$H$58,5),VLOOKUP(N21,setup!$A$8:$H$58,8))</f>
        <v>// Imprime a 2a pagina</v>
      </c>
    </row>
    <row r="22" spans="1:15" x14ac:dyDescent="0.25">
      <c r="A22" s="8" t="s">
        <v>331</v>
      </c>
      <c r="O22" s="7" t="str">
        <f ca="1">getCodigoBackend(N22,A22,VLOOKUP(N22,setup!$A$8:$H$58,2),VLOOKUP(N22,setup!$A$8:$H$58,3),VLOOKUP(N22,setup!$A$8:$H$58,4),VLOOKUP(N22,setup!$A$8:$H$58,5),VLOOKUP(N22,setup!$A$8:$H$58,6),VLOOKUP(N22,setup!$A$8:$H$58,7), VLOOKUP(0,setup!$A$8:$H$58,2),VLOOKUP(0,setup!$A$8:$H$58,5),VLOOKUP(N22,setup!$A$8:$H$58,8))</f>
        <v>$retorno = $csi-&gt;listarCampanhaCashbackResgatePixPorStatus($status,2,2);</v>
      </c>
    </row>
    <row r="23" spans="1:15" x14ac:dyDescent="0.25">
      <c r="A23" s="9" t="s">
        <v>153</v>
      </c>
      <c r="O23" s="7" t="str">
        <f ca="1">getCodigoBackend(N23,A23,VLOOKUP(N23,setup!$A$8:$H$58,2),VLOOKUP(N23,setup!$A$8:$H$58,3),VLOOKUP(N23,setup!$A$8:$H$58,4),VLOOKUP(N23,setup!$A$8:$H$58,5),VLOOKUP(N23,setup!$A$8:$H$58,6),VLOOKUP(N23,setup!$A$8:$H$58,7), VLOOKUP(0,setup!$A$8:$H$58,2),VLOOKUP(0,setup!$A$8:$H$58,5),VLOOKUP(N23,setup!$A$8:$H$58,8))</f>
        <v>var_dump($retorno);</v>
      </c>
    </row>
    <row r="24" spans="1:15" x14ac:dyDescent="0.25">
      <c r="A24" s="9"/>
      <c r="O24" s="7" t="str">
        <f ca="1">getCodigoBackend(N24,A24,VLOOKUP(N24,setup!$A$8:$H$58,2),VLOOKUP(N24,setup!$A$8:$H$58,3),VLOOKUP(N24,setup!$A$8:$H$58,4),VLOOKUP(N24,setup!$A$8:$H$58,5),VLOOKUP(N24,setup!$A$8:$H$58,6),VLOOKUP(N24,setup!$A$8:$H$58,7), VLOOKUP(0,setup!$A$8:$H$58,2),VLOOKUP(0,setup!$A$8:$H$58,5),VLOOKUP(N24,setup!$A$8:$H$58,8))</f>
        <v/>
      </c>
    </row>
    <row r="25" spans="1:15" x14ac:dyDescent="0.25">
      <c r="A25" s="4" t="s">
        <v>335</v>
      </c>
      <c r="O25" s="7" t="str">
        <f ca="1">getCodigoBackend(N25,A25,VLOOKUP(N25,setup!$A$8:$H$58,2),VLOOKUP(N25,setup!$A$8:$H$58,3),VLOOKUP(N25,setup!$A$8:$H$58,4),VLOOKUP(N25,setup!$A$8:$H$58,5),VLOOKUP(N25,setup!$A$8:$H$58,6),VLOOKUP(N25,setup!$A$8:$H$58,7), VLOOKUP(0,setup!$A$8:$H$58,2),VLOOKUP(0,setup!$A$8:$H$58,5),VLOOKUP(N25,setup!$A$8:$H$58,8))</f>
        <v>// Imprime a 3a pagina</v>
      </c>
    </row>
    <row r="26" spans="1:15" x14ac:dyDescent="0.25">
      <c r="A26" s="8" t="s">
        <v>332</v>
      </c>
      <c r="O26" s="7" t="str">
        <f ca="1">getCodigoBackend(N26,A26,VLOOKUP(N26,setup!$A$8:$H$58,2),VLOOKUP(N26,setup!$A$8:$H$58,3),VLOOKUP(N26,setup!$A$8:$H$58,4),VLOOKUP(N26,setup!$A$8:$H$58,5),VLOOKUP(N26,setup!$A$8:$H$58,6),VLOOKUP(N26,setup!$A$8:$H$58,7), VLOOKUP(0,setup!$A$8:$H$58,2),VLOOKUP(0,setup!$A$8:$H$58,5),VLOOKUP(N26,setup!$A$8:$H$58,8))</f>
        <v>$retorno = $csi-&gt;listarCampanhaCashbackResgatePixPorStatus($status,3,2);</v>
      </c>
    </row>
    <row r="27" spans="1:15" x14ac:dyDescent="0.25">
      <c r="A27" s="9" t="s">
        <v>153</v>
      </c>
      <c r="O27" s="7" t="str">
        <f ca="1">getCodigoBackend(N27,A27,VLOOKUP(N27,setup!$A$8:$H$58,2),VLOOKUP(N27,setup!$A$8:$H$58,3),VLOOKUP(N27,setup!$A$8:$H$58,4),VLOOKUP(N27,setup!$A$8:$H$58,5),VLOOKUP(N27,setup!$A$8:$H$58,6),VLOOKUP(N27,setup!$A$8:$H$58,7), VLOOKUP(0,setup!$A$8:$H$58,2),VLOOKUP(0,setup!$A$8:$H$58,5),VLOOKUP(N27,setup!$A$8:$H$58,8))</f>
        <v>var_dump($retorno);</v>
      </c>
    </row>
    <row r="28" spans="1:15" x14ac:dyDescent="0.25">
      <c r="A28" s="2"/>
      <c r="O28" s="7" t="str">
        <f ca="1">getCodigoBackend(N28,A28,VLOOKUP(N28,setup!$A$8:$H$58,2),VLOOKUP(N28,setup!$A$8:$H$58,3),VLOOKUP(N28,setup!$A$8:$H$58,4),VLOOKUP(N28,setup!$A$8:$H$58,5),VLOOKUP(N28,setup!$A$8:$H$58,6),VLOOKUP(N28,setup!$A$8:$H$58,7), VLOOKUP(0,setup!$A$8:$H$58,2),VLOOKUP(0,setup!$A$8:$H$58,5),VLOOKUP(N28,setup!$A$8:$H$58,8))</f>
        <v/>
      </c>
    </row>
    <row r="29" spans="1:15" x14ac:dyDescent="0.25">
      <c r="A29" s="2"/>
      <c r="O29" s="7" t="str">
        <f ca="1">getCodigoBackend(N29,A29,VLOOKUP(N29,setup!$A$8:$H$58,2),VLOOKUP(N29,setup!$A$8:$H$58,3),VLOOKUP(N29,setup!$A$8:$H$58,4),VLOOKUP(N29,setup!$A$8:$H$58,5),VLOOKUP(N29,setup!$A$8:$H$58,6),VLOOKUP(N29,setup!$A$8:$H$58,7), VLOOKUP(0,setup!$A$8:$H$58,2),VLOOKUP(0,setup!$A$8:$H$58,5),VLOOKUP(N29,setup!$A$8:$H$58,8))</f>
        <v/>
      </c>
    </row>
    <row r="30" spans="1:15" x14ac:dyDescent="0.25">
      <c r="A30" s="2" t="s">
        <v>29</v>
      </c>
      <c r="O30" s="7" t="str">
        <f ca="1">getCodigoBackend(N30,A30,VLOOKUP(N30,setup!$A$8:$H$58,2),VLOOKUP(N30,setup!$A$8:$H$58,3),VLOOKUP(N30,setup!$A$8:$H$58,4),VLOOKUP(N30,setup!$A$8:$H$58,5),VLOOKUP(N30,setup!$A$8:$H$58,6),VLOOKUP(N30,setup!$A$8:$H$58,7), VLOOKUP(0,setup!$A$8:$H$58,2),VLOOKUP(0,setup!$A$8:$H$58,5),VLOOKUP(N30,setup!$A$8:$H$58,8))</f>
        <v>?&gt;</v>
      </c>
    </row>
    <row r="31" spans="1:15" x14ac:dyDescent="0.25">
      <c r="A31" s="6"/>
      <c r="O31" s="7" t="str">
        <f ca="1">getCodigoBackend(N31,A31,VLOOKUP(N31,setup!$A$8:$H$58,2),VLOOKUP(N31,setup!$A$8:$H$58,3),VLOOKUP(N31,setup!$A$8:$H$58,4),VLOOKUP(N31,setup!$A$8:$H$58,5),VLOOKUP(N31,setup!$A$8:$H$58,6),VLOOKUP(N31,setup!$A$8:$H$58,7), VLOOKUP(0,setup!$A$8:$H$58,2),VLOOKUP(0,setup!$A$8:$H$58,5),VLOOKUP(N31,setup!$A$8:$H$58,8))</f>
        <v/>
      </c>
    </row>
    <row r="32" spans="1:15" x14ac:dyDescent="0.25">
      <c r="A32" s="6"/>
      <c r="O32" s="7" t="str">
        <f ca="1">getCodigoBackend(N32,A32,VLOOKUP(N32,setup!$A$8:$H$58,2),VLOOKUP(N32,setup!$A$8:$H$58,3),VLOOKUP(N32,setup!$A$8:$H$58,4),VLOOKUP(N32,setup!$A$8:$H$58,5),VLOOKUP(N32,setup!$A$8:$H$58,6),VLOOKUP(N32,setup!$A$8:$H$58,7), VLOOKUP(0,setup!$A$8:$H$58,2),VLOOKUP(0,setup!$A$8:$H$58,5),VLOOKUP(N32,setup!$A$8:$H$58,8))</f>
        <v/>
      </c>
    </row>
    <row r="33" spans="1:15" x14ac:dyDescent="0.25">
      <c r="A33" s="2" t="s">
        <v>80</v>
      </c>
      <c r="O33" s="7" t="str">
        <f ca="1">getCodigoBackend(N33,A33,VLOOKUP(N33,setup!$A$8:$H$58,2),VLOOKUP(N33,setup!$A$8:$H$58,3),VLOOKUP(N33,setup!$A$8:$H$58,4),VLOOKUP(N33,setup!$A$8:$H$58,5),VLOOKUP(N33,setup!$A$8:$H$58,6),VLOOKUP(N33,setup!$A$8:$H$58,7), VLOOKUP(0,setup!$A$8:$H$58,2),VLOOKUP(0,setup!$A$8:$H$58,5),VLOOKUP(N33,setup!$A$8:$H$58,8))</f>
        <v xml:space="preserve">&lt;?php </v>
      </c>
    </row>
    <row r="34" spans="1:15" x14ac:dyDescent="0.25">
      <c r="A34" s="3"/>
      <c r="O34" s="7" t="str">
        <f ca="1">getCodigoBackend(N34,A34,VLOOKUP(N34,setup!$A$8:$H$58,2),VLOOKUP(N34,setup!$A$8:$H$58,3),VLOOKUP(N34,setup!$A$8:$H$58,4),VLOOKUP(N34,setup!$A$8:$H$58,5),VLOOKUP(N34,setup!$A$8:$H$58,6),VLOOKUP(N34,setup!$A$8:$H$58,7), VLOOKUP(0,setup!$A$8:$H$58,2),VLOOKUP(0,setup!$A$8:$H$58,5),VLOOKUP(N34,setup!$A$8:$H$58,8))</f>
        <v/>
      </c>
    </row>
    <row r="35" spans="1:15" x14ac:dyDescent="0.25">
      <c r="A35" s="4" t="s">
        <v>663</v>
      </c>
      <c r="O35" s="7" t="str">
        <f ca="1">getCodigoBackend(N35,A35,VLOOKUP(N35,setup!$A$8:$H$58,2),VLOOKUP(N35,setup!$A$8:$H$58,3),VLOOKUP(N35,setup!$A$8:$H$58,4),VLOOKUP(N35,setup!$A$8:$H$58,5),VLOOKUP(N35,setup!$A$8:$H$58,6),VLOOKUP(N35,setup!$A$8:$H$58,7), VLOOKUP(0,setup!$A$8:$H$58,2),VLOOKUP(0,setup!$A$8:$H$58,5),VLOOKUP(N35,setup!$A$8:$H$58,8))</f>
        <v>// URL http://localhost/cfdi/php/classes/campanhacashbackresgatepix/clientListarCampanhaCashbackResgatePixPorUsuaIdStatus.php</v>
      </c>
    </row>
    <row r="36" spans="1:15" x14ac:dyDescent="0.25">
      <c r="A36" s="3"/>
      <c r="O36" s="7" t="str">
        <f ca="1">getCodigoBackend(N36,A36,VLOOKUP(N36,setup!$A$8:$H$58,2),VLOOKUP(N36,setup!$A$8:$H$58,3),VLOOKUP(N36,setup!$A$8:$H$58,4),VLOOKUP(N36,setup!$A$8:$H$58,5),VLOOKUP(N36,setup!$A$8:$H$58,6),VLOOKUP(N36,setup!$A$8:$H$58,7), VLOOKUP(0,setup!$A$8:$H$58,2),VLOOKUP(0,setup!$A$8:$H$58,5),VLOOKUP(N36,setup!$A$8:$H$58,8))</f>
        <v/>
      </c>
    </row>
    <row r="37" spans="1:15" x14ac:dyDescent="0.25">
      <c r="A37" s="5" t="s">
        <v>328</v>
      </c>
      <c r="O37" s="7" t="str">
        <f ca="1">getCodigoBackend(N37,A37,VLOOKUP(N37,setup!$A$8:$H$58,2),VLOOKUP(N37,setup!$A$8:$H$58,3),VLOOKUP(N37,setup!$A$8:$H$58,4),VLOOKUP(N37,setup!$A$8:$H$58,5),VLOOKUP(N37,setup!$A$8:$H$58,6),VLOOKUP(N37,setup!$A$8:$H$58,7), VLOOKUP(0,setup!$A$8:$H$58,2),VLOOKUP(0,setup!$A$8:$H$58,5),VLOOKUP(N37,setup!$A$8:$H$58,8))</f>
        <v>require_once 'CampanhaCashbackResgatePixServiceImpl.php';</v>
      </c>
    </row>
    <row r="38" spans="1:15" x14ac:dyDescent="0.25">
      <c r="A38" s="5" t="s">
        <v>83</v>
      </c>
      <c r="O38" s="7" t="str">
        <f ca="1">getCodigoBackend(N38,A38,VLOOKUP(N38,setup!$A$8:$H$58,2),VLOOKUP(N38,setup!$A$8:$H$58,3),VLOOKUP(N38,setup!$A$8:$H$58,4),VLOOKUP(N38,setup!$A$8:$H$58,5),VLOOKUP(N38,setup!$A$8:$H$58,6),VLOOKUP(N38,setup!$A$8:$H$58,7), VLOOKUP(0,setup!$A$8:$H$58,2),VLOOKUP(0,setup!$A$8:$H$58,5),VLOOKUP(N38,setup!$A$8:$H$58,8))</f>
        <v>require_once '../variavel/ConstantesVariavel.php';</v>
      </c>
    </row>
    <row r="39" spans="1:15" x14ac:dyDescent="0.25">
      <c r="A39" s="3"/>
      <c r="O39" s="7" t="str">
        <f ca="1">getCodigoBackend(N39,A39,VLOOKUP(N39,setup!$A$8:$H$58,2),VLOOKUP(N39,setup!$A$8:$H$58,3),VLOOKUP(N39,setup!$A$8:$H$58,4),VLOOKUP(N39,setup!$A$8:$H$58,5),VLOOKUP(N39,setup!$A$8:$H$58,6),VLOOKUP(N39,setup!$A$8:$H$58,7), VLOOKUP(0,setup!$A$8:$H$58,2),VLOOKUP(0,setup!$A$8:$H$58,5),VLOOKUP(N39,setup!$A$8:$H$58,8))</f>
        <v/>
      </c>
    </row>
    <row r="40" spans="1:15" x14ac:dyDescent="0.25">
      <c r="A40" s="8" t="s">
        <v>151</v>
      </c>
      <c r="O40" s="7" t="str">
        <f ca="1">getCodigoBackend(N40,A40,VLOOKUP(N40,setup!$A$8:$H$58,2),VLOOKUP(N40,setup!$A$8:$H$58,3),VLOOKUP(N40,setup!$A$8:$H$58,4),VLOOKUP(N40,setup!$A$8:$H$58,5),VLOOKUP(N40,setup!$A$8:$H$58,6),VLOOKUP(N40,setup!$A$8:$H$58,7), VLOOKUP(0,setup!$A$8:$H$58,2),VLOOKUP(0,setup!$A$8:$H$58,5),VLOOKUP(N40,setup!$A$8:$H$58,8))</f>
        <v>$date = new DateTime();</v>
      </c>
    </row>
    <row r="41" spans="1:15" x14ac:dyDescent="0.25">
      <c r="A41" s="8" t="s">
        <v>152</v>
      </c>
      <c r="O41" s="7" t="str">
        <f ca="1">getCodigoBackend(N41,A41,VLOOKUP(N41,setup!$A$8:$H$58,2),VLOOKUP(N41,setup!$A$8:$H$58,3),VLOOKUP(N41,setup!$A$8:$H$58,4),VLOOKUP(N41,setup!$A$8:$H$58,5),VLOOKUP(N41,setup!$A$8:$H$58,6),VLOOKUP(N41,setup!$A$8:$H$58,7), VLOOKUP(0,setup!$A$8:$H$58,2),VLOOKUP(0,setup!$A$8:$H$58,5),VLOOKUP(N41,setup!$A$8:$H$58,8))</f>
        <v>$ts = $date-&gt;getTimestamp();</v>
      </c>
    </row>
    <row r="42" spans="1:15" x14ac:dyDescent="0.25">
      <c r="A42" s="3"/>
      <c r="O42" s="7" t="str">
        <f ca="1">getCodigoBackend(N42,A42,VLOOKUP(N42,setup!$A$8:$H$58,2),VLOOKUP(N42,setup!$A$8:$H$58,3),VLOOKUP(N42,setup!$A$8:$H$58,4),VLOOKUP(N42,setup!$A$8:$H$58,5),VLOOKUP(N42,setup!$A$8:$H$58,6),VLOOKUP(N42,setup!$A$8:$H$58,7), VLOOKUP(0,setup!$A$8:$H$58,2),VLOOKUP(0,setup!$A$8:$H$58,5),VLOOKUP(N42,setup!$A$8:$H$58,8))</f>
        <v/>
      </c>
    </row>
    <row r="43" spans="1:15" x14ac:dyDescent="0.25">
      <c r="A43" s="8" t="s">
        <v>329</v>
      </c>
      <c r="O43" s="7" t="str">
        <f ca="1">getCodigoBackend(N43,A43,VLOOKUP(N43,setup!$A$8:$H$58,2),VLOOKUP(N43,setup!$A$8:$H$58,3),VLOOKUP(N43,setup!$A$8:$H$58,4),VLOOKUP(N43,setup!$A$8:$H$58,5),VLOOKUP(N43,setup!$A$8:$H$58,6),VLOOKUP(N43,setup!$A$8:$H$58,7), VLOOKUP(0,setup!$A$8:$H$58,2),VLOOKUP(0,setup!$A$8:$H$58,5),VLOOKUP(N43,setup!$A$8:$H$58,8))</f>
        <v>$csi = new CampanhaCashbackResgatePixServiceImpl();</v>
      </c>
    </row>
    <row r="44" spans="1:15" x14ac:dyDescent="0.25">
      <c r="A44" s="8" t="s">
        <v>156</v>
      </c>
      <c r="O44" s="7" t="str">
        <f ca="1">getCodigoBackend(N44,A44,VLOOKUP(N44,setup!$A$8:$H$58,2),VLOOKUP(N44,setup!$A$8:$H$58,3),VLOOKUP(N44,setup!$A$8:$H$58,4),VLOOKUP(N44,setup!$A$8:$H$58,5),VLOOKUP(N44,setup!$A$8:$H$58,6),VLOOKUP(N44,setup!$A$8:$H$58,7), VLOOKUP(0,setup!$A$8:$H$58,2),VLOOKUP(0,setup!$A$8:$H$58,5),VLOOKUP(N44,setup!$A$8:$H$58,8))</f>
        <v>$status = ConstantesVariavel::STATUS_ATIVO;</v>
      </c>
    </row>
    <row r="45" spans="1:15" x14ac:dyDescent="0.25">
      <c r="A45" s="8" t="s">
        <v>662</v>
      </c>
      <c r="O45" s="7" t="str">
        <f ca="1">getCodigoBackend(N45,A45,VLOOKUP(N45,setup!$A$8:$H$58,2),VLOOKUP(N45,setup!$A$8:$H$58,3),VLOOKUP(N45,setup!$A$8:$H$58,4),VLOOKUP(N45,setup!$A$8:$H$58,5),VLOOKUP(N45,setup!$A$8:$H$58,6),VLOOKUP(N45,setup!$A$8:$H$58,7), VLOOKUP(0,setup!$A$8:$H$58,2),VLOOKUP(0,setup!$A$8:$H$58,5),VLOOKUP(N45,setup!$A$8:$H$58,8))</f>
        <v>$usuaid = 1;</v>
      </c>
    </row>
    <row r="46" spans="1:15" x14ac:dyDescent="0.25">
      <c r="A46" s="3"/>
      <c r="O46" s="7" t="str">
        <f ca="1">getCodigoBackend(N46,A46,VLOOKUP(N46,setup!$A$8:$H$58,2),VLOOKUP(N46,setup!$A$8:$H$58,3),VLOOKUP(N46,setup!$A$8:$H$58,4),VLOOKUP(N46,setup!$A$8:$H$58,5),VLOOKUP(N46,setup!$A$8:$H$58,6),VLOOKUP(N46,setup!$A$8:$H$58,7), VLOOKUP(0,setup!$A$8:$H$58,2),VLOOKUP(0,setup!$A$8:$H$58,5),VLOOKUP(N46,setup!$A$8:$H$58,8))</f>
        <v/>
      </c>
    </row>
    <row r="47" spans="1:15" x14ac:dyDescent="0.25">
      <c r="A47" s="4" t="s">
        <v>333</v>
      </c>
      <c r="O47" s="7" t="str">
        <f ca="1">getCodigoBackend(N47,A47,VLOOKUP(N47,setup!$A$8:$H$58,2),VLOOKUP(N47,setup!$A$8:$H$58,3),VLOOKUP(N47,setup!$A$8:$H$58,4),VLOOKUP(N47,setup!$A$8:$H$58,5),VLOOKUP(N47,setup!$A$8:$H$58,6),VLOOKUP(N47,setup!$A$8:$H$58,7), VLOOKUP(0,setup!$A$8:$H$58,2),VLOOKUP(0,setup!$A$8:$H$58,5),VLOOKUP(N47,setup!$A$8:$H$58,8))</f>
        <v>// Imprime a 1a pagina</v>
      </c>
    </row>
    <row r="48" spans="1:15" x14ac:dyDescent="0.25">
      <c r="A48" s="8" t="s">
        <v>664</v>
      </c>
      <c r="O48" s="7" t="str">
        <f ca="1">getCodigoBackend(N48,A48,VLOOKUP(N48,setup!$A$8:$H$58,2),VLOOKUP(N48,setup!$A$8:$H$58,3),VLOOKUP(N48,setup!$A$8:$H$58,4),VLOOKUP(N48,setup!$A$8:$H$58,5),VLOOKUP(N48,setup!$A$8:$H$58,6),VLOOKUP(N48,setup!$A$8:$H$58,7), VLOOKUP(0,setup!$A$8:$H$58,2),VLOOKUP(0,setup!$A$8:$H$58,5),VLOOKUP(N48,setup!$A$8:$H$58,8))</f>
        <v>$retorno = $csi-&gt;listarCampanhaCashbackResgatePixPorUsuaIdStatus($usuaid,$status,1,2);</v>
      </c>
    </row>
    <row r="49" spans="1:15" x14ac:dyDescent="0.25">
      <c r="A49" s="9" t="s">
        <v>153</v>
      </c>
      <c r="O49" s="7" t="str">
        <f ca="1">getCodigoBackend(N49,A49,VLOOKUP(N49,setup!$A$8:$H$58,2),VLOOKUP(N49,setup!$A$8:$H$58,3),VLOOKUP(N49,setup!$A$8:$H$58,4),VLOOKUP(N49,setup!$A$8:$H$58,5),VLOOKUP(N49,setup!$A$8:$H$58,6),VLOOKUP(N49,setup!$A$8:$H$58,7), VLOOKUP(0,setup!$A$8:$H$58,2),VLOOKUP(0,setup!$A$8:$H$58,5),VLOOKUP(N49,setup!$A$8:$H$58,8))</f>
        <v>var_dump($retorno);</v>
      </c>
    </row>
    <row r="50" spans="1:15" x14ac:dyDescent="0.25">
      <c r="A50" s="3"/>
      <c r="O50" s="7" t="str">
        <f ca="1">getCodigoBackend(N50,A50,VLOOKUP(N50,setup!$A$8:$H$58,2),VLOOKUP(N50,setup!$A$8:$H$58,3),VLOOKUP(N50,setup!$A$8:$H$58,4),VLOOKUP(N50,setup!$A$8:$H$58,5),VLOOKUP(N50,setup!$A$8:$H$58,6),VLOOKUP(N50,setup!$A$8:$H$58,7), VLOOKUP(0,setup!$A$8:$H$58,2),VLOOKUP(0,setup!$A$8:$H$58,5),VLOOKUP(N50,setup!$A$8:$H$58,8))</f>
        <v/>
      </c>
    </row>
    <row r="51" spans="1:15" x14ac:dyDescent="0.25">
      <c r="A51" s="4" t="s">
        <v>334</v>
      </c>
      <c r="O51" s="7" t="str">
        <f ca="1">getCodigoBackend(N51,A51,VLOOKUP(N51,setup!$A$8:$H$58,2),VLOOKUP(N51,setup!$A$8:$H$58,3),VLOOKUP(N51,setup!$A$8:$H$58,4),VLOOKUP(N51,setup!$A$8:$H$58,5),VLOOKUP(N51,setup!$A$8:$H$58,6),VLOOKUP(N51,setup!$A$8:$H$58,7), VLOOKUP(0,setup!$A$8:$H$58,2),VLOOKUP(0,setup!$A$8:$H$58,5),VLOOKUP(N51,setup!$A$8:$H$58,8))</f>
        <v>// Imprime a 2a pagina</v>
      </c>
    </row>
    <row r="52" spans="1:15" x14ac:dyDescent="0.25">
      <c r="A52" s="8" t="s">
        <v>665</v>
      </c>
      <c r="O52" s="7" t="str">
        <f ca="1">getCodigoBackend(N52,A52,VLOOKUP(N52,setup!$A$8:$H$58,2),VLOOKUP(N52,setup!$A$8:$H$58,3),VLOOKUP(N52,setup!$A$8:$H$58,4),VLOOKUP(N52,setup!$A$8:$H$58,5),VLOOKUP(N52,setup!$A$8:$H$58,6),VLOOKUP(N52,setup!$A$8:$H$58,7), VLOOKUP(0,setup!$A$8:$H$58,2),VLOOKUP(0,setup!$A$8:$H$58,5),VLOOKUP(N52,setup!$A$8:$H$58,8))</f>
        <v>$retorno = $csi-&gt;listarCampanhaCashbackResgatePixPorUsuaIdStatus($usuaid,$status,2,2);</v>
      </c>
    </row>
    <row r="53" spans="1:15" x14ac:dyDescent="0.25">
      <c r="A53" s="9" t="s">
        <v>153</v>
      </c>
      <c r="O53" s="7" t="str">
        <f ca="1">getCodigoBackend(N53,A53,VLOOKUP(N53,setup!$A$8:$H$58,2),VLOOKUP(N53,setup!$A$8:$H$58,3),VLOOKUP(N53,setup!$A$8:$H$58,4),VLOOKUP(N53,setup!$A$8:$H$58,5),VLOOKUP(N53,setup!$A$8:$H$58,6),VLOOKUP(N53,setup!$A$8:$H$58,7), VLOOKUP(0,setup!$A$8:$H$58,2),VLOOKUP(0,setup!$A$8:$H$58,5),VLOOKUP(N53,setup!$A$8:$H$58,8))</f>
        <v>var_dump($retorno);</v>
      </c>
    </row>
    <row r="54" spans="1:15" x14ac:dyDescent="0.25">
      <c r="A54" s="3"/>
      <c r="O54" s="7" t="str">
        <f ca="1">getCodigoBackend(N54,A54,VLOOKUP(N54,setup!$A$8:$H$58,2),VLOOKUP(N54,setup!$A$8:$H$58,3),VLOOKUP(N54,setup!$A$8:$H$58,4),VLOOKUP(N54,setup!$A$8:$H$58,5),VLOOKUP(N54,setup!$A$8:$H$58,6),VLOOKUP(N54,setup!$A$8:$H$58,7), VLOOKUP(0,setup!$A$8:$H$58,2),VLOOKUP(0,setup!$A$8:$H$58,5),VLOOKUP(N54,setup!$A$8:$H$58,8))</f>
        <v/>
      </c>
    </row>
    <row r="55" spans="1:15" x14ac:dyDescent="0.25">
      <c r="A55" s="4" t="s">
        <v>335</v>
      </c>
      <c r="O55" s="7" t="str">
        <f ca="1">getCodigoBackend(N55,A55,VLOOKUP(N55,setup!$A$8:$H$58,2),VLOOKUP(N55,setup!$A$8:$H$58,3),VLOOKUP(N55,setup!$A$8:$H$58,4),VLOOKUP(N55,setup!$A$8:$H$58,5),VLOOKUP(N55,setup!$A$8:$H$58,6),VLOOKUP(N55,setup!$A$8:$H$58,7), VLOOKUP(0,setup!$A$8:$H$58,2),VLOOKUP(0,setup!$A$8:$H$58,5),VLOOKUP(N55,setup!$A$8:$H$58,8))</f>
        <v>// Imprime a 3a pagina</v>
      </c>
    </row>
    <row r="56" spans="1:15" x14ac:dyDescent="0.25">
      <c r="A56" s="8" t="s">
        <v>715</v>
      </c>
      <c r="O56" s="7" t="str">
        <f ca="1">getCodigoBackend(N56,A56,VLOOKUP(N56,setup!$A$8:$H$58,2),VLOOKUP(N56,setup!$A$8:$H$58,3),VLOOKUP(N56,setup!$A$8:$H$58,4),VLOOKUP(N56,setup!$A$8:$H$58,5),VLOOKUP(N56,setup!$A$8:$H$58,6),VLOOKUP(N56,setup!$A$8:$H$58,7), VLOOKUP(0,setup!$A$8:$H$58,2),VLOOKUP(0,setup!$A$8:$H$58,5),VLOOKUP(N56,setup!$A$8:$H$58,8))</f>
        <v>$retorno = $csi-&gt;listarCampanhaCashbackResgatePixPorUsuaIdStatus($usuaid,$status,3,2);</v>
      </c>
    </row>
    <row r="57" spans="1:15" x14ac:dyDescent="0.25">
      <c r="A57" s="9" t="s">
        <v>153</v>
      </c>
      <c r="O57" s="7" t="str">
        <f ca="1">getCodigoBackend(N57,A57,VLOOKUP(N57,setup!$A$8:$H$58,2),VLOOKUP(N57,setup!$A$8:$H$58,3),VLOOKUP(N57,setup!$A$8:$H$58,4),VLOOKUP(N57,setup!$A$8:$H$58,5),VLOOKUP(N57,setup!$A$8:$H$58,6),VLOOKUP(N57,setup!$A$8:$H$58,7), VLOOKUP(0,setup!$A$8:$H$58,2),VLOOKUP(0,setup!$A$8:$H$58,5),VLOOKUP(N57,setup!$A$8:$H$58,8))</f>
        <v>var_dump($retorno);</v>
      </c>
    </row>
    <row r="58" spans="1:15" x14ac:dyDescent="0.25">
      <c r="A58" s="3"/>
      <c r="O58" s="7" t="str">
        <f ca="1">getCodigoBackend(N58,A58,VLOOKUP(N58,setup!$A$8:$H$58,2),VLOOKUP(N58,setup!$A$8:$H$58,3),VLOOKUP(N58,setup!$A$8:$H$58,4),VLOOKUP(N58,setup!$A$8:$H$58,5),VLOOKUP(N58,setup!$A$8:$H$58,6),VLOOKUP(N58,setup!$A$8:$H$58,7), VLOOKUP(0,setup!$A$8:$H$58,2),VLOOKUP(0,setup!$A$8:$H$58,5),VLOOKUP(N58,setup!$A$8:$H$58,8))</f>
        <v/>
      </c>
    </row>
    <row r="59" spans="1:15" x14ac:dyDescent="0.25">
      <c r="A59" s="3"/>
      <c r="O59" s="7" t="str">
        <f ca="1">getCodigoBackend(N59,A59,VLOOKUP(N59,setup!$A$8:$H$58,2),VLOOKUP(N59,setup!$A$8:$H$58,3),VLOOKUP(N59,setup!$A$8:$H$58,4),VLOOKUP(N59,setup!$A$8:$H$58,5),VLOOKUP(N59,setup!$A$8:$H$58,6),VLOOKUP(N59,setup!$A$8:$H$58,7), VLOOKUP(0,setup!$A$8:$H$58,2),VLOOKUP(0,setup!$A$8:$H$58,5),VLOOKUP(N59,setup!$A$8:$H$58,8))</f>
        <v/>
      </c>
    </row>
    <row r="60" spans="1:15" x14ac:dyDescent="0.25">
      <c r="A60" s="2" t="s">
        <v>29</v>
      </c>
      <c r="O60" s="7" t="str">
        <f ca="1">getCodigoBackend(N60,A60,VLOOKUP(N60,setup!$A$8:$H$58,2),VLOOKUP(N60,setup!$A$8:$H$58,3),VLOOKUP(N60,setup!$A$8:$H$58,4),VLOOKUP(N60,setup!$A$8:$H$58,5),VLOOKUP(N60,setup!$A$8:$H$58,6),VLOOKUP(N60,setup!$A$8:$H$58,7), VLOOKUP(0,setup!$A$8:$H$58,2),VLOOKUP(0,setup!$A$8:$H$58,5),VLOOKUP(N60,setup!$A$8:$H$58,8))</f>
        <v>?&gt;</v>
      </c>
    </row>
    <row r="61" spans="1:15" x14ac:dyDescent="0.25">
      <c r="A61" s="6"/>
      <c r="O61" s="7" t="str">
        <f ca="1">getCodigoBackend(N61,A61,VLOOKUP(N61,setup!$A$8:$H$58,2),VLOOKUP(N61,setup!$A$8:$H$58,3),VLOOKUP(N61,setup!$A$8:$H$58,4),VLOOKUP(N61,setup!$A$8:$H$58,5),VLOOKUP(N61,setup!$A$8:$H$58,6),VLOOKUP(N61,setup!$A$8:$H$58,7), VLOOKUP(0,setup!$A$8:$H$58,2),VLOOKUP(0,setup!$A$8:$H$58,5),VLOOKUP(N61,setup!$A$8:$H$58,8))</f>
        <v/>
      </c>
    </row>
    <row r="62" spans="1:15" x14ac:dyDescent="0.25">
      <c r="A62" s="6"/>
      <c r="O62" s="7" t="str">
        <f ca="1">getCodigoBackend(N62,A62,VLOOKUP(N62,setup!$A$8:$H$58,2),VLOOKUP(N62,setup!$A$8:$H$58,3),VLOOKUP(N62,setup!$A$8:$H$58,4),VLOOKUP(N62,setup!$A$8:$H$58,5),VLOOKUP(N62,setup!$A$8:$H$58,6),VLOOKUP(N62,setup!$A$8:$H$58,7), VLOOKUP(0,setup!$A$8:$H$58,2),VLOOKUP(0,setup!$A$8:$H$58,5),VLOOKUP(N62,setup!$A$8:$H$58,8))</f>
        <v/>
      </c>
    </row>
    <row r="63" spans="1:15" x14ac:dyDescent="0.25">
      <c r="A63" s="6"/>
      <c r="O63" s="7" t="str">
        <f ca="1">getCodigoBackend(N63,A63,VLOOKUP(N63,setup!$A$8:$H$58,2),VLOOKUP(N63,setup!$A$8:$H$58,3),VLOOKUP(N63,setup!$A$8:$H$58,4),VLOOKUP(N63,setup!$A$8:$H$58,5),VLOOKUP(N63,setup!$A$8:$H$58,6),VLOOKUP(N63,setup!$A$8:$H$58,7), VLOOKUP(0,setup!$A$8:$H$58,2),VLOOKUP(0,setup!$A$8:$H$58,5),VLOOKUP(N63,setup!$A$8:$H$58,8))</f>
        <v/>
      </c>
    </row>
    <row r="64" spans="1:15" x14ac:dyDescent="0.25">
      <c r="A64" s="6"/>
      <c r="O64" s="7" t="str">
        <f ca="1">getCodigoBackend(N64,A64,VLOOKUP(N64,setup!$A$8:$H$58,2),VLOOKUP(N64,setup!$A$8:$H$58,3),VLOOKUP(N64,setup!$A$8:$H$58,4),VLOOKUP(N64,setup!$A$8:$H$58,5),VLOOKUP(N64,setup!$A$8:$H$58,6),VLOOKUP(N64,setup!$A$8:$H$58,7), VLOOKUP(0,setup!$A$8:$H$58,2),VLOOKUP(0,setup!$A$8:$H$58,5),VLOOKUP(N64,setup!$A$8:$H$58,8))</f>
        <v/>
      </c>
    </row>
    <row r="65" spans="1:15" x14ac:dyDescent="0.25">
      <c r="A65" s="6"/>
      <c r="O65" s="7" t="str">
        <f ca="1">getCodigoBackend(N65,A65,VLOOKUP(N65,setup!$A$8:$H$58,2),VLOOKUP(N65,setup!$A$8:$H$58,3),VLOOKUP(N65,setup!$A$8:$H$58,4),VLOOKUP(N65,setup!$A$8:$H$58,5),VLOOKUP(N65,setup!$A$8:$H$58,6),VLOOKUP(N65,setup!$A$8:$H$58,7), VLOOKUP(0,setup!$A$8:$H$58,2),VLOOKUP(0,setup!$A$8:$H$58,5),VLOOKUP(N65,setup!$A$8:$H$58,8))</f>
        <v/>
      </c>
    </row>
    <row r="66" spans="1:15" x14ac:dyDescent="0.25">
      <c r="A66" s="6"/>
      <c r="O66" s="7" t="str">
        <f ca="1">getCodigoBackend(N66,A66,VLOOKUP(N66,setup!$A$8:$H$58,2),VLOOKUP(N66,setup!$A$8:$H$58,3),VLOOKUP(N66,setup!$A$8:$H$58,4),VLOOKUP(N66,setup!$A$8:$H$58,5),VLOOKUP(N66,setup!$A$8:$H$58,6),VLOOKUP(N66,setup!$A$8:$H$58,7), VLOOKUP(0,setup!$A$8:$H$58,2),VLOOKUP(0,setup!$A$8:$H$58,5),VLOOKUP(N66,setup!$A$8:$H$58,8))</f>
        <v/>
      </c>
    </row>
    <row r="67" spans="1:15" x14ac:dyDescent="0.25">
      <c r="A67" s="6"/>
      <c r="O67" s="7" t="str">
        <f ca="1">getCodigoBackend(N67,A67,VLOOKUP(N67,setup!$A$8:$H$58,2),VLOOKUP(N67,setup!$A$8:$H$58,3),VLOOKUP(N67,setup!$A$8:$H$58,4),VLOOKUP(N67,setup!$A$8:$H$58,5),VLOOKUP(N67,setup!$A$8:$H$58,6),VLOOKUP(N67,setup!$A$8:$H$58,7), VLOOKUP(0,setup!$A$8:$H$58,2),VLOOKUP(0,setup!$A$8:$H$58,5),VLOOKUP(N67,setup!$A$8:$H$58,8))</f>
        <v/>
      </c>
    </row>
    <row r="68" spans="1:15" x14ac:dyDescent="0.25">
      <c r="A68" s="6"/>
      <c r="O68" s="7" t="str">
        <f ca="1">getCodigoBackend(N68,A68,VLOOKUP(N68,setup!$A$8:$H$58,2),VLOOKUP(N68,setup!$A$8:$H$58,3),VLOOKUP(N68,setup!$A$8:$H$58,4),VLOOKUP(N68,setup!$A$8:$H$58,5),VLOOKUP(N68,setup!$A$8:$H$58,6),VLOOKUP(N68,setup!$A$8:$H$58,7), VLOOKUP(0,setup!$A$8:$H$58,2),VLOOKUP(0,setup!$A$8:$H$58,5),VLOOKUP(N68,setup!$A$8:$H$58,8))</f>
        <v/>
      </c>
    </row>
    <row r="69" spans="1:15" x14ac:dyDescent="0.25">
      <c r="A69" s="6"/>
      <c r="O69" s="7" t="str">
        <f ca="1">getCodigoBackend(N69,A69,VLOOKUP(N69,setup!$A$8:$H$58,2),VLOOKUP(N69,setup!$A$8:$H$58,3),VLOOKUP(N69,setup!$A$8:$H$58,4),VLOOKUP(N69,setup!$A$8:$H$58,5),VLOOKUP(N69,setup!$A$8:$H$58,6),VLOOKUP(N69,setup!$A$8:$H$58,7), VLOOKUP(0,setup!$A$8:$H$58,2),VLOOKUP(0,setup!$A$8:$H$58,5),VLOOKUP(N69,setup!$A$8:$H$58,8))</f>
        <v/>
      </c>
    </row>
    <row r="70" spans="1:15" x14ac:dyDescent="0.25">
      <c r="A70" s="8"/>
      <c r="O70" s="7" t="str">
        <f ca="1">getCodigoBackend(N70,A70,VLOOKUP(N70,setup!$A$8:$H$58,2),VLOOKUP(N70,setup!$A$8:$H$58,3),VLOOKUP(N70,setup!$A$8:$H$58,4),VLOOKUP(N70,setup!$A$8:$H$58,5),VLOOKUP(N70,setup!$A$8:$H$58,6),VLOOKUP(N70,setup!$A$8:$H$58,7), VLOOKUP(0,setup!$A$8:$H$58,2),VLOOKUP(0,setup!$A$8:$H$58,5),VLOOKUP(N70,setup!$A$8:$H$58,8))</f>
        <v/>
      </c>
    </row>
    <row r="71" spans="1:15" x14ac:dyDescent="0.25">
      <c r="A71" s="8"/>
      <c r="O71" s="7" t="str">
        <f ca="1">getCodigoBackend(N71,A71,VLOOKUP(N71,setup!$A$8:$H$58,2),VLOOKUP(N71,setup!$A$8:$H$58,3),VLOOKUP(N71,setup!$A$8:$H$58,4),VLOOKUP(N71,setup!$A$8:$H$58,5),VLOOKUP(N71,setup!$A$8:$H$58,6),VLOOKUP(N71,setup!$A$8:$H$58,7), VLOOKUP(0,setup!$A$8:$H$58,2),VLOOKUP(0,setup!$A$8:$H$58,5),VLOOKUP(N71,setup!$A$8:$H$58,8))</f>
        <v/>
      </c>
    </row>
    <row r="72" spans="1:15" x14ac:dyDescent="0.25">
      <c r="A72" s="8"/>
      <c r="O72" s="7" t="str">
        <f ca="1">getCodigoBackend(N72,A72,VLOOKUP(N72,setup!$A$8:$H$58,2),VLOOKUP(N72,setup!$A$8:$H$58,3),VLOOKUP(N72,setup!$A$8:$H$58,4),VLOOKUP(N72,setup!$A$8:$H$58,5),VLOOKUP(N72,setup!$A$8:$H$58,6),VLOOKUP(N72,setup!$A$8:$H$58,7), VLOOKUP(0,setup!$A$8:$H$58,2),VLOOKUP(0,setup!$A$8:$H$58,5),VLOOKUP(N72,setup!$A$8:$H$58,8))</f>
        <v/>
      </c>
    </row>
    <row r="73" spans="1:15" x14ac:dyDescent="0.25">
      <c r="A73" s="8"/>
      <c r="O73" s="7" t="str">
        <f ca="1">getCodigoBackend(N73,A73,VLOOKUP(N73,setup!$A$8:$H$58,2),VLOOKUP(N73,setup!$A$8:$H$58,3),VLOOKUP(N73,setup!$A$8:$H$58,4),VLOOKUP(N73,setup!$A$8:$H$58,5),VLOOKUP(N73,setup!$A$8:$H$58,6),VLOOKUP(N73,setup!$A$8:$H$58,7), VLOOKUP(0,setup!$A$8:$H$58,2),VLOOKUP(0,setup!$A$8:$H$58,5),VLOOKUP(N73,setup!$A$8:$H$58,8))</f>
        <v/>
      </c>
    </row>
    <row r="74" spans="1:15" x14ac:dyDescent="0.25">
      <c r="A74" s="8"/>
      <c r="O74" s="7" t="str">
        <f ca="1">getCodigoBackend(N74,A74,VLOOKUP(N74,setup!$A$8:$H$58,2),VLOOKUP(N74,setup!$A$8:$H$58,3),VLOOKUP(N74,setup!$A$8:$H$58,4),VLOOKUP(N74,setup!$A$8:$H$58,5),VLOOKUP(N74,setup!$A$8:$H$58,6),VLOOKUP(N74,setup!$A$8:$H$58,7), VLOOKUP(0,setup!$A$8:$H$58,2),VLOOKUP(0,setup!$A$8:$H$58,5),VLOOKUP(N74,setup!$A$8:$H$58,8))</f>
        <v/>
      </c>
    </row>
    <row r="75" spans="1:15" x14ac:dyDescent="0.25">
      <c r="A75" s="3"/>
      <c r="O75" s="7" t="str">
        <f ca="1">getCodigoBackend(N75,A75,VLOOKUP(N75,setup!$A$8:$H$58,2),VLOOKUP(N75,setup!$A$8:$H$58,3),VLOOKUP(N75,setup!$A$8:$H$58,4),VLOOKUP(N75,setup!$A$8:$H$58,5),VLOOKUP(N75,setup!$A$8:$H$58,6),VLOOKUP(N75,setup!$A$8:$H$58,7), VLOOKUP(0,setup!$A$8:$H$58,2),VLOOKUP(0,setup!$A$8:$H$58,5),VLOOKUP(N75,setup!$A$8:$H$58,8))</f>
        <v/>
      </c>
    </row>
    <row r="76" spans="1:15" x14ac:dyDescent="0.25">
      <c r="A76" s="3"/>
      <c r="O76" s="7" t="str">
        <f ca="1">getCodigoBackend(N76,A76,VLOOKUP(N76,setup!$A$8:$H$58,2),VLOOKUP(N76,setup!$A$8:$H$58,3),VLOOKUP(N76,setup!$A$8:$H$58,4),VLOOKUP(N76,setup!$A$8:$H$58,5),VLOOKUP(N76,setup!$A$8:$H$58,6),VLOOKUP(N76,setup!$A$8:$H$58,7), VLOOKUP(0,setup!$A$8:$H$58,2),VLOOKUP(0,setup!$A$8:$H$58,5),VLOOKUP(N76,setup!$A$8:$H$58,8))</f>
        <v/>
      </c>
    </row>
    <row r="77" spans="1:15" x14ac:dyDescent="0.25">
      <c r="A77" s="3"/>
      <c r="O77" s="7" t="str">
        <f ca="1">getCodigoBackend(N77,A77,VLOOKUP(N77,setup!$A$8:$H$58,2),VLOOKUP(N77,setup!$A$8:$H$58,3),VLOOKUP(N77,setup!$A$8:$H$58,4),VLOOKUP(N77,setup!$A$8:$H$58,5),VLOOKUP(N77,setup!$A$8:$H$58,6),VLOOKUP(N77,setup!$A$8:$H$58,7), VLOOKUP(0,setup!$A$8:$H$58,2),VLOOKUP(0,setup!$A$8:$H$58,5),VLOOKUP(N77,setup!$A$8:$H$58,8))</f>
        <v/>
      </c>
    </row>
    <row r="78" spans="1:15" x14ac:dyDescent="0.25">
      <c r="A78" s="3"/>
      <c r="O78" s="7" t="str">
        <f ca="1">getCodigoBackend(N78,A78,VLOOKUP(N78,setup!$A$8:$H$58,2),VLOOKUP(N78,setup!$A$8:$H$58,3),VLOOKUP(N78,setup!$A$8:$H$58,4),VLOOKUP(N78,setup!$A$8:$H$58,5),VLOOKUP(N78,setup!$A$8:$H$58,6),VLOOKUP(N78,setup!$A$8:$H$58,7), VLOOKUP(0,setup!$A$8:$H$58,2),VLOOKUP(0,setup!$A$8:$H$58,5),VLOOKUP(N78,setup!$A$8:$H$58,8))</f>
        <v/>
      </c>
    </row>
    <row r="79" spans="1:15" x14ac:dyDescent="0.25">
      <c r="A79" s="3"/>
      <c r="O79" s="7" t="str">
        <f ca="1">getCodigoBackend(N79,A79,VLOOKUP(N79,setup!$A$8:$H$58,2),VLOOKUP(N79,setup!$A$8:$H$58,3),VLOOKUP(N79,setup!$A$8:$H$58,4),VLOOKUP(N79,setup!$A$8:$H$58,5),VLOOKUP(N79,setup!$A$8:$H$58,6),VLOOKUP(N79,setup!$A$8:$H$58,7), VLOOKUP(0,setup!$A$8:$H$58,2),VLOOKUP(0,setup!$A$8:$H$58,5),VLOOKUP(N79,setup!$A$8:$H$58,8))</f>
        <v/>
      </c>
    </row>
    <row r="80" spans="1:15" x14ac:dyDescent="0.25">
      <c r="A80" s="3"/>
      <c r="O80" s="7" t="str">
        <f ca="1">getCodigoBackend(N80,A80,VLOOKUP(N80,setup!$A$8:$H$58,2),VLOOKUP(N80,setup!$A$8:$H$58,3),VLOOKUP(N80,setup!$A$8:$H$58,4),VLOOKUP(N80,setup!$A$8:$H$58,5),VLOOKUP(N80,setup!$A$8:$H$58,6),VLOOKUP(N80,setup!$A$8:$H$58,7), VLOOKUP(0,setup!$A$8:$H$58,2),VLOOKUP(0,setup!$A$8:$H$58,5),VLOOKUP(N80,setup!$A$8:$H$58,8))</f>
        <v/>
      </c>
    </row>
    <row r="81" spans="1:15" x14ac:dyDescent="0.25">
      <c r="A81" s="3"/>
      <c r="O81" s="7" t="str">
        <f ca="1">getCodigoBackend(N81,A81,VLOOKUP(N81,setup!$A$8:$H$58,2),VLOOKUP(N81,setup!$A$8:$H$58,3),VLOOKUP(N81,setup!$A$8:$H$58,4),VLOOKUP(N81,setup!$A$8:$H$58,5),VLOOKUP(N81,setup!$A$8:$H$58,6),VLOOKUP(N81,setup!$A$8:$H$58,7), VLOOKUP(0,setup!$A$8:$H$58,2),VLOOKUP(0,setup!$A$8:$H$58,5),VLOOKUP(N81,setup!$A$8:$H$58,8))</f>
        <v/>
      </c>
    </row>
    <row r="82" spans="1:15" x14ac:dyDescent="0.25">
      <c r="A82" s="3"/>
      <c r="O82" s="7" t="str">
        <f ca="1">getCodigoBackend(N82,A82,VLOOKUP(N82,setup!$A$8:$H$58,2),VLOOKUP(N82,setup!$A$8:$H$58,3),VLOOKUP(N82,setup!$A$8:$H$58,4),VLOOKUP(N82,setup!$A$8:$H$58,5),VLOOKUP(N82,setup!$A$8:$H$58,6),VLOOKUP(N82,setup!$A$8:$H$58,7), VLOOKUP(0,setup!$A$8:$H$58,2),VLOOKUP(0,setup!$A$8:$H$58,5),VLOOKUP(N82,setup!$A$8:$H$58,8))</f>
        <v/>
      </c>
    </row>
    <row r="83" spans="1:15" x14ac:dyDescent="0.25">
      <c r="A83" s="3"/>
      <c r="O83" s="7" t="str">
        <f ca="1">getCodigoBackend(N83,A83,VLOOKUP(N83,setup!$A$8:$H$58,2),VLOOKUP(N83,setup!$A$8:$H$58,3),VLOOKUP(N83,setup!$A$8:$H$58,4),VLOOKUP(N83,setup!$A$8:$H$58,5),VLOOKUP(N83,setup!$A$8:$H$58,6),VLOOKUP(N83,setup!$A$8:$H$58,7), VLOOKUP(0,setup!$A$8:$H$58,2),VLOOKUP(0,setup!$A$8:$H$58,5),VLOOKUP(N83,setup!$A$8:$H$58,8))</f>
        <v/>
      </c>
    </row>
    <row r="84" spans="1:15" x14ac:dyDescent="0.25">
      <c r="A84" s="3"/>
      <c r="O84" s="7" t="str">
        <f ca="1">getCodigoBackend(N84,A84,VLOOKUP(N84,setup!$A$8:$H$58,2),VLOOKUP(N84,setup!$A$8:$H$58,3),VLOOKUP(N84,setup!$A$8:$H$58,4),VLOOKUP(N84,setup!$A$8:$H$58,5),VLOOKUP(N84,setup!$A$8:$H$58,6),VLOOKUP(N84,setup!$A$8:$H$58,7), VLOOKUP(0,setup!$A$8:$H$58,2),VLOOKUP(0,setup!$A$8:$H$58,5),VLOOKUP(N84,setup!$A$8:$H$58,8))</f>
        <v/>
      </c>
    </row>
    <row r="85" spans="1:15" x14ac:dyDescent="0.25">
      <c r="A85" s="8"/>
      <c r="O85" s="7" t="str">
        <f ca="1">getCodigoBackend(N85,A85,VLOOKUP(N85,setup!$A$8:$H$58,2),VLOOKUP(N85,setup!$A$8:$H$58,3),VLOOKUP(N85,setup!$A$8:$H$58,4),VLOOKUP(N85,setup!$A$8:$H$58,5),VLOOKUP(N85,setup!$A$8:$H$58,6),VLOOKUP(N85,setup!$A$8:$H$58,7), VLOOKUP(0,setup!$A$8:$H$58,2),VLOOKUP(0,setup!$A$8:$H$58,5),VLOOKUP(N85,setup!$A$8:$H$58,8))</f>
        <v/>
      </c>
    </row>
    <row r="86" spans="1:15" x14ac:dyDescent="0.25">
      <c r="A86" s="8"/>
      <c r="O86" s="7" t="str">
        <f ca="1">getCodigoBackend(N86,A86,VLOOKUP(N86,setup!$A$8:$H$58,2),VLOOKUP(N86,setup!$A$8:$H$58,3),VLOOKUP(N86,setup!$A$8:$H$58,4),VLOOKUP(N86,setup!$A$8:$H$58,5),VLOOKUP(N86,setup!$A$8:$H$58,6),VLOOKUP(N86,setup!$A$8:$H$58,7), VLOOKUP(0,setup!$A$8:$H$58,2),VLOOKUP(0,setup!$A$8:$H$58,5),VLOOKUP(N86,setup!$A$8:$H$58,8))</f>
        <v/>
      </c>
    </row>
    <row r="87" spans="1:15" x14ac:dyDescent="0.25">
      <c r="A87" s="8"/>
      <c r="O87" s="7" t="str">
        <f ca="1">getCodigoBackend(N87,A87,VLOOKUP(N87,setup!$A$8:$H$58,2),VLOOKUP(N87,setup!$A$8:$H$58,3),VLOOKUP(N87,setup!$A$8:$H$58,4),VLOOKUP(N87,setup!$A$8:$H$58,5),VLOOKUP(N87,setup!$A$8:$H$58,6),VLOOKUP(N87,setup!$A$8:$H$58,7), VLOOKUP(0,setup!$A$8:$H$58,2),VLOOKUP(0,setup!$A$8:$H$58,5),VLOOKUP(N87,setup!$A$8:$H$58,8))</f>
        <v/>
      </c>
    </row>
    <row r="88" spans="1:15" x14ac:dyDescent="0.25">
      <c r="A88" s="8"/>
      <c r="O88" s="7" t="str">
        <f ca="1">getCodigoBackend(N88,A88,VLOOKUP(N88,setup!$A$8:$H$58,2),VLOOKUP(N88,setup!$A$8:$H$58,3),VLOOKUP(N88,setup!$A$8:$H$58,4),VLOOKUP(N88,setup!$A$8:$H$58,5),VLOOKUP(N88,setup!$A$8:$H$58,6),VLOOKUP(N88,setup!$A$8:$H$58,7), VLOOKUP(0,setup!$A$8:$H$58,2),VLOOKUP(0,setup!$A$8:$H$58,5),VLOOKUP(N88,setup!$A$8:$H$58,8))</f>
        <v/>
      </c>
    </row>
    <row r="89" spans="1:15" x14ac:dyDescent="0.25">
      <c r="A89" s="8"/>
      <c r="O89" s="7" t="str">
        <f ca="1">getCodigoBackend(N89,A89,VLOOKUP(N89,setup!$A$8:$H$58,2),VLOOKUP(N89,setup!$A$8:$H$58,3),VLOOKUP(N89,setup!$A$8:$H$58,4),VLOOKUP(N89,setup!$A$8:$H$58,5),VLOOKUP(N89,setup!$A$8:$H$58,6),VLOOKUP(N89,setup!$A$8:$H$58,7), VLOOKUP(0,setup!$A$8:$H$58,2),VLOOKUP(0,setup!$A$8:$H$58,5),VLOOKUP(N89,setup!$A$8:$H$58,8))</f>
        <v/>
      </c>
    </row>
    <row r="90" spans="1:15" x14ac:dyDescent="0.25">
      <c r="A90" s="8"/>
      <c r="O90" s="7" t="str">
        <f ca="1">getCodigoBackend(N90,A90,VLOOKUP(N90,setup!$A$8:$H$58,2),VLOOKUP(N90,setup!$A$8:$H$58,3),VLOOKUP(N90,setup!$A$8:$H$58,4),VLOOKUP(N90,setup!$A$8:$H$58,5),VLOOKUP(N90,setup!$A$8:$H$58,6),VLOOKUP(N90,setup!$A$8:$H$58,7), VLOOKUP(0,setup!$A$8:$H$58,2),VLOOKUP(0,setup!$A$8:$H$58,5),VLOOKUP(N90,setup!$A$8:$H$58,8))</f>
        <v/>
      </c>
    </row>
    <row r="91" spans="1:15" x14ac:dyDescent="0.25">
      <c r="A91" s="8"/>
      <c r="O91" s="7" t="str">
        <f ca="1">getCodigoBackend(N91,A91,VLOOKUP(N91,setup!$A$8:$H$58,2),VLOOKUP(N91,setup!$A$8:$H$58,3),VLOOKUP(N91,setup!$A$8:$H$58,4),VLOOKUP(N91,setup!$A$8:$H$58,5),VLOOKUP(N91,setup!$A$8:$H$58,6),VLOOKUP(N91,setup!$A$8:$H$58,7), VLOOKUP(0,setup!$A$8:$H$58,2),VLOOKUP(0,setup!$A$8:$H$58,5),VLOOKUP(N91,setup!$A$8:$H$58,8))</f>
        <v/>
      </c>
    </row>
    <row r="92" spans="1:15" x14ac:dyDescent="0.25">
      <c r="A92" s="8"/>
      <c r="O92" s="7" t="str">
        <f ca="1">getCodigoBackend(N92,A92,VLOOKUP(N92,setup!$A$8:$H$58,2),VLOOKUP(N92,setup!$A$8:$H$58,3),VLOOKUP(N92,setup!$A$8:$H$58,4),VLOOKUP(N92,setup!$A$8:$H$58,5),VLOOKUP(N92,setup!$A$8:$H$58,6),VLOOKUP(N92,setup!$A$8:$H$58,7), VLOOKUP(0,setup!$A$8:$H$58,2),VLOOKUP(0,setup!$A$8:$H$58,5),VLOOKUP(N92,setup!$A$8:$H$58,8))</f>
        <v/>
      </c>
    </row>
    <row r="93" spans="1:15" x14ac:dyDescent="0.25">
      <c r="A93" s="3"/>
      <c r="O93" s="7" t="str">
        <f ca="1">getCodigoBackend(N93,A93,VLOOKUP(N93,setup!$A$8:$H$58,2),VLOOKUP(N93,setup!$A$8:$H$58,3),VLOOKUP(N93,setup!$A$8:$H$58,4),VLOOKUP(N93,setup!$A$8:$H$58,5),VLOOKUP(N93,setup!$A$8:$H$58,6),VLOOKUP(N93,setup!$A$8:$H$58,7), VLOOKUP(0,setup!$A$8:$H$58,2),VLOOKUP(0,setup!$A$8:$H$58,5),VLOOKUP(N93,setup!$A$8:$H$58,8))</f>
        <v/>
      </c>
    </row>
    <row r="94" spans="1:15" x14ac:dyDescent="0.25">
      <c r="A94" s="8"/>
      <c r="O94" s="7" t="str">
        <f ca="1">getCodigoBackend(N94,A94,VLOOKUP(N94,setup!$A$8:$H$58,2),VLOOKUP(N94,setup!$A$8:$H$58,3),VLOOKUP(N94,setup!$A$8:$H$58,4),VLOOKUP(N94,setup!$A$8:$H$58,5),VLOOKUP(N94,setup!$A$8:$H$58,6),VLOOKUP(N94,setup!$A$8:$H$58,7), VLOOKUP(0,setup!$A$8:$H$58,2),VLOOKUP(0,setup!$A$8:$H$58,5),VLOOKUP(N94,setup!$A$8:$H$58,8))</f>
        <v/>
      </c>
    </row>
    <row r="95" spans="1:15" x14ac:dyDescent="0.25">
      <c r="A95" s="8"/>
      <c r="O95" s="7" t="str">
        <f ca="1">getCodigoBackend(N95,A95,VLOOKUP(N95,setup!$A$8:$H$58,2),VLOOKUP(N95,setup!$A$8:$H$58,3),VLOOKUP(N95,setup!$A$8:$H$58,4),VLOOKUP(N95,setup!$A$8:$H$58,5),VLOOKUP(N95,setup!$A$8:$H$58,6),VLOOKUP(N95,setup!$A$8:$H$58,7), VLOOKUP(0,setup!$A$8:$H$58,2),VLOOKUP(0,setup!$A$8:$H$58,5),VLOOKUP(N95,setup!$A$8:$H$58,8))</f>
        <v/>
      </c>
    </row>
    <row r="96" spans="1:15" x14ac:dyDescent="0.25">
      <c r="A96" s="9"/>
      <c r="O96" s="7" t="str">
        <f ca="1">getCodigoBackend(N96,A96,VLOOKUP(N96,setup!$A$8:$H$58,2),VLOOKUP(N96,setup!$A$8:$H$58,3),VLOOKUP(N96,setup!$A$8:$H$58,4),VLOOKUP(N96,setup!$A$8:$H$58,5),VLOOKUP(N96,setup!$A$8:$H$58,6),VLOOKUP(N96,setup!$A$8:$H$58,7), VLOOKUP(0,setup!$A$8:$H$58,2),VLOOKUP(0,setup!$A$8:$H$58,5),VLOOKUP(N96,setup!$A$8:$H$58,8))</f>
        <v/>
      </c>
    </row>
    <row r="97" spans="1:15" x14ac:dyDescent="0.25">
      <c r="A97" s="3"/>
      <c r="O97" s="7" t="str">
        <f ca="1">getCodigoBackend(N97,A97,VLOOKUP(N97,setup!$A$8:$H$58,2),VLOOKUP(N97,setup!$A$8:$H$58,3),VLOOKUP(N97,setup!$A$8:$H$58,4),VLOOKUP(N97,setup!$A$8:$H$58,5),VLOOKUP(N97,setup!$A$8:$H$58,6),VLOOKUP(N97,setup!$A$8:$H$58,7), VLOOKUP(0,setup!$A$8:$H$58,2),VLOOKUP(0,setup!$A$8:$H$58,5),VLOOKUP(N97,setup!$A$8:$H$58,8))</f>
        <v/>
      </c>
    </row>
    <row r="98" spans="1:15" x14ac:dyDescent="0.25">
      <c r="A98" s="3"/>
      <c r="O98" s="7" t="str">
        <f ca="1">getCodigoBackend(N98,A98,VLOOKUP(N98,setup!$A$8:$H$58,2),VLOOKUP(N98,setup!$A$8:$H$58,3),VLOOKUP(N98,setup!$A$8:$H$58,4),VLOOKUP(N98,setup!$A$8:$H$58,5),VLOOKUP(N98,setup!$A$8:$H$58,6),VLOOKUP(N98,setup!$A$8:$H$58,7), VLOOKUP(0,setup!$A$8:$H$58,2),VLOOKUP(0,setup!$A$8:$H$58,5),VLOOKUP(N98,setup!$A$8:$H$58,8))</f>
        <v/>
      </c>
    </row>
    <row r="99" spans="1:15" x14ac:dyDescent="0.25">
      <c r="A99" s="3"/>
      <c r="O99" s="7" t="str">
        <f ca="1">getCodigoBackend(N99,A99,VLOOKUP(N99,setup!$A$8:$H$58,2),VLOOKUP(N99,setup!$A$8:$H$58,3),VLOOKUP(N99,setup!$A$8:$H$58,4),VLOOKUP(N99,setup!$A$8:$H$58,5),VLOOKUP(N99,setup!$A$8:$H$58,6),VLOOKUP(N99,setup!$A$8:$H$58,7), VLOOKUP(0,setup!$A$8:$H$58,2),VLOOKUP(0,setup!$A$8:$H$58,5),VLOOKUP(N99,setup!$A$8:$H$58,8))</f>
        <v/>
      </c>
    </row>
    <row r="100" spans="1:15" x14ac:dyDescent="0.25">
      <c r="A100" s="2"/>
      <c r="O100" s="7" t="str">
        <f ca="1">getCodigoBackend(N100,A100,VLOOKUP(N100,setup!$A$8:$H$58,2),VLOOKUP(N100,setup!$A$8:$H$58,3),VLOOKUP(N100,setup!$A$8:$H$58,4),VLOOKUP(N100,setup!$A$8:$H$58,5),VLOOKUP(N100,setup!$A$8:$H$58,6),VLOOKUP(N100,setup!$A$8:$H$58,7), VLOOKUP(0,setup!$A$8:$H$58,2),VLOOKUP(0,setup!$A$8:$H$58,5),VLOOKUP(N100,setup!$A$8:$H$58,8))</f>
        <v/>
      </c>
    </row>
    <row r="101" spans="1:15" x14ac:dyDescent="0.25">
      <c r="A101" s="6"/>
      <c r="O101" s="7" t="str">
        <f ca="1">getCodigoBackend(N101,A101,VLOOKUP(N101,setup!$A$8:$H$58,2),VLOOKUP(N101,setup!$A$8:$H$58,3),VLOOKUP(N101,setup!$A$8:$H$58,4),VLOOKUP(N101,setup!$A$8:$H$58,5),VLOOKUP(N101,setup!$A$8:$H$58,6),VLOOKUP(N101,setup!$A$8:$H$58,7), VLOOKUP(0,setup!$A$8:$H$58,2),VLOOKUP(0,setup!$A$8:$H$58,5),VLOOKUP(N101,setup!$A$8:$H$58,8))</f>
        <v/>
      </c>
    </row>
    <row r="102" spans="1:15" x14ac:dyDescent="0.25">
      <c r="A102" s="6"/>
      <c r="O102" s="7" t="str">
        <f ca="1">getCodigoBackend(N102,A102,VLOOKUP(N102,setup!$A$8:$H$58,2),VLOOKUP(N102,setup!$A$8:$H$58,3),VLOOKUP(N102,setup!$A$8:$H$58,4),VLOOKUP(N102,setup!$A$8:$H$58,5),VLOOKUP(N102,setup!$A$8:$H$58,6),VLOOKUP(N102,setup!$A$8:$H$58,7), VLOOKUP(0,setup!$A$8:$H$58,2),VLOOKUP(0,setup!$A$8:$H$58,5),VLOOKUP(N102,setup!$A$8:$H$58,8))</f>
        <v/>
      </c>
    </row>
    <row r="103" spans="1:15" x14ac:dyDescent="0.25">
      <c r="A103" s="6"/>
      <c r="O103" s="7" t="str">
        <f ca="1">getCodigoBackend(N103,A103,VLOOKUP(N103,setup!$A$8:$H$58,2),VLOOKUP(N103,setup!$A$8:$H$58,3),VLOOKUP(N103,setup!$A$8:$H$58,4),VLOOKUP(N103,setup!$A$8:$H$58,5),VLOOKUP(N103,setup!$A$8:$H$58,6),VLOOKUP(N103,setup!$A$8:$H$58,7), VLOOKUP(0,setup!$A$8:$H$58,2),VLOOKUP(0,setup!$A$8:$H$58,5),VLOOKUP(N103,setup!$A$8:$H$58,8))</f>
        <v/>
      </c>
    </row>
    <row r="104" spans="1:15" x14ac:dyDescent="0.25">
      <c r="A104" s="6"/>
      <c r="O104" s="7" t="str">
        <f ca="1">getCodigoBackend(N104,A104,VLOOKUP(N104,setup!$A$8:$H$58,2),VLOOKUP(N104,setup!$A$8:$H$58,3),VLOOKUP(N104,setup!$A$8:$H$58,4),VLOOKUP(N104,setup!$A$8:$H$58,5),VLOOKUP(N104,setup!$A$8:$H$58,6),VLOOKUP(N104,setup!$A$8:$H$58,7), VLOOKUP(0,setup!$A$8:$H$58,2),VLOOKUP(0,setup!$A$8:$H$58,5),VLOOKUP(N104,setup!$A$8:$H$58,8))</f>
        <v/>
      </c>
    </row>
    <row r="105" spans="1:15" x14ac:dyDescent="0.25">
      <c r="A105" s="6"/>
      <c r="O105" s="7" t="str">
        <f ca="1">getCodigoBackend(N105,A105,VLOOKUP(N105,setup!$A$8:$H$58,2),VLOOKUP(N105,setup!$A$8:$H$58,3),VLOOKUP(N105,setup!$A$8:$H$58,4),VLOOKUP(N105,setup!$A$8:$H$58,5),VLOOKUP(N105,setup!$A$8:$H$58,6),VLOOKUP(N105,setup!$A$8:$H$58,7), VLOOKUP(0,setup!$A$8:$H$58,2),VLOOKUP(0,setup!$A$8:$H$58,5),VLOOKUP(N105,setup!$A$8:$H$58,8))</f>
        <v/>
      </c>
    </row>
    <row r="106" spans="1:15" x14ac:dyDescent="0.25">
      <c r="A106" s="6"/>
      <c r="O106" s="7" t="str">
        <f ca="1">getCodigoBackend(N106,A106,VLOOKUP(N106,setup!$A$8:$H$58,2),VLOOKUP(N106,setup!$A$8:$H$58,3),VLOOKUP(N106,setup!$A$8:$H$58,4),VLOOKUP(N106,setup!$A$8:$H$58,5),VLOOKUP(N106,setup!$A$8:$H$58,6),VLOOKUP(N106,setup!$A$8:$H$58,7), VLOOKUP(0,setup!$A$8:$H$58,2),VLOOKUP(0,setup!$A$8:$H$58,5),VLOOKUP(N106,setup!$A$8:$H$58,8))</f>
        <v/>
      </c>
    </row>
    <row r="107" spans="1:15" x14ac:dyDescent="0.25">
      <c r="A107" s="6"/>
      <c r="O107" s="7" t="str">
        <f ca="1">getCodigoBackend(N107,A107,VLOOKUP(N107,setup!$A$8:$H$58,2),VLOOKUP(N107,setup!$A$8:$H$58,3),VLOOKUP(N107,setup!$A$8:$H$58,4),VLOOKUP(N107,setup!$A$8:$H$58,5),VLOOKUP(N107,setup!$A$8:$H$58,6),VLOOKUP(N107,setup!$A$8:$H$58,7), VLOOKUP(0,setup!$A$8:$H$58,2),VLOOKUP(0,setup!$A$8:$H$58,5),VLOOKUP(N107,setup!$A$8:$H$58,8))</f>
        <v/>
      </c>
    </row>
    <row r="108" spans="1:15" x14ac:dyDescent="0.25">
      <c r="A108" s="6"/>
      <c r="O108" s="7" t="str">
        <f ca="1">getCodigoBackend(N108,A108,VLOOKUP(N108,setup!$A$8:$H$58,2),VLOOKUP(N108,setup!$A$8:$H$58,3),VLOOKUP(N108,setup!$A$8:$H$58,4),VLOOKUP(N108,setup!$A$8:$H$58,5),VLOOKUP(N108,setup!$A$8:$H$58,6),VLOOKUP(N108,setup!$A$8:$H$58,7), VLOOKUP(0,setup!$A$8:$H$58,2),VLOOKUP(0,setup!$A$8:$H$58,5),VLOOKUP(N108,setup!$A$8:$H$58,8))</f>
        <v/>
      </c>
    </row>
    <row r="109" spans="1:15" x14ac:dyDescent="0.25">
      <c r="A109" s="6"/>
      <c r="O109" s="7" t="str">
        <f ca="1">getCodigoBackend(N109,A109,VLOOKUP(N109,setup!$A$8:$H$58,2),VLOOKUP(N109,setup!$A$8:$H$58,3),VLOOKUP(N109,setup!$A$8:$H$58,4),VLOOKUP(N109,setup!$A$8:$H$58,5),VLOOKUP(N109,setup!$A$8:$H$58,6),VLOOKUP(N109,setup!$A$8:$H$58,7), VLOOKUP(0,setup!$A$8:$H$58,2),VLOOKUP(0,setup!$A$8:$H$58,5),VLOOKUP(N109,setup!$A$8:$H$58,8))</f>
        <v/>
      </c>
    </row>
    <row r="110" spans="1:15" x14ac:dyDescent="0.25">
      <c r="A110" s="6"/>
      <c r="O110" s="7" t="str">
        <f ca="1">getCodigoBackend(N110,A110,VLOOKUP(N110,setup!$A$8:$H$58,2),VLOOKUP(N110,setup!$A$8:$H$58,3),VLOOKUP(N110,setup!$A$8:$H$58,4),VLOOKUP(N110,setup!$A$8:$H$58,5),VLOOKUP(N110,setup!$A$8:$H$58,6),VLOOKUP(N110,setup!$A$8:$H$58,7), VLOOKUP(0,setup!$A$8:$H$58,2),VLOOKUP(0,setup!$A$8:$H$58,5),VLOOKUP(N110,setup!$A$8:$H$58,8))</f>
        <v/>
      </c>
    </row>
    <row r="111" spans="1:15" x14ac:dyDescent="0.25">
      <c r="O111" s="7" t="str">
        <f ca="1">getCodigoBackend(N111,A111,VLOOKUP(N111,setup!$A$8:$H$58,2),VLOOKUP(N111,setup!$A$8:$H$58,3),VLOOKUP(N111,setup!$A$8:$H$58,4),VLOOKUP(N111,setup!$A$8:$H$58,5),VLOOKUP(N111,setup!$A$8:$H$58,6),VLOOKUP(N111,setup!$A$8:$H$58,7), VLOOKUP(0,setup!$A$8:$H$58,2),VLOOKUP(0,setup!$A$8:$H$58,5),VLOOKUP(N111,setup!$A$8:$H$58,8))</f>
        <v/>
      </c>
    </row>
    <row r="112" spans="1:15" x14ac:dyDescent="0.25">
      <c r="A112" s="6"/>
      <c r="O112" t="str">
        <f>SUBSTITUTE(SUBSTITUTE(A112,"${dto}",setup!$C$3),"${pk}",setup!$E$8)</f>
        <v/>
      </c>
    </row>
    <row r="113" spans="1:15" x14ac:dyDescent="0.25">
      <c r="A113" s="6"/>
      <c r="O113" t="str">
        <f>SUBSTITUTE(SUBSTITUTE(A113,"${dto}",setup!$C$3),"${pk}",setup!$E$8)</f>
        <v/>
      </c>
    </row>
    <row r="114" spans="1:15" x14ac:dyDescent="0.25">
      <c r="A114" s="6"/>
      <c r="O114" t="str">
        <f>SUBSTITUTE(SUBSTITUTE(A114,"${dto}",setup!$C$3),"${pk}",setup!$E$8)</f>
        <v/>
      </c>
    </row>
    <row r="115" spans="1:15" x14ac:dyDescent="0.25">
      <c r="A115" s="6"/>
      <c r="O115" t="str">
        <f>SUBSTITUTE(SUBSTITUTE(A115,"${dto}",setup!$C$3),"${pk}",setup!$E$8)</f>
        <v/>
      </c>
    </row>
    <row r="116" spans="1:15" x14ac:dyDescent="0.25">
      <c r="A116" s="6"/>
      <c r="O116" t="str">
        <f>SUBSTITUTE(SUBSTITUTE(A116,"${dto}",setup!$C$3),"${pk}",setup!$E$8)</f>
        <v/>
      </c>
    </row>
    <row r="117" spans="1:15" x14ac:dyDescent="0.25">
      <c r="A117" s="6"/>
      <c r="O117" t="str">
        <f>SUBSTITUTE(SUBSTITUTE(A117,"${dto}",setup!$C$3),"${pk}",setup!$E$8)</f>
        <v/>
      </c>
    </row>
    <row r="118" spans="1:15" x14ac:dyDescent="0.25">
      <c r="A118" s="6"/>
      <c r="O118" t="str">
        <f>SUBSTITUTE(SUBSTITUTE(A118,"${dto}",setup!$C$3),"${pk}",setup!$E$8)</f>
        <v/>
      </c>
    </row>
    <row r="119" spans="1:15" x14ac:dyDescent="0.25">
      <c r="O119" t="str">
        <f>SUBSTITUTE(SUBSTITUTE(A119,"${dto}",setup!$C$3),"${pk}",setup!$E$8)</f>
        <v/>
      </c>
    </row>
    <row r="120" spans="1:15" x14ac:dyDescent="0.25">
      <c r="A120" s="6"/>
      <c r="O120" t="str">
        <f>SUBSTITUTE(SUBSTITUTE(A120,"${dto}",setup!$C$3),"${pk}",setup!$E$8)</f>
        <v/>
      </c>
    </row>
    <row r="121" spans="1:15" x14ac:dyDescent="0.25">
      <c r="A121" s="6"/>
    </row>
    <row r="122" spans="1:15" x14ac:dyDescent="0.25">
      <c r="A122" s="6"/>
    </row>
    <row r="123" spans="1:15" x14ac:dyDescent="0.25">
      <c r="A123" s="6"/>
    </row>
    <row r="124" spans="1:15" x14ac:dyDescent="0.25">
      <c r="A124" s="6"/>
    </row>
    <row r="125" spans="1:15" x14ac:dyDescent="0.25">
      <c r="A125" s="6"/>
      <c r="O125" t="str">
        <f>SUBSTITUTE(SUBSTITUTE(A125,"${dto}",setup!$C$3),"${pk}",setup!$E$8)</f>
        <v/>
      </c>
    </row>
    <row r="126" spans="1:15" x14ac:dyDescent="0.25">
      <c r="A126" s="6"/>
      <c r="O126" t="str">
        <f>SUBSTITUTE(SUBSTITUTE(A126,"${dto}",setup!$C$3),"${pk}",setup!$E$8)</f>
        <v/>
      </c>
    </row>
    <row r="127" spans="1:15" x14ac:dyDescent="0.25">
      <c r="A127" s="6"/>
      <c r="O127" t="str">
        <f>SUBSTITUTE(SUBSTITUTE(A127,"${dto}",setup!$C$3),"${pk}",setup!$E$8)</f>
        <v/>
      </c>
    </row>
    <row r="128" spans="1:15" x14ac:dyDescent="0.25">
      <c r="A128" s="6"/>
      <c r="O128" t="str">
        <f>SUBSTITUTE(SUBSTITUTE(A128,"${dto}",setup!$C$3),"${pk}",setup!$E$8)</f>
        <v/>
      </c>
    </row>
    <row r="129" spans="1:15" x14ac:dyDescent="0.25">
      <c r="A129" s="6"/>
      <c r="O129" t="str">
        <f>SUBSTITUTE(SUBSTITUTE(A129,"${dto}",setup!$C$3),"${pk}",setup!$E$8)</f>
        <v/>
      </c>
    </row>
    <row r="130" spans="1:15" x14ac:dyDescent="0.25">
      <c r="O130" t="str">
        <f>SUBSTITUTE(SUBSTITUTE(A130,"${dto}",setup!$C$3),"${pk}",setup!$E$8)</f>
        <v/>
      </c>
    </row>
    <row r="131" spans="1:15" x14ac:dyDescent="0.25">
      <c r="A131" s="6"/>
      <c r="O131" t="str">
        <f>SUBSTITUTE(SUBSTITUTE(A131,"${dto}",setup!$C$3),"${pk}",setup!$E$8)</f>
        <v/>
      </c>
    </row>
    <row r="132" spans="1:15" x14ac:dyDescent="0.25">
      <c r="A132" s="6"/>
    </row>
    <row r="133" spans="1:15" x14ac:dyDescent="0.25">
      <c r="A133" s="6"/>
    </row>
    <row r="134" spans="1:15" x14ac:dyDescent="0.25">
      <c r="A134" s="6"/>
    </row>
    <row r="135" spans="1:15" x14ac:dyDescent="0.25">
      <c r="A135" s="6"/>
    </row>
    <row r="136" spans="1:15" x14ac:dyDescent="0.25">
      <c r="A136" s="6"/>
    </row>
    <row r="137" spans="1:15" x14ac:dyDescent="0.25">
      <c r="A137" s="6"/>
    </row>
    <row r="138" spans="1:15" x14ac:dyDescent="0.25">
      <c r="A138" s="6"/>
    </row>
    <row r="139" spans="1:15" x14ac:dyDescent="0.25">
      <c r="A139" s="6"/>
    </row>
    <row r="141" spans="1:15" x14ac:dyDescent="0.25">
      <c r="A141" s="6"/>
    </row>
    <row r="142" spans="1:15" x14ac:dyDescent="0.25">
      <c r="A142" s="6"/>
    </row>
    <row r="144" spans="1:15" x14ac:dyDescent="0.25">
      <c r="A144" s="6"/>
    </row>
    <row r="145" spans="1:1" x14ac:dyDescent="0.25">
      <c r="A145" s="6"/>
    </row>
    <row r="146" spans="1:1" x14ac:dyDescent="0.25">
      <c r="A146" s="6"/>
    </row>
    <row r="147" spans="1:1" x14ac:dyDescent="0.25">
      <c r="A147" s="6"/>
    </row>
    <row r="148" spans="1:1" x14ac:dyDescent="0.25">
      <c r="A148" s="6"/>
    </row>
    <row r="149" spans="1:1" x14ac:dyDescent="0.25">
      <c r="A149" s="6"/>
    </row>
    <row r="150" spans="1:1" x14ac:dyDescent="0.25">
      <c r="A150" s="6"/>
    </row>
    <row r="151" spans="1:1" x14ac:dyDescent="0.25">
      <c r="A151" s="6"/>
    </row>
    <row r="152" spans="1:1" x14ac:dyDescent="0.25">
      <c r="A152" s="6"/>
    </row>
    <row r="154" spans="1:1" x14ac:dyDescent="0.25">
      <c r="A154" s="6"/>
    </row>
    <row r="155" spans="1:1" x14ac:dyDescent="0.25">
      <c r="A155" s="6"/>
    </row>
    <row r="156" spans="1:1" x14ac:dyDescent="0.25">
      <c r="A156" s="6"/>
    </row>
    <row r="157" spans="1:1" x14ac:dyDescent="0.25">
      <c r="A157" s="6"/>
    </row>
    <row r="158" spans="1:1" x14ac:dyDescent="0.25">
      <c r="A158" s="6"/>
    </row>
    <row r="160" spans="1:1" x14ac:dyDescent="0.25">
      <c r="A160" s="6"/>
    </row>
    <row r="161" spans="1:1" x14ac:dyDescent="0.25">
      <c r="A161" s="6"/>
    </row>
    <row r="162" spans="1:1" x14ac:dyDescent="0.25">
      <c r="A162" s="6"/>
    </row>
    <row r="163" spans="1:1" x14ac:dyDescent="0.25">
      <c r="A163" s="6"/>
    </row>
    <row r="165" spans="1:1" x14ac:dyDescent="0.25">
      <c r="A165" s="6"/>
    </row>
    <row r="166" spans="1:1" x14ac:dyDescent="0.25">
      <c r="A166" s="6"/>
    </row>
    <row r="167" spans="1:1" x14ac:dyDescent="0.25">
      <c r="A167" s="6"/>
    </row>
    <row r="168" spans="1:1" x14ac:dyDescent="0.25">
      <c r="A168" s="6"/>
    </row>
    <row r="170" spans="1:1" x14ac:dyDescent="0.25">
      <c r="A170" s="6"/>
    </row>
    <row r="171" spans="1:1" x14ac:dyDescent="0.25">
      <c r="A171" s="6"/>
    </row>
    <row r="172" spans="1:1" x14ac:dyDescent="0.25">
      <c r="A172" s="6"/>
    </row>
    <row r="173" spans="1:1" x14ac:dyDescent="0.25">
      <c r="A173" s="6"/>
    </row>
    <row r="174" spans="1:1" x14ac:dyDescent="0.25">
      <c r="A174" s="6"/>
    </row>
    <row r="175" spans="1:1" x14ac:dyDescent="0.25">
      <c r="A175" s="6"/>
    </row>
    <row r="176" spans="1:1" x14ac:dyDescent="0.25">
      <c r="A176" s="6"/>
    </row>
    <row r="177" spans="1:1" x14ac:dyDescent="0.25">
      <c r="A177" s="6"/>
    </row>
    <row r="178" spans="1:1" x14ac:dyDescent="0.25">
      <c r="A178" s="6"/>
    </row>
    <row r="180" spans="1:1" x14ac:dyDescent="0.25">
      <c r="A180" s="6"/>
    </row>
    <row r="181" spans="1:1" x14ac:dyDescent="0.25">
      <c r="A181" s="6"/>
    </row>
    <row r="182" spans="1:1" x14ac:dyDescent="0.25">
      <c r="A182" s="6"/>
    </row>
    <row r="183" spans="1:1" x14ac:dyDescent="0.25">
      <c r="A183" s="2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AC2CF-5063-4813-BD3F-F40E6403FED9}">
  <sheetPr codeName="Sheet14"/>
  <dimension ref="A1:O228"/>
  <sheetViews>
    <sheetView topLeftCell="A55" workbookViewId="0">
      <selection activeCell="O55" sqref="O1:O1048576"/>
    </sheetView>
  </sheetViews>
  <sheetFormatPr defaultRowHeight="15" x14ac:dyDescent="0.25"/>
  <sheetData>
    <row r="1" spans="1:15" x14ac:dyDescent="0.25">
      <c r="O1" t="s">
        <v>74</v>
      </c>
    </row>
    <row r="3" spans="1:15" x14ac:dyDescent="0.25">
      <c r="A3" s="2"/>
      <c r="O3" t="str">
        <f>SUBSTITUTE(SUBSTITUTE(A3,"${dto}",setup!$C$3),"${pk}",setup!$E$8)</f>
        <v/>
      </c>
    </row>
    <row r="4" spans="1:15" x14ac:dyDescent="0.25">
      <c r="A4" s="2" t="s">
        <v>80</v>
      </c>
      <c r="O4" s="7" t="str">
        <f ca="1">getCodigoBackend(N4,A4,VLOOKUP(N4,setup!$A$8:$H$58,2),VLOOKUP(N4,setup!$A$8:$H$58,3),VLOOKUP(N4,setup!$A$8:$H$58,4),VLOOKUP(N4,setup!$A$8:$H$58,5),VLOOKUP(N4,setup!$A$8:$H$58,6),VLOOKUP(N4,setup!$A$8:$H$58,7), VLOOKUP(0,setup!$A$8:$H$58,2),VLOOKUP(0,setup!$A$8:$H$58,5),VLOOKUP(N4,setup!$A$8:$H$58,8))</f>
        <v xml:space="preserve">&lt;?php </v>
      </c>
    </row>
    <row r="5" spans="1:15" x14ac:dyDescent="0.25">
      <c r="A5" s="4" t="s">
        <v>567</v>
      </c>
      <c r="O5" s="7" t="str">
        <f ca="1">getCodigoBackend(N5,A5,VLOOKUP(N5,setup!$A$8:$H$58,2),VLOOKUP(N5,setup!$A$8:$H$58,3),VLOOKUP(N5,setup!$A$8:$H$58,4),VLOOKUP(N5,setup!$A$8:$H$58,5),VLOOKUP(N5,setup!$A$8:$H$58,6),VLOOKUP(N5,setup!$A$8:$H$58,7), VLOOKUP(0,setup!$A$8:$H$58,2),VLOOKUP(0,setup!$A$8:$H$58,5),VLOOKUP(N5,setup!$A$8:$H$58,8))</f>
        <v>// URL http://localhost/cfdi/php/classes/campanhacashbackresgatepix/clientCampanhaCashbackResgatePixInserir.php</v>
      </c>
    </row>
    <row r="6" spans="1:15" x14ac:dyDescent="0.25">
      <c r="A6" s="3"/>
      <c r="O6" s="7" t="str">
        <f ca="1">getCodigoBackend(N6,A6,VLOOKUP(N6,setup!$A$8:$H$58,2),VLOOKUP(N6,setup!$A$8:$H$58,3),VLOOKUP(N6,setup!$A$8:$H$58,4),VLOOKUP(N6,setup!$A$8:$H$58,5),VLOOKUP(N6,setup!$A$8:$H$58,6),VLOOKUP(N6,setup!$A$8:$H$58,7), VLOOKUP(0,setup!$A$8:$H$58,2),VLOOKUP(0,setup!$A$8:$H$58,5),VLOOKUP(N6,setup!$A$8:$H$58,8))</f>
        <v/>
      </c>
    </row>
    <row r="7" spans="1:15" x14ac:dyDescent="0.25">
      <c r="A7" s="5" t="s">
        <v>328</v>
      </c>
      <c r="O7" s="7" t="str">
        <f ca="1">getCodigoBackend(N7,A7,VLOOKUP(N7,setup!$A$8:$H$58,2),VLOOKUP(N7,setup!$A$8:$H$58,3),VLOOKUP(N7,setup!$A$8:$H$58,4),VLOOKUP(N7,setup!$A$8:$H$58,5),VLOOKUP(N7,setup!$A$8:$H$58,6),VLOOKUP(N7,setup!$A$8:$H$58,7), VLOOKUP(0,setup!$A$8:$H$58,2),VLOOKUP(0,setup!$A$8:$H$58,5),VLOOKUP(N7,setup!$A$8:$H$58,8))</f>
        <v>require_once 'CampanhaCashbackResgatePixServiceImpl.php';</v>
      </c>
    </row>
    <row r="8" spans="1:15" x14ac:dyDescent="0.25">
      <c r="A8" s="5" t="s">
        <v>306</v>
      </c>
      <c r="O8" s="7" t="str">
        <f ca="1">getCodigoBackend(N8,A8,VLOOKUP(N8,setup!$A$8:$H$58,2),VLOOKUP(N8,setup!$A$8:$H$58,3),VLOOKUP(N8,setup!$A$8:$H$58,4),VLOOKUP(N8,setup!$A$8:$H$58,5),VLOOKUP(N8,setup!$A$8:$H$58,6),VLOOKUP(N8,setup!$A$8:$H$58,7), VLOOKUP(0,setup!$A$8:$H$58,2),VLOOKUP(0,setup!$A$8:$H$58,5),VLOOKUP(N8,setup!$A$8:$H$58,8))</f>
        <v>require_once 'CampanhaCashbackResgatePixDTO.php';</v>
      </c>
    </row>
    <row r="9" spans="1:15" x14ac:dyDescent="0.25">
      <c r="A9" s="5" t="s">
        <v>427</v>
      </c>
      <c r="O9" s="7" t="str">
        <f ca="1">getCodigoBackend(N9,A9,VLOOKUP(N9,setup!$A$8:$H$58,2),VLOOKUP(N9,setup!$A$8:$H$58,3),VLOOKUP(N9,setup!$A$8:$H$58,4),VLOOKUP(N9,setup!$A$8:$H$58,5),VLOOKUP(N9,setup!$A$8:$H$58,6),VLOOKUP(N9,setup!$A$8:$H$58,7), VLOOKUP(0,setup!$A$8:$H$58,2),VLOOKUP(0,setup!$A$8:$H$58,5),VLOOKUP(N9,setup!$A$8:$H$58,8))</f>
        <v>require_once '../util/util.php';</v>
      </c>
    </row>
    <row r="10" spans="1:15" x14ac:dyDescent="0.25">
      <c r="O10" s="7" t="str">
        <f ca="1">getCodigoBackend(N10,A10,VLOOKUP(N10,setup!$A$8:$H$58,2),VLOOKUP(N10,setup!$A$8:$H$58,3),VLOOKUP(N10,setup!$A$8:$H$58,4),VLOOKUP(N10,setup!$A$8:$H$58,5),VLOOKUP(N10,setup!$A$8:$H$58,6),VLOOKUP(N10,setup!$A$8:$H$58,7), VLOOKUP(0,setup!$A$8:$H$58,2),VLOOKUP(0,setup!$A$8:$H$58,5),VLOOKUP(N10,setup!$A$8:$H$58,8))</f>
        <v/>
      </c>
    </row>
    <row r="11" spans="1:15" x14ac:dyDescent="0.25">
      <c r="A11" s="8" t="s">
        <v>151</v>
      </c>
      <c r="O11" s="7" t="str">
        <f ca="1">getCodigoBackend(N11,A11,VLOOKUP(N11,setup!$A$8:$H$58,2),VLOOKUP(N11,setup!$A$8:$H$58,3),VLOOKUP(N11,setup!$A$8:$H$58,4),VLOOKUP(N11,setup!$A$8:$H$58,5),VLOOKUP(N11,setup!$A$8:$H$58,6),VLOOKUP(N11,setup!$A$8:$H$58,7), VLOOKUP(0,setup!$A$8:$H$58,2),VLOOKUP(0,setup!$A$8:$H$58,5),VLOOKUP(N11,setup!$A$8:$H$58,8))</f>
        <v>$date = new DateTime();</v>
      </c>
    </row>
    <row r="12" spans="1:15" x14ac:dyDescent="0.25">
      <c r="A12" s="8" t="s">
        <v>152</v>
      </c>
      <c r="O12" s="7" t="str">
        <f ca="1">getCodigoBackend(N12,A12,VLOOKUP(N12,setup!$A$8:$H$58,2),VLOOKUP(N12,setup!$A$8:$H$58,3),VLOOKUP(N12,setup!$A$8:$H$58,4),VLOOKUP(N12,setup!$A$8:$H$58,5),VLOOKUP(N12,setup!$A$8:$H$58,6),VLOOKUP(N12,setup!$A$8:$H$58,7), VLOOKUP(0,setup!$A$8:$H$58,2),VLOOKUP(0,setup!$A$8:$H$58,5),VLOOKUP(N12,setup!$A$8:$H$58,8))</f>
        <v>$ts = $date-&gt;getTimestamp();</v>
      </c>
    </row>
    <row r="13" spans="1:15" x14ac:dyDescent="0.25">
      <c r="O13" s="7" t="str">
        <f ca="1">getCodigoBackend(N13,A13,VLOOKUP(N13,setup!$A$8:$H$58,2),VLOOKUP(N13,setup!$A$8:$H$58,3),VLOOKUP(N13,setup!$A$8:$H$58,4),VLOOKUP(N13,setup!$A$8:$H$58,5),VLOOKUP(N13,setup!$A$8:$H$58,6),VLOOKUP(N13,setup!$A$8:$H$58,7), VLOOKUP(0,setup!$A$8:$H$58,2),VLOOKUP(0,setup!$A$8:$H$58,5),VLOOKUP(N13,setup!$A$8:$H$58,8))</f>
        <v/>
      </c>
    </row>
    <row r="14" spans="1:15" x14ac:dyDescent="0.25">
      <c r="A14" s="8" t="s">
        <v>428</v>
      </c>
      <c r="O14" s="7" t="str">
        <f ca="1">getCodigoBackend(N14,A14,VLOOKUP(N14,setup!$A$8:$H$58,2),VLOOKUP(N14,setup!$A$8:$H$58,3),VLOOKUP(N14,setup!$A$8:$H$58,4),VLOOKUP(N14,setup!$A$8:$H$58,5),VLOOKUP(N14,setup!$A$8:$H$58,6),VLOOKUP(N14,setup!$A$8:$H$58,7), VLOOKUP(0,setup!$A$8:$H$58,2),VLOOKUP(0,setup!$A$8:$H$58,5),VLOOKUP(N14,setup!$A$8:$H$58,8))</f>
        <v>$dto = new CampanhaCashbackResgatePixDTO();</v>
      </c>
    </row>
    <row r="15" spans="1:15" x14ac:dyDescent="0.25">
      <c r="N15" s="7"/>
      <c r="O15" s="7" t="str">
        <f ca="1">getCodigoBackend(N15,A15,VLOOKUP(N15,setup!$A$8:$H$58,2),VLOOKUP(N15,setup!$A$8:$H$58,3),VLOOKUP(N15,setup!$A$8:$H$58,4),VLOOKUP(N15,setup!$A$8:$H$58,5),VLOOKUP(N15,setup!$A$8:$H$58,6),VLOOKUP(N15,setup!$A$8:$H$58,7), VLOOKUP(0,setup!$A$8:$H$58,2),VLOOKUP(0,setup!$A$8:$H$58,5),VLOOKUP(N15,setup!$A$8:$H$58,8))</f>
        <v/>
      </c>
    </row>
    <row r="16" spans="1:15" x14ac:dyDescent="0.25">
      <c r="A16" s="8" t="s">
        <v>554</v>
      </c>
      <c r="N16" s="7">
        <v>0</v>
      </c>
      <c r="O16" s="7" t="str">
        <f ca="1">getCodigoBackend(N16,A16,VLOOKUP(N16,setup!$A$8:$H$58,2),VLOOKUP(N16,setup!$A$8:$H$58,3),VLOOKUP(N16,setup!$A$8:$H$58,4),VLOOKUP(N16,setup!$A$8:$H$58,5),VLOOKUP(N16,setup!$A$8:$H$58,6),VLOOKUP(N16,setup!$A$8:$H$58,7), VLOOKUP(0,setup!$A$8:$H$58,2),VLOOKUP(0,setup!$A$8:$H$58,5),VLOOKUP(N16,setup!$A$8:$H$58,8))</f>
        <v>$dto-&gt;id = 1;</v>
      </c>
    </row>
    <row r="17" spans="1:15" x14ac:dyDescent="0.25">
      <c r="A17" s="8" t="s">
        <v>554</v>
      </c>
      <c r="N17">
        <f>N16+1</f>
        <v>1</v>
      </c>
      <c r="O17" s="7" t="str">
        <f ca="1">getCodigoBackend(N17,A17,VLOOKUP(N17,setup!$A$8:$H$58,2),VLOOKUP(N17,setup!$A$8:$H$58,3),VLOOKUP(N17,setup!$A$8:$H$58,4),VLOOKUP(N17,setup!$A$8:$H$58,5),VLOOKUP(N17,setup!$A$8:$H$58,6),VLOOKUP(N17,setup!$A$8:$H$58,7), VLOOKUP(0,setup!$A$8:$H$58,2),VLOOKUP(0,setup!$A$8:$H$58,5),VLOOKUP(N17,setup!$A$8:$H$58,8))</f>
        <v>$dto-&gt;idCampanhaCashback = 1;</v>
      </c>
    </row>
    <row r="18" spans="1:15" x14ac:dyDescent="0.25">
      <c r="A18" s="8" t="s">
        <v>554</v>
      </c>
      <c r="N18">
        <f t="shared" ref="N18:N66" si="0">N17+1</f>
        <v>2</v>
      </c>
      <c r="O18" s="7" t="str">
        <f ca="1">getCodigoBackend(N18,A18,VLOOKUP(N18,setup!$A$8:$H$58,2),VLOOKUP(N18,setup!$A$8:$H$58,3),VLOOKUP(N18,setup!$A$8:$H$58,4),VLOOKUP(N18,setup!$A$8:$H$58,5),VLOOKUP(N18,setup!$A$8:$H$58,6),VLOOKUP(N18,setup!$A$8:$H$58,7), VLOOKUP(0,setup!$A$8:$H$58,2),VLOOKUP(0,setup!$A$8:$H$58,5),VLOOKUP(N18,setup!$A$8:$H$58,8))</f>
        <v>$dto-&gt;idUsuarioSolicitante = 1;</v>
      </c>
    </row>
    <row r="19" spans="1:15" x14ac:dyDescent="0.25">
      <c r="A19" s="8" t="s">
        <v>554</v>
      </c>
      <c r="N19">
        <f t="shared" si="0"/>
        <v>3</v>
      </c>
      <c r="O19" s="7" t="str">
        <f ca="1">getCodigoBackend(N19,A19,VLOOKUP(N19,setup!$A$8:$H$58,2),VLOOKUP(N19,setup!$A$8:$H$58,3),VLOOKUP(N19,setup!$A$8:$H$58,4),VLOOKUP(N19,setup!$A$8:$H$58,5),VLOOKUP(N19,setup!$A$8:$H$58,6),VLOOKUP(N19,setup!$A$8:$H$58,7), VLOOKUP(0,setup!$A$8:$H$58,2),VLOOKUP(0,setup!$A$8:$H$58,5),VLOOKUP(N19,setup!$A$8:$H$58,8))</f>
        <v>$dto-&gt;tipoChavePix = 1;</v>
      </c>
    </row>
    <row r="20" spans="1:15" x14ac:dyDescent="0.25">
      <c r="A20" s="8" t="s">
        <v>554</v>
      </c>
      <c r="N20">
        <f t="shared" si="0"/>
        <v>4</v>
      </c>
      <c r="O20" s="7" t="str">
        <f ca="1">getCodigoBackend(N20,A20,VLOOKUP(N20,setup!$A$8:$H$58,2),VLOOKUP(N20,setup!$A$8:$H$58,3),VLOOKUP(N20,setup!$A$8:$H$58,4),VLOOKUP(N20,setup!$A$8:$H$58,5),VLOOKUP(N20,setup!$A$8:$H$58,6),VLOOKUP(N20,setup!$A$8:$H$58,7), VLOOKUP(0,setup!$A$8:$H$58,2),VLOOKUP(0,setup!$A$8:$H$58,5),VLOOKUP(N20,setup!$A$8:$H$58,8))</f>
        <v>$dto-&gt;chavePix = Util::getLoremIpsum()  . Util::getCodigo(10);</v>
      </c>
    </row>
    <row r="21" spans="1:15" x14ac:dyDescent="0.25">
      <c r="A21" s="8" t="s">
        <v>554</v>
      </c>
      <c r="N21">
        <f t="shared" si="0"/>
        <v>5</v>
      </c>
      <c r="O21" s="7" t="str">
        <f ca="1">getCodigoBackend(N21,A21,VLOOKUP(N21,setup!$A$8:$H$58,2),VLOOKUP(N21,setup!$A$8:$H$58,3),VLOOKUP(N21,setup!$A$8:$H$58,4),VLOOKUP(N21,setup!$A$8:$H$58,5),VLOOKUP(N21,setup!$A$8:$H$58,6),VLOOKUP(N21,setup!$A$8:$H$58,7), VLOOKUP(0,setup!$A$8:$H$58,2),VLOOKUP(0,setup!$A$8:$H$58,5),VLOOKUP(N21,setup!$A$8:$H$58,8))</f>
        <v>$dto-&gt;valorResgate = ${exemplo};</v>
      </c>
    </row>
    <row r="22" spans="1:15" x14ac:dyDescent="0.25">
      <c r="A22" s="8" t="s">
        <v>554</v>
      </c>
      <c r="N22">
        <f t="shared" si="0"/>
        <v>6</v>
      </c>
      <c r="O22" s="7" t="str">
        <f ca="1">getCodigoBackend(N22,A22,VLOOKUP(N22,setup!$A$8:$H$58,2),VLOOKUP(N22,setup!$A$8:$H$58,3),VLOOKUP(N22,setup!$A$8:$H$58,4),VLOOKUP(N22,setup!$A$8:$H$58,5),VLOOKUP(N22,setup!$A$8:$H$58,6),VLOOKUP(N22,setup!$A$8:$H$58,7), VLOOKUP(0,setup!$A$8:$H$58,2),VLOOKUP(0,setup!$A$8:$H$58,5),VLOOKUP(N22,setup!$A$8:$H$58,8))</f>
        <v>$dto-&gt;autenticacaoBco = Util::getLoremIpsum()  . Util::getCodigo(10);</v>
      </c>
    </row>
    <row r="23" spans="1:15" x14ac:dyDescent="0.25">
      <c r="A23" s="8" t="s">
        <v>554</v>
      </c>
      <c r="N23">
        <f t="shared" si="0"/>
        <v>7</v>
      </c>
      <c r="O23" s="7" t="str">
        <f ca="1">getCodigoBackend(N23,A23,VLOOKUP(N23,setup!$A$8:$H$58,2),VLOOKUP(N23,setup!$A$8:$H$58,3),VLOOKUP(N23,setup!$A$8:$H$58,4),VLOOKUP(N23,setup!$A$8:$H$58,5),VLOOKUP(N23,setup!$A$8:$H$58,6),VLOOKUP(N23,setup!$A$8:$H$58,7), VLOOKUP(0,setup!$A$8:$H$58,2),VLOOKUP(0,setup!$A$8:$H$58,5),VLOOKUP(N23,setup!$A$8:$H$58,8))</f>
        <v>$dto-&gt;estagioRealTime = 1;</v>
      </c>
    </row>
    <row r="24" spans="1:15" x14ac:dyDescent="0.25">
      <c r="A24" s="8" t="s">
        <v>554</v>
      </c>
      <c r="N24">
        <f t="shared" si="0"/>
        <v>8</v>
      </c>
      <c r="O24" s="7" t="str">
        <f ca="1">getCodigoBackend(N24,A24,VLOOKUP(N24,setup!$A$8:$H$58,2),VLOOKUP(N24,setup!$A$8:$H$58,3),VLOOKUP(N24,setup!$A$8:$H$58,4),VLOOKUP(N24,setup!$A$8:$H$58,5),VLOOKUP(N24,setup!$A$8:$H$58,6),VLOOKUP(N24,setup!$A$8:$H$58,7), VLOOKUP(0,setup!$A$8:$H$58,2),VLOOKUP(0,setup!$A$8:$H$58,5),VLOOKUP(N24,setup!$A$8:$H$58,8))</f>
        <v>$dto-&gt;dtEstagioAnalise = '2019-08-24 17:30:31';</v>
      </c>
    </row>
    <row r="25" spans="1:15" x14ac:dyDescent="0.25">
      <c r="A25" s="8" t="s">
        <v>554</v>
      </c>
      <c r="N25">
        <f t="shared" si="0"/>
        <v>9</v>
      </c>
      <c r="O25" s="7" t="str">
        <f ca="1">getCodigoBackend(N25,A25,VLOOKUP(N25,setup!$A$8:$H$58,2),VLOOKUP(N25,setup!$A$8:$H$58,3),VLOOKUP(N25,setup!$A$8:$H$58,4),VLOOKUP(N25,setup!$A$8:$H$58,5),VLOOKUP(N25,setup!$A$8:$H$58,6),VLOOKUP(N25,setup!$A$8:$H$58,7), VLOOKUP(0,setup!$A$8:$H$58,2),VLOOKUP(0,setup!$A$8:$H$58,5),VLOOKUP(N25,setup!$A$8:$H$58,8))</f>
        <v>$dto-&gt;dtEstagioFinanceiro = '2019-08-24 17:30:31';</v>
      </c>
    </row>
    <row r="26" spans="1:15" x14ac:dyDescent="0.25">
      <c r="A26" s="8" t="s">
        <v>554</v>
      </c>
      <c r="N26">
        <f t="shared" si="0"/>
        <v>10</v>
      </c>
      <c r="O26" s="7" t="str">
        <f ca="1">getCodigoBackend(N26,A26,VLOOKUP(N26,setup!$A$8:$H$58,2),VLOOKUP(N26,setup!$A$8:$H$58,3),VLOOKUP(N26,setup!$A$8:$H$58,4),VLOOKUP(N26,setup!$A$8:$H$58,5),VLOOKUP(N26,setup!$A$8:$H$58,6),VLOOKUP(N26,setup!$A$8:$H$58,7), VLOOKUP(0,setup!$A$8:$H$58,2),VLOOKUP(0,setup!$A$8:$H$58,5),VLOOKUP(N26,setup!$A$8:$H$58,8))</f>
        <v>$dto-&gt;dtEstagioErro = '2019-08-24 17:30:31';</v>
      </c>
    </row>
    <row r="27" spans="1:15" x14ac:dyDescent="0.25">
      <c r="A27" s="8" t="s">
        <v>554</v>
      </c>
      <c r="N27">
        <f t="shared" si="0"/>
        <v>11</v>
      </c>
      <c r="O27" s="7" t="str">
        <f ca="1">getCodigoBackend(N27,A27,VLOOKUP(N27,setup!$A$8:$H$58,2),VLOOKUP(N27,setup!$A$8:$H$58,3),VLOOKUP(N27,setup!$A$8:$H$58,4),VLOOKUP(N27,setup!$A$8:$H$58,5),VLOOKUP(N27,setup!$A$8:$H$58,6),VLOOKUP(N27,setup!$A$8:$H$58,7), VLOOKUP(0,setup!$A$8:$H$58,2),VLOOKUP(0,setup!$A$8:$H$58,5),VLOOKUP(N27,setup!$A$8:$H$58,8))</f>
        <v>$dto-&gt;dtEstagioTranfBco = '2019-08-24 17:30:31';</v>
      </c>
    </row>
    <row r="28" spans="1:15" x14ac:dyDescent="0.25">
      <c r="A28" s="8" t="s">
        <v>554</v>
      </c>
      <c r="N28">
        <f t="shared" si="0"/>
        <v>12</v>
      </c>
      <c r="O28" s="7" t="str">
        <f ca="1">getCodigoBackend(N28,A28,VLOOKUP(N28,setup!$A$8:$H$58,2),VLOOKUP(N28,setup!$A$8:$H$58,3),VLOOKUP(N28,setup!$A$8:$H$58,4),VLOOKUP(N28,setup!$A$8:$H$58,5),VLOOKUP(N28,setup!$A$8:$H$58,6),VLOOKUP(N28,setup!$A$8:$H$58,7), VLOOKUP(0,setup!$A$8:$H$58,2),VLOOKUP(0,setup!$A$8:$H$58,5),VLOOKUP(N28,setup!$A$8:$H$58,8))</f>
        <v>$dto-&gt;txtLivreEstagioRT = Util::getLoremIpsum()  . Util::getCodigo(10);</v>
      </c>
    </row>
    <row r="29" spans="1:15" x14ac:dyDescent="0.25">
      <c r="A29" s="8" t="s">
        <v>554</v>
      </c>
      <c r="N29">
        <f t="shared" si="0"/>
        <v>13</v>
      </c>
      <c r="O29" s="7" t="e">
        <f>getCodigoBackend(N29,A29,VLOOKUP(N29,setup!$A$8:$H$58,2),VLOOKUP(N29,setup!$A$8:$H$58,3),VLOOKUP(N29,setup!$A$8:$H$58,4),VLOOKUP(N29,setup!$A$8:$H$58,5),VLOOKUP(N29,setup!$A$8:$H$58,6),VLOOKUP(N29,setup!$A$8:$H$58,7), VLOOKUP(0,setup!$A$8:$H$58,2),VLOOKUP(0,setup!$A$8:$H$58,5),VLOOKUP(N29,setup!$A$8:$H$58,8))</f>
        <v>#VALUE!</v>
      </c>
    </row>
    <row r="30" spans="1:15" x14ac:dyDescent="0.25">
      <c r="A30" s="8" t="s">
        <v>554</v>
      </c>
      <c r="N30">
        <f t="shared" si="0"/>
        <v>14</v>
      </c>
      <c r="O30" s="7" t="e">
        <f>getCodigoBackend(N30,A30,VLOOKUP(N30,setup!$A$8:$H$58,2),VLOOKUP(N30,setup!$A$8:$H$58,3),VLOOKUP(N30,setup!$A$8:$H$58,4),VLOOKUP(N30,setup!$A$8:$H$58,5),VLOOKUP(N30,setup!$A$8:$H$58,6),VLOOKUP(N30,setup!$A$8:$H$58,7), VLOOKUP(0,setup!$A$8:$H$58,2),VLOOKUP(0,setup!$A$8:$H$58,5),VLOOKUP(N30,setup!$A$8:$H$58,8))</f>
        <v>#VALUE!</v>
      </c>
    </row>
    <row r="31" spans="1:15" x14ac:dyDescent="0.25">
      <c r="A31" s="8" t="s">
        <v>554</v>
      </c>
      <c r="N31">
        <f t="shared" si="0"/>
        <v>15</v>
      </c>
      <c r="O31" s="7" t="e">
        <f>getCodigoBackend(N31,A31,VLOOKUP(N31,setup!$A$8:$H$58,2),VLOOKUP(N31,setup!$A$8:$H$58,3),VLOOKUP(N31,setup!$A$8:$H$58,4),VLOOKUP(N31,setup!$A$8:$H$58,5),VLOOKUP(N31,setup!$A$8:$H$58,6),VLOOKUP(N31,setup!$A$8:$H$58,7), VLOOKUP(0,setup!$A$8:$H$58,2),VLOOKUP(0,setup!$A$8:$H$58,5),VLOOKUP(N31,setup!$A$8:$H$58,8))</f>
        <v>#VALUE!</v>
      </c>
    </row>
    <row r="32" spans="1:15" x14ac:dyDescent="0.25">
      <c r="A32" s="8" t="s">
        <v>554</v>
      </c>
      <c r="N32">
        <f t="shared" si="0"/>
        <v>16</v>
      </c>
      <c r="O32" s="7" t="e">
        <f>getCodigoBackend(N32,A32,VLOOKUP(N32,setup!$A$8:$H$58,2),VLOOKUP(N32,setup!$A$8:$H$58,3),VLOOKUP(N32,setup!$A$8:$H$58,4),VLOOKUP(N32,setup!$A$8:$H$58,5),VLOOKUP(N32,setup!$A$8:$H$58,6),VLOOKUP(N32,setup!$A$8:$H$58,7), VLOOKUP(0,setup!$A$8:$H$58,2),VLOOKUP(0,setup!$A$8:$H$58,5),VLOOKUP(N32,setup!$A$8:$H$58,8))</f>
        <v>#VALUE!</v>
      </c>
    </row>
    <row r="33" spans="1:15" x14ac:dyDescent="0.25">
      <c r="A33" s="8" t="s">
        <v>554</v>
      </c>
      <c r="N33">
        <f t="shared" si="0"/>
        <v>17</v>
      </c>
      <c r="O33" s="7" t="e">
        <f>getCodigoBackend(N33,A33,VLOOKUP(N33,setup!$A$8:$H$58,2),VLOOKUP(N33,setup!$A$8:$H$58,3),VLOOKUP(N33,setup!$A$8:$H$58,4),VLOOKUP(N33,setup!$A$8:$H$58,5),VLOOKUP(N33,setup!$A$8:$H$58,6),VLOOKUP(N33,setup!$A$8:$H$58,7), VLOOKUP(0,setup!$A$8:$H$58,2),VLOOKUP(0,setup!$A$8:$H$58,5),VLOOKUP(N33,setup!$A$8:$H$58,8))</f>
        <v>#VALUE!</v>
      </c>
    </row>
    <row r="34" spans="1:15" x14ac:dyDescent="0.25">
      <c r="A34" s="8" t="s">
        <v>554</v>
      </c>
      <c r="N34">
        <f t="shared" si="0"/>
        <v>18</v>
      </c>
      <c r="O34" s="7" t="e">
        <f>getCodigoBackend(N34,A34,VLOOKUP(N34,setup!$A$8:$H$58,2),VLOOKUP(N34,setup!$A$8:$H$58,3),VLOOKUP(N34,setup!$A$8:$H$58,4),VLOOKUP(N34,setup!$A$8:$H$58,5),VLOOKUP(N34,setup!$A$8:$H$58,6),VLOOKUP(N34,setup!$A$8:$H$58,7), VLOOKUP(0,setup!$A$8:$H$58,2),VLOOKUP(0,setup!$A$8:$H$58,5),VLOOKUP(N34,setup!$A$8:$H$58,8))</f>
        <v>#VALUE!</v>
      </c>
    </row>
    <row r="35" spans="1:15" x14ac:dyDescent="0.25">
      <c r="A35" s="8" t="s">
        <v>554</v>
      </c>
      <c r="N35">
        <f t="shared" si="0"/>
        <v>19</v>
      </c>
      <c r="O35" s="7" t="e">
        <f>getCodigoBackend(N35,A35,VLOOKUP(N35,setup!$A$8:$H$58,2),VLOOKUP(N35,setup!$A$8:$H$58,3),VLOOKUP(N35,setup!$A$8:$H$58,4),VLOOKUP(N35,setup!$A$8:$H$58,5),VLOOKUP(N35,setup!$A$8:$H$58,6),VLOOKUP(N35,setup!$A$8:$H$58,7), VLOOKUP(0,setup!$A$8:$H$58,2),VLOOKUP(0,setup!$A$8:$H$58,5),VLOOKUP(N35,setup!$A$8:$H$58,8))</f>
        <v>#VALUE!</v>
      </c>
    </row>
    <row r="36" spans="1:15" x14ac:dyDescent="0.25">
      <c r="A36" s="8" t="s">
        <v>554</v>
      </c>
      <c r="N36">
        <f t="shared" si="0"/>
        <v>20</v>
      </c>
      <c r="O36" s="7" t="e">
        <f>getCodigoBackend(N36,A36,VLOOKUP(N36,setup!$A$8:$H$58,2),VLOOKUP(N36,setup!$A$8:$H$58,3),VLOOKUP(N36,setup!$A$8:$H$58,4),VLOOKUP(N36,setup!$A$8:$H$58,5),VLOOKUP(N36,setup!$A$8:$H$58,6),VLOOKUP(N36,setup!$A$8:$H$58,7), VLOOKUP(0,setup!$A$8:$H$58,2),VLOOKUP(0,setup!$A$8:$H$58,5),VLOOKUP(N36,setup!$A$8:$H$58,8))</f>
        <v>#VALUE!</v>
      </c>
    </row>
    <row r="37" spans="1:15" x14ac:dyDescent="0.25">
      <c r="A37" s="8" t="s">
        <v>554</v>
      </c>
      <c r="N37">
        <f t="shared" si="0"/>
        <v>21</v>
      </c>
      <c r="O37" s="7" t="e">
        <f>getCodigoBackend(N37,A37,VLOOKUP(N37,setup!$A$8:$H$58,2),VLOOKUP(N37,setup!$A$8:$H$58,3),VLOOKUP(N37,setup!$A$8:$H$58,4),VLOOKUP(N37,setup!$A$8:$H$58,5),VLOOKUP(N37,setup!$A$8:$H$58,6),VLOOKUP(N37,setup!$A$8:$H$58,7), VLOOKUP(0,setup!$A$8:$H$58,2),VLOOKUP(0,setup!$A$8:$H$58,5),VLOOKUP(N37,setup!$A$8:$H$58,8))</f>
        <v>#VALUE!</v>
      </c>
    </row>
    <row r="38" spans="1:15" x14ac:dyDescent="0.25">
      <c r="A38" s="8" t="s">
        <v>554</v>
      </c>
      <c r="N38">
        <f t="shared" si="0"/>
        <v>22</v>
      </c>
      <c r="O38" s="7" t="e">
        <f>getCodigoBackend(N38,A38,VLOOKUP(N38,setup!$A$8:$H$58,2),VLOOKUP(N38,setup!$A$8:$H$58,3),VLOOKUP(N38,setup!$A$8:$H$58,4),VLOOKUP(N38,setup!$A$8:$H$58,5),VLOOKUP(N38,setup!$A$8:$H$58,6),VLOOKUP(N38,setup!$A$8:$H$58,7), VLOOKUP(0,setup!$A$8:$H$58,2),VLOOKUP(0,setup!$A$8:$H$58,5),VLOOKUP(N38,setup!$A$8:$H$58,8))</f>
        <v>#VALUE!</v>
      </c>
    </row>
    <row r="39" spans="1:15" x14ac:dyDescent="0.25">
      <c r="A39" s="8" t="s">
        <v>554</v>
      </c>
      <c r="N39">
        <f t="shared" si="0"/>
        <v>23</v>
      </c>
      <c r="O39" s="7" t="e">
        <f>getCodigoBackend(N39,A39,VLOOKUP(N39,setup!$A$8:$H$58,2),VLOOKUP(N39,setup!$A$8:$H$58,3),VLOOKUP(N39,setup!$A$8:$H$58,4),VLOOKUP(N39,setup!$A$8:$H$58,5),VLOOKUP(N39,setup!$A$8:$H$58,6),VLOOKUP(N39,setup!$A$8:$H$58,7), VLOOKUP(0,setup!$A$8:$H$58,2),VLOOKUP(0,setup!$A$8:$H$58,5),VLOOKUP(N39,setup!$A$8:$H$58,8))</f>
        <v>#VALUE!</v>
      </c>
    </row>
    <row r="40" spans="1:15" x14ac:dyDescent="0.25">
      <c r="A40" s="8" t="s">
        <v>554</v>
      </c>
      <c r="N40">
        <f t="shared" si="0"/>
        <v>24</v>
      </c>
      <c r="O40" s="7" t="e">
        <f>getCodigoBackend(N40,A40,VLOOKUP(N40,setup!$A$8:$H$58,2),VLOOKUP(N40,setup!$A$8:$H$58,3),VLOOKUP(N40,setup!$A$8:$H$58,4),VLOOKUP(N40,setup!$A$8:$H$58,5),VLOOKUP(N40,setup!$A$8:$H$58,6),VLOOKUP(N40,setup!$A$8:$H$58,7), VLOOKUP(0,setup!$A$8:$H$58,2),VLOOKUP(0,setup!$A$8:$H$58,5),VLOOKUP(N40,setup!$A$8:$H$58,8))</f>
        <v>#VALUE!</v>
      </c>
    </row>
    <row r="41" spans="1:15" x14ac:dyDescent="0.25">
      <c r="A41" s="8" t="s">
        <v>554</v>
      </c>
      <c r="N41">
        <f t="shared" si="0"/>
        <v>25</v>
      </c>
      <c r="O41" s="7" t="e">
        <f>getCodigoBackend(N41,A41,VLOOKUP(N41,setup!$A$8:$H$58,2),VLOOKUP(N41,setup!$A$8:$H$58,3),VLOOKUP(N41,setup!$A$8:$H$58,4),VLOOKUP(N41,setup!$A$8:$H$58,5),VLOOKUP(N41,setup!$A$8:$H$58,6),VLOOKUP(N41,setup!$A$8:$H$58,7), VLOOKUP(0,setup!$A$8:$H$58,2),VLOOKUP(0,setup!$A$8:$H$58,5),VLOOKUP(N41,setup!$A$8:$H$58,8))</f>
        <v>#VALUE!</v>
      </c>
    </row>
    <row r="42" spans="1:15" x14ac:dyDescent="0.25">
      <c r="A42" s="8" t="s">
        <v>554</v>
      </c>
      <c r="N42">
        <f t="shared" si="0"/>
        <v>26</v>
      </c>
      <c r="O42" s="7" t="e">
        <f>getCodigoBackend(N42,A42,VLOOKUP(N42,setup!$A$8:$H$58,2),VLOOKUP(N42,setup!$A$8:$H$58,3),VLOOKUP(N42,setup!$A$8:$H$58,4),VLOOKUP(N42,setup!$A$8:$H$58,5),VLOOKUP(N42,setup!$A$8:$H$58,6),VLOOKUP(N42,setup!$A$8:$H$58,7), VLOOKUP(0,setup!$A$8:$H$58,2),VLOOKUP(0,setup!$A$8:$H$58,5),VLOOKUP(N42,setup!$A$8:$H$58,8))</f>
        <v>#VALUE!</v>
      </c>
    </row>
    <row r="43" spans="1:15" x14ac:dyDescent="0.25">
      <c r="A43" s="8" t="s">
        <v>554</v>
      </c>
      <c r="N43">
        <f t="shared" si="0"/>
        <v>27</v>
      </c>
      <c r="O43" s="7" t="e">
        <f>getCodigoBackend(N43,A43,VLOOKUP(N43,setup!$A$8:$H$58,2),VLOOKUP(N43,setup!$A$8:$H$58,3),VLOOKUP(N43,setup!$A$8:$H$58,4),VLOOKUP(N43,setup!$A$8:$H$58,5),VLOOKUP(N43,setup!$A$8:$H$58,6),VLOOKUP(N43,setup!$A$8:$H$58,7), VLOOKUP(0,setup!$A$8:$H$58,2),VLOOKUP(0,setup!$A$8:$H$58,5),VLOOKUP(N43,setup!$A$8:$H$58,8))</f>
        <v>#VALUE!</v>
      </c>
    </row>
    <row r="44" spans="1:15" x14ac:dyDescent="0.25">
      <c r="A44" s="8" t="s">
        <v>554</v>
      </c>
      <c r="N44">
        <f t="shared" si="0"/>
        <v>28</v>
      </c>
      <c r="O44" s="7" t="e">
        <f>getCodigoBackend(N44,A44,VLOOKUP(N44,setup!$A$8:$H$58,2),VLOOKUP(N44,setup!$A$8:$H$58,3),VLOOKUP(N44,setup!$A$8:$H$58,4),VLOOKUP(N44,setup!$A$8:$H$58,5),VLOOKUP(N44,setup!$A$8:$H$58,6),VLOOKUP(N44,setup!$A$8:$H$58,7), VLOOKUP(0,setup!$A$8:$H$58,2),VLOOKUP(0,setup!$A$8:$H$58,5),VLOOKUP(N44,setup!$A$8:$H$58,8))</f>
        <v>#VALUE!</v>
      </c>
    </row>
    <row r="45" spans="1:15" x14ac:dyDescent="0.25">
      <c r="A45" s="8" t="s">
        <v>554</v>
      </c>
      <c r="N45">
        <f t="shared" si="0"/>
        <v>29</v>
      </c>
      <c r="O45" s="7" t="e">
        <f>getCodigoBackend(N45,A45,VLOOKUP(N45,setup!$A$8:$H$58,2),VLOOKUP(N45,setup!$A$8:$H$58,3),VLOOKUP(N45,setup!$A$8:$H$58,4),VLOOKUP(N45,setup!$A$8:$H$58,5),VLOOKUP(N45,setup!$A$8:$H$58,6),VLOOKUP(N45,setup!$A$8:$H$58,7), VLOOKUP(0,setup!$A$8:$H$58,2),VLOOKUP(0,setup!$A$8:$H$58,5),VLOOKUP(N45,setup!$A$8:$H$58,8))</f>
        <v>#VALUE!</v>
      </c>
    </row>
    <row r="46" spans="1:15" x14ac:dyDescent="0.25">
      <c r="A46" s="8" t="s">
        <v>554</v>
      </c>
      <c r="N46">
        <f t="shared" si="0"/>
        <v>30</v>
      </c>
      <c r="O46" s="7" t="e">
        <f>getCodigoBackend(N46,A46,VLOOKUP(N46,setup!$A$8:$H$58,2),VLOOKUP(N46,setup!$A$8:$H$58,3),VLOOKUP(N46,setup!$A$8:$H$58,4),VLOOKUP(N46,setup!$A$8:$H$58,5),VLOOKUP(N46,setup!$A$8:$H$58,6),VLOOKUP(N46,setup!$A$8:$H$58,7), VLOOKUP(0,setup!$A$8:$H$58,2),VLOOKUP(0,setup!$A$8:$H$58,5),VLOOKUP(N46,setup!$A$8:$H$58,8))</f>
        <v>#VALUE!</v>
      </c>
    </row>
    <row r="47" spans="1:15" x14ac:dyDescent="0.25">
      <c r="A47" s="8" t="s">
        <v>554</v>
      </c>
      <c r="N47">
        <f t="shared" si="0"/>
        <v>31</v>
      </c>
      <c r="O47" s="7" t="e">
        <f>getCodigoBackend(N47,A47,VLOOKUP(N47,setup!$A$8:$H$58,2),VLOOKUP(N47,setup!$A$8:$H$58,3),VLOOKUP(N47,setup!$A$8:$H$58,4),VLOOKUP(N47,setup!$A$8:$H$58,5),VLOOKUP(N47,setup!$A$8:$H$58,6),VLOOKUP(N47,setup!$A$8:$H$58,7), VLOOKUP(0,setup!$A$8:$H$58,2),VLOOKUP(0,setup!$A$8:$H$58,5),VLOOKUP(N47,setup!$A$8:$H$58,8))</f>
        <v>#VALUE!</v>
      </c>
    </row>
    <row r="48" spans="1:15" x14ac:dyDescent="0.25">
      <c r="A48" s="8" t="s">
        <v>554</v>
      </c>
      <c r="N48">
        <f t="shared" si="0"/>
        <v>32</v>
      </c>
      <c r="O48" s="7" t="e">
        <f>getCodigoBackend(N48,A48,VLOOKUP(N48,setup!$A$8:$H$58,2),VLOOKUP(N48,setup!$A$8:$H$58,3),VLOOKUP(N48,setup!$A$8:$H$58,4),VLOOKUP(N48,setup!$A$8:$H$58,5),VLOOKUP(N48,setup!$A$8:$H$58,6),VLOOKUP(N48,setup!$A$8:$H$58,7), VLOOKUP(0,setup!$A$8:$H$58,2),VLOOKUP(0,setup!$A$8:$H$58,5),VLOOKUP(N48,setup!$A$8:$H$58,8))</f>
        <v>#VALUE!</v>
      </c>
    </row>
    <row r="49" spans="1:15" x14ac:dyDescent="0.25">
      <c r="A49" s="8" t="s">
        <v>554</v>
      </c>
      <c r="N49">
        <f t="shared" si="0"/>
        <v>33</v>
      </c>
      <c r="O49" s="7" t="e">
        <f>getCodigoBackend(N49,A49,VLOOKUP(N49,setup!$A$8:$H$58,2),VLOOKUP(N49,setup!$A$8:$H$58,3),VLOOKUP(N49,setup!$A$8:$H$58,4),VLOOKUP(N49,setup!$A$8:$H$58,5),VLOOKUP(N49,setup!$A$8:$H$58,6),VLOOKUP(N49,setup!$A$8:$H$58,7), VLOOKUP(0,setup!$A$8:$H$58,2),VLOOKUP(0,setup!$A$8:$H$58,5),VLOOKUP(N49,setup!$A$8:$H$58,8))</f>
        <v>#VALUE!</v>
      </c>
    </row>
    <row r="50" spans="1:15" x14ac:dyDescent="0.25">
      <c r="A50" s="8" t="s">
        <v>554</v>
      </c>
      <c r="N50">
        <f t="shared" si="0"/>
        <v>34</v>
      </c>
      <c r="O50" s="7" t="e">
        <f>getCodigoBackend(N50,A50,VLOOKUP(N50,setup!$A$8:$H$58,2),VLOOKUP(N50,setup!$A$8:$H$58,3),VLOOKUP(N50,setup!$A$8:$H$58,4),VLOOKUP(N50,setup!$A$8:$H$58,5),VLOOKUP(N50,setup!$A$8:$H$58,6),VLOOKUP(N50,setup!$A$8:$H$58,7), VLOOKUP(0,setup!$A$8:$H$58,2),VLOOKUP(0,setup!$A$8:$H$58,5),VLOOKUP(N50,setup!$A$8:$H$58,8))</f>
        <v>#VALUE!</v>
      </c>
    </row>
    <row r="51" spans="1:15" x14ac:dyDescent="0.25">
      <c r="A51" s="8" t="s">
        <v>554</v>
      </c>
      <c r="N51">
        <f t="shared" si="0"/>
        <v>35</v>
      </c>
      <c r="O51" s="7" t="e">
        <f>getCodigoBackend(N51,A51,VLOOKUP(N51,setup!$A$8:$H$58,2),VLOOKUP(N51,setup!$A$8:$H$58,3),VLOOKUP(N51,setup!$A$8:$H$58,4),VLOOKUP(N51,setup!$A$8:$H$58,5),VLOOKUP(N51,setup!$A$8:$H$58,6),VLOOKUP(N51,setup!$A$8:$H$58,7), VLOOKUP(0,setup!$A$8:$H$58,2),VLOOKUP(0,setup!$A$8:$H$58,5),VLOOKUP(N51,setup!$A$8:$H$58,8))</f>
        <v>#VALUE!</v>
      </c>
    </row>
    <row r="52" spans="1:15" x14ac:dyDescent="0.25">
      <c r="A52" s="8" t="s">
        <v>554</v>
      </c>
      <c r="N52">
        <f t="shared" si="0"/>
        <v>36</v>
      </c>
      <c r="O52" s="7" t="e">
        <f>getCodigoBackend(N52,A52,VLOOKUP(N52,setup!$A$8:$H$58,2),VLOOKUP(N52,setup!$A$8:$H$58,3),VLOOKUP(N52,setup!$A$8:$H$58,4),VLOOKUP(N52,setup!$A$8:$H$58,5),VLOOKUP(N52,setup!$A$8:$H$58,6),VLOOKUP(N52,setup!$A$8:$H$58,7), VLOOKUP(0,setup!$A$8:$H$58,2),VLOOKUP(0,setup!$A$8:$H$58,5),VLOOKUP(N52,setup!$A$8:$H$58,8))</f>
        <v>#VALUE!</v>
      </c>
    </row>
    <row r="53" spans="1:15" x14ac:dyDescent="0.25">
      <c r="A53" s="8" t="s">
        <v>554</v>
      </c>
      <c r="N53">
        <f t="shared" si="0"/>
        <v>37</v>
      </c>
      <c r="O53" s="7" t="e">
        <f>getCodigoBackend(N53,A53,VLOOKUP(N53,setup!$A$8:$H$58,2),VLOOKUP(N53,setup!$A$8:$H$58,3),VLOOKUP(N53,setup!$A$8:$H$58,4),VLOOKUP(N53,setup!$A$8:$H$58,5),VLOOKUP(N53,setup!$A$8:$H$58,6),VLOOKUP(N53,setup!$A$8:$H$58,7), VLOOKUP(0,setup!$A$8:$H$58,2),VLOOKUP(0,setup!$A$8:$H$58,5),VLOOKUP(N53,setup!$A$8:$H$58,8))</f>
        <v>#VALUE!</v>
      </c>
    </row>
    <row r="54" spans="1:15" x14ac:dyDescent="0.25">
      <c r="A54" s="8" t="s">
        <v>554</v>
      </c>
      <c r="N54">
        <f t="shared" si="0"/>
        <v>38</v>
      </c>
      <c r="O54" s="7" t="e">
        <f>getCodigoBackend(N54,A54,VLOOKUP(N54,setup!$A$8:$H$58,2),VLOOKUP(N54,setup!$A$8:$H$58,3),VLOOKUP(N54,setup!$A$8:$H$58,4),VLOOKUP(N54,setup!$A$8:$H$58,5),VLOOKUP(N54,setup!$A$8:$H$58,6),VLOOKUP(N54,setup!$A$8:$H$58,7), VLOOKUP(0,setup!$A$8:$H$58,2),VLOOKUP(0,setup!$A$8:$H$58,5),VLOOKUP(N54,setup!$A$8:$H$58,8))</f>
        <v>#VALUE!</v>
      </c>
    </row>
    <row r="55" spans="1:15" x14ac:dyDescent="0.25">
      <c r="A55" s="8" t="s">
        <v>554</v>
      </c>
      <c r="N55">
        <f t="shared" si="0"/>
        <v>39</v>
      </c>
      <c r="O55" s="7" t="e">
        <f>getCodigoBackend(N55,A55,VLOOKUP(N55,setup!$A$8:$H$58,2),VLOOKUP(N55,setup!$A$8:$H$58,3),VLOOKUP(N55,setup!$A$8:$H$58,4),VLOOKUP(N55,setup!$A$8:$H$58,5),VLOOKUP(N55,setup!$A$8:$H$58,6),VLOOKUP(N55,setup!$A$8:$H$58,7), VLOOKUP(0,setup!$A$8:$H$58,2),VLOOKUP(0,setup!$A$8:$H$58,5),VLOOKUP(N55,setup!$A$8:$H$58,8))</f>
        <v>#VALUE!</v>
      </c>
    </row>
    <row r="56" spans="1:15" x14ac:dyDescent="0.25">
      <c r="A56" s="8" t="s">
        <v>554</v>
      </c>
      <c r="N56">
        <f t="shared" si="0"/>
        <v>40</v>
      </c>
      <c r="O56" s="7" t="e">
        <f>getCodigoBackend(N56,A56,VLOOKUP(N56,setup!$A$8:$H$58,2),VLOOKUP(N56,setup!$A$8:$H$58,3),VLOOKUP(N56,setup!$A$8:$H$58,4),VLOOKUP(N56,setup!$A$8:$H$58,5),VLOOKUP(N56,setup!$A$8:$H$58,6),VLOOKUP(N56,setup!$A$8:$H$58,7), VLOOKUP(0,setup!$A$8:$H$58,2),VLOOKUP(0,setup!$A$8:$H$58,5),VLOOKUP(N56,setup!$A$8:$H$58,8))</f>
        <v>#VALUE!</v>
      </c>
    </row>
    <row r="57" spans="1:15" x14ac:dyDescent="0.25">
      <c r="A57" s="8" t="s">
        <v>554</v>
      </c>
      <c r="N57">
        <f t="shared" si="0"/>
        <v>41</v>
      </c>
      <c r="O57" s="7" t="e">
        <f>getCodigoBackend(N57,A57,VLOOKUP(N57,setup!$A$8:$H$58,2),VLOOKUP(N57,setup!$A$8:$H$58,3),VLOOKUP(N57,setup!$A$8:$H$58,4),VLOOKUP(N57,setup!$A$8:$H$58,5),VLOOKUP(N57,setup!$A$8:$H$58,6),VLOOKUP(N57,setup!$A$8:$H$58,7), VLOOKUP(0,setup!$A$8:$H$58,2),VLOOKUP(0,setup!$A$8:$H$58,5),VLOOKUP(N57,setup!$A$8:$H$58,8))</f>
        <v>#VALUE!</v>
      </c>
    </row>
    <row r="58" spans="1:15" x14ac:dyDescent="0.25">
      <c r="A58" s="8" t="s">
        <v>554</v>
      </c>
      <c r="N58">
        <f t="shared" si="0"/>
        <v>42</v>
      </c>
      <c r="O58" s="7" t="e">
        <f>getCodigoBackend(N58,A58,VLOOKUP(N58,setup!$A$8:$H$58,2),VLOOKUP(N58,setup!$A$8:$H$58,3),VLOOKUP(N58,setup!$A$8:$H$58,4),VLOOKUP(N58,setup!$A$8:$H$58,5),VLOOKUP(N58,setup!$A$8:$H$58,6),VLOOKUP(N58,setup!$A$8:$H$58,7), VLOOKUP(0,setup!$A$8:$H$58,2),VLOOKUP(0,setup!$A$8:$H$58,5),VLOOKUP(N58,setup!$A$8:$H$58,8))</f>
        <v>#VALUE!</v>
      </c>
    </row>
    <row r="59" spans="1:15" x14ac:dyDescent="0.25">
      <c r="A59" s="8" t="s">
        <v>554</v>
      </c>
      <c r="N59">
        <f t="shared" si="0"/>
        <v>43</v>
      </c>
      <c r="O59" s="7" t="e">
        <f>getCodigoBackend(N59,A59,VLOOKUP(N59,setup!$A$8:$H$58,2),VLOOKUP(N59,setup!$A$8:$H$58,3),VLOOKUP(N59,setup!$A$8:$H$58,4),VLOOKUP(N59,setup!$A$8:$H$58,5),VLOOKUP(N59,setup!$A$8:$H$58,6),VLOOKUP(N59,setup!$A$8:$H$58,7), VLOOKUP(0,setup!$A$8:$H$58,2),VLOOKUP(0,setup!$A$8:$H$58,5),VLOOKUP(N59,setup!$A$8:$H$58,8))</f>
        <v>#VALUE!</v>
      </c>
    </row>
    <row r="60" spans="1:15" x14ac:dyDescent="0.25">
      <c r="A60" s="8" t="s">
        <v>554</v>
      </c>
      <c r="N60">
        <f t="shared" si="0"/>
        <v>44</v>
      </c>
      <c r="O60" s="7" t="e">
        <f>getCodigoBackend(N60,A60,VLOOKUP(N60,setup!$A$8:$H$58,2),VLOOKUP(N60,setup!$A$8:$H$58,3),VLOOKUP(N60,setup!$A$8:$H$58,4),VLOOKUP(N60,setup!$A$8:$H$58,5),VLOOKUP(N60,setup!$A$8:$H$58,6),VLOOKUP(N60,setup!$A$8:$H$58,7), VLOOKUP(0,setup!$A$8:$H$58,2),VLOOKUP(0,setup!$A$8:$H$58,5),VLOOKUP(N60,setup!$A$8:$H$58,8))</f>
        <v>#VALUE!</v>
      </c>
    </row>
    <row r="61" spans="1:15" x14ac:dyDescent="0.25">
      <c r="A61" s="8" t="s">
        <v>554</v>
      </c>
      <c r="N61">
        <f t="shared" si="0"/>
        <v>45</v>
      </c>
      <c r="O61" s="7" t="e">
        <f>getCodigoBackend(N61,A61,VLOOKUP(N61,setup!$A$8:$H$58,2),VLOOKUP(N61,setup!$A$8:$H$58,3),VLOOKUP(N61,setup!$A$8:$H$58,4),VLOOKUP(N61,setup!$A$8:$H$58,5),VLOOKUP(N61,setup!$A$8:$H$58,6),VLOOKUP(N61,setup!$A$8:$H$58,7), VLOOKUP(0,setup!$A$8:$H$58,2),VLOOKUP(0,setup!$A$8:$H$58,5),VLOOKUP(N61,setup!$A$8:$H$58,8))</f>
        <v>#VALUE!</v>
      </c>
    </row>
    <row r="62" spans="1:15" x14ac:dyDescent="0.25">
      <c r="A62" s="8" t="s">
        <v>554</v>
      </c>
      <c r="N62">
        <f t="shared" si="0"/>
        <v>46</v>
      </c>
      <c r="O62" s="7" t="e">
        <f>getCodigoBackend(N62,A62,VLOOKUP(N62,setup!$A$8:$H$58,2),VLOOKUP(N62,setup!$A$8:$H$58,3),VLOOKUP(N62,setup!$A$8:$H$58,4),VLOOKUP(N62,setup!$A$8:$H$58,5),VLOOKUP(N62,setup!$A$8:$H$58,6),VLOOKUP(N62,setup!$A$8:$H$58,7), VLOOKUP(0,setup!$A$8:$H$58,2),VLOOKUP(0,setup!$A$8:$H$58,5),VLOOKUP(N62,setup!$A$8:$H$58,8))</f>
        <v>#VALUE!</v>
      </c>
    </row>
    <row r="63" spans="1:15" x14ac:dyDescent="0.25">
      <c r="A63" s="8" t="s">
        <v>554</v>
      </c>
      <c r="N63">
        <f t="shared" si="0"/>
        <v>47</v>
      </c>
      <c r="O63" s="7" t="e">
        <f>getCodigoBackend(N63,A63,VLOOKUP(N63,setup!$A$8:$H$58,2),VLOOKUP(N63,setup!$A$8:$H$58,3),VLOOKUP(N63,setup!$A$8:$H$58,4),VLOOKUP(N63,setup!$A$8:$H$58,5),VLOOKUP(N63,setup!$A$8:$H$58,6),VLOOKUP(N63,setup!$A$8:$H$58,7), VLOOKUP(0,setup!$A$8:$H$58,2),VLOOKUP(0,setup!$A$8:$H$58,5),VLOOKUP(N63,setup!$A$8:$H$58,8))</f>
        <v>#VALUE!</v>
      </c>
    </row>
    <row r="64" spans="1:15" x14ac:dyDescent="0.25">
      <c r="A64" s="8" t="s">
        <v>554</v>
      </c>
      <c r="N64">
        <f t="shared" si="0"/>
        <v>48</v>
      </c>
      <c r="O64" s="7" t="str">
        <f ca="1">getCodigoBackend(N64,A64,VLOOKUP(N64,setup!$A$8:$H$58,2),VLOOKUP(N64,setup!$A$8:$H$58,3),VLOOKUP(N64,setup!$A$8:$H$58,4),VLOOKUP(N64,setup!$A$8:$H$58,5),VLOOKUP(N64,setup!$A$8:$H$58,6),VLOOKUP(N64,setup!$A$8:$H$58,7), VLOOKUP(0,setup!$A$8:$H$58,2),VLOOKUP(0,setup!$A$8:$H$58,5),VLOOKUP(N64,setup!$A$8:$H$58,8))</f>
        <v>$dto-&gt;status = Util::getLoremIpsum()  . Util::getCodigo(10);</v>
      </c>
    </row>
    <row r="65" spans="1:15" x14ac:dyDescent="0.25">
      <c r="A65" s="8" t="s">
        <v>922</v>
      </c>
      <c r="N65">
        <f t="shared" si="0"/>
        <v>49</v>
      </c>
      <c r="O65" s="7" t="str">
        <f ca="1">getCodigoBackend(N65,A65,VLOOKUP(N65,setup!$A$8:$H$58,2),VLOOKUP(N65,setup!$A$8:$H$58,3),VLOOKUP(N65,setup!$A$8:$H$58,4),VLOOKUP(N65,setup!$A$8:$H$58,5),VLOOKUP(N65,setup!$A$8:$H$58,6),VLOOKUP(N65,setup!$A$8:$H$58,7), VLOOKUP(0,setup!$A$8:$H$58,2),VLOOKUP(0,setup!$A$8:$H$58,5),VLOOKUP(N65,setup!$A$8:$H$58,8))</f>
        <v>$dto-&gt;dataCadastro = Util::getNow();</v>
      </c>
    </row>
    <row r="66" spans="1:15" x14ac:dyDescent="0.25">
      <c r="A66" s="8" t="s">
        <v>922</v>
      </c>
      <c r="N66">
        <f t="shared" si="0"/>
        <v>50</v>
      </c>
      <c r="O66" s="7" t="str">
        <f ca="1">getCodigoBackend(N66,A66,VLOOKUP(N66,setup!$A$8:$H$58,2),VLOOKUP(N66,setup!$A$8:$H$58,3),VLOOKUP(N66,setup!$A$8:$H$58,4),VLOOKUP(N66,setup!$A$8:$H$58,5),VLOOKUP(N66,setup!$A$8:$H$58,6),VLOOKUP(N66,setup!$A$8:$H$58,7), VLOOKUP(0,setup!$A$8:$H$58,2),VLOOKUP(0,setup!$A$8:$H$58,5),VLOOKUP(N66,setup!$A$8:$H$58,8))</f>
        <v>$dto-&gt;dataAtualizacao = Util::getNow();</v>
      </c>
    </row>
    <row r="67" spans="1:15" x14ac:dyDescent="0.25">
      <c r="A67" s="8"/>
      <c r="O67" s="7" t="str">
        <f ca="1">getCodigoBackend(N67,A67,VLOOKUP(N67,setup!$A$8:$H$58,2),VLOOKUP(N67,setup!$A$8:$H$58,3),VLOOKUP(N67,setup!$A$8:$H$58,4),VLOOKUP(N67,setup!$A$8:$H$58,5),VLOOKUP(N67,setup!$A$8:$H$58,6),VLOOKUP(N67,setup!$A$8:$H$58,7), VLOOKUP(0,setup!$A$8:$H$58,2),VLOOKUP(0,setup!$A$8:$H$58,5),VLOOKUP(N67,setup!$A$8:$H$58,8))</f>
        <v/>
      </c>
    </row>
    <row r="68" spans="1:15" x14ac:dyDescent="0.25">
      <c r="A68" s="8"/>
      <c r="O68" s="7" t="str">
        <f ca="1">getCodigoBackend(N68,A68,VLOOKUP(N68,setup!$A$8:$H$58,2),VLOOKUP(N68,setup!$A$8:$H$58,3),VLOOKUP(N68,setup!$A$8:$H$58,4),VLOOKUP(N68,setup!$A$8:$H$58,5),VLOOKUP(N68,setup!$A$8:$H$58,6),VLOOKUP(N68,setup!$A$8:$H$58,7), VLOOKUP(0,setup!$A$8:$H$58,2),VLOOKUP(0,setup!$A$8:$H$58,5),VLOOKUP(N68,setup!$A$8:$H$58,8))</f>
        <v/>
      </c>
    </row>
    <row r="69" spans="1:15" x14ac:dyDescent="0.25">
      <c r="A69" s="8" t="s">
        <v>550</v>
      </c>
      <c r="O69" s="7" t="str">
        <f ca="1">getCodigoBackend(N69,A69,VLOOKUP(N69,setup!$A$8:$H$58,2),VLOOKUP(N69,setup!$A$8:$H$58,3),VLOOKUP(N69,setup!$A$8:$H$58,4),VLOOKUP(N69,setup!$A$8:$H$58,5),VLOOKUP(N69,setup!$A$8:$H$58,6),VLOOKUP(N69,setup!$A$8:$H$58,7), VLOOKUP(0,setup!$A$8:$H$58,2),VLOOKUP(0,setup!$A$8:$H$58,5),VLOOKUP(N69,setup!$A$8:$H$58,8))</f>
        <v>var_dump($dto);</v>
      </c>
    </row>
    <row r="70" spans="1:15" x14ac:dyDescent="0.25">
      <c r="A70" s="8" t="s">
        <v>429</v>
      </c>
      <c r="O70" s="7" t="str">
        <f ca="1">getCodigoBackend(N70,A70,VLOOKUP(N70,setup!$A$8:$H$58,2),VLOOKUP(N70,setup!$A$8:$H$58,3),VLOOKUP(N70,setup!$A$8:$H$58,4),VLOOKUP(N70,setup!$A$8:$H$58,5),VLOOKUP(N70,setup!$A$8:$H$58,6),VLOOKUP(N70,setup!$A$8:$H$58,7), VLOOKUP(0,setup!$A$8:$H$58,2),VLOOKUP(0,setup!$A$8:$H$58,5),VLOOKUP(N70,setup!$A$8:$H$58,8))</f>
        <v>$csi = new CampanhaCashbackResgatePixServiceImpl();</v>
      </c>
    </row>
    <row r="71" spans="1:15" x14ac:dyDescent="0.25">
      <c r="A71" s="3"/>
      <c r="O71" s="7" t="str">
        <f ca="1">getCodigoBackend(N71,A71,VLOOKUP(N71,setup!$A$8:$H$58,2),VLOOKUP(N71,setup!$A$8:$H$58,3),VLOOKUP(N71,setup!$A$8:$H$58,4),VLOOKUP(N71,setup!$A$8:$H$58,5),VLOOKUP(N71,setup!$A$8:$H$58,6),VLOOKUP(N71,setup!$A$8:$H$58,7), VLOOKUP(0,setup!$A$8:$H$58,2),VLOOKUP(0,setup!$A$8:$H$58,5),VLOOKUP(N71,setup!$A$8:$H$58,8))</f>
        <v/>
      </c>
    </row>
    <row r="72" spans="1:15" x14ac:dyDescent="0.25">
      <c r="A72" s="4" t="s">
        <v>431</v>
      </c>
      <c r="O72" s="7" t="str">
        <f ca="1">getCodigoBackend(N72,A72,VLOOKUP(N72,setup!$A$8:$H$58,2),VLOOKUP(N72,setup!$A$8:$H$58,3),VLOOKUP(N72,setup!$A$8:$H$58,4),VLOOKUP(N72,setup!$A$8:$H$58,5),VLOOKUP(N72,setup!$A$8:$H$58,6),VLOOKUP(N72,setup!$A$8:$H$58,7), VLOOKUP(0,setup!$A$8:$H$58,2),VLOOKUP(0,setup!$A$8:$H$58,5),VLOOKUP(N72,setup!$A$8:$H$58,8))</f>
        <v>// Cadastra o registro populado no DTO</v>
      </c>
    </row>
    <row r="73" spans="1:15" x14ac:dyDescent="0.25">
      <c r="A73" s="8" t="s">
        <v>430</v>
      </c>
      <c r="O73" s="7" t="str">
        <f ca="1">getCodigoBackend(N73,A73,VLOOKUP(N73,setup!$A$8:$H$58,2),VLOOKUP(N73,setup!$A$8:$H$58,3),VLOOKUP(N73,setup!$A$8:$H$58,4),VLOOKUP(N73,setup!$A$8:$H$58,5),VLOOKUP(N73,setup!$A$8:$H$58,6),VLOOKUP(N73,setup!$A$8:$H$58,7), VLOOKUP(0,setup!$A$8:$H$58,2),VLOOKUP(0,setup!$A$8:$H$58,5),VLOOKUP(N73,setup!$A$8:$H$58,8))</f>
        <v>$retorno = $csi-&gt;cadastrar($dto);</v>
      </c>
    </row>
    <row r="74" spans="1:15" x14ac:dyDescent="0.25">
      <c r="A74" s="9" t="s">
        <v>930</v>
      </c>
      <c r="O74" s="7" t="str">
        <f ca="1">getCodigoBackend(N74,A74,VLOOKUP(N74,setup!$A$8:$H$58,2),VLOOKUP(N74,setup!$A$8:$H$58,3),VLOOKUP(N74,setup!$A$8:$H$58,4),VLOOKUP(N74,setup!$A$8:$H$58,5),VLOOKUP(N74,setup!$A$8:$H$58,6),VLOOKUP(N74,setup!$A$8:$H$58,7), VLOOKUP(0,setup!$A$8:$H$58,2),VLOOKUP(0,setup!$A$8:$H$58,5),VLOOKUP(N74,setup!$A$8:$H$58,8))</f>
        <v>echo json_encode($retorno);</v>
      </c>
    </row>
    <row r="75" spans="1:15" x14ac:dyDescent="0.25">
      <c r="A75" s="2" t="s">
        <v>29</v>
      </c>
      <c r="O75" s="7" t="str">
        <f ca="1">getCodigoBackend(N75,A75,VLOOKUP(N75,setup!$A$8:$H$58,2),VLOOKUP(N75,setup!$A$8:$H$58,3),VLOOKUP(N75,setup!$A$8:$H$58,4),VLOOKUP(N75,setup!$A$8:$H$58,5),VLOOKUP(N75,setup!$A$8:$H$58,6),VLOOKUP(N75,setup!$A$8:$H$58,7), VLOOKUP(0,setup!$A$8:$H$58,2),VLOOKUP(0,setup!$A$8:$H$58,5),VLOOKUP(N75,setup!$A$8:$H$58,8))</f>
        <v>?&gt;</v>
      </c>
    </row>
    <row r="76" spans="1:15" x14ac:dyDescent="0.25">
      <c r="A76" s="6"/>
      <c r="O76" s="7" t="str">
        <f ca="1">getCodigoBackend(N76,A76,VLOOKUP(N76,setup!$A$8:$H$58,2),VLOOKUP(N76,setup!$A$8:$H$58,3),VLOOKUP(N76,setup!$A$8:$H$58,4),VLOOKUP(N76,setup!$A$8:$H$58,5),VLOOKUP(N76,setup!$A$8:$H$58,6),VLOOKUP(N76,setup!$A$8:$H$58,7), VLOOKUP(0,setup!$A$8:$H$58,2),VLOOKUP(0,setup!$A$8:$H$58,5),VLOOKUP(N76,setup!$A$8:$H$58,8))</f>
        <v/>
      </c>
    </row>
    <row r="77" spans="1:15" x14ac:dyDescent="0.25">
      <c r="A77" s="6"/>
      <c r="O77" t="str">
        <f>SUBSTITUTE(SUBSTITUTE(A77,"${dto}",setup!$C$3),"${pk}",setup!$E$8)</f>
        <v/>
      </c>
    </row>
    <row r="78" spans="1:15" x14ac:dyDescent="0.25">
      <c r="A78" s="6"/>
      <c r="O78" t="str">
        <f>SUBSTITUTE(SUBSTITUTE(A78,"${dto}",setup!$C$3),"${pk}",setup!$E$8)</f>
        <v/>
      </c>
    </row>
    <row r="79" spans="1:15" x14ac:dyDescent="0.25">
      <c r="A79" s="6"/>
      <c r="O79" t="str">
        <f>SUBSTITUTE(SUBSTITUTE(A79,"${dto}",setup!$C$3),"${pk}",setup!$E$8)</f>
        <v/>
      </c>
    </row>
    <row r="80" spans="1:15" x14ac:dyDescent="0.25">
      <c r="A80" s="6"/>
      <c r="O80" t="str">
        <f>SUBSTITUTE(SUBSTITUTE(A80,"${dto}",setup!$C$3),"${pk}",setup!$E$8)</f>
        <v/>
      </c>
    </row>
    <row r="81" spans="1:15" x14ac:dyDescent="0.25">
      <c r="A81" s="6"/>
      <c r="O81" t="str">
        <f>SUBSTITUTE(SUBSTITUTE(A81,"${dto}",setup!$C$3),"${pk}",setup!$E$8)</f>
        <v/>
      </c>
    </row>
    <row r="82" spans="1:15" x14ac:dyDescent="0.25">
      <c r="A82" s="6"/>
      <c r="O82" t="str">
        <f>SUBSTITUTE(SUBSTITUTE(A82,"${dto}",setup!$C$3),"${pk}",setup!$E$8)</f>
        <v/>
      </c>
    </row>
    <row r="83" spans="1:15" x14ac:dyDescent="0.25">
      <c r="A83" s="6"/>
      <c r="O83" t="str">
        <f>SUBSTITUTE(SUBSTITUTE(A83,"${dto}",setup!$C$3),"${pk}",setup!$E$8)</f>
        <v/>
      </c>
    </row>
    <row r="84" spans="1:15" x14ac:dyDescent="0.25">
      <c r="A84" s="6"/>
      <c r="O84" t="str">
        <f>SUBSTITUTE(SUBSTITUTE(A84,"${dto}",setup!$C$3),"${pk}",setup!$E$8)</f>
        <v/>
      </c>
    </row>
    <row r="85" spans="1:15" x14ac:dyDescent="0.25">
      <c r="A85" s="6"/>
      <c r="O85" t="str">
        <f>SUBSTITUTE(SUBSTITUTE(A85,"${dto}",setup!$C$3),"${pk}",setup!$E$8)</f>
        <v/>
      </c>
    </row>
    <row r="86" spans="1:15" x14ac:dyDescent="0.25">
      <c r="A86" s="6"/>
      <c r="O86" t="str">
        <f>SUBSTITUTE(SUBSTITUTE(A86,"${dto}",setup!$C$3),"${pk}",setup!$E$8)</f>
        <v/>
      </c>
    </row>
    <row r="87" spans="1:15" x14ac:dyDescent="0.25">
      <c r="A87" s="6"/>
      <c r="O87" t="str">
        <f>SUBSTITUTE(SUBSTITUTE(A87,"${dto}",setup!$C$3),"${pk}",setup!$E$8)</f>
        <v/>
      </c>
    </row>
    <row r="88" spans="1:15" x14ac:dyDescent="0.25">
      <c r="A88" s="6"/>
      <c r="O88" t="str">
        <f>SUBSTITUTE(SUBSTITUTE(A88,"${dto}",setup!$C$3),"${pk}",setup!$E$8)</f>
        <v/>
      </c>
    </row>
    <row r="89" spans="1:15" x14ac:dyDescent="0.25">
      <c r="A89" s="6"/>
      <c r="O89" t="str">
        <f>SUBSTITUTE(SUBSTITUTE(A89,"${dto}",setup!$C$3),"${pk}",setup!$E$8)</f>
        <v/>
      </c>
    </row>
    <row r="90" spans="1:15" x14ac:dyDescent="0.25">
      <c r="A90" s="6"/>
      <c r="O90" t="str">
        <f>SUBSTITUTE(SUBSTITUTE(A90,"${dto}",setup!$C$3),"${pk}",setup!$E$8)</f>
        <v/>
      </c>
    </row>
    <row r="91" spans="1:15" x14ac:dyDescent="0.25">
      <c r="A91" s="6"/>
      <c r="O91" t="str">
        <f>SUBSTITUTE(SUBSTITUTE(A91,"${dto}",setup!$C$3),"${pk}",setup!$E$8)</f>
        <v/>
      </c>
    </row>
    <row r="92" spans="1:15" x14ac:dyDescent="0.25">
      <c r="A92" s="6"/>
      <c r="O92" t="str">
        <f>SUBSTITUTE(SUBSTITUTE(A92,"${dto}",setup!$C$3),"${pk}",setup!$E$8)</f>
        <v/>
      </c>
    </row>
    <row r="93" spans="1:15" x14ac:dyDescent="0.25">
      <c r="A93" s="6"/>
      <c r="O93" t="str">
        <f>SUBSTITUTE(SUBSTITUTE(A93,"${dto}",setup!$C$3),"${pk}",setup!$E$8)</f>
        <v/>
      </c>
    </row>
    <row r="94" spans="1:15" x14ac:dyDescent="0.25">
      <c r="A94" s="6"/>
      <c r="O94" t="str">
        <f>SUBSTITUTE(SUBSTITUTE(A94,"${dto}",setup!$C$3),"${pk}",setup!$E$8)</f>
        <v/>
      </c>
    </row>
    <row r="95" spans="1:15" x14ac:dyDescent="0.25">
      <c r="A95" s="6"/>
      <c r="O95" t="str">
        <f>SUBSTITUTE(SUBSTITUTE(A95,"${dto}",setup!$C$3),"${pk}",setup!$E$8)</f>
        <v/>
      </c>
    </row>
    <row r="96" spans="1:15" x14ac:dyDescent="0.25">
      <c r="A96" s="6"/>
      <c r="O96" t="str">
        <f>SUBSTITUTE(SUBSTITUTE(A96,"${dto}",setup!$C$3),"${pk}",setup!$E$8)</f>
        <v/>
      </c>
    </row>
    <row r="97" spans="1:15" x14ac:dyDescent="0.25">
      <c r="A97" s="6"/>
      <c r="O97" t="str">
        <f>SUBSTITUTE(SUBSTITUTE(A97,"${dto}",setup!$C$3),"${pk}",setup!$E$8)</f>
        <v/>
      </c>
    </row>
    <row r="98" spans="1:15" x14ac:dyDescent="0.25">
      <c r="A98" s="6"/>
      <c r="O98" t="str">
        <f>SUBSTITUTE(SUBSTITUTE(A98,"${dto}",setup!$C$3),"${pk}",setup!$E$8)</f>
        <v/>
      </c>
    </row>
    <row r="99" spans="1:15" x14ac:dyDescent="0.25">
      <c r="A99" s="6"/>
      <c r="O99" t="str">
        <f>SUBSTITUTE(SUBSTITUTE(A99,"${dto}",setup!$C$3),"${pk}",setup!$E$8)</f>
        <v/>
      </c>
    </row>
    <row r="100" spans="1:15" x14ac:dyDescent="0.25">
      <c r="A100" s="6"/>
      <c r="O100" t="str">
        <f>SUBSTITUTE(SUBSTITUTE(A100,"${dto}",setup!$C$3),"${pk}",setup!$E$8)</f>
        <v/>
      </c>
    </row>
    <row r="101" spans="1:15" x14ac:dyDescent="0.25">
      <c r="A101" s="6"/>
      <c r="O101" t="str">
        <f>SUBSTITUTE(SUBSTITUTE(A101,"${dto}",setup!$C$3),"${pk}",setup!$E$8)</f>
        <v/>
      </c>
    </row>
    <row r="102" spans="1:15" x14ac:dyDescent="0.25">
      <c r="A102" s="6"/>
      <c r="O102" t="str">
        <f>SUBSTITUTE(SUBSTITUTE(A102,"${dto}",setup!$C$3),"${pk}",setup!$E$8)</f>
        <v/>
      </c>
    </row>
    <row r="103" spans="1:15" x14ac:dyDescent="0.25">
      <c r="A103" s="6"/>
      <c r="O103" t="str">
        <f>SUBSTITUTE(SUBSTITUTE(A103,"${dto}",setup!$C$3),"${pk}",setup!$E$8)</f>
        <v/>
      </c>
    </row>
    <row r="104" spans="1:15" x14ac:dyDescent="0.25">
      <c r="A104" s="6"/>
      <c r="O104" t="str">
        <f>SUBSTITUTE(SUBSTITUTE(A104,"${dto}",setup!$C$3),"${pk}",setup!$E$8)</f>
        <v/>
      </c>
    </row>
    <row r="105" spans="1:15" x14ac:dyDescent="0.25">
      <c r="A105" s="6"/>
      <c r="O105" t="str">
        <f>SUBSTITUTE(SUBSTITUTE(A105,"${dto}",setup!$C$3),"${pk}",setup!$E$8)</f>
        <v/>
      </c>
    </row>
    <row r="106" spans="1:15" x14ac:dyDescent="0.25">
      <c r="A106" s="6"/>
      <c r="O106" t="str">
        <f>SUBSTITUTE(SUBSTITUTE(A106,"${dto}",setup!$C$3),"${pk}",setup!$E$8)</f>
        <v/>
      </c>
    </row>
    <row r="107" spans="1:15" x14ac:dyDescent="0.25">
      <c r="A107" s="6"/>
      <c r="O107" t="str">
        <f>SUBSTITUTE(SUBSTITUTE(A107,"${dto}",setup!$C$3),"${pk}",setup!$E$8)</f>
        <v/>
      </c>
    </row>
    <row r="108" spans="1:15" x14ac:dyDescent="0.25">
      <c r="A108" s="6"/>
      <c r="O108" t="str">
        <f>SUBSTITUTE(SUBSTITUTE(A108,"${dto}",setup!$C$3),"${pk}",setup!$E$8)</f>
        <v/>
      </c>
    </row>
    <row r="109" spans="1:15" x14ac:dyDescent="0.25">
      <c r="A109" s="6"/>
      <c r="O109" t="str">
        <f>SUBSTITUTE(SUBSTITUTE(A109,"${dto}",setup!$C$3),"${pk}",setup!$E$8)</f>
        <v/>
      </c>
    </row>
    <row r="110" spans="1:15" x14ac:dyDescent="0.25">
      <c r="A110" s="6"/>
      <c r="O110" t="str">
        <f>SUBSTITUTE(SUBSTITUTE(A110,"${dto}",setup!$C$3),"${pk}",setup!$E$8)</f>
        <v/>
      </c>
    </row>
    <row r="111" spans="1:15" x14ac:dyDescent="0.25">
      <c r="A111" s="6"/>
      <c r="O111" t="str">
        <f>SUBSTITUTE(SUBSTITUTE(A111,"${dto}",setup!$C$3),"${pk}",setup!$E$8)</f>
        <v/>
      </c>
    </row>
    <row r="112" spans="1:15" x14ac:dyDescent="0.25">
      <c r="A112" s="6"/>
      <c r="O112" t="str">
        <f>SUBSTITUTE(SUBSTITUTE(A112,"${dto}",setup!$C$3),"${pk}",setup!$E$8)</f>
        <v/>
      </c>
    </row>
    <row r="113" spans="1:15" x14ac:dyDescent="0.25">
      <c r="A113" s="6"/>
      <c r="O113" t="str">
        <f>SUBSTITUTE(SUBSTITUTE(A113,"${dto}",setup!$C$3),"${pk}",setup!$E$8)</f>
        <v/>
      </c>
    </row>
    <row r="114" spans="1:15" x14ac:dyDescent="0.25">
      <c r="A114" s="6"/>
      <c r="O114" t="str">
        <f>SUBSTITUTE(SUBSTITUTE(A114,"${dto}",setup!$C$3),"${pk}",setup!$E$8)</f>
        <v/>
      </c>
    </row>
    <row r="115" spans="1:15" x14ac:dyDescent="0.25">
      <c r="A115" s="8"/>
      <c r="O115" t="str">
        <f>SUBSTITUTE(SUBSTITUTE(A115,"${dto}",setup!$C$3),"${pk}",setup!$E$8)</f>
        <v/>
      </c>
    </row>
    <row r="116" spans="1:15" x14ac:dyDescent="0.25">
      <c r="A116" s="8"/>
      <c r="O116" t="str">
        <f>SUBSTITUTE(SUBSTITUTE(A116,"${dto}",setup!$C$3),"${pk}",setup!$E$8)</f>
        <v/>
      </c>
    </row>
    <row r="117" spans="1:15" x14ac:dyDescent="0.25">
      <c r="A117" s="8"/>
      <c r="O117" t="str">
        <f>SUBSTITUTE(SUBSTITUTE(A117,"${dto}",setup!$C$3),"${pk}",setup!$E$8)</f>
        <v/>
      </c>
    </row>
    <row r="118" spans="1:15" x14ac:dyDescent="0.25">
      <c r="A118" s="8"/>
      <c r="O118" t="str">
        <f>SUBSTITUTE(SUBSTITUTE(A118,"${dto}",setup!$C$3),"${pk}",setup!$E$8)</f>
        <v/>
      </c>
    </row>
    <row r="119" spans="1:15" x14ac:dyDescent="0.25">
      <c r="A119" s="8"/>
      <c r="O119" t="str">
        <f>SUBSTITUTE(SUBSTITUTE(A119,"${dto}",setup!$C$3),"${pk}",setup!$E$8)</f>
        <v/>
      </c>
    </row>
    <row r="120" spans="1:15" x14ac:dyDescent="0.25">
      <c r="A120" s="3"/>
      <c r="O120" t="str">
        <f>SUBSTITUTE(SUBSTITUTE(A120,"${dto}",setup!$C$3),"${pk}",setup!$E$8)</f>
        <v/>
      </c>
    </row>
    <row r="121" spans="1:15" x14ac:dyDescent="0.25">
      <c r="A121" s="3"/>
      <c r="O121" t="str">
        <f>SUBSTITUTE(SUBSTITUTE(A121,"${dto}",setup!$C$3),"${pk}",setup!$E$8)</f>
        <v/>
      </c>
    </row>
    <row r="122" spans="1:15" x14ac:dyDescent="0.25">
      <c r="A122" s="3"/>
      <c r="O122" t="str">
        <f>SUBSTITUTE(SUBSTITUTE(A122,"${dto}",setup!$C$3),"${pk}",setup!$E$8)</f>
        <v/>
      </c>
    </row>
    <row r="123" spans="1:15" x14ac:dyDescent="0.25">
      <c r="A123" s="3"/>
      <c r="O123" t="str">
        <f>SUBSTITUTE(SUBSTITUTE(A123,"${dto}",setup!$C$3),"${pk}",setup!$E$8)</f>
        <v/>
      </c>
    </row>
    <row r="124" spans="1:15" x14ac:dyDescent="0.25">
      <c r="A124" s="3"/>
      <c r="O124" t="str">
        <f>SUBSTITUTE(SUBSTITUTE(A124,"${dto}",setup!$C$3),"${pk}",setup!$E$8)</f>
        <v/>
      </c>
    </row>
    <row r="125" spans="1:15" x14ac:dyDescent="0.25">
      <c r="A125" s="3"/>
      <c r="O125" t="str">
        <f>SUBSTITUTE(SUBSTITUTE(A125,"${dto}",setup!$C$3),"${pk}",setup!$E$8)</f>
        <v/>
      </c>
    </row>
    <row r="126" spans="1:15" x14ac:dyDescent="0.25">
      <c r="A126" s="3"/>
      <c r="O126" t="str">
        <f>SUBSTITUTE(SUBSTITUTE(A126,"${dto}",setup!$C$3),"${pk}",setup!$E$8)</f>
        <v/>
      </c>
    </row>
    <row r="127" spans="1:15" x14ac:dyDescent="0.25">
      <c r="A127" s="3"/>
      <c r="O127" t="str">
        <f>SUBSTITUTE(SUBSTITUTE(A127,"${dto}",setup!$C$3),"${pk}",setup!$E$8)</f>
        <v/>
      </c>
    </row>
    <row r="128" spans="1:15" x14ac:dyDescent="0.25">
      <c r="A128" s="3"/>
      <c r="O128" t="str">
        <f>SUBSTITUTE(SUBSTITUTE(A128,"${dto}",setup!$C$3),"${pk}",setup!$E$8)</f>
        <v/>
      </c>
    </row>
    <row r="129" spans="1:15" x14ac:dyDescent="0.25">
      <c r="A129" s="3"/>
      <c r="O129" t="str">
        <f>SUBSTITUTE(SUBSTITUTE(A129,"${dto}",setup!$C$3),"${pk}",setup!$E$8)</f>
        <v/>
      </c>
    </row>
    <row r="130" spans="1:15" x14ac:dyDescent="0.25">
      <c r="A130" s="8"/>
      <c r="O130" t="str">
        <f>SUBSTITUTE(SUBSTITUTE(A130,"${dto}",setup!$C$3),"${pk}",setup!$E$8)</f>
        <v/>
      </c>
    </row>
    <row r="131" spans="1:15" x14ac:dyDescent="0.25">
      <c r="A131" s="8"/>
      <c r="O131" t="str">
        <f>SUBSTITUTE(SUBSTITUTE(A131,"${dto}",setup!$C$3),"${pk}",setup!$E$8)</f>
        <v/>
      </c>
    </row>
    <row r="132" spans="1:15" x14ac:dyDescent="0.25">
      <c r="A132" s="8"/>
      <c r="O132" t="str">
        <f>SUBSTITUTE(SUBSTITUTE(A132,"${dto}",setup!$C$3),"${pk}",setup!$E$8)</f>
        <v/>
      </c>
    </row>
    <row r="133" spans="1:15" x14ac:dyDescent="0.25">
      <c r="A133" s="8"/>
      <c r="O133" t="str">
        <f>SUBSTITUTE(SUBSTITUTE(A133,"${dto}",setup!$C$3),"${pk}",setup!$E$8)</f>
        <v/>
      </c>
    </row>
    <row r="134" spans="1:15" x14ac:dyDescent="0.25">
      <c r="A134" s="8"/>
      <c r="O134" t="str">
        <f>SUBSTITUTE(SUBSTITUTE(A134,"${dto}",setup!$C$3),"${pk}",setup!$E$8)</f>
        <v/>
      </c>
    </row>
    <row r="135" spans="1:15" x14ac:dyDescent="0.25">
      <c r="A135" s="8"/>
      <c r="O135" t="str">
        <f>SUBSTITUTE(SUBSTITUTE(A135,"${dto}",setup!$C$3),"${pk}",setup!$E$8)</f>
        <v/>
      </c>
    </row>
    <row r="136" spans="1:15" x14ac:dyDescent="0.25">
      <c r="A136" s="8"/>
      <c r="O136" t="str">
        <f>SUBSTITUTE(SUBSTITUTE(A136,"${dto}",setup!$C$3),"${pk}",setup!$E$8)</f>
        <v/>
      </c>
    </row>
    <row r="137" spans="1:15" x14ac:dyDescent="0.25">
      <c r="A137" s="8"/>
      <c r="O137" t="str">
        <f>SUBSTITUTE(SUBSTITUTE(A137,"${dto}",setup!$C$3),"${pk}",setup!$E$8)</f>
        <v/>
      </c>
    </row>
    <row r="138" spans="1:15" x14ac:dyDescent="0.25">
      <c r="A138" s="3"/>
      <c r="O138" t="str">
        <f>SUBSTITUTE(SUBSTITUTE(A138,"${dto}",setup!$C$3),"${pk}",setup!$E$8)</f>
        <v/>
      </c>
    </row>
    <row r="139" spans="1:15" x14ac:dyDescent="0.25">
      <c r="A139" s="8"/>
      <c r="O139" t="str">
        <f>SUBSTITUTE(SUBSTITUTE(A139,"${dto}",setup!$C$3),"${pk}",setup!$E$8)</f>
        <v/>
      </c>
    </row>
    <row r="140" spans="1:15" x14ac:dyDescent="0.25">
      <c r="A140" s="8"/>
      <c r="O140" t="str">
        <f>SUBSTITUTE(SUBSTITUTE(A140,"${dto}",setup!$C$3),"${pk}",setup!$E$8)</f>
        <v/>
      </c>
    </row>
    <row r="141" spans="1:15" x14ac:dyDescent="0.25">
      <c r="A141" s="9"/>
      <c r="O141" t="str">
        <f>SUBSTITUTE(SUBSTITUTE(A141,"${dto}",setup!$C$3),"${pk}",setup!$E$8)</f>
        <v/>
      </c>
    </row>
    <row r="142" spans="1:15" x14ac:dyDescent="0.25">
      <c r="A142" s="3"/>
      <c r="O142" t="str">
        <f>SUBSTITUTE(SUBSTITUTE(A142,"${dto}",setup!$C$3),"${pk}",setup!$E$8)</f>
        <v/>
      </c>
    </row>
    <row r="143" spans="1:15" x14ac:dyDescent="0.25">
      <c r="A143" s="3"/>
      <c r="O143" t="str">
        <f>SUBSTITUTE(SUBSTITUTE(A143,"${dto}",setup!$C$3),"${pk}",setup!$E$8)</f>
        <v/>
      </c>
    </row>
    <row r="144" spans="1:15" x14ac:dyDescent="0.25">
      <c r="A144" s="3"/>
      <c r="O144" t="str">
        <f>SUBSTITUTE(SUBSTITUTE(A144,"${dto}",setup!$C$3),"${pk}",setup!$E$8)</f>
        <v/>
      </c>
    </row>
    <row r="145" spans="1:15" x14ac:dyDescent="0.25">
      <c r="A145" s="2"/>
      <c r="O145" t="str">
        <f>SUBSTITUTE(SUBSTITUTE(A145,"${dto}",setup!$C$3),"${pk}",setup!$E$8)</f>
        <v/>
      </c>
    </row>
    <row r="146" spans="1:15" x14ac:dyDescent="0.25">
      <c r="A146" s="6"/>
      <c r="O146" t="str">
        <f>SUBSTITUTE(SUBSTITUTE(A146,"${dto}",setup!$C$3),"${pk}",setup!$E$8)</f>
        <v/>
      </c>
    </row>
    <row r="147" spans="1:15" x14ac:dyDescent="0.25">
      <c r="A147" s="6"/>
      <c r="O147" t="str">
        <f>SUBSTITUTE(SUBSTITUTE(A147,"${dto}",setup!$C$3),"${pk}",setup!$E$8)</f>
        <v/>
      </c>
    </row>
    <row r="148" spans="1:15" x14ac:dyDescent="0.25">
      <c r="A148" s="6"/>
      <c r="O148" t="str">
        <f>SUBSTITUTE(SUBSTITUTE(A148,"${dto}",setup!$C$3),"${pk}",setup!$E$8)</f>
        <v/>
      </c>
    </row>
    <row r="149" spans="1:15" x14ac:dyDescent="0.25">
      <c r="A149" s="6"/>
      <c r="O149" t="str">
        <f>SUBSTITUTE(SUBSTITUTE(A149,"${dto}",setup!$C$3),"${pk}",setup!$E$8)</f>
        <v/>
      </c>
    </row>
    <row r="150" spans="1:15" x14ac:dyDescent="0.25">
      <c r="A150" s="6"/>
      <c r="O150" t="str">
        <f>SUBSTITUTE(SUBSTITUTE(A150,"${dto}",setup!$C$3),"${pk}",setup!$E$8)</f>
        <v/>
      </c>
    </row>
    <row r="151" spans="1:15" x14ac:dyDescent="0.25">
      <c r="A151" s="6"/>
      <c r="O151" t="str">
        <f>SUBSTITUTE(SUBSTITUTE(A151,"${dto}",setup!$C$3),"${pk}",setup!$E$8)</f>
        <v/>
      </c>
    </row>
    <row r="152" spans="1:15" x14ac:dyDescent="0.25">
      <c r="A152" s="6"/>
      <c r="O152" t="str">
        <f>SUBSTITUTE(SUBSTITUTE(A152,"${dto}",setup!$C$3),"${pk}",setup!$E$8)</f>
        <v/>
      </c>
    </row>
    <row r="153" spans="1:15" x14ac:dyDescent="0.25">
      <c r="A153" s="6"/>
      <c r="O153" t="str">
        <f>SUBSTITUTE(SUBSTITUTE(A153,"${dto}",setup!$C$3),"${pk}",setup!$E$8)</f>
        <v/>
      </c>
    </row>
    <row r="154" spans="1:15" x14ac:dyDescent="0.25">
      <c r="A154" s="6"/>
      <c r="O154" t="str">
        <f>SUBSTITUTE(SUBSTITUTE(A154,"${dto}",setup!$C$3),"${pk}",setup!$E$8)</f>
        <v/>
      </c>
    </row>
    <row r="155" spans="1:15" x14ac:dyDescent="0.25">
      <c r="A155" s="6"/>
      <c r="O155" t="str">
        <f>SUBSTITUTE(SUBSTITUTE(A155,"${dto}",setup!$C$3),"${pk}",setup!$E$8)</f>
        <v/>
      </c>
    </row>
    <row r="156" spans="1:15" x14ac:dyDescent="0.25">
      <c r="O156" t="str">
        <f>SUBSTITUTE(SUBSTITUTE(A156,"${dto}",setup!$C$3),"${pk}",setup!$E$8)</f>
        <v/>
      </c>
    </row>
    <row r="157" spans="1:15" x14ac:dyDescent="0.25">
      <c r="A157" s="6"/>
      <c r="O157" t="str">
        <f>SUBSTITUTE(SUBSTITUTE(A157,"${dto}",setup!$C$3),"${pk}",setup!$E$8)</f>
        <v/>
      </c>
    </row>
    <row r="158" spans="1:15" x14ac:dyDescent="0.25">
      <c r="A158" s="6"/>
      <c r="O158" t="str">
        <f>SUBSTITUTE(SUBSTITUTE(A158,"${dto}",setup!$C$3),"${pk}",setup!$E$8)</f>
        <v/>
      </c>
    </row>
    <row r="159" spans="1:15" x14ac:dyDescent="0.25">
      <c r="A159" s="6"/>
      <c r="O159" t="str">
        <f>SUBSTITUTE(SUBSTITUTE(A159,"${dto}",setup!$C$3),"${pk}",setup!$E$8)</f>
        <v/>
      </c>
    </row>
    <row r="160" spans="1:15" x14ac:dyDescent="0.25">
      <c r="A160" s="6"/>
      <c r="O160" t="str">
        <f>SUBSTITUTE(SUBSTITUTE(A160,"${dto}",setup!$C$3),"${pk}",setup!$E$8)</f>
        <v/>
      </c>
    </row>
    <row r="161" spans="1:15" x14ac:dyDescent="0.25">
      <c r="A161" s="6"/>
      <c r="O161" t="str">
        <f>SUBSTITUTE(SUBSTITUTE(A161,"${dto}",setup!$C$3),"${pk}",setup!$E$8)</f>
        <v/>
      </c>
    </row>
    <row r="162" spans="1:15" x14ac:dyDescent="0.25">
      <c r="A162" s="6"/>
      <c r="O162" t="str">
        <f>SUBSTITUTE(SUBSTITUTE(A162,"${dto}",setup!$C$3),"${pk}",setup!$E$8)</f>
        <v/>
      </c>
    </row>
    <row r="163" spans="1:15" x14ac:dyDescent="0.25">
      <c r="A163" s="6"/>
      <c r="O163" t="str">
        <f>SUBSTITUTE(SUBSTITUTE(A163,"${dto}",setup!$C$3),"${pk}",setup!$E$8)</f>
        <v/>
      </c>
    </row>
    <row r="164" spans="1:15" x14ac:dyDescent="0.25">
      <c r="O164" t="str">
        <f>SUBSTITUTE(SUBSTITUTE(A164,"${dto}",setup!$C$3),"${pk}",setup!$E$8)</f>
        <v/>
      </c>
    </row>
    <row r="165" spans="1:15" x14ac:dyDescent="0.25">
      <c r="A165" s="6"/>
      <c r="O165" t="str">
        <f>SUBSTITUTE(SUBSTITUTE(A165,"${dto}",setup!$C$3),"${pk}",setup!$E$8)</f>
        <v/>
      </c>
    </row>
    <row r="166" spans="1:15" x14ac:dyDescent="0.25">
      <c r="A166" s="6"/>
    </row>
    <row r="167" spans="1:15" x14ac:dyDescent="0.25">
      <c r="A167" s="6"/>
    </row>
    <row r="168" spans="1:15" x14ac:dyDescent="0.25">
      <c r="A168" s="6"/>
    </row>
    <row r="169" spans="1:15" x14ac:dyDescent="0.25">
      <c r="A169" s="6"/>
    </row>
    <row r="170" spans="1:15" x14ac:dyDescent="0.25">
      <c r="A170" s="6"/>
      <c r="O170" t="str">
        <f>SUBSTITUTE(SUBSTITUTE(A170,"${dto}",setup!$C$3),"${pk}",setup!$E$8)</f>
        <v/>
      </c>
    </row>
    <row r="171" spans="1:15" x14ac:dyDescent="0.25">
      <c r="A171" s="6"/>
      <c r="O171" t="str">
        <f>SUBSTITUTE(SUBSTITUTE(A171,"${dto}",setup!$C$3),"${pk}",setup!$E$8)</f>
        <v/>
      </c>
    </row>
    <row r="172" spans="1:15" x14ac:dyDescent="0.25">
      <c r="A172" s="6"/>
      <c r="O172" t="str">
        <f>SUBSTITUTE(SUBSTITUTE(A172,"${dto}",setup!$C$3),"${pk}",setup!$E$8)</f>
        <v/>
      </c>
    </row>
    <row r="173" spans="1:15" x14ac:dyDescent="0.25">
      <c r="A173" s="6"/>
      <c r="O173" t="str">
        <f>SUBSTITUTE(SUBSTITUTE(A173,"${dto}",setup!$C$3),"${pk}",setup!$E$8)</f>
        <v/>
      </c>
    </row>
    <row r="174" spans="1:15" x14ac:dyDescent="0.25">
      <c r="A174" s="6"/>
      <c r="O174" t="str">
        <f>SUBSTITUTE(SUBSTITUTE(A174,"${dto}",setup!$C$3),"${pk}",setup!$E$8)</f>
        <v/>
      </c>
    </row>
    <row r="175" spans="1:15" x14ac:dyDescent="0.25">
      <c r="O175" t="str">
        <f>SUBSTITUTE(SUBSTITUTE(A175,"${dto}",setup!$C$3),"${pk}",setup!$E$8)</f>
        <v/>
      </c>
    </row>
    <row r="176" spans="1:15" x14ac:dyDescent="0.25">
      <c r="A176" s="6"/>
      <c r="O176" t="str">
        <f>SUBSTITUTE(SUBSTITUTE(A176,"${dto}",setup!$C$3),"${pk}",setup!$E$8)</f>
        <v/>
      </c>
    </row>
    <row r="177" spans="1:1" x14ac:dyDescent="0.25">
      <c r="A177" s="6"/>
    </row>
    <row r="178" spans="1:1" x14ac:dyDescent="0.25">
      <c r="A178" s="6"/>
    </row>
    <row r="179" spans="1:1" x14ac:dyDescent="0.25">
      <c r="A179" s="6"/>
    </row>
    <row r="180" spans="1:1" x14ac:dyDescent="0.25">
      <c r="A180" s="6"/>
    </row>
    <row r="181" spans="1:1" x14ac:dyDescent="0.25">
      <c r="A181" s="6"/>
    </row>
    <row r="182" spans="1:1" x14ac:dyDescent="0.25">
      <c r="A182" s="6"/>
    </row>
    <row r="183" spans="1:1" x14ac:dyDescent="0.25">
      <c r="A183" s="6"/>
    </row>
    <row r="184" spans="1:1" x14ac:dyDescent="0.25">
      <c r="A184" s="6"/>
    </row>
    <row r="186" spans="1:1" x14ac:dyDescent="0.25">
      <c r="A186" s="6"/>
    </row>
    <row r="187" spans="1:1" x14ac:dyDescent="0.25">
      <c r="A187" s="6"/>
    </row>
    <row r="189" spans="1:1" x14ac:dyDescent="0.25">
      <c r="A189" s="6"/>
    </row>
    <row r="190" spans="1:1" x14ac:dyDescent="0.25">
      <c r="A190" s="6"/>
    </row>
    <row r="191" spans="1:1" x14ac:dyDescent="0.25">
      <c r="A191" s="6"/>
    </row>
    <row r="192" spans="1:1" x14ac:dyDescent="0.25">
      <c r="A192" s="6"/>
    </row>
    <row r="193" spans="1:1" x14ac:dyDescent="0.25">
      <c r="A193" s="6"/>
    </row>
    <row r="194" spans="1:1" x14ac:dyDescent="0.25">
      <c r="A194" s="6"/>
    </row>
    <row r="195" spans="1:1" x14ac:dyDescent="0.25">
      <c r="A195" s="6"/>
    </row>
    <row r="196" spans="1:1" x14ac:dyDescent="0.25">
      <c r="A196" s="6"/>
    </row>
    <row r="197" spans="1:1" x14ac:dyDescent="0.25">
      <c r="A197" s="6"/>
    </row>
    <row r="199" spans="1:1" x14ac:dyDescent="0.25">
      <c r="A199" s="6"/>
    </row>
    <row r="200" spans="1:1" x14ac:dyDescent="0.25">
      <c r="A200" s="6"/>
    </row>
    <row r="201" spans="1:1" x14ac:dyDescent="0.25">
      <c r="A201" s="6"/>
    </row>
    <row r="202" spans="1:1" x14ac:dyDescent="0.25">
      <c r="A202" s="6"/>
    </row>
    <row r="203" spans="1:1" x14ac:dyDescent="0.25">
      <c r="A203" s="6"/>
    </row>
    <row r="205" spans="1:1" x14ac:dyDescent="0.25">
      <c r="A205" s="6"/>
    </row>
    <row r="206" spans="1:1" x14ac:dyDescent="0.25">
      <c r="A206" s="6"/>
    </row>
    <row r="207" spans="1:1" x14ac:dyDescent="0.25">
      <c r="A207" s="6"/>
    </row>
    <row r="208" spans="1:1" x14ac:dyDescent="0.25">
      <c r="A208" s="6"/>
    </row>
    <row r="210" spans="1:1" x14ac:dyDescent="0.25">
      <c r="A210" s="6"/>
    </row>
    <row r="211" spans="1:1" x14ac:dyDescent="0.25">
      <c r="A211" s="6"/>
    </row>
    <row r="212" spans="1:1" x14ac:dyDescent="0.25">
      <c r="A212" s="6"/>
    </row>
    <row r="213" spans="1:1" x14ac:dyDescent="0.25">
      <c r="A213" s="6"/>
    </row>
    <row r="215" spans="1:1" x14ac:dyDescent="0.25">
      <c r="A215" s="6"/>
    </row>
    <row r="216" spans="1:1" x14ac:dyDescent="0.25">
      <c r="A216" s="6"/>
    </row>
    <row r="217" spans="1:1" x14ac:dyDescent="0.25">
      <c r="A217" s="6"/>
    </row>
    <row r="218" spans="1:1" x14ac:dyDescent="0.25">
      <c r="A218" s="6"/>
    </row>
    <row r="219" spans="1:1" x14ac:dyDescent="0.25">
      <c r="A219" s="6"/>
    </row>
    <row r="220" spans="1:1" x14ac:dyDescent="0.25">
      <c r="A220" s="6"/>
    </row>
    <row r="221" spans="1:1" x14ac:dyDescent="0.25">
      <c r="A221" s="6"/>
    </row>
    <row r="222" spans="1:1" x14ac:dyDescent="0.25">
      <c r="A222" s="6"/>
    </row>
    <row r="223" spans="1:1" x14ac:dyDescent="0.25">
      <c r="A223" s="6"/>
    </row>
    <row r="225" spans="1:1" x14ac:dyDescent="0.25">
      <c r="A225" s="6"/>
    </row>
    <row r="226" spans="1:1" x14ac:dyDescent="0.25">
      <c r="A226" s="6"/>
    </row>
    <row r="227" spans="1:1" x14ac:dyDescent="0.25">
      <c r="A227" s="6"/>
    </row>
    <row r="228" spans="1:1" x14ac:dyDescent="0.25">
      <c r="A228" s="2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54756-4426-4025-9D09-E8124FF0520D}">
  <sheetPr codeName="Sheet12"/>
  <dimension ref="A3:O321"/>
  <sheetViews>
    <sheetView workbookViewId="0">
      <selection activeCell="O1" sqref="O1:O1048576"/>
    </sheetView>
  </sheetViews>
  <sheetFormatPr defaultRowHeight="15" x14ac:dyDescent="0.25"/>
  <sheetData>
    <row r="3" spans="1:15" x14ac:dyDescent="0.25">
      <c r="A3" t="s">
        <v>30</v>
      </c>
    </row>
    <row r="7" spans="1:15" x14ac:dyDescent="0.25">
      <c r="O7" s="7" t="str">
        <f ca="1">getCodigoBackend(N7,A7,VLOOKUP(N7,setup!$A$8:$H$58,2),VLOOKUP(N7,setup!$A$8:$H$58,3),VLOOKUP(N7,setup!$A$8:$H$58,4),VLOOKUP(N7,setup!$A$8:$H$58,5),VLOOKUP(N7,setup!$A$8:$H$58,6),VLOOKUP(N7,setup!$A$8:$H$58,7), VLOOKUP(0,setup!$A$8:$H$58,2),VLOOKUP(0,setup!$A$8:$H$58,5),VLOOKUP(N7,setup!$A$8:$H$58,8))</f>
        <v/>
      </c>
    </row>
    <row r="8" spans="1:15" x14ac:dyDescent="0.25">
      <c r="A8" t="s">
        <v>467</v>
      </c>
      <c r="O8" s="7" t="str">
        <f ca="1">getCodigoBackend(N8,A8,VLOOKUP(N8,setup!$A$8:$H$58,2),VLOOKUP(N8,setup!$A$8:$H$58,3),VLOOKUP(N8,setup!$A$8:$H$58,4),VLOOKUP(N8,setup!$A$8:$H$58,5),VLOOKUP(N8,setup!$A$8:$H$58,6),VLOOKUP(N8,setup!$A$8:$H$58,7), VLOOKUP(0,setup!$A$8:$H$58,2),VLOOKUP(0,setup!$A$8:$H$58,5),VLOOKUP(N8,setup!$A$8:$H$58,8))</f>
        <v>// Copyright (c) 2019 Julio Vitorino. Todos os direitos reservados.</v>
      </c>
    </row>
    <row r="9" spans="1:15" x14ac:dyDescent="0.25">
      <c r="O9" s="7" t="str">
        <f ca="1">getCodigoBackend(N9,A9,VLOOKUP(N9,setup!$A$8:$H$58,2),VLOOKUP(N9,setup!$A$8:$H$58,3),VLOOKUP(N9,setup!$A$8:$H$58,4),VLOOKUP(N9,setup!$A$8:$H$58,5),VLOOKUP(N9,setup!$A$8:$H$58,6),VLOOKUP(N9,setup!$A$8:$H$58,7), VLOOKUP(0,setup!$A$8:$H$58,2),VLOOKUP(0,setup!$A$8:$H$58,5),VLOOKUP(N9,setup!$A$8:$H$58,8))</f>
        <v/>
      </c>
    </row>
    <row r="10" spans="1:15" x14ac:dyDescent="0.25">
      <c r="O10" s="7" t="str">
        <f ca="1">getCodigoBackend(N10,A10,VLOOKUP(N10,setup!$A$8:$H$58,2),VLOOKUP(N10,setup!$A$8:$H$58,3),VLOOKUP(N10,setup!$A$8:$H$58,4),VLOOKUP(N10,setup!$A$8:$H$58,5),VLOOKUP(N10,setup!$A$8:$H$58,6),VLOOKUP(N10,setup!$A$8:$H$58,7), VLOOKUP(0,setup!$A$8:$H$58,2),VLOOKUP(0,setup!$A$8:$H$58,5),VLOOKUP(N10,setup!$A$8:$H$58,8))</f>
        <v/>
      </c>
    </row>
    <row r="11" spans="1:15" x14ac:dyDescent="0.25">
      <c r="A11" s="2"/>
      <c r="O11" s="7" t="str">
        <f ca="1">getCodigoBackend(N11,A11,VLOOKUP(N11,setup!$A$8:$H$58,2),VLOOKUP(N11,setup!$A$8:$H$58,3),VLOOKUP(N11,setup!$A$8:$H$58,4),VLOOKUP(N11,setup!$A$8:$H$58,5),VLOOKUP(N11,setup!$A$8:$H$58,6),VLOOKUP(N11,setup!$A$8:$H$58,7), VLOOKUP(0,setup!$A$8:$H$58,2),VLOOKUP(0,setup!$A$8:$H$58,5),VLOOKUP(N11,setup!$A$8:$H$58,8))</f>
        <v/>
      </c>
    </row>
    <row r="12" spans="1:15" x14ac:dyDescent="0.25">
      <c r="A12" s="4"/>
      <c r="O12" s="7" t="str">
        <f ca="1">getCodigoBackend(N12,A12,VLOOKUP(N12,setup!$A$8:$H$58,2),VLOOKUP(N12,setup!$A$8:$H$58,3),VLOOKUP(N12,setup!$A$8:$H$58,4),VLOOKUP(N12,setup!$A$8:$H$58,5),VLOOKUP(N12,setup!$A$8:$H$58,6),VLOOKUP(N12,setup!$A$8:$H$58,7), VLOOKUP(0,setup!$A$8:$H$58,2),VLOOKUP(0,setup!$A$8:$H$58,5),VLOOKUP(N12,setup!$A$8:$H$58,8))</f>
        <v/>
      </c>
    </row>
    <row r="13" spans="1:15" x14ac:dyDescent="0.25">
      <c r="A13" s="5" t="s">
        <v>468</v>
      </c>
      <c r="O13" s="7" t="str">
        <f ca="1">getCodigoBackend(N13,A13,VLOOKUP(N13,setup!$A$8:$H$58,2),VLOOKUP(N13,setup!$A$8:$H$58,3),VLOOKUP(N13,setup!$A$8:$H$58,4),VLOOKUP(N13,setup!$A$8:$H$58,5),VLOOKUP(N13,setup!$A$8:$H$58,6),VLOOKUP(N13,setup!$A$8:$H$58,7), VLOOKUP(0,setup!$A$8:$H$58,2),VLOOKUP(0,setup!$A$8:$H$58,5),VLOOKUP(N13,setup!$A$8:$H$58,8))</f>
        <v>class CampanhaCashbackResgatePixVOPost {</v>
      </c>
    </row>
    <row r="14" spans="1:15" x14ac:dyDescent="0.25">
      <c r="A14" s="4" t="s">
        <v>447</v>
      </c>
      <c r="O14" s="7" t="str">
        <f ca="1">getCodigoBackend(N14,A14,VLOOKUP(N14,setup!$A$8:$H$58,2),VLOOKUP(N14,setup!$A$8:$H$58,3),VLOOKUP(N14,setup!$A$8:$H$58,4),VLOOKUP(N14,setup!$A$8:$H$58,5),VLOOKUP(N14,setup!$A$8:$H$58,6),VLOOKUP(N14,setup!$A$8:$H$58,7), VLOOKUP(0,setup!$A$8:$H$58,2),VLOOKUP(0,setup!$A$8:$H$58,5),VLOOKUP(N14,setup!$A$8:$H$58,8))</f>
        <v xml:space="preserve">  final String tokenid;</v>
      </c>
    </row>
    <row r="15" spans="1:15" x14ac:dyDescent="0.25">
      <c r="A15" s="4" t="s">
        <v>578</v>
      </c>
      <c r="N15">
        <v>0</v>
      </c>
      <c r="O15" s="7" t="str">
        <f ca="1">getCodigoBackend(N15,A15,VLOOKUP(N15,setup!$A$8:$H$58,2),VLOOKUP(N15,setup!$A$8:$H$58,3),VLOOKUP(N15,setup!$A$8:$H$58,4),VLOOKUP(N15,setup!$A$8:$H$58,5),VLOOKUP(N15,setup!$A$8:$H$58,6),VLOOKUP(N15,setup!$A$8:$H$58,7), VLOOKUP(0,setup!$A$8:$H$58,2),VLOOKUP(0,setup!$A$8:$H$58,5),VLOOKUP(N15,setup!$A$8:$H$58,8))</f>
        <v xml:space="preserve">  final String id;</v>
      </c>
    </row>
    <row r="16" spans="1:15" x14ac:dyDescent="0.25">
      <c r="A16" s="4" t="s">
        <v>578</v>
      </c>
      <c r="N16">
        <f>N15+1</f>
        <v>1</v>
      </c>
      <c r="O16" s="7" t="str">
        <f ca="1">getCodigoBackend(N16,A16,VLOOKUP(N16,setup!$A$8:$H$58,2),VLOOKUP(N16,setup!$A$8:$H$58,3),VLOOKUP(N16,setup!$A$8:$H$58,4),VLOOKUP(N16,setup!$A$8:$H$58,5),VLOOKUP(N16,setup!$A$8:$H$58,6),VLOOKUP(N16,setup!$A$8:$H$58,7), VLOOKUP(0,setup!$A$8:$H$58,2),VLOOKUP(0,setup!$A$8:$H$58,5),VLOOKUP(N16,setup!$A$8:$H$58,8))</f>
        <v xml:space="preserve">  final String idCampanhaCashback;</v>
      </c>
    </row>
    <row r="17" spans="1:15" x14ac:dyDescent="0.25">
      <c r="A17" s="4" t="s">
        <v>578</v>
      </c>
      <c r="N17">
        <f t="shared" ref="N17:N65" si="0">N16+1</f>
        <v>2</v>
      </c>
      <c r="O17" s="7" t="str">
        <f ca="1">getCodigoBackend(N17,A17,VLOOKUP(N17,setup!$A$8:$H$58,2),VLOOKUP(N17,setup!$A$8:$H$58,3),VLOOKUP(N17,setup!$A$8:$H$58,4),VLOOKUP(N17,setup!$A$8:$H$58,5),VLOOKUP(N17,setup!$A$8:$H$58,6),VLOOKUP(N17,setup!$A$8:$H$58,7), VLOOKUP(0,setup!$A$8:$H$58,2),VLOOKUP(0,setup!$A$8:$H$58,5),VLOOKUP(N17,setup!$A$8:$H$58,8))</f>
        <v xml:space="preserve">  final String idUsuarioSolicitante;</v>
      </c>
    </row>
    <row r="18" spans="1:15" x14ac:dyDescent="0.25">
      <c r="A18" s="4" t="s">
        <v>578</v>
      </c>
      <c r="N18">
        <f t="shared" si="0"/>
        <v>3</v>
      </c>
      <c r="O18" s="7" t="str">
        <f ca="1">getCodigoBackend(N18,A18,VLOOKUP(N18,setup!$A$8:$H$58,2),VLOOKUP(N18,setup!$A$8:$H$58,3),VLOOKUP(N18,setup!$A$8:$H$58,4),VLOOKUP(N18,setup!$A$8:$H$58,5),VLOOKUP(N18,setup!$A$8:$H$58,6),VLOOKUP(N18,setup!$A$8:$H$58,7), VLOOKUP(0,setup!$A$8:$H$58,2),VLOOKUP(0,setup!$A$8:$H$58,5),VLOOKUP(N18,setup!$A$8:$H$58,8))</f>
        <v xml:space="preserve">  final String tipoChavePix;</v>
      </c>
    </row>
    <row r="19" spans="1:15" x14ac:dyDescent="0.25">
      <c r="A19" s="4" t="s">
        <v>578</v>
      </c>
      <c r="N19">
        <f t="shared" si="0"/>
        <v>4</v>
      </c>
      <c r="O19" s="7" t="str">
        <f ca="1">getCodigoBackend(N19,A19,VLOOKUP(N19,setup!$A$8:$H$58,2),VLOOKUP(N19,setup!$A$8:$H$58,3),VLOOKUP(N19,setup!$A$8:$H$58,4),VLOOKUP(N19,setup!$A$8:$H$58,5),VLOOKUP(N19,setup!$A$8:$H$58,6),VLOOKUP(N19,setup!$A$8:$H$58,7), VLOOKUP(0,setup!$A$8:$H$58,2),VLOOKUP(0,setup!$A$8:$H$58,5),VLOOKUP(N19,setup!$A$8:$H$58,8))</f>
        <v xml:space="preserve">  final String chavePix;</v>
      </c>
    </row>
    <row r="20" spans="1:15" x14ac:dyDescent="0.25">
      <c r="A20" s="4" t="s">
        <v>578</v>
      </c>
      <c r="N20">
        <f t="shared" si="0"/>
        <v>5</v>
      </c>
      <c r="O20" s="7" t="str">
        <f ca="1">getCodigoBackend(N20,A20,VLOOKUP(N20,setup!$A$8:$H$58,2),VLOOKUP(N20,setup!$A$8:$H$58,3),VLOOKUP(N20,setup!$A$8:$H$58,4),VLOOKUP(N20,setup!$A$8:$H$58,5),VLOOKUP(N20,setup!$A$8:$H$58,6),VLOOKUP(N20,setup!$A$8:$H$58,7), VLOOKUP(0,setup!$A$8:$H$58,2),VLOOKUP(0,setup!$A$8:$H$58,5),VLOOKUP(N20,setup!$A$8:$H$58,8))</f>
        <v xml:space="preserve">  final String valorResgate;</v>
      </c>
    </row>
    <row r="21" spans="1:15" x14ac:dyDescent="0.25">
      <c r="A21" s="4" t="s">
        <v>578</v>
      </c>
      <c r="N21">
        <f t="shared" si="0"/>
        <v>6</v>
      </c>
      <c r="O21" s="7" t="str">
        <f ca="1">getCodigoBackend(N21,A21,VLOOKUP(N21,setup!$A$8:$H$58,2),VLOOKUP(N21,setup!$A$8:$H$58,3),VLOOKUP(N21,setup!$A$8:$H$58,4),VLOOKUP(N21,setup!$A$8:$H$58,5),VLOOKUP(N21,setup!$A$8:$H$58,6),VLOOKUP(N21,setup!$A$8:$H$58,7), VLOOKUP(0,setup!$A$8:$H$58,2),VLOOKUP(0,setup!$A$8:$H$58,5),VLOOKUP(N21,setup!$A$8:$H$58,8))</f>
        <v xml:space="preserve">  final String autenticacaoBco;</v>
      </c>
    </row>
    <row r="22" spans="1:15" x14ac:dyDescent="0.25">
      <c r="A22" s="4" t="s">
        <v>578</v>
      </c>
      <c r="N22">
        <f t="shared" si="0"/>
        <v>7</v>
      </c>
      <c r="O22" s="7" t="str">
        <f ca="1">getCodigoBackend(N22,A22,VLOOKUP(N22,setup!$A$8:$H$58,2),VLOOKUP(N22,setup!$A$8:$H$58,3),VLOOKUP(N22,setup!$A$8:$H$58,4),VLOOKUP(N22,setup!$A$8:$H$58,5),VLOOKUP(N22,setup!$A$8:$H$58,6),VLOOKUP(N22,setup!$A$8:$H$58,7), VLOOKUP(0,setup!$A$8:$H$58,2),VLOOKUP(0,setup!$A$8:$H$58,5),VLOOKUP(N22,setup!$A$8:$H$58,8))</f>
        <v xml:space="preserve">  final String estagioRealTime;</v>
      </c>
    </row>
    <row r="23" spans="1:15" x14ac:dyDescent="0.25">
      <c r="A23" s="4" t="s">
        <v>578</v>
      </c>
      <c r="N23">
        <f t="shared" si="0"/>
        <v>8</v>
      </c>
      <c r="O23" s="7" t="str">
        <f ca="1">getCodigoBackend(N23,A23,VLOOKUP(N23,setup!$A$8:$H$58,2),VLOOKUP(N23,setup!$A$8:$H$58,3),VLOOKUP(N23,setup!$A$8:$H$58,4),VLOOKUP(N23,setup!$A$8:$H$58,5),VLOOKUP(N23,setup!$A$8:$H$58,6),VLOOKUP(N23,setup!$A$8:$H$58,7), VLOOKUP(0,setup!$A$8:$H$58,2),VLOOKUP(0,setup!$A$8:$H$58,5),VLOOKUP(N23,setup!$A$8:$H$58,8))</f>
        <v xml:space="preserve">  final String dtEstagioAnalise;</v>
      </c>
    </row>
    <row r="24" spans="1:15" x14ac:dyDescent="0.25">
      <c r="A24" s="4" t="s">
        <v>578</v>
      </c>
      <c r="N24">
        <f t="shared" si="0"/>
        <v>9</v>
      </c>
      <c r="O24" s="7" t="str">
        <f ca="1">getCodigoBackend(N24,A24,VLOOKUP(N24,setup!$A$8:$H$58,2),VLOOKUP(N24,setup!$A$8:$H$58,3),VLOOKUP(N24,setup!$A$8:$H$58,4),VLOOKUP(N24,setup!$A$8:$H$58,5),VLOOKUP(N24,setup!$A$8:$H$58,6),VLOOKUP(N24,setup!$A$8:$H$58,7), VLOOKUP(0,setup!$A$8:$H$58,2),VLOOKUP(0,setup!$A$8:$H$58,5),VLOOKUP(N24,setup!$A$8:$H$58,8))</f>
        <v xml:space="preserve">  final String dtEstagioFinanceiro;</v>
      </c>
    </row>
    <row r="25" spans="1:15" x14ac:dyDescent="0.25">
      <c r="A25" s="4" t="s">
        <v>578</v>
      </c>
      <c r="N25">
        <f t="shared" si="0"/>
        <v>10</v>
      </c>
      <c r="O25" s="7" t="str">
        <f ca="1">getCodigoBackend(N25,A25,VLOOKUP(N25,setup!$A$8:$H$58,2),VLOOKUP(N25,setup!$A$8:$H$58,3),VLOOKUP(N25,setup!$A$8:$H$58,4),VLOOKUP(N25,setup!$A$8:$H$58,5),VLOOKUP(N25,setup!$A$8:$H$58,6),VLOOKUP(N25,setup!$A$8:$H$58,7), VLOOKUP(0,setup!$A$8:$H$58,2),VLOOKUP(0,setup!$A$8:$H$58,5),VLOOKUP(N25,setup!$A$8:$H$58,8))</f>
        <v xml:space="preserve">  final String dtEstagioErro;</v>
      </c>
    </row>
    <row r="26" spans="1:15" x14ac:dyDescent="0.25">
      <c r="A26" s="4" t="s">
        <v>578</v>
      </c>
      <c r="N26">
        <f t="shared" si="0"/>
        <v>11</v>
      </c>
      <c r="O26" s="7" t="str">
        <f ca="1">getCodigoBackend(N26,A26,VLOOKUP(N26,setup!$A$8:$H$58,2),VLOOKUP(N26,setup!$A$8:$H$58,3),VLOOKUP(N26,setup!$A$8:$H$58,4),VLOOKUP(N26,setup!$A$8:$H$58,5),VLOOKUP(N26,setup!$A$8:$H$58,6),VLOOKUP(N26,setup!$A$8:$H$58,7), VLOOKUP(0,setup!$A$8:$H$58,2),VLOOKUP(0,setup!$A$8:$H$58,5),VLOOKUP(N26,setup!$A$8:$H$58,8))</f>
        <v xml:space="preserve">  final String dtEstagioTranfBco;</v>
      </c>
    </row>
    <row r="27" spans="1:15" x14ac:dyDescent="0.25">
      <c r="A27" s="4" t="s">
        <v>578</v>
      </c>
      <c r="N27">
        <f t="shared" si="0"/>
        <v>12</v>
      </c>
      <c r="O27" s="7" t="str">
        <f ca="1">getCodigoBackend(N27,A27,VLOOKUP(N27,setup!$A$8:$H$58,2),VLOOKUP(N27,setup!$A$8:$H$58,3),VLOOKUP(N27,setup!$A$8:$H$58,4),VLOOKUP(N27,setup!$A$8:$H$58,5),VLOOKUP(N27,setup!$A$8:$H$58,6),VLOOKUP(N27,setup!$A$8:$H$58,7), VLOOKUP(0,setup!$A$8:$H$58,2),VLOOKUP(0,setup!$A$8:$H$58,5),VLOOKUP(N27,setup!$A$8:$H$58,8))</f>
        <v xml:space="preserve">  final String txtLivreEstagioRT;</v>
      </c>
    </row>
    <row r="28" spans="1:15" x14ac:dyDescent="0.25">
      <c r="A28" s="4" t="s">
        <v>578</v>
      </c>
      <c r="N28">
        <f t="shared" si="0"/>
        <v>13</v>
      </c>
      <c r="O28" s="7" t="e">
        <f>getCodigoBackend(N28,A28,VLOOKUP(N28,setup!$A$8:$H$58,2),VLOOKUP(N28,setup!$A$8:$H$58,3),VLOOKUP(N28,setup!$A$8:$H$58,4),VLOOKUP(N28,setup!$A$8:$H$58,5),VLOOKUP(N28,setup!$A$8:$H$58,6),VLOOKUP(N28,setup!$A$8:$H$58,7), VLOOKUP(0,setup!$A$8:$H$58,2),VLOOKUP(0,setup!$A$8:$H$58,5),VLOOKUP(N28,setup!$A$8:$H$58,8))</f>
        <v>#VALUE!</v>
      </c>
    </row>
    <row r="29" spans="1:15" x14ac:dyDescent="0.25">
      <c r="A29" s="4" t="s">
        <v>578</v>
      </c>
      <c r="N29">
        <f t="shared" si="0"/>
        <v>14</v>
      </c>
      <c r="O29" s="7" t="e">
        <f>getCodigoBackend(N29,A29,VLOOKUP(N29,setup!$A$8:$H$58,2),VLOOKUP(N29,setup!$A$8:$H$58,3),VLOOKUP(N29,setup!$A$8:$H$58,4),VLOOKUP(N29,setup!$A$8:$H$58,5),VLOOKUP(N29,setup!$A$8:$H$58,6),VLOOKUP(N29,setup!$A$8:$H$58,7), VLOOKUP(0,setup!$A$8:$H$58,2),VLOOKUP(0,setup!$A$8:$H$58,5),VLOOKUP(N29,setup!$A$8:$H$58,8))</f>
        <v>#VALUE!</v>
      </c>
    </row>
    <row r="30" spans="1:15" x14ac:dyDescent="0.25">
      <c r="A30" s="4" t="s">
        <v>578</v>
      </c>
      <c r="N30">
        <f t="shared" si="0"/>
        <v>15</v>
      </c>
      <c r="O30" s="7" t="e">
        <f>getCodigoBackend(N30,A30,VLOOKUP(N30,setup!$A$8:$H$58,2),VLOOKUP(N30,setup!$A$8:$H$58,3),VLOOKUP(N30,setup!$A$8:$H$58,4),VLOOKUP(N30,setup!$A$8:$H$58,5),VLOOKUP(N30,setup!$A$8:$H$58,6),VLOOKUP(N30,setup!$A$8:$H$58,7), VLOOKUP(0,setup!$A$8:$H$58,2),VLOOKUP(0,setup!$A$8:$H$58,5),VLOOKUP(N30,setup!$A$8:$H$58,8))</f>
        <v>#VALUE!</v>
      </c>
    </row>
    <row r="31" spans="1:15" x14ac:dyDescent="0.25">
      <c r="A31" s="4" t="s">
        <v>578</v>
      </c>
      <c r="N31">
        <f t="shared" si="0"/>
        <v>16</v>
      </c>
      <c r="O31" s="7" t="e">
        <f>getCodigoBackend(N31,A31,VLOOKUP(N31,setup!$A$8:$H$58,2),VLOOKUP(N31,setup!$A$8:$H$58,3),VLOOKUP(N31,setup!$A$8:$H$58,4),VLOOKUP(N31,setup!$A$8:$H$58,5),VLOOKUP(N31,setup!$A$8:$H$58,6),VLOOKUP(N31,setup!$A$8:$H$58,7), VLOOKUP(0,setup!$A$8:$H$58,2),VLOOKUP(0,setup!$A$8:$H$58,5),VLOOKUP(N31,setup!$A$8:$H$58,8))</f>
        <v>#VALUE!</v>
      </c>
    </row>
    <row r="32" spans="1:15" x14ac:dyDescent="0.25">
      <c r="A32" s="4" t="s">
        <v>578</v>
      </c>
      <c r="N32">
        <f t="shared" si="0"/>
        <v>17</v>
      </c>
      <c r="O32" s="7" t="e">
        <f>getCodigoBackend(N32,A32,VLOOKUP(N32,setup!$A$8:$H$58,2),VLOOKUP(N32,setup!$A$8:$H$58,3),VLOOKUP(N32,setup!$A$8:$H$58,4),VLOOKUP(N32,setup!$A$8:$H$58,5),VLOOKUP(N32,setup!$A$8:$H$58,6),VLOOKUP(N32,setup!$A$8:$H$58,7), VLOOKUP(0,setup!$A$8:$H$58,2),VLOOKUP(0,setup!$A$8:$H$58,5),VLOOKUP(N32,setup!$A$8:$H$58,8))</f>
        <v>#VALUE!</v>
      </c>
    </row>
    <row r="33" spans="1:15" x14ac:dyDescent="0.25">
      <c r="A33" s="4" t="s">
        <v>578</v>
      </c>
      <c r="N33">
        <f t="shared" si="0"/>
        <v>18</v>
      </c>
      <c r="O33" s="7" t="e">
        <f>getCodigoBackend(N33,A33,VLOOKUP(N33,setup!$A$8:$H$58,2),VLOOKUP(N33,setup!$A$8:$H$58,3),VLOOKUP(N33,setup!$A$8:$H$58,4),VLOOKUP(N33,setup!$A$8:$H$58,5),VLOOKUP(N33,setup!$A$8:$H$58,6),VLOOKUP(N33,setup!$A$8:$H$58,7), VLOOKUP(0,setup!$A$8:$H$58,2),VLOOKUP(0,setup!$A$8:$H$58,5),VLOOKUP(N33,setup!$A$8:$H$58,8))</f>
        <v>#VALUE!</v>
      </c>
    </row>
    <row r="34" spans="1:15" x14ac:dyDescent="0.25">
      <c r="A34" s="4" t="s">
        <v>578</v>
      </c>
      <c r="N34">
        <f t="shared" si="0"/>
        <v>19</v>
      </c>
      <c r="O34" s="7" t="e">
        <f>getCodigoBackend(N34,A34,VLOOKUP(N34,setup!$A$8:$H$58,2),VLOOKUP(N34,setup!$A$8:$H$58,3),VLOOKUP(N34,setup!$A$8:$H$58,4),VLOOKUP(N34,setup!$A$8:$H$58,5),VLOOKUP(N34,setup!$A$8:$H$58,6),VLOOKUP(N34,setup!$A$8:$H$58,7), VLOOKUP(0,setup!$A$8:$H$58,2),VLOOKUP(0,setup!$A$8:$H$58,5),VLOOKUP(N34,setup!$A$8:$H$58,8))</f>
        <v>#VALUE!</v>
      </c>
    </row>
    <row r="35" spans="1:15" x14ac:dyDescent="0.25">
      <c r="A35" s="4" t="s">
        <v>578</v>
      </c>
      <c r="N35">
        <f t="shared" si="0"/>
        <v>20</v>
      </c>
      <c r="O35" s="7" t="e">
        <f>getCodigoBackend(N35,A35,VLOOKUP(N35,setup!$A$8:$H$58,2),VLOOKUP(N35,setup!$A$8:$H$58,3),VLOOKUP(N35,setup!$A$8:$H$58,4),VLOOKUP(N35,setup!$A$8:$H$58,5),VLOOKUP(N35,setup!$A$8:$H$58,6),VLOOKUP(N35,setup!$A$8:$H$58,7), VLOOKUP(0,setup!$A$8:$H$58,2),VLOOKUP(0,setup!$A$8:$H$58,5),VLOOKUP(N35,setup!$A$8:$H$58,8))</f>
        <v>#VALUE!</v>
      </c>
    </row>
    <row r="36" spans="1:15" x14ac:dyDescent="0.25">
      <c r="A36" s="4" t="s">
        <v>578</v>
      </c>
      <c r="N36">
        <f t="shared" si="0"/>
        <v>21</v>
      </c>
      <c r="O36" s="7" t="e">
        <f>getCodigoBackend(N36,A36,VLOOKUP(N36,setup!$A$8:$H$58,2),VLOOKUP(N36,setup!$A$8:$H$58,3),VLOOKUP(N36,setup!$A$8:$H$58,4),VLOOKUP(N36,setup!$A$8:$H$58,5),VLOOKUP(N36,setup!$A$8:$H$58,6),VLOOKUP(N36,setup!$A$8:$H$58,7), VLOOKUP(0,setup!$A$8:$H$58,2),VLOOKUP(0,setup!$A$8:$H$58,5),VLOOKUP(N36,setup!$A$8:$H$58,8))</f>
        <v>#VALUE!</v>
      </c>
    </row>
    <row r="37" spans="1:15" x14ac:dyDescent="0.25">
      <c r="A37" s="4" t="s">
        <v>578</v>
      </c>
      <c r="N37">
        <f t="shared" si="0"/>
        <v>22</v>
      </c>
      <c r="O37" s="7" t="e">
        <f>getCodigoBackend(N37,A37,VLOOKUP(N37,setup!$A$8:$H$58,2),VLOOKUP(N37,setup!$A$8:$H$58,3),VLOOKUP(N37,setup!$A$8:$H$58,4),VLOOKUP(N37,setup!$A$8:$H$58,5),VLOOKUP(N37,setup!$A$8:$H$58,6),VLOOKUP(N37,setup!$A$8:$H$58,7), VLOOKUP(0,setup!$A$8:$H$58,2),VLOOKUP(0,setup!$A$8:$H$58,5),VLOOKUP(N37,setup!$A$8:$H$58,8))</f>
        <v>#VALUE!</v>
      </c>
    </row>
    <row r="38" spans="1:15" x14ac:dyDescent="0.25">
      <c r="A38" s="4" t="s">
        <v>578</v>
      </c>
      <c r="N38">
        <f t="shared" si="0"/>
        <v>23</v>
      </c>
      <c r="O38" s="7" t="e">
        <f>getCodigoBackend(N38,A38,VLOOKUP(N38,setup!$A$8:$H$58,2),VLOOKUP(N38,setup!$A$8:$H$58,3),VLOOKUP(N38,setup!$A$8:$H$58,4),VLOOKUP(N38,setup!$A$8:$H$58,5),VLOOKUP(N38,setup!$A$8:$H$58,6),VLOOKUP(N38,setup!$A$8:$H$58,7), VLOOKUP(0,setup!$A$8:$H$58,2),VLOOKUP(0,setup!$A$8:$H$58,5),VLOOKUP(N38,setup!$A$8:$H$58,8))</f>
        <v>#VALUE!</v>
      </c>
    </row>
    <row r="39" spans="1:15" x14ac:dyDescent="0.25">
      <c r="A39" s="4" t="s">
        <v>578</v>
      </c>
      <c r="N39">
        <f t="shared" si="0"/>
        <v>24</v>
      </c>
      <c r="O39" s="7" t="e">
        <f>getCodigoBackend(N39,A39,VLOOKUP(N39,setup!$A$8:$H$58,2),VLOOKUP(N39,setup!$A$8:$H$58,3),VLOOKUP(N39,setup!$A$8:$H$58,4),VLOOKUP(N39,setup!$A$8:$H$58,5),VLOOKUP(N39,setup!$A$8:$H$58,6),VLOOKUP(N39,setup!$A$8:$H$58,7), VLOOKUP(0,setup!$A$8:$H$58,2),VLOOKUP(0,setup!$A$8:$H$58,5),VLOOKUP(N39,setup!$A$8:$H$58,8))</f>
        <v>#VALUE!</v>
      </c>
    </row>
    <row r="40" spans="1:15" x14ac:dyDescent="0.25">
      <c r="A40" s="4" t="s">
        <v>578</v>
      </c>
      <c r="N40">
        <f t="shared" si="0"/>
        <v>25</v>
      </c>
      <c r="O40" s="7" t="e">
        <f>getCodigoBackend(N40,A40,VLOOKUP(N40,setup!$A$8:$H$58,2),VLOOKUP(N40,setup!$A$8:$H$58,3),VLOOKUP(N40,setup!$A$8:$H$58,4),VLOOKUP(N40,setup!$A$8:$H$58,5),VLOOKUP(N40,setup!$A$8:$H$58,6),VLOOKUP(N40,setup!$A$8:$H$58,7), VLOOKUP(0,setup!$A$8:$H$58,2),VLOOKUP(0,setup!$A$8:$H$58,5),VLOOKUP(N40,setup!$A$8:$H$58,8))</f>
        <v>#VALUE!</v>
      </c>
    </row>
    <row r="41" spans="1:15" x14ac:dyDescent="0.25">
      <c r="A41" s="4" t="s">
        <v>578</v>
      </c>
      <c r="N41">
        <f t="shared" si="0"/>
        <v>26</v>
      </c>
      <c r="O41" s="7" t="e">
        <f>getCodigoBackend(N41,A41,VLOOKUP(N41,setup!$A$8:$H$58,2),VLOOKUP(N41,setup!$A$8:$H$58,3),VLOOKUP(N41,setup!$A$8:$H$58,4),VLOOKUP(N41,setup!$A$8:$H$58,5),VLOOKUP(N41,setup!$A$8:$H$58,6),VLOOKUP(N41,setup!$A$8:$H$58,7), VLOOKUP(0,setup!$A$8:$H$58,2),VLOOKUP(0,setup!$A$8:$H$58,5),VLOOKUP(N41,setup!$A$8:$H$58,8))</f>
        <v>#VALUE!</v>
      </c>
    </row>
    <row r="42" spans="1:15" x14ac:dyDescent="0.25">
      <c r="A42" s="4" t="s">
        <v>578</v>
      </c>
      <c r="N42">
        <f t="shared" si="0"/>
        <v>27</v>
      </c>
      <c r="O42" s="7" t="e">
        <f>getCodigoBackend(N42,A42,VLOOKUP(N42,setup!$A$8:$H$58,2),VLOOKUP(N42,setup!$A$8:$H$58,3),VLOOKUP(N42,setup!$A$8:$H$58,4),VLOOKUP(N42,setup!$A$8:$H$58,5),VLOOKUP(N42,setup!$A$8:$H$58,6),VLOOKUP(N42,setup!$A$8:$H$58,7), VLOOKUP(0,setup!$A$8:$H$58,2),VLOOKUP(0,setup!$A$8:$H$58,5),VLOOKUP(N42,setup!$A$8:$H$58,8))</f>
        <v>#VALUE!</v>
      </c>
    </row>
    <row r="43" spans="1:15" x14ac:dyDescent="0.25">
      <c r="A43" s="4" t="s">
        <v>578</v>
      </c>
      <c r="N43">
        <f t="shared" si="0"/>
        <v>28</v>
      </c>
      <c r="O43" s="7" t="e">
        <f>getCodigoBackend(N43,A43,VLOOKUP(N43,setup!$A$8:$H$58,2),VLOOKUP(N43,setup!$A$8:$H$58,3),VLOOKUP(N43,setup!$A$8:$H$58,4),VLOOKUP(N43,setup!$A$8:$H$58,5),VLOOKUP(N43,setup!$A$8:$H$58,6),VLOOKUP(N43,setup!$A$8:$H$58,7), VLOOKUP(0,setup!$A$8:$H$58,2),VLOOKUP(0,setup!$A$8:$H$58,5),VLOOKUP(N43,setup!$A$8:$H$58,8))</f>
        <v>#VALUE!</v>
      </c>
    </row>
    <row r="44" spans="1:15" x14ac:dyDescent="0.25">
      <c r="A44" s="4" t="s">
        <v>578</v>
      </c>
      <c r="N44">
        <f t="shared" si="0"/>
        <v>29</v>
      </c>
      <c r="O44" s="7" t="e">
        <f>getCodigoBackend(N44,A44,VLOOKUP(N44,setup!$A$8:$H$58,2),VLOOKUP(N44,setup!$A$8:$H$58,3),VLOOKUP(N44,setup!$A$8:$H$58,4),VLOOKUP(N44,setup!$A$8:$H$58,5),VLOOKUP(N44,setup!$A$8:$H$58,6),VLOOKUP(N44,setup!$A$8:$H$58,7), VLOOKUP(0,setup!$A$8:$H$58,2),VLOOKUP(0,setup!$A$8:$H$58,5),VLOOKUP(N44,setup!$A$8:$H$58,8))</f>
        <v>#VALUE!</v>
      </c>
    </row>
    <row r="45" spans="1:15" x14ac:dyDescent="0.25">
      <c r="A45" s="4" t="s">
        <v>578</v>
      </c>
      <c r="N45">
        <f t="shared" si="0"/>
        <v>30</v>
      </c>
      <c r="O45" s="7" t="e">
        <f>getCodigoBackend(N45,A45,VLOOKUP(N45,setup!$A$8:$H$58,2),VLOOKUP(N45,setup!$A$8:$H$58,3),VLOOKUP(N45,setup!$A$8:$H$58,4),VLOOKUP(N45,setup!$A$8:$H$58,5),VLOOKUP(N45,setup!$A$8:$H$58,6),VLOOKUP(N45,setup!$A$8:$H$58,7), VLOOKUP(0,setup!$A$8:$H$58,2),VLOOKUP(0,setup!$A$8:$H$58,5),VLOOKUP(N45,setup!$A$8:$H$58,8))</f>
        <v>#VALUE!</v>
      </c>
    </row>
    <row r="46" spans="1:15" x14ac:dyDescent="0.25">
      <c r="A46" s="4" t="s">
        <v>578</v>
      </c>
      <c r="N46">
        <f t="shared" si="0"/>
        <v>31</v>
      </c>
      <c r="O46" s="7" t="e">
        <f>getCodigoBackend(N46,A46,VLOOKUP(N46,setup!$A$8:$H$58,2),VLOOKUP(N46,setup!$A$8:$H$58,3),VLOOKUP(N46,setup!$A$8:$H$58,4),VLOOKUP(N46,setup!$A$8:$H$58,5),VLOOKUP(N46,setup!$A$8:$H$58,6),VLOOKUP(N46,setup!$A$8:$H$58,7), VLOOKUP(0,setup!$A$8:$H$58,2),VLOOKUP(0,setup!$A$8:$H$58,5),VLOOKUP(N46,setup!$A$8:$H$58,8))</f>
        <v>#VALUE!</v>
      </c>
    </row>
    <row r="47" spans="1:15" x14ac:dyDescent="0.25">
      <c r="A47" s="4" t="s">
        <v>578</v>
      </c>
      <c r="N47">
        <f t="shared" si="0"/>
        <v>32</v>
      </c>
      <c r="O47" s="7" t="e">
        <f>getCodigoBackend(N47,A47,VLOOKUP(N47,setup!$A$8:$H$58,2),VLOOKUP(N47,setup!$A$8:$H$58,3),VLOOKUP(N47,setup!$A$8:$H$58,4),VLOOKUP(N47,setup!$A$8:$H$58,5),VLOOKUP(N47,setup!$A$8:$H$58,6),VLOOKUP(N47,setup!$A$8:$H$58,7), VLOOKUP(0,setup!$A$8:$H$58,2),VLOOKUP(0,setup!$A$8:$H$58,5),VLOOKUP(N47,setup!$A$8:$H$58,8))</f>
        <v>#VALUE!</v>
      </c>
    </row>
    <row r="48" spans="1:15" x14ac:dyDescent="0.25">
      <c r="A48" s="4" t="s">
        <v>578</v>
      </c>
      <c r="N48">
        <f t="shared" si="0"/>
        <v>33</v>
      </c>
      <c r="O48" s="7" t="e">
        <f>getCodigoBackend(N48,A48,VLOOKUP(N48,setup!$A$8:$H$58,2),VLOOKUP(N48,setup!$A$8:$H$58,3),VLOOKUP(N48,setup!$A$8:$H$58,4),VLOOKUP(N48,setup!$A$8:$H$58,5),VLOOKUP(N48,setup!$A$8:$H$58,6),VLOOKUP(N48,setup!$A$8:$H$58,7), VLOOKUP(0,setup!$A$8:$H$58,2),VLOOKUP(0,setup!$A$8:$H$58,5),VLOOKUP(N48,setup!$A$8:$H$58,8))</f>
        <v>#VALUE!</v>
      </c>
    </row>
    <row r="49" spans="1:15" x14ac:dyDescent="0.25">
      <c r="A49" s="4" t="s">
        <v>578</v>
      </c>
      <c r="N49">
        <f t="shared" si="0"/>
        <v>34</v>
      </c>
      <c r="O49" s="7" t="e">
        <f>getCodigoBackend(N49,A49,VLOOKUP(N49,setup!$A$8:$H$58,2),VLOOKUP(N49,setup!$A$8:$H$58,3),VLOOKUP(N49,setup!$A$8:$H$58,4),VLOOKUP(N49,setup!$A$8:$H$58,5),VLOOKUP(N49,setup!$A$8:$H$58,6),VLOOKUP(N49,setup!$A$8:$H$58,7), VLOOKUP(0,setup!$A$8:$H$58,2),VLOOKUP(0,setup!$A$8:$H$58,5),VLOOKUP(N49,setup!$A$8:$H$58,8))</f>
        <v>#VALUE!</v>
      </c>
    </row>
    <row r="50" spans="1:15" x14ac:dyDescent="0.25">
      <c r="A50" s="4" t="s">
        <v>578</v>
      </c>
      <c r="N50">
        <f t="shared" si="0"/>
        <v>35</v>
      </c>
      <c r="O50" s="7" t="e">
        <f>getCodigoBackend(N50,A50,VLOOKUP(N50,setup!$A$8:$H$58,2),VLOOKUP(N50,setup!$A$8:$H$58,3),VLOOKUP(N50,setup!$A$8:$H$58,4),VLOOKUP(N50,setup!$A$8:$H$58,5),VLOOKUP(N50,setup!$A$8:$H$58,6),VLOOKUP(N50,setup!$A$8:$H$58,7), VLOOKUP(0,setup!$A$8:$H$58,2),VLOOKUP(0,setup!$A$8:$H$58,5),VLOOKUP(N50,setup!$A$8:$H$58,8))</f>
        <v>#VALUE!</v>
      </c>
    </row>
    <row r="51" spans="1:15" x14ac:dyDescent="0.25">
      <c r="A51" s="4" t="s">
        <v>578</v>
      </c>
      <c r="N51">
        <f t="shared" si="0"/>
        <v>36</v>
      </c>
      <c r="O51" s="7" t="e">
        <f>getCodigoBackend(N51,A51,VLOOKUP(N51,setup!$A$8:$H$58,2),VLOOKUP(N51,setup!$A$8:$H$58,3),VLOOKUP(N51,setup!$A$8:$H$58,4),VLOOKUP(N51,setup!$A$8:$H$58,5),VLOOKUP(N51,setup!$A$8:$H$58,6),VLOOKUP(N51,setup!$A$8:$H$58,7), VLOOKUP(0,setup!$A$8:$H$58,2),VLOOKUP(0,setup!$A$8:$H$58,5),VLOOKUP(N51,setup!$A$8:$H$58,8))</f>
        <v>#VALUE!</v>
      </c>
    </row>
    <row r="52" spans="1:15" x14ac:dyDescent="0.25">
      <c r="A52" s="4" t="s">
        <v>578</v>
      </c>
      <c r="N52">
        <f t="shared" si="0"/>
        <v>37</v>
      </c>
      <c r="O52" s="7" t="e">
        <f>getCodigoBackend(N52,A52,VLOOKUP(N52,setup!$A$8:$H$58,2),VLOOKUP(N52,setup!$A$8:$H$58,3),VLOOKUP(N52,setup!$A$8:$H$58,4),VLOOKUP(N52,setup!$A$8:$H$58,5),VLOOKUP(N52,setup!$A$8:$H$58,6),VLOOKUP(N52,setup!$A$8:$H$58,7), VLOOKUP(0,setup!$A$8:$H$58,2),VLOOKUP(0,setup!$A$8:$H$58,5),VLOOKUP(N52,setup!$A$8:$H$58,8))</f>
        <v>#VALUE!</v>
      </c>
    </row>
    <row r="53" spans="1:15" x14ac:dyDescent="0.25">
      <c r="A53" s="4" t="s">
        <v>578</v>
      </c>
      <c r="N53">
        <f t="shared" si="0"/>
        <v>38</v>
      </c>
      <c r="O53" s="7" t="e">
        <f>getCodigoBackend(N53,A53,VLOOKUP(N53,setup!$A$8:$H$58,2),VLOOKUP(N53,setup!$A$8:$H$58,3),VLOOKUP(N53,setup!$A$8:$H$58,4),VLOOKUP(N53,setup!$A$8:$H$58,5),VLOOKUP(N53,setup!$A$8:$H$58,6),VLOOKUP(N53,setup!$A$8:$H$58,7), VLOOKUP(0,setup!$A$8:$H$58,2),VLOOKUP(0,setup!$A$8:$H$58,5),VLOOKUP(N53,setup!$A$8:$H$58,8))</f>
        <v>#VALUE!</v>
      </c>
    </row>
    <row r="54" spans="1:15" x14ac:dyDescent="0.25">
      <c r="A54" s="4" t="s">
        <v>578</v>
      </c>
      <c r="N54">
        <f t="shared" si="0"/>
        <v>39</v>
      </c>
      <c r="O54" s="7" t="e">
        <f>getCodigoBackend(N54,A54,VLOOKUP(N54,setup!$A$8:$H$58,2),VLOOKUP(N54,setup!$A$8:$H$58,3),VLOOKUP(N54,setup!$A$8:$H$58,4),VLOOKUP(N54,setup!$A$8:$H$58,5),VLOOKUP(N54,setup!$A$8:$H$58,6),VLOOKUP(N54,setup!$A$8:$H$58,7), VLOOKUP(0,setup!$A$8:$H$58,2),VLOOKUP(0,setup!$A$8:$H$58,5),VLOOKUP(N54,setup!$A$8:$H$58,8))</f>
        <v>#VALUE!</v>
      </c>
    </row>
    <row r="55" spans="1:15" x14ac:dyDescent="0.25">
      <c r="A55" s="4" t="s">
        <v>578</v>
      </c>
      <c r="N55">
        <f t="shared" si="0"/>
        <v>40</v>
      </c>
      <c r="O55" s="7" t="e">
        <f>getCodigoBackend(N55,A55,VLOOKUP(N55,setup!$A$8:$H$58,2),VLOOKUP(N55,setup!$A$8:$H$58,3),VLOOKUP(N55,setup!$A$8:$H$58,4),VLOOKUP(N55,setup!$A$8:$H$58,5),VLOOKUP(N55,setup!$A$8:$H$58,6),VLOOKUP(N55,setup!$A$8:$H$58,7), VLOOKUP(0,setup!$A$8:$H$58,2),VLOOKUP(0,setup!$A$8:$H$58,5),VLOOKUP(N55,setup!$A$8:$H$58,8))</f>
        <v>#VALUE!</v>
      </c>
    </row>
    <row r="56" spans="1:15" x14ac:dyDescent="0.25">
      <c r="A56" s="4" t="s">
        <v>578</v>
      </c>
      <c r="N56">
        <f t="shared" si="0"/>
        <v>41</v>
      </c>
      <c r="O56" s="7" t="e">
        <f>getCodigoBackend(N56,A56,VLOOKUP(N56,setup!$A$8:$H$58,2),VLOOKUP(N56,setup!$A$8:$H$58,3),VLOOKUP(N56,setup!$A$8:$H$58,4),VLOOKUP(N56,setup!$A$8:$H$58,5),VLOOKUP(N56,setup!$A$8:$H$58,6),VLOOKUP(N56,setup!$A$8:$H$58,7), VLOOKUP(0,setup!$A$8:$H$58,2),VLOOKUP(0,setup!$A$8:$H$58,5),VLOOKUP(N56,setup!$A$8:$H$58,8))</f>
        <v>#VALUE!</v>
      </c>
    </row>
    <row r="57" spans="1:15" x14ac:dyDescent="0.25">
      <c r="A57" s="4" t="s">
        <v>578</v>
      </c>
      <c r="N57">
        <f t="shared" si="0"/>
        <v>42</v>
      </c>
      <c r="O57" s="7" t="e">
        <f>getCodigoBackend(N57,A57,VLOOKUP(N57,setup!$A$8:$H$58,2),VLOOKUP(N57,setup!$A$8:$H$58,3),VLOOKUP(N57,setup!$A$8:$H$58,4),VLOOKUP(N57,setup!$A$8:$H$58,5),VLOOKUP(N57,setup!$A$8:$H$58,6),VLOOKUP(N57,setup!$A$8:$H$58,7), VLOOKUP(0,setup!$A$8:$H$58,2),VLOOKUP(0,setup!$A$8:$H$58,5),VLOOKUP(N57,setup!$A$8:$H$58,8))</f>
        <v>#VALUE!</v>
      </c>
    </row>
    <row r="58" spans="1:15" x14ac:dyDescent="0.25">
      <c r="A58" s="4" t="s">
        <v>578</v>
      </c>
      <c r="N58">
        <f t="shared" si="0"/>
        <v>43</v>
      </c>
      <c r="O58" s="7" t="e">
        <f>getCodigoBackend(N58,A58,VLOOKUP(N58,setup!$A$8:$H$58,2),VLOOKUP(N58,setup!$A$8:$H$58,3),VLOOKUP(N58,setup!$A$8:$H$58,4),VLOOKUP(N58,setup!$A$8:$H$58,5),VLOOKUP(N58,setup!$A$8:$H$58,6),VLOOKUP(N58,setup!$A$8:$H$58,7), VLOOKUP(0,setup!$A$8:$H$58,2),VLOOKUP(0,setup!$A$8:$H$58,5),VLOOKUP(N58,setup!$A$8:$H$58,8))</f>
        <v>#VALUE!</v>
      </c>
    </row>
    <row r="59" spans="1:15" x14ac:dyDescent="0.25">
      <c r="A59" s="4" t="s">
        <v>578</v>
      </c>
      <c r="N59">
        <f t="shared" si="0"/>
        <v>44</v>
      </c>
      <c r="O59" s="7" t="e">
        <f>getCodigoBackend(N59,A59,VLOOKUP(N59,setup!$A$8:$H$58,2),VLOOKUP(N59,setup!$A$8:$H$58,3),VLOOKUP(N59,setup!$A$8:$H$58,4),VLOOKUP(N59,setup!$A$8:$H$58,5),VLOOKUP(N59,setup!$A$8:$H$58,6),VLOOKUP(N59,setup!$A$8:$H$58,7), VLOOKUP(0,setup!$A$8:$H$58,2),VLOOKUP(0,setup!$A$8:$H$58,5),VLOOKUP(N59,setup!$A$8:$H$58,8))</f>
        <v>#VALUE!</v>
      </c>
    </row>
    <row r="60" spans="1:15" x14ac:dyDescent="0.25">
      <c r="A60" s="4" t="s">
        <v>578</v>
      </c>
      <c r="N60">
        <f t="shared" si="0"/>
        <v>45</v>
      </c>
      <c r="O60" s="7" t="e">
        <f>getCodigoBackend(N60,A60,VLOOKUP(N60,setup!$A$8:$H$58,2),VLOOKUP(N60,setup!$A$8:$H$58,3),VLOOKUP(N60,setup!$A$8:$H$58,4),VLOOKUP(N60,setup!$A$8:$H$58,5),VLOOKUP(N60,setup!$A$8:$H$58,6),VLOOKUP(N60,setup!$A$8:$H$58,7), VLOOKUP(0,setup!$A$8:$H$58,2),VLOOKUP(0,setup!$A$8:$H$58,5),VLOOKUP(N60,setup!$A$8:$H$58,8))</f>
        <v>#VALUE!</v>
      </c>
    </row>
    <row r="61" spans="1:15" x14ac:dyDescent="0.25">
      <c r="A61" s="4" t="s">
        <v>578</v>
      </c>
      <c r="N61">
        <f t="shared" si="0"/>
        <v>46</v>
      </c>
      <c r="O61" s="7" t="e">
        <f>getCodigoBackend(N61,A61,VLOOKUP(N61,setup!$A$8:$H$58,2),VLOOKUP(N61,setup!$A$8:$H$58,3),VLOOKUP(N61,setup!$A$8:$H$58,4),VLOOKUP(N61,setup!$A$8:$H$58,5),VLOOKUP(N61,setup!$A$8:$H$58,6),VLOOKUP(N61,setup!$A$8:$H$58,7), VLOOKUP(0,setup!$A$8:$H$58,2),VLOOKUP(0,setup!$A$8:$H$58,5),VLOOKUP(N61,setup!$A$8:$H$58,8))</f>
        <v>#VALUE!</v>
      </c>
    </row>
    <row r="62" spans="1:15" x14ac:dyDescent="0.25">
      <c r="A62" s="4" t="s">
        <v>578</v>
      </c>
      <c r="N62">
        <f t="shared" si="0"/>
        <v>47</v>
      </c>
      <c r="O62" s="7" t="e">
        <f>getCodigoBackend(N62,A62,VLOOKUP(N62,setup!$A$8:$H$58,2),VLOOKUP(N62,setup!$A$8:$H$58,3),VLOOKUP(N62,setup!$A$8:$H$58,4),VLOOKUP(N62,setup!$A$8:$H$58,5),VLOOKUP(N62,setup!$A$8:$H$58,6),VLOOKUP(N62,setup!$A$8:$H$58,7), VLOOKUP(0,setup!$A$8:$H$58,2),VLOOKUP(0,setup!$A$8:$H$58,5),VLOOKUP(N62,setup!$A$8:$H$58,8))</f>
        <v>#VALUE!</v>
      </c>
    </row>
    <row r="63" spans="1:15" x14ac:dyDescent="0.25">
      <c r="A63" s="4" t="s">
        <v>578</v>
      </c>
      <c r="N63">
        <f t="shared" si="0"/>
        <v>48</v>
      </c>
      <c r="O63" s="7" t="str">
        <f ca="1">getCodigoBackend(N63,A63,VLOOKUP(N63,setup!$A$8:$H$58,2),VLOOKUP(N63,setup!$A$8:$H$58,3),VLOOKUP(N63,setup!$A$8:$H$58,4),VLOOKUP(N63,setup!$A$8:$H$58,5),VLOOKUP(N63,setup!$A$8:$H$58,6),VLOOKUP(N63,setup!$A$8:$H$58,7), VLOOKUP(0,setup!$A$8:$H$58,2),VLOOKUP(0,setup!$A$8:$H$58,5),VLOOKUP(N63,setup!$A$8:$H$58,8))</f>
        <v xml:space="preserve">  final String status;</v>
      </c>
    </row>
    <row r="64" spans="1:15" x14ac:dyDescent="0.25">
      <c r="A64" s="4" t="s">
        <v>578</v>
      </c>
      <c r="N64">
        <f t="shared" si="0"/>
        <v>49</v>
      </c>
      <c r="O64" s="7" t="str">
        <f ca="1">getCodigoBackend(N64,A64,VLOOKUP(N64,setup!$A$8:$H$58,2),VLOOKUP(N64,setup!$A$8:$H$58,3),VLOOKUP(N64,setup!$A$8:$H$58,4),VLOOKUP(N64,setup!$A$8:$H$58,5),VLOOKUP(N64,setup!$A$8:$H$58,6),VLOOKUP(N64,setup!$A$8:$H$58,7), VLOOKUP(0,setup!$A$8:$H$58,2),VLOOKUP(0,setup!$A$8:$H$58,5),VLOOKUP(N64,setup!$A$8:$H$58,8))</f>
        <v xml:space="preserve">  final String dataCadastro;</v>
      </c>
    </row>
    <row r="65" spans="1:15" x14ac:dyDescent="0.25">
      <c r="A65" s="4" t="s">
        <v>578</v>
      </c>
      <c r="N65">
        <f t="shared" si="0"/>
        <v>50</v>
      </c>
      <c r="O65" s="7" t="str">
        <f ca="1">getCodigoBackend(N65,A65,VLOOKUP(N65,setup!$A$8:$H$58,2),VLOOKUP(N65,setup!$A$8:$H$58,3),VLOOKUP(N65,setup!$A$8:$H$58,4),VLOOKUP(N65,setup!$A$8:$H$58,5),VLOOKUP(N65,setup!$A$8:$H$58,6),VLOOKUP(N65,setup!$A$8:$H$58,7), VLOOKUP(0,setup!$A$8:$H$58,2),VLOOKUP(0,setup!$A$8:$H$58,5),VLOOKUP(N65,setup!$A$8:$H$58,8))</f>
        <v xml:space="preserve">  final String dataAtualizacao;</v>
      </c>
    </row>
    <row r="66" spans="1:15" x14ac:dyDescent="0.25">
      <c r="A66" s="4" t="s">
        <v>448</v>
      </c>
      <c r="O66" s="7" t="str">
        <f ca="1">getCodigoBackend(N66,A66,VLOOKUP(N66,setup!$A$8:$H$58,2),VLOOKUP(N66,setup!$A$8:$H$58,3),VLOOKUP(N66,setup!$A$8:$H$58,4),VLOOKUP(N66,setup!$A$8:$H$58,5),VLOOKUP(N66,setup!$A$8:$H$58,6),VLOOKUP(N66,setup!$A$8:$H$58,7), VLOOKUP(0,setup!$A$8:$H$58,2),VLOOKUP(0,setup!$A$8:$H$58,5),VLOOKUP(N66,setup!$A$8:$H$58,8))</f>
        <v xml:space="preserve">  final String msgcode;</v>
      </c>
    </row>
    <row r="67" spans="1:15" x14ac:dyDescent="0.25">
      <c r="A67" s="6" t="s">
        <v>449</v>
      </c>
      <c r="O67" s="7" t="str">
        <f ca="1">getCodigoBackend(N67,A67,VLOOKUP(N67,setup!$A$8:$H$58,2),VLOOKUP(N67,setup!$A$8:$H$58,3),VLOOKUP(N67,setup!$A$8:$H$58,4),VLOOKUP(N67,setup!$A$8:$H$58,5),VLOOKUP(N67,setup!$A$8:$H$58,6),VLOOKUP(N67,setup!$A$8:$H$58,7), VLOOKUP(0,setup!$A$8:$H$58,2),VLOOKUP(0,setup!$A$8:$H$58,5),VLOOKUP(N67,setup!$A$8:$H$58,8))</f>
        <v xml:space="preserve">  final String msgcodeString;</v>
      </c>
    </row>
    <row r="68" spans="1:15" x14ac:dyDescent="0.25">
      <c r="A68" s="16"/>
      <c r="O68" s="7" t="str">
        <f ca="1">getCodigoBackend(N68,A68,VLOOKUP(N68,setup!$A$8:$H$58,2),VLOOKUP(N68,setup!$A$8:$H$58,3),VLOOKUP(N68,setup!$A$8:$H$58,4),VLOOKUP(N68,setup!$A$8:$H$58,5),VLOOKUP(N68,setup!$A$8:$H$58,6),VLOOKUP(N68,setup!$A$8:$H$58,7), VLOOKUP(0,setup!$A$8:$H$58,2),VLOOKUP(0,setup!$A$8:$H$58,5),VLOOKUP(N68,setup!$A$8:$H$58,8))</f>
        <v/>
      </c>
    </row>
    <row r="69" spans="1:15" x14ac:dyDescent="0.25">
      <c r="A69" s="15" t="s">
        <v>529</v>
      </c>
      <c r="O69" s="7" t="str">
        <f ca="1">getCodigoBackend(N69,A69,VLOOKUP(N69,setup!$A$8:$H$58,2),VLOOKUP(N69,setup!$A$8:$H$58,3),VLOOKUP(N69,setup!$A$8:$H$58,4),VLOOKUP(N69,setup!$A$8:$H$58,5),VLOOKUP(N69,setup!$A$8:$H$58,6),VLOOKUP(N69,setup!$A$8:$H$58,7), VLOOKUP(0,setup!$A$8:$H$58,2),VLOOKUP(0,setup!$A$8:$H$58,5),VLOOKUP(N69,setup!$A$8:$H$58,8))</f>
        <v>/// Construtor da classe CampanhaCashbackResgatePixVOPost</v>
      </c>
    </row>
    <row r="70" spans="1:15" x14ac:dyDescent="0.25">
      <c r="A70" s="6" t="s">
        <v>530</v>
      </c>
      <c r="O70" s="7" t="str">
        <f ca="1">getCodigoBackend(N70,A70,VLOOKUP(N70,setup!$A$8:$H$58,2),VLOOKUP(N70,setup!$A$8:$H$58,3),VLOOKUP(N70,setup!$A$8:$H$58,4),VLOOKUP(N70,setup!$A$8:$H$58,5),VLOOKUP(N70,setup!$A$8:$H$58,6),VLOOKUP(N70,setup!$A$8:$H$58,7), VLOOKUP(0,setup!$A$8:$H$58,2),VLOOKUP(0,setup!$A$8:$H$58,5),VLOOKUP(N70,setup!$A$8:$H$58,8))</f>
        <v xml:space="preserve">  CampanhaCashbackResgatePixVOPost({this.tokenid, </v>
      </c>
    </row>
    <row r="71" spans="1:15" x14ac:dyDescent="0.25">
      <c r="A71" s="6" t="s">
        <v>463</v>
      </c>
      <c r="N71">
        <v>0</v>
      </c>
      <c r="O71" s="7" t="str">
        <f ca="1">getCodigoBackend(N71,A71,VLOOKUP(N71,setup!$A$8:$H$58,2),VLOOKUP(N71,setup!$A$8:$H$58,3),VLOOKUP(N71,setup!$A$8:$H$58,4),VLOOKUP(N71,setup!$A$8:$H$58,5),VLOOKUP(N71,setup!$A$8:$H$58,6),VLOOKUP(N71,setup!$A$8:$H$58,7), VLOOKUP(0,setup!$A$8:$H$58,2),VLOOKUP(0,setup!$A$8:$H$58,5),VLOOKUP(N71,setup!$A$8:$H$58,8))</f>
        <v xml:space="preserve">  this.id,</v>
      </c>
    </row>
    <row r="72" spans="1:15" x14ac:dyDescent="0.25">
      <c r="A72" s="6" t="s">
        <v>463</v>
      </c>
      <c r="N72">
        <f>N71+1</f>
        <v>1</v>
      </c>
      <c r="O72" s="7" t="str">
        <f ca="1">getCodigoBackend(N72,A72,VLOOKUP(N72,setup!$A$8:$H$58,2),VLOOKUP(N72,setup!$A$8:$H$58,3),VLOOKUP(N72,setup!$A$8:$H$58,4),VLOOKUP(N72,setup!$A$8:$H$58,5),VLOOKUP(N72,setup!$A$8:$H$58,6),VLOOKUP(N72,setup!$A$8:$H$58,7), VLOOKUP(0,setup!$A$8:$H$58,2),VLOOKUP(0,setup!$A$8:$H$58,5),VLOOKUP(N72,setup!$A$8:$H$58,8))</f>
        <v xml:space="preserve">  this.idCampanhaCashback,</v>
      </c>
    </row>
    <row r="73" spans="1:15" x14ac:dyDescent="0.25">
      <c r="A73" s="6" t="s">
        <v>463</v>
      </c>
      <c r="N73">
        <f t="shared" ref="N73:N120" si="1">N72+1</f>
        <v>2</v>
      </c>
      <c r="O73" s="7" t="str">
        <f ca="1">getCodigoBackend(N73,A73,VLOOKUP(N73,setup!$A$8:$H$58,2),VLOOKUP(N73,setup!$A$8:$H$58,3),VLOOKUP(N73,setup!$A$8:$H$58,4),VLOOKUP(N73,setup!$A$8:$H$58,5),VLOOKUP(N73,setup!$A$8:$H$58,6),VLOOKUP(N73,setup!$A$8:$H$58,7), VLOOKUP(0,setup!$A$8:$H$58,2),VLOOKUP(0,setup!$A$8:$H$58,5),VLOOKUP(N73,setup!$A$8:$H$58,8))</f>
        <v xml:space="preserve">  this.idUsuarioSolicitante,</v>
      </c>
    </row>
    <row r="74" spans="1:15" x14ac:dyDescent="0.25">
      <c r="A74" s="6" t="s">
        <v>463</v>
      </c>
      <c r="N74">
        <f t="shared" si="1"/>
        <v>3</v>
      </c>
      <c r="O74" s="7" t="str">
        <f ca="1">getCodigoBackend(N74,A74,VLOOKUP(N74,setup!$A$8:$H$58,2),VLOOKUP(N74,setup!$A$8:$H$58,3),VLOOKUP(N74,setup!$A$8:$H$58,4),VLOOKUP(N74,setup!$A$8:$H$58,5),VLOOKUP(N74,setup!$A$8:$H$58,6),VLOOKUP(N74,setup!$A$8:$H$58,7), VLOOKUP(0,setup!$A$8:$H$58,2),VLOOKUP(0,setup!$A$8:$H$58,5),VLOOKUP(N74,setup!$A$8:$H$58,8))</f>
        <v xml:space="preserve">  this.tipoChavePix,</v>
      </c>
    </row>
    <row r="75" spans="1:15" x14ac:dyDescent="0.25">
      <c r="A75" s="6" t="s">
        <v>463</v>
      </c>
      <c r="N75">
        <f t="shared" si="1"/>
        <v>4</v>
      </c>
      <c r="O75" s="7" t="str">
        <f ca="1">getCodigoBackend(N75,A75,VLOOKUP(N75,setup!$A$8:$H$58,2),VLOOKUP(N75,setup!$A$8:$H$58,3),VLOOKUP(N75,setup!$A$8:$H$58,4),VLOOKUP(N75,setup!$A$8:$H$58,5),VLOOKUP(N75,setup!$A$8:$H$58,6),VLOOKUP(N75,setup!$A$8:$H$58,7), VLOOKUP(0,setup!$A$8:$H$58,2),VLOOKUP(0,setup!$A$8:$H$58,5),VLOOKUP(N75,setup!$A$8:$H$58,8))</f>
        <v xml:space="preserve">  this.chavePix,</v>
      </c>
    </row>
    <row r="76" spans="1:15" x14ac:dyDescent="0.25">
      <c r="A76" s="6" t="s">
        <v>463</v>
      </c>
      <c r="N76">
        <f t="shared" si="1"/>
        <v>5</v>
      </c>
      <c r="O76" s="7" t="str">
        <f ca="1">getCodigoBackend(N76,A76,VLOOKUP(N76,setup!$A$8:$H$58,2),VLOOKUP(N76,setup!$A$8:$H$58,3),VLOOKUP(N76,setup!$A$8:$H$58,4),VLOOKUP(N76,setup!$A$8:$H$58,5),VLOOKUP(N76,setup!$A$8:$H$58,6),VLOOKUP(N76,setup!$A$8:$H$58,7), VLOOKUP(0,setup!$A$8:$H$58,2),VLOOKUP(0,setup!$A$8:$H$58,5),VLOOKUP(N76,setup!$A$8:$H$58,8))</f>
        <v xml:space="preserve">  this.valorResgate,</v>
      </c>
    </row>
    <row r="77" spans="1:15" x14ac:dyDescent="0.25">
      <c r="A77" s="6" t="s">
        <v>463</v>
      </c>
      <c r="N77">
        <f t="shared" si="1"/>
        <v>6</v>
      </c>
      <c r="O77" s="7" t="str">
        <f ca="1">getCodigoBackend(N77,A77,VLOOKUP(N77,setup!$A$8:$H$58,2),VLOOKUP(N77,setup!$A$8:$H$58,3),VLOOKUP(N77,setup!$A$8:$H$58,4),VLOOKUP(N77,setup!$A$8:$H$58,5),VLOOKUP(N77,setup!$A$8:$H$58,6),VLOOKUP(N77,setup!$A$8:$H$58,7), VLOOKUP(0,setup!$A$8:$H$58,2),VLOOKUP(0,setup!$A$8:$H$58,5),VLOOKUP(N77,setup!$A$8:$H$58,8))</f>
        <v xml:space="preserve">  this.autenticacaoBco,</v>
      </c>
    </row>
    <row r="78" spans="1:15" x14ac:dyDescent="0.25">
      <c r="A78" s="6" t="s">
        <v>463</v>
      </c>
      <c r="N78">
        <f t="shared" si="1"/>
        <v>7</v>
      </c>
      <c r="O78" s="7" t="str">
        <f ca="1">getCodigoBackend(N78,A78,VLOOKUP(N78,setup!$A$8:$H$58,2),VLOOKUP(N78,setup!$A$8:$H$58,3),VLOOKUP(N78,setup!$A$8:$H$58,4),VLOOKUP(N78,setup!$A$8:$H$58,5),VLOOKUP(N78,setup!$A$8:$H$58,6),VLOOKUP(N78,setup!$A$8:$H$58,7), VLOOKUP(0,setup!$A$8:$H$58,2),VLOOKUP(0,setup!$A$8:$H$58,5),VLOOKUP(N78,setup!$A$8:$H$58,8))</f>
        <v xml:space="preserve">  this.estagioRealTime,</v>
      </c>
    </row>
    <row r="79" spans="1:15" x14ac:dyDescent="0.25">
      <c r="A79" s="6" t="s">
        <v>463</v>
      </c>
      <c r="N79">
        <f t="shared" si="1"/>
        <v>8</v>
      </c>
      <c r="O79" s="7" t="str">
        <f ca="1">getCodigoBackend(N79,A79,VLOOKUP(N79,setup!$A$8:$H$58,2),VLOOKUP(N79,setup!$A$8:$H$58,3),VLOOKUP(N79,setup!$A$8:$H$58,4),VLOOKUP(N79,setup!$A$8:$H$58,5),VLOOKUP(N79,setup!$A$8:$H$58,6),VLOOKUP(N79,setup!$A$8:$H$58,7), VLOOKUP(0,setup!$A$8:$H$58,2),VLOOKUP(0,setup!$A$8:$H$58,5),VLOOKUP(N79,setup!$A$8:$H$58,8))</f>
        <v xml:space="preserve">  this.dtEstagioAnalise,</v>
      </c>
    </row>
    <row r="80" spans="1:15" x14ac:dyDescent="0.25">
      <c r="A80" s="6" t="s">
        <v>463</v>
      </c>
      <c r="N80">
        <f t="shared" si="1"/>
        <v>9</v>
      </c>
      <c r="O80" s="7" t="str">
        <f ca="1">getCodigoBackend(N80,A80,VLOOKUP(N80,setup!$A$8:$H$58,2),VLOOKUP(N80,setup!$A$8:$H$58,3),VLOOKUP(N80,setup!$A$8:$H$58,4),VLOOKUP(N80,setup!$A$8:$H$58,5),VLOOKUP(N80,setup!$A$8:$H$58,6),VLOOKUP(N80,setup!$A$8:$H$58,7), VLOOKUP(0,setup!$A$8:$H$58,2),VLOOKUP(0,setup!$A$8:$H$58,5),VLOOKUP(N80,setup!$A$8:$H$58,8))</f>
        <v xml:space="preserve">  this.dtEstagioFinanceiro,</v>
      </c>
    </row>
    <row r="81" spans="1:15" x14ac:dyDescent="0.25">
      <c r="A81" s="6" t="s">
        <v>463</v>
      </c>
      <c r="N81">
        <f t="shared" si="1"/>
        <v>10</v>
      </c>
      <c r="O81" s="7" t="str">
        <f ca="1">getCodigoBackend(N81,A81,VLOOKUP(N81,setup!$A$8:$H$58,2),VLOOKUP(N81,setup!$A$8:$H$58,3),VLOOKUP(N81,setup!$A$8:$H$58,4),VLOOKUP(N81,setup!$A$8:$H$58,5),VLOOKUP(N81,setup!$A$8:$H$58,6),VLOOKUP(N81,setup!$A$8:$H$58,7), VLOOKUP(0,setup!$A$8:$H$58,2),VLOOKUP(0,setup!$A$8:$H$58,5),VLOOKUP(N81,setup!$A$8:$H$58,8))</f>
        <v xml:space="preserve">  this.dtEstagioErro,</v>
      </c>
    </row>
    <row r="82" spans="1:15" x14ac:dyDescent="0.25">
      <c r="A82" s="6" t="s">
        <v>463</v>
      </c>
      <c r="N82">
        <f t="shared" si="1"/>
        <v>11</v>
      </c>
      <c r="O82" s="7" t="str">
        <f ca="1">getCodigoBackend(N82,A82,VLOOKUP(N82,setup!$A$8:$H$58,2),VLOOKUP(N82,setup!$A$8:$H$58,3),VLOOKUP(N82,setup!$A$8:$H$58,4),VLOOKUP(N82,setup!$A$8:$H$58,5),VLOOKUP(N82,setup!$A$8:$H$58,6),VLOOKUP(N82,setup!$A$8:$H$58,7), VLOOKUP(0,setup!$A$8:$H$58,2),VLOOKUP(0,setup!$A$8:$H$58,5),VLOOKUP(N82,setup!$A$8:$H$58,8))</f>
        <v xml:space="preserve">  this.dtEstagioTranfBco,</v>
      </c>
    </row>
    <row r="83" spans="1:15" x14ac:dyDescent="0.25">
      <c r="A83" s="6" t="s">
        <v>463</v>
      </c>
      <c r="N83">
        <f t="shared" si="1"/>
        <v>12</v>
      </c>
      <c r="O83" s="7" t="str">
        <f ca="1">getCodigoBackend(N83,A83,VLOOKUP(N83,setup!$A$8:$H$58,2),VLOOKUP(N83,setup!$A$8:$H$58,3),VLOOKUP(N83,setup!$A$8:$H$58,4),VLOOKUP(N83,setup!$A$8:$H$58,5),VLOOKUP(N83,setup!$A$8:$H$58,6),VLOOKUP(N83,setup!$A$8:$H$58,7), VLOOKUP(0,setup!$A$8:$H$58,2),VLOOKUP(0,setup!$A$8:$H$58,5),VLOOKUP(N83,setup!$A$8:$H$58,8))</f>
        <v xml:space="preserve">  this.txtLivreEstagioRT,</v>
      </c>
    </row>
    <row r="84" spans="1:15" x14ac:dyDescent="0.25">
      <c r="A84" s="6" t="s">
        <v>463</v>
      </c>
      <c r="N84">
        <f t="shared" si="1"/>
        <v>13</v>
      </c>
      <c r="O84" s="7" t="e">
        <f>getCodigoBackend(N84,A84,VLOOKUP(N84,setup!$A$8:$H$58,2),VLOOKUP(N84,setup!$A$8:$H$58,3),VLOOKUP(N84,setup!$A$8:$H$58,4),VLOOKUP(N84,setup!$A$8:$H$58,5),VLOOKUP(N84,setup!$A$8:$H$58,6),VLOOKUP(N84,setup!$A$8:$H$58,7), VLOOKUP(0,setup!$A$8:$H$58,2),VLOOKUP(0,setup!$A$8:$H$58,5),VLOOKUP(N84,setup!$A$8:$H$58,8))</f>
        <v>#VALUE!</v>
      </c>
    </row>
    <row r="85" spans="1:15" x14ac:dyDescent="0.25">
      <c r="A85" s="6" t="s">
        <v>463</v>
      </c>
      <c r="N85">
        <f t="shared" si="1"/>
        <v>14</v>
      </c>
      <c r="O85" s="7" t="e">
        <f>getCodigoBackend(N85,A85,VLOOKUP(N85,setup!$A$8:$H$58,2),VLOOKUP(N85,setup!$A$8:$H$58,3),VLOOKUP(N85,setup!$A$8:$H$58,4),VLOOKUP(N85,setup!$A$8:$H$58,5),VLOOKUP(N85,setup!$A$8:$H$58,6),VLOOKUP(N85,setup!$A$8:$H$58,7), VLOOKUP(0,setup!$A$8:$H$58,2),VLOOKUP(0,setup!$A$8:$H$58,5),VLOOKUP(N85,setup!$A$8:$H$58,8))</f>
        <v>#VALUE!</v>
      </c>
    </row>
    <row r="86" spans="1:15" x14ac:dyDescent="0.25">
      <c r="A86" s="6" t="s">
        <v>463</v>
      </c>
      <c r="N86">
        <f t="shared" si="1"/>
        <v>15</v>
      </c>
      <c r="O86" s="7" t="e">
        <f>getCodigoBackend(N86,A86,VLOOKUP(N86,setup!$A$8:$H$58,2),VLOOKUP(N86,setup!$A$8:$H$58,3),VLOOKUP(N86,setup!$A$8:$H$58,4),VLOOKUP(N86,setup!$A$8:$H$58,5),VLOOKUP(N86,setup!$A$8:$H$58,6),VLOOKUP(N86,setup!$A$8:$H$58,7), VLOOKUP(0,setup!$A$8:$H$58,2),VLOOKUP(0,setup!$A$8:$H$58,5),VLOOKUP(N86,setup!$A$8:$H$58,8))</f>
        <v>#VALUE!</v>
      </c>
    </row>
    <row r="87" spans="1:15" x14ac:dyDescent="0.25">
      <c r="A87" s="6" t="s">
        <v>463</v>
      </c>
      <c r="N87">
        <f t="shared" si="1"/>
        <v>16</v>
      </c>
      <c r="O87" s="7" t="e">
        <f>getCodigoBackend(N87,A87,VLOOKUP(N87,setup!$A$8:$H$58,2),VLOOKUP(N87,setup!$A$8:$H$58,3),VLOOKUP(N87,setup!$A$8:$H$58,4),VLOOKUP(N87,setup!$A$8:$H$58,5),VLOOKUP(N87,setup!$A$8:$H$58,6),VLOOKUP(N87,setup!$A$8:$H$58,7), VLOOKUP(0,setup!$A$8:$H$58,2),VLOOKUP(0,setup!$A$8:$H$58,5),VLOOKUP(N87,setup!$A$8:$H$58,8))</f>
        <v>#VALUE!</v>
      </c>
    </row>
    <row r="88" spans="1:15" x14ac:dyDescent="0.25">
      <c r="A88" s="6" t="s">
        <v>463</v>
      </c>
      <c r="N88">
        <f t="shared" si="1"/>
        <v>17</v>
      </c>
      <c r="O88" s="7" t="e">
        <f>getCodigoBackend(N88,A88,VLOOKUP(N88,setup!$A$8:$H$58,2),VLOOKUP(N88,setup!$A$8:$H$58,3),VLOOKUP(N88,setup!$A$8:$H$58,4),VLOOKUP(N88,setup!$A$8:$H$58,5),VLOOKUP(N88,setup!$A$8:$H$58,6),VLOOKUP(N88,setup!$A$8:$H$58,7), VLOOKUP(0,setup!$A$8:$H$58,2),VLOOKUP(0,setup!$A$8:$H$58,5),VLOOKUP(N88,setup!$A$8:$H$58,8))</f>
        <v>#VALUE!</v>
      </c>
    </row>
    <row r="89" spans="1:15" x14ac:dyDescent="0.25">
      <c r="A89" s="6" t="s">
        <v>463</v>
      </c>
      <c r="N89">
        <f t="shared" si="1"/>
        <v>18</v>
      </c>
      <c r="O89" s="7" t="e">
        <f>getCodigoBackend(N89,A89,VLOOKUP(N89,setup!$A$8:$H$58,2),VLOOKUP(N89,setup!$A$8:$H$58,3),VLOOKUP(N89,setup!$A$8:$H$58,4),VLOOKUP(N89,setup!$A$8:$H$58,5),VLOOKUP(N89,setup!$A$8:$H$58,6),VLOOKUP(N89,setup!$A$8:$H$58,7), VLOOKUP(0,setup!$A$8:$H$58,2),VLOOKUP(0,setup!$A$8:$H$58,5),VLOOKUP(N89,setup!$A$8:$H$58,8))</f>
        <v>#VALUE!</v>
      </c>
    </row>
    <row r="90" spans="1:15" x14ac:dyDescent="0.25">
      <c r="A90" s="6" t="s">
        <v>463</v>
      </c>
      <c r="N90">
        <f t="shared" si="1"/>
        <v>19</v>
      </c>
      <c r="O90" s="7" t="e">
        <f>getCodigoBackend(N90,A90,VLOOKUP(N90,setup!$A$8:$H$58,2),VLOOKUP(N90,setup!$A$8:$H$58,3),VLOOKUP(N90,setup!$A$8:$H$58,4),VLOOKUP(N90,setup!$A$8:$H$58,5),VLOOKUP(N90,setup!$A$8:$H$58,6),VLOOKUP(N90,setup!$A$8:$H$58,7), VLOOKUP(0,setup!$A$8:$H$58,2),VLOOKUP(0,setup!$A$8:$H$58,5),VLOOKUP(N90,setup!$A$8:$H$58,8))</f>
        <v>#VALUE!</v>
      </c>
    </row>
    <row r="91" spans="1:15" x14ac:dyDescent="0.25">
      <c r="A91" s="6" t="s">
        <v>463</v>
      </c>
      <c r="N91">
        <f t="shared" si="1"/>
        <v>20</v>
      </c>
      <c r="O91" s="7" t="e">
        <f>getCodigoBackend(N91,A91,VLOOKUP(N91,setup!$A$8:$H$58,2),VLOOKUP(N91,setup!$A$8:$H$58,3),VLOOKUP(N91,setup!$A$8:$H$58,4),VLOOKUP(N91,setup!$A$8:$H$58,5),VLOOKUP(N91,setup!$A$8:$H$58,6),VLOOKUP(N91,setup!$A$8:$H$58,7), VLOOKUP(0,setup!$A$8:$H$58,2),VLOOKUP(0,setup!$A$8:$H$58,5),VLOOKUP(N91,setup!$A$8:$H$58,8))</f>
        <v>#VALUE!</v>
      </c>
    </row>
    <row r="92" spans="1:15" x14ac:dyDescent="0.25">
      <c r="A92" s="6" t="s">
        <v>463</v>
      </c>
      <c r="N92">
        <f t="shared" si="1"/>
        <v>21</v>
      </c>
      <c r="O92" s="7" t="e">
        <f>getCodigoBackend(N92,A92,VLOOKUP(N92,setup!$A$8:$H$58,2),VLOOKUP(N92,setup!$A$8:$H$58,3),VLOOKUP(N92,setup!$A$8:$H$58,4),VLOOKUP(N92,setup!$A$8:$H$58,5),VLOOKUP(N92,setup!$A$8:$H$58,6),VLOOKUP(N92,setup!$A$8:$H$58,7), VLOOKUP(0,setup!$A$8:$H$58,2),VLOOKUP(0,setup!$A$8:$H$58,5),VLOOKUP(N92,setup!$A$8:$H$58,8))</f>
        <v>#VALUE!</v>
      </c>
    </row>
    <row r="93" spans="1:15" x14ac:dyDescent="0.25">
      <c r="A93" s="6" t="s">
        <v>463</v>
      </c>
      <c r="N93">
        <f t="shared" si="1"/>
        <v>22</v>
      </c>
      <c r="O93" s="7" t="e">
        <f>getCodigoBackend(N93,A93,VLOOKUP(N93,setup!$A$8:$H$58,2),VLOOKUP(N93,setup!$A$8:$H$58,3),VLOOKUP(N93,setup!$A$8:$H$58,4),VLOOKUP(N93,setup!$A$8:$H$58,5),VLOOKUP(N93,setup!$A$8:$H$58,6),VLOOKUP(N93,setup!$A$8:$H$58,7), VLOOKUP(0,setup!$A$8:$H$58,2),VLOOKUP(0,setup!$A$8:$H$58,5),VLOOKUP(N93,setup!$A$8:$H$58,8))</f>
        <v>#VALUE!</v>
      </c>
    </row>
    <row r="94" spans="1:15" x14ac:dyDescent="0.25">
      <c r="A94" s="6" t="s">
        <v>463</v>
      </c>
      <c r="N94">
        <f t="shared" si="1"/>
        <v>23</v>
      </c>
      <c r="O94" s="7" t="e">
        <f>getCodigoBackend(N94,A94,VLOOKUP(N94,setup!$A$8:$H$58,2),VLOOKUP(N94,setup!$A$8:$H$58,3),VLOOKUP(N94,setup!$A$8:$H$58,4),VLOOKUP(N94,setup!$A$8:$H$58,5),VLOOKUP(N94,setup!$A$8:$H$58,6),VLOOKUP(N94,setup!$A$8:$H$58,7), VLOOKUP(0,setup!$A$8:$H$58,2),VLOOKUP(0,setup!$A$8:$H$58,5),VLOOKUP(N94,setup!$A$8:$H$58,8))</f>
        <v>#VALUE!</v>
      </c>
    </row>
    <row r="95" spans="1:15" x14ac:dyDescent="0.25">
      <c r="A95" s="6" t="s">
        <v>463</v>
      </c>
      <c r="N95">
        <f t="shared" si="1"/>
        <v>24</v>
      </c>
      <c r="O95" s="7" t="e">
        <f>getCodigoBackend(N95,A95,VLOOKUP(N95,setup!$A$8:$H$58,2),VLOOKUP(N95,setup!$A$8:$H$58,3),VLOOKUP(N95,setup!$A$8:$H$58,4),VLOOKUP(N95,setup!$A$8:$H$58,5),VLOOKUP(N95,setup!$A$8:$H$58,6),VLOOKUP(N95,setup!$A$8:$H$58,7), VLOOKUP(0,setup!$A$8:$H$58,2),VLOOKUP(0,setup!$A$8:$H$58,5),VLOOKUP(N95,setup!$A$8:$H$58,8))</f>
        <v>#VALUE!</v>
      </c>
    </row>
    <row r="96" spans="1:15" x14ac:dyDescent="0.25">
      <c r="A96" s="6" t="s">
        <v>463</v>
      </c>
      <c r="N96">
        <f t="shared" si="1"/>
        <v>25</v>
      </c>
      <c r="O96" s="7" t="e">
        <f>getCodigoBackend(N96,A96,VLOOKUP(N96,setup!$A$8:$H$58,2),VLOOKUP(N96,setup!$A$8:$H$58,3),VLOOKUP(N96,setup!$A$8:$H$58,4),VLOOKUP(N96,setup!$A$8:$H$58,5),VLOOKUP(N96,setup!$A$8:$H$58,6),VLOOKUP(N96,setup!$A$8:$H$58,7), VLOOKUP(0,setup!$A$8:$H$58,2),VLOOKUP(0,setup!$A$8:$H$58,5),VLOOKUP(N96,setup!$A$8:$H$58,8))</f>
        <v>#VALUE!</v>
      </c>
    </row>
    <row r="97" spans="1:15" x14ac:dyDescent="0.25">
      <c r="A97" s="6" t="s">
        <v>463</v>
      </c>
      <c r="N97">
        <f t="shared" si="1"/>
        <v>26</v>
      </c>
      <c r="O97" s="7" t="e">
        <f>getCodigoBackend(N97,A97,VLOOKUP(N97,setup!$A$8:$H$58,2),VLOOKUP(N97,setup!$A$8:$H$58,3),VLOOKUP(N97,setup!$A$8:$H$58,4),VLOOKUP(N97,setup!$A$8:$H$58,5),VLOOKUP(N97,setup!$A$8:$H$58,6),VLOOKUP(N97,setup!$A$8:$H$58,7), VLOOKUP(0,setup!$A$8:$H$58,2),VLOOKUP(0,setup!$A$8:$H$58,5),VLOOKUP(N97,setup!$A$8:$H$58,8))</f>
        <v>#VALUE!</v>
      </c>
    </row>
    <row r="98" spans="1:15" x14ac:dyDescent="0.25">
      <c r="A98" s="6" t="s">
        <v>463</v>
      </c>
      <c r="N98">
        <f t="shared" si="1"/>
        <v>27</v>
      </c>
      <c r="O98" s="7" t="e">
        <f>getCodigoBackend(N98,A98,VLOOKUP(N98,setup!$A$8:$H$58,2),VLOOKUP(N98,setup!$A$8:$H$58,3),VLOOKUP(N98,setup!$A$8:$H$58,4),VLOOKUP(N98,setup!$A$8:$H$58,5),VLOOKUP(N98,setup!$A$8:$H$58,6),VLOOKUP(N98,setup!$A$8:$H$58,7), VLOOKUP(0,setup!$A$8:$H$58,2),VLOOKUP(0,setup!$A$8:$H$58,5),VLOOKUP(N98,setup!$A$8:$H$58,8))</f>
        <v>#VALUE!</v>
      </c>
    </row>
    <row r="99" spans="1:15" x14ac:dyDescent="0.25">
      <c r="A99" s="6" t="s">
        <v>463</v>
      </c>
      <c r="N99">
        <f t="shared" si="1"/>
        <v>28</v>
      </c>
      <c r="O99" s="7" t="e">
        <f>getCodigoBackend(N99,A99,VLOOKUP(N99,setup!$A$8:$H$58,2),VLOOKUP(N99,setup!$A$8:$H$58,3),VLOOKUP(N99,setup!$A$8:$H$58,4),VLOOKUP(N99,setup!$A$8:$H$58,5),VLOOKUP(N99,setup!$A$8:$H$58,6),VLOOKUP(N99,setup!$A$8:$H$58,7), VLOOKUP(0,setup!$A$8:$H$58,2),VLOOKUP(0,setup!$A$8:$H$58,5),VLOOKUP(N99,setup!$A$8:$H$58,8))</f>
        <v>#VALUE!</v>
      </c>
    </row>
    <row r="100" spans="1:15" x14ac:dyDescent="0.25">
      <c r="A100" s="6" t="s">
        <v>463</v>
      </c>
      <c r="N100">
        <f t="shared" si="1"/>
        <v>29</v>
      </c>
      <c r="O100" s="7" t="e">
        <f>getCodigoBackend(N100,A100,VLOOKUP(N100,setup!$A$8:$H$58,2),VLOOKUP(N100,setup!$A$8:$H$58,3),VLOOKUP(N100,setup!$A$8:$H$58,4),VLOOKUP(N100,setup!$A$8:$H$58,5),VLOOKUP(N100,setup!$A$8:$H$58,6),VLOOKUP(N100,setup!$A$8:$H$58,7), VLOOKUP(0,setup!$A$8:$H$58,2),VLOOKUP(0,setup!$A$8:$H$58,5),VLOOKUP(N100,setup!$A$8:$H$58,8))</f>
        <v>#VALUE!</v>
      </c>
    </row>
    <row r="101" spans="1:15" x14ac:dyDescent="0.25">
      <c r="A101" s="6" t="s">
        <v>463</v>
      </c>
      <c r="N101">
        <f t="shared" si="1"/>
        <v>30</v>
      </c>
      <c r="O101" s="7" t="e">
        <f>getCodigoBackend(N101,A101,VLOOKUP(N101,setup!$A$8:$H$58,2),VLOOKUP(N101,setup!$A$8:$H$58,3),VLOOKUP(N101,setup!$A$8:$H$58,4),VLOOKUP(N101,setup!$A$8:$H$58,5),VLOOKUP(N101,setup!$A$8:$H$58,6),VLOOKUP(N101,setup!$A$8:$H$58,7), VLOOKUP(0,setup!$A$8:$H$58,2),VLOOKUP(0,setup!$A$8:$H$58,5),VLOOKUP(N101,setup!$A$8:$H$58,8))</f>
        <v>#VALUE!</v>
      </c>
    </row>
    <row r="102" spans="1:15" x14ac:dyDescent="0.25">
      <c r="A102" s="6" t="s">
        <v>463</v>
      </c>
      <c r="N102">
        <f t="shared" si="1"/>
        <v>31</v>
      </c>
      <c r="O102" s="7" t="e">
        <f>getCodigoBackend(N102,A102,VLOOKUP(N102,setup!$A$8:$H$58,2),VLOOKUP(N102,setup!$A$8:$H$58,3),VLOOKUP(N102,setup!$A$8:$H$58,4),VLOOKUP(N102,setup!$A$8:$H$58,5),VLOOKUP(N102,setup!$A$8:$H$58,6),VLOOKUP(N102,setup!$A$8:$H$58,7), VLOOKUP(0,setup!$A$8:$H$58,2),VLOOKUP(0,setup!$A$8:$H$58,5),VLOOKUP(N102,setup!$A$8:$H$58,8))</f>
        <v>#VALUE!</v>
      </c>
    </row>
    <row r="103" spans="1:15" x14ac:dyDescent="0.25">
      <c r="A103" s="6" t="s">
        <v>463</v>
      </c>
      <c r="N103">
        <f t="shared" si="1"/>
        <v>32</v>
      </c>
      <c r="O103" s="7" t="e">
        <f>getCodigoBackend(N103,A103,VLOOKUP(N103,setup!$A$8:$H$58,2),VLOOKUP(N103,setup!$A$8:$H$58,3),VLOOKUP(N103,setup!$A$8:$H$58,4),VLOOKUP(N103,setup!$A$8:$H$58,5),VLOOKUP(N103,setup!$A$8:$H$58,6),VLOOKUP(N103,setup!$A$8:$H$58,7), VLOOKUP(0,setup!$A$8:$H$58,2),VLOOKUP(0,setup!$A$8:$H$58,5),VLOOKUP(N103,setup!$A$8:$H$58,8))</f>
        <v>#VALUE!</v>
      </c>
    </row>
    <row r="104" spans="1:15" x14ac:dyDescent="0.25">
      <c r="A104" s="6" t="s">
        <v>463</v>
      </c>
      <c r="N104">
        <f t="shared" si="1"/>
        <v>33</v>
      </c>
      <c r="O104" s="7" t="e">
        <f>getCodigoBackend(N104,A104,VLOOKUP(N104,setup!$A$8:$H$58,2),VLOOKUP(N104,setup!$A$8:$H$58,3),VLOOKUP(N104,setup!$A$8:$H$58,4),VLOOKUP(N104,setup!$A$8:$H$58,5),VLOOKUP(N104,setup!$A$8:$H$58,6),VLOOKUP(N104,setup!$A$8:$H$58,7), VLOOKUP(0,setup!$A$8:$H$58,2),VLOOKUP(0,setup!$A$8:$H$58,5),VLOOKUP(N104,setup!$A$8:$H$58,8))</f>
        <v>#VALUE!</v>
      </c>
    </row>
    <row r="105" spans="1:15" x14ac:dyDescent="0.25">
      <c r="A105" s="6" t="s">
        <v>463</v>
      </c>
      <c r="N105">
        <f t="shared" si="1"/>
        <v>34</v>
      </c>
      <c r="O105" s="7" t="e">
        <f>getCodigoBackend(N105,A105,VLOOKUP(N105,setup!$A$8:$H$58,2),VLOOKUP(N105,setup!$A$8:$H$58,3),VLOOKUP(N105,setup!$A$8:$H$58,4),VLOOKUP(N105,setup!$A$8:$H$58,5),VLOOKUP(N105,setup!$A$8:$H$58,6),VLOOKUP(N105,setup!$A$8:$H$58,7), VLOOKUP(0,setup!$A$8:$H$58,2),VLOOKUP(0,setup!$A$8:$H$58,5),VLOOKUP(N105,setup!$A$8:$H$58,8))</f>
        <v>#VALUE!</v>
      </c>
    </row>
    <row r="106" spans="1:15" x14ac:dyDescent="0.25">
      <c r="A106" s="6" t="s">
        <v>463</v>
      </c>
      <c r="N106">
        <f t="shared" si="1"/>
        <v>35</v>
      </c>
      <c r="O106" s="7" t="e">
        <f>getCodigoBackend(N106,A106,VLOOKUP(N106,setup!$A$8:$H$58,2),VLOOKUP(N106,setup!$A$8:$H$58,3),VLOOKUP(N106,setup!$A$8:$H$58,4),VLOOKUP(N106,setup!$A$8:$H$58,5),VLOOKUP(N106,setup!$A$8:$H$58,6),VLOOKUP(N106,setup!$A$8:$H$58,7), VLOOKUP(0,setup!$A$8:$H$58,2),VLOOKUP(0,setup!$A$8:$H$58,5),VLOOKUP(N106,setup!$A$8:$H$58,8))</f>
        <v>#VALUE!</v>
      </c>
    </row>
    <row r="107" spans="1:15" x14ac:dyDescent="0.25">
      <c r="A107" s="6" t="s">
        <v>463</v>
      </c>
      <c r="N107">
        <f t="shared" si="1"/>
        <v>36</v>
      </c>
      <c r="O107" s="7" t="e">
        <f>getCodigoBackend(N107,A107,VLOOKUP(N107,setup!$A$8:$H$58,2),VLOOKUP(N107,setup!$A$8:$H$58,3),VLOOKUP(N107,setup!$A$8:$H$58,4),VLOOKUP(N107,setup!$A$8:$H$58,5),VLOOKUP(N107,setup!$A$8:$H$58,6),VLOOKUP(N107,setup!$A$8:$H$58,7), VLOOKUP(0,setup!$A$8:$H$58,2),VLOOKUP(0,setup!$A$8:$H$58,5),VLOOKUP(N107,setup!$A$8:$H$58,8))</f>
        <v>#VALUE!</v>
      </c>
    </row>
    <row r="108" spans="1:15" x14ac:dyDescent="0.25">
      <c r="A108" s="6" t="s">
        <v>463</v>
      </c>
      <c r="N108">
        <f t="shared" si="1"/>
        <v>37</v>
      </c>
      <c r="O108" s="7" t="e">
        <f>getCodigoBackend(N108,A108,VLOOKUP(N108,setup!$A$8:$H$58,2),VLOOKUP(N108,setup!$A$8:$H$58,3),VLOOKUP(N108,setup!$A$8:$H$58,4),VLOOKUP(N108,setup!$A$8:$H$58,5),VLOOKUP(N108,setup!$A$8:$H$58,6),VLOOKUP(N108,setup!$A$8:$H$58,7), VLOOKUP(0,setup!$A$8:$H$58,2),VLOOKUP(0,setup!$A$8:$H$58,5),VLOOKUP(N108,setup!$A$8:$H$58,8))</f>
        <v>#VALUE!</v>
      </c>
    </row>
    <row r="109" spans="1:15" x14ac:dyDescent="0.25">
      <c r="A109" s="6" t="s">
        <v>463</v>
      </c>
      <c r="N109">
        <f t="shared" si="1"/>
        <v>38</v>
      </c>
      <c r="O109" s="7" t="e">
        <f>getCodigoBackend(N109,A109,VLOOKUP(N109,setup!$A$8:$H$58,2),VLOOKUP(N109,setup!$A$8:$H$58,3),VLOOKUP(N109,setup!$A$8:$H$58,4),VLOOKUP(N109,setup!$A$8:$H$58,5),VLOOKUP(N109,setup!$A$8:$H$58,6),VLOOKUP(N109,setup!$A$8:$H$58,7), VLOOKUP(0,setup!$A$8:$H$58,2),VLOOKUP(0,setup!$A$8:$H$58,5),VLOOKUP(N109,setup!$A$8:$H$58,8))</f>
        <v>#VALUE!</v>
      </c>
    </row>
    <row r="110" spans="1:15" x14ac:dyDescent="0.25">
      <c r="A110" s="6" t="s">
        <v>463</v>
      </c>
      <c r="N110">
        <f t="shared" si="1"/>
        <v>39</v>
      </c>
      <c r="O110" s="7" t="e">
        <f>getCodigoBackend(N110,A110,VLOOKUP(N110,setup!$A$8:$H$58,2),VLOOKUP(N110,setup!$A$8:$H$58,3),VLOOKUP(N110,setup!$A$8:$H$58,4),VLOOKUP(N110,setup!$A$8:$H$58,5),VLOOKUP(N110,setup!$A$8:$H$58,6),VLOOKUP(N110,setup!$A$8:$H$58,7), VLOOKUP(0,setup!$A$8:$H$58,2),VLOOKUP(0,setup!$A$8:$H$58,5),VLOOKUP(N110,setup!$A$8:$H$58,8))</f>
        <v>#VALUE!</v>
      </c>
    </row>
    <row r="111" spans="1:15" x14ac:dyDescent="0.25">
      <c r="A111" s="6" t="s">
        <v>463</v>
      </c>
      <c r="N111">
        <f t="shared" si="1"/>
        <v>40</v>
      </c>
      <c r="O111" s="7" t="e">
        <f>getCodigoBackend(N111,A111,VLOOKUP(N111,setup!$A$8:$H$58,2),VLOOKUP(N111,setup!$A$8:$H$58,3),VLOOKUP(N111,setup!$A$8:$H$58,4),VLOOKUP(N111,setup!$A$8:$H$58,5),VLOOKUP(N111,setup!$A$8:$H$58,6),VLOOKUP(N111,setup!$A$8:$H$58,7), VLOOKUP(0,setup!$A$8:$H$58,2),VLOOKUP(0,setup!$A$8:$H$58,5),VLOOKUP(N111,setup!$A$8:$H$58,8))</f>
        <v>#VALUE!</v>
      </c>
    </row>
    <row r="112" spans="1:15" x14ac:dyDescent="0.25">
      <c r="A112" s="6" t="s">
        <v>463</v>
      </c>
      <c r="N112">
        <f t="shared" si="1"/>
        <v>41</v>
      </c>
      <c r="O112" s="7" t="e">
        <f>getCodigoBackend(N112,A112,VLOOKUP(N112,setup!$A$8:$H$58,2),VLOOKUP(N112,setup!$A$8:$H$58,3),VLOOKUP(N112,setup!$A$8:$H$58,4),VLOOKUP(N112,setup!$A$8:$H$58,5),VLOOKUP(N112,setup!$A$8:$H$58,6),VLOOKUP(N112,setup!$A$8:$H$58,7), VLOOKUP(0,setup!$A$8:$H$58,2),VLOOKUP(0,setup!$A$8:$H$58,5),VLOOKUP(N112,setup!$A$8:$H$58,8))</f>
        <v>#VALUE!</v>
      </c>
    </row>
    <row r="113" spans="1:15" x14ac:dyDescent="0.25">
      <c r="A113" s="6" t="s">
        <v>463</v>
      </c>
      <c r="N113">
        <f t="shared" si="1"/>
        <v>42</v>
      </c>
      <c r="O113" s="7" t="e">
        <f>getCodigoBackend(N113,A113,VLOOKUP(N113,setup!$A$8:$H$58,2),VLOOKUP(N113,setup!$A$8:$H$58,3),VLOOKUP(N113,setup!$A$8:$H$58,4),VLOOKUP(N113,setup!$A$8:$H$58,5),VLOOKUP(N113,setup!$A$8:$H$58,6),VLOOKUP(N113,setup!$A$8:$H$58,7), VLOOKUP(0,setup!$A$8:$H$58,2),VLOOKUP(0,setup!$A$8:$H$58,5),VLOOKUP(N113,setup!$A$8:$H$58,8))</f>
        <v>#VALUE!</v>
      </c>
    </row>
    <row r="114" spans="1:15" x14ac:dyDescent="0.25">
      <c r="A114" s="6" t="s">
        <v>463</v>
      </c>
      <c r="N114">
        <f t="shared" si="1"/>
        <v>43</v>
      </c>
      <c r="O114" s="7" t="e">
        <f>getCodigoBackend(N114,A114,VLOOKUP(N114,setup!$A$8:$H$58,2),VLOOKUP(N114,setup!$A$8:$H$58,3),VLOOKUP(N114,setup!$A$8:$H$58,4),VLOOKUP(N114,setup!$A$8:$H$58,5),VLOOKUP(N114,setup!$A$8:$H$58,6),VLOOKUP(N114,setup!$A$8:$H$58,7), VLOOKUP(0,setup!$A$8:$H$58,2),VLOOKUP(0,setup!$A$8:$H$58,5),VLOOKUP(N114,setup!$A$8:$H$58,8))</f>
        <v>#VALUE!</v>
      </c>
    </row>
    <row r="115" spans="1:15" x14ac:dyDescent="0.25">
      <c r="A115" s="6" t="s">
        <v>463</v>
      </c>
      <c r="N115">
        <f t="shared" si="1"/>
        <v>44</v>
      </c>
      <c r="O115" s="7" t="e">
        <f>getCodigoBackend(N115,A115,VLOOKUP(N115,setup!$A$8:$H$58,2),VLOOKUP(N115,setup!$A$8:$H$58,3),VLOOKUP(N115,setup!$A$8:$H$58,4),VLOOKUP(N115,setup!$A$8:$H$58,5),VLOOKUP(N115,setup!$A$8:$H$58,6),VLOOKUP(N115,setup!$A$8:$H$58,7), VLOOKUP(0,setup!$A$8:$H$58,2),VLOOKUP(0,setup!$A$8:$H$58,5),VLOOKUP(N115,setup!$A$8:$H$58,8))</f>
        <v>#VALUE!</v>
      </c>
    </row>
    <row r="116" spans="1:15" x14ac:dyDescent="0.25">
      <c r="A116" s="6" t="s">
        <v>463</v>
      </c>
      <c r="N116">
        <f t="shared" si="1"/>
        <v>45</v>
      </c>
      <c r="O116" s="7" t="e">
        <f>getCodigoBackend(N116,A116,VLOOKUP(N116,setup!$A$8:$H$58,2),VLOOKUP(N116,setup!$A$8:$H$58,3),VLOOKUP(N116,setup!$A$8:$H$58,4),VLOOKUP(N116,setup!$A$8:$H$58,5),VLOOKUP(N116,setup!$A$8:$H$58,6),VLOOKUP(N116,setup!$A$8:$H$58,7), VLOOKUP(0,setup!$A$8:$H$58,2),VLOOKUP(0,setup!$A$8:$H$58,5),VLOOKUP(N116,setup!$A$8:$H$58,8))</f>
        <v>#VALUE!</v>
      </c>
    </row>
    <row r="117" spans="1:15" x14ac:dyDescent="0.25">
      <c r="A117" s="6" t="s">
        <v>463</v>
      </c>
      <c r="N117">
        <f t="shared" si="1"/>
        <v>46</v>
      </c>
      <c r="O117" s="7" t="e">
        <f>getCodigoBackend(N117,A117,VLOOKUP(N117,setup!$A$8:$H$58,2),VLOOKUP(N117,setup!$A$8:$H$58,3),VLOOKUP(N117,setup!$A$8:$H$58,4),VLOOKUP(N117,setup!$A$8:$H$58,5),VLOOKUP(N117,setup!$A$8:$H$58,6),VLOOKUP(N117,setup!$A$8:$H$58,7), VLOOKUP(0,setup!$A$8:$H$58,2),VLOOKUP(0,setup!$A$8:$H$58,5),VLOOKUP(N117,setup!$A$8:$H$58,8))</f>
        <v>#VALUE!</v>
      </c>
    </row>
    <row r="118" spans="1:15" x14ac:dyDescent="0.25">
      <c r="A118" s="6" t="s">
        <v>463</v>
      </c>
      <c r="N118">
        <f t="shared" si="1"/>
        <v>47</v>
      </c>
      <c r="O118" s="7" t="e">
        <f>getCodigoBackend(N118,A118,VLOOKUP(N118,setup!$A$8:$H$58,2),VLOOKUP(N118,setup!$A$8:$H$58,3),VLOOKUP(N118,setup!$A$8:$H$58,4),VLOOKUP(N118,setup!$A$8:$H$58,5),VLOOKUP(N118,setup!$A$8:$H$58,6),VLOOKUP(N118,setup!$A$8:$H$58,7), VLOOKUP(0,setup!$A$8:$H$58,2),VLOOKUP(0,setup!$A$8:$H$58,5),VLOOKUP(N118,setup!$A$8:$H$58,8))</f>
        <v>#VALUE!</v>
      </c>
    </row>
    <row r="119" spans="1:15" x14ac:dyDescent="0.25">
      <c r="A119" s="6" t="s">
        <v>463</v>
      </c>
      <c r="N119">
        <f t="shared" si="1"/>
        <v>48</v>
      </c>
      <c r="O119" s="7" t="str">
        <f ca="1">getCodigoBackend(N119,A119,VLOOKUP(N119,setup!$A$8:$H$58,2),VLOOKUP(N119,setup!$A$8:$H$58,3),VLOOKUP(N119,setup!$A$8:$H$58,4),VLOOKUP(N119,setup!$A$8:$H$58,5),VLOOKUP(N119,setup!$A$8:$H$58,6),VLOOKUP(N119,setup!$A$8:$H$58,7), VLOOKUP(0,setup!$A$8:$H$58,2),VLOOKUP(0,setup!$A$8:$H$58,5),VLOOKUP(N119,setup!$A$8:$H$58,8))</f>
        <v xml:space="preserve">  this.status,</v>
      </c>
    </row>
    <row r="120" spans="1:15" x14ac:dyDescent="0.25">
      <c r="A120" s="6" t="s">
        <v>463</v>
      </c>
      <c r="N120">
        <f t="shared" si="1"/>
        <v>49</v>
      </c>
      <c r="O120" s="7" t="str">
        <f ca="1">getCodigoBackend(N120,A120,VLOOKUP(N120,setup!$A$8:$H$58,2),VLOOKUP(N120,setup!$A$8:$H$58,3),VLOOKUP(N120,setup!$A$8:$H$58,4),VLOOKUP(N120,setup!$A$8:$H$58,5),VLOOKUP(N120,setup!$A$8:$H$58,6),VLOOKUP(N120,setup!$A$8:$H$58,7), VLOOKUP(0,setup!$A$8:$H$58,2),VLOOKUP(0,setup!$A$8:$H$58,5),VLOOKUP(N120,setup!$A$8:$H$58,8))</f>
        <v xml:space="preserve">  this.dataCadastro,</v>
      </c>
    </row>
    <row r="121" spans="1:15" x14ac:dyDescent="0.25">
      <c r="A121" s="6" t="s">
        <v>463</v>
      </c>
      <c r="N121">
        <f>N120+1</f>
        <v>50</v>
      </c>
      <c r="O121" s="7" t="str">
        <f ca="1">getCodigoBackend(N121,A121,VLOOKUP(N121,setup!$A$8:$H$58,2),VLOOKUP(N121,setup!$A$8:$H$58,3),VLOOKUP(N121,setup!$A$8:$H$58,4),VLOOKUP(N121,setup!$A$8:$H$58,5),VLOOKUP(N121,setup!$A$8:$H$58,6),VLOOKUP(N121,setup!$A$8:$H$58,7), VLOOKUP(0,setup!$A$8:$H$58,2),VLOOKUP(0,setup!$A$8:$H$58,5),VLOOKUP(N121,setup!$A$8:$H$58,8))</f>
        <v xml:space="preserve">  this.dataAtualizacao,</v>
      </c>
    </row>
    <row r="122" spans="1:15" x14ac:dyDescent="0.25">
      <c r="A122" s="6" t="s">
        <v>450</v>
      </c>
      <c r="O122" s="7" t="str">
        <f ca="1">getCodigoBackend(N122,A122,VLOOKUP(N122,setup!$A$8:$H$58,2),VLOOKUP(N122,setup!$A$8:$H$58,3),VLOOKUP(N122,setup!$A$8:$H$58,4),VLOOKUP(N122,setup!$A$8:$H$58,5),VLOOKUP(N122,setup!$A$8:$H$58,6),VLOOKUP(N122,setup!$A$8:$H$58,7), VLOOKUP(0,setup!$A$8:$H$58,2),VLOOKUP(0,setup!$A$8:$H$58,5),VLOOKUP(N122,setup!$A$8:$H$58,8))</f>
        <v xml:space="preserve">  this.msgcode='', </v>
      </c>
    </row>
    <row r="123" spans="1:15" x14ac:dyDescent="0.25">
      <c r="A123" s="6" t="s">
        <v>451</v>
      </c>
      <c r="O123" s="7" t="str">
        <f ca="1">getCodigoBackend(N123,A123,VLOOKUP(N123,setup!$A$8:$H$58,2),VLOOKUP(N123,setup!$A$8:$H$58,3),VLOOKUP(N123,setup!$A$8:$H$58,4),VLOOKUP(N123,setup!$A$8:$H$58,5),VLOOKUP(N123,setup!$A$8:$H$58,6),VLOOKUP(N123,setup!$A$8:$H$58,7), VLOOKUP(0,setup!$A$8:$H$58,2),VLOOKUP(0,setup!$A$8:$H$58,5),VLOOKUP(N123,setup!$A$8:$H$58,8))</f>
        <v xml:space="preserve">  this.msgcodeString=''});</v>
      </c>
    </row>
    <row r="124" spans="1:15" x14ac:dyDescent="0.25">
      <c r="A124" s="6"/>
      <c r="O124" s="7" t="str">
        <f ca="1">getCodigoBackend(N124,A124,VLOOKUP(N124,setup!$A$8:$H$58,2),VLOOKUP(N124,setup!$A$8:$H$58,3),VLOOKUP(N124,setup!$A$8:$H$58,4),VLOOKUP(N124,setup!$A$8:$H$58,5),VLOOKUP(N124,setup!$A$8:$H$58,6),VLOOKUP(N124,setup!$A$8:$H$58,7), VLOOKUP(0,setup!$A$8:$H$58,2),VLOOKUP(0,setup!$A$8:$H$58,5),VLOOKUP(N124,setup!$A$8:$H$58,8))</f>
        <v/>
      </c>
    </row>
    <row r="125" spans="1:15" x14ac:dyDescent="0.25">
      <c r="A125" s="15" t="s">
        <v>465</v>
      </c>
      <c r="O125" s="7" t="str">
        <f ca="1">getCodigoBackend(N125,A125,VLOOKUP(N125,setup!$A$8:$H$58,2),VLOOKUP(N125,setup!$A$8:$H$58,3),VLOOKUP(N125,setup!$A$8:$H$58,4),VLOOKUP(N125,setup!$A$8:$H$58,5),VLOOKUP(N125,setup!$A$8:$H$58,6),VLOOKUP(N125,setup!$A$8:$H$58,7), VLOOKUP(0,setup!$A$8:$H$58,2),VLOOKUP(0,setup!$A$8:$H$58,5),VLOOKUP(N125,setup!$A$8:$H$58,8))</f>
        <v>/// Retorno do Backend devolvendo um JSON na estrutura de campos abaixo</v>
      </c>
    </row>
    <row r="126" spans="1:15" x14ac:dyDescent="0.25">
      <c r="A126" s="6" t="s">
        <v>531</v>
      </c>
      <c r="O126" s="7" t="str">
        <f ca="1">getCodigoBackend(N126,A126,VLOOKUP(N126,setup!$A$8:$H$58,2),VLOOKUP(N126,setup!$A$8:$H$58,3),VLOOKUP(N126,setup!$A$8:$H$58,4),VLOOKUP(N126,setup!$A$8:$H$58,5),VLOOKUP(N126,setup!$A$8:$H$58,6),VLOOKUP(N126,setup!$A$8:$H$58,7), VLOOKUP(0,setup!$A$8:$H$58,2),VLOOKUP(0,setup!$A$8:$H$58,5),VLOOKUP(N126,setup!$A$8:$H$58,8))</f>
        <v xml:space="preserve">  factory CampanhaCashbackResgatePixVOPost.fromJson(Map&lt;String, dynamic&gt; json) {</v>
      </c>
    </row>
    <row r="127" spans="1:15" x14ac:dyDescent="0.25">
      <c r="A127" s="6" t="s">
        <v>532</v>
      </c>
      <c r="O127" s="7" t="str">
        <f ca="1">getCodigoBackend(N127,A127,VLOOKUP(N127,setup!$A$8:$H$58,2),VLOOKUP(N127,setup!$A$8:$H$58,3),VLOOKUP(N127,setup!$A$8:$H$58,4),VLOOKUP(N127,setup!$A$8:$H$58,5),VLOOKUP(N127,setup!$A$8:$H$58,6),VLOOKUP(N127,setup!$A$8:$H$58,7), VLOOKUP(0,setup!$A$8:$H$58,2),VLOOKUP(0,setup!$A$8:$H$58,5),VLOOKUP(N127,setup!$A$8:$H$58,8))</f>
        <v xml:space="preserve">    return CampanhaCashbackResgatePixVOPost(</v>
      </c>
    </row>
    <row r="128" spans="1:15" x14ac:dyDescent="0.25">
      <c r="A128" s="6" t="s">
        <v>452</v>
      </c>
      <c r="O128" s="7" t="str">
        <f ca="1">getCodigoBackend(N128,A128,VLOOKUP(N128,setup!$A$8:$H$58,2),VLOOKUP(N128,setup!$A$8:$H$58,3),VLOOKUP(N128,setup!$A$8:$H$58,4),VLOOKUP(N128,setup!$A$8:$H$58,5),VLOOKUP(N128,setup!$A$8:$H$58,6),VLOOKUP(N128,setup!$A$8:$H$58,7), VLOOKUP(0,setup!$A$8:$H$58,2),VLOOKUP(0,setup!$A$8:$H$58,5),VLOOKUP(N128,setup!$A$8:$H$58,8))</f>
        <v xml:space="preserve">      tokenid: json['tokenid'],</v>
      </c>
    </row>
    <row r="129" spans="1:15" x14ac:dyDescent="0.25">
      <c r="A129" s="6" t="s">
        <v>464</v>
      </c>
      <c r="N129">
        <v>0</v>
      </c>
      <c r="O129" s="7" t="str">
        <f ca="1">getCodigoBackend(N129,A129,VLOOKUP(N129,setup!$A$8:$H$58,2),VLOOKUP(N129,setup!$A$8:$H$58,3),VLOOKUP(N129,setup!$A$8:$H$58,4),VLOOKUP(N129,setup!$A$8:$H$58,5),VLOOKUP(N129,setup!$A$8:$H$58,6),VLOOKUP(N129,setup!$A$8:$H$58,7), VLOOKUP(0,setup!$A$8:$H$58,2),VLOOKUP(0,setup!$A$8:$H$58,5),VLOOKUP(N129,setup!$A$8:$H$58,8))</f>
        <v xml:space="preserve">      id: json['id'],</v>
      </c>
    </row>
    <row r="130" spans="1:15" x14ac:dyDescent="0.25">
      <c r="A130" s="6" t="s">
        <v>464</v>
      </c>
      <c r="N130">
        <f>N129+1</f>
        <v>1</v>
      </c>
      <c r="O130" s="7" t="str">
        <f ca="1">getCodigoBackend(N130,A130,VLOOKUP(N130,setup!$A$8:$H$58,2),VLOOKUP(N130,setup!$A$8:$H$58,3),VLOOKUP(N130,setup!$A$8:$H$58,4),VLOOKUP(N130,setup!$A$8:$H$58,5),VLOOKUP(N130,setup!$A$8:$H$58,6),VLOOKUP(N130,setup!$A$8:$H$58,7), VLOOKUP(0,setup!$A$8:$H$58,2),VLOOKUP(0,setup!$A$8:$H$58,5),VLOOKUP(N130,setup!$A$8:$H$58,8))</f>
        <v xml:space="preserve">      idCampanhaCashback: json['idCampanhaCashback'],</v>
      </c>
    </row>
    <row r="131" spans="1:15" x14ac:dyDescent="0.25">
      <c r="A131" s="6" t="s">
        <v>464</v>
      </c>
      <c r="N131">
        <f t="shared" ref="N131:N179" si="2">N130+1</f>
        <v>2</v>
      </c>
      <c r="O131" s="7" t="str">
        <f ca="1">getCodigoBackend(N131,A131,VLOOKUP(N131,setup!$A$8:$H$58,2),VLOOKUP(N131,setup!$A$8:$H$58,3),VLOOKUP(N131,setup!$A$8:$H$58,4),VLOOKUP(N131,setup!$A$8:$H$58,5),VLOOKUP(N131,setup!$A$8:$H$58,6),VLOOKUP(N131,setup!$A$8:$H$58,7), VLOOKUP(0,setup!$A$8:$H$58,2),VLOOKUP(0,setup!$A$8:$H$58,5),VLOOKUP(N131,setup!$A$8:$H$58,8))</f>
        <v xml:space="preserve">      idUsuarioSolicitante: json['idUsuarioSolicitante'],</v>
      </c>
    </row>
    <row r="132" spans="1:15" x14ac:dyDescent="0.25">
      <c r="A132" s="6" t="s">
        <v>464</v>
      </c>
      <c r="N132">
        <f t="shared" si="2"/>
        <v>3</v>
      </c>
      <c r="O132" s="7" t="str">
        <f ca="1">getCodigoBackend(N132,A132,VLOOKUP(N132,setup!$A$8:$H$58,2),VLOOKUP(N132,setup!$A$8:$H$58,3),VLOOKUP(N132,setup!$A$8:$H$58,4),VLOOKUP(N132,setup!$A$8:$H$58,5),VLOOKUP(N132,setup!$A$8:$H$58,6),VLOOKUP(N132,setup!$A$8:$H$58,7), VLOOKUP(0,setup!$A$8:$H$58,2),VLOOKUP(0,setup!$A$8:$H$58,5),VLOOKUP(N132,setup!$A$8:$H$58,8))</f>
        <v xml:space="preserve">      tipoChavePix: json['tipoChavePix'],</v>
      </c>
    </row>
    <row r="133" spans="1:15" x14ac:dyDescent="0.25">
      <c r="A133" s="6" t="s">
        <v>464</v>
      </c>
      <c r="N133">
        <f t="shared" si="2"/>
        <v>4</v>
      </c>
      <c r="O133" s="7" t="str">
        <f ca="1">getCodigoBackend(N133,A133,VLOOKUP(N133,setup!$A$8:$H$58,2),VLOOKUP(N133,setup!$A$8:$H$58,3),VLOOKUP(N133,setup!$A$8:$H$58,4),VLOOKUP(N133,setup!$A$8:$H$58,5),VLOOKUP(N133,setup!$A$8:$H$58,6),VLOOKUP(N133,setup!$A$8:$H$58,7), VLOOKUP(0,setup!$A$8:$H$58,2),VLOOKUP(0,setup!$A$8:$H$58,5),VLOOKUP(N133,setup!$A$8:$H$58,8))</f>
        <v xml:space="preserve">      chavePix: json['chavePix'],</v>
      </c>
    </row>
    <row r="134" spans="1:15" x14ac:dyDescent="0.25">
      <c r="A134" s="6" t="s">
        <v>464</v>
      </c>
      <c r="N134">
        <f t="shared" si="2"/>
        <v>5</v>
      </c>
      <c r="O134" s="7" t="str">
        <f ca="1">getCodigoBackend(N134,A134,VLOOKUP(N134,setup!$A$8:$H$58,2),VLOOKUP(N134,setup!$A$8:$H$58,3),VLOOKUP(N134,setup!$A$8:$H$58,4),VLOOKUP(N134,setup!$A$8:$H$58,5),VLOOKUP(N134,setup!$A$8:$H$58,6),VLOOKUP(N134,setup!$A$8:$H$58,7), VLOOKUP(0,setup!$A$8:$H$58,2),VLOOKUP(0,setup!$A$8:$H$58,5),VLOOKUP(N134,setup!$A$8:$H$58,8))</f>
        <v xml:space="preserve">      valorResgate: json['valorResgate'],</v>
      </c>
    </row>
    <row r="135" spans="1:15" x14ac:dyDescent="0.25">
      <c r="A135" s="6" t="s">
        <v>464</v>
      </c>
      <c r="N135">
        <f t="shared" si="2"/>
        <v>6</v>
      </c>
      <c r="O135" s="7" t="str">
        <f ca="1">getCodigoBackend(N135,A135,VLOOKUP(N135,setup!$A$8:$H$58,2),VLOOKUP(N135,setup!$A$8:$H$58,3),VLOOKUP(N135,setup!$A$8:$H$58,4),VLOOKUP(N135,setup!$A$8:$H$58,5),VLOOKUP(N135,setup!$A$8:$H$58,6),VLOOKUP(N135,setup!$A$8:$H$58,7), VLOOKUP(0,setup!$A$8:$H$58,2),VLOOKUP(0,setup!$A$8:$H$58,5),VLOOKUP(N135,setup!$A$8:$H$58,8))</f>
        <v xml:space="preserve">      autenticacaoBco: json['autenticacaoBco'],</v>
      </c>
    </row>
    <row r="136" spans="1:15" x14ac:dyDescent="0.25">
      <c r="A136" s="6" t="s">
        <v>464</v>
      </c>
      <c r="N136">
        <f t="shared" si="2"/>
        <v>7</v>
      </c>
      <c r="O136" s="7" t="str">
        <f ca="1">getCodigoBackend(N136,A136,VLOOKUP(N136,setup!$A$8:$H$58,2),VLOOKUP(N136,setup!$A$8:$H$58,3),VLOOKUP(N136,setup!$A$8:$H$58,4),VLOOKUP(N136,setup!$A$8:$H$58,5),VLOOKUP(N136,setup!$A$8:$H$58,6),VLOOKUP(N136,setup!$A$8:$H$58,7), VLOOKUP(0,setup!$A$8:$H$58,2),VLOOKUP(0,setup!$A$8:$H$58,5),VLOOKUP(N136,setup!$A$8:$H$58,8))</f>
        <v xml:space="preserve">      estagioRealTime: json['estagioRealTime'],</v>
      </c>
    </row>
    <row r="137" spans="1:15" x14ac:dyDescent="0.25">
      <c r="A137" s="6" t="s">
        <v>464</v>
      </c>
      <c r="N137">
        <f t="shared" si="2"/>
        <v>8</v>
      </c>
      <c r="O137" s="7" t="str">
        <f ca="1">getCodigoBackend(N137,A137,VLOOKUP(N137,setup!$A$8:$H$58,2),VLOOKUP(N137,setup!$A$8:$H$58,3),VLOOKUP(N137,setup!$A$8:$H$58,4),VLOOKUP(N137,setup!$A$8:$H$58,5),VLOOKUP(N137,setup!$A$8:$H$58,6),VLOOKUP(N137,setup!$A$8:$H$58,7), VLOOKUP(0,setup!$A$8:$H$58,2),VLOOKUP(0,setup!$A$8:$H$58,5),VLOOKUP(N137,setup!$A$8:$H$58,8))</f>
        <v xml:space="preserve">      dtEstagioAnalise: json['dtEstagioAnalise'],</v>
      </c>
    </row>
    <row r="138" spans="1:15" x14ac:dyDescent="0.25">
      <c r="A138" s="6" t="s">
        <v>464</v>
      </c>
      <c r="N138">
        <f t="shared" si="2"/>
        <v>9</v>
      </c>
      <c r="O138" s="7" t="str">
        <f ca="1">getCodigoBackend(N138,A138,VLOOKUP(N138,setup!$A$8:$H$58,2),VLOOKUP(N138,setup!$A$8:$H$58,3),VLOOKUP(N138,setup!$A$8:$H$58,4),VLOOKUP(N138,setup!$A$8:$H$58,5),VLOOKUP(N138,setup!$A$8:$H$58,6),VLOOKUP(N138,setup!$A$8:$H$58,7), VLOOKUP(0,setup!$A$8:$H$58,2),VLOOKUP(0,setup!$A$8:$H$58,5),VLOOKUP(N138,setup!$A$8:$H$58,8))</f>
        <v xml:space="preserve">      dtEstagioFinanceiro: json['dtEstagioFinanceiro'],</v>
      </c>
    </row>
    <row r="139" spans="1:15" x14ac:dyDescent="0.25">
      <c r="A139" s="6" t="s">
        <v>464</v>
      </c>
      <c r="N139">
        <f t="shared" si="2"/>
        <v>10</v>
      </c>
      <c r="O139" s="7" t="str">
        <f ca="1">getCodigoBackend(N139,A139,VLOOKUP(N139,setup!$A$8:$H$58,2),VLOOKUP(N139,setup!$A$8:$H$58,3),VLOOKUP(N139,setup!$A$8:$H$58,4),VLOOKUP(N139,setup!$A$8:$H$58,5),VLOOKUP(N139,setup!$A$8:$H$58,6),VLOOKUP(N139,setup!$A$8:$H$58,7), VLOOKUP(0,setup!$A$8:$H$58,2),VLOOKUP(0,setup!$A$8:$H$58,5),VLOOKUP(N139,setup!$A$8:$H$58,8))</f>
        <v xml:space="preserve">      dtEstagioErro: json['dtEstagioErro'],</v>
      </c>
    </row>
    <row r="140" spans="1:15" x14ac:dyDescent="0.25">
      <c r="A140" s="6" t="s">
        <v>464</v>
      </c>
      <c r="N140">
        <f t="shared" si="2"/>
        <v>11</v>
      </c>
      <c r="O140" s="7" t="str">
        <f ca="1">getCodigoBackend(N140,A140,VLOOKUP(N140,setup!$A$8:$H$58,2),VLOOKUP(N140,setup!$A$8:$H$58,3),VLOOKUP(N140,setup!$A$8:$H$58,4),VLOOKUP(N140,setup!$A$8:$H$58,5),VLOOKUP(N140,setup!$A$8:$H$58,6),VLOOKUP(N140,setup!$A$8:$H$58,7), VLOOKUP(0,setup!$A$8:$H$58,2),VLOOKUP(0,setup!$A$8:$H$58,5),VLOOKUP(N140,setup!$A$8:$H$58,8))</f>
        <v xml:space="preserve">      dtEstagioTranfBco: json['dtEstagioTranfBco'],</v>
      </c>
    </row>
    <row r="141" spans="1:15" x14ac:dyDescent="0.25">
      <c r="A141" s="6" t="s">
        <v>464</v>
      </c>
      <c r="N141">
        <f t="shared" si="2"/>
        <v>12</v>
      </c>
      <c r="O141" s="7" t="str">
        <f ca="1">getCodigoBackend(N141,A141,VLOOKUP(N141,setup!$A$8:$H$58,2),VLOOKUP(N141,setup!$A$8:$H$58,3),VLOOKUP(N141,setup!$A$8:$H$58,4),VLOOKUP(N141,setup!$A$8:$H$58,5),VLOOKUP(N141,setup!$A$8:$H$58,6),VLOOKUP(N141,setup!$A$8:$H$58,7), VLOOKUP(0,setup!$A$8:$H$58,2),VLOOKUP(0,setup!$A$8:$H$58,5),VLOOKUP(N141,setup!$A$8:$H$58,8))</f>
        <v xml:space="preserve">      txtLivreEstagioRT: json['txtLivreEstagioRT'],</v>
      </c>
    </row>
    <row r="142" spans="1:15" x14ac:dyDescent="0.25">
      <c r="A142" s="6" t="s">
        <v>464</v>
      </c>
      <c r="N142">
        <f t="shared" si="2"/>
        <v>13</v>
      </c>
      <c r="O142" s="7" t="e">
        <f>getCodigoBackend(N142,A142,VLOOKUP(N142,setup!$A$8:$H$58,2),VLOOKUP(N142,setup!$A$8:$H$58,3),VLOOKUP(N142,setup!$A$8:$H$58,4),VLOOKUP(N142,setup!$A$8:$H$58,5),VLOOKUP(N142,setup!$A$8:$H$58,6),VLOOKUP(N142,setup!$A$8:$H$58,7), VLOOKUP(0,setup!$A$8:$H$58,2),VLOOKUP(0,setup!$A$8:$H$58,5),VLOOKUP(N142,setup!$A$8:$H$58,8))</f>
        <v>#VALUE!</v>
      </c>
    </row>
    <row r="143" spans="1:15" x14ac:dyDescent="0.25">
      <c r="A143" s="6" t="s">
        <v>464</v>
      </c>
      <c r="N143">
        <f t="shared" si="2"/>
        <v>14</v>
      </c>
      <c r="O143" s="7" t="e">
        <f>getCodigoBackend(N143,A143,VLOOKUP(N143,setup!$A$8:$H$58,2),VLOOKUP(N143,setup!$A$8:$H$58,3),VLOOKUP(N143,setup!$A$8:$H$58,4),VLOOKUP(N143,setup!$A$8:$H$58,5),VLOOKUP(N143,setup!$A$8:$H$58,6),VLOOKUP(N143,setup!$A$8:$H$58,7), VLOOKUP(0,setup!$A$8:$H$58,2),VLOOKUP(0,setup!$A$8:$H$58,5),VLOOKUP(N143,setup!$A$8:$H$58,8))</f>
        <v>#VALUE!</v>
      </c>
    </row>
    <row r="144" spans="1:15" x14ac:dyDescent="0.25">
      <c r="A144" s="6" t="s">
        <v>464</v>
      </c>
      <c r="N144">
        <f t="shared" si="2"/>
        <v>15</v>
      </c>
      <c r="O144" s="7" t="e">
        <f>getCodigoBackend(N144,A144,VLOOKUP(N144,setup!$A$8:$H$58,2),VLOOKUP(N144,setup!$A$8:$H$58,3),VLOOKUP(N144,setup!$A$8:$H$58,4),VLOOKUP(N144,setup!$A$8:$H$58,5),VLOOKUP(N144,setup!$A$8:$H$58,6),VLOOKUP(N144,setup!$A$8:$H$58,7), VLOOKUP(0,setup!$A$8:$H$58,2),VLOOKUP(0,setup!$A$8:$H$58,5),VLOOKUP(N144,setup!$A$8:$H$58,8))</f>
        <v>#VALUE!</v>
      </c>
    </row>
    <row r="145" spans="1:15" x14ac:dyDescent="0.25">
      <c r="A145" s="6" t="s">
        <v>464</v>
      </c>
      <c r="N145">
        <f t="shared" si="2"/>
        <v>16</v>
      </c>
      <c r="O145" s="7" t="e">
        <f>getCodigoBackend(N145,A145,VLOOKUP(N145,setup!$A$8:$H$58,2),VLOOKUP(N145,setup!$A$8:$H$58,3),VLOOKUP(N145,setup!$A$8:$H$58,4),VLOOKUP(N145,setup!$A$8:$H$58,5),VLOOKUP(N145,setup!$A$8:$H$58,6),VLOOKUP(N145,setup!$A$8:$H$58,7), VLOOKUP(0,setup!$A$8:$H$58,2),VLOOKUP(0,setup!$A$8:$H$58,5),VLOOKUP(N145,setup!$A$8:$H$58,8))</f>
        <v>#VALUE!</v>
      </c>
    </row>
    <row r="146" spans="1:15" x14ac:dyDescent="0.25">
      <c r="A146" s="6" t="s">
        <v>464</v>
      </c>
      <c r="N146">
        <f t="shared" si="2"/>
        <v>17</v>
      </c>
      <c r="O146" s="7" t="e">
        <f>getCodigoBackend(N146,A146,VLOOKUP(N146,setup!$A$8:$H$58,2),VLOOKUP(N146,setup!$A$8:$H$58,3),VLOOKUP(N146,setup!$A$8:$H$58,4),VLOOKUP(N146,setup!$A$8:$H$58,5),VLOOKUP(N146,setup!$A$8:$H$58,6),VLOOKUP(N146,setup!$A$8:$H$58,7), VLOOKUP(0,setup!$A$8:$H$58,2),VLOOKUP(0,setup!$A$8:$H$58,5),VLOOKUP(N146,setup!$A$8:$H$58,8))</f>
        <v>#VALUE!</v>
      </c>
    </row>
    <row r="147" spans="1:15" x14ac:dyDescent="0.25">
      <c r="A147" s="6" t="s">
        <v>464</v>
      </c>
      <c r="N147">
        <f t="shared" si="2"/>
        <v>18</v>
      </c>
      <c r="O147" s="7" t="e">
        <f>getCodigoBackend(N147,A147,VLOOKUP(N147,setup!$A$8:$H$58,2),VLOOKUP(N147,setup!$A$8:$H$58,3),VLOOKUP(N147,setup!$A$8:$H$58,4),VLOOKUP(N147,setup!$A$8:$H$58,5),VLOOKUP(N147,setup!$A$8:$H$58,6),VLOOKUP(N147,setup!$A$8:$H$58,7), VLOOKUP(0,setup!$A$8:$H$58,2),VLOOKUP(0,setup!$A$8:$H$58,5),VLOOKUP(N147,setup!$A$8:$H$58,8))</f>
        <v>#VALUE!</v>
      </c>
    </row>
    <row r="148" spans="1:15" x14ac:dyDescent="0.25">
      <c r="A148" s="6" t="s">
        <v>464</v>
      </c>
      <c r="N148">
        <f t="shared" si="2"/>
        <v>19</v>
      </c>
      <c r="O148" s="7" t="e">
        <f>getCodigoBackend(N148,A148,VLOOKUP(N148,setup!$A$8:$H$58,2),VLOOKUP(N148,setup!$A$8:$H$58,3),VLOOKUP(N148,setup!$A$8:$H$58,4),VLOOKUP(N148,setup!$A$8:$H$58,5),VLOOKUP(N148,setup!$A$8:$H$58,6),VLOOKUP(N148,setup!$A$8:$H$58,7), VLOOKUP(0,setup!$A$8:$H$58,2),VLOOKUP(0,setup!$A$8:$H$58,5),VLOOKUP(N148,setup!$A$8:$H$58,8))</f>
        <v>#VALUE!</v>
      </c>
    </row>
    <row r="149" spans="1:15" x14ac:dyDescent="0.25">
      <c r="A149" s="6" t="s">
        <v>464</v>
      </c>
      <c r="N149">
        <f t="shared" si="2"/>
        <v>20</v>
      </c>
      <c r="O149" s="7" t="e">
        <f>getCodigoBackend(N149,A149,VLOOKUP(N149,setup!$A$8:$H$58,2),VLOOKUP(N149,setup!$A$8:$H$58,3),VLOOKUP(N149,setup!$A$8:$H$58,4),VLOOKUP(N149,setup!$A$8:$H$58,5),VLOOKUP(N149,setup!$A$8:$H$58,6),VLOOKUP(N149,setup!$A$8:$H$58,7), VLOOKUP(0,setup!$A$8:$H$58,2),VLOOKUP(0,setup!$A$8:$H$58,5),VLOOKUP(N149,setup!$A$8:$H$58,8))</f>
        <v>#VALUE!</v>
      </c>
    </row>
    <row r="150" spans="1:15" x14ac:dyDescent="0.25">
      <c r="A150" s="6" t="s">
        <v>464</v>
      </c>
      <c r="N150">
        <f t="shared" si="2"/>
        <v>21</v>
      </c>
      <c r="O150" s="7" t="e">
        <f>getCodigoBackend(N150,A150,VLOOKUP(N150,setup!$A$8:$H$58,2),VLOOKUP(N150,setup!$A$8:$H$58,3),VLOOKUP(N150,setup!$A$8:$H$58,4),VLOOKUP(N150,setup!$A$8:$H$58,5),VLOOKUP(N150,setup!$A$8:$H$58,6),VLOOKUP(N150,setup!$A$8:$H$58,7), VLOOKUP(0,setup!$A$8:$H$58,2),VLOOKUP(0,setup!$A$8:$H$58,5),VLOOKUP(N150,setup!$A$8:$H$58,8))</f>
        <v>#VALUE!</v>
      </c>
    </row>
    <row r="151" spans="1:15" x14ac:dyDescent="0.25">
      <c r="A151" s="6" t="s">
        <v>464</v>
      </c>
      <c r="N151">
        <f t="shared" si="2"/>
        <v>22</v>
      </c>
      <c r="O151" s="7" t="e">
        <f>getCodigoBackend(N151,A151,VLOOKUP(N151,setup!$A$8:$H$58,2),VLOOKUP(N151,setup!$A$8:$H$58,3),VLOOKUP(N151,setup!$A$8:$H$58,4),VLOOKUP(N151,setup!$A$8:$H$58,5),VLOOKUP(N151,setup!$A$8:$H$58,6),VLOOKUP(N151,setup!$A$8:$H$58,7), VLOOKUP(0,setup!$A$8:$H$58,2),VLOOKUP(0,setup!$A$8:$H$58,5),VLOOKUP(N151,setup!$A$8:$H$58,8))</f>
        <v>#VALUE!</v>
      </c>
    </row>
    <row r="152" spans="1:15" x14ac:dyDescent="0.25">
      <c r="A152" s="6" t="s">
        <v>464</v>
      </c>
      <c r="N152">
        <f t="shared" si="2"/>
        <v>23</v>
      </c>
      <c r="O152" s="7" t="e">
        <f>getCodigoBackend(N152,A152,VLOOKUP(N152,setup!$A$8:$H$58,2),VLOOKUP(N152,setup!$A$8:$H$58,3),VLOOKUP(N152,setup!$A$8:$H$58,4),VLOOKUP(N152,setup!$A$8:$H$58,5),VLOOKUP(N152,setup!$A$8:$H$58,6),VLOOKUP(N152,setup!$A$8:$H$58,7), VLOOKUP(0,setup!$A$8:$H$58,2),VLOOKUP(0,setup!$A$8:$H$58,5),VLOOKUP(N152,setup!$A$8:$H$58,8))</f>
        <v>#VALUE!</v>
      </c>
    </row>
    <row r="153" spans="1:15" x14ac:dyDescent="0.25">
      <c r="A153" s="6" t="s">
        <v>464</v>
      </c>
      <c r="N153">
        <f t="shared" si="2"/>
        <v>24</v>
      </c>
      <c r="O153" s="7" t="e">
        <f>getCodigoBackend(N153,A153,VLOOKUP(N153,setup!$A$8:$H$58,2),VLOOKUP(N153,setup!$A$8:$H$58,3),VLOOKUP(N153,setup!$A$8:$H$58,4),VLOOKUP(N153,setup!$A$8:$H$58,5),VLOOKUP(N153,setup!$A$8:$H$58,6),VLOOKUP(N153,setup!$A$8:$H$58,7), VLOOKUP(0,setup!$A$8:$H$58,2),VLOOKUP(0,setup!$A$8:$H$58,5),VLOOKUP(N153,setup!$A$8:$H$58,8))</f>
        <v>#VALUE!</v>
      </c>
    </row>
    <row r="154" spans="1:15" x14ac:dyDescent="0.25">
      <c r="A154" s="6" t="s">
        <v>464</v>
      </c>
      <c r="N154">
        <f t="shared" si="2"/>
        <v>25</v>
      </c>
      <c r="O154" s="7" t="e">
        <f>getCodigoBackend(N154,A154,VLOOKUP(N154,setup!$A$8:$H$58,2),VLOOKUP(N154,setup!$A$8:$H$58,3),VLOOKUP(N154,setup!$A$8:$H$58,4),VLOOKUP(N154,setup!$A$8:$H$58,5),VLOOKUP(N154,setup!$A$8:$H$58,6),VLOOKUP(N154,setup!$A$8:$H$58,7), VLOOKUP(0,setup!$A$8:$H$58,2),VLOOKUP(0,setup!$A$8:$H$58,5),VLOOKUP(N154,setup!$A$8:$H$58,8))</f>
        <v>#VALUE!</v>
      </c>
    </row>
    <row r="155" spans="1:15" x14ac:dyDescent="0.25">
      <c r="A155" s="6" t="s">
        <v>464</v>
      </c>
      <c r="N155">
        <f t="shared" si="2"/>
        <v>26</v>
      </c>
      <c r="O155" s="7" t="e">
        <f>getCodigoBackend(N155,A155,VLOOKUP(N155,setup!$A$8:$H$58,2),VLOOKUP(N155,setup!$A$8:$H$58,3),VLOOKUP(N155,setup!$A$8:$H$58,4),VLOOKUP(N155,setup!$A$8:$H$58,5),VLOOKUP(N155,setup!$A$8:$H$58,6),VLOOKUP(N155,setup!$A$8:$H$58,7), VLOOKUP(0,setup!$A$8:$H$58,2),VLOOKUP(0,setup!$A$8:$H$58,5),VLOOKUP(N155,setup!$A$8:$H$58,8))</f>
        <v>#VALUE!</v>
      </c>
    </row>
    <row r="156" spans="1:15" x14ac:dyDescent="0.25">
      <c r="A156" s="6" t="s">
        <v>464</v>
      </c>
      <c r="N156">
        <f t="shared" si="2"/>
        <v>27</v>
      </c>
      <c r="O156" s="7" t="e">
        <f>getCodigoBackend(N156,A156,VLOOKUP(N156,setup!$A$8:$H$58,2),VLOOKUP(N156,setup!$A$8:$H$58,3),VLOOKUP(N156,setup!$A$8:$H$58,4),VLOOKUP(N156,setup!$A$8:$H$58,5),VLOOKUP(N156,setup!$A$8:$H$58,6),VLOOKUP(N156,setup!$A$8:$H$58,7), VLOOKUP(0,setup!$A$8:$H$58,2),VLOOKUP(0,setup!$A$8:$H$58,5),VLOOKUP(N156,setup!$A$8:$H$58,8))</f>
        <v>#VALUE!</v>
      </c>
    </row>
    <row r="157" spans="1:15" x14ac:dyDescent="0.25">
      <c r="A157" s="6" t="s">
        <v>464</v>
      </c>
      <c r="N157">
        <f t="shared" si="2"/>
        <v>28</v>
      </c>
      <c r="O157" s="7" t="e">
        <f>getCodigoBackend(N157,A157,VLOOKUP(N157,setup!$A$8:$H$58,2),VLOOKUP(N157,setup!$A$8:$H$58,3),VLOOKUP(N157,setup!$A$8:$H$58,4),VLOOKUP(N157,setup!$A$8:$H$58,5),VLOOKUP(N157,setup!$A$8:$H$58,6),VLOOKUP(N157,setup!$A$8:$H$58,7), VLOOKUP(0,setup!$A$8:$H$58,2),VLOOKUP(0,setup!$A$8:$H$58,5),VLOOKUP(N157,setup!$A$8:$H$58,8))</f>
        <v>#VALUE!</v>
      </c>
    </row>
    <row r="158" spans="1:15" x14ac:dyDescent="0.25">
      <c r="A158" s="6" t="s">
        <v>464</v>
      </c>
      <c r="N158">
        <f t="shared" si="2"/>
        <v>29</v>
      </c>
      <c r="O158" s="7" t="e">
        <f>getCodigoBackend(N158,A158,VLOOKUP(N158,setup!$A$8:$H$58,2),VLOOKUP(N158,setup!$A$8:$H$58,3),VLOOKUP(N158,setup!$A$8:$H$58,4),VLOOKUP(N158,setup!$A$8:$H$58,5),VLOOKUP(N158,setup!$A$8:$H$58,6),VLOOKUP(N158,setup!$A$8:$H$58,7), VLOOKUP(0,setup!$A$8:$H$58,2),VLOOKUP(0,setup!$A$8:$H$58,5),VLOOKUP(N158,setup!$A$8:$H$58,8))</f>
        <v>#VALUE!</v>
      </c>
    </row>
    <row r="159" spans="1:15" x14ac:dyDescent="0.25">
      <c r="A159" s="6" t="s">
        <v>464</v>
      </c>
      <c r="N159">
        <f t="shared" si="2"/>
        <v>30</v>
      </c>
      <c r="O159" s="7" t="e">
        <f>getCodigoBackend(N159,A159,VLOOKUP(N159,setup!$A$8:$H$58,2),VLOOKUP(N159,setup!$A$8:$H$58,3),VLOOKUP(N159,setup!$A$8:$H$58,4),VLOOKUP(N159,setup!$A$8:$H$58,5),VLOOKUP(N159,setup!$A$8:$H$58,6),VLOOKUP(N159,setup!$A$8:$H$58,7), VLOOKUP(0,setup!$A$8:$H$58,2),VLOOKUP(0,setup!$A$8:$H$58,5),VLOOKUP(N159,setup!$A$8:$H$58,8))</f>
        <v>#VALUE!</v>
      </c>
    </row>
    <row r="160" spans="1:15" x14ac:dyDescent="0.25">
      <c r="A160" s="6" t="s">
        <v>464</v>
      </c>
      <c r="N160">
        <f t="shared" si="2"/>
        <v>31</v>
      </c>
      <c r="O160" s="7" t="e">
        <f>getCodigoBackend(N160,A160,VLOOKUP(N160,setup!$A$8:$H$58,2),VLOOKUP(N160,setup!$A$8:$H$58,3),VLOOKUP(N160,setup!$A$8:$H$58,4),VLOOKUP(N160,setup!$A$8:$H$58,5),VLOOKUP(N160,setup!$A$8:$H$58,6),VLOOKUP(N160,setup!$A$8:$H$58,7), VLOOKUP(0,setup!$A$8:$H$58,2),VLOOKUP(0,setup!$A$8:$H$58,5),VLOOKUP(N160,setup!$A$8:$H$58,8))</f>
        <v>#VALUE!</v>
      </c>
    </row>
    <row r="161" spans="1:15" x14ac:dyDescent="0.25">
      <c r="A161" s="6" t="s">
        <v>464</v>
      </c>
      <c r="N161">
        <f t="shared" si="2"/>
        <v>32</v>
      </c>
      <c r="O161" s="7" t="e">
        <f>getCodigoBackend(N161,A161,VLOOKUP(N161,setup!$A$8:$H$58,2),VLOOKUP(N161,setup!$A$8:$H$58,3),VLOOKUP(N161,setup!$A$8:$H$58,4),VLOOKUP(N161,setup!$A$8:$H$58,5),VLOOKUP(N161,setup!$A$8:$H$58,6),VLOOKUP(N161,setup!$A$8:$H$58,7), VLOOKUP(0,setup!$A$8:$H$58,2),VLOOKUP(0,setup!$A$8:$H$58,5),VLOOKUP(N161,setup!$A$8:$H$58,8))</f>
        <v>#VALUE!</v>
      </c>
    </row>
    <row r="162" spans="1:15" x14ac:dyDescent="0.25">
      <c r="A162" s="6" t="s">
        <v>464</v>
      </c>
      <c r="N162">
        <f t="shared" si="2"/>
        <v>33</v>
      </c>
      <c r="O162" s="7" t="e">
        <f>getCodigoBackend(N162,A162,VLOOKUP(N162,setup!$A$8:$H$58,2),VLOOKUP(N162,setup!$A$8:$H$58,3),VLOOKUP(N162,setup!$A$8:$H$58,4),VLOOKUP(N162,setup!$A$8:$H$58,5),VLOOKUP(N162,setup!$A$8:$H$58,6),VLOOKUP(N162,setup!$A$8:$H$58,7), VLOOKUP(0,setup!$A$8:$H$58,2),VLOOKUP(0,setup!$A$8:$H$58,5),VLOOKUP(N162,setup!$A$8:$H$58,8))</f>
        <v>#VALUE!</v>
      </c>
    </row>
    <row r="163" spans="1:15" x14ac:dyDescent="0.25">
      <c r="A163" s="6" t="s">
        <v>464</v>
      </c>
      <c r="N163">
        <f t="shared" si="2"/>
        <v>34</v>
      </c>
      <c r="O163" s="7" t="e">
        <f>getCodigoBackend(N163,A163,VLOOKUP(N163,setup!$A$8:$H$58,2),VLOOKUP(N163,setup!$A$8:$H$58,3),VLOOKUP(N163,setup!$A$8:$H$58,4),VLOOKUP(N163,setup!$A$8:$H$58,5),VLOOKUP(N163,setup!$A$8:$H$58,6),VLOOKUP(N163,setup!$A$8:$H$58,7), VLOOKUP(0,setup!$A$8:$H$58,2),VLOOKUP(0,setup!$A$8:$H$58,5),VLOOKUP(N163,setup!$A$8:$H$58,8))</f>
        <v>#VALUE!</v>
      </c>
    </row>
    <row r="164" spans="1:15" x14ac:dyDescent="0.25">
      <c r="A164" s="6" t="s">
        <v>464</v>
      </c>
      <c r="N164">
        <f t="shared" si="2"/>
        <v>35</v>
      </c>
      <c r="O164" s="7" t="e">
        <f>getCodigoBackend(N164,A164,VLOOKUP(N164,setup!$A$8:$H$58,2),VLOOKUP(N164,setup!$A$8:$H$58,3),VLOOKUP(N164,setup!$A$8:$H$58,4),VLOOKUP(N164,setup!$A$8:$H$58,5),VLOOKUP(N164,setup!$A$8:$H$58,6),VLOOKUP(N164,setup!$A$8:$H$58,7), VLOOKUP(0,setup!$A$8:$H$58,2),VLOOKUP(0,setup!$A$8:$H$58,5),VLOOKUP(N164,setup!$A$8:$H$58,8))</f>
        <v>#VALUE!</v>
      </c>
    </row>
    <row r="165" spans="1:15" x14ac:dyDescent="0.25">
      <c r="A165" s="6" t="s">
        <v>464</v>
      </c>
      <c r="N165">
        <f t="shared" si="2"/>
        <v>36</v>
      </c>
      <c r="O165" s="7" t="e">
        <f>getCodigoBackend(N165,A165,VLOOKUP(N165,setup!$A$8:$H$58,2),VLOOKUP(N165,setup!$A$8:$H$58,3),VLOOKUP(N165,setup!$A$8:$H$58,4),VLOOKUP(N165,setup!$A$8:$H$58,5),VLOOKUP(N165,setup!$A$8:$H$58,6),VLOOKUP(N165,setup!$A$8:$H$58,7), VLOOKUP(0,setup!$A$8:$H$58,2),VLOOKUP(0,setup!$A$8:$H$58,5),VLOOKUP(N165,setup!$A$8:$H$58,8))</f>
        <v>#VALUE!</v>
      </c>
    </row>
    <row r="166" spans="1:15" x14ac:dyDescent="0.25">
      <c r="A166" s="6" t="s">
        <v>464</v>
      </c>
      <c r="N166">
        <f>N165+1</f>
        <v>37</v>
      </c>
      <c r="O166" s="7" t="e">
        <f>getCodigoBackend(N166,A166,VLOOKUP(N166,setup!$A$8:$H$58,2),VLOOKUP(N166,setup!$A$8:$H$58,3),VLOOKUP(N166,setup!$A$8:$H$58,4),VLOOKUP(N166,setup!$A$8:$H$58,5),VLOOKUP(N166,setup!$A$8:$H$58,6),VLOOKUP(N166,setup!$A$8:$H$58,7), VLOOKUP(0,setup!$A$8:$H$58,2),VLOOKUP(0,setup!$A$8:$H$58,5),VLOOKUP(N166,setup!$A$8:$H$58,8))</f>
        <v>#VALUE!</v>
      </c>
    </row>
    <row r="167" spans="1:15" x14ac:dyDescent="0.25">
      <c r="A167" s="6" t="s">
        <v>464</v>
      </c>
      <c r="N167">
        <f t="shared" si="2"/>
        <v>38</v>
      </c>
      <c r="O167" s="7" t="e">
        <f>getCodigoBackend(N167,A167,VLOOKUP(N167,setup!$A$8:$H$58,2),VLOOKUP(N167,setup!$A$8:$H$58,3),VLOOKUP(N167,setup!$A$8:$H$58,4),VLOOKUP(N167,setup!$A$8:$H$58,5),VLOOKUP(N167,setup!$A$8:$H$58,6),VLOOKUP(N167,setup!$A$8:$H$58,7), VLOOKUP(0,setup!$A$8:$H$58,2),VLOOKUP(0,setup!$A$8:$H$58,5),VLOOKUP(N167,setup!$A$8:$H$58,8))</f>
        <v>#VALUE!</v>
      </c>
    </row>
    <row r="168" spans="1:15" x14ac:dyDescent="0.25">
      <c r="A168" s="6" t="s">
        <v>464</v>
      </c>
      <c r="N168">
        <f t="shared" si="2"/>
        <v>39</v>
      </c>
      <c r="O168" s="7" t="e">
        <f>getCodigoBackend(N168,A168,VLOOKUP(N168,setup!$A$8:$H$58,2),VLOOKUP(N168,setup!$A$8:$H$58,3),VLOOKUP(N168,setup!$A$8:$H$58,4),VLOOKUP(N168,setup!$A$8:$H$58,5),VLOOKUP(N168,setup!$A$8:$H$58,6),VLOOKUP(N168,setup!$A$8:$H$58,7), VLOOKUP(0,setup!$A$8:$H$58,2),VLOOKUP(0,setup!$A$8:$H$58,5),VLOOKUP(N168,setup!$A$8:$H$58,8))</f>
        <v>#VALUE!</v>
      </c>
    </row>
    <row r="169" spans="1:15" x14ac:dyDescent="0.25">
      <c r="A169" s="6" t="s">
        <v>464</v>
      </c>
      <c r="N169">
        <f t="shared" si="2"/>
        <v>40</v>
      </c>
      <c r="O169" s="7" t="e">
        <f>getCodigoBackend(N169,A169,VLOOKUP(N169,setup!$A$8:$H$58,2),VLOOKUP(N169,setup!$A$8:$H$58,3),VLOOKUP(N169,setup!$A$8:$H$58,4),VLOOKUP(N169,setup!$A$8:$H$58,5),VLOOKUP(N169,setup!$A$8:$H$58,6),VLOOKUP(N169,setup!$A$8:$H$58,7), VLOOKUP(0,setup!$A$8:$H$58,2),VLOOKUP(0,setup!$A$8:$H$58,5),VLOOKUP(N169,setup!$A$8:$H$58,8))</f>
        <v>#VALUE!</v>
      </c>
    </row>
    <row r="170" spans="1:15" x14ac:dyDescent="0.25">
      <c r="A170" s="6" t="s">
        <v>464</v>
      </c>
      <c r="N170">
        <f t="shared" si="2"/>
        <v>41</v>
      </c>
      <c r="O170" s="7" t="e">
        <f>getCodigoBackend(N170,A170,VLOOKUP(N170,setup!$A$8:$H$58,2),VLOOKUP(N170,setup!$A$8:$H$58,3),VLOOKUP(N170,setup!$A$8:$H$58,4),VLOOKUP(N170,setup!$A$8:$H$58,5),VLOOKUP(N170,setup!$A$8:$H$58,6),VLOOKUP(N170,setup!$A$8:$H$58,7), VLOOKUP(0,setup!$A$8:$H$58,2),VLOOKUP(0,setup!$A$8:$H$58,5),VLOOKUP(N170,setup!$A$8:$H$58,8))</f>
        <v>#VALUE!</v>
      </c>
    </row>
    <row r="171" spans="1:15" x14ac:dyDescent="0.25">
      <c r="A171" s="6" t="s">
        <v>464</v>
      </c>
      <c r="N171">
        <f t="shared" si="2"/>
        <v>42</v>
      </c>
      <c r="O171" s="7" t="e">
        <f>getCodigoBackend(N171,A171,VLOOKUP(N171,setup!$A$8:$H$58,2),VLOOKUP(N171,setup!$A$8:$H$58,3),VLOOKUP(N171,setup!$A$8:$H$58,4),VLOOKUP(N171,setup!$A$8:$H$58,5),VLOOKUP(N171,setup!$A$8:$H$58,6),VLOOKUP(N171,setup!$A$8:$H$58,7), VLOOKUP(0,setup!$A$8:$H$58,2),VLOOKUP(0,setup!$A$8:$H$58,5),VLOOKUP(N171,setup!$A$8:$H$58,8))</f>
        <v>#VALUE!</v>
      </c>
    </row>
    <row r="172" spans="1:15" x14ac:dyDescent="0.25">
      <c r="A172" s="6" t="s">
        <v>464</v>
      </c>
      <c r="N172">
        <f t="shared" si="2"/>
        <v>43</v>
      </c>
      <c r="O172" s="7" t="e">
        <f>getCodigoBackend(N172,A172,VLOOKUP(N172,setup!$A$8:$H$58,2),VLOOKUP(N172,setup!$A$8:$H$58,3),VLOOKUP(N172,setup!$A$8:$H$58,4),VLOOKUP(N172,setup!$A$8:$H$58,5),VLOOKUP(N172,setup!$A$8:$H$58,6),VLOOKUP(N172,setup!$A$8:$H$58,7), VLOOKUP(0,setup!$A$8:$H$58,2),VLOOKUP(0,setup!$A$8:$H$58,5),VLOOKUP(N172,setup!$A$8:$H$58,8))</f>
        <v>#VALUE!</v>
      </c>
    </row>
    <row r="173" spans="1:15" x14ac:dyDescent="0.25">
      <c r="A173" s="6" t="s">
        <v>464</v>
      </c>
      <c r="N173">
        <f t="shared" si="2"/>
        <v>44</v>
      </c>
      <c r="O173" s="7" t="e">
        <f>getCodigoBackend(N173,A173,VLOOKUP(N173,setup!$A$8:$H$58,2),VLOOKUP(N173,setup!$A$8:$H$58,3),VLOOKUP(N173,setup!$A$8:$H$58,4),VLOOKUP(N173,setup!$A$8:$H$58,5),VLOOKUP(N173,setup!$A$8:$H$58,6),VLOOKUP(N173,setup!$A$8:$H$58,7), VLOOKUP(0,setup!$A$8:$H$58,2),VLOOKUP(0,setup!$A$8:$H$58,5),VLOOKUP(N173,setup!$A$8:$H$58,8))</f>
        <v>#VALUE!</v>
      </c>
    </row>
    <row r="174" spans="1:15" x14ac:dyDescent="0.25">
      <c r="A174" s="6" t="s">
        <v>464</v>
      </c>
      <c r="N174">
        <f t="shared" si="2"/>
        <v>45</v>
      </c>
      <c r="O174" s="7" t="e">
        <f>getCodigoBackend(N174,A174,VLOOKUP(N174,setup!$A$8:$H$58,2),VLOOKUP(N174,setup!$A$8:$H$58,3),VLOOKUP(N174,setup!$A$8:$H$58,4),VLOOKUP(N174,setup!$A$8:$H$58,5),VLOOKUP(N174,setup!$A$8:$H$58,6),VLOOKUP(N174,setup!$A$8:$H$58,7), VLOOKUP(0,setup!$A$8:$H$58,2),VLOOKUP(0,setup!$A$8:$H$58,5),VLOOKUP(N174,setup!$A$8:$H$58,8))</f>
        <v>#VALUE!</v>
      </c>
    </row>
    <row r="175" spans="1:15" x14ac:dyDescent="0.25">
      <c r="A175" s="6" t="s">
        <v>464</v>
      </c>
      <c r="N175">
        <f t="shared" si="2"/>
        <v>46</v>
      </c>
      <c r="O175" s="7" t="e">
        <f>getCodigoBackend(N175,A175,VLOOKUP(N175,setup!$A$8:$H$58,2),VLOOKUP(N175,setup!$A$8:$H$58,3),VLOOKUP(N175,setup!$A$8:$H$58,4),VLOOKUP(N175,setup!$A$8:$H$58,5),VLOOKUP(N175,setup!$A$8:$H$58,6),VLOOKUP(N175,setup!$A$8:$H$58,7), VLOOKUP(0,setup!$A$8:$H$58,2),VLOOKUP(0,setup!$A$8:$H$58,5),VLOOKUP(N175,setup!$A$8:$H$58,8))</f>
        <v>#VALUE!</v>
      </c>
    </row>
    <row r="176" spans="1:15" x14ac:dyDescent="0.25">
      <c r="A176" s="6" t="s">
        <v>464</v>
      </c>
      <c r="N176">
        <f>N175+1</f>
        <v>47</v>
      </c>
      <c r="O176" s="7" t="e">
        <f>getCodigoBackend(N176,A176,VLOOKUP(N176,setup!$A$8:$H$58,2),VLOOKUP(N176,setup!$A$8:$H$58,3),VLOOKUP(N176,setup!$A$8:$H$58,4),VLOOKUP(N176,setup!$A$8:$H$58,5),VLOOKUP(N176,setup!$A$8:$H$58,6),VLOOKUP(N176,setup!$A$8:$H$58,7), VLOOKUP(0,setup!$A$8:$H$58,2),VLOOKUP(0,setup!$A$8:$H$58,5),VLOOKUP(N176,setup!$A$8:$H$58,8))</f>
        <v>#VALUE!</v>
      </c>
    </row>
    <row r="177" spans="1:15" x14ac:dyDescent="0.25">
      <c r="A177" s="6" t="s">
        <v>464</v>
      </c>
      <c r="N177">
        <f t="shared" si="2"/>
        <v>48</v>
      </c>
      <c r="O177" s="7" t="str">
        <f ca="1">getCodigoBackend(N177,A177,VLOOKUP(N177,setup!$A$8:$H$58,2),VLOOKUP(N177,setup!$A$8:$H$58,3),VLOOKUP(N177,setup!$A$8:$H$58,4),VLOOKUP(N177,setup!$A$8:$H$58,5),VLOOKUP(N177,setup!$A$8:$H$58,6),VLOOKUP(N177,setup!$A$8:$H$58,7), VLOOKUP(0,setup!$A$8:$H$58,2),VLOOKUP(0,setup!$A$8:$H$58,5),VLOOKUP(N177,setup!$A$8:$H$58,8))</f>
        <v xml:space="preserve">      status: json['status'],</v>
      </c>
    </row>
    <row r="178" spans="1:15" x14ac:dyDescent="0.25">
      <c r="A178" s="6" t="s">
        <v>464</v>
      </c>
      <c r="N178">
        <f t="shared" si="2"/>
        <v>49</v>
      </c>
      <c r="O178" s="7" t="str">
        <f ca="1">getCodigoBackend(N178,A178,VLOOKUP(N178,setup!$A$8:$H$58,2),VLOOKUP(N178,setup!$A$8:$H$58,3),VLOOKUP(N178,setup!$A$8:$H$58,4),VLOOKUP(N178,setup!$A$8:$H$58,5),VLOOKUP(N178,setup!$A$8:$H$58,6),VLOOKUP(N178,setup!$A$8:$H$58,7), VLOOKUP(0,setup!$A$8:$H$58,2),VLOOKUP(0,setup!$A$8:$H$58,5),VLOOKUP(N178,setup!$A$8:$H$58,8))</f>
        <v xml:space="preserve">      dataCadastro: json['dataCadastro'],</v>
      </c>
    </row>
    <row r="179" spans="1:15" x14ac:dyDescent="0.25">
      <c r="A179" s="6" t="s">
        <v>464</v>
      </c>
      <c r="N179">
        <f t="shared" si="2"/>
        <v>50</v>
      </c>
      <c r="O179" s="7" t="str">
        <f ca="1">getCodigoBackend(N179,A179,VLOOKUP(N179,setup!$A$8:$H$58,2),VLOOKUP(N179,setup!$A$8:$H$58,3),VLOOKUP(N179,setup!$A$8:$H$58,4),VLOOKUP(N179,setup!$A$8:$H$58,5),VLOOKUP(N179,setup!$A$8:$H$58,6),VLOOKUP(N179,setup!$A$8:$H$58,7), VLOOKUP(0,setup!$A$8:$H$58,2),VLOOKUP(0,setup!$A$8:$H$58,5),VLOOKUP(N179,setup!$A$8:$H$58,8))</f>
        <v xml:space="preserve">      dataAtualizacao: json['dataAtualizacao'],</v>
      </c>
    </row>
    <row r="180" spans="1:15" x14ac:dyDescent="0.25">
      <c r="A180" s="6"/>
      <c r="O180" s="7" t="str">
        <f ca="1">getCodigoBackend(N180,A180,VLOOKUP(N180,setup!$A$8:$H$58,2),VLOOKUP(N180,setup!$A$8:$H$58,3),VLOOKUP(N180,setup!$A$8:$H$58,4),VLOOKUP(N180,setup!$A$8:$H$58,5),VLOOKUP(N180,setup!$A$8:$H$58,6),VLOOKUP(N180,setup!$A$8:$H$58,7), VLOOKUP(0,setup!$A$8:$H$58,2),VLOOKUP(0,setup!$A$8:$H$58,5),VLOOKUP(N180,setup!$A$8:$H$58,8))</f>
        <v/>
      </c>
    </row>
    <row r="181" spans="1:15" x14ac:dyDescent="0.25">
      <c r="A181" s="6" t="s">
        <v>453</v>
      </c>
      <c r="O181" s="7" t="str">
        <f ca="1">getCodigoBackend(N181,A181,VLOOKUP(N181,setup!$A$8:$H$58,2),VLOOKUP(N181,setup!$A$8:$H$58,3),VLOOKUP(N181,setup!$A$8:$H$58,4),VLOOKUP(N181,setup!$A$8:$H$58,5),VLOOKUP(N181,setup!$A$8:$H$58,6),VLOOKUP(N181,setup!$A$8:$H$58,7), VLOOKUP(0,setup!$A$8:$H$58,2),VLOOKUP(0,setup!$A$8:$H$58,5),VLOOKUP(N181,setup!$A$8:$H$58,8))</f>
        <v xml:space="preserve">      msgcode: json['msgcode'],</v>
      </c>
    </row>
    <row r="182" spans="1:15" x14ac:dyDescent="0.25">
      <c r="A182" s="6" t="s">
        <v>454</v>
      </c>
      <c r="O182" s="7" t="str">
        <f ca="1">getCodigoBackend(N182,A182,VLOOKUP(N182,setup!$A$8:$H$58,2),VLOOKUP(N182,setup!$A$8:$H$58,3),VLOOKUP(N182,setup!$A$8:$H$58,4),VLOOKUP(N182,setup!$A$8:$H$58,5),VLOOKUP(N182,setup!$A$8:$H$58,6),VLOOKUP(N182,setup!$A$8:$H$58,7), VLOOKUP(0,setup!$A$8:$H$58,2),VLOOKUP(0,setup!$A$8:$H$58,5),VLOOKUP(N182,setup!$A$8:$H$58,8))</f>
        <v xml:space="preserve">      msgcodeString: json['msgcodeString'],</v>
      </c>
    </row>
    <row r="183" spans="1:15" x14ac:dyDescent="0.25">
      <c r="A183" s="6" t="s">
        <v>455</v>
      </c>
      <c r="O183" s="7" t="str">
        <f ca="1">getCodigoBackend(N183,A183,VLOOKUP(N183,setup!$A$8:$H$58,2),VLOOKUP(N183,setup!$A$8:$H$58,3),VLOOKUP(N183,setup!$A$8:$H$58,4),VLOOKUP(N183,setup!$A$8:$H$58,5),VLOOKUP(N183,setup!$A$8:$H$58,6),VLOOKUP(N183,setup!$A$8:$H$58,7), VLOOKUP(0,setup!$A$8:$H$58,2),VLOOKUP(0,setup!$A$8:$H$58,5),VLOOKUP(N183,setup!$A$8:$H$58,8))</f>
        <v xml:space="preserve">    );</v>
      </c>
    </row>
    <row r="184" spans="1:15" x14ac:dyDescent="0.25">
      <c r="A184" s="6" t="s">
        <v>456</v>
      </c>
      <c r="O184" s="7" t="str">
        <f ca="1">getCodigoBackend(N184,A184,VLOOKUP(N184,setup!$A$8:$H$58,2),VLOOKUP(N184,setup!$A$8:$H$58,3),VLOOKUP(N184,setup!$A$8:$H$58,4),VLOOKUP(N184,setup!$A$8:$H$58,5),VLOOKUP(N184,setup!$A$8:$H$58,6),VLOOKUP(N184,setup!$A$8:$H$58,7), VLOOKUP(0,setup!$A$8:$H$58,2),VLOOKUP(0,setup!$A$8:$H$58,5),VLOOKUP(N184,setup!$A$8:$H$58,8))</f>
        <v xml:space="preserve">  }</v>
      </c>
    </row>
    <row r="185" spans="1:15" x14ac:dyDescent="0.25">
      <c r="A185" s="15" t="s">
        <v>466</v>
      </c>
      <c r="O185" s="7" t="str">
        <f ca="1">getCodigoBackend(N185,A185,VLOOKUP(N185,setup!$A$8:$H$58,2),VLOOKUP(N185,setup!$A$8:$H$58,3),VLOOKUP(N185,setup!$A$8:$H$58,4),VLOOKUP(N185,setup!$A$8:$H$58,5),VLOOKUP(N185,setup!$A$8:$H$58,6),VLOOKUP(N185,setup!$A$8:$H$58,7), VLOOKUP(0,setup!$A$8:$H$58,2),VLOOKUP(0,setup!$A$8:$H$58,5),VLOOKUP(N185,setup!$A$8:$H$58,8))</f>
        <v>/// Cria um mapa para ser enviado pelo método post da classe Http</v>
      </c>
    </row>
    <row r="186" spans="1:15" x14ac:dyDescent="0.25">
      <c r="A186" s="6" t="s">
        <v>457</v>
      </c>
      <c r="O186" s="7" t="str">
        <f ca="1">getCodigoBackend(N186,A186,VLOOKUP(N186,setup!$A$8:$H$58,2),VLOOKUP(N186,setup!$A$8:$H$58,3),VLOOKUP(N186,setup!$A$8:$H$58,4),VLOOKUP(N186,setup!$A$8:$H$58,5),VLOOKUP(N186,setup!$A$8:$H$58,6),VLOOKUP(N186,setup!$A$8:$H$58,7), VLOOKUP(0,setup!$A$8:$H$58,2),VLOOKUP(0,setup!$A$8:$H$58,5),VLOOKUP(N186,setup!$A$8:$H$58,8))</f>
        <v xml:space="preserve">  Map toMap() {</v>
      </c>
    </row>
    <row r="187" spans="1:15" x14ac:dyDescent="0.25">
      <c r="A187" s="6" t="s">
        <v>458</v>
      </c>
      <c r="O187" s="7" t="str">
        <f ca="1">getCodigoBackend(N187,A187,VLOOKUP(N187,setup!$A$8:$H$58,2),VLOOKUP(N187,setup!$A$8:$H$58,3),VLOOKUP(N187,setup!$A$8:$H$58,4),VLOOKUP(N187,setup!$A$8:$H$58,5),VLOOKUP(N187,setup!$A$8:$H$58,6),VLOOKUP(N187,setup!$A$8:$H$58,7), VLOOKUP(0,setup!$A$8:$H$58,2),VLOOKUP(0,setup!$A$8:$H$58,5),VLOOKUP(N187,setup!$A$8:$H$58,8))</f>
        <v xml:space="preserve">    var map = new Map&lt;String, dynamic&gt;();</v>
      </c>
    </row>
    <row r="188" spans="1:15" x14ac:dyDescent="0.25">
      <c r="A188" s="6" t="s">
        <v>459</v>
      </c>
      <c r="O188" s="7" t="str">
        <f ca="1">getCodigoBackend(N188,A188,VLOOKUP(N188,setup!$A$8:$H$58,2),VLOOKUP(N188,setup!$A$8:$H$58,3),VLOOKUP(N188,setup!$A$8:$H$58,4),VLOOKUP(N188,setup!$A$8:$H$58,5),VLOOKUP(N188,setup!$A$8:$H$58,6),VLOOKUP(N188,setup!$A$8:$H$58,7), VLOOKUP(0,setup!$A$8:$H$58,2),VLOOKUP(0,setup!$A$8:$H$58,5),VLOOKUP(N188,setup!$A$8:$H$58,8))</f>
        <v xml:space="preserve">    map["tokenid"] = tokenid;</v>
      </c>
    </row>
    <row r="189" spans="1:15" x14ac:dyDescent="0.25">
      <c r="A189" s="6" t="s">
        <v>579</v>
      </c>
      <c r="N189">
        <v>0</v>
      </c>
      <c r="O189" s="7" t="str">
        <f ca="1">getCodigoBackend(N189,A189,VLOOKUP(N189,setup!$A$8:$H$58,2),VLOOKUP(N189,setup!$A$8:$H$58,3),VLOOKUP(N189,setup!$A$8:$H$58,4),VLOOKUP(N189,setup!$A$8:$H$58,5),VLOOKUP(N189,setup!$A$8:$H$58,6),VLOOKUP(N189,setup!$A$8:$H$58,7), VLOOKUP(0,setup!$A$8:$H$58,2),VLOOKUP(0,setup!$A$8:$H$58,5),VLOOKUP(N189,setup!$A$8:$H$58,8))</f>
        <v xml:space="preserve">    map["id"] = id == null ? '' : id;</v>
      </c>
    </row>
    <row r="190" spans="1:15" x14ac:dyDescent="0.25">
      <c r="A190" s="6" t="s">
        <v>579</v>
      </c>
      <c r="N190">
        <f>N189+1</f>
        <v>1</v>
      </c>
      <c r="O190" s="7" t="str">
        <f ca="1">getCodigoBackend(N190,A190,VLOOKUP(N190,setup!$A$8:$H$58,2),VLOOKUP(N190,setup!$A$8:$H$58,3),VLOOKUP(N190,setup!$A$8:$H$58,4),VLOOKUP(N190,setup!$A$8:$H$58,5),VLOOKUP(N190,setup!$A$8:$H$58,6),VLOOKUP(N190,setup!$A$8:$H$58,7), VLOOKUP(0,setup!$A$8:$H$58,2),VLOOKUP(0,setup!$A$8:$H$58,5),VLOOKUP(N190,setup!$A$8:$H$58,8))</f>
        <v xml:space="preserve">    map["idCampanhaCashback"] = idCampanhaCashback == null ? '' : idCampanhaCashback;</v>
      </c>
    </row>
    <row r="191" spans="1:15" x14ac:dyDescent="0.25">
      <c r="A191" s="6" t="s">
        <v>579</v>
      </c>
      <c r="N191">
        <f t="shared" ref="N191:N239" si="3">N190+1</f>
        <v>2</v>
      </c>
      <c r="O191" s="7" t="str">
        <f ca="1">getCodigoBackend(N191,A191,VLOOKUP(N191,setup!$A$8:$H$58,2),VLOOKUP(N191,setup!$A$8:$H$58,3),VLOOKUP(N191,setup!$A$8:$H$58,4),VLOOKUP(N191,setup!$A$8:$H$58,5),VLOOKUP(N191,setup!$A$8:$H$58,6),VLOOKUP(N191,setup!$A$8:$H$58,7), VLOOKUP(0,setup!$A$8:$H$58,2),VLOOKUP(0,setup!$A$8:$H$58,5),VLOOKUP(N191,setup!$A$8:$H$58,8))</f>
        <v xml:space="preserve">    map["idUsuarioSolicitante"] = idUsuarioSolicitante == null ? '' : idUsuarioSolicitante;</v>
      </c>
    </row>
    <row r="192" spans="1:15" x14ac:dyDescent="0.25">
      <c r="A192" s="6" t="s">
        <v>579</v>
      </c>
      <c r="N192">
        <f t="shared" si="3"/>
        <v>3</v>
      </c>
      <c r="O192" s="7" t="str">
        <f ca="1">getCodigoBackend(N192,A192,VLOOKUP(N192,setup!$A$8:$H$58,2),VLOOKUP(N192,setup!$A$8:$H$58,3),VLOOKUP(N192,setup!$A$8:$H$58,4),VLOOKUP(N192,setup!$A$8:$H$58,5),VLOOKUP(N192,setup!$A$8:$H$58,6),VLOOKUP(N192,setup!$A$8:$H$58,7), VLOOKUP(0,setup!$A$8:$H$58,2),VLOOKUP(0,setup!$A$8:$H$58,5),VLOOKUP(N192,setup!$A$8:$H$58,8))</f>
        <v xml:space="preserve">    map["tipoChavePix"] = tipoChavePix == null ? '' : tipoChavePix;</v>
      </c>
    </row>
    <row r="193" spans="1:15" x14ac:dyDescent="0.25">
      <c r="A193" s="6" t="s">
        <v>579</v>
      </c>
      <c r="N193">
        <f t="shared" si="3"/>
        <v>4</v>
      </c>
      <c r="O193" s="7" t="str">
        <f ca="1">getCodigoBackend(N193,A193,VLOOKUP(N193,setup!$A$8:$H$58,2),VLOOKUP(N193,setup!$A$8:$H$58,3),VLOOKUP(N193,setup!$A$8:$H$58,4),VLOOKUP(N193,setup!$A$8:$H$58,5),VLOOKUP(N193,setup!$A$8:$H$58,6),VLOOKUP(N193,setup!$A$8:$H$58,7), VLOOKUP(0,setup!$A$8:$H$58,2),VLOOKUP(0,setup!$A$8:$H$58,5),VLOOKUP(N193,setup!$A$8:$H$58,8))</f>
        <v xml:space="preserve">    map["chavePix"] = chavePix == null ? '' : chavePix;</v>
      </c>
    </row>
    <row r="194" spans="1:15" x14ac:dyDescent="0.25">
      <c r="A194" s="6" t="s">
        <v>579</v>
      </c>
      <c r="N194">
        <f t="shared" si="3"/>
        <v>5</v>
      </c>
      <c r="O194" s="7" t="str">
        <f ca="1">getCodigoBackend(N194,A194,VLOOKUP(N194,setup!$A$8:$H$58,2),VLOOKUP(N194,setup!$A$8:$H$58,3),VLOOKUP(N194,setup!$A$8:$H$58,4),VLOOKUP(N194,setup!$A$8:$H$58,5),VLOOKUP(N194,setup!$A$8:$H$58,6),VLOOKUP(N194,setup!$A$8:$H$58,7), VLOOKUP(0,setup!$A$8:$H$58,2),VLOOKUP(0,setup!$A$8:$H$58,5),VLOOKUP(N194,setup!$A$8:$H$58,8))</f>
        <v xml:space="preserve">    map["valorResgate"] = valorResgate == null ? '' : valorResgate;</v>
      </c>
    </row>
    <row r="195" spans="1:15" x14ac:dyDescent="0.25">
      <c r="A195" s="6" t="s">
        <v>579</v>
      </c>
      <c r="N195">
        <f t="shared" si="3"/>
        <v>6</v>
      </c>
      <c r="O195" s="7" t="str">
        <f ca="1">getCodigoBackend(N195,A195,VLOOKUP(N195,setup!$A$8:$H$58,2),VLOOKUP(N195,setup!$A$8:$H$58,3),VLOOKUP(N195,setup!$A$8:$H$58,4),VLOOKUP(N195,setup!$A$8:$H$58,5),VLOOKUP(N195,setup!$A$8:$H$58,6),VLOOKUP(N195,setup!$A$8:$H$58,7), VLOOKUP(0,setup!$A$8:$H$58,2),VLOOKUP(0,setup!$A$8:$H$58,5),VLOOKUP(N195,setup!$A$8:$H$58,8))</f>
        <v xml:space="preserve">    map["autenticacaoBco"] = autenticacaoBco == null ? '' : autenticacaoBco;</v>
      </c>
    </row>
    <row r="196" spans="1:15" x14ac:dyDescent="0.25">
      <c r="A196" s="6" t="s">
        <v>579</v>
      </c>
      <c r="N196">
        <f t="shared" si="3"/>
        <v>7</v>
      </c>
      <c r="O196" s="7" t="str">
        <f ca="1">getCodigoBackend(N196,A196,VLOOKUP(N196,setup!$A$8:$H$58,2),VLOOKUP(N196,setup!$A$8:$H$58,3),VLOOKUP(N196,setup!$A$8:$H$58,4),VLOOKUP(N196,setup!$A$8:$H$58,5),VLOOKUP(N196,setup!$A$8:$H$58,6),VLOOKUP(N196,setup!$A$8:$H$58,7), VLOOKUP(0,setup!$A$8:$H$58,2),VLOOKUP(0,setup!$A$8:$H$58,5),VLOOKUP(N196,setup!$A$8:$H$58,8))</f>
        <v xml:space="preserve">    map["estagioRealTime"] = estagioRealTime == null ? '' : estagioRealTime;</v>
      </c>
    </row>
    <row r="197" spans="1:15" x14ac:dyDescent="0.25">
      <c r="A197" s="6" t="s">
        <v>579</v>
      </c>
      <c r="N197">
        <f t="shared" si="3"/>
        <v>8</v>
      </c>
      <c r="O197" s="7" t="str">
        <f ca="1">getCodigoBackend(N197,A197,VLOOKUP(N197,setup!$A$8:$H$58,2),VLOOKUP(N197,setup!$A$8:$H$58,3),VLOOKUP(N197,setup!$A$8:$H$58,4),VLOOKUP(N197,setup!$A$8:$H$58,5),VLOOKUP(N197,setup!$A$8:$H$58,6),VLOOKUP(N197,setup!$A$8:$H$58,7), VLOOKUP(0,setup!$A$8:$H$58,2),VLOOKUP(0,setup!$A$8:$H$58,5),VLOOKUP(N197,setup!$A$8:$H$58,8))</f>
        <v xml:space="preserve">    map["dtEstagioAnalise"] = dtEstagioAnalise == null ? '' : dtEstagioAnalise;</v>
      </c>
    </row>
    <row r="198" spans="1:15" x14ac:dyDescent="0.25">
      <c r="A198" s="6" t="s">
        <v>579</v>
      </c>
      <c r="N198">
        <f t="shared" si="3"/>
        <v>9</v>
      </c>
      <c r="O198" s="7" t="str">
        <f ca="1">getCodigoBackend(N198,A198,VLOOKUP(N198,setup!$A$8:$H$58,2),VLOOKUP(N198,setup!$A$8:$H$58,3),VLOOKUP(N198,setup!$A$8:$H$58,4),VLOOKUP(N198,setup!$A$8:$H$58,5),VLOOKUP(N198,setup!$A$8:$H$58,6),VLOOKUP(N198,setup!$A$8:$H$58,7), VLOOKUP(0,setup!$A$8:$H$58,2),VLOOKUP(0,setup!$A$8:$H$58,5),VLOOKUP(N198,setup!$A$8:$H$58,8))</f>
        <v xml:space="preserve">    map["dtEstagioFinanceiro"] = dtEstagioFinanceiro == null ? '' : dtEstagioFinanceiro;</v>
      </c>
    </row>
    <row r="199" spans="1:15" x14ac:dyDescent="0.25">
      <c r="A199" s="6" t="s">
        <v>579</v>
      </c>
      <c r="N199">
        <f t="shared" si="3"/>
        <v>10</v>
      </c>
      <c r="O199" s="7" t="str">
        <f ca="1">getCodigoBackend(N199,A199,VLOOKUP(N199,setup!$A$8:$H$58,2),VLOOKUP(N199,setup!$A$8:$H$58,3),VLOOKUP(N199,setup!$A$8:$H$58,4),VLOOKUP(N199,setup!$A$8:$H$58,5),VLOOKUP(N199,setup!$A$8:$H$58,6),VLOOKUP(N199,setup!$A$8:$H$58,7), VLOOKUP(0,setup!$A$8:$H$58,2),VLOOKUP(0,setup!$A$8:$H$58,5),VLOOKUP(N199,setup!$A$8:$H$58,8))</f>
        <v xml:space="preserve">    map["dtEstagioErro"] = dtEstagioErro == null ? '' : dtEstagioErro;</v>
      </c>
    </row>
    <row r="200" spans="1:15" x14ac:dyDescent="0.25">
      <c r="A200" s="6" t="s">
        <v>579</v>
      </c>
      <c r="N200">
        <f t="shared" si="3"/>
        <v>11</v>
      </c>
      <c r="O200" s="7" t="str">
        <f ca="1">getCodigoBackend(N200,A200,VLOOKUP(N200,setup!$A$8:$H$58,2),VLOOKUP(N200,setup!$A$8:$H$58,3),VLOOKUP(N200,setup!$A$8:$H$58,4),VLOOKUP(N200,setup!$A$8:$H$58,5),VLOOKUP(N200,setup!$A$8:$H$58,6),VLOOKUP(N200,setup!$A$8:$H$58,7), VLOOKUP(0,setup!$A$8:$H$58,2),VLOOKUP(0,setup!$A$8:$H$58,5),VLOOKUP(N200,setup!$A$8:$H$58,8))</f>
        <v xml:space="preserve">    map["dtEstagioTranfBco"] = dtEstagioTranfBco == null ? '' : dtEstagioTranfBco;</v>
      </c>
    </row>
    <row r="201" spans="1:15" x14ac:dyDescent="0.25">
      <c r="A201" s="6" t="s">
        <v>579</v>
      </c>
      <c r="N201">
        <f t="shared" si="3"/>
        <v>12</v>
      </c>
      <c r="O201" s="7" t="str">
        <f ca="1">getCodigoBackend(N201,A201,VLOOKUP(N201,setup!$A$8:$H$58,2),VLOOKUP(N201,setup!$A$8:$H$58,3),VLOOKUP(N201,setup!$A$8:$H$58,4),VLOOKUP(N201,setup!$A$8:$H$58,5),VLOOKUP(N201,setup!$A$8:$H$58,6),VLOOKUP(N201,setup!$A$8:$H$58,7), VLOOKUP(0,setup!$A$8:$H$58,2),VLOOKUP(0,setup!$A$8:$H$58,5),VLOOKUP(N201,setup!$A$8:$H$58,8))</f>
        <v xml:space="preserve">    map["txtLivreEstagioRT"] = txtLivreEstagioRT == null ? '' : txtLivreEstagioRT;</v>
      </c>
    </row>
    <row r="202" spans="1:15" x14ac:dyDescent="0.25">
      <c r="A202" s="6" t="s">
        <v>579</v>
      </c>
      <c r="N202">
        <f t="shared" si="3"/>
        <v>13</v>
      </c>
      <c r="O202" s="7" t="e">
        <f>getCodigoBackend(N202,A202,VLOOKUP(N202,setup!$A$8:$H$58,2),VLOOKUP(N202,setup!$A$8:$H$58,3),VLOOKUP(N202,setup!$A$8:$H$58,4),VLOOKUP(N202,setup!$A$8:$H$58,5),VLOOKUP(N202,setup!$A$8:$H$58,6),VLOOKUP(N202,setup!$A$8:$H$58,7), VLOOKUP(0,setup!$A$8:$H$58,2),VLOOKUP(0,setup!$A$8:$H$58,5),VLOOKUP(N202,setup!$A$8:$H$58,8))</f>
        <v>#VALUE!</v>
      </c>
    </row>
    <row r="203" spans="1:15" x14ac:dyDescent="0.25">
      <c r="A203" s="6" t="s">
        <v>579</v>
      </c>
      <c r="N203">
        <f t="shared" si="3"/>
        <v>14</v>
      </c>
      <c r="O203" s="7" t="e">
        <f>getCodigoBackend(N203,A203,VLOOKUP(N203,setup!$A$8:$H$58,2),VLOOKUP(N203,setup!$A$8:$H$58,3),VLOOKUP(N203,setup!$A$8:$H$58,4),VLOOKUP(N203,setup!$A$8:$H$58,5),VLOOKUP(N203,setup!$A$8:$H$58,6),VLOOKUP(N203,setup!$A$8:$H$58,7), VLOOKUP(0,setup!$A$8:$H$58,2),VLOOKUP(0,setup!$A$8:$H$58,5),VLOOKUP(N203,setup!$A$8:$H$58,8))</f>
        <v>#VALUE!</v>
      </c>
    </row>
    <row r="204" spans="1:15" x14ac:dyDescent="0.25">
      <c r="A204" s="6" t="s">
        <v>579</v>
      </c>
      <c r="N204">
        <f t="shared" si="3"/>
        <v>15</v>
      </c>
      <c r="O204" s="7" t="e">
        <f>getCodigoBackend(N204,A204,VLOOKUP(N204,setup!$A$8:$H$58,2),VLOOKUP(N204,setup!$A$8:$H$58,3),VLOOKUP(N204,setup!$A$8:$H$58,4),VLOOKUP(N204,setup!$A$8:$H$58,5),VLOOKUP(N204,setup!$A$8:$H$58,6),VLOOKUP(N204,setup!$A$8:$H$58,7), VLOOKUP(0,setup!$A$8:$H$58,2),VLOOKUP(0,setup!$A$8:$H$58,5),VLOOKUP(N204,setup!$A$8:$H$58,8))</f>
        <v>#VALUE!</v>
      </c>
    </row>
    <row r="205" spans="1:15" x14ac:dyDescent="0.25">
      <c r="A205" s="6" t="s">
        <v>579</v>
      </c>
      <c r="N205">
        <f t="shared" si="3"/>
        <v>16</v>
      </c>
      <c r="O205" s="7" t="e">
        <f>getCodigoBackend(N205,A205,VLOOKUP(N205,setup!$A$8:$H$58,2),VLOOKUP(N205,setup!$A$8:$H$58,3),VLOOKUP(N205,setup!$A$8:$H$58,4),VLOOKUP(N205,setup!$A$8:$H$58,5),VLOOKUP(N205,setup!$A$8:$H$58,6),VLOOKUP(N205,setup!$A$8:$H$58,7), VLOOKUP(0,setup!$A$8:$H$58,2),VLOOKUP(0,setup!$A$8:$H$58,5),VLOOKUP(N205,setup!$A$8:$H$58,8))</f>
        <v>#VALUE!</v>
      </c>
    </row>
    <row r="206" spans="1:15" x14ac:dyDescent="0.25">
      <c r="A206" s="6" t="s">
        <v>579</v>
      </c>
      <c r="N206">
        <f t="shared" si="3"/>
        <v>17</v>
      </c>
      <c r="O206" s="7" t="e">
        <f>getCodigoBackend(N206,A206,VLOOKUP(N206,setup!$A$8:$H$58,2),VLOOKUP(N206,setup!$A$8:$H$58,3),VLOOKUP(N206,setup!$A$8:$H$58,4),VLOOKUP(N206,setup!$A$8:$H$58,5),VLOOKUP(N206,setup!$A$8:$H$58,6),VLOOKUP(N206,setup!$A$8:$H$58,7), VLOOKUP(0,setup!$A$8:$H$58,2),VLOOKUP(0,setup!$A$8:$H$58,5),VLOOKUP(N206,setup!$A$8:$H$58,8))</f>
        <v>#VALUE!</v>
      </c>
    </row>
    <row r="207" spans="1:15" x14ac:dyDescent="0.25">
      <c r="A207" s="6" t="s">
        <v>579</v>
      </c>
      <c r="N207">
        <f t="shared" si="3"/>
        <v>18</v>
      </c>
      <c r="O207" s="7" t="e">
        <f>getCodigoBackend(N207,A207,VLOOKUP(N207,setup!$A$8:$H$58,2),VLOOKUP(N207,setup!$A$8:$H$58,3),VLOOKUP(N207,setup!$A$8:$H$58,4),VLOOKUP(N207,setup!$A$8:$H$58,5),VLOOKUP(N207,setup!$A$8:$H$58,6),VLOOKUP(N207,setup!$A$8:$H$58,7), VLOOKUP(0,setup!$A$8:$H$58,2),VLOOKUP(0,setup!$A$8:$H$58,5),VLOOKUP(N207,setup!$A$8:$H$58,8))</f>
        <v>#VALUE!</v>
      </c>
    </row>
    <row r="208" spans="1:15" x14ac:dyDescent="0.25">
      <c r="A208" s="6" t="s">
        <v>579</v>
      </c>
      <c r="N208">
        <f t="shared" si="3"/>
        <v>19</v>
      </c>
      <c r="O208" s="7" t="e">
        <f>getCodigoBackend(N208,A208,VLOOKUP(N208,setup!$A$8:$H$58,2),VLOOKUP(N208,setup!$A$8:$H$58,3),VLOOKUP(N208,setup!$A$8:$H$58,4),VLOOKUP(N208,setup!$A$8:$H$58,5),VLOOKUP(N208,setup!$A$8:$H$58,6),VLOOKUP(N208,setup!$A$8:$H$58,7), VLOOKUP(0,setup!$A$8:$H$58,2),VLOOKUP(0,setup!$A$8:$H$58,5),VLOOKUP(N208,setup!$A$8:$H$58,8))</f>
        <v>#VALUE!</v>
      </c>
    </row>
    <row r="209" spans="1:15" x14ac:dyDescent="0.25">
      <c r="A209" s="6" t="s">
        <v>579</v>
      </c>
      <c r="N209">
        <f t="shared" si="3"/>
        <v>20</v>
      </c>
      <c r="O209" s="7" t="e">
        <f>getCodigoBackend(N209,A209,VLOOKUP(N209,setup!$A$8:$H$58,2),VLOOKUP(N209,setup!$A$8:$H$58,3),VLOOKUP(N209,setup!$A$8:$H$58,4),VLOOKUP(N209,setup!$A$8:$H$58,5),VLOOKUP(N209,setup!$A$8:$H$58,6),VLOOKUP(N209,setup!$A$8:$H$58,7), VLOOKUP(0,setup!$A$8:$H$58,2),VLOOKUP(0,setup!$A$8:$H$58,5),VLOOKUP(N209,setup!$A$8:$H$58,8))</f>
        <v>#VALUE!</v>
      </c>
    </row>
    <row r="210" spans="1:15" x14ac:dyDescent="0.25">
      <c r="A210" s="6" t="s">
        <v>579</v>
      </c>
      <c r="N210">
        <f t="shared" si="3"/>
        <v>21</v>
      </c>
      <c r="O210" s="7" t="e">
        <f>getCodigoBackend(N210,A210,VLOOKUP(N210,setup!$A$8:$H$58,2),VLOOKUP(N210,setup!$A$8:$H$58,3),VLOOKUP(N210,setup!$A$8:$H$58,4),VLOOKUP(N210,setup!$A$8:$H$58,5),VLOOKUP(N210,setup!$A$8:$H$58,6),VLOOKUP(N210,setup!$A$8:$H$58,7), VLOOKUP(0,setup!$A$8:$H$58,2),VLOOKUP(0,setup!$A$8:$H$58,5),VLOOKUP(N210,setup!$A$8:$H$58,8))</f>
        <v>#VALUE!</v>
      </c>
    </row>
    <row r="211" spans="1:15" x14ac:dyDescent="0.25">
      <c r="A211" s="6" t="s">
        <v>579</v>
      </c>
      <c r="N211">
        <f t="shared" si="3"/>
        <v>22</v>
      </c>
      <c r="O211" s="7" t="e">
        <f>getCodigoBackend(N211,A211,VLOOKUP(N211,setup!$A$8:$H$58,2),VLOOKUP(N211,setup!$A$8:$H$58,3),VLOOKUP(N211,setup!$A$8:$H$58,4),VLOOKUP(N211,setup!$A$8:$H$58,5),VLOOKUP(N211,setup!$A$8:$H$58,6),VLOOKUP(N211,setup!$A$8:$H$58,7), VLOOKUP(0,setup!$A$8:$H$58,2),VLOOKUP(0,setup!$A$8:$H$58,5),VLOOKUP(N211,setup!$A$8:$H$58,8))</f>
        <v>#VALUE!</v>
      </c>
    </row>
    <row r="212" spans="1:15" x14ac:dyDescent="0.25">
      <c r="A212" s="6" t="s">
        <v>579</v>
      </c>
      <c r="N212">
        <f t="shared" si="3"/>
        <v>23</v>
      </c>
      <c r="O212" s="7" t="e">
        <f>getCodigoBackend(N212,A212,VLOOKUP(N212,setup!$A$8:$H$58,2),VLOOKUP(N212,setup!$A$8:$H$58,3),VLOOKUP(N212,setup!$A$8:$H$58,4),VLOOKUP(N212,setup!$A$8:$H$58,5),VLOOKUP(N212,setup!$A$8:$H$58,6),VLOOKUP(N212,setup!$A$8:$H$58,7), VLOOKUP(0,setup!$A$8:$H$58,2),VLOOKUP(0,setup!$A$8:$H$58,5),VLOOKUP(N212,setup!$A$8:$H$58,8))</f>
        <v>#VALUE!</v>
      </c>
    </row>
    <row r="213" spans="1:15" x14ac:dyDescent="0.25">
      <c r="A213" s="6" t="s">
        <v>579</v>
      </c>
      <c r="N213">
        <f t="shared" si="3"/>
        <v>24</v>
      </c>
      <c r="O213" s="7" t="e">
        <f>getCodigoBackend(N213,A213,VLOOKUP(N213,setup!$A$8:$H$58,2),VLOOKUP(N213,setup!$A$8:$H$58,3),VLOOKUP(N213,setup!$A$8:$H$58,4),VLOOKUP(N213,setup!$A$8:$H$58,5),VLOOKUP(N213,setup!$A$8:$H$58,6),VLOOKUP(N213,setup!$A$8:$H$58,7), VLOOKUP(0,setup!$A$8:$H$58,2),VLOOKUP(0,setup!$A$8:$H$58,5),VLOOKUP(N213,setup!$A$8:$H$58,8))</f>
        <v>#VALUE!</v>
      </c>
    </row>
    <row r="214" spans="1:15" x14ac:dyDescent="0.25">
      <c r="A214" s="6" t="s">
        <v>579</v>
      </c>
      <c r="N214">
        <f t="shared" si="3"/>
        <v>25</v>
      </c>
      <c r="O214" s="7" t="e">
        <f>getCodigoBackend(N214,A214,VLOOKUP(N214,setup!$A$8:$H$58,2),VLOOKUP(N214,setup!$A$8:$H$58,3),VLOOKUP(N214,setup!$A$8:$H$58,4),VLOOKUP(N214,setup!$A$8:$H$58,5),VLOOKUP(N214,setup!$A$8:$H$58,6),VLOOKUP(N214,setup!$A$8:$H$58,7), VLOOKUP(0,setup!$A$8:$H$58,2),VLOOKUP(0,setup!$A$8:$H$58,5),VLOOKUP(N214,setup!$A$8:$H$58,8))</f>
        <v>#VALUE!</v>
      </c>
    </row>
    <row r="215" spans="1:15" x14ac:dyDescent="0.25">
      <c r="A215" s="6" t="s">
        <v>579</v>
      </c>
      <c r="N215">
        <f t="shared" si="3"/>
        <v>26</v>
      </c>
      <c r="O215" s="7" t="e">
        <f>getCodigoBackend(N215,A215,VLOOKUP(N215,setup!$A$8:$H$58,2),VLOOKUP(N215,setup!$A$8:$H$58,3),VLOOKUP(N215,setup!$A$8:$H$58,4),VLOOKUP(N215,setup!$A$8:$H$58,5),VLOOKUP(N215,setup!$A$8:$H$58,6),VLOOKUP(N215,setup!$A$8:$H$58,7), VLOOKUP(0,setup!$A$8:$H$58,2),VLOOKUP(0,setup!$A$8:$H$58,5),VLOOKUP(N215,setup!$A$8:$H$58,8))</f>
        <v>#VALUE!</v>
      </c>
    </row>
    <row r="216" spans="1:15" x14ac:dyDescent="0.25">
      <c r="A216" s="6" t="s">
        <v>579</v>
      </c>
      <c r="N216">
        <f t="shared" si="3"/>
        <v>27</v>
      </c>
      <c r="O216" s="7" t="e">
        <f>getCodigoBackend(N216,A216,VLOOKUP(N216,setup!$A$8:$H$58,2),VLOOKUP(N216,setup!$A$8:$H$58,3),VLOOKUP(N216,setup!$A$8:$H$58,4),VLOOKUP(N216,setup!$A$8:$H$58,5),VLOOKUP(N216,setup!$A$8:$H$58,6),VLOOKUP(N216,setup!$A$8:$H$58,7), VLOOKUP(0,setup!$A$8:$H$58,2),VLOOKUP(0,setup!$A$8:$H$58,5),VLOOKUP(N216,setup!$A$8:$H$58,8))</f>
        <v>#VALUE!</v>
      </c>
    </row>
    <row r="217" spans="1:15" x14ac:dyDescent="0.25">
      <c r="A217" s="6" t="s">
        <v>579</v>
      </c>
      <c r="N217">
        <f t="shared" si="3"/>
        <v>28</v>
      </c>
      <c r="O217" s="7" t="e">
        <f>getCodigoBackend(N217,A217,VLOOKUP(N217,setup!$A$8:$H$58,2),VLOOKUP(N217,setup!$A$8:$H$58,3),VLOOKUP(N217,setup!$A$8:$H$58,4),VLOOKUP(N217,setup!$A$8:$H$58,5),VLOOKUP(N217,setup!$A$8:$H$58,6),VLOOKUP(N217,setup!$A$8:$H$58,7), VLOOKUP(0,setup!$A$8:$H$58,2),VLOOKUP(0,setup!$A$8:$H$58,5),VLOOKUP(N217,setup!$A$8:$H$58,8))</f>
        <v>#VALUE!</v>
      </c>
    </row>
    <row r="218" spans="1:15" x14ac:dyDescent="0.25">
      <c r="A218" s="6" t="s">
        <v>579</v>
      </c>
      <c r="N218">
        <f t="shared" si="3"/>
        <v>29</v>
      </c>
      <c r="O218" s="7" t="e">
        <f>getCodigoBackend(N218,A218,VLOOKUP(N218,setup!$A$8:$H$58,2),VLOOKUP(N218,setup!$A$8:$H$58,3),VLOOKUP(N218,setup!$A$8:$H$58,4),VLOOKUP(N218,setup!$A$8:$H$58,5),VLOOKUP(N218,setup!$A$8:$H$58,6),VLOOKUP(N218,setup!$A$8:$H$58,7), VLOOKUP(0,setup!$A$8:$H$58,2),VLOOKUP(0,setup!$A$8:$H$58,5),VLOOKUP(N218,setup!$A$8:$H$58,8))</f>
        <v>#VALUE!</v>
      </c>
    </row>
    <row r="219" spans="1:15" x14ac:dyDescent="0.25">
      <c r="A219" s="6" t="s">
        <v>579</v>
      </c>
      <c r="N219">
        <f t="shared" si="3"/>
        <v>30</v>
      </c>
      <c r="O219" s="7" t="e">
        <f>getCodigoBackend(N219,A219,VLOOKUP(N219,setup!$A$8:$H$58,2),VLOOKUP(N219,setup!$A$8:$H$58,3),VLOOKUP(N219,setup!$A$8:$H$58,4),VLOOKUP(N219,setup!$A$8:$H$58,5),VLOOKUP(N219,setup!$A$8:$H$58,6),VLOOKUP(N219,setup!$A$8:$H$58,7), VLOOKUP(0,setup!$A$8:$H$58,2),VLOOKUP(0,setup!$A$8:$H$58,5),VLOOKUP(N219,setup!$A$8:$H$58,8))</f>
        <v>#VALUE!</v>
      </c>
    </row>
    <row r="220" spans="1:15" x14ac:dyDescent="0.25">
      <c r="A220" s="6" t="s">
        <v>579</v>
      </c>
      <c r="N220">
        <f t="shared" si="3"/>
        <v>31</v>
      </c>
      <c r="O220" s="7" t="e">
        <f>getCodigoBackend(N220,A220,VLOOKUP(N220,setup!$A$8:$H$58,2),VLOOKUP(N220,setup!$A$8:$H$58,3),VLOOKUP(N220,setup!$A$8:$H$58,4),VLOOKUP(N220,setup!$A$8:$H$58,5),VLOOKUP(N220,setup!$A$8:$H$58,6),VLOOKUP(N220,setup!$A$8:$H$58,7), VLOOKUP(0,setup!$A$8:$H$58,2),VLOOKUP(0,setup!$A$8:$H$58,5),VLOOKUP(N220,setup!$A$8:$H$58,8))</f>
        <v>#VALUE!</v>
      </c>
    </row>
    <row r="221" spans="1:15" x14ac:dyDescent="0.25">
      <c r="A221" s="6" t="s">
        <v>579</v>
      </c>
      <c r="N221">
        <f t="shared" si="3"/>
        <v>32</v>
      </c>
      <c r="O221" s="7" t="e">
        <f>getCodigoBackend(N221,A221,VLOOKUP(N221,setup!$A$8:$H$58,2),VLOOKUP(N221,setup!$A$8:$H$58,3),VLOOKUP(N221,setup!$A$8:$H$58,4),VLOOKUP(N221,setup!$A$8:$H$58,5),VLOOKUP(N221,setup!$A$8:$H$58,6),VLOOKUP(N221,setup!$A$8:$H$58,7), VLOOKUP(0,setup!$A$8:$H$58,2),VLOOKUP(0,setup!$A$8:$H$58,5),VLOOKUP(N221,setup!$A$8:$H$58,8))</f>
        <v>#VALUE!</v>
      </c>
    </row>
    <row r="222" spans="1:15" x14ac:dyDescent="0.25">
      <c r="A222" s="6" t="s">
        <v>579</v>
      </c>
      <c r="N222">
        <f t="shared" si="3"/>
        <v>33</v>
      </c>
      <c r="O222" s="7" t="e">
        <f>getCodigoBackend(N222,A222,VLOOKUP(N222,setup!$A$8:$H$58,2),VLOOKUP(N222,setup!$A$8:$H$58,3),VLOOKUP(N222,setup!$A$8:$H$58,4),VLOOKUP(N222,setup!$A$8:$H$58,5),VLOOKUP(N222,setup!$A$8:$H$58,6),VLOOKUP(N222,setup!$A$8:$H$58,7), VLOOKUP(0,setup!$A$8:$H$58,2),VLOOKUP(0,setup!$A$8:$H$58,5),VLOOKUP(N222,setup!$A$8:$H$58,8))</f>
        <v>#VALUE!</v>
      </c>
    </row>
    <row r="223" spans="1:15" x14ac:dyDescent="0.25">
      <c r="A223" s="6" t="s">
        <v>579</v>
      </c>
      <c r="N223">
        <f t="shared" si="3"/>
        <v>34</v>
      </c>
      <c r="O223" s="7" t="e">
        <f>getCodigoBackend(N223,A223,VLOOKUP(N223,setup!$A$8:$H$58,2),VLOOKUP(N223,setup!$A$8:$H$58,3),VLOOKUP(N223,setup!$A$8:$H$58,4),VLOOKUP(N223,setup!$A$8:$H$58,5),VLOOKUP(N223,setup!$A$8:$H$58,6),VLOOKUP(N223,setup!$A$8:$H$58,7), VLOOKUP(0,setup!$A$8:$H$58,2),VLOOKUP(0,setup!$A$8:$H$58,5),VLOOKUP(N223,setup!$A$8:$H$58,8))</f>
        <v>#VALUE!</v>
      </c>
    </row>
    <row r="224" spans="1:15" x14ac:dyDescent="0.25">
      <c r="A224" s="6" t="s">
        <v>579</v>
      </c>
      <c r="N224">
        <f t="shared" si="3"/>
        <v>35</v>
      </c>
      <c r="O224" s="7" t="e">
        <f>getCodigoBackend(N224,A224,VLOOKUP(N224,setup!$A$8:$H$58,2),VLOOKUP(N224,setup!$A$8:$H$58,3),VLOOKUP(N224,setup!$A$8:$H$58,4),VLOOKUP(N224,setup!$A$8:$H$58,5),VLOOKUP(N224,setup!$A$8:$H$58,6),VLOOKUP(N224,setup!$A$8:$H$58,7), VLOOKUP(0,setup!$A$8:$H$58,2),VLOOKUP(0,setup!$A$8:$H$58,5),VLOOKUP(N224,setup!$A$8:$H$58,8))</f>
        <v>#VALUE!</v>
      </c>
    </row>
    <row r="225" spans="1:15" x14ac:dyDescent="0.25">
      <c r="A225" s="6" t="s">
        <v>579</v>
      </c>
      <c r="N225">
        <f t="shared" si="3"/>
        <v>36</v>
      </c>
      <c r="O225" s="7" t="e">
        <f>getCodigoBackend(N225,A225,VLOOKUP(N225,setup!$A$8:$H$58,2),VLOOKUP(N225,setup!$A$8:$H$58,3),VLOOKUP(N225,setup!$A$8:$H$58,4),VLOOKUP(N225,setup!$A$8:$H$58,5),VLOOKUP(N225,setup!$A$8:$H$58,6),VLOOKUP(N225,setup!$A$8:$H$58,7), VLOOKUP(0,setup!$A$8:$H$58,2),VLOOKUP(0,setup!$A$8:$H$58,5),VLOOKUP(N225,setup!$A$8:$H$58,8))</f>
        <v>#VALUE!</v>
      </c>
    </row>
    <row r="226" spans="1:15" x14ac:dyDescent="0.25">
      <c r="A226" s="6" t="s">
        <v>579</v>
      </c>
      <c r="N226">
        <f t="shared" si="3"/>
        <v>37</v>
      </c>
      <c r="O226" s="7" t="e">
        <f>getCodigoBackend(N226,A226,VLOOKUP(N226,setup!$A$8:$H$58,2),VLOOKUP(N226,setup!$A$8:$H$58,3),VLOOKUP(N226,setup!$A$8:$H$58,4),VLOOKUP(N226,setup!$A$8:$H$58,5),VLOOKUP(N226,setup!$A$8:$H$58,6),VLOOKUP(N226,setup!$A$8:$H$58,7), VLOOKUP(0,setup!$A$8:$H$58,2),VLOOKUP(0,setup!$A$8:$H$58,5),VLOOKUP(N226,setup!$A$8:$H$58,8))</f>
        <v>#VALUE!</v>
      </c>
    </row>
    <row r="227" spans="1:15" x14ac:dyDescent="0.25">
      <c r="A227" s="6" t="s">
        <v>579</v>
      </c>
      <c r="N227">
        <f t="shared" si="3"/>
        <v>38</v>
      </c>
      <c r="O227" s="7" t="e">
        <f>getCodigoBackend(N227,A227,VLOOKUP(N227,setup!$A$8:$H$58,2),VLOOKUP(N227,setup!$A$8:$H$58,3),VLOOKUP(N227,setup!$A$8:$H$58,4),VLOOKUP(N227,setup!$A$8:$H$58,5),VLOOKUP(N227,setup!$A$8:$H$58,6),VLOOKUP(N227,setup!$A$8:$H$58,7), VLOOKUP(0,setup!$A$8:$H$58,2),VLOOKUP(0,setup!$A$8:$H$58,5),VLOOKUP(N227,setup!$A$8:$H$58,8))</f>
        <v>#VALUE!</v>
      </c>
    </row>
    <row r="228" spans="1:15" x14ac:dyDescent="0.25">
      <c r="A228" s="6" t="s">
        <v>579</v>
      </c>
      <c r="N228">
        <f t="shared" si="3"/>
        <v>39</v>
      </c>
      <c r="O228" s="7" t="e">
        <f>getCodigoBackend(N228,A228,VLOOKUP(N228,setup!$A$8:$H$58,2),VLOOKUP(N228,setup!$A$8:$H$58,3),VLOOKUP(N228,setup!$A$8:$H$58,4),VLOOKUP(N228,setup!$A$8:$H$58,5),VLOOKUP(N228,setup!$A$8:$H$58,6),VLOOKUP(N228,setup!$A$8:$H$58,7), VLOOKUP(0,setup!$A$8:$H$58,2),VLOOKUP(0,setup!$A$8:$H$58,5),VLOOKUP(N228,setup!$A$8:$H$58,8))</f>
        <v>#VALUE!</v>
      </c>
    </row>
    <row r="229" spans="1:15" x14ac:dyDescent="0.25">
      <c r="A229" s="6" t="s">
        <v>579</v>
      </c>
      <c r="N229">
        <f t="shared" si="3"/>
        <v>40</v>
      </c>
      <c r="O229" s="7" t="e">
        <f>getCodigoBackend(N229,A229,VLOOKUP(N229,setup!$A$8:$H$58,2),VLOOKUP(N229,setup!$A$8:$H$58,3),VLOOKUP(N229,setup!$A$8:$H$58,4),VLOOKUP(N229,setup!$A$8:$H$58,5),VLOOKUP(N229,setup!$A$8:$H$58,6),VLOOKUP(N229,setup!$A$8:$H$58,7), VLOOKUP(0,setup!$A$8:$H$58,2),VLOOKUP(0,setup!$A$8:$H$58,5),VLOOKUP(N229,setup!$A$8:$H$58,8))</f>
        <v>#VALUE!</v>
      </c>
    </row>
    <row r="230" spans="1:15" x14ac:dyDescent="0.25">
      <c r="A230" s="6" t="s">
        <v>579</v>
      </c>
      <c r="N230">
        <f t="shared" si="3"/>
        <v>41</v>
      </c>
      <c r="O230" s="7" t="e">
        <f>getCodigoBackend(N230,A230,VLOOKUP(N230,setup!$A$8:$H$58,2),VLOOKUP(N230,setup!$A$8:$H$58,3),VLOOKUP(N230,setup!$A$8:$H$58,4),VLOOKUP(N230,setup!$A$8:$H$58,5),VLOOKUP(N230,setup!$A$8:$H$58,6),VLOOKUP(N230,setup!$A$8:$H$58,7), VLOOKUP(0,setup!$A$8:$H$58,2),VLOOKUP(0,setup!$A$8:$H$58,5),VLOOKUP(N230,setup!$A$8:$H$58,8))</f>
        <v>#VALUE!</v>
      </c>
    </row>
    <row r="231" spans="1:15" x14ac:dyDescent="0.25">
      <c r="A231" s="6" t="s">
        <v>579</v>
      </c>
      <c r="N231">
        <f t="shared" si="3"/>
        <v>42</v>
      </c>
      <c r="O231" s="7" t="e">
        <f>getCodigoBackend(N231,A231,VLOOKUP(N231,setup!$A$8:$H$58,2),VLOOKUP(N231,setup!$A$8:$H$58,3),VLOOKUP(N231,setup!$A$8:$H$58,4),VLOOKUP(N231,setup!$A$8:$H$58,5),VLOOKUP(N231,setup!$A$8:$H$58,6),VLOOKUP(N231,setup!$A$8:$H$58,7), VLOOKUP(0,setup!$A$8:$H$58,2),VLOOKUP(0,setup!$A$8:$H$58,5),VLOOKUP(N231,setup!$A$8:$H$58,8))</f>
        <v>#VALUE!</v>
      </c>
    </row>
    <row r="232" spans="1:15" x14ac:dyDescent="0.25">
      <c r="A232" s="6" t="s">
        <v>579</v>
      </c>
      <c r="N232">
        <f t="shared" si="3"/>
        <v>43</v>
      </c>
      <c r="O232" s="7" t="e">
        <f>getCodigoBackend(N232,A232,VLOOKUP(N232,setup!$A$8:$H$58,2),VLOOKUP(N232,setup!$A$8:$H$58,3),VLOOKUP(N232,setup!$A$8:$H$58,4),VLOOKUP(N232,setup!$A$8:$H$58,5),VLOOKUP(N232,setup!$A$8:$H$58,6),VLOOKUP(N232,setup!$A$8:$H$58,7), VLOOKUP(0,setup!$A$8:$H$58,2),VLOOKUP(0,setup!$A$8:$H$58,5),VLOOKUP(N232,setup!$A$8:$H$58,8))</f>
        <v>#VALUE!</v>
      </c>
    </row>
    <row r="233" spans="1:15" x14ac:dyDescent="0.25">
      <c r="A233" s="6" t="s">
        <v>579</v>
      </c>
      <c r="N233">
        <f t="shared" si="3"/>
        <v>44</v>
      </c>
      <c r="O233" s="7" t="e">
        <f>getCodigoBackend(N233,A233,VLOOKUP(N233,setup!$A$8:$H$58,2),VLOOKUP(N233,setup!$A$8:$H$58,3),VLOOKUP(N233,setup!$A$8:$H$58,4),VLOOKUP(N233,setup!$A$8:$H$58,5),VLOOKUP(N233,setup!$A$8:$H$58,6),VLOOKUP(N233,setup!$A$8:$H$58,7), VLOOKUP(0,setup!$A$8:$H$58,2),VLOOKUP(0,setup!$A$8:$H$58,5),VLOOKUP(N233,setup!$A$8:$H$58,8))</f>
        <v>#VALUE!</v>
      </c>
    </row>
    <row r="234" spans="1:15" x14ac:dyDescent="0.25">
      <c r="A234" s="6" t="s">
        <v>579</v>
      </c>
      <c r="N234">
        <f t="shared" si="3"/>
        <v>45</v>
      </c>
      <c r="O234" s="7" t="e">
        <f>getCodigoBackend(N234,A234,VLOOKUP(N234,setup!$A$8:$H$58,2),VLOOKUP(N234,setup!$A$8:$H$58,3),VLOOKUP(N234,setup!$A$8:$H$58,4),VLOOKUP(N234,setup!$A$8:$H$58,5),VLOOKUP(N234,setup!$A$8:$H$58,6),VLOOKUP(N234,setup!$A$8:$H$58,7), VLOOKUP(0,setup!$A$8:$H$58,2),VLOOKUP(0,setup!$A$8:$H$58,5),VLOOKUP(N234,setup!$A$8:$H$58,8))</f>
        <v>#VALUE!</v>
      </c>
    </row>
    <row r="235" spans="1:15" x14ac:dyDescent="0.25">
      <c r="A235" s="6" t="s">
        <v>579</v>
      </c>
      <c r="N235">
        <f t="shared" si="3"/>
        <v>46</v>
      </c>
      <c r="O235" s="7" t="e">
        <f>getCodigoBackend(N235,A235,VLOOKUP(N235,setup!$A$8:$H$58,2),VLOOKUP(N235,setup!$A$8:$H$58,3),VLOOKUP(N235,setup!$A$8:$H$58,4),VLOOKUP(N235,setup!$A$8:$H$58,5),VLOOKUP(N235,setup!$A$8:$H$58,6),VLOOKUP(N235,setup!$A$8:$H$58,7), VLOOKUP(0,setup!$A$8:$H$58,2),VLOOKUP(0,setup!$A$8:$H$58,5),VLOOKUP(N235,setup!$A$8:$H$58,8))</f>
        <v>#VALUE!</v>
      </c>
    </row>
    <row r="236" spans="1:15" x14ac:dyDescent="0.25">
      <c r="A236" s="6" t="s">
        <v>579</v>
      </c>
      <c r="N236">
        <f t="shared" si="3"/>
        <v>47</v>
      </c>
      <c r="O236" s="7" t="e">
        <f>getCodigoBackend(N236,A236,VLOOKUP(N236,setup!$A$8:$H$58,2),VLOOKUP(N236,setup!$A$8:$H$58,3),VLOOKUP(N236,setup!$A$8:$H$58,4),VLOOKUP(N236,setup!$A$8:$H$58,5),VLOOKUP(N236,setup!$A$8:$H$58,6),VLOOKUP(N236,setup!$A$8:$H$58,7), VLOOKUP(0,setup!$A$8:$H$58,2),VLOOKUP(0,setup!$A$8:$H$58,5),VLOOKUP(N236,setup!$A$8:$H$58,8))</f>
        <v>#VALUE!</v>
      </c>
    </row>
    <row r="237" spans="1:15" x14ac:dyDescent="0.25">
      <c r="A237" s="6" t="s">
        <v>579</v>
      </c>
      <c r="N237">
        <f t="shared" si="3"/>
        <v>48</v>
      </c>
      <c r="O237" s="7" t="str">
        <f ca="1">getCodigoBackend(N237,A237,VLOOKUP(N237,setup!$A$8:$H$58,2),VLOOKUP(N237,setup!$A$8:$H$58,3),VLOOKUP(N237,setup!$A$8:$H$58,4),VLOOKUP(N237,setup!$A$8:$H$58,5),VLOOKUP(N237,setup!$A$8:$H$58,6),VLOOKUP(N237,setup!$A$8:$H$58,7), VLOOKUP(0,setup!$A$8:$H$58,2),VLOOKUP(0,setup!$A$8:$H$58,5),VLOOKUP(N237,setup!$A$8:$H$58,8))</f>
        <v xml:space="preserve">    map["status"] = status == null ? '' : status;</v>
      </c>
    </row>
    <row r="238" spans="1:15" x14ac:dyDescent="0.25">
      <c r="A238" s="6" t="s">
        <v>579</v>
      </c>
      <c r="N238">
        <f t="shared" si="3"/>
        <v>49</v>
      </c>
      <c r="O238" s="7" t="str">
        <f ca="1">getCodigoBackend(N238,A238,VLOOKUP(N238,setup!$A$8:$H$58,2),VLOOKUP(N238,setup!$A$8:$H$58,3),VLOOKUP(N238,setup!$A$8:$H$58,4),VLOOKUP(N238,setup!$A$8:$H$58,5),VLOOKUP(N238,setup!$A$8:$H$58,6),VLOOKUP(N238,setup!$A$8:$H$58,7), VLOOKUP(0,setup!$A$8:$H$58,2),VLOOKUP(0,setup!$A$8:$H$58,5),VLOOKUP(N238,setup!$A$8:$H$58,8))</f>
        <v xml:space="preserve">    map["dataCadastro"] = dataCadastro == null ? '' : dataCadastro;</v>
      </c>
    </row>
    <row r="239" spans="1:15" x14ac:dyDescent="0.25">
      <c r="A239" s="6" t="s">
        <v>579</v>
      </c>
      <c r="N239">
        <f t="shared" si="3"/>
        <v>50</v>
      </c>
      <c r="O239" s="7" t="str">
        <f ca="1">getCodigoBackend(N239,A239,VLOOKUP(N239,setup!$A$8:$H$58,2),VLOOKUP(N239,setup!$A$8:$H$58,3),VLOOKUP(N239,setup!$A$8:$H$58,4),VLOOKUP(N239,setup!$A$8:$H$58,5),VLOOKUP(N239,setup!$A$8:$H$58,6),VLOOKUP(N239,setup!$A$8:$H$58,7), VLOOKUP(0,setup!$A$8:$H$58,2),VLOOKUP(0,setup!$A$8:$H$58,5),VLOOKUP(N239,setup!$A$8:$H$58,8))</f>
        <v xml:space="preserve">    map["dataAtualizacao"] = dataAtualizacao == null ? '' : dataAtualizacao;</v>
      </c>
    </row>
    <row r="240" spans="1:15" x14ac:dyDescent="0.25">
      <c r="A240" s="6"/>
      <c r="O240" s="7" t="str">
        <f ca="1">getCodigoBackend(N240,A240,VLOOKUP(N240,setup!$A$8:$H$58,2),VLOOKUP(N240,setup!$A$8:$H$58,3),VLOOKUP(N240,setup!$A$8:$H$58,4),VLOOKUP(N240,setup!$A$8:$H$58,5),VLOOKUP(N240,setup!$A$8:$H$58,6),VLOOKUP(N240,setup!$A$8:$H$58,7), VLOOKUP(0,setup!$A$8:$H$58,2),VLOOKUP(0,setup!$A$8:$H$58,5),VLOOKUP(N240,setup!$A$8:$H$58,8))</f>
        <v/>
      </c>
    </row>
    <row r="241" spans="1:15" x14ac:dyDescent="0.25">
      <c r="A241" s="6" t="s">
        <v>460</v>
      </c>
      <c r="O241" s="7" t="str">
        <f ca="1">getCodigoBackend(N241,A241,VLOOKUP(N241,setup!$A$8:$H$58,2),VLOOKUP(N241,setup!$A$8:$H$58,3),VLOOKUP(N241,setup!$A$8:$H$58,4),VLOOKUP(N241,setup!$A$8:$H$58,5),VLOOKUP(N241,setup!$A$8:$H$58,6),VLOOKUP(N241,setup!$A$8:$H$58,7), VLOOKUP(0,setup!$A$8:$H$58,2),VLOOKUP(0,setup!$A$8:$H$58,5),VLOOKUP(N241,setup!$A$8:$H$58,8))</f>
        <v xml:space="preserve">    return map;</v>
      </c>
    </row>
    <row r="242" spans="1:15" x14ac:dyDescent="0.25">
      <c r="A242" s="6" t="s">
        <v>456</v>
      </c>
      <c r="O242" s="7" t="str">
        <f ca="1">getCodigoBackend(N242,A242,VLOOKUP(N242,setup!$A$8:$H$58,2),VLOOKUP(N242,setup!$A$8:$H$58,3),VLOOKUP(N242,setup!$A$8:$H$58,4),VLOOKUP(N242,setup!$A$8:$H$58,5),VLOOKUP(N242,setup!$A$8:$H$58,6),VLOOKUP(N242,setup!$A$8:$H$58,7), VLOOKUP(0,setup!$A$8:$H$58,2),VLOOKUP(0,setup!$A$8:$H$58,5),VLOOKUP(N242,setup!$A$8:$H$58,8))</f>
        <v xml:space="preserve">  }</v>
      </c>
    </row>
    <row r="243" spans="1:15" x14ac:dyDescent="0.25">
      <c r="A243" s="2" t="s">
        <v>28</v>
      </c>
      <c r="O243" s="7" t="str">
        <f ca="1">getCodigoBackend(N243,A243,VLOOKUP(N243,setup!$A$8:$H$58,2),VLOOKUP(N243,setup!$A$8:$H$58,3),VLOOKUP(N243,setup!$A$8:$H$58,4),VLOOKUP(N243,setup!$A$8:$H$58,5),VLOOKUP(N243,setup!$A$8:$H$58,6),VLOOKUP(N243,setup!$A$8:$H$58,7), VLOOKUP(0,setup!$A$8:$H$58,2),VLOOKUP(0,setup!$A$8:$H$58,5),VLOOKUP(N243,setup!$A$8:$H$58,8))</f>
        <v>}</v>
      </c>
    </row>
    <row r="244" spans="1:15" x14ac:dyDescent="0.25">
      <c r="A244" s="2"/>
      <c r="O244" s="7" t="str">
        <f ca="1">getCodigoBackend(N244,A244,VLOOKUP(N244,setup!$A$8:$H$58,2),VLOOKUP(N244,setup!$A$8:$H$58,3),VLOOKUP(N244,setup!$A$8:$H$58,4),VLOOKUP(N244,setup!$A$8:$H$58,5),VLOOKUP(N244,setup!$A$8:$H$58,6),VLOOKUP(N244,setup!$A$8:$H$58,7), VLOOKUP(0,setup!$A$8:$H$58,2),VLOOKUP(0,setup!$A$8:$H$58,5),VLOOKUP(N244,setup!$A$8:$H$58,8))</f>
        <v/>
      </c>
    </row>
    <row r="245" spans="1:15" x14ac:dyDescent="0.25">
      <c r="A245" s="3"/>
      <c r="O245" s="7" t="str">
        <f ca="1">getCodigoBackend(N245,A245,VLOOKUP(N245,setup!$A$8:$H$58,2),VLOOKUP(N245,setup!$A$8:$H$58,3),VLOOKUP(N245,setup!$A$8:$H$58,4),VLOOKUP(N245,setup!$A$8:$H$58,5),VLOOKUP(N245,setup!$A$8:$H$58,6),VLOOKUP(N245,setup!$A$8:$H$58,7), VLOOKUP(0,setup!$A$8:$H$58,2),VLOOKUP(0,setup!$A$8:$H$58,5),VLOOKUP(N245,setup!$A$8:$H$58,8))</f>
        <v/>
      </c>
    </row>
    <row r="246" spans="1:15" x14ac:dyDescent="0.25">
      <c r="A246" s="2"/>
      <c r="O246" s="7" t="str">
        <f ca="1">getCodigoBackend(N246,A246,VLOOKUP(N246,setup!$A$8:$H$58,2),VLOOKUP(N246,setup!$A$8:$H$58,3),VLOOKUP(N246,setup!$A$8:$H$58,4),VLOOKUP(N246,setup!$A$8:$H$58,5),VLOOKUP(N246,setup!$A$8:$H$58,6),VLOOKUP(N246,setup!$A$8:$H$58,7), VLOOKUP(0,setup!$A$8:$H$58,2),VLOOKUP(0,setup!$A$8:$H$58,5),VLOOKUP(N246,setup!$A$8:$H$58,8))</f>
        <v/>
      </c>
    </row>
    <row r="247" spans="1:15" x14ac:dyDescent="0.25">
      <c r="A247" s="6"/>
      <c r="O247" s="7" t="str">
        <f ca="1">getCodigoBackend(N247,A247,VLOOKUP(N247,setup!$A$8:$H$58,2),VLOOKUP(N247,setup!$A$8:$H$58,3),VLOOKUP(N247,setup!$A$8:$H$58,4),VLOOKUP(N247,setup!$A$8:$H$58,5),VLOOKUP(N247,setup!$A$8:$H$58,6),VLOOKUP(N247,setup!$A$8:$H$58,7), VLOOKUP(0,setup!$A$8:$H$58,2),VLOOKUP(0,setup!$A$8:$H$58,5),VLOOKUP(N247,setup!$A$8:$H$58,8))</f>
        <v/>
      </c>
    </row>
    <row r="248" spans="1:15" x14ac:dyDescent="0.25">
      <c r="A248" s="5"/>
      <c r="O248" s="7" t="str">
        <f ca="1">getCodigoBackend(N248,A248,VLOOKUP(N248,setup!$A$8:$H$58,2),VLOOKUP(N248,setup!$A$8:$H$58,3),VLOOKUP(N248,setup!$A$8:$H$58,4),VLOOKUP(N248,setup!$A$8:$H$58,5),VLOOKUP(N248,setup!$A$8:$H$58,6),VLOOKUP(N248,setup!$A$8:$H$58,7), VLOOKUP(0,setup!$A$8:$H$58,2),VLOOKUP(0,setup!$A$8:$H$58,5),VLOOKUP(N248,setup!$A$8:$H$58,8))</f>
        <v/>
      </c>
    </row>
    <row r="249" spans="1:15" x14ac:dyDescent="0.25">
      <c r="A249" s="6"/>
      <c r="O249" s="7" t="str">
        <f ca="1">getCodigoBackend(N249,A249,VLOOKUP(N249,setup!$A$8:$H$58,2),VLOOKUP(N249,setup!$A$8:$H$58,3),VLOOKUP(N249,setup!$A$8:$H$58,4),VLOOKUP(N249,setup!$A$8:$H$58,5),VLOOKUP(N249,setup!$A$8:$H$58,6),VLOOKUP(N249,setup!$A$8:$H$58,7), VLOOKUP(0,setup!$A$8:$H$58,2),VLOOKUP(0,setup!$A$8:$H$58,5),VLOOKUP(N249,setup!$A$8:$H$58,8))</f>
        <v/>
      </c>
    </row>
    <row r="250" spans="1:15" x14ac:dyDescent="0.25">
      <c r="A250" s="10"/>
      <c r="O250" s="7" t="str">
        <f ca="1">getCodigoBackend(N250,A250,VLOOKUP(N250,setup!$A$8:$H$58,2),VLOOKUP(N250,setup!$A$8:$H$58,3),VLOOKUP(N250,setup!$A$8:$H$58,4),VLOOKUP(N250,setup!$A$8:$H$58,5),VLOOKUP(N250,setup!$A$8:$H$58,6),VLOOKUP(N250,setup!$A$8:$H$58,7), VLOOKUP(0,setup!$A$8:$H$58,2),VLOOKUP(0,setup!$A$8:$H$58,5),VLOOKUP(N250,setup!$A$8:$H$58,8))</f>
        <v/>
      </c>
    </row>
    <row r="251" spans="1:15" x14ac:dyDescent="0.25">
      <c r="A251" s="10"/>
      <c r="O251" s="7" t="str">
        <f ca="1">getCodigoBackend(N251,A251,VLOOKUP(N251,setup!$A$8:$H$58,2),VLOOKUP(N251,setup!$A$8:$H$58,3),VLOOKUP(N251,setup!$A$8:$H$58,4),VLOOKUP(N251,setup!$A$8:$H$58,5),VLOOKUP(N251,setup!$A$8:$H$58,6),VLOOKUP(N251,setup!$A$8:$H$58,7), VLOOKUP(0,setup!$A$8:$H$58,2),VLOOKUP(0,setup!$A$8:$H$58,5),VLOOKUP(N251,setup!$A$8:$H$58,8))</f>
        <v/>
      </c>
    </row>
    <row r="252" spans="1:15" x14ac:dyDescent="0.25">
      <c r="A252" s="10"/>
      <c r="O252" s="7" t="str">
        <f ca="1">getCodigoBackend(N252,A252,VLOOKUP(N252,setup!$A$8:$H$58,2),VLOOKUP(N252,setup!$A$8:$H$58,3),VLOOKUP(N252,setup!$A$8:$H$58,4),VLOOKUP(N252,setup!$A$8:$H$58,5),VLOOKUP(N252,setup!$A$8:$H$58,6),VLOOKUP(N252,setup!$A$8:$H$58,7), VLOOKUP(0,setup!$A$8:$H$58,2),VLOOKUP(0,setup!$A$8:$H$58,5),VLOOKUP(N252,setup!$A$8:$H$58,8))</f>
        <v/>
      </c>
    </row>
    <row r="253" spans="1:15" x14ac:dyDescent="0.25">
      <c r="A253" s="10"/>
      <c r="O253" s="7" t="str">
        <f ca="1">getCodigoBackend(N253,A253,VLOOKUP(N253,setup!$A$8:$H$58,2),VLOOKUP(N253,setup!$A$8:$H$58,3),VLOOKUP(N253,setup!$A$8:$H$58,4),VLOOKUP(N253,setup!$A$8:$H$58,5),VLOOKUP(N253,setup!$A$8:$H$58,6),VLOOKUP(N253,setup!$A$8:$H$58,7), VLOOKUP(0,setup!$A$8:$H$58,2),VLOOKUP(0,setup!$A$8:$H$58,5),VLOOKUP(N253,setup!$A$8:$H$58,8))</f>
        <v/>
      </c>
    </row>
    <row r="254" spans="1:15" x14ac:dyDescent="0.25">
      <c r="A254" s="10"/>
      <c r="O254" s="7" t="str">
        <f ca="1">getCodigoBackend(N254,A254,VLOOKUP(N254,setup!$A$8:$H$58,2),VLOOKUP(N254,setup!$A$8:$H$58,3),VLOOKUP(N254,setup!$A$8:$H$58,4),VLOOKUP(N254,setup!$A$8:$H$58,5),VLOOKUP(N254,setup!$A$8:$H$58,6),VLOOKUP(N254,setup!$A$8:$H$58,7), VLOOKUP(0,setup!$A$8:$H$58,2),VLOOKUP(0,setup!$A$8:$H$58,5),VLOOKUP(N254,setup!$A$8:$H$58,8))</f>
        <v/>
      </c>
    </row>
    <row r="255" spans="1:15" x14ac:dyDescent="0.25">
      <c r="A255" s="10"/>
      <c r="O255" s="7" t="str">
        <f ca="1">getCodigoBackend(N255,A255,VLOOKUP(N255,setup!$A$8:$H$58,2),VLOOKUP(N255,setup!$A$8:$H$58,3),VLOOKUP(N255,setup!$A$8:$H$58,4),VLOOKUP(N255,setup!$A$8:$H$58,5),VLOOKUP(N255,setup!$A$8:$H$58,6),VLOOKUP(N255,setup!$A$8:$H$58,7), VLOOKUP(0,setup!$A$8:$H$58,2),VLOOKUP(0,setup!$A$8:$H$58,5),VLOOKUP(N255,setup!$A$8:$H$58,8))</f>
        <v/>
      </c>
    </row>
    <row r="256" spans="1:15" x14ac:dyDescent="0.25">
      <c r="A256" s="10"/>
      <c r="O256" s="7" t="str">
        <f ca="1">getCodigoBackend(N256,A256,VLOOKUP(N256,setup!$A$8:$H$58,2),VLOOKUP(N256,setup!$A$8:$H$58,3),VLOOKUP(N256,setup!$A$8:$H$58,4),VLOOKUP(N256,setup!$A$8:$H$58,5),VLOOKUP(N256,setup!$A$8:$H$58,6),VLOOKUP(N256,setup!$A$8:$H$58,7), VLOOKUP(0,setup!$A$8:$H$58,2),VLOOKUP(0,setup!$A$8:$H$58,5),VLOOKUP(N256,setup!$A$8:$H$58,8))</f>
        <v/>
      </c>
    </row>
    <row r="257" spans="1:15" x14ac:dyDescent="0.25">
      <c r="A257" s="10"/>
      <c r="O257" s="7" t="str">
        <f ca="1">getCodigoBackend(N257,A257,VLOOKUP(N257,setup!$A$8:$H$58,2),VLOOKUP(N257,setup!$A$8:$H$58,3),VLOOKUP(N257,setup!$A$8:$H$58,4),VLOOKUP(N257,setup!$A$8:$H$58,5),VLOOKUP(N257,setup!$A$8:$H$58,6),VLOOKUP(N257,setup!$A$8:$H$58,7), VLOOKUP(0,setup!$A$8:$H$58,2),VLOOKUP(0,setup!$A$8:$H$58,5),VLOOKUP(N257,setup!$A$8:$H$58,8))</f>
        <v/>
      </c>
    </row>
    <row r="258" spans="1:15" x14ac:dyDescent="0.25">
      <c r="A258" s="10"/>
      <c r="O258" s="7" t="str">
        <f ca="1">getCodigoBackend(N258,A258,VLOOKUP(N258,setup!$A$8:$H$58,2),VLOOKUP(N258,setup!$A$8:$H$58,3),VLOOKUP(N258,setup!$A$8:$H$58,4),VLOOKUP(N258,setup!$A$8:$H$58,5),VLOOKUP(N258,setup!$A$8:$H$58,6),VLOOKUP(N258,setup!$A$8:$H$58,7), VLOOKUP(0,setup!$A$8:$H$58,2),VLOOKUP(0,setup!$A$8:$H$58,5),VLOOKUP(N258,setup!$A$8:$H$58,8))</f>
        <v/>
      </c>
    </row>
    <row r="259" spans="1:15" x14ac:dyDescent="0.25">
      <c r="A259" s="10"/>
      <c r="O259" s="7" t="str">
        <f ca="1">getCodigoBackend(N259,A259,VLOOKUP(N259,setup!$A$8:$H$58,2),VLOOKUP(N259,setup!$A$8:$H$58,3),VLOOKUP(N259,setup!$A$8:$H$58,4),VLOOKUP(N259,setup!$A$8:$H$58,5),VLOOKUP(N259,setup!$A$8:$H$58,6),VLOOKUP(N259,setup!$A$8:$H$58,7), VLOOKUP(0,setup!$A$8:$H$58,2),VLOOKUP(0,setup!$A$8:$H$58,5),VLOOKUP(N259,setup!$A$8:$H$58,8))</f>
        <v/>
      </c>
    </row>
    <row r="260" spans="1:15" x14ac:dyDescent="0.25">
      <c r="A260" s="10"/>
      <c r="O260" s="7" t="str">
        <f ca="1">getCodigoBackend(N260,A260,VLOOKUP(N260,setup!$A$8:$H$58,2),VLOOKUP(N260,setup!$A$8:$H$58,3),VLOOKUP(N260,setup!$A$8:$H$58,4),VLOOKUP(N260,setup!$A$8:$H$58,5),VLOOKUP(N260,setup!$A$8:$H$58,6),VLOOKUP(N260,setup!$A$8:$H$58,7), VLOOKUP(0,setup!$A$8:$H$58,2),VLOOKUP(0,setup!$A$8:$H$58,5),VLOOKUP(N260,setup!$A$8:$H$58,8))</f>
        <v/>
      </c>
    </row>
    <row r="261" spans="1:15" x14ac:dyDescent="0.25">
      <c r="A261" s="10"/>
      <c r="O261" s="7" t="str">
        <f ca="1">getCodigoBackend(N261,A261,VLOOKUP(N261,setup!$A$8:$H$58,2),VLOOKUP(N261,setup!$A$8:$H$58,3),VLOOKUP(N261,setup!$A$8:$H$58,4),VLOOKUP(N261,setup!$A$8:$H$58,5),VLOOKUP(N261,setup!$A$8:$H$58,6),VLOOKUP(N261,setup!$A$8:$H$58,7), VLOOKUP(0,setup!$A$8:$H$58,2),VLOOKUP(0,setup!$A$8:$H$58,5),VLOOKUP(N261,setup!$A$8:$H$58,8))</f>
        <v/>
      </c>
    </row>
    <row r="262" spans="1:15" x14ac:dyDescent="0.25">
      <c r="A262" s="10"/>
      <c r="O262" s="7" t="str">
        <f ca="1">getCodigoBackend(N262,A262,VLOOKUP(N262,setup!$A$8:$H$58,2),VLOOKUP(N262,setup!$A$8:$H$58,3),VLOOKUP(N262,setup!$A$8:$H$58,4),VLOOKUP(N262,setup!$A$8:$H$58,5),VLOOKUP(N262,setup!$A$8:$H$58,6),VLOOKUP(N262,setup!$A$8:$H$58,7), VLOOKUP(0,setup!$A$8:$H$58,2),VLOOKUP(0,setup!$A$8:$H$58,5),VLOOKUP(N262,setup!$A$8:$H$58,8))</f>
        <v/>
      </c>
    </row>
    <row r="263" spans="1:15" x14ac:dyDescent="0.25">
      <c r="A263" s="10"/>
      <c r="O263" s="7" t="str">
        <f ca="1">getCodigoBackend(N263,A263,VLOOKUP(N263,setup!$A$8:$H$58,2),VLOOKUP(N263,setup!$A$8:$H$58,3),VLOOKUP(N263,setup!$A$8:$H$58,4),VLOOKUP(N263,setup!$A$8:$H$58,5),VLOOKUP(N263,setup!$A$8:$H$58,6),VLOOKUP(N263,setup!$A$8:$H$58,7), VLOOKUP(0,setup!$A$8:$H$58,2),VLOOKUP(0,setup!$A$8:$H$58,5),VLOOKUP(N263,setup!$A$8:$H$58,8))</f>
        <v/>
      </c>
    </row>
    <row r="264" spans="1:15" x14ac:dyDescent="0.25">
      <c r="A264" s="10"/>
      <c r="O264" s="7" t="str">
        <f ca="1">getCodigoBackend(N264,A264,VLOOKUP(N264,setup!$A$8:$H$58,2),VLOOKUP(N264,setup!$A$8:$H$58,3),VLOOKUP(N264,setup!$A$8:$H$58,4),VLOOKUP(N264,setup!$A$8:$H$58,5),VLOOKUP(N264,setup!$A$8:$H$58,6),VLOOKUP(N264,setup!$A$8:$H$58,7), VLOOKUP(0,setup!$A$8:$H$58,2),VLOOKUP(0,setup!$A$8:$H$58,5),VLOOKUP(N264,setup!$A$8:$H$58,8))</f>
        <v/>
      </c>
    </row>
    <row r="265" spans="1:15" x14ac:dyDescent="0.25">
      <c r="A265" s="10"/>
      <c r="O265" s="7" t="str">
        <f ca="1">getCodigoBackend(N265,A265,VLOOKUP(N265,setup!$A$8:$H$58,2),VLOOKUP(N265,setup!$A$8:$H$58,3),VLOOKUP(N265,setup!$A$8:$H$58,4),VLOOKUP(N265,setup!$A$8:$H$58,5),VLOOKUP(N265,setup!$A$8:$H$58,6),VLOOKUP(N265,setup!$A$8:$H$58,7), VLOOKUP(0,setup!$A$8:$H$58,2),VLOOKUP(0,setup!$A$8:$H$58,5),VLOOKUP(N265,setup!$A$8:$H$58,8))</f>
        <v/>
      </c>
    </row>
    <row r="266" spans="1:15" x14ac:dyDescent="0.25">
      <c r="A266" s="10"/>
      <c r="O266" s="7" t="str">
        <f ca="1">getCodigoBackend(N266,A266,VLOOKUP(N266,setup!$A$8:$H$58,2),VLOOKUP(N266,setup!$A$8:$H$58,3),VLOOKUP(N266,setup!$A$8:$H$58,4),VLOOKUP(N266,setup!$A$8:$H$58,5),VLOOKUP(N266,setup!$A$8:$H$58,6),VLOOKUP(N266,setup!$A$8:$H$58,7), VLOOKUP(0,setup!$A$8:$H$58,2),VLOOKUP(0,setup!$A$8:$H$58,5),VLOOKUP(N266,setup!$A$8:$H$58,8))</f>
        <v/>
      </c>
    </row>
    <row r="267" spans="1:15" x14ac:dyDescent="0.25">
      <c r="A267" s="10"/>
      <c r="O267" s="7" t="str">
        <f ca="1">getCodigoBackend(N267,A267,VLOOKUP(N267,setup!$A$8:$H$58,2),VLOOKUP(N267,setup!$A$8:$H$58,3),VLOOKUP(N267,setup!$A$8:$H$58,4),VLOOKUP(N267,setup!$A$8:$H$58,5),VLOOKUP(N267,setup!$A$8:$H$58,6),VLOOKUP(N267,setup!$A$8:$H$58,7), VLOOKUP(0,setup!$A$8:$H$58,2),VLOOKUP(0,setup!$A$8:$H$58,5),VLOOKUP(N267,setup!$A$8:$H$58,8))</f>
        <v/>
      </c>
    </row>
    <row r="268" spans="1:15" x14ac:dyDescent="0.25">
      <c r="A268" s="10"/>
      <c r="O268" s="7" t="str">
        <f ca="1">getCodigoBackend(N268,A268,VLOOKUP(N268,setup!$A$8:$H$58,2),VLOOKUP(N268,setup!$A$8:$H$58,3),VLOOKUP(N268,setup!$A$8:$H$58,4),VLOOKUP(N268,setup!$A$8:$H$58,5),VLOOKUP(N268,setup!$A$8:$H$58,6),VLOOKUP(N268,setup!$A$8:$H$58,7), VLOOKUP(0,setup!$A$8:$H$58,2),VLOOKUP(0,setup!$A$8:$H$58,5),VLOOKUP(N268,setup!$A$8:$H$58,8))</f>
        <v/>
      </c>
    </row>
    <row r="269" spans="1:15" x14ac:dyDescent="0.25">
      <c r="A269" s="10"/>
      <c r="O269" s="7" t="str">
        <f ca="1">getCodigoBackend(N269,A269,VLOOKUP(N269,setup!$A$8:$H$58,2),VLOOKUP(N269,setup!$A$8:$H$58,3),VLOOKUP(N269,setup!$A$8:$H$58,4),VLOOKUP(N269,setup!$A$8:$H$58,5),VLOOKUP(N269,setup!$A$8:$H$58,6),VLOOKUP(N269,setup!$A$8:$H$58,7), VLOOKUP(0,setup!$A$8:$H$58,2),VLOOKUP(0,setup!$A$8:$H$58,5),VLOOKUP(N269,setup!$A$8:$H$58,8))</f>
        <v/>
      </c>
    </row>
    <row r="270" spans="1:15" x14ac:dyDescent="0.25">
      <c r="A270" s="10"/>
      <c r="O270" s="7" t="str">
        <f ca="1">getCodigoBackend(N270,A270,VLOOKUP(N270,setup!$A$8:$H$58,2),VLOOKUP(N270,setup!$A$8:$H$58,3),VLOOKUP(N270,setup!$A$8:$H$58,4),VLOOKUP(N270,setup!$A$8:$H$58,5),VLOOKUP(N270,setup!$A$8:$H$58,6),VLOOKUP(N270,setup!$A$8:$H$58,7), VLOOKUP(0,setup!$A$8:$H$58,2),VLOOKUP(0,setup!$A$8:$H$58,5),VLOOKUP(N270,setup!$A$8:$H$58,8))</f>
        <v/>
      </c>
    </row>
    <row r="271" spans="1:15" x14ac:dyDescent="0.25">
      <c r="A271" s="10"/>
      <c r="O271" s="7" t="str">
        <f ca="1">getCodigoBackend(N271,A271,VLOOKUP(N271,setup!$A$8:$H$58,2),VLOOKUP(N271,setup!$A$8:$H$58,3),VLOOKUP(N271,setup!$A$8:$H$58,4),VLOOKUP(N271,setup!$A$8:$H$58,5),VLOOKUP(N271,setup!$A$8:$H$58,6),VLOOKUP(N271,setup!$A$8:$H$58,7), VLOOKUP(0,setup!$A$8:$H$58,2),VLOOKUP(0,setup!$A$8:$H$58,5),VLOOKUP(N271,setup!$A$8:$H$58,8))</f>
        <v/>
      </c>
    </row>
    <row r="272" spans="1:15" x14ac:dyDescent="0.25">
      <c r="A272" s="10"/>
      <c r="O272" s="7" t="str">
        <f ca="1">getCodigoBackend(N272,A272,VLOOKUP(N272,setup!$A$8:$H$58,2),VLOOKUP(N272,setup!$A$8:$H$58,3),VLOOKUP(N272,setup!$A$8:$H$58,4),VLOOKUP(N272,setup!$A$8:$H$58,5),VLOOKUP(N272,setup!$A$8:$H$58,6),VLOOKUP(N272,setup!$A$8:$H$58,7), VLOOKUP(0,setup!$A$8:$H$58,2),VLOOKUP(0,setup!$A$8:$H$58,5),VLOOKUP(N272,setup!$A$8:$H$58,8))</f>
        <v/>
      </c>
    </row>
    <row r="273" spans="1:15" x14ac:dyDescent="0.25">
      <c r="A273" s="10"/>
      <c r="O273" s="7" t="str">
        <f ca="1">getCodigoBackend(N273,A273,VLOOKUP(N273,setup!$A$8:$H$58,2),VLOOKUP(N273,setup!$A$8:$H$58,3),VLOOKUP(N273,setup!$A$8:$H$58,4),VLOOKUP(N273,setup!$A$8:$H$58,5),VLOOKUP(N273,setup!$A$8:$H$58,6),VLOOKUP(N273,setup!$A$8:$H$58,7), VLOOKUP(0,setup!$A$8:$H$58,2),VLOOKUP(0,setup!$A$8:$H$58,5),VLOOKUP(N273,setup!$A$8:$H$58,8))</f>
        <v/>
      </c>
    </row>
    <row r="274" spans="1:15" x14ac:dyDescent="0.25">
      <c r="A274" s="10"/>
      <c r="O274" s="7" t="str">
        <f ca="1">getCodigoBackend(N274,A274,VLOOKUP(N274,setup!$A$8:$H$58,2),VLOOKUP(N274,setup!$A$8:$H$58,3),VLOOKUP(N274,setup!$A$8:$H$58,4),VLOOKUP(N274,setup!$A$8:$H$58,5),VLOOKUP(N274,setup!$A$8:$H$58,6),VLOOKUP(N274,setup!$A$8:$H$58,7), VLOOKUP(0,setup!$A$8:$H$58,2),VLOOKUP(0,setup!$A$8:$H$58,5),VLOOKUP(N274,setup!$A$8:$H$58,8))</f>
        <v/>
      </c>
    </row>
    <row r="275" spans="1:15" x14ac:dyDescent="0.25">
      <c r="A275" s="10"/>
      <c r="O275" s="7" t="str">
        <f ca="1">getCodigoBackend(N275,A275,VLOOKUP(N275,setup!$A$8:$H$58,2),VLOOKUP(N275,setup!$A$8:$H$58,3),VLOOKUP(N275,setup!$A$8:$H$58,4),VLOOKUP(N275,setup!$A$8:$H$58,5),VLOOKUP(N275,setup!$A$8:$H$58,6),VLOOKUP(N275,setup!$A$8:$H$58,7), VLOOKUP(0,setup!$A$8:$H$58,2),VLOOKUP(0,setup!$A$8:$H$58,5),VLOOKUP(N275,setup!$A$8:$H$58,8))</f>
        <v/>
      </c>
    </row>
    <row r="276" spans="1:15" x14ac:dyDescent="0.25">
      <c r="A276" s="10"/>
      <c r="O276" s="7" t="str">
        <f ca="1">getCodigoBackend(N276,A276,VLOOKUP(N276,setup!$A$8:$H$58,2),VLOOKUP(N276,setup!$A$8:$H$58,3),VLOOKUP(N276,setup!$A$8:$H$58,4),VLOOKUP(N276,setup!$A$8:$H$58,5),VLOOKUP(N276,setup!$A$8:$H$58,6),VLOOKUP(N276,setup!$A$8:$H$58,7), VLOOKUP(0,setup!$A$8:$H$58,2),VLOOKUP(0,setup!$A$8:$H$58,5),VLOOKUP(N276,setup!$A$8:$H$58,8))</f>
        <v/>
      </c>
    </row>
    <row r="277" spans="1:15" x14ac:dyDescent="0.25">
      <c r="A277" s="10"/>
      <c r="O277" s="7" t="str">
        <f ca="1">getCodigoBackend(N277,A277,VLOOKUP(N277,setup!$A$8:$H$58,2),VLOOKUP(N277,setup!$A$8:$H$58,3),VLOOKUP(N277,setup!$A$8:$H$58,4),VLOOKUP(N277,setup!$A$8:$H$58,5),VLOOKUP(N277,setup!$A$8:$H$58,6),VLOOKUP(N277,setup!$A$8:$H$58,7), VLOOKUP(0,setup!$A$8:$H$58,2),VLOOKUP(0,setup!$A$8:$H$58,5),VLOOKUP(N277,setup!$A$8:$H$58,8))</f>
        <v/>
      </c>
    </row>
    <row r="278" spans="1:15" x14ac:dyDescent="0.25">
      <c r="A278" s="10"/>
      <c r="O278" s="7" t="str">
        <f ca="1">getCodigoBackend(N278,A278,VLOOKUP(N278,setup!$A$8:$H$58,2),VLOOKUP(N278,setup!$A$8:$H$58,3),VLOOKUP(N278,setup!$A$8:$H$58,4),VLOOKUP(N278,setup!$A$8:$H$58,5),VLOOKUP(N278,setup!$A$8:$H$58,6),VLOOKUP(N278,setup!$A$8:$H$58,7), VLOOKUP(0,setup!$A$8:$H$58,2),VLOOKUP(0,setup!$A$8:$H$58,5),VLOOKUP(N278,setup!$A$8:$H$58,8))</f>
        <v/>
      </c>
    </row>
    <row r="279" spans="1:15" x14ac:dyDescent="0.25">
      <c r="A279" s="10"/>
      <c r="O279" s="7" t="str">
        <f ca="1">getCodigoBackend(N279,A279,VLOOKUP(N279,setup!$A$8:$H$58,2),VLOOKUP(N279,setup!$A$8:$H$58,3),VLOOKUP(N279,setup!$A$8:$H$58,4),VLOOKUP(N279,setup!$A$8:$H$58,5),VLOOKUP(N279,setup!$A$8:$H$58,6),VLOOKUP(N279,setup!$A$8:$H$58,7), VLOOKUP(0,setup!$A$8:$H$58,2),VLOOKUP(0,setup!$A$8:$H$58,5),VLOOKUP(N279,setup!$A$8:$H$58,8))</f>
        <v/>
      </c>
    </row>
    <row r="280" spans="1:15" x14ac:dyDescent="0.25">
      <c r="A280" s="10"/>
      <c r="O280" s="7" t="str">
        <f ca="1">getCodigoBackend(N280,A280,VLOOKUP(N280,setup!$A$8:$H$58,2),VLOOKUP(N280,setup!$A$8:$H$58,3),VLOOKUP(N280,setup!$A$8:$H$58,4),VLOOKUP(N280,setup!$A$8:$H$58,5),VLOOKUP(N280,setup!$A$8:$H$58,6),VLOOKUP(N280,setup!$A$8:$H$58,7), VLOOKUP(0,setup!$A$8:$H$58,2),VLOOKUP(0,setup!$A$8:$H$58,5),VLOOKUP(N280,setup!$A$8:$H$58,8))</f>
        <v/>
      </c>
    </row>
    <row r="281" spans="1:15" x14ac:dyDescent="0.25">
      <c r="A281" s="10"/>
      <c r="O281" s="7" t="str">
        <f ca="1">getCodigoBackend(N281,A281,VLOOKUP(N281,setup!$A$8:$H$58,2),VLOOKUP(N281,setup!$A$8:$H$58,3),VLOOKUP(N281,setup!$A$8:$H$58,4),VLOOKUP(N281,setup!$A$8:$H$58,5),VLOOKUP(N281,setup!$A$8:$H$58,6),VLOOKUP(N281,setup!$A$8:$H$58,7), VLOOKUP(0,setup!$A$8:$H$58,2),VLOOKUP(0,setup!$A$8:$H$58,5),VLOOKUP(N281,setup!$A$8:$H$58,8))</f>
        <v/>
      </c>
    </row>
    <row r="282" spans="1:15" x14ac:dyDescent="0.25">
      <c r="A282" s="10"/>
      <c r="O282" s="7" t="str">
        <f ca="1">getCodigoBackend(N282,A282,VLOOKUP(N282,setup!$A$8:$H$58,2),VLOOKUP(N282,setup!$A$8:$H$58,3),VLOOKUP(N282,setup!$A$8:$H$58,4),VLOOKUP(N282,setup!$A$8:$H$58,5),VLOOKUP(N282,setup!$A$8:$H$58,6),VLOOKUP(N282,setup!$A$8:$H$58,7), VLOOKUP(0,setup!$A$8:$H$58,2),VLOOKUP(0,setup!$A$8:$H$58,5),VLOOKUP(N282,setup!$A$8:$H$58,8))</f>
        <v/>
      </c>
    </row>
    <row r="283" spans="1:15" x14ac:dyDescent="0.25">
      <c r="A283" s="10"/>
      <c r="O283" s="7" t="str">
        <f ca="1">getCodigoBackend(N283,A283,VLOOKUP(N283,setup!$A$8:$H$58,2),VLOOKUP(N283,setup!$A$8:$H$58,3),VLOOKUP(N283,setup!$A$8:$H$58,4),VLOOKUP(N283,setup!$A$8:$H$58,5),VLOOKUP(N283,setup!$A$8:$H$58,6),VLOOKUP(N283,setup!$A$8:$H$58,7), VLOOKUP(0,setup!$A$8:$H$58,2),VLOOKUP(0,setup!$A$8:$H$58,5),VLOOKUP(N283,setup!$A$8:$H$58,8))</f>
        <v/>
      </c>
    </row>
    <row r="284" spans="1:15" x14ac:dyDescent="0.25">
      <c r="A284" s="10"/>
      <c r="O284" s="7" t="str">
        <f ca="1">getCodigoBackend(N284,A284,VLOOKUP(N284,setup!$A$8:$H$58,2),VLOOKUP(N284,setup!$A$8:$H$58,3),VLOOKUP(N284,setup!$A$8:$H$58,4),VLOOKUP(N284,setup!$A$8:$H$58,5),VLOOKUP(N284,setup!$A$8:$H$58,6),VLOOKUP(N284,setup!$A$8:$H$58,7), VLOOKUP(0,setup!$A$8:$H$58,2),VLOOKUP(0,setup!$A$8:$H$58,5),VLOOKUP(N284,setup!$A$8:$H$58,8))</f>
        <v/>
      </c>
    </row>
    <row r="285" spans="1:15" x14ac:dyDescent="0.25">
      <c r="A285" s="10"/>
      <c r="O285" s="7" t="str">
        <f ca="1">getCodigoBackend(N285,A285,VLOOKUP(N285,setup!$A$8:$H$58,2),VLOOKUP(N285,setup!$A$8:$H$58,3),VLOOKUP(N285,setup!$A$8:$H$58,4),VLOOKUP(N285,setup!$A$8:$H$58,5),VLOOKUP(N285,setup!$A$8:$H$58,6),VLOOKUP(N285,setup!$A$8:$H$58,7), VLOOKUP(0,setup!$A$8:$H$58,2),VLOOKUP(0,setup!$A$8:$H$58,5),VLOOKUP(N285,setup!$A$8:$H$58,8))</f>
        <v/>
      </c>
    </row>
    <row r="286" spans="1:15" x14ac:dyDescent="0.25">
      <c r="A286" s="10"/>
      <c r="O286" s="7" t="str">
        <f ca="1">getCodigoBackend(N286,A286,VLOOKUP(N286,setup!$A$8:$H$58,2),VLOOKUP(N286,setup!$A$8:$H$58,3),VLOOKUP(N286,setup!$A$8:$H$58,4),VLOOKUP(N286,setup!$A$8:$H$58,5),VLOOKUP(N286,setup!$A$8:$H$58,6),VLOOKUP(N286,setup!$A$8:$H$58,7), VLOOKUP(0,setup!$A$8:$H$58,2),VLOOKUP(0,setup!$A$8:$H$58,5),VLOOKUP(N286,setup!$A$8:$H$58,8))</f>
        <v/>
      </c>
    </row>
    <row r="287" spans="1:15" x14ac:dyDescent="0.25">
      <c r="A287" s="10"/>
      <c r="O287" s="7" t="str">
        <f ca="1">getCodigoBackend(N287,A287,VLOOKUP(N287,setup!$A$8:$H$58,2),VLOOKUP(N287,setup!$A$8:$H$58,3),VLOOKUP(N287,setup!$A$8:$H$58,4),VLOOKUP(N287,setup!$A$8:$H$58,5),VLOOKUP(N287,setup!$A$8:$H$58,6),VLOOKUP(N287,setup!$A$8:$H$58,7), VLOOKUP(0,setup!$A$8:$H$58,2),VLOOKUP(0,setup!$A$8:$H$58,5),VLOOKUP(N287,setup!$A$8:$H$58,8))</f>
        <v/>
      </c>
    </row>
    <row r="288" spans="1:15" x14ac:dyDescent="0.25">
      <c r="A288" s="10"/>
      <c r="O288" s="7" t="str">
        <f ca="1">getCodigoBackend(N288,A288,VLOOKUP(N288,setup!$A$8:$H$58,2),VLOOKUP(N288,setup!$A$8:$H$58,3),VLOOKUP(N288,setup!$A$8:$H$58,4),VLOOKUP(N288,setup!$A$8:$H$58,5),VLOOKUP(N288,setup!$A$8:$H$58,6),VLOOKUP(N288,setup!$A$8:$H$58,7), VLOOKUP(0,setup!$A$8:$H$58,2),VLOOKUP(0,setup!$A$8:$H$58,5),VLOOKUP(N288,setup!$A$8:$H$58,8))</f>
        <v/>
      </c>
    </row>
    <row r="289" spans="1:15" x14ac:dyDescent="0.25">
      <c r="A289" s="10"/>
      <c r="O289" s="7" t="str">
        <f ca="1">getCodigoBackend(N289,A289,VLOOKUP(N289,setup!$A$8:$H$58,2),VLOOKUP(N289,setup!$A$8:$H$58,3),VLOOKUP(N289,setup!$A$8:$H$58,4),VLOOKUP(N289,setup!$A$8:$H$58,5),VLOOKUP(N289,setup!$A$8:$H$58,6),VLOOKUP(N289,setup!$A$8:$H$58,7), VLOOKUP(0,setup!$A$8:$H$58,2),VLOOKUP(0,setup!$A$8:$H$58,5),VLOOKUP(N289,setup!$A$8:$H$58,8))</f>
        <v/>
      </c>
    </row>
    <row r="290" spans="1:15" x14ac:dyDescent="0.25">
      <c r="A290" s="10"/>
      <c r="O290" s="7" t="str">
        <f ca="1">getCodigoBackend(N290,A290,VLOOKUP(N290,setup!$A$8:$H$58,2),VLOOKUP(N290,setup!$A$8:$H$58,3),VLOOKUP(N290,setup!$A$8:$H$58,4),VLOOKUP(N290,setup!$A$8:$H$58,5),VLOOKUP(N290,setup!$A$8:$H$58,6),VLOOKUP(N290,setup!$A$8:$H$58,7), VLOOKUP(0,setup!$A$8:$H$58,2),VLOOKUP(0,setup!$A$8:$H$58,5),VLOOKUP(N290,setup!$A$8:$H$58,8))</f>
        <v/>
      </c>
    </row>
    <row r="291" spans="1:15" x14ac:dyDescent="0.25">
      <c r="A291" s="10"/>
      <c r="O291" s="7" t="str">
        <f ca="1">getCodigoBackend(N291,A291,VLOOKUP(N291,setup!$A$8:$H$58,2),VLOOKUP(N291,setup!$A$8:$H$58,3),VLOOKUP(N291,setup!$A$8:$H$58,4),VLOOKUP(N291,setup!$A$8:$H$58,5),VLOOKUP(N291,setup!$A$8:$H$58,6),VLOOKUP(N291,setup!$A$8:$H$58,7), VLOOKUP(0,setup!$A$8:$H$58,2),VLOOKUP(0,setup!$A$8:$H$58,5),VLOOKUP(N291,setup!$A$8:$H$58,8))</f>
        <v/>
      </c>
    </row>
    <row r="292" spans="1:15" x14ac:dyDescent="0.25">
      <c r="A292" s="10"/>
      <c r="O292" s="7" t="str">
        <f ca="1">getCodigoBackend(N292,A292,VLOOKUP(N292,setup!$A$8:$H$58,2),VLOOKUP(N292,setup!$A$8:$H$58,3),VLOOKUP(N292,setup!$A$8:$H$58,4),VLOOKUP(N292,setup!$A$8:$H$58,5),VLOOKUP(N292,setup!$A$8:$H$58,6),VLOOKUP(N292,setup!$A$8:$H$58,7), VLOOKUP(0,setup!$A$8:$H$58,2),VLOOKUP(0,setup!$A$8:$H$58,5),VLOOKUP(N292,setup!$A$8:$H$58,8))</f>
        <v/>
      </c>
    </row>
    <row r="293" spans="1:15" x14ac:dyDescent="0.25">
      <c r="A293" s="10"/>
      <c r="O293" s="7" t="str">
        <f ca="1">getCodigoBackend(N293,A293,VLOOKUP(N293,setup!$A$8:$H$58,2),VLOOKUP(N293,setup!$A$8:$H$58,3),VLOOKUP(N293,setup!$A$8:$H$58,4),VLOOKUP(N293,setup!$A$8:$H$58,5),VLOOKUP(N293,setup!$A$8:$H$58,6),VLOOKUP(N293,setup!$A$8:$H$58,7), VLOOKUP(0,setup!$A$8:$H$58,2),VLOOKUP(0,setup!$A$8:$H$58,5),VLOOKUP(N293,setup!$A$8:$H$58,8))</f>
        <v/>
      </c>
    </row>
    <row r="294" spans="1:15" x14ac:dyDescent="0.25">
      <c r="A294" s="10"/>
      <c r="O294" s="7" t="str">
        <f ca="1">getCodigoBackend(N294,A294,VLOOKUP(N294,setup!$A$8:$H$58,2),VLOOKUP(N294,setup!$A$8:$H$58,3),VLOOKUP(N294,setup!$A$8:$H$58,4),VLOOKUP(N294,setup!$A$8:$H$58,5),VLOOKUP(N294,setup!$A$8:$H$58,6),VLOOKUP(N294,setup!$A$8:$H$58,7), VLOOKUP(0,setup!$A$8:$H$58,2),VLOOKUP(0,setup!$A$8:$H$58,5),VLOOKUP(N294,setup!$A$8:$H$58,8))</f>
        <v/>
      </c>
    </row>
    <row r="295" spans="1:15" x14ac:dyDescent="0.25">
      <c r="A295" s="10"/>
      <c r="O295" s="7" t="str">
        <f ca="1">getCodigoBackend(N295,A295,VLOOKUP(N295,setup!$A$8:$H$58,2),VLOOKUP(N295,setup!$A$8:$H$58,3),VLOOKUP(N295,setup!$A$8:$H$58,4),VLOOKUP(N295,setup!$A$8:$H$58,5),VLOOKUP(N295,setup!$A$8:$H$58,6),VLOOKUP(N295,setup!$A$8:$H$58,7), VLOOKUP(0,setup!$A$8:$H$58,2),VLOOKUP(0,setup!$A$8:$H$58,5),VLOOKUP(N295,setup!$A$8:$H$58,8))</f>
        <v/>
      </c>
    </row>
    <row r="296" spans="1:15" x14ac:dyDescent="0.25">
      <c r="A296" s="10"/>
      <c r="O296" s="7" t="str">
        <f ca="1">getCodigoBackend(N296,A296,VLOOKUP(N296,setup!$A$8:$H$58,2),VLOOKUP(N296,setup!$A$8:$H$58,3),VLOOKUP(N296,setup!$A$8:$H$58,4),VLOOKUP(N296,setup!$A$8:$H$58,5),VLOOKUP(N296,setup!$A$8:$H$58,6),VLOOKUP(N296,setup!$A$8:$H$58,7), VLOOKUP(0,setup!$A$8:$H$58,2),VLOOKUP(0,setup!$A$8:$H$58,5),VLOOKUP(N296,setup!$A$8:$H$58,8))</f>
        <v/>
      </c>
    </row>
    <row r="297" spans="1:15" x14ac:dyDescent="0.25">
      <c r="A297" s="10"/>
      <c r="O297" s="7" t="str">
        <f ca="1">getCodigoBackend(N297,A297,VLOOKUP(N297,setup!$A$8:$H$58,2),VLOOKUP(N297,setup!$A$8:$H$58,3),VLOOKUP(N297,setup!$A$8:$H$58,4),VLOOKUP(N297,setup!$A$8:$H$58,5),VLOOKUP(N297,setup!$A$8:$H$58,6),VLOOKUP(N297,setup!$A$8:$H$58,7), VLOOKUP(0,setup!$A$8:$H$58,2),VLOOKUP(0,setup!$A$8:$H$58,5),VLOOKUP(N297,setup!$A$8:$H$58,8))</f>
        <v/>
      </c>
    </row>
    <row r="298" spans="1:15" x14ac:dyDescent="0.25">
      <c r="A298" s="10"/>
      <c r="O298" s="7" t="str">
        <f ca="1">getCodigoBackend(N298,A298,VLOOKUP(N298,setup!$A$8:$H$58,2),VLOOKUP(N298,setup!$A$8:$H$58,3),VLOOKUP(N298,setup!$A$8:$H$58,4),VLOOKUP(N298,setup!$A$8:$H$58,5),VLOOKUP(N298,setup!$A$8:$H$58,6),VLOOKUP(N298,setup!$A$8:$H$58,7), VLOOKUP(0,setup!$A$8:$H$58,2),VLOOKUP(0,setup!$A$8:$H$58,5),VLOOKUP(N298,setup!$A$8:$H$58,8))</f>
        <v/>
      </c>
    </row>
    <row r="299" spans="1:15" x14ac:dyDescent="0.25">
      <c r="A299" s="10"/>
      <c r="O299" s="7" t="str">
        <f ca="1">getCodigoBackend(N299,A299,VLOOKUP(N299,setup!$A$8:$H$58,2),VLOOKUP(N299,setup!$A$8:$H$58,3),VLOOKUP(N299,setup!$A$8:$H$58,4),VLOOKUP(N299,setup!$A$8:$H$58,5),VLOOKUP(N299,setup!$A$8:$H$58,6),VLOOKUP(N299,setup!$A$8:$H$58,7), VLOOKUP(0,setup!$A$8:$H$58,2),VLOOKUP(0,setup!$A$8:$H$58,5),VLOOKUP(N299,setup!$A$8:$H$58,8))</f>
        <v/>
      </c>
    </row>
    <row r="300" spans="1:15" x14ac:dyDescent="0.25">
      <c r="A300" s="10"/>
      <c r="O300" s="7" t="str">
        <f ca="1">getCodigoBackend(N300,A300,VLOOKUP(N300,setup!$A$8:$H$58,2),VLOOKUP(N300,setup!$A$8:$H$58,3),VLOOKUP(N300,setup!$A$8:$H$58,4),VLOOKUP(N300,setup!$A$8:$H$58,5),VLOOKUP(N300,setup!$A$8:$H$58,6),VLOOKUP(N300,setup!$A$8:$H$58,7), VLOOKUP(0,setup!$A$8:$H$58,2),VLOOKUP(0,setup!$A$8:$H$58,5),VLOOKUP(N300,setup!$A$8:$H$58,8))</f>
        <v/>
      </c>
    </row>
    <row r="301" spans="1:15" x14ac:dyDescent="0.25">
      <c r="A301" s="1"/>
      <c r="O301" s="7" t="str">
        <f ca="1">getCodigoBackend(N301,A301,VLOOKUP(N301,setup!$A$8:$H$58,2),VLOOKUP(N301,setup!$A$8:$H$58,3),VLOOKUP(N301,setup!$A$8:$H$58,4),VLOOKUP(N301,setup!$A$8:$H$58,5),VLOOKUP(N301,setup!$A$8:$H$58,6),VLOOKUP(N301,setup!$A$8:$H$58,7), VLOOKUP(0,setup!$A$8:$H$58,2),VLOOKUP(0,setup!$A$8:$H$58,5),VLOOKUP(N301,setup!$A$8:$H$58,8))</f>
        <v/>
      </c>
    </row>
    <row r="302" spans="1:15" x14ac:dyDescent="0.25">
      <c r="A302" s="1"/>
      <c r="O302" s="7" t="str">
        <f ca="1">getCodigoBackend(N302,A302,VLOOKUP(N302,setup!$A$8:$H$58,2),VLOOKUP(N302,setup!$A$8:$H$58,3),VLOOKUP(N302,setup!$A$8:$H$58,4),VLOOKUP(N302,setup!$A$8:$H$58,5),VLOOKUP(N302,setup!$A$8:$H$58,6),VLOOKUP(N302,setup!$A$8:$H$58,7), VLOOKUP(0,setup!$A$8:$H$58,2),VLOOKUP(0,setup!$A$8:$H$58,5),VLOOKUP(N302,setup!$A$8:$H$58,8))</f>
        <v/>
      </c>
    </row>
    <row r="303" spans="1:15" x14ac:dyDescent="0.25">
      <c r="A303" s="1"/>
      <c r="O303" s="7" t="str">
        <f ca="1">getCodigoBackend(N303,A303,VLOOKUP(N303,setup!$A$8:$H$58,2),VLOOKUP(N303,setup!$A$8:$H$58,3),VLOOKUP(N303,setup!$A$8:$H$58,4),VLOOKUP(N303,setup!$A$8:$H$58,5),VLOOKUP(N303,setup!$A$8:$H$58,6),VLOOKUP(N303,setup!$A$8:$H$58,7), VLOOKUP(0,setup!$A$8:$H$58,2),VLOOKUP(0,setup!$A$8:$H$58,5),VLOOKUP(N303,setup!$A$8:$H$58,8))</f>
        <v/>
      </c>
    </row>
    <row r="304" spans="1:15" x14ac:dyDescent="0.25">
      <c r="A304" s="1"/>
      <c r="O304" s="7" t="str">
        <f ca="1">getCodigoBackend(N304,A304,VLOOKUP(N304,setup!$A$8:$H$58,2),VLOOKUP(N304,setup!$A$8:$H$58,3),VLOOKUP(N304,setup!$A$8:$H$58,4),VLOOKUP(N304,setup!$A$8:$H$58,5),VLOOKUP(N304,setup!$A$8:$H$58,6),VLOOKUP(N304,setup!$A$8:$H$58,7), VLOOKUP(0,setup!$A$8:$H$58,2),VLOOKUP(0,setup!$A$8:$H$58,5),VLOOKUP(N304,setup!$A$8:$H$58,8))</f>
        <v/>
      </c>
    </row>
    <row r="305" spans="1:15" x14ac:dyDescent="0.25">
      <c r="A305" s="6"/>
      <c r="O305" s="7" t="str">
        <f ca="1">getCodigoBackend(N305,A305,VLOOKUP(N305,setup!$A$8:$H$58,2),VLOOKUP(N305,setup!$A$8:$H$58,3),VLOOKUP(N305,setup!$A$8:$H$58,4),VLOOKUP(N305,setup!$A$8:$H$58,5),VLOOKUP(N305,setup!$A$8:$H$58,6),VLOOKUP(N305,setup!$A$8:$H$58,7), VLOOKUP(0,setup!$A$8:$H$58,2),VLOOKUP(0,setup!$A$8:$H$58,5),VLOOKUP(N305,setup!$A$8:$H$58,8))</f>
        <v/>
      </c>
    </row>
    <row r="306" spans="1:15" x14ac:dyDescent="0.25">
      <c r="A306" s="6"/>
      <c r="O306" s="7" t="str">
        <f ca="1">getCodigoBackend(N306,A306,VLOOKUP(N306,setup!$A$8:$H$58,2),VLOOKUP(N306,setup!$A$8:$H$58,3),VLOOKUP(N306,setup!$A$8:$H$58,4),VLOOKUP(N306,setup!$A$8:$H$58,5),VLOOKUP(N306,setup!$A$8:$H$58,6),VLOOKUP(N306,setup!$A$8:$H$58,7), VLOOKUP(0,setup!$A$8:$H$58,2),VLOOKUP(0,setup!$A$8:$H$58,5),VLOOKUP(N306,setup!$A$8:$H$58,8))</f>
        <v/>
      </c>
    </row>
    <row r="307" spans="1:15" x14ac:dyDescent="0.25">
      <c r="A307" s="3"/>
      <c r="O307" s="7" t="str">
        <f ca="1">getCodigoBackend(N307,A307,VLOOKUP(N307,setup!$A$8:$H$58,2),VLOOKUP(N307,setup!$A$8:$H$58,3),VLOOKUP(N307,setup!$A$8:$H$58,4),VLOOKUP(N307,setup!$A$8:$H$58,5),VLOOKUP(N307,setup!$A$8:$H$58,6),VLOOKUP(N307,setup!$A$8:$H$58,7), VLOOKUP(0,setup!$A$8:$H$58,2),VLOOKUP(0,setup!$A$8:$H$58,5),VLOOKUP(N307,setup!$A$8:$H$58,8))</f>
        <v/>
      </c>
    </row>
    <row r="308" spans="1:15" x14ac:dyDescent="0.25">
      <c r="A308" s="3"/>
      <c r="O308" s="7" t="str">
        <f ca="1">getCodigoBackend(N308,A308,VLOOKUP(N308,setup!$A$8:$H$58,2),VLOOKUP(N308,setup!$A$8:$H$58,3),VLOOKUP(N308,setup!$A$8:$H$58,4),VLOOKUP(N308,setup!$A$8:$H$58,5),VLOOKUP(N308,setup!$A$8:$H$58,6),VLOOKUP(N308,setup!$A$8:$H$58,7), VLOOKUP(0,setup!$A$8:$H$58,2),VLOOKUP(0,setup!$A$8:$H$58,5),VLOOKUP(N308,setup!$A$8:$H$58,8))</f>
        <v/>
      </c>
    </row>
    <row r="309" spans="1:15" x14ac:dyDescent="0.25">
      <c r="A309" s="6"/>
      <c r="O309" s="7" t="str">
        <f ca="1">getCodigoBackend(N309,A309,VLOOKUP(N309,setup!$A$8:$H$58,2),VLOOKUP(N309,setup!$A$8:$H$58,3),VLOOKUP(N309,setup!$A$8:$H$58,4),VLOOKUP(N309,setup!$A$8:$H$58,5),VLOOKUP(N309,setup!$A$8:$H$58,6),VLOOKUP(N309,setup!$A$8:$H$58,7), VLOOKUP(0,setup!$A$8:$H$58,2),VLOOKUP(0,setup!$A$8:$H$58,5),VLOOKUP(N309,setup!$A$8:$H$58,8))</f>
        <v/>
      </c>
    </row>
    <row r="310" spans="1:15" x14ac:dyDescent="0.25">
      <c r="A310" s="2"/>
      <c r="O310" s="7" t="str">
        <f ca="1">getCodigoBackend(N310,A310,VLOOKUP(N310,setup!$A$8:$H$58,2),VLOOKUP(N310,setup!$A$8:$H$58,3),VLOOKUP(N310,setup!$A$8:$H$58,4),VLOOKUP(N310,setup!$A$8:$H$58,5),VLOOKUP(N310,setup!$A$8:$H$58,6),VLOOKUP(N310,setup!$A$8:$H$58,7), VLOOKUP(0,setup!$A$8:$H$58,2),VLOOKUP(0,setup!$A$8:$H$58,5),VLOOKUP(N310,setup!$A$8:$H$58,8))</f>
        <v/>
      </c>
    </row>
    <row r="311" spans="1:15" x14ac:dyDescent="0.25">
      <c r="O311" t="str">
        <f>SUBSTITUTE(SUBSTITUTE(SUBSTITUTE(SUBSTITUTE(A311,"${dto}",setup!$C$3),"${pk}",setup!$E$8),"${tabela}",setup!$C$2),CONCATENATE("${",N311,"}"),VLOOKUP(N311,setup!$A$8:$E$58,5))</f>
        <v/>
      </c>
    </row>
    <row r="312" spans="1:15" x14ac:dyDescent="0.25">
      <c r="O312" t="str">
        <f>SUBSTITUTE(SUBSTITUTE(SUBSTITUTE(SUBSTITUTE(A312,"${dto}",setup!$C$3),"${pk}",setup!$E$8),"${tabela}",setup!$C$2),CONCATENATE("${",N312,"}"),VLOOKUP(N312,setup!$A$8:$E$58,5))</f>
        <v/>
      </c>
    </row>
    <row r="313" spans="1:15" x14ac:dyDescent="0.25">
      <c r="O313" t="str">
        <f>SUBSTITUTE(SUBSTITUTE(SUBSTITUTE(SUBSTITUTE(A313,"${dto}",setup!$C$3),"${pk}",setup!$E$8),"${tabela}",setup!$C$2),CONCATENATE("${",N313,"}"),VLOOKUP(N313,setup!$A$8:$E$58,5))</f>
        <v/>
      </c>
    </row>
    <row r="314" spans="1:15" x14ac:dyDescent="0.25">
      <c r="O314" t="str">
        <f>SUBSTITUTE(SUBSTITUTE(SUBSTITUTE(SUBSTITUTE(A314,"${dto}",setup!$C$3),"${pk}",setup!$E$8),"${tabela}",setup!$C$2),CONCATENATE("${",N314,"}"),VLOOKUP(N314,setup!$A$8:$E$58,5))</f>
        <v/>
      </c>
    </row>
    <row r="315" spans="1:15" x14ac:dyDescent="0.25">
      <c r="O315" t="str">
        <f>SUBSTITUTE(SUBSTITUTE(SUBSTITUTE(SUBSTITUTE(A315,"${dto}",setup!$C$3),"${pk}",setup!$E$8),"${tabela}",setup!$C$2),CONCATENATE("${",N315,"}"),VLOOKUP(N315,setup!$A$8:$E$58,5))</f>
        <v/>
      </c>
    </row>
    <row r="316" spans="1:15" x14ac:dyDescent="0.25">
      <c r="O316" t="str">
        <f>SUBSTITUTE(SUBSTITUTE(SUBSTITUTE(SUBSTITUTE(A316,"${dto}",setup!$C$3),"${pk}",setup!$E$8),"${tabela}",setup!$C$2),CONCATENATE("${",N316,"}"),VLOOKUP(N316,setup!$A$8:$E$58,5))</f>
        <v/>
      </c>
    </row>
    <row r="317" spans="1:15" x14ac:dyDescent="0.25">
      <c r="O317" t="str">
        <f>SUBSTITUTE(SUBSTITUTE(SUBSTITUTE(SUBSTITUTE(A317,"${dto}",setup!$C$3),"${pk}",setup!$E$8),"${tabela}",setup!$C$2),CONCATENATE("${",N317,"}"),VLOOKUP(N317,setup!$A$8:$E$58,5))</f>
        <v/>
      </c>
    </row>
    <row r="318" spans="1:15" x14ac:dyDescent="0.25">
      <c r="O318" t="str">
        <f>SUBSTITUTE(SUBSTITUTE(SUBSTITUTE(SUBSTITUTE(A318,"${dto}",setup!$C$3),"${pk}",setup!$E$8),"${tabela}",setup!$C$2),CONCATENATE("${",N318,"}"),VLOOKUP(N318,setup!$A$8:$E$58,5))</f>
        <v/>
      </c>
    </row>
    <row r="319" spans="1:15" x14ac:dyDescent="0.25">
      <c r="O319" t="str">
        <f>SUBSTITUTE(SUBSTITUTE(SUBSTITUTE(SUBSTITUTE(A319,"${dto}",setup!$C$3),"${pk}",setup!$E$8),"${tabela}",setup!$C$2),CONCATENATE("${",N319,"}"),VLOOKUP(N319,setup!$A$8:$E$58,5))</f>
        <v/>
      </c>
    </row>
    <row r="320" spans="1:15" x14ac:dyDescent="0.25">
      <c r="O320" t="str">
        <f>SUBSTITUTE(SUBSTITUTE(SUBSTITUTE(SUBSTITUTE(A320,"${dto}",setup!$C$3),"${pk}",setup!$E$8),"${tabela}",setup!$C$2),CONCATENATE("${",N320,"}"),VLOOKUP(N320,setup!$A$8:$E$58,5))</f>
        <v/>
      </c>
    </row>
    <row r="321" spans="15:15" x14ac:dyDescent="0.25">
      <c r="O321" t="str">
        <f>SUBSTITUTE(SUBSTITUTE(SUBSTITUTE(SUBSTITUTE(A321,"${dto}",setup!$C$3),"${pk}",setup!$E$8),"${tabela}",setup!$C$2),CONCATENATE("${",N321,"}"),VLOOKUP(N321,setup!$A$8:$E$58,5))</f>
        <v/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925C3-B359-4590-87BC-46D22CF6D4CD}">
  <sheetPr codeName="Sheet17"/>
  <dimension ref="A7:O328"/>
  <sheetViews>
    <sheetView workbookViewId="0">
      <selection activeCell="O1" sqref="O1:O1048576"/>
    </sheetView>
  </sheetViews>
  <sheetFormatPr defaultRowHeight="15" x14ac:dyDescent="0.25"/>
  <sheetData>
    <row r="7" spans="1:15" x14ac:dyDescent="0.25">
      <c r="A7" s="20" t="s">
        <v>580</v>
      </c>
      <c r="O7" s="7" t="str">
        <f ca="1">getCodigoBackend(N7,A7,VLOOKUP(N7,setup!$A$8:$H$58,2),VLOOKUP(N7,setup!$A$8:$H$58,3),VLOOKUP(N7,setup!$A$8:$H$58,4),VLOOKUP(N7,setup!$A$8:$H$58,5),VLOOKUP(N7,setup!$A$8:$H$58,6),VLOOKUP(N7,setup!$A$8:$H$58,7), VLOOKUP(0,setup!$A$8:$H$58,2),VLOOKUP(0,setup!$A$8:$H$58,5),VLOOKUP(N7,setup!$A$8:$H$58,8))</f>
        <v>import 'package:flutter/material.dart';</v>
      </c>
    </row>
    <row r="8" spans="1:15" x14ac:dyDescent="0.25">
      <c r="A8" s="20" t="s">
        <v>581</v>
      </c>
      <c r="O8" s="7" t="str">
        <f ca="1">getCodigoBackend(N8,A8,VLOOKUP(N8,setup!$A$8:$H$58,2),VLOOKUP(N8,setup!$A$8:$H$58,3),VLOOKUP(N8,setup!$A$8:$H$58,4),VLOOKUP(N8,setup!$A$8:$H$58,5),VLOOKUP(N8,setup!$A$8:$H$58,6),VLOOKUP(N8,setup!$A$8:$H$58,7), VLOOKUP(0,setup!$A$8:$H$58,2),VLOOKUP(0,setup!$A$8:$H$58,5),VLOOKUP(N8,setup!$A$8:$H$58,8))</f>
        <v>import 'package:http/http.dart' as http;</v>
      </c>
    </row>
    <row r="9" spans="1:15" x14ac:dyDescent="0.25">
      <c r="A9" s="20" t="s">
        <v>582</v>
      </c>
      <c r="O9" s="7" t="str">
        <f ca="1">getCodigoBackend(N9,A9,VLOOKUP(N9,setup!$A$8:$H$58,2),VLOOKUP(N9,setup!$A$8:$H$58,3),VLOOKUP(N9,setup!$A$8:$H$58,4),VLOOKUP(N9,setup!$A$8:$H$58,5),VLOOKUP(N9,setup!$A$8:$H$58,6),VLOOKUP(N9,setup!$A$8:$H$58,7), VLOOKUP(0,setup!$A$8:$H$58,2),VLOOKUP(0,setup!$A$8:$H$58,5),VLOOKUP(N9,setup!$A$8:$H$58,8))</f>
        <v>import 'dart:convert';</v>
      </c>
    </row>
    <row r="10" spans="1:15" x14ac:dyDescent="0.25">
      <c r="A10" s="20" t="s">
        <v>583</v>
      </c>
      <c r="O10" s="7" t="str">
        <f ca="1">getCodigoBackend(N10,A10,VLOOKUP(N10,setup!$A$8:$H$58,2),VLOOKUP(N10,setup!$A$8:$H$58,3),VLOOKUP(N10,setup!$A$8:$H$58,4),VLOOKUP(N10,setup!$A$8:$H$58,5),VLOOKUP(N10,setup!$A$8:$H$58,6),VLOOKUP(N10,setup!$A$8:$H$58,7), VLOOKUP(0,setup!$A$8:$H$58,2),VLOOKUP(0,setup!$A$8:$H$58,5),VLOOKUP(N10,setup!$A$8:$H$58,8))</f>
        <v>import 'package:junta10/br/com/jcv/linker/classes/ui/common/common-loading.dart';</v>
      </c>
    </row>
    <row r="11" spans="1:15" x14ac:dyDescent="0.25">
      <c r="A11" s="20" t="s">
        <v>584</v>
      </c>
      <c r="O11" s="7" t="str">
        <f ca="1">getCodigoBackend(N11,A11,VLOOKUP(N11,setup!$A$8:$H$58,2),VLOOKUP(N11,setup!$A$8:$H$58,3),VLOOKUP(N11,setup!$A$8:$H$58,4),VLOOKUP(N11,setup!$A$8:$H$58,5),VLOOKUP(N11,setup!$A$8:$H$58,6),VLOOKUP(N11,setup!$A$8:$H$58,7), VLOOKUP(0,setup!$A$8:$H$58,2),VLOOKUP(0,setup!$A$8:$H$58,5),VLOOKUP(N11,setup!$A$8:$H$58,8))</f>
        <v>import 'package:junta10/br/com/jcv/linker/classes/storages/cacheSession.dart';</v>
      </c>
    </row>
    <row r="12" spans="1:15" x14ac:dyDescent="0.25">
      <c r="A12" s="19"/>
      <c r="O12" s="7" t="str">
        <f ca="1">getCodigoBackend(N12,A12,VLOOKUP(N12,setup!$A$8:$H$58,2),VLOOKUP(N12,setup!$A$8:$H$58,3),VLOOKUP(N12,setup!$A$8:$H$58,4),VLOOKUP(N12,setup!$A$8:$H$58,5),VLOOKUP(N12,setup!$A$8:$H$58,6),VLOOKUP(N12,setup!$A$8:$H$58,7), VLOOKUP(0,setup!$A$8:$H$58,2),VLOOKUP(0,setup!$A$8:$H$58,5),VLOOKUP(N12,setup!$A$8:$H$58,8))</f>
        <v/>
      </c>
    </row>
    <row r="13" spans="1:15" x14ac:dyDescent="0.25">
      <c r="A13" s="20" t="s">
        <v>615</v>
      </c>
      <c r="O13" s="7" t="str">
        <f ca="1">getCodigoBackend(N13,A13,VLOOKUP(N13,setup!$A$8:$H$58,2),VLOOKUP(N13,setup!$A$8:$H$58,3),VLOOKUP(N13,setup!$A$8:$H$58,4),VLOOKUP(N13,setup!$A$8:$H$58,5),VLOOKUP(N13,setup!$A$8:$H$58,6),VLOOKUP(N13,setup!$A$8:$H$58,7), VLOOKUP(0,setup!$A$8:$H$58,2),VLOOKUP(0,setup!$A$8:$H$58,5),VLOOKUP(N13,setup!$A$8:$H$58,8))</f>
        <v>import 'CampanhaCashbackResgatePixLV.dart';</v>
      </c>
    </row>
    <row r="14" spans="1:15" x14ac:dyDescent="0.25">
      <c r="A14" s="20" t="s">
        <v>696</v>
      </c>
      <c r="O14" s="7" t="str">
        <f ca="1">getCodigoBackend(N14,A14,VLOOKUP(N14,setup!$A$8:$H$58,2),VLOOKUP(N14,setup!$A$8:$H$58,3),VLOOKUP(N14,setup!$A$8:$H$58,4),VLOOKUP(N14,setup!$A$8:$H$58,5),VLOOKUP(N14,setup!$A$8:$H$58,6),VLOOKUP(N14,setup!$A$8:$H$58,7), VLOOKUP(0,setup!$A$8:$H$58,2),VLOOKUP(0,setup!$A$8:$H$58,5),VLOOKUP(N14,setup!$A$8:$H$58,8))</f>
        <v>import 'CampanhaCashbackResgatePixPageCRUD.dart';</v>
      </c>
    </row>
    <row r="15" spans="1:15" x14ac:dyDescent="0.25">
      <c r="A15" s="20" t="s">
        <v>616</v>
      </c>
      <c r="O15" s="7" t="str">
        <f ca="1">getCodigoBackend(N15,A15,VLOOKUP(N15,setup!$A$8:$H$58,2),VLOOKUP(N15,setup!$A$8:$H$58,3),VLOOKUP(N15,setup!$A$8:$H$58,4),VLOOKUP(N15,setup!$A$8:$H$58,5),VLOOKUP(N15,setup!$A$8:$H$58,6),VLOOKUP(N15,setup!$A$8:$H$58,7), VLOOKUP(0,setup!$A$8:$H$58,2),VLOOKUP(0,setup!$A$8:$H$58,5),VLOOKUP(N15,setup!$A$8:$H$58,8))</f>
        <v>class CampanhaCashbackResgatePixPage extends StatefulWidget {</v>
      </c>
    </row>
    <row r="16" spans="1:15" x14ac:dyDescent="0.25">
      <c r="A16" s="19"/>
      <c r="O16" s="7" t="str">
        <f ca="1">getCodigoBackend(N16,A16,VLOOKUP(N16,setup!$A$8:$H$58,2),VLOOKUP(N16,setup!$A$8:$H$58,3),VLOOKUP(N16,setup!$A$8:$H$58,4),VLOOKUP(N16,setup!$A$8:$H$58,5),VLOOKUP(N16,setup!$A$8:$H$58,6),VLOOKUP(N16,setup!$A$8:$H$58,7), VLOOKUP(0,setup!$A$8:$H$58,2),VLOOKUP(0,setup!$A$8:$H$58,5),VLOOKUP(N16,setup!$A$8:$H$58,8))</f>
        <v/>
      </c>
    </row>
    <row r="17" spans="1:15" x14ac:dyDescent="0.25">
      <c r="A17" s="18" t="s">
        <v>585</v>
      </c>
      <c r="O17" s="7" t="str">
        <f ca="1">getCodigoBackend(N17,A17,VLOOKUP(N17,setup!$A$8:$H$58,2),VLOOKUP(N17,setup!$A$8:$H$58,3),VLOOKUP(N17,setup!$A$8:$H$58,4),VLOOKUP(N17,setup!$A$8:$H$58,5),VLOOKUP(N17,setup!$A$8:$H$58,6),VLOOKUP(N17,setup!$A$8:$H$58,7), VLOOKUP(0,setup!$A$8:$H$58,2),VLOOKUP(0,setup!$A$8:$H$58,5),VLOOKUP(N17,setup!$A$8:$H$58,8))</f>
        <v xml:space="preserve">  @override</v>
      </c>
    </row>
    <row r="18" spans="1:15" x14ac:dyDescent="0.25">
      <c r="A18" s="21" t="s">
        <v>617</v>
      </c>
      <c r="O18" s="7" t="str">
        <f ca="1">getCodigoBackend(N18,A18,VLOOKUP(N18,setup!$A$8:$H$58,2),VLOOKUP(N18,setup!$A$8:$H$58,3),VLOOKUP(N18,setup!$A$8:$H$58,4),VLOOKUP(N18,setup!$A$8:$H$58,5),VLOOKUP(N18,setup!$A$8:$H$58,6),VLOOKUP(N18,setup!$A$8:$H$58,7), VLOOKUP(0,setup!$A$8:$H$58,2),VLOOKUP(0,setup!$A$8:$H$58,5),VLOOKUP(N18,setup!$A$8:$H$58,8))</f>
        <v xml:space="preserve">  _CampanhaCashbackResgatePixPageState createState() =&gt; _CampanhaCashbackResgatePixPageState();</v>
      </c>
    </row>
    <row r="19" spans="1:15" x14ac:dyDescent="0.25">
      <c r="A19" s="23" t="s">
        <v>28</v>
      </c>
      <c r="O19" s="7" t="str">
        <f ca="1">getCodigoBackend(N19,A19,VLOOKUP(N19,setup!$A$8:$H$58,2),VLOOKUP(N19,setup!$A$8:$H$58,3),VLOOKUP(N19,setup!$A$8:$H$58,4),VLOOKUP(N19,setup!$A$8:$H$58,5),VLOOKUP(N19,setup!$A$8:$H$58,6),VLOOKUP(N19,setup!$A$8:$H$58,7), VLOOKUP(0,setup!$A$8:$H$58,2),VLOOKUP(0,setup!$A$8:$H$58,5),VLOOKUP(N19,setup!$A$8:$H$58,8))</f>
        <v>}</v>
      </c>
    </row>
    <row r="20" spans="1:15" x14ac:dyDescent="0.25">
      <c r="A20" s="22"/>
      <c r="O20" s="7" t="str">
        <f ca="1">getCodigoBackend(N20,A20,VLOOKUP(N20,setup!$A$8:$H$58,2),VLOOKUP(N20,setup!$A$8:$H$58,3),VLOOKUP(N20,setup!$A$8:$H$58,4),VLOOKUP(N20,setup!$A$8:$H$58,5),VLOOKUP(N20,setup!$A$8:$H$58,6),VLOOKUP(N20,setup!$A$8:$H$58,7), VLOOKUP(0,setup!$A$8:$H$58,2),VLOOKUP(0,setup!$A$8:$H$58,5),VLOOKUP(N20,setup!$A$8:$H$58,8))</f>
        <v/>
      </c>
    </row>
    <row r="21" spans="1:15" x14ac:dyDescent="0.25">
      <c r="A21" s="24" t="s">
        <v>618</v>
      </c>
      <c r="O21" s="7" t="str">
        <f ca="1">getCodigoBackend(N21,A21,VLOOKUP(N21,setup!$A$8:$H$58,2),VLOOKUP(N21,setup!$A$8:$H$58,3),VLOOKUP(N21,setup!$A$8:$H$58,4),VLOOKUP(N21,setup!$A$8:$H$58,5),VLOOKUP(N21,setup!$A$8:$H$58,6),VLOOKUP(N21,setup!$A$8:$H$58,7), VLOOKUP(0,setup!$A$8:$H$58,2),VLOOKUP(0,setup!$A$8:$H$58,5),VLOOKUP(N21,setup!$A$8:$H$58,8))</f>
        <v>class _CampanhaCashbackResgatePixPageState extends State&lt;CampanhaCashbackResgatePixPage&gt; {</v>
      </c>
    </row>
    <row r="22" spans="1:15" x14ac:dyDescent="0.25">
      <c r="A22" s="22"/>
      <c r="O22" s="7" t="str">
        <f ca="1">getCodigoBackend(N22,A22,VLOOKUP(N22,setup!$A$8:$H$58,2),VLOOKUP(N22,setup!$A$8:$H$58,3),VLOOKUP(N22,setup!$A$8:$H$58,4),VLOOKUP(N22,setup!$A$8:$H$58,5),VLOOKUP(N22,setup!$A$8:$H$58,6),VLOOKUP(N22,setup!$A$8:$H$58,7), VLOOKUP(0,setup!$A$8:$H$58,2),VLOOKUP(0,setup!$A$8:$H$58,5),VLOOKUP(N22,setup!$A$8:$H$58,8))</f>
        <v/>
      </c>
    </row>
    <row r="23" spans="1:15" x14ac:dyDescent="0.25">
      <c r="A23" s="23" t="s">
        <v>586</v>
      </c>
      <c r="O23" s="7" t="str">
        <f ca="1">getCodigoBackend(N23,A23,VLOOKUP(N23,setup!$A$8:$H$58,2),VLOOKUP(N23,setup!$A$8:$H$58,3),VLOOKUP(N23,setup!$A$8:$H$58,4),VLOOKUP(N23,setup!$A$8:$H$58,5),VLOOKUP(N23,setup!$A$8:$H$58,6),VLOOKUP(N23,setup!$A$8:$H$58,7), VLOOKUP(0,setup!$A$8:$H$58,2),VLOOKUP(0,setup!$A$8:$H$58,5),VLOOKUP(N23,setup!$A$8:$H$58,8))</f>
        <v xml:space="preserve">  String _token;</v>
      </c>
    </row>
    <row r="24" spans="1:15" x14ac:dyDescent="0.25">
      <c r="A24" s="23" t="s">
        <v>587</v>
      </c>
      <c r="O24" s="7" t="str">
        <f ca="1">getCodigoBackend(N24,A24,VLOOKUP(N24,setup!$A$8:$H$58,2),VLOOKUP(N24,setup!$A$8:$H$58,3),VLOOKUP(N24,setup!$A$8:$H$58,4),VLOOKUP(N24,setup!$A$8:$H$58,5),VLOOKUP(N24,setup!$A$8:$H$58,6),VLOOKUP(N24,setup!$A$8:$H$58,7), VLOOKUP(0,setup!$A$8:$H$58,2),VLOOKUP(0,setup!$A$8:$H$58,5),VLOOKUP(N24,setup!$A$8:$H$58,8))</f>
        <v xml:space="preserve">  String _urlControlador;</v>
      </c>
    </row>
    <row r="25" spans="1:15" x14ac:dyDescent="0.25">
      <c r="A25" s="23"/>
      <c r="O25" s="7" t="str">
        <f ca="1">getCodigoBackend(N25,A25,VLOOKUP(N25,setup!$A$8:$H$58,2),VLOOKUP(N25,setup!$A$8:$H$58,3),VLOOKUP(N25,setup!$A$8:$H$58,4),VLOOKUP(N25,setup!$A$8:$H$58,5),VLOOKUP(N25,setup!$A$8:$H$58,6),VLOOKUP(N25,setup!$A$8:$H$58,7), VLOOKUP(0,setup!$A$8:$H$58,2),VLOOKUP(0,setup!$A$8:$H$58,5),VLOOKUP(N25,setup!$A$8:$H$58,8))</f>
        <v/>
      </c>
    </row>
    <row r="26" spans="1:15" x14ac:dyDescent="0.25">
      <c r="A26" s="23" t="s">
        <v>588</v>
      </c>
      <c r="O26" s="7" t="str">
        <f ca="1">getCodigoBackend(N26,A26,VLOOKUP(N26,setup!$A$8:$H$58,2),VLOOKUP(N26,setup!$A$8:$H$58,3),VLOOKUP(N26,setup!$A$8:$H$58,4),VLOOKUP(N26,setup!$A$8:$H$58,5),VLOOKUP(N26,setup!$A$8:$H$58,6),VLOOKUP(N26,setup!$A$8:$H$58,7), VLOOKUP(0,setup!$A$8:$H$58,2),VLOOKUP(0,setup!$A$8:$H$58,5),VLOOKUP(N26,setup!$A$8:$H$58,8))</f>
        <v xml:space="preserve">  int _pag = 1;</v>
      </c>
    </row>
    <row r="27" spans="1:15" x14ac:dyDescent="0.25">
      <c r="A27" s="22"/>
      <c r="O27" s="7" t="str">
        <f ca="1">getCodigoBackend(N27,A27,VLOOKUP(N27,setup!$A$8:$H$58,2),VLOOKUP(N27,setup!$A$8:$H$58,3),VLOOKUP(N27,setup!$A$8:$H$58,4),VLOOKUP(N27,setup!$A$8:$H$58,5),VLOOKUP(N27,setup!$A$8:$H$58,6),VLOOKUP(N27,setup!$A$8:$H$58,7), VLOOKUP(0,setup!$A$8:$H$58,2),VLOOKUP(0,setup!$A$8:$H$58,5),VLOOKUP(N27,setup!$A$8:$H$58,8))</f>
        <v/>
      </c>
    </row>
    <row r="28" spans="1:15" x14ac:dyDescent="0.25">
      <c r="A28" s="23" t="s">
        <v>585</v>
      </c>
      <c r="O28" s="7" t="str">
        <f ca="1">getCodigoBackend(N28,A28,VLOOKUP(N28,setup!$A$8:$H$58,2),VLOOKUP(N28,setup!$A$8:$H$58,3),VLOOKUP(N28,setup!$A$8:$H$58,4),VLOOKUP(N28,setup!$A$8:$H$58,5),VLOOKUP(N28,setup!$A$8:$H$58,6),VLOOKUP(N28,setup!$A$8:$H$58,7), VLOOKUP(0,setup!$A$8:$H$58,2),VLOOKUP(0,setup!$A$8:$H$58,5),VLOOKUP(N28,setup!$A$8:$H$58,8))</f>
        <v xml:space="preserve">  @override</v>
      </c>
    </row>
    <row r="29" spans="1:15" x14ac:dyDescent="0.25">
      <c r="A29" s="21" t="s">
        <v>676</v>
      </c>
      <c r="O29" s="7" t="str">
        <f ca="1">getCodigoBackend(N29,A29,VLOOKUP(N29,setup!$A$8:$H$58,2),VLOOKUP(N29,setup!$A$8:$H$58,3),VLOOKUP(N29,setup!$A$8:$H$58,4),VLOOKUP(N29,setup!$A$8:$H$58,5),VLOOKUP(N29,setup!$A$8:$H$58,6),VLOOKUP(N29,setup!$A$8:$H$58,7), VLOOKUP(0,setup!$A$8:$H$58,2),VLOOKUP(0,setup!$A$8:$H$58,5),VLOOKUP(N29,setup!$A$8:$H$58,8))</f>
        <v xml:space="preserve">  _CampanhaCashbackResgatePixPageState initState(){</v>
      </c>
    </row>
    <row r="30" spans="1:15" x14ac:dyDescent="0.25">
      <c r="A30" s="23" t="s">
        <v>589</v>
      </c>
      <c r="O30" s="7" t="str">
        <f ca="1">getCodigoBackend(N30,A30,VLOOKUP(N30,setup!$A$8:$H$58,2),VLOOKUP(N30,setup!$A$8:$H$58,3),VLOOKUP(N30,setup!$A$8:$H$58,4),VLOOKUP(N30,setup!$A$8:$H$58,5),VLOOKUP(N30,setup!$A$8:$H$58,6),VLOOKUP(N30,setup!$A$8:$H$58,7), VLOOKUP(0,setup!$A$8:$H$58,2),VLOOKUP(0,setup!$A$8:$H$58,5),VLOOKUP(N30,setup!$A$8:$H$58,8))</f>
        <v xml:space="preserve">    _token = CacheSession().getSession()['tokenid'];</v>
      </c>
    </row>
    <row r="31" spans="1:15" x14ac:dyDescent="0.25">
      <c r="A31" s="23" t="s">
        <v>590</v>
      </c>
      <c r="O31" s="7" t="str">
        <f ca="1">getCodigoBackend(N31,A31,VLOOKUP(N31,setup!$A$8:$H$58,2),VLOOKUP(N31,setup!$A$8:$H$58,3),VLOOKUP(N31,setup!$A$8:$H$58,4),VLOOKUP(N31,setup!$A$8:$H$58,5),VLOOKUP(N31,setup!$A$8:$H$58,6),VLOOKUP(N31,setup!$A$8:$H$58,7), VLOOKUP(0,setup!$A$8:$H$58,2),VLOOKUP(0,setup!$A$8:$H$58,5),VLOOKUP(N31,setup!$A$8:$H$58,8))</f>
        <v xml:space="preserve">    _urlControlador = CacheSession().getSession()['urlControlador'];</v>
      </c>
    </row>
    <row r="32" spans="1:15" x14ac:dyDescent="0.25">
      <c r="A32" s="23"/>
      <c r="O32" s="7" t="str">
        <f ca="1">getCodigoBackend(N32,A32,VLOOKUP(N32,setup!$A$8:$H$58,2),VLOOKUP(N32,setup!$A$8:$H$58,3),VLOOKUP(N32,setup!$A$8:$H$58,4),VLOOKUP(N32,setup!$A$8:$H$58,5),VLOOKUP(N32,setup!$A$8:$H$58,6),VLOOKUP(N32,setup!$A$8:$H$58,7), VLOOKUP(0,setup!$A$8:$H$58,2),VLOOKUP(0,setup!$A$8:$H$58,5),VLOOKUP(N32,setup!$A$8:$H$58,8))</f>
        <v/>
      </c>
    </row>
    <row r="33" spans="1:15" x14ac:dyDescent="0.25">
      <c r="A33" s="23" t="s">
        <v>456</v>
      </c>
      <c r="O33" s="7" t="str">
        <f ca="1">getCodigoBackend(N33,A33,VLOOKUP(N33,setup!$A$8:$H$58,2),VLOOKUP(N33,setup!$A$8:$H$58,3),VLOOKUP(N33,setup!$A$8:$H$58,4),VLOOKUP(N33,setup!$A$8:$H$58,5),VLOOKUP(N33,setup!$A$8:$H$58,6),VLOOKUP(N33,setup!$A$8:$H$58,7), VLOOKUP(0,setup!$A$8:$H$58,2),VLOOKUP(0,setup!$A$8:$H$58,5),VLOOKUP(N33,setup!$A$8:$H$58,8))</f>
        <v xml:space="preserve">  }</v>
      </c>
    </row>
    <row r="34" spans="1:15" x14ac:dyDescent="0.25">
      <c r="A34" s="22"/>
      <c r="O34" s="7" t="str">
        <f ca="1">getCodigoBackend(N34,A34,VLOOKUP(N34,setup!$A$8:$H$58,2),VLOOKUP(N34,setup!$A$8:$H$58,3),VLOOKUP(N34,setup!$A$8:$H$58,4),VLOOKUP(N34,setup!$A$8:$H$58,5),VLOOKUP(N34,setup!$A$8:$H$58,6),VLOOKUP(N34,setup!$A$8:$H$58,7), VLOOKUP(0,setup!$A$8:$H$58,2),VLOOKUP(0,setup!$A$8:$H$58,5),VLOOKUP(N34,setup!$A$8:$H$58,8))</f>
        <v/>
      </c>
    </row>
    <row r="35" spans="1:15" x14ac:dyDescent="0.25">
      <c r="A35" s="23" t="s">
        <v>619</v>
      </c>
      <c r="O35" s="7" t="str">
        <f ca="1">getCodigoBackend(N35,A35,VLOOKUP(N35,setup!$A$8:$H$58,2),VLOOKUP(N35,setup!$A$8:$H$58,3),VLOOKUP(N35,setup!$A$8:$H$58,4),VLOOKUP(N35,setup!$A$8:$H$58,5),VLOOKUP(N35,setup!$A$8:$H$58,6),VLOOKUP(N35,setup!$A$8:$H$58,7), VLOOKUP(0,setup!$A$8:$H$58,2),VLOOKUP(0,setup!$A$8:$H$58,5),VLOOKUP(N35,setup!$A$8:$H$58,8))</f>
        <v xml:space="preserve">  Future&lt;Map&gt; _listCampanhaCashbackResgatePix() async {</v>
      </c>
    </row>
    <row r="36" spans="1:15" x14ac:dyDescent="0.25">
      <c r="A36" s="23" t="s">
        <v>591</v>
      </c>
      <c r="O36" s="7" t="str">
        <f ca="1">getCodigoBackend(N36,A36,VLOOKUP(N36,setup!$A$8:$H$58,2),VLOOKUP(N36,setup!$A$8:$H$58,3),VLOOKUP(N36,setup!$A$8:$H$58,4),VLOOKUP(N36,setup!$A$8:$H$58,5),VLOOKUP(N36,setup!$A$8:$H$58,6),VLOOKUP(N36,setup!$A$8:$H$58,7), VLOOKUP(0,setup!$A$8:$H$58,2),VLOOKUP(0,setup!$A$8:$H$58,5),VLOOKUP(N36,setup!$A$8:$H$58,8))</f>
        <v xml:space="preserve">    http.Response response;</v>
      </c>
    </row>
    <row r="37" spans="1:15" x14ac:dyDescent="0.25">
      <c r="A37" s="23" t="s">
        <v>675</v>
      </c>
      <c r="O37" s="7" t="str">
        <f ca="1">getCodigoBackend(N37,A37,VLOOKUP(N37,setup!$A$8:$H$58,2),VLOOKUP(N37,setup!$A$8:$H$58,3),VLOOKUP(N37,setup!$A$8:$H$58,4),VLOOKUP(N37,setup!$A$8:$H$58,5),VLOOKUP(N37,setup!$A$8:$H$58,6),VLOOKUP(N37,setup!$A$8:$H$58,7), VLOOKUP(0,setup!$A$8:$H$58,2),VLOOKUP(0,setup!$A$8:$H$58,5),VLOOKUP(N37,setup!$A$8:$H$58,8))</f>
        <v xml:space="preserve">    String _url = '${_urlControlador}appListarCampanhaCashbackResgatePixPorUsuaIdStatus.php?tokenid=${_token}&amp;pag=${_pag}';</v>
      </c>
    </row>
    <row r="38" spans="1:15" x14ac:dyDescent="0.25">
      <c r="A38" s="22"/>
      <c r="O38" s="7" t="str">
        <f ca="1">getCodigoBackend(N38,A38,VLOOKUP(N38,setup!$A$8:$H$58,2),VLOOKUP(N38,setup!$A$8:$H$58,3),VLOOKUP(N38,setup!$A$8:$H$58,4),VLOOKUP(N38,setup!$A$8:$H$58,5),VLOOKUP(N38,setup!$A$8:$H$58,6),VLOOKUP(N38,setup!$A$8:$H$58,7), VLOOKUP(0,setup!$A$8:$H$58,2),VLOOKUP(0,setup!$A$8:$H$58,5),VLOOKUP(N38,setup!$A$8:$H$58,8))</f>
        <v/>
      </c>
    </row>
    <row r="39" spans="1:15" x14ac:dyDescent="0.25">
      <c r="A39" s="23" t="s">
        <v>592</v>
      </c>
      <c r="O39" s="7" t="str">
        <f ca="1">getCodigoBackend(N39,A39,VLOOKUP(N39,setup!$A$8:$H$58,2),VLOOKUP(N39,setup!$A$8:$H$58,3),VLOOKUP(N39,setup!$A$8:$H$58,4),VLOOKUP(N39,setup!$A$8:$H$58,5),VLOOKUP(N39,setup!$A$8:$H$58,6),VLOOKUP(N39,setup!$A$8:$H$58,7), VLOOKUP(0,setup!$A$8:$H$58,2),VLOOKUP(0,setup!$A$8:$H$58,5),VLOOKUP(N39,setup!$A$8:$H$58,8))</f>
        <v xml:space="preserve">    debugPrint(_url);</v>
      </c>
    </row>
    <row r="40" spans="1:15" x14ac:dyDescent="0.25">
      <c r="A40" s="23" t="s">
        <v>937</v>
      </c>
      <c r="O40" s="7" t="str">
        <f ca="1">getCodigoBackend(N40,A40,VLOOKUP(N40,setup!$A$8:$H$58,2),VLOOKUP(N40,setup!$A$8:$H$58,3),VLOOKUP(N40,setup!$A$8:$H$58,4),VLOOKUP(N40,setup!$A$8:$H$58,5),VLOOKUP(N40,setup!$A$8:$H$58,6),VLOOKUP(N40,setup!$A$8:$H$58,7), VLOOKUP(0,setup!$A$8:$H$58,2),VLOOKUP(0,setup!$A$8:$H$58,5),VLOOKUP(N40,setup!$A$8:$H$58,8))</f>
        <v xml:space="preserve">    response = await http.get(Uri.parse(_url));</v>
      </c>
    </row>
    <row r="41" spans="1:15" x14ac:dyDescent="0.25">
      <c r="A41" s="23" t="s">
        <v>593</v>
      </c>
      <c r="O41" s="7" t="str">
        <f ca="1">getCodigoBackend(N41,A41,VLOOKUP(N41,setup!$A$8:$H$58,2),VLOOKUP(N41,setup!$A$8:$H$58,3),VLOOKUP(N41,setup!$A$8:$H$58,4),VLOOKUP(N41,setup!$A$8:$H$58,5),VLOOKUP(N41,setup!$A$8:$H$58,6),VLOOKUP(N41,setup!$A$8:$H$58,7), VLOOKUP(0,setup!$A$8:$H$58,2),VLOOKUP(0,setup!$A$8:$H$58,5),VLOOKUP(N41,setup!$A$8:$H$58,8))</f>
        <v xml:space="preserve">    return (json.decode(response.body));</v>
      </c>
    </row>
    <row r="42" spans="1:15" x14ac:dyDescent="0.25">
      <c r="A42" s="23" t="s">
        <v>456</v>
      </c>
      <c r="O42" s="7" t="str">
        <f ca="1">getCodigoBackend(N42,A42,VLOOKUP(N42,setup!$A$8:$H$58,2),VLOOKUP(N42,setup!$A$8:$H$58,3),VLOOKUP(N42,setup!$A$8:$H$58,4),VLOOKUP(N42,setup!$A$8:$H$58,5),VLOOKUP(N42,setup!$A$8:$H$58,6),VLOOKUP(N42,setup!$A$8:$H$58,7), VLOOKUP(0,setup!$A$8:$H$58,2),VLOOKUP(0,setup!$A$8:$H$58,5),VLOOKUP(N42,setup!$A$8:$H$58,8))</f>
        <v xml:space="preserve">  }</v>
      </c>
    </row>
    <row r="43" spans="1:15" x14ac:dyDescent="0.25">
      <c r="A43" s="22"/>
      <c r="O43" s="7" t="str">
        <f ca="1">getCodigoBackend(N43,A43,VLOOKUP(N43,setup!$A$8:$H$58,2),VLOOKUP(N43,setup!$A$8:$H$58,3),VLOOKUP(N43,setup!$A$8:$H$58,4),VLOOKUP(N43,setup!$A$8:$H$58,5),VLOOKUP(N43,setup!$A$8:$H$58,6),VLOOKUP(N43,setup!$A$8:$H$58,7), VLOOKUP(0,setup!$A$8:$H$58,2),VLOOKUP(0,setup!$A$8:$H$58,5),VLOOKUP(N43,setup!$A$8:$H$58,8))</f>
        <v/>
      </c>
    </row>
    <row r="44" spans="1:15" x14ac:dyDescent="0.25">
      <c r="A44" s="23" t="s">
        <v>585</v>
      </c>
      <c r="O44" s="7" t="str">
        <f ca="1">getCodigoBackend(N44,A44,VLOOKUP(N44,setup!$A$8:$H$58,2),VLOOKUP(N44,setup!$A$8:$H$58,3),VLOOKUP(N44,setup!$A$8:$H$58,4),VLOOKUP(N44,setup!$A$8:$H$58,5),VLOOKUP(N44,setup!$A$8:$H$58,6),VLOOKUP(N44,setup!$A$8:$H$58,7), VLOOKUP(0,setup!$A$8:$H$58,2),VLOOKUP(0,setup!$A$8:$H$58,5),VLOOKUP(N44,setup!$A$8:$H$58,8))</f>
        <v xml:space="preserve">  @override</v>
      </c>
    </row>
    <row r="45" spans="1:15" x14ac:dyDescent="0.25">
      <c r="A45" s="21" t="s">
        <v>594</v>
      </c>
      <c r="O45" s="7" t="str">
        <f ca="1">getCodigoBackend(N45,A45,VLOOKUP(N45,setup!$A$8:$H$58,2),VLOOKUP(N45,setup!$A$8:$H$58,3),VLOOKUP(N45,setup!$A$8:$H$58,4),VLOOKUP(N45,setup!$A$8:$H$58,5),VLOOKUP(N45,setup!$A$8:$H$58,6),VLOOKUP(N45,setup!$A$8:$H$58,7), VLOOKUP(0,setup!$A$8:$H$58,2),VLOOKUP(0,setup!$A$8:$H$58,5),VLOOKUP(N45,setup!$A$8:$H$58,8))</f>
        <v xml:space="preserve">  Widget build(BuildContext context) {</v>
      </c>
    </row>
    <row r="46" spans="1:15" x14ac:dyDescent="0.25">
      <c r="A46" s="23" t="s">
        <v>595</v>
      </c>
      <c r="O46" s="7" t="str">
        <f ca="1">getCodigoBackend(N46,A46,VLOOKUP(N46,setup!$A$8:$H$58,2),VLOOKUP(N46,setup!$A$8:$H$58,3),VLOOKUP(N46,setup!$A$8:$H$58,4),VLOOKUP(N46,setup!$A$8:$H$58,5),VLOOKUP(N46,setup!$A$8:$H$58,6),VLOOKUP(N46,setup!$A$8:$H$58,7), VLOOKUP(0,setup!$A$8:$H$58,2),VLOOKUP(0,setup!$A$8:$H$58,5),VLOOKUP(N46,setup!$A$8:$H$58,8))</f>
        <v xml:space="preserve">    return new Scaffold(</v>
      </c>
    </row>
    <row r="47" spans="1:15" x14ac:dyDescent="0.25">
      <c r="A47" s="23" t="s">
        <v>596</v>
      </c>
      <c r="O47" s="7" t="str">
        <f ca="1">getCodigoBackend(N47,A47,VLOOKUP(N47,setup!$A$8:$H$58,2),VLOOKUP(N47,setup!$A$8:$H$58,3),VLOOKUP(N47,setup!$A$8:$H$58,4),VLOOKUP(N47,setup!$A$8:$H$58,5),VLOOKUP(N47,setup!$A$8:$H$58,6),VLOOKUP(N47,setup!$A$8:$H$58,7), VLOOKUP(0,setup!$A$8:$H$58,2),VLOOKUP(0,setup!$A$8:$H$58,5),VLOOKUP(N47,setup!$A$8:$H$58,8))</f>
        <v xml:space="preserve">      appBar: new AppBar(</v>
      </c>
    </row>
    <row r="48" spans="1:15" x14ac:dyDescent="0.25">
      <c r="A48" s="23" t="s">
        <v>620</v>
      </c>
      <c r="O48" s="7" t="str">
        <f ca="1">getCodigoBackend(N48,A48,VLOOKUP(N48,setup!$A$8:$H$58,2),VLOOKUP(N48,setup!$A$8:$H$58,3),VLOOKUP(N48,setup!$A$8:$H$58,4),VLOOKUP(N48,setup!$A$8:$H$58,5),VLOOKUP(N48,setup!$A$8:$H$58,6),VLOOKUP(N48,setup!$A$8:$H$58,7), VLOOKUP(0,setup!$A$8:$H$58,2),VLOOKUP(0,setup!$A$8:$H$58,5),VLOOKUP(N48,setup!$A$8:$H$58,8))</f>
        <v xml:space="preserve">        title: new Text("CampanhaCashbackResgatePix"),</v>
      </c>
    </row>
    <row r="49" spans="1:15" x14ac:dyDescent="0.25">
      <c r="A49" s="23" t="s">
        <v>518</v>
      </c>
      <c r="O49" s="7" t="str">
        <f ca="1">getCodigoBackend(N49,A49,VLOOKUP(N49,setup!$A$8:$H$58,2),VLOOKUP(N49,setup!$A$8:$H$58,3),VLOOKUP(N49,setup!$A$8:$H$58,4),VLOOKUP(N49,setup!$A$8:$H$58,5),VLOOKUP(N49,setup!$A$8:$H$58,6),VLOOKUP(N49,setup!$A$8:$H$58,7), VLOOKUP(0,setup!$A$8:$H$58,2),VLOOKUP(0,setup!$A$8:$H$58,5),VLOOKUP(N49,setup!$A$8:$H$58,8))</f>
        <v xml:space="preserve">      ),</v>
      </c>
    </row>
    <row r="50" spans="1:15" x14ac:dyDescent="0.25">
      <c r="A50" s="18" t="s">
        <v>689</v>
      </c>
      <c r="O50" s="7" t="str">
        <f ca="1">getCodigoBackend(N50,A50,VLOOKUP(N50,setup!$A$8:$H$58,2),VLOOKUP(N50,setup!$A$8:$H$58,3),VLOOKUP(N50,setup!$A$8:$H$58,4),VLOOKUP(N50,setup!$A$8:$H$58,5),VLOOKUP(N50,setup!$A$8:$H$58,6),VLOOKUP(N50,setup!$A$8:$H$58,7), VLOOKUP(0,setup!$A$8:$H$58,2),VLOOKUP(0,setup!$A$8:$H$58,5),VLOOKUP(N50,setup!$A$8:$H$58,8))</f>
        <v>floatingActionButton: new FloatingActionButton(</v>
      </c>
    </row>
    <row r="51" spans="1:15" x14ac:dyDescent="0.25">
      <c r="A51" s="18" t="s">
        <v>690</v>
      </c>
      <c r="O51" s="7" t="str">
        <f ca="1">getCodigoBackend(N51,A51,VLOOKUP(N51,setup!$A$8:$H$58,2),VLOOKUP(N51,setup!$A$8:$H$58,3),VLOOKUP(N51,setup!$A$8:$H$58,4),VLOOKUP(N51,setup!$A$8:$H$58,5),VLOOKUP(N51,setup!$A$8:$H$58,6),VLOOKUP(N51,setup!$A$8:$H$58,7), VLOOKUP(0,setup!$A$8:$H$58,2),VLOOKUP(0,setup!$A$8:$H$58,5),VLOOKUP(N51,setup!$A$8:$H$58,8))</f>
        <v xml:space="preserve">  onPressed: () {</v>
      </c>
    </row>
    <row r="52" spans="1:15" x14ac:dyDescent="0.25">
      <c r="A52" s="18" t="s">
        <v>691</v>
      </c>
      <c r="O52" s="7" t="str">
        <f ca="1">getCodigoBackend(N52,A52,VLOOKUP(N52,setup!$A$8:$H$58,2),VLOOKUP(N52,setup!$A$8:$H$58,3),VLOOKUP(N52,setup!$A$8:$H$58,4),VLOOKUP(N52,setup!$A$8:$H$58,5),VLOOKUP(N52,setup!$A$8:$H$58,6),VLOOKUP(N52,setup!$A$8:$H$58,7), VLOOKUP(0,setup!$A$8:$H$58,2),VLOOKUP(0,setup!$A$8:$H$58,5),VLOOKUP(N52,setup!$A$8:$H$58,8))</f>
        <v xml:space="preserve">    Navigator.push(</v>
      </c>
    </row>
    <row r="53" spans="1:15" x14ac:dyDescent="0.25">
      <c r="A53" s="18" t="s">
        <v>692</v>
      </c>
      <c r="O53" s="7" t="str">
        <f ca="1">getCodigoBackend(N53,A53,VLOOKUP(N53,setup!$A$8:$H$58,2),VLOOKUP(N53,setup!$A$8:$H$58,3),VLOOKUP(N53,setup!$A$8:$H$58,4),VLOOKUP(N53,setup!$A$8:$H$58,5),VLOOKUP(N53,setup!$A$8:$H$58,6),VLOOKUP(N53,setup!$A$8:$H$58,7), VLOOKUP(0,setup!$A$8:$H$58,2),VLOOKUP(0,setup!$A$8:$H$58,5),VLOOKUP(N53,setup!$A$8:$H$58,8))</f>
        <v xml:space="preserve">      context,</v>
      </c>
    </row>
    <row r="54" spans="1:15" x14ac:dyDescent="0.25">
      <c r="A54" s="18" t="s">
        <v>697</v>
      </c>
      <c r="O54" s="7" t="str">
        <f ca="1">getCodigoBackend(N54,A54,VLOOKUP(N54,setup!$A$8:$H$58,2),VLOOKUP(N54,setup!$A$8:$H$58,3),VLOOKUP(N54,setup!$A$8:$H$58,4),VLOOKUP(N54,setup!$A$8:$H$58,5),VLOOKUP(N54,setup!$A$8:$H$58,6),VLOOKUP(N54,setup!$A$8:$H$58,7), VLOOKUP(0,setup!$A$8:$H$58,2),VLOOKUP(0,setup!$A$8:$H$58,5),VLOOKUP(N54,setup!$A$8:$H$58,8))</f>
        <v xml:space="preserve">      MaterialPageRoute(builder: (context) =&gt; new CampanhaCashbackResgatePixPageCRUD() ),</v>
      </c>
    </row>
    <row r="55" spans="1:15" x14ac:dyDescent="0.25">
      <c r="A55" s="18" t="s">
        <v>455</v>
      </c>
      <c r="O55" s="7" t="str">
        <f ca="1">getCodigoBackend(N55,A55,VLOOKUP(N55,setup!$A$8:$H$58,2),VLOOKUP(N55,setup!$A$8:$H$58,3),VLOOKUP(N55,setup!$A$8:$H$58,4),VLOOKUP(N55,setup!$A$8:$H$58,5),VLOOKUP(N55,setup!$A$8:$H$58,6),VLOOKUP(N55,setup!$A$8:$H$58,7), VLOOKUP(0,setup!$A$8:$H$58,2),VLOOKUP(0,setup!$A$8:$H$58,5),VLOOKUP(N55,setup!$A$8:$H$58,8))</f>
        <v xml:space="preserve">    );</v>
      </c>
    </row>
    <row r="56" spans="1:15" x14ac:dyDescent="0.25">
      <c r="A56" s="18" t="s">
        <v>693</v>
      </c>
      <c r="O56" s="7" t="str">
        <f ca="1">getCodigoBackend(N56,A56,VLOOKUP(N56,setup!$A$8:$H$58,2),VLOOKUP(N56,setup!$A$8:$H$58,3),VLOOKUP(N56,setup!$A$8:$H$58,4),VLOOKUP(N56,setup!$A$8:$H$58,5),VLOOKUP(N56,setup!$A$8:$H$58,6),VLOOKUP(N56,setup!$A$8:$H$58,7), VLOOKUP(0,setup!$A$8:$H$58,2),VLOOKUP(0,setup!$A$8:$H$58,5),VLOOKUP(N56,setup!$A$8:$H$58,8))</f>
        <v xml:space="preserve">  },</v>
      </c>
    </row>
    <row r="57" spans="1:15" x14ac:dyDescent="0.25">
      <c r="A57" s="18" t="s">
        <v>694</v>
      </c>
      <c r="O57" s="7" t="str">
        <f ca="1">getCodigoBackend(N57,A57,VLOOKUP(N57,setup!$A$8:$H$58,2),VLOOKUP(N57,setup!$A$8:$H$58,3),VLOOKUP(N57,setup!$A$8:$H$58,4),VLOOKUP(N57,setup!$A$8:$H$58,5),VLOOKUP(N57,setup!$A$8:$H$58,6),VLOOKUP(N57,setup!$A$8:$H$58,7), VLOOKUP(0,setup!$A$8:$H$58,2),VLOOKUP(0,setup!$A$8:$H$58,5),VLOOKUP(N57,setup!$A$8:$H$58,8))</f>
        <v xml:space="preserve">  child: Icon(Icons.add_circle_outline),</v>
      </c>
    </row>
    <row r="58" spans="1:15" x14ac:dyDescent="0.25">
      <c r="A58" s="18" t="s">
        <v>695</v>
      </c>
      <c r="O58" s="7" t="str">
        <f ca="1">getCodigoBackend(N58,A58,VLOOKUP(N58,setup!$A$8:$H$58,2),VLOOKUP(N58,setup!$A$8:$H$58,3),VLOOKUP(N58,setup!$A$8:$H$58,4),VLOOKUP(N58,setup!$A$8:$H$58,5),VLOOKUP(N58,setup!$A$8:$H$58,6),VLOOKUP(N58,setup!$A$8:$H$58,7), VLOOKUP(0,setup!$A$8:$H$58,2),VLOOKUP(0,setup!$A$8:$H$58,5),VLOOKUP(N58,setup!$A$8:$H$58,8))</f>
        <v>),</v>
      </c>
    </row>
    <row r="59" spans="1:15" x14ac:dyDescent="0.25">
      <c r="A59" s="23"/>
      <c r="O59" s="7" t="str">
        <f ca="1">getCodigoBackend(N59,A59,VLOOKUP(N59,setup!$A$8:$H$58,2),VLOOKUP(N59,setup!$A$8:$H$58,3),VLOOKUP(N59,setup!$A$8:$H$58,4),VLOOKUP(N59,setup!$A$8:$H$58,5),VLOOKUP(N59,setup!$A$8:$H$58,6),VLOOKUP(N59,setup!$A$8:$H$58,7), VLOOKUP(0,setup!$A$8:$H$58,2),VLOOKUP(0,setup!$A$8:$H$58,5),VLOOKUP(N59,setup!$A$8:$H$58,8))</f>
        <v/>
      </c>
    </row>
    <row r="60" spans="1:15" x14ac:dyDescent="0.25">
      <c r="A60" s="23"/>
      <c r="O60" s="7" t="str">
        <f ca="1">getCodigoBackend(N60,A60,VLOOKUP(N60,setup!$A$8:$H$58,2),VLOOKUP(N60,setup!$A$8:$H$58,3),VLOOKUP(N60,setup!$A$8:$H$58,4),VLOOKUP(N60,setup!$A$8:$H$58,5),VLOOKUP(N60,setup!$A$8:$H$58,6),VLOOKUP(N60,setup!$A$8:$H$58,7), VLOOKUP(0,setup!$A$8:$H$58,2),VLOOKUP(0,setup!$A$8:$H$58,5),VLOOKUP(N60,setup!$A$8:$H$58,8))</f>
        <v/>
      </c>
    </row>
    <row r="61" spans="1:15" x14ac:dyDescent="0.25">
      <c r="A61" s="23" t="s">
        <v>597</v>
      </c>
      <c r="O61" s="7" t="str">
        <f ca="1">getCodigoBackend(N61,A61,VLOOKUP(N61,setup!$A$8:$H$58,2),VLOOKUP(N61,setup!$A$8:$H$58,3),VLOOKUP(N61,setup!$A$8:$H$58,4),VLOOKUP(N61,setup!$A$8:$H$58,5),VLOOKUP(N61,setup!$A$8:$H$58,6),VLOOKUP(N61,setup!$A$8:$H$58,7), VLOOKUP(0,setup!$A$8:$H$58,2),VLOOKUP(0,setup!$A$8:$H$58,5),VLOOKUP(N61,setup!$A$8:$H$58,8))</f>
        <v xml:space="preserve">      body: FutureBuilder(</v>
      </c>
    </row>
    <row r="62" spans="1:15" x14ac:dyDescent="0.25">
      <c r="A62" s="23" t="s">
        <v>621</v>
      </c>
      <c r="O62" s="7" t="str">
        <f ca="1">getCodigoBackend(N62,A62,VLOOKUP(N62,setup!$A$8:$H$58,2),VLOOKUP(N62,setup!$A$8:$H$58,3),VLOOKUP(N62,setup!$A$8:$H$58,4),VLOOKUP(N62,setup!$A$8:$H$58,5),VLOOKUP(N62,setup!$A$8:$H$58,6),VLOOKUP(N62,setup!$A$8:$H$58,7), VLOOKUP(0,setup!$A$8:$H$58,2),VLOOKUP(0,setup!$A$8:$H$58,5),VLOOKUP(N62,setup!$A$8:$H$58,8))</f>
        <v xml:space="preserve">        future: _listCampanhaCashbackResgatePix(),</v>
      </c>
    </row>
    <row r="63" spans="1:15" x14ac:dyDescent="0.25">
      <c r="A63" s="23" t="s">
        <v>598</v>
      </c>
      <c r="O63" s="7" t="str">
        <f ca="1">getCodigoBackend(N63,A63,VLOOKUP(N63,setup!$A$8:$H$58,2),VLOOKUP(N63,setup!$A$8:$H$58,3),VLOOKUP(N63,setup!$A$8:$H$58,4),VLOOKUP(N63,setup!$A$8:$H$58,5),VLOOKUP(N63,setup!$A$8:$H$58,6),VLOOKUP(N63,setup!$A$8:$H$58,7), VLOOKUP(0,setup!$A$8:$H$58,2),VLOOKUP(0,setup!$A$8:$H$58,5),VLOOKUP(N63,setup!$A$8:$H$58,8))</f>
        <v xml:space="preserve">        builder: (BuildContext context, AsyncSnapshot&lt;Map&gt; snapshot){</v>
      </c>
    </row>
    <row r="64" spans="1:15" x14ac:dyDescent="0.25">
      <c r="A64" s="23" t="s">
        <v>599</v>
      </c>
      <c r="O64" s="7" t="str">
        <f ca="1">getCodigoBackend(N64,A64,VLOOKUP(N64,setup!$A$8:$H$58,2),VLOOKUP(N64,setup!$A$8:$H$58,3),VLOOKUP(N64,setup!$A$8:$H$58,4),VLOOKUP(N64,setup!$A$8:$H$58,5),VLOOKUP(N64,setup!$A$8:$H$58,6),VLOOKUP(N64,setup!$A$8:$H$58,7), VLOOKUP(0,setup!$A$8:$H$58,2),VLOOKUP(0,setup!$A$8:$H$58,5),VLOOKUP(N64,setup!$A$8:$H$58,8))</f>
        <v xml:space="preserve">          switch (snapshot.connectionState) {</v>
      </c>
    </row>
    <row r="65" spans="1:15" x14ac:dyDescent="0.25">
      <c r="A65" s="23" t="s">
        <v>600</v>
      </c>
      <c r="O65" s="7" t="str">
        <f ca="1">getCodigoBackend(N65,A65,VLOOKUP(N65,setup!$A$8:$H$58,2),VLOOKUP(N65,setup!$A$8:$H$58,3),VLOOKUP(N65,setup!$A$8:$H$58,4),VLOOKUP(N65,setup!$A$8:$H$58,5),VLOOKUP(N65,setup!$A$8:$H$58,6),VLOOKUP(N65,setup!$A$8:$H$58,7), VLOOKUP(0,setup!$A$8:$H$58,2),VLOOKUP(0,setup!$A$8:$H$58,5),VLOOKUP(N65,setup!$A$8:$H$58,8))</f>
        <v xml:space="preserve">            case ConnectionState.none:</v>
      </c>
    </row>
    <row r="66" spans="1:15" x14ac:dyDescent="0.25">
      <c r="A66" s="23" t="s">
        <v>601</v>
      </c>
      <c r="O66" s="7" t="str">
        <f ca="1">getCodigoBackend(N66,A66,VLOOKUP(N66,setup!$A$8:$H$58,2),VLOOKUP(N66,setup!$A$8:$H$58,3),VLOOKUP(N66,setup!$A$8:$H$58,4),VLOOKUP(N66,setup!$A$8:$H$58,5),VLOOKUP(N66,setup!$A$8:$H$58,6),VLOOKUP(N66,setup!$A$8:$H$58,7), VLOOKUP(0,setup!$A$8:$H$58,2),VLOOKUP(0,setup!$A$8:$H$58,5),VLOOKUP(N66,setup!$A$8:$H$58,8))</f>
        <v xml:space="preserve">              break;</v>
      </c>
    </row>
    <row r="67" spans="1:15" x14ac:dyDescent="0.25">
      <c r="A67" s="23" t="s">
        <v>602</v>
      </c>
      <c r="O67" s="7" t="str">
        <f ca="1">getCodigoBackend(N67,A67,VLOOKUP(N67,setup!$A$8:$H$58,2),VLOOKUP(N67,setup!$A$8:$H$58,3),VLOOKUP(N67,setup!$A$8:$H$58,4),VLOOKUP(N67,setup!$A$8:$H$58,5),VLOOKUP(N67,setup!$A$8:$H$58,6),VLOOKUP(N67,setup!$A$8:$H$58,7), VLOOKUP(0,setup!$A$8:$H$58,2),VLOOKUP(0,setup!$A$8:$H$58,5),VLOOKUP(N67,setup!$A$8:$H$58,8))</f>
        <v xml:space="preserve">            case ConnectionState.active:</v>
      </c>
    </row>
    <row r="68" spans="1:15" x14ac:dyDescent="0.25">
      <c r="A68" s="23" t="s">
        <v>603</v>
      </c>
      <c r="O68" s="7" t="str">
        <f ca="1">getCodigoBackend(N68,A68,VLOOKUP(N68,setup!$A$8:$H$58,2),VLOOKUP(N68,setup!$A$8:$H$58,3),VLOOKUP(N68,setup!$A$8:$H$58,4),VLOOKUP(N68,setup!$A$8:$H$58,5),VLOOKUP(N68,setup!$A$8:$H$58,6),VLOOKUP(N68,setup!$A$8:$H$58,7), VLOOKUP(0,setup!$A$8:$H$58,2),VLOOKUP(0,setup!$A$8:$H$58,5),VLOOKUP(N68,setup!$A$8:$H$58,8))</f>
        <v xml:space="preserve">            case ConnectionState.waiting:</v>
      </c>
    </row>
    <row r="69" spans="1:15" x14ac:dyDescent="0.25">
      <c r="A69" s="23" t="s">
        <v>604</v>
      </c>
      <c r="O69" s="7" t="str">
        <f ca="1">getCodigoBackend(N69,A69,VLOOKUP(N69,setup!$A$8:$H$58,2),VLOOKUP(N69,setup!$A$8:$H$58,3),VLOOKUP(N69,setup!$A$8:$H$58,4),VLOOKUP(N69,setup!$A$8:$H$58,5),VLOOKUP(N69,setup!$A$8:$H$58,6),VLOOKUP(N69,setup!$A$8:$H$58,7), VLOOKUP(0,setup!$A$8:$H$58,2),VLOOKUP(0,setup!$A$8:$H$58,5),VLOOKUP(N69,setup!$A$8:$H$58,8))</f>
        <v xml:space="preserve">              return new CommonLoading();</v>
      </c>
    </row>
    <row r="70" spans="1:15" x14ac:dyDescent="0.25">
      <c r="A70" s="23" t="s">
        <v>605</v>
      </c>
      <c r="O70" s="7" t="str">
        <f ca="1">getCodigoBackend(N70,A70,VLOOKUP(N70,setup!$A$8:$H$58,2),VLOOKUP(N70,setup!$A$8:$H$58,3),VLOOKUP(N70,setup!$A$8:$H$58,4),VLOOKUP(N70,setup!$A$8:$H$58,5),VLOOKUP(N70,setup!$A$8:$H$58,6),VLOOKUP(N70,setup!$A$8:$H$58,7), VLOOKUP(0,setup!$A$8:$H$58,2),VLOOKUP(0,setup!$A$8:$H$58,5),VLOOKUP(N70,setup!$A$8:$H$58,8))</f>
        <v xml:space="preserve">            case ConnectionState.done:</v>
      </c>
    </row>
    <row r="71" spans="1:15" x14ac:dyDescent="0.25">
      <c r="A71" s="23" t="s">
        <v>606</v>
      </c>
      <c r="O71" s="7" t="str">
        <f ca="1">getCodigoBackend(N71,A71,VLOOKUP(N71,setup!$A$8:$H$58,2),VLOOKUP(N71,setup!$A$8:$H$58,3),VLOOKUP(N71,setup!$A$8:$H$58,4),VLOOKUP(N71,setup!$A$8:$H$58,5),VLOOKUP(N71,setup!$A$8:$H$58,6),VLOOKUP(N71,setup!$A$8:$H$58,7), VLOOKUP(0,setup!$A$8:$H$58,2),VLOOKUP(0,setup!$A$8:$H$58,5),VLOOKUP(N71,setup!$A$8:$H$58,8))</f>
        <v xml:space="preserve">              if(snapshot.hasError) {</v>
      </c>
    </row>
    <row r="72" spans="1:15" x14ac:dyDescent="0.25">
      <c r="A72" s="23" t="s">
        <v>504</v>
      </c>
      <c r="O72" s="7" t="str">
        <f ca="1">getCodigoBackend(N72,A72,VLOOKUP(N72,setup!$A$8:$H$58,2),VLOOKUP(N72,setup!$A$8:$H$58,3),VLOOKUP(N72,setup!$A$8:$H$58,4),VLOOKUP(N72,setup!$A$8:$H$58,5),VLOOKUP(N72,setup!$A$8:$H$58,6),VLOOKUP(N72,setup!$A$8:$H$58,7), VLOOKUP(0,setup!$A$8:$H$58,2),VLOOKUP(0,setup!$A$8:$H$58,5),VLOOKUP(N72,setup!$A$8:$H$58,8))</f>
        <v xml:space="preserve">              }</v>
      </c>
    </row>
    <row r="73" spans="1:15" x14ac:dyDescent="0.25">
      <c r="A73" s="23" t="s">
        <v>607</v>
      </c>
      <c r="O73" s="7" t="str">
        <f ca="1">getCodigoBackend(N73,A73,VLOOKUP(N73,setup!$A$8:$H$58,2),VLOOKUP(N73,setup!$A$8:$H$58,3),VLOOKUP(N73,setup!$A$8:$H$58,4),VLOOKUP(N73,setup!$A$8:$H$58,5),VLOOKUP(N73,setup!$A$8:$H$58,6),VLOOKUP(N73,setup!$A$8:$H$58,7), VLOOKUP(0,setup!$A$8:$H$58,2),VLOOKUP(0,setup!$A$8:$H$58,5),VLOOKUP(N73,setup!$A$8:$H$58,8))</f>
        <v xml:space="preserve">              if(snapshot.hasData){</v>
      </c>
    </row>
    <row r="74" spans="1:15" x14ac:dyDescent="0.25">
      <c r="A74" s="23" t="s">
        <v>622</v>
      </c>
      <c r="O74" s="7" t="str">
        <f ca="1">getCodigoBackend(N74,A74,VLOOKUP(N74,setup!$A$8:$H$58,2),VLOOKUP(N74,setup!$A$8:$H$58,3),VLOOKUP(N74,setup!$A$8:$H$58,4),VLOOKUP(N74,setup!$A$8:$H$58,5),VLOOKUP(N74,setup!$A$8:$H$58,6),VLOOKUP(N74,setup!$A$8:$H$58,7), VLOOKUP(0,setup!$A$8:$H$58,2),VLOOKUP(0,setup!$A$8:$H$58,5),VLOOKUP(N74,setup!$A$8:$H$58,8))</f>
        <v xml:space="preserve">                return CampanhaCashbackResgatePixLV(snapshot.data);</v>
      </c>
    </row>
    <row r="75" spans="1:15" x14ac:dyDescent="0.25">
      <c r="A75" s="23" t="s">
        <v>504</v>
      </c>
      <c r="O75" s="7" t="str">
        <f ca="1">getCodigoBackend(N75,A75,VLOOKUP(N75,setup!$A$8:$H$58,2),VLOOKUP(N75,setup!$A$8:$H$58,3),VLOOKUP(N75,setup!$A$8:$H$58,4),VLOOKUP(N75,setup!$A$8:$H$58,5),VLOOKUP(N75,setup!$A$8:$H$58,6),VLOOKUP(N75,setup!$A$8:$H$58,7), VLOOKUP(0,setup!$A$8:$H$58,2),VLOOKUP(0,setup!$A$8:$H$58,5),VLOOKUP(N75,setup!$A$8:$H$58,8))</f>
        <v xml:space="preserve">              }</v>
      </c>
    </row>
    <row r="76" spans="1:15" x14ac:dyDescent="0.25">
      <c r="A76" s="23" t="s">
        <v>601</v>
      </c>
      <c r="O76" s="7" t="str">
        <f ca="1">getCodigoBackend(N76,A76,VLOOKUP(N76,setup!$A$8:$H$58,2),VLOOKUP(N76,setup!$A$8:$H$58,3),VLOOKUP(N76,setup!$A$8:$H$58,4),VLOOKUP(N76,setup!$A$8:$H$58,5),VLOOKUP(N76,setup!$A$8:$H$58,6),VLOOKUP(N76,setup!$A$8:$H$58,7), VLOOKUP(0,setup!$A$8:$H$58,2),VLOOKUP(0,setup!$A$8:$H$58,5),VLOOKUP(N76,setup!$A$8:$H$58,8))</f>
        <v xml:space="preserve">              break;</v>
      </c>
    </row>
    <row r="77" spans="1:15" x14ac:dyDescent="0.25">
      <c r="A77" s="23" t="s">
        <v>608</v>
      </c>
      <c r="O77" s="7" t="str">
        <f ca="1">getCodigoBackend(N77,A77,VLOOKUP(N77,setup!$A$8:$H$58,2),VLOOKUP(N77,setup!$A$8:$H$58,3),VLOOKUP(N77,setup!$A$8:$H$58,4),VLOOKUP(N77,setup!$A$8:$H$58,5),VLOOKUP(N77,setup!$A$8:$H$58,6),VLOOKUP(N77,setup!$A$8:$H$58,7), VLOOKUP(0,setup!$A$8:$H$58,2),VLOOKUP(0,setup!$A$8:$H$58,5),VLOOKUP(N77,setup!$A$8:$H$58,8))</f>
        <v xml:space="preserve">            default:</v>
      </c>
    </row>
    <row r="78" spans="1:15" x14ac:dyDescent="0.25">
      <c r="A78" s="23" t="s">
        <v>609</v>
      </c>
      <c r="O78" s="7" t="str">
        <f ca="1">getCodigoBackend(N78,A78,VLOOKUP(N78,setup!$A$8:$H$58,2),VLOOKUP(N78,setup!$A$8:$H$58,3),VLOOKUP(N78,setup!$A$8:$H$58,4),VLOOKUP(N78,setup!$A$8:$H$58,5),VLOOKUP(N78,setup!$A$8:$H$58,6),VLOOKUP(N78,setup!$A$8:$H$58,7), VLOOKUP(0,setup!$A$8:$H$58,2),VLOOKUP(0,setup!$A$8:$H$58,5),VLOOKUP(N78,setup!$A$8:$H$58,8))</f>
        <v xml:space="preserve">              return new Container(</v>
      </c>
    </row>
    <row r="79" spans="1:15" x14ac:dyDescent="0.25">
      <c r="A79" s="23" t="s">
        <v>610</v>
      </c>
      <c r="O79" s="7" t="str">
        <f ca="1">getCodigoBackend(N79,A79,VLOOKUP(N79,setup!$A$8:$H$58,2),VLOOKUP(N79,setup!$A$8:$H$58,3),VLOOKUP(N79,setup!$A$8:$H$58,4),VLOOKUP(N79,setup!$A$8:$H$58,5),VLOOKUP(N79,setup!$A$8:$H$58,6),VLOOKUP(N79,setup!$A$8:$H$58,7), VLOOKUP(0,setup!$A$8:$H$58,2),VLOOKUP(0,setup!$A$8:$H$58,5),VLOOKUP(N79,setup!$A$8:$H$58,8))</f>
        <v xml:space="preserve">                height: 0.0,</v>
      </c>
    </row>
    <row r="80" spans="1:15" x14ac:dyDescent="0.25">
      <c r="A80" s="23" t="s">
        <v>611</v>
      </c>
      <c r="O80" s="7" t="str">
        <f ca="1">getCodigoBackend(N80,A80,VLOOKUP(N80,setup!$A$8:$H$58,2),VLOOKUP(N80,setup!$A$8:$H$58,3),VLOOKUP(N80,setup!$A$8:$H$58,4),VLOOKUP(N80,setup!$A$8:$H$58,5),VLOOKUP(N80,setup!$A$8:$H$58,6),VLOOKUP(N80,setup!$A$8:$H$58,7), VLOOKUP(0,setup!$A$8:$H$58,2),VLOOKUP(0,setup!$A$8:$H$58,5),VLOOKUP(N80,setup!$A$8:$H$58,8))</f>
        <v xml:space="preserve">                width: 0.0,</v>
      </c>
    </row>
    <row r="81" spans="1:15" x14ac:dyDescent="0.25">
      <c r="A81" s="23" t="s">
        <v>612</v>
      </c>
      <c r="O81" s="7" t="str">
        <f ca="1">getCodigoBackend(N81,A81,VLOOKUP(N81,setup!$A$8:$H$58,2),VLOOKUP(N81,setup!$A$8:$H$58,3),VLOOKUP(N81,setup!$A$8:$H$58,4),VLOOKUP(N81,setup!$A$8:$H$58,5),VLOOKUP(N81,setup!$A$8:$H$58,6),VLOOKUP(N81,setup!$A$8:$H$58,7), VLOOKUP(0,setup!$A$8:$H$58,2),VLOOKUP(0,setup!$A$8:$H$58,5),VLOOKUP(N81,setup!$A$8:$H$58,8))</f>
        <v xml:space="preserve">              );</v>
      </c>
    </row>
    <row r="82" spans="1:15" x14ac:dyDescent="0.25">
      <c r="A82" s="23" t="s">
        <v>613</v>
      </c>
      <c r="O82" s="7" t="str">
        <f ca="1">getCodigoBackend(N82,A82,VLOOKUP(N82,setup!$A$8:$H$58,2),VLOOKUP(N82,setup!$A$8:$H$58,3),VLOOKUP(N82,setup!$A$8:$H$58,4),VLOOKUP(N82,setup!$A$8:$H$58,5),VLOOKUP(N82,setup!$A$8:$H$58,6),VLOOKUP(N82,setup!$A$8:$H$58,7), VLOOKUP(0,setup!$A$8:$H$58,2),VLOOKUP(0,setup!$A$8:$H$58,5),VLOOKUP(N82,setup!$A$8:$H$58,8))</f>
        <v xml:space="preserve">          }</v>
      </c>
    </row>
    <row r="83" spans="1:15" x14ac:dyDescent="0.25">
      <c r="A83" s="23" t="s">
        <v>614</v>
      </c>
      <c r="O83" s="7" t="str">
        <f ca="1">getCodigoBackend(N83,A83,VLOOKUP(N83,setup!$A$8:$H$58,2),VLOOKUP(N83,setup!$A$8:$H$58,3),VLOOKUP(N83,setup!$A$8:$H$58,4),VLOOKUP(N83,setup!$A$8:$H$58,5),VLOOKUP(N83,setup!$A$8:$H$58,6),VLOOKUP(N83,setup!$A$8:$H$58,7), VLOOKUP(0,setup!$A$8:$H$58,2),VLOOKUP(0,setup!$A$8:$H$58,5),VLOOKUP(N83,setup!$A$8:$H$58,8))</f>
        <v xml:space="preserve">        },</v>
      </c>
    </row>
    <row r="84" spans="1:15" x14ac:dyDescent="0.25">
      <c r="A84" s="23" t="s">
        <v>518</v>
      </c>
      <c r="O84" s="7" t="str">
        <f ca="1">getCodigoBackend(N84,A84,VLOOKUP(N84,setup!$A$8:$H$58,2),VLOOKUP(N84,setup!$A$8:$H$58,3),VLOOKUP(N84,setup!$A$8:$H$58,4),VLOOKUP(N84,setup!$A$8:$H$58,5),VLOOKUP(N84,setup!$A$8:$H$58,6),VLOOKUP(N84,setup!$A$8:$H$58,7), VLOOKUP(0,setup!$A$8:$H$58,2),VLOOKUP(0,setup!$A$8:$H$58,5),VLOOKUP(N84,setup!$A$8:$H$58,8))</f>
        <v xml:space="preserve">      ),</v>
      </c>
    </row>
    <row r="85" spans="1:15" x14ac:dyDescent="0.25">
      <c r="A85" s="23" t="s">
        <v>455</v>
      </c>
      <c r="O85" s="7" t="str">
        <f ca="1">getCodigoBackend(N85,A85,VLOOKUP(N85,setup!$A$8:$H$58,2),VLOOKUP(N85,setup!$A$8:$H$58,3),VLOOKUP(N85,setup!$A$8:$H$58,4),VLOOKUP(N85,setup!$A$8:$H$58,5),VLOOKUP(N85,setup!$A$8:$H$58,6),VLOOKUP(N85,setup!$A$8:$H$58,7), VLOOKUP(0,setup!$A$8:$H$58,2),VLOOKUP(0,setup!$A$8:$H$58,5),VLOOKUP(N85,setup!$A$8:$H$58,8))</f>
        <v xml:space="preserve">    );</v>
      </c>
    </row>
    <row r="86" spans="1:15" x14ac:dyDescent="0.25">
      <c r="A86" s="23" t="s">
        <v>456</v>
      </c>
      <c r="O86" s="7" t="str">
        <f ca="1">getCodigoBackend(N86,A86,VLOOKUP(N86,setup!$A$8:$H$58,2),VLOOKUP(N86,setup!$A$8:$H$58,3),VLOOKUP(N86,setup!$A$8:$H$58,4),VLOOKUP(N86,setup!$A$8:$H$58,5),VLOOKUP(N86,setup!$A$8:$H$58,6),VLOOKUP(N86,setup!$A$8:$H$58,7), VLOOKUP(0,setup!$A$8:$H$58,2),VLOOKUP(0,setup!$A$8:$H$58,5),VLOOKUP(N86,setup!$A$8:$H$58,8))</f>
        <v xml:space="preserve">  }</v>
      </c>
    </row>
    <row r="87" spans="1:15" x14ac:dyDescent="0.25">
      <c r="A87" s="23" t="s">
        <v>28</v>
      </c>
      <c r="O87" s="7" t="str">
        <f ca="1">getCodigoBackend(N87,A87,VLOOKUP(N87,setup!$A$8:$H$58,2),VLOOKUP(N87,setup!$A$8:$H$58,3),VLOOKUP(N87,setup!$A$8:$H$58,4),VLOOKUP(N87,setup!$A$8:$H$58,5),VLOOKUP(N87,setup!$A$8:$H$58,6),VLOOKUP(N87,setup!$A$8:$H$58,7), VLOOKUP(0,setup!$A$8:$H$58,2),VLOOKUP(0,setup!$A$8:$H$58,5),VLOOKUP(N87,setup!$A$8:$H$58,8))</f>
        <v>}</v>
      </c>
    </row>
    <row r="88" spans="1:15" x14ac:dyDescent="0.25">
      <c r="A88" s="6"/>
      <c r="O88" s="7" t="str">
        <f ca="1">getCodigoBackend(N88,A88,VLOOKUP(N88,setup!$A$8:$H$58,2),VLOOKUP(N88,setup!$A$8:$H$58,3),VLOOKUP(N88,setup!$A$8:$H$58,4),VLOOKUP(N88,setup!$A$8:$H$58,5),VLOOKUP(N88,setup!$A$8:$H$58,6),VLOOKUP(N88,setup!$A$8:$H$58,7), VLOOKUP(0,setup!$A$8:$H$58,2),VLOOKUP(0,setup!$A$8:$H$58,5),VLOOKUP(N88,setup!$A$8:$H$58,8))</f>
        <v/>
      </c>
    </row>
    <row r="89" spans="1:15" x14ac:dyDescent="0.25">
      <c r="A89" s="6"/>
      <c r="O89" s="7" t="str">
        <f ca="1">getCodigoBackend(N89,A89,VLOOKUP(N89,setup!$A$8:$H$58,2),VLOOKUP(N89,setup!$A$8:$H$58,3),VLOOKUP(N89,setup!$A$8:$H$58,4),VLOOKUP(N89,setup!$A$8:$H$58,5),VLOOKUP(N89,setup!$A$8:$H$58,6),VLOOKUP(N89,setup!$A$8:$H$58,7), VLOOKUP(0,setup!$A$8:$H$58,2),VLOOKUP(0,setup!$A$8:$H$58,5),VLOOKUP(N89,setup!$A$8:$H$58,8))</f>
        <v/>
      </c>
    </row>
    <row r="90" spans="1:15" x14ac:dyDescent="0.25">
      <c r="A90" s="6"/>
      <c r="O90" s="7" t="str">
        <f ca="1">getCodigoBackend(N90,A90,VLOOKUP(N90,setup!$A$8:$H$58,2),VLOOKUP(N90,setup!$A$8:$H$58,3),VLOOKUP(N90,setup!$A$8:$H$58,4),VLOOKUP(N90,setup!$A$8:$H$58,5),VLOOKUP(N90,setup!$A$8:$H$58,6),VLOOKUP(N90,setup!$A$8:$H$58,7), VLOOKUP(0,setup!$A$8:$H$58,2),VLOOKUP(0,setup!$A$8:$H$58,5),VLOOKUP(N90,setup!$A$8:$H$58,8))</f>
        <v/>
      </c>
    </row>
    <row r="91" spans="1:15" x14ac:dyDescent="0.25">
      <c r="A91" s="6"/>
      <c r="O91" s="7" t="str">
        <f ca="1">getCodigoBackend(N91,A91,VLOOKUP(N91,setup!$A$8:$H$58,2),VLOOKUP(N91,setup!$A$8:$H$58,3),VLOOKUP(N91,setup!$A$8:$H$58,4),VLOOKUP(N91,setup!$A$8:$H$58,5),VLOOKUP(N91,setup!$A$8:$H$58,6),VLOOKUP(N91,setup!$A$8:$H$58,7), VLOOKUP(0,setup!$A$8:$H$58,2),VLOOKUP(0,setup!$A$8:$H$58,5),VLOOKUP(N91,setup!$A$8:$H$58,8))</f>
        <v/>
      </c>
    </row>
    <row r="92" spans="1:15" x14ac:dyDescent="0.25">
      <c r="A92" s="6"/>
      <c r="O92" s="7" t="str">
        <f ca="1">getCodigoBackend(N92,A92,VLOOKUP(N92,setup!$A$8:$H$58,2),VLOOKUP(N92,setup!$A$8:$H$58,3),VLOOKUP(N92,setup!$A$8:$H$58,4),VLOOKUP(N92,setup!$A$8:$H$58,5),VLOOKUP(N92,setup!$A$8:$H$58,6),VLOOKUP(N92,setup!$A$8:$H$58,7), VLOOKUP(0,setup!$A$8:$H$58,2),VLOOKUP(0,setup!$A$8:$H$58,5),VLOOKUP(N92,setup!$A$8:$H$58,8))</f>
        <v/>
      </c>
    </row>
    <row r="93" spans="1:15" x14ac:dyDescent="0.25">
      <c r="A93" s="6"/>
      <c r="O93" s="7" t="str">
        <f ca="1">getCodigoBackend(N93,A93,VLOOKUP(N93,setup!$A$8:$H$58,2),VLOOKUP(N93,setup!$A$8:$H$58,3),VLOOKUP(N93,setup!$A$8:$H$58,4),VLOOKUP(N93,setup!$A$8:$H$58,5),VLOOKUP(N93,setup!$A$8:$H$58,6),VLOOKUP(N93,setup!$A$8:$H$58,7), VLOOKUP(0,setup!$A$8:$H$58,2),VLOOKUP(0,setup!$A$8:$H$58,5),VLOOKUP(N93,setup!$A$8:$H$58,8))</f>
        <v/>
      </c>
    </row>
    <row r="94" spans="1:15" x14ac:dyDescent="0.25">
      <c r="A94" s="6"/>
      <c r="O94" s="7" t="str">
        <f ca="1">getCodigoBackend(N94,A94,VLOOKUP(N94,setup!$A$8:$H$58,2),VLOOKUP(N94,setup!$A$8:$H$58,3),VLOOKUP(N94,setup!$A$8:$H$58,4),VLOOKUP(N94,setup!$A$8:$H$58,5),VLOOKUP(N94,setup!$A$8:$H$58,6),VLOOKUP(N94,setup!$A$8:$H$58,7), VLOOKUP(0,setup!$A$8:$H$58,2),VLOOKUP(0,setup!$A$8:$H$58,5),VLOOKUP(N94,setup!$A$8:$H$58,8))</f>
        <v/>
      </c>
    </row>
    <row r="95" spans="1:15" x14ac:dyDescent="0.25">
      <c r="A95" s="6"/>
      <c r="O95" s="7" t="str">
        <f ca="1">getCodigoBackend(N95,A95,VLOOKUP(N95,setup!$A$8:$H$58,2),VLOOKUP(N95,setup!$A$8:$H$58,3),VLOOKUP(N95,setup!$A$8:$H$58,4),VLOOKUP(N95,setup!$A$8:$H$58,5),VLOOKUP(N95,setup!$A$8:$H$58,6),VLOOKUP(N95,setup!$A$8:$H$58,7), VLOOKUP(0,setup!$A$8:$H$58,2),VLOOKUP(0,setup!$A$8:$H$58,5),VLOOKUP(N95,setup!$A$8:$H$58,8))</f>
        <v/>
      </c>
    </row>
    <row r="96" spans="1:15" x14ac:dyDescent="0.25">
      <c r="A96" s="6"/>
      <c r="O96" s="7" t="str">
        <f ca="1">getCodigoBackend(N96,A96,VLOOKUP(N96,setup!$A$8:$H$58,2),VLOOKUP(N96,setup!$A$8:$H$58,3),VLOOKUP(N96,setup!$A$8:$H$58,4),VLOOKUP(N96,setup!$A$8:$H$58,5),VLOOKUP(N96,setup!$A$8:$H$58,6),VLOOKUP(N96,setup!$A$8:$H$58,7), VLOOKUP(0,setup!$A$8:$H$58,2),VLOOKUP(0,setup!$A$8:$H$58,5),VLOOKUP(N96,setup!$A$8:$H$58,8))</f>
        <v/>
      </c>
    </row>
    <row r="97" spans="1:15" x14ac:dyDescent="0.25">
      <c r="A97" s="6"/>
      <c r="O97" s="7" t="str">
        <f ca="1">getCodigoBackend(N97,A97,VLOOKUP(N97,setup!$A$8:$H$58,2),VLOOKUP(N97,setup!$A$8:$H$58,3),VLOOKUP(N97,setup!$A$8:$H$58,4),VLOOKUP(N97,setup!$A$8:$H$58,5),VLOOKUP(N97,setup!$A$8:$H$58,6),VLOOKUP(N97,setup!$A$8:$H$58,7), VLOOKUP(0,setup!$A$8:$H$58,2),VLOOKUP(0,setup!$A$8:$H$58,5),VLOOKUP(N97,setup!$A$8:$H$58,8))</f>
        <v/>
      </c>
    </row>
    <row r="98" spans="1:15" x14ac:dyDescent="0.25">
      <c r="A98" s="6"/>
      <c r="O98" s="7" t="str">
        <f ca="1">getCodigoBackend(N98,A98,VLOOKUP(N98,setup!$A$8:$H$58,2),VLOOKUP(N98,setup!$A$8:$H$58,3),VLOOKUP(N98,setup!$A$8:$H$58,4),VLOOKUP(N98,setup!$A$8:$H$58,5),VLOOKUP(N98,setup!$A$8:$H$58,6),VLOOKUP(N98,setup!$A$8:$H$58,7), VLOOKUP(0,setup!$A$8:$H$58,2),VLOOKUP(0,setup!$A$8:$H$58,5),VLOOKUP(N98,setup!$A$8:$H$58,8))</f>
        <v/>
      </c>
    </row>
    <row r="99" spans="1:15" x14ac:dyDescent="0.25">
      <c r="A99" s="6"/>
      <c r="O99" s="7" t="str">
        <f ca="1">getCodigoBackend(N99,A99,VLOOKUP(N99,setup!$A$8:$H$58,2),VLOOKUP(N99,setup!$A$8:$H$58,3),VLOOKUP(N99,setup!$A$8:$H$58,4),VLOOKUP(N99,setup!$A$8:$H$58,5),VLOOKUP(N99,setup!$A$8:$H$58,6),VLOOKUP(N99,setup!$A$8:$H$58,7), VLOOKUP(0,setup!$A$8:$H$58,2),VLOOKUP(0,setup!$A$8:$H$58,5),VLOOKUP(N99,setup!$A$8:$H$58,8))</f>
        <v/>
      </c>
    </row>
    <row r="100" spans="1:15" x14ac:dyDescent="0.25">
      <c r="A100" s="6"/>
      <c r="O100" s="7" t="str">
        <f ca="1">getCodigoBackend(N100,A100,VLOOKUP(N100,setup!$A$8:$H$58,2),VLOOKUP(N100,setup!$A$8:$H$58,3),VLOOKUP(N100,setup!$A$8:$H$58,4),VLOOKUP(N100,setup!$A$8:$H$58,5),VLOOKUP(N100,setup!$A$8:$H$58,6),VLOOKUP(N100,setup!$A$8:$H$58,7), VLOOKUP(0,setup!$A$8:$H$58,2),VLOOKUP(0,setup!$A$8:$H$58,5),VLOOKUP(N100,setup!$A$8:$H$58,8))</f>
        <v/>
      </c>
    </row>
    <row r="101" spans="1:15" x14ac:dyDescent="0.25">
      <c r="A101" s="6"/>
      <c r="O101" s="7" t="str">
        <f ca="1">getCodigoBackend(N101,A101,VLOOKUP(N101,setup!$A$8:$H$58,2),VLOOKUP(N101,setup!$A$8:$H$58,3),VLOOKUP(N101,setup!$A$8:$H$58,4),VLOOKUP(N101,setup!$A$8:$H$58,5),VLOOKUP(N101,setup!$A$8:$H$58,6),VLOOKUP(N101,setup!$A$8:$H$58,7), VLOOKUP(0,setup!$A$8:$H$58,2),VLOOKUP(0,setup!$A$8:$H$58,5),VLOOKUP(N101,setup!$A$8:$H$58,8))</f>
        <v/>
      </c>
    </row>
    <row r="102" spans="1:15" x14ac:dyDescent="0.25">
      <c r="A102" s="6"/>
      <c r="O102" s="7" t="str">
        <f ca="1">getCodigoBackend(N102,A102,VLOOKUP(N102,setup!$A$8:$H$58,2),VLOOKUP(N102,setup!$A$8:$H$58,3),VLOOKUP(N102,setup!$A$8:$H$58,4),VLOOKUP(N102,setup!$A$8:$H$58,5),VLOOKUP(N102,setup!$A$8:$H$58,6),VLOOKUP(N102,setup!$A$8:$H$58,7), VLOOKUP(0,setup!$A$8:$H$58,2),VLOOKUP(0,setup!$A$8:$H$58,5),VLOOKUP(N102,setup!$A$8:$H$58,8))</f>
        <v/>
      </c>
    </row>
    <row r="103" spans="1:15" x14ac:dyDescent="0.25">
      <c r="A103" s="6"/>
      <c r="O103" s="7" t="str">
        <f ca="1">getCodigoBackend(N103,A103,VLOOKUP(N103,setup!$A$8:$H$58,2),VLOOKUP(N103,setup!$A$8:$H$58,3),VLOOKUP(N103,setup!$A$8:$H$58,4),VLOOKUP(N103,setup!$A$8:$H$58,5),VLOOKUP(N103,setup!$A$8:$H$58,6),VLOOKUP(N103,setup!$A$8:$H$58,7), VLOOKUP(0,setup!$A$8:$H$58,2),VLOOKUP(0,setup!$A$8:$H$58,5),VLOOKUP(N103,setup!$A$8:$H$58,8))</f>
        <v/>
      </c>
    </row>
    <row r="104" spans="1:15" x14ac:dyDescent="0.25">
      <c r="A104" s="6"/>
      <c r="O104" s="7" t="str">
        <f ca="1">getCodigoBackend(N104,A104,VLOOKUP(N104,setup!$A$8:$H$58,2),VLOOKUP(N104,setup!$A$8:$H$58,3),VLOOKUP(N104,setup!$A$8:$H$58,4),VLOOKUP(N104,setup!$A$8:$H$58,5),VLOOKUP(N104,setup!$A$8:$H$58,6),VLOOKUP(N104,setup!$A$8:$H$58,7), VLOOKUP(0,setup!$A$8:$H$58,2),VLOOKUP(0,setup!$A$8:$H$58,5),VLOOKUP(N104,setup!$A$8:$H$58,8))</f>
        <v/>
      </c>
    </row>
    <row r="105" spans="1:15" x14ac:dyDescent="0.25">
      <c r="A105" s="6"/>
      <c r="O105" s="7" t="str">
        <f ca="1">getCodigoBackend(N105,A105,VLOOKUP(N105,setup!$A$8:$H$58,2),VLOOKUP(N105,setup!$A$8:$H$58,3),VLOOKUP(N105,setup!$A$8:$H$58,4),VLOOKUP(N105,setup!$A$8:$H$58,5),VLOOKUP(N105,setup!$A$8:$H$58,6),VLOOKUP(N105,setup!$A$8:$H$58,7), VLOOKUP(0,setup!$A$8:$H$58,2),VLOOKUP(0,setup!$A$8:$H$58,5),VLOOKUP(N105,setup!$A$8:$H$58,8))</f>
        <v/>
      </c>
    </row>
    <row r="106" spans="1:15" x14ac:dyDescent="0.25">
      <c r="A106" s="6"/>
      <c r="O106" s="7" t="str">
        <f ca="1">getCodigoBackend(N106,A106,VLOOKUP(N106,setup!$A$8:$H$58,2),VLOOKUP(N106,setup!$A$8:$H$58,3),VLOOKUP(N106,setup!$A$8:$H$58,4),VLOOKUP(N106,setup!$A$8:$H$58,5),VLOOKUP(N106,setup!$A$8:$H$58,6),VLOOKUP(N106,setup!$A$8:$H$58,7), VLOOKUP(0,setup!$A$8:$H$58,2),VLOOKUP(0,setup!$A$8:$H$58,5),VLOOKUP(N106,setup!$A$8:$H$58,8))</f>
        <v/>
      </c>
    </row>
    <row r="107" spans="1:15" x14ac:dyDescent="0.25">
      <c r="A107" s="6"/>
      <c r="O107" s="7" t="str">
        <f ca="1">getCodigoBackend(N107,A107,VLOOKUP(N107,setup!$A$8:$H$58,2),VLOOKUP(N107,setup!$A$8:$H$58,3),VLOOKUP(N107,setup!$A$8:$H$58,4),VLOOKUP(N107,setup!$A$8:$H$58,5),VLOOKUP(N107,setup!$A$8:$H$58,6),VLOOKUP(N107,setup!$A$8:$H$58,7), VLOOKUP(0,setup!$A$8:$H$58,2),VLOOKUP(0,setup!$A$8:$H$58,5),VLOOKUP(N107,setup!$A$8:$H$58,8))</f>
        <v/>
      </c>
    </row>
    <row r="108" spans="1:15" x14ac:dyDescent="0.25">
      <c r="A108" s="6"/>
      <c r="O108" s="7" t="str">
        <f ca="1">getCodigoBackend(N108,A108,VLOOKUP(N108,setup!$A$8:$H$58,2),VLOOKUP(N108,setup!$A$8:$H$58,3),VLOOKUP(N108,setup!$A$8:$H$58,4),VLOOKUP(N108,setup!$A$8:$H$58,5),VLOOKUP(N108,setup!$A$8:$H$58,6),VLOOKUP(N108,setup!$A$8:$H$58,7), VLOOKUP(0,setup!$A$8:$H$58,2),VLOOKUP(0,setup!$A$8:$H$58,5),VLOOKUP(N108,setup!$A$8:$H$58,8))</f>
        <v/>
      </c>
    </row>
    <row r="109" spans="1:15" x14ac:dyDescent="0.25">
      <c r="A109" s="6"/>
      <c r="O109" s="7" t="str">
        <f ca="1">getCodigoBackend(N109,A109,VLOOKUP(N109,setup!$A$8:$H$58,2),VLOOKUP(N109,setup!$A$8:$H$58,3),VLOOKUP(N109,setup!$A$8:$H$58,4),VLOOKUP(N109,setup!$A$8:$H$58,5),VLOOKUP(N109,setup!$A$8:$H$58,6),VLOOKUP(N109,setup!$A$8:$H$58,7), VLOOKUP(0,setup!$A$8:$H$58,2),VLOOKUP(0,setup!$A$8:$H$58,5),VLOOKUP(N109,setup!$A$8:$H$58,8))</f>
        <v/>
      </c>
    </row>
    <row r="110" spans="1:15" x14ac:dyDescent="0.25">
      <c r="A110" s="6"/>
      <c r="O110" s="7" t="str">
        <f ca="1">getCodigoBackend(N110,A110,VLOOKUP(N110,setup!$A$8:$H$58,2),VLOOKUP(N110,setup!$A$8:$H$58,3),VLOOKUP(N110,setup!$A$8:$H$58,4),VLOOKUP(N110,setup!$A$8:$H$58,5),VLOOKUP(N110,setup!$A$8:$H$58,6),VLOOKUP(N110,setup!$A$8:$H$58,7), VLOOKUP(0,setup!$A$8:$H$58,2),VLOOKUP(0,setup!$A$8:$H$58,5),VLOOKUP(N110,setup!$A$8:$H$58,8))</f>
        <v/>
      </c>
    </row>
    <row r="111" spans="1:15" x14ac:dyDescent="0.25">
      <c r="A111" s="6"/>
      <c r="O111" s="7" t="str">
        <f ca="1">getCodigoBackend(N111,A111,VLOOKUP(N111,setup!$A$8:$H$58,2),VLOOKUP(N111,setup!$A$8:$H$58,3),VLOOKUP(N111,setup!$A$8:$H$58,4),VLOOKUP(N111,setup!$A$8:$H$58,5),VLOOKUP(N111,setup!$A$8:$H$58,6),VLOOKUP(N111,setup!$A$8:$H$58,7), VLOOKUP(0,setup!$A$8:$H$58,2),VLOOKUP(0,setup!$A$8:$H$58,5),VLOOKUP(N111,setup!$A$8:$H$58,8))</f>
        <v/>
      </c>
    </row>
    <row r="112" spans="1:15" x14ac:dyDescent="0.25">
      <c r="A112" s="6"/>
      <c r="O112" s="7" t="str">
        <f ca="1">getCodigoBackend(N112,A112,VLOOKUP(N112,setup!$A$8:$H$58,2),VLOOKUP(N112,setup!$A$8:$H$58,3),VLOOKUP(N112,setup!$A$8:$H$58,4),VLOOKUP(N112,setup!$A$8:$H$58,5),VLOOKUP(N112,setup!$A$8:$H$58,6),VLOOKUP(N112,setup!$A$8:$H$58,7), VLOOKUP(0,setup!$A$8:$H$58,2),VLOOKUP(0,setup!$A$8:$H$58,5),VLOOKUP(N112,setup!$A$8:$H$58,8))</f>
        <v/>
      </c>
    </row>
    <row r="113" spans="1:15" x14ac:dyDescent="0.25">
      <c r="A113" s="6"/>
      <c r="O113" s="7" t="str">
        <f ca="1">getCodigoBackend(N113,A113,VLOOKUP(N113,setup!$A$8:$H$58,2),VLOOKUP(N113,setup!$A$8:$H$58,3),VLOOKUP(N113,setup!$A$8:$H$58,4),VLOOKUP(N113,setup!$A$8:$H$58,5),VLOOKUP(N113,setup!$A$8:$H$58,6),VLOOKUP(N113,setup!$A$8:$H$58,7), VLOOKUP(0,setup!$A$8:$H$58,2),VLOOKUP(0,setup!$A$8:$H$58,5),VLOOKUP(N113,setup!$A$8:$H$58,8))</f>
        <v/>
      </c>
    </row>
    <row r="114" spans="1:15" x14ac:dyDescent="0.25">
      <c r="A114" s="6"/>
      <c r="O114" s="7" t="str">
        <f ca="1">getCodigoBackend(N114,A114,VLOOKUP(N114,setup!$A$8:$H$58,2),VLOOKUP(N114,setup!$A$8:$H$58,3),VLOOKUP(N114,setup!$A$8:$H$58,4),VLOOKUP(N114,setup!$A$8:$H$58,5),VLOOKUP(N114,setup!$A$8:$H$58,6),VLOOKUP(N114,setup!$A$8:$H$58,7), VLOOKUP(0,setup!$A$8:$H$58,2),VLOOKUP(0,setup!$A$8:$H$58,5),VLOOKUP(N114,setup!$A$8:$H$58,8))</f>
        <v/>
      </c>
    </row>
    <row r="115" spans="1:15" x14ac:dyDescent="0.25">
      <c r="A115" s="6"/>
      <c r="O115" s="7" t="str">
        <f ca="1">getCodigoBackend(N115,A115,VLOOKUP(N115,setup!$A$8:$H$58,2),VLOOKUP(N115,setup!$A$8:$H$58,3),VLOOKUP(N115,setup!$A$8:$H$58,4),VLOOKUP(N115,setup!$A$8:$H$58,5),VLOOKUP(N115,setup!$A$8:$H$58,6),VLOOKUP(N115,setup!$A$8:$H$58,7), VLOOKUP(0,setup!$A$8:$H$58,2),VLOOKUP(0,setup!$A$8:$H$58,5),VLOOKUP(N115,setup!$A$8:$H$58,8))</f>
        <v/>
      </c>
    </row>
    <row r="116" spans="1:15" x14ac:dyDescent="0.25">
      <c r="A116" s="6"/>
      <c r="O116" s="7" t="str">
        <f ca="1">getCodigoBackend(N116,A116,VLOOKUP(N116,setup!$A$8:$H$58,2),VLOOKUP(N116,setup!$A$8:$H$58,3),VLOOKUP(N116,setup!$A$8:$H$58,4),VLOOKUP(N116,setup!$A$8:$H$58,5),VLOOKUP(N116,setup!$A$8:$H$58,6),VLOOKUP(N116,setup!$A$8:$H$58,7), VLOOKUP(0,setup!$A$8:$H$58,2),VLOOKUP(0,setup!$A$8:$H$58,5),VLOOKUP(N116,setup!$A$8:$H$58,8))</f>
        <v/>
      </c>
    </row>
    <row r="117" spans="1:15" x14ac:dyDescent="0.25">
      <c r="A117" s="6"/>
      <c r="O117" s="7" t="str">
        <f ca="1">getCodigoBackend(N117,A117,VLOOKUP(N117,setup!$A$8:$H$58,2),VLOOKUP(N117,setup!$A$8:$H$58,3),VLOOKUP(N117,setup!$A$8:$H$58,4),VLOOKUP(N117,setup!$A$8:$H$58,5),VLOOKUP(N117,setup!$A$8:$H$58,6),VLOOKUP(N117,setup!$A$8:$H$58,7), VLOOKUP(0,setup!$A$8:$H$58,2),VLOOKUP(0,setup!$A$8:$H$58,5),VLOOKUP(N117,setup!$A$8:$H$58,8))</f>
        <v/>
      </c>
    </row>
    <row r="118" spans="1:15" x14ac:dyDescent="0.25">
      <c r="A118" s="6"/>
      <c r="O118" s="7" t="str">
        <f ca="1">getCodigoBackend(N118,A118,VLOOKUP(N118,setup!$A$8:$H$58,2),VLOOKUP(N118,setup!$A$8:$H$58,3),VLOOKUP(N118,setup!$A$8:$H$58,4),VLOOKUP(N118,setup!$A$8:$H$58,5),VLOOKUP(N118,setup!$A$8:$H$58,6),VLOOKUP(N118,setup!$A$8:$H$58,7), VLOOKUP(0,setup!$A$8:$H$58,2),VLOOKUP(0,setup!$A$8:$H$58,5),VLOOKUP(N118,setup!$A$8:$H$58,8))</f>
        <v/>
      </c>
    </row>
    <row r="119" spans="1:15" x14ac:dyDescent="0.25">
      <c r="A119" s="6"/>
      <c r="O119" s="7" t="str">
        <f ca="1">getCodigoBackend(N119,A119,VLOOKUP(N119,setup!$A$8:$H$58,2),VLOOKUP(N119,setup!$A$8:$H$58,3),VLOOKUP(N119,setup!$A$8:$H$58,4),VLOOKUP(N119,setup!$A$8:$H$58,5),VLOOKUP(N119,setup!$A$8:$H$58,6),VLOOKUP(N119,setup!$A$8:$H$58,7), VLOOKUP(0,setup!$A$8:$H$58,2),VLOOKUP(0,setup!$A$8:$H$58,5),VLOOKUP(N119,setup!$A$8:$H$58,8))</f>
        <v/>
      </c>
    </row>
    <row r="120" spans="1:15" x14ac:dyDescent="0.25">
      <c r="A120" s="6"/>
      <c r="O120" s="7" t="str">
        <f ca="1">getCodigoBackend(N120,A120,VLOOKUP(N120,setup!$A$8:$H$58,2),VLOOKUP(N120,setup!$A$8:$H$58,3),VLOOKUP(N120,setup!$A$8:$H$58,4),VLOOKUP(N120,setup!$A$8:$H$58,5),VLOOKUP(N120,setup!$A$8:$H$58,6),VLOOKUP(N120,setup!$A$8:$H$58,7), VLOOKUP(0,setup!$A$8:$H$58,2),VLOOKUP(0,setup!$A$8:$H$58,5),VLOOKUP(N120,setup!$A$8:$H$58,8))</f>
        <v/>
      </c>
    </row>
    <row r="121" spans="1:15" x14ac:dyDescent="0.25">
      <c r="A121" s="6"/>
      <c r="O121" s="7" t="str">
        <f ca="1">getCodigoBackend(N121,A121,VLOOKUP(N121,setup!$A$8:$H$58,2),VLOOKUP(N121,setup!$A$8:$H$58,3),VLOOKUP(N121,setup!$A$8:$H$58,4),VLOOKUP(N121,setup!$A$8:$H$58,5),VLOOKUP(N121,setup!$A$8:$H$58,6),VLOOKUP(N121,setup!$A$8:$H$58,7), VLOOKUP(0,setup!$A$8:$H$58,2),VLOOKUP(0,setup!$A$8:$H$58,5),VLOOKUP(N121,setup!$A$8:$H$58,8))</f>
        <v/>
      </c>
    </row>
    <row r="122" spans="1:15" x14ac:dyDescent="0.25">
      <c r="A122" s="6"/>
      <c r="O122" s="7" t="str">
        <f ca="1">getCodigoBackend(N122,A122,VLOOKUP(N122,setup!$A$8:$H$58,2),VLOOKUP(N122,setup!$A$8:$H$58,3),VLOOKUP(N122,setup!$A$8:$H$58,4),VLOOKUP(N122,setup!$A$8:$H$58,5),VLOOKUP(N122,setup!$A$8:$H$58,6),VLOOKUP(N122,setup!$A$8:$H$58,7), VLOOKUP(0,setup!$A$8:$H$58,2),VLOOKUP(0,setup!$A$8:$H$58,5),VLOOKUP(N122,setup!$A$8:$H$58,8))</f>
        <v/>
      </c>
    </row>
    <row r="123" spans="1:15" x14ac:dyDescent="0.25">
      <c r="A123" s="6"/>
      <c r="O123" s="7" t="str">
        <f ca="1">getCodigoBackend(N123,A123,VLOOKUP(N123,setup!$A$8:$H$58,2),VLOOKUP(N123,setup!$A$8:$H$58,3),VLOOKUP(N123,setup!$A$8:$H$58,4),VLOOKUP(N123,setup!$A$8:$H$58,5),VLOOKUP(N123,setup!$A$8:$H$58,6),VLOOKUP(N123,setup!$A$8:$H$58,7), VLOOKUP(0,setup!$A$8:$H$58,2),VLOOKUP(0,setup!$A$8:$H$58,5),VLOOKUP(N123,setup!$A$8:$H$58,8))</f>
        <v/>
      </c>
    </row>
    <row r="124" spans="1:15" x14ac:dyDescent="0.25">
      <c r="A124" s="6"/>
      <c r="O124" s="7" t="str">
        <f ca="1">getCodigoBackend(N124,A124,VLOOKUP(N124,setup!$A$8:$H$58,2),VLOOKUP(N124,setup!$A$8:$H$58,3),VLOOKUP(N124,setup!$A$8:$H$58,4),VLOOKUP(N124,setup!$A$8:$H$58,5),VLOOKUP(N124,setup!$A$8:$H$58,6),VLOOKUP(N124,setup!$A$8:$H$58,7), VLOOKUP(0,setup!$A$8:$H$58,2),VLOOKUP(0,setup!$A$8:$H$58,5),VLOOKUP(N124,setup!$A$8:$H$58,8))</f>
        <v/>
      </c>
    </row>
    <row r="125" spans="1:15" x14ac:dyDescent="0.25">
      <c r="A125" s="6"/>
      <c r="O125" s="7" t="str">
        <f ca="1">getCodigoBackend(N125,A125,VLOOKUP(N125,setup!$A$8:$H$58,2),VLOOKUP(N125,setup!$A$8:$H$58,3),VLOOKUP(N125,setup!$A$8:$H$58,4),VLOOKUP(N125,setup!$A$8:$H$58,5),VLOOKUP(N125,setup!$A$8:$H$58,6),VLOOKUP(N125,setup!$A$8:$H$58,7), VLOOKUP(0,setup!$A$8:$H$58,2),VLOOKUP(0,setup!$A$8:$H$58,5),VLOOKUP(N125,setup!$A$8:$H$58,8))</f>
        <v/>
      </c>
    </row>
    <row r="126" spans="1:15" x14ac:dyDescent="0.25">
      <c r="A126" s="6"/>
      <c r="O126" s="7" t="str">
        <f ca="1">getCodigoBackend(N126,A126,VLOOKUP(N126,setup!$A$8:$H$58,2),VLOOKUP(N126,setup!$A$8:$H$58,3),VLOOKUP(N126,setup!$A$8:$H$58,4),VLOOKUP(N126,setup!$A$8:$H$58,5),VLOOKUP(N126,setup!$A$8:$H$58,6),VLOOKUP(N126,setup!$A$8:$H$58,7), VLOOKUP(0,setup!$A$8:$H$58,2),VLOOKUP(0,setup!$A$8:$H$58,5),VLOOKUP(N126,setup!$A$8:$H$58,8))</f>
        <v/>
      </c>
    </row>
    <row r="127" spans="1:15" x14ac:dyDescent="0.25">
      <c r="A127" s="6"/>
      <c r="O127" s="7" t="str">
        <f ca="1">getCodigoBackend(N127,A127,VLOOKUP(N127,setup!$A$8:$H$58,2),VLOOKUP(N127,setup!$A$8:$H$58,3),VLOOKUP(N127,setup!$A$8:$H$58,4),VLOOKUP(N127,setup!$A$8:$H$58,5),VLOOKUP(N127,setup!$A$8:$H$58,6),VLOOKUP(N127,setup!$A$8:$H$58,7), VLOOKUP(0,setup!$A$8:$H$58,2),VLOOKUP(0,setup!$A$8:$H$58,5),VLOOKUP(N127,setup!$A$8:$H$58,8))</f>
        <v/>
      </c>
    </row>
    <row r="128" spans="1:15" x14ac:dyDescent="0.25">
      <c r="A128" s="6"/>
      <c r="O128" s="7" t="str">
        <f ca="1">getCodigoBackend(N128,A128,VLOOKUP(N128,setup!$A$8:$H$58,2),VLOOKUP(N128,setup!$A$8:$H$58,3),VLOOKUP(N128,setup!$A$8:$H$58,4),VLOOKUP(N128,setup!$A$8:$H$58,5),VLOOKUP(N128,setup!$A$8:$H$58,6),VLOOKUP(N128,setup!$A$8:$H$58,7), VLOOKUP(0,setup!$A$8:$H$58,2),VLOOKUP(0,setup!$A$8:$H$58,5),VLOOKUP(N128,setup!$A$8:$H$58,8))</f>
        <v/>
      </c>
    </row>
    <row r="129" spans="1:15" x14ac:dyDescent="0.25">
      <c r="A129" s="6"/>
      <c r="O129" s="7" t="str">
        <f ca="1">getCodigoBackend(N129,A129,VLOOKUP(N129,setup!$A$8:$H$58,2),VLOOKUP(N129,setup!$A$8:$H$58,3),VLOOKUP(N129,setup!$A$8:$H$58,4),VLOOKUP(N129,setup!$A$8:$H$58,5),VLOOKUP(N129,setup!$A$8:$H$58,6),VLOOKUP(N129,setup!$A$8:$H$58,7), VLOOKUP(0,setup!$A$8:$H$58,2),VLOOKUP(0,setup!$A$8:$H$58,5),VLOOKUP(N129,setup!$A$8:$H$58,8))</f>
        <v/>
      </c>
    </row>
    <row r="130" spans="1:15" x14ac:dyDescent="0.25">
      <c r="A130" s="6"/>
      <c r="O130" s="7" t="str">
        <f ca="1">getCodigoBackend(N130,A130,VLOOKUP(N130,setup!$A$8:$H$58,2),VLOOKUP(N130,setup!$A$8:$H$58,3),VLOOKUP(N130,setup!$A$8:$H$58,4),VLOOKUP(N130,setup!$A$8:$H$58,5),VLOOKUP(N130,setup!$A$8:$H$58,6),VLOOKUP(N130,setup!$A$8:$H$58,7), VLOOKUP(0,setup!$A$8:$H$58,2),VLOOKUP(0,setup!$A$8:$H$58,5),VLOOKUP(N130,setup!$A$8:$H$58,8))</f>
        <v/>
      </c>
    </row>
    <row r="131" spans="1:15" x14ac:dyDescent="0.25">
      <c r="A131" s="6"/>
      <c r="O131" s="7" t="str">
        <f ca="1">getCodigoBackend(N131,A131,VLOOKUP(N131,setup!$A$8:$H$58,2),VLOOKUP(N131,setup!$A$8:$H$58,3),VLOOKUP(N131,setup!$A$8:$H$58,4),VLOOKUP(N131,setup!$A$8:$H$58,5),VLOOKUP(N131,setup!$A$8:$H$58,6),VLOOKUP(N131,setup!$A$8:$H$58,7), VLOOKUP(0,setup!$A$8:$H$58,2),VLOOKUP(0,setup!$A$8:$H$58,5),VLOOKUP(N131,setup!$A$8:$H$58,8))</f>
        <v/>
      </c>
    </row>
    <row r="132" spans="1:15" x14ac:dyDescent="0.25">
      <c r="A132" s="15"/>
      <c r="O132" s="7" t="str">
        <f ca="1">getCodigoBackend(N132,A132,VLOOKUP(N132,setup!$A$8:$H$58,2),VLOOKUP(N132,setup!$A$8:$H$58,3),VLOOKUP(N132,setup!$A$8:$H$58,4),VLOOKUP(N132,setup!$A$8:$H$58,5),VLOOKUP(N132,setup!$A$8:$H$58,6),VLOOKUP(N132,setup!$A$8:$H$58,7), VLOOKUP(0,setup!$A$8:$H$58,2),VLOOKUP(0,setup!$A$8:$H$58,5),VLOOKUP(N132,setup!$A$8:$H$58,8))</f>
        <v/>
      </c>
    </row>
    <row r="133" spans="1:15" x14ac:dyDescent="0.25">
      <c r="A133" s="6"/>
      <c r="O133" s="7" t="str">
        <f ca="1">getCodigoBackend(N133,A133,VLOOKUP(N133,setup!$A$8:$H$58,2),VLOOKUP(N133,setup!$A$8:$H$58,3),VLOOKUP(N133,setup!$A$8:$H$58,4),VLOOKUP(N133,setup!$A$8:$H$58,5),VLOOKUP(N133,setup!$A$8:$H$58,6),VLOOKUP(N133,setup!$A$8:$H$58,7), VLOOKUP(0,setup!$A$8:$H$58,2),VLOOKUP(0,setup!$A$8:$H$58,5),VLOOKUP(N133,setup!$A$8:$H$58,8))</f>
        <v/>
      </c>
    </row>
    <row r="134" spans="1:15" x14ac:dyDescent="0.25">
      <c r="A134" s="6"/>
      <c r="O134" s="7" t="str">
        <f ca="1">getCodigoBackend(N134,A134,VLOOKUP(N134,setup!$A$8:$H$58,2),VLOOKUP(N134,setup!$A$8:$H$58,3),VLOOKUP(N134,setup!$A$8:$H$58,4),VLOOKUP(N134,setup!$A$8:$H$58,5),VLOOKUP(N134,setup!$A$8:$H$58,6),VLOOKUP(N134,setup!$A$8:$H$58,7), VLOOKUP(0,setup!$A$8:$H$58,2),VLOOKUP(0,setup!$A$8:$H$58,5),VLOOKUP(N134,setup!$A$8:$H$58,8))</f>
        <v/>
      </c>
    </row>
    <row r="135" spans="1:15" x14ac:dyDescent="0.25">
      <c r="A135" s="6"/>
      <c r="O135" s="7" t="str">
        <f ca="1">getCodigoBackend(N135,A135,VLOOKUP(N135,setup!$A$8:$H$58,2),VLOOKUP(N135,setup!$A$8:$H$58,3),VLOOKUP(N135,setup!$A$8:$H$58,4),VLOOKUP(N135,setup!$A$8:$H$58,5),VLOOKUP(N135,setup!$A$8:$H$58,6),VLOOKUP(N135,setup!$A$8:$H$58,7), VLOOKUP(0,setup!$A$8:$H$58,2),VLOOKUP(0,setup!$A$8:$H$58,5),VLOOKUP(N135,setup!$A$8:$H$58,8))</f>
        <v/>
      </c>
    </row>
    <row r="136" spans="1:15" x14ac:dyDescent="0.25">
      <c r="A136" s="6"/>
      <c r="O136" s="7" t="str">
        <f ca="1">getCodigoBackend(N136,A136,VLOOKUP(N136,setup!$A$8:$H$58,2),VLOOKUP(N136,setup!$A$8:$H$58,3),VLOOKUP(N136,setup!$A$8:$H$58,4),VLOOKUP(N136,setup!$A$8:$H$58,5),VLOOKUP(N136,setup!$A$8:$H$58,6),VLOOKUP(N136,setup!$A$8:$H$58,7), VLOOKUP(0,setup!$A$8:$H$58,2),VLOOKUP(0,setup!$A$8:$H$58,5),VLOOKUP(N136,setup!$A$8:$H$58,8))</f>
        <v/>
      </c>
    </row>
    <row r="137" spans="1:15" x14ac:dyDescent="0.25">
      <c r="A137" s="6"/>
      <c r="O137" s="7" t="str">
        <f ca="1">getCodigoBackend(N137,A137,VLOOKUP(N137,setup!$A$8:$H$58,2),VLOOKUP(N137,setup!$A$8:$H$58,3),VLOOKUP(N137,setup!$A$8:$H$58,4),VLOOKUP(N137,setup!$A$8:$H$58,5),VLOOKUP(N137,setup!$A$8:$H$58,6),VLOOKUP(N137,setup!$A$8:$H$58,7), VLOOKUP(0,setup!$A$8:$H$58,2),VLOOKUP(0,setup!$A$8:$H$58,5),VLOOKUP(N137,setup!$A$8:$H$58,8))</f>
        <v/>
      </c>
    </row>
    <row r="138" spans="1:15" x14ac:dyDescent="0.25">
      <c r="A138" s="6"/>
      <c r="O138" s="7" t="str">
        <f ca="1">getCodigoBackend(N138,A138,VLOOKUP(N138,setup!$A$8:$H$58,2),VLOOKUP(N138,setup!$A$8:$H$58,3),VLOOKUP(N138,setup!$A$8:$H$58,4),VLOOKUP(N138,setup!$A$8:$H$58,5),VLOOKUP(N138,setup!$A$8:$H$58,6),VLOOKUP(N138,setup!$A$8:$H$58,7), VLOOKUP(0,setup!$A$8:$H$58,2),VLOOKUP(0,setup!$A$8:$H$58,5),VLOOKUP(N138,setup!$A$8:$H$58,8))</f>
        <v/>
      </c>
    </row>
    <row r="139" spans="1:15" x14ac:dyDescent="0.25">
      <c r="A139" s="6"/>
      <c r="O139" s="7" t="str">
        <f ca="1">getCodigoBackend(N139,A139,VLOOKUP(N139,setup!$A$8:$H$58,2),VLOOKUP(N139,setup!$A$8:$H$58,3),VLOOKUP(N139,setup!$A$8:$H$58,4),VLOOKUP(N139,setup!$A$8:$H$58,5),VLOOKUP(N139,setup!$A$8:$H$58,6),VLOOKUP(N139,setup!$A$8:$H$58,7), VLOOKUP(0,setup!$A$8:$H$58,2),VLOOKUP(0,setup!$A$8:$H$58,5),VLOOKUP(N139,setup!$A$8:$H$58,8))</f>
        <v/>
      </c>
    </row>
    <row r="140" spans="1:15" x14ac:dyDescent="0.25">
      <c r="A140" s="6"/>
      <c r="O140" s="7" t="str">
        <f ca="1">getCodigoBackend(N140,A140,VLOOKUP(N140,setup!$A$8:$H$58,2),VLOOKUP(N140,setup!$A$8:$H$58,3),VLOOKUP(N140,setup!$A$8:$H$58,4),VLOOKUP(N140,setup!$A$8:$H$58,5),VLOOKUP(N140,setup!$A$8:$H$58,6),VLOOKUP(N140,setup!$A$8:$H$58,7), VLOOKUP(0,setup!$A$8:$H$58,2),VLOOKUP(0,setup!$A$8:$H$58,5),VLOOKUP(N140,setup!$A$8:$H$58,8))</f>
        <v/>
      </c>
    </row>
    <row r="141" spans="1:15" x14ac:dyDescent="0.25">
      <c r="A141" s="6"/>
      <c r="O141" s="7" t="str">
        <f ca="1">getCodigoBackend(N141,A141,VLOOKUP(N141,setup!$A$8:$H$58,2),VLOOKUP(N141,setup!$A$8:$H$58,3),VLOOKUP(N141,setup!$A$8:$H$58,4),VLOOKUP(N141,setup!$A$8:$H$58,5),VLOOKUP(N141,setup!$A$8:$H$58,6),VLOOKUP(N141,setup!$A$8:$H$58,7), VLOOKUP(0,setup!$A$8:$H$58,2),VLOOKUP(0,setup!$A$8:$H$58,5),VLOOKUP(N141,setup!$A$8:$H$58,8))</f>
        <v/>
      </c>
    </row>
    <row r="142" spans="1:15" x14ac:dyDescent="0.25">
      <c r="A142" s="6"/>
      <c r="O142" s="7" t="str">
        <f ca="1">getCodigoBackend(N142,A142,VLOOKUP(N142,setup!$A$8:$H$58,2),VLOOKUP(N142,setup!$A$8:$H$58,3),VLOOKUP(N142,setup!$A$8:$H$58,4),VLOOKUP(N142,setup!$A$8:$H$58,5),VLOOKUP(N142,setup!$A$8:$H$58,6),VLOOKUP(N142,setup!$A$8:$H$58,7), VLOOKUP(0,setup!$A$8:$H$58,2),VLOOKUP(0,setup!$A$8:$H$58,5),VLOOKUP(N142,setup!$A$8:$H$58,8))</f>
        <v/>
      </c>
    </row>
    <row r="143" spans="1:15" x14ac:dyDescent="0.25">
      <c r="A143" s="6"/>
      <c r="O143" s="7" t="str">
        <f ca="1">getCodigoBackend(N143,A143,VLOOKUP(N143,setup!$A$8:$H$58,2),VLOOKUP(N143,setup!$A$8:$H$58,3),VLOOKUP(N143,setup!$A$8:$H$58,4),VLOOKUP(N143,setup!$A$8:$H$58,5),VLOOKUP(N143,setup!$A$8:$H$58,6),VLOOKUP(N143,setup!$A$8:$H$58,7), VLOOKUP(0,setup!$A$8:$H$58,2),VLOOKUP(0,setup!$A$8:$H$58,5),VLOOKUP(N143,setup!$A$8:$H$58,8))</f>
        <v/>
      </c>
    </row>
    <row r="144" spans="1:15" x14ac:dyDescent="0.25">
      <c r="A144" s="6"/>
      <c r="O144" s="7" t="str">
        <f ca="1">getCodigoBackend(N144,A144,VLOOKUP(N144,setup!$A$8:$H$58,2),VLOOKUP(N144,setup!$A$8:$H$58,3),VLOOKUP(N144,setup!$A$8:$H$58,4),VLOOKUP(N144,setup!$A$8:$H$58,5),VLOOKUP(N144,setup!$A$8:$H$58,6),VLOOKUP(N144,setup!$A$8:$H$58,7), VLOOKUP(0,setup!$A$8:$H$58,2),VLOOKUP(0,setup!$A$8:$H$58,5),VLOOKUP(N144,setup!$A$8:$H$58,8))</f>
        <v/>
      </c>
    </row>
    <row r="145" spans="1:15" x14ac:dyDescent="0.25">
      <c r="A145" s="6"/>
      <c r="O145" s="7" t="str">
        <f ca="1">getCodigoBackend(N145,A145,VLOOKUP(N145,setup!$A$8:$H$58,2),VLOOKUP(N145,setup!$A$8:$H$58,3),VLOOKUP(N145,setup!$A$8:$H$58,4),VLOOKUP(N145,setup!$A$8:$H$58,5),VLOOKUP(N145,setup!$A$8:$H$58,6),VLOOKUP(N145,setup!$A$8:$H$58,7), VLOOKUP(0,setup!$A$8:$H$58,2),VLOOKUP(0,setup!$A$8:$H$58,5),VLOOKUP(N145,setup!$A$8:$H$58,8))</f>
        <v/>
      </c>
    </row>
    <row r="146" spans="1:15" x14ac:dyDescent="0.25">
      <c r="A146" s="6"/>
      <c r="O146" s="7" t="str">
        <f ca="1">getCodigoBackend(N146,A146,VLOOKUP(N146,setup!$A$8:$H$58,2),VLOOKUP(N146,setup!$A$8:$H$58,3),VLOOKUP(N146,setup!$A$8:$H$58,4),VLOOKUP(N146,setup!$A$8:$H$58,5),VLOOKUP(N146,setup!$A$8:$H$58,6),VLOOKUP(N146,setup!$A$8:$H$58,7), VLOOKUP(0,setup!$A$8:$H$58,2),VLOOKUP(0,setup!$A$8:$H$58,5),VLOOKUP(N146,setup!$A$8:$H$58,8))</f>
        <v/>
      </c>
    </row>
    <row r="147" spans="1:15" x14ac:dyDescent="0.25">
      <c r="A147" s="6"/>
      <c r="O147" s="7" t="str">
        <f ca="1">getCodigoBackend(N147,A147,VLOOKUP(N147,setup!$A$8:$H$58,2),VLOOKUP(N147,setup!$A$8:$H$58,3),VLOOKUP(N147,setup!$A$8:$H$58,4),VLOOKUP(N147,setup!$A$8:$H$58,5),VLOOKUP(N147,setup!$A$8:$H$58,6),VLOOKUP(N147,setup!$A$8:$H$58,7), VLOOKUP(0,setup!$A$8:$H$58,2),VLOOKUP(0,setup!$A$8:$H$58,5),VLOOKUP(N147,setup!$A$8:$H$58,8))</f>
        <v/>
      </c>
    </row>
    <row r="148" spans="1:15" x14ac:dyDescent="0.25">
      <c r="A148" s="6"/>
      <c r="O148" s="7" t="str">
        <f ca="1">getCodigoBackend(N148,A148,VLOOKUP(N148,setup!$A$8:$H$58,2),VLOOKUP(N148,setup!$A$8:$H$58,3),VLOOKUP(N148,setup!$A$8:$H$58,4),VLOOKUP(N148,setup!$A$8:$H$58,5),VLOOKUP(N148,setup!$A$8:$H$58,6),VLOOKUP(N148,setup!$A$8:$H$58,7), VLOOKUP(0,setup!$A$8:$H$58,2),VLOOKUP(0,setup!$A$8:$H$58,5),VLOOKUP(N148,setup!$A$8:$H$58,8))</f>
        <v/>
      </c>
    </row>
    <row r="149" spans="1:15" x14ac:dyDescent="0.25">
      <c r="A149" s="6"/>
      <c r="O149" s="7" t="str">
        <f ca="1">getCodigoBackend(N149,A149,VLOOKUP(N149,setup!$A$8:$H$58,2),VLOOKUP(N149,setup!$A$8:$H$58,3),VLOOKUP(N149,setup!$A$8:$H$58,4),VLOOKUP(N149,setup!$A$8:$H$58,5),VLOOKUP(N149,setup!$A$8:$H$58,6),VLOOKUP(N149,setup!$A$8:$H$58,7), VLOOKUP(0,setup!$A$8:$H$58,2),VLOOKUP(0,setup!$A$8:$H$58,5),VLOOKUP(N149,setup!$A$8:$H$58,8))</f>
        <v/>
      </c>
    </row>
    <row r="150" spans="1:15" x14ac:dyDescent="0.25">
      <c r="A150" s="6"/>
      <c r="O150" s="7" t="str">
        <f ca="1">getCodigoBackend(N150,A150,VLOOKUP(N150,setup!$A$8:$H$58,2),VLOOKUP(N150,setup!$A$8:$H$58,3),VLOOKUP(N150,setup!$A$8:$H$58,4),VLOOKUP(N150,setup!$A$8:$H$58,5),VLOOKUP(N150,setup!$A$8:$H$58,6),VLOOKUP(N150,setup!$A$8:$H$58,7), VLOOKUP(0,setup!$A$8:$H$58,2),VLOOKUP(0,setup!$A$8:$H$58,5),VLOOKUP(N150,setup!$A$8:$H$58,8))</f>
        <v/>
      </c>
    </row>
    <row r="151" spans="1:15" x14ac:dyDescent="0.25">
      <c r="A151" s="6"/>
      <c r="O151" s="7" t="str">
        <f ca="1">getCodigoBackend(N151,A151,VLOOKUP(N151,setup!$A$8:$H$58,2),VLOOKUP(N151,setup!$A$8:$H$58,3),VLOOKUP(N151,setup!$A$8:$H$58,4),VLOOKUP(N151,setup!$A$8:$H$58,5),VLOOKUP(N151,setup!$A$8:$H$58,6),VLOOKUP(N151,setup!$A$8:$H$58,7), VLOOKUP(0,setup!$A$8:$H$58,2),VLOOKUP(0,setup!$A$8:$H$58,5),VLOOKUP(N151,setup!$A$8:$H$58,8))</f>
        <v/>
      </c>
    </row>
    <row r="152" spans="1:15" x14ac:dyDescent="0.25">
      <c r="A152" s="6"/>
      <c r="O152" s="7" t="str">
        <f ca="1">getCodigoBackend(N152,A152,VLOOKUP(N152,setup!$A$8:$H$58,2),VLOOKUP(N152,setup!$A$8:$H$58,3),VLOOKUP(N152,setup!$A$8:$H$58,4),VLOOKUP(N152,setup!$A$8:$H$58,5),VLOOKUP(N152,setup!$A$8:$H$58,6),VLOOKUP(N152,setup!$A$8:$H$58,7), VLOOKUP(0,setup!$A$8:$H$58,2),VLOOKUP(0,setup!$A$8:$H$58,5),VLOOKUP(N152,setup!$A$8:$H$58,8))</f>
        <v/>
      </c>
    </row>
    <row r="153" spans="1:15" x14ac:dyDescent="0.25">
      <c r="A153" s="6"/>
      <c r="O153" s="7" t="str">
        <f ca="1">getCodigoBackend(N153,A153,VLOOKUP(N153,setup!$A$8:$H$58,2),VLOOKUP(N153,setup!$A$8:$H$58,3),VLOOKUP(N153,setup!$A$8:$H$58,4),VLOOKUP(N153,setup!$A$8:$H$58,5),VLOOKUP(N153,setup!$A$8:$H$58,6),VLOOKUP(N153,setup!$A$8:$H$58,7), VLOOKUP(0,setup!$A$8:$H$58,2),VLOOKUP(0,setup!$A$8:$H$58,5),VLOOKUP(N153,setup!$A$8:$H$58,8))</f>
        <v/>
      </c>
    </row>
    <row r="154" spans="1:15" x14ac:dyDescent="0.25">
      <c r="A154" s="6"/>
      <c r="O154" s="7" t="str">
        <f ca="1">getCodigoBackend(N154,A154,VLOOKUP(N154,setup!$A$8:$H$58,2),VLOOKUP(N154,setup!$A$8:$H$58,3),VLOOKUP(N154,setup!$A$8:$H$58,4),VLOOKUP(N154,setup!$A$8:$H$58,5),VLOOKUP(N154,setup!$A$8:$H$58,6),VLOOKUP(N154,setup!$A$8:$H$58,7), VLOOKUP(0,setup!$A$8:$H$58,2),VLOOKUP(0,setup!$A$8:$H$58,5),VLOOKUP(N154,setup!$A$8:$H$58,8))</f>
        <v/>
      </c>
    </row>
    <row r="155" spans="1:15" x14ac:dyDescent="0.25">
      <c r="A155" s="6"/>
      <c r="O155" s="7" t="str">
        <f ca="1">getCodigoBackend(N155,A155,VLOOKUP(N155,setup!$A$8:$H$58,2),VLOOKUP(N155,setup!$A$8:$H$58,3),VLOOKUP(N155,setup!$A$8:$H$58,4),VLOOKUP(N155,setup!$A$8:$H$58,5),VLOOKUP(N155,setup!$A$8:$H$58,6),VLOOKUP(N155,setup!$A$8:$H$58,7), VLOOKUP(0,setup!$A$8:$H$58,2),VLOOKUP(0,setup!$A$8:$H$58,5),VLOOKUP(N155,setup!$A$8:$H$58,8))</f>
        <v/>
      </c>
    </row>
    <row r="156" spans="1:15" x14ac:dyDescent="0.25">
      <c r="A156" s="6"/>
      <c r="O156" s="7" t="str">
        <f ca="1">getCodigoBackend(N156,A156,VLOOKUP(N156,setup!$A$8:$H$58,2),VLOOKUP(N156,setup!$A$8:$H$58,3),VLOOKUP(N156,setup!$A$8:$H$58,4),VLOOKUP(N156,setup!$A$8:$H$58,5),VLOOKUP(N156,setup!$A$8:$H$58,6),VLOOKUP(N156,setup!$A$8:$H$58,7), VLOOKUP(0,setup!$A$8:$H$58,2),VLOOKUP(0,setup!$A$8:$H$58,5),VLOOKUP(N156,setup!$A$8:$H$58,8))</f>
        <v/>
      </c>
    </row>
    <row r="157" spans="1:15" x14ac:dyDescent="0.25">
      <c r="A157" s="6"/>
      <c r="O157" s="7" t="str">
        <f ca="1">getCodigoBackend(N157,A157,VLOOKUP(N157,setup!$A$8:$H$58,2),VLOOKUP(N157,setup!$A$8:$H$58,3),VLOOKUP(N157,setup!$A$8:$H$58,4),VLOOKUP(N157,setup!$A$8:$H$58,5),VLOOKUP(N157,setup!$A$8:$H$58,6),VLOOKUP(N157,setup!$A$8:$H$58,7), VLOOKUP(0,setup!$A$8:$H$58,2),VLOOKUP(0,setup!$A$8:$H$58,5),VLOOKUP(N157,setup!$A$8:$H$58,8))</f>
        <v/>
      </c>
    </row>
    <row r="158" spans="1:15" x14ac:dyDescent="0.25">
      <c r="A158" s="6"/>
      <c r="O158" s="7" t="str">
        <f ca="1">getCodigoBackend(N158,A158,VLOOKUP(N158,setup!$A$8:$H$58,2),VLOOKUP(N158,setup!$A$8:$H$58,3),VLOOKUP(N158,setup!$A$8:$H$58,4),VLOOKUP(N158,setup!$A$8:$H$58,5),VLOOKUP(N158,setup!$A$8:$H$58,6),VLOOKUP(N158,setup!$A$8:$H$58,7), VLOOKUP(0,setup!$A$8:$H$58,2),VLOOKUP(0,setup!$A$8:$H$58,5),VLOOKUP(N158,setup!$A$8:$H$58,8))</f>
        <v/>
      </c>
    </row>
    <row r="159" spans="1:15" x14ac:dyDescent="0.25">
      <c r="A159" s="6"/>
      <c r="O159" s="7" t="str">
        <f ca="1">getCodigoBackend(N159,A159,VLOOKUP(N159,setup!$A$8:$H$58,2),VLOOKUP(N159,setup!$A$8:$H$58,3),VLOOKUP(N159,setup!$A$8:$H$58,4),VLOOKUP(N159,setup!$A$8:$H$58,5),VLOOKUP(N159,setup!$A$8:$H$58,6),VLOOKUP(N159,setup!$A$8:$H$58,7), VLOOKUP(0,setup!$A$8:$H$58,2),VLOOKUP(0,setup!$A$8:$H$58,5),VLOOKUP(N159,setup!$A$8:$H$58,8))</f>
        <v/>
      </c>
    </row>
    <row r="160" spans="1:15" x14ac:dyDescent="0.25">
      <c r="A160" s="6"/>
      <c r="O160" s="7" t="str">
        <f ca="1">getCodigoBackend(N160,A160,VLOOKUP(N160,setup!$A$8:$H$58,2),VLOOKUP(N160,setup!$A$8:$H$58,3),VLOOKUP(N160,setup!$A$8:$H$58,4),VLOOKUP(N160,setup!$A$8:$H$58,5),VLOOKUP(N160,setup!$A$8:$H$58,6),VLOOKUP(N160,setup!$A$8:$H$58,7), VLOOKUP(0,setup!$A$8:$H$58,2),VLOOKUP(0,setup!$A$8:$H$58,5),VLOOKUP(N160,setup!$A$8:$H$58,8))</f>
        <v/>
      </c>
    </row>
    <row r="161" spans="1:15" x14ac:dyDescent="0.25">
      <c r="A161" s="6"/>
      <c r="O161" s="7" t="str">
        <f ca="1">getCodigoBackend(N161,A161,VLOOKUP(N161,setup!$A$8:$H$58,2),VLOOKUP(N161,setup!$A$8:$H$58,3),VLOOKUP(N161,setup!$A$8:$H$58,4),VLOOKUP(N161,setup!$A$8:$H$58,5),VLOOKUP(N161,setup!$A$8:$H$58,6),VLOOKUP(N161,setup!$A$8:$H$58,7), VLOOKUP(0,setup!$A$8:$H$58,2),VLOOKUP(0,setup!$A$8:$H$58,5),VLOOKUP(N161,setup!$A$8:$H$58,8))</f>
        <v/>
      </c>
    </row>
    <row r="162" spans="1:15" x14ac:dyDescent="0.25">
      <c r="A162" s="6"/>
      <c r="O162" s="7" t="str">
        <f ca="1">getCodigoBackend(N162,A162,VLOOKUP(N162,setup!$A$8:$H$58,2),VLOOKUP(N162,setup!$A$8:$H$58,3),VLOOKUP(N162,setup!$A$8:$H$58,4),VLOOKUP(N162,setup!$A$8:$H$58,5),VLOOKUP(N162,setup!$A$8:$H$58,6),VLOOKUP(N162,setup!$A$8:$H$58,7), VLOOKUP(0,setup!$A$8:$H$58,2),VLOOKUP(0,setup!$A$8:$H$58,5),VLOOKUP(N162,setup!$A$8:$H$58,8))</f>
        <v/>
      </c>
    </row>
    <row r="163" spans="1:15" x14ac:dyDescent="0.25">
      <c r="A163" s="6"/>
      <c r="O163" s="7" t="str">
        <f ca="1">getCodigoBackend(N163,A163,VLOOKUP(N163,setup!$A$8:$H$58,2),VLOOKUP(N163,setup!$A$8:$H$58,3),VLOOKUP(N163,setup!$A$8:$H$58,4),VLOOKUP(N163,setup!$A$8:$H$58,5),VLOOKUP(N163,setup!$A$8:$H$58,6),VLOOKUP(N163,setup!$A$8:$H$58,7), VLOOKUP(0,setup!$A$8:$H$58,2),VLOOKUP(0,setup!$A$8:$H$58,5),VLOOKUP(N163,setup!$A$8:$H$58,8))</f>
        <v/>
      </c>
    </row>
    <row r="164" spans="1:15" x14ac:dyDescent="0.25">
      <c r="A164" s="6"/>
      <c r="O164" s="7" t="str">
        <f ca="1">getCodigoBackend(N164,A164,VLOOKUP(N164,setup!$A$8:$H$58,2),VLOOKUP(N164,setup!$A$8:$H$58,3),VLOOKUP(N164,setup!$A$8:$H$58,4),VLOOKUP(N164,setup!$A$8:$H$58,5),VLOOKUP(N164,setup!$A$8:$H$58,6),VLOOKUP(N164,setup!$A$8:$H$58,7), VLOOKUP(0,setup!$A$8:$H$58,2),VLOOKUP(0,setup!$A$8:$H$58,5),VLOOKUP(N164,setup!$A$8:$H$58,8))</f>
        <v/>
      </c>
    </row>
    <row r="165" spans="1:15" x14ac:dyDescent="0.25">
      <c r="A165" s="6"/>
      <c r="O165" s="7" t="str">
        <f ca="1">getCodigoBackend(N165,A165,VLOOKUP(N165,setup!$A$8:$H$58,2),VLOOKUP(N165,setup!$A$8:$H$58,3),VLOOKUP(N165,setup!$A$8:$H$58,4),VLOOKUP(N165,setup!$A$8:$H$58,5),VLOOKUP(N165,setup!$A$8:$H$58,6),VLOOKUP(N165,setup!$A$8:$H$58,7), VLOOKUP(0,setup!$A$8:$H$58,2),VLOOKUP(0,setup!$A$8:$H$58,5),VLOOKUP(N165,setup!$A$8:$H$58,8))</f>
        <v/>
      </c>
    </row>
    <row r="166" spans="1:15" x14ac:dyDescent="0.25">
      <c r="A166" s="6"/>
      <c r="O166" s="7" t="str">
        <f ca="1">getCodigoBackend(N166,A166,VLOOKUP(N166,setup!$A$8:$H$58,2),VLOOKUP(N166,setup!$A$8:$H$58,3),VLOOKUP(N166,setup!$A$8:$H$58,4),VLOOKUP(N166,setup!$A$8:$H$58,5),VLOOKUP(N166,setup!$A$8:$H$58,6),VLOOKUP(N166,setup!$A$8:$H$58,7), VLOOKUP(0,setup!$A$8:$H$58,2),VLOOKUP(0,setup!$A$8:$H$58,5),VLOOKUP(N166,setup!$A$8:$H$58,8))</f>
        <v/>
      </c>
    </row>
    <row r="167" spans="1:15" x14ac:dyDescent="0.25">
      <c r="A167" s="6"/>
      <c r="O167" s="7" t="str">
        <f ca="1">getCodigoBackend(N167,A167,VLOOKUP(N167,setup!$A$8:$H$58,2),VLOOKUP(N167,setup!$A$8:$H$58,3),VLOOKUP(N167,setup!$A$8:$H$58,4),VLOOKUP(N167,setup!$A$8:$H$58,5),VLOOKUP(N167,setup!$A$8:$H$58,6),VLOOKUP(N167,setup!$A$8:$H$58,7), VLOOKUP(0,setup!$A$8:$H$58,2),VLOOKUP(0,setup!$A$8:$H$58,5),VLOOKUP(N167,setup!$A$8:$H$58,8))</f>
        <v/>
      </c>
    </row>
    <row r="168" spans="1:15" x14ac:dyDescent="0.25">
      <c r="A168" s="6"/>
      <c r="O168" s="7" t="str">
        <f ca="1">getCodigoBackend(N168,A168,VLOOKUP(N168,setup!$A$8:$H$58,2),VLOOKUP(N168,setup!$A$8:$H$58,3),VLOOKUP(N168,setup!$A$8:$H$58,4),VLOOKUP(N168,setup!$A$8:$H$58,5),VLOOKUP(N168,setup!$A$8:$H$58,6),VLOOKUP(N168,setup!$A$8:$H$58,7), VLOOKUP(0,setup!$A$8:$H$58,2),VLOOKUP(0,setup!$A$8:$H$58,5),VLOOKUP(N168,setup!$A$8:$H$58,8))</f>
        <v/>
      </c>
    </row>
    <row r="169" spans="1:15" x14ac:dyDescent="0.25">
      <c r="A169" s="6"/>
      <c r="O169" s="7" t="str">
        <f ca="1">getCodigoBackend(N169,A169,VLOOKUP(N169,setup!$A$8:$H$58,2),VLOOKUP(N169,setup!$A$8:$H$58,3),VLOOKUP(N169,setup!$A$8:$H$58,4),VLOOKUP(N169,setup!$A$8:$H$58,5),VLOOKUP(N169,setup!$A$8:$H$58,6),VLOOKUP(N169,setup!$A$8:$H$58,7), VLOOKUP(0,setup!$A$8:$H$58,2),VLOOKUP(0,setup!$A$8:$H$58,5),VLOOKUP(N169,setup!$A$8:$H$58,8))</f>
        <v/>
      </c>
    </row>
    <row r="170" spans="1:15" x14ac:dyDescent="0.25">
      <c r="A170" s="6"/>
      <c r="O170" s="7" t="str">
        <f ca="1">getCodigoBackend(N170,A170,VLOOKUP(N170,setup!$A$8:$H$58,2),VLOOKUP(N170,setup!$A$8:$H$58,3),VLOOKUP(N170,setup!$A$8:$H$58,4),VLOOKUP(N170,setup!$A$8:$H$58,5),VLOOKUP(N170,setup!$A$8:$H$58,6),VLOOKUP(N170,setup!$A$8:$H$58,7), VLOOKUP(0,setup!$A$8:$H$58,2),VLOOKUP(0,setup!$A$8:$H$58,5),VLOOKUP(N170,setup!$A$8:$H$58,8))</f>
        <v/>
      </c>
    </row>
    <row r="171" spans="1:15" x14ac:dyDescent="0.25">
      <c r="A171" s="6"/>
      <c r="O171" s="7" t="str">
        <f ca="1">getCodigoBackend(N171,A171,VLOOKUP(N171,setup!$A$8:$H$58,2),VLOOKUP(N171,setup!$A$8:$H$58,3),VLOOKUP(N171,setup!$A$8:$H$58,4),VLOOKUP(N171,setup!$A$8:$H$58,5),VLOOKUP(N171,setup!$A$8:$H$58,6),VLOOKUP(N171,setup!$A$8:$H$58,7), VLOOKUP(0,setup!$A$8:$H$58,2),VLOOKUP(0,setup!$A$8:$H$58,5),VLOOKUP(N171,setup!$A$8:$H$58,8))</f>
        <v/>
      </c>
    </row>
    <row r="172" spans="1:15" x14ac:dyDescent="0.25">
      <c r="A172" s="6"/>
      <c r="O172" s="7" t="str">
        <f ca="1">getCodigoBackend(N172,A172,VLOOKUP(N172,setup!$A$8:$H$58,2),VLOOKUP(N172,setup!$A$8:$H$58,3),VLOOKUP(N172,setup!$A$8:$H$58,4),VLOOKUP(N172,setup!$A$8:$H$58,5),VLOOKUP(N172,setup!$A$8:$H$58,6),VLOOKUP(N172,setup!$A$8:$H$58,7), VLOOKUP(0,setup!$A$8:$H$58,2),VLOOKUP(0,setup!$A$8:$H$58,5),VLOOKUP(N172,setup!$A$8:$H$58,8))</f>
        <v/>
      </c>
    </row>
    <row r="173" spans="1:15" x14ac:dyDescent="0.25">
      <c r="A173" s="6"/>
      <c r="O173" s="7" t="str">
        <f ca="1">getCodigoBackend(N173,A173,VLOOKUP(N173,setup!$A$8:$H$58,2),VLOOKUP(N173,setup!$A$8:$H$58,3),VLOOKUP(N173,setup!$A$8:$H$58,4),VLOOKUP(N173,setup!$A$8:$H$58,5),VLOOKUP(N173,setup!$A$8:$H$58,6),VLOOKUP(N173,setup!$A$8:$H$58,7), VLOOKUP(0,setup!$A$8:$H$58,2),VLOOKUP(0,setup!$A$8:$H$58,5),VLOOKUP(N173,setup!$A$8:$H$58,8))</f>
        <v/>
      </c>
    </row>
    <row r="174" spans="1:15" x14ac:dyDescent="0.25">
      <c r="A174" s="6"/>
      <c r="O174" s="7" t="str">
        <f ca="1">getCodigoBackend(N174,A174,VLOOKUP(N174,setup!$A$8:$H$58,2),VLOOKUP(N174,setup!$A$8:$H$58,3),VLOOKUP(N174,setup!$A$8:$H$58,4),VLOOKUP(N174,setup!$A$8:$H$58,5),VLOOKUP(N174,setup!$A$8:$H$58,6),VLOOKUP(N174,setup!$A$8:$H$58,7), VLOOKUP(0,setup!$A$8:$H$58,2),VLOOKUP(0,setup!$A$8:$H$58,5),VLOOKUP(N174,setup!$A$8:$H$58,8))</f>
        <v/>
      </c>
    </row>
    <row r="175" spans="1:15" x14ac:dyDescent="0.25">
      <c r="A175" s="6"/>
      <c r="O175" s="7" t="str">
        <f ca="1">getCodigoBackend(N175,A175,VLOOKUP(N175,setup!$A$8:$H$58,2),VLOOKUP(N175,setup!$A$8:$H$58,3),VLOOKUP(N175,setup!$A$8:$H$58,4),VLOOKUP(N175,setup!$A$8:$H$58,5),VLOOKUP(N175,setup!$A$8:$H$58,6),VLOOKUP(N175,setup!$A$8:$H$58,7), VLOOKUP(0,setup!$A$8:$H$58,2),VLOOKUP(0,setup!$A$8:$H$58,5),VLOOKUP(N175,setup!$A$8:$H$58,8))</f>
        <v/>
      </c>
    </row>
    <row r="176" spans="1:15" x14ac:dyDescent="0.25">
      <c r="A176" s="6"/>
      <c r="O176" s="7" t="str">
        <f ca="1">getCodigoBackend(N176,A176,VLOOKUP(N176,setup!$A$8:$H$58,2),VLOOKUP(N176,setup!$A$8:$H$58,3),VLOOKUP(N176,setup!$A$8:$H$58,4),VLOOKUP(N176,setup!$A$8:$H$58,5),VLOOKUP(N176,setup!$A$8:$H$58,6),VLOOKUP(N176,setup!$A$8:$H$58,7), VLOOKUP(0,setup!$A$8:$H$58,2),VLOOKUP(0,setup!$A$8:$H$58,5),VLOOKUP(N176,setup!$A$8:$H$58,8))</f>
        <v/>
      </c>
    </row>
    <row r="177" spans="1:15" x14ac:dyDescent="0.25">
      <c r="A177" s="6"/>
      <c r="O177" s="7" t="str">
        <f ca="1">getCodigoBackend(N177,A177,VLOOKUP(N177,setup!$A$8:$H$58,2),VLOOKUP(N177,setup!$A$8:$H$58,3),VLOOKUP(N177,setup!$A$8:$H$58,4),VLOOKUP(N177,setup!$A$8:$H$58,5),VLOOKUP(N177,setup!$A$8:$H$58,6),VLOOKUP(N177,setup!$A$8:$H$58,7), VLOOKUP(0,setup!$A$8:$H$58,2),VLOOKUP(0,setup!$A$8:$H$58,5),VLOOKUP(N177,setup!$A$8:$H$58,8))</f>
        <v/>
      </c>
    </row>
    <row r="178" spans="1:15" x14ac:dyDescent="0.25">
      <c r="A178" s="6"/>
      <c r="O178" s="7" t="str">
        <f ca="1">getCodigoBackend(N178,A178,VLOOKUP(N178,setup!$A$8:$H$58,2),VLOOKUP(N178,setup!$A$8:$H$58,3),VLOOKUP(N178,setup!$A$8:$H$58,4),VLOOKUP(N178,setup!$A$8:$H$58,5),VLOOKUP(N178,setup!$A$8:$H$58,6),VLOOKUP(N178,setup!$A$8:$H$58,7), VLOOKUP(0,setup!$A$8:$H$58,2),VLOOKUP(0,setup!$A$8:$H$58,5),VLOOKUP(N178,setup!$A$8:$H$58,8))</f>
        <v/>
      </c>
    </row>
    <row r="179" spans="1:15" x14ac:dyDescent="0.25">
      <c r="A179" s="6"/>
      <c r="O179" s="7" t="str">
        <f ca="1">getCodigoBackend(N179,A179,VLOOKUP(N179,setup!$A$8:$H$58,2),VLOOKUP(N179,setup!$A$8:$H$58,3),VLOOKUP(N179,setup!$A$8:$H$58,4),VLOOKUP(N179,setup!$A$8:$H$58,5),VLOOKUP(N179,setup!$A$8:$H$58,6),VLOOKUP(N179,setup!$A$8:$H$58,7), VLOOKUP(0,setup!$A$8:$H$58,2),VLOOKUP(0,setup!$A$8:$H$58,5),VLOOKUP(N179,setup!$A$8:$H$58,8))</f>
        <v/>
      </c>
    </row>
    <row r="180" spans="1:15" x14ac:dyDescent="0.25">
      <c r="A180" s="6"/>
      <c r="O180" s="7" t="str">
        <f ca="1">getCodigoBackend(N180,A180,VLOOKUP(N180,setup!$A$8:$H$58,2),VLOOKUP(N180,setup!$A$8:$H$58,3),VLOOKUP(N180,setup!$A$8:$H$58,4),VLOOKUP(N180,setup!$A$8:$H$58,5),VLOOKUP(N180,setup!$A$8:$H$58,6),VLOOKUP(N180,setup!$A$8:$H$58,7), VLOOKUP(0,setup!$A$8:$H$58,2),VLOOKUP(0,setup!$A$8:$H$58,5),VLOOKUP(N180,setup!$A$8:$H$58,8))</f>
        <v/>
      </c>
    </row>
    <row r="181" spans="1:15" x14ac:dyDescent="0.25">
      <c r="A181" s="6"/>
      <c r="O181" s="7" t="str">
        <f ca="1">getCodigoBackend(N181,A181,VLOOKUP(N181,setup!$A$8:$H$58,2),VLOOKUP(N181,setup!$A$8:$H$58,3),VLOOKUP(N181,setup!$A$8:$H$58,4),VLOOKUP(N181,setup!$A$8:$H$58,5),VLOOKUP(N181,setup!$A$8:$H$58,6),VLOOKUP(N181,setup!$A$8:$H$58,7), VLOOKUP(0,setup!$A$8:$H$58,2),VLOOKUP(0,setup!$A$8:$H$58,5),VLOOKUP(N181,setup!$A$8:$H$58,8))</f>
        <v/>
      </c>
    </row>
    <row r="182" spans="1:15" x14ac:dyDescent="0.25">
      <c r="A182" s="6"/>
      <c r="O182" s="7" t="str">
        <f ca="1">getCodigoBackend(N182,A182,VLOOKUP(N182,setup!$A$8:$H$58,2),VLOOKUP(N182,setup!$A$8:$H$58,3),VLOOKUP(N182,setup!$A$8:$H$58,4),VLOOKUP(N182,setup!$A$8:$H$58,5),VLOOKUP(N182,setup!$A$8:$H$58,6),VLOOKUP(N182,setup!$A$8:$H$58,7), VLOOKUP(0,setup!$A$8:$H$58,2),VLOOKUP(0,setup!$A$8:$H$58,5),VLOOKUP(N182,setup!$A$8:$H$58,8))</f>
        <v/>
      </c>
    </row>
    <row r="183" spans="1:15" x14ac:dyDescent="0.25">
      <c r="A183" s="6"/>
      <c r="O183" s="7" t="str">
        <f ca="1">getCodigoBackend(N183,A183,VLOOKUP(N183,setup!$A$8:$H$58,2),VLOOKUP(N183,setup!$A$8:$H$58,3),VLOOKUP(N183,setup!$A$8:$H$58,4),VLOOKUP(N183,setup!$A$8:$H$58,5),VLOOKUP(N183,setup!$A$8:$H$58,6),VLOOKUP(N183,setup!$A$8:$H$58,7), VLOOKUP(0,setup!$A$8:$H$58,2),VLOOKUP(0,setup!$A$8:$H$58,5),VLOOKUP(N183,setup!$A$8:$H$58,8))</f>
        <v/>
      </c>
    </row>
    <row r="184" spans="1:15" x14ac:dyDescent="0.25">
      <c r="A184" s="6"/>
      <c r="O184" s="7" t="str">
        <f ca="1">getCodigoBackend(N184,A184,VLOOKUP(N184,setup!$A$8:$H$58,2),VLOOKUP(N184,setup!$A$8:$H$58,3),VLOOKUP(N184,setup!$A$8:$H$58,4),VLOOKUP(N184,setup!$A$8:$H$58,5),VLOOKUP(N184,setup!$A$8:$H$58,6),VLOOKUP(N184,setup!$A$8:$H$58,7), VLOOKUP(0,setup!$A$8:$H$58,2),VLOOKUP(0,setup!$A$8:$H$58,5),VLOOKUP(N184,setup!$A$8:$H$58,8))</f>
        <v/>
      </c>
    </row>
    <row r="185" spans="1:15" x14ac:dyDescent="0.25">
      <c r="A185" s="6"/>
      <c r="O185" s="7" t="str">
        <f ca="1">getCodigoBackend(N185,A185,VLOOKUP(N185,setup!$A$8:$H$58,2),VLOOKUP(N185,setup!$A$8:$H$58,3),VLOOKUP(N185,setup!$A$8:$H$58,4),VLOOKUP(N185,setup!$A$8:$H$58,5),VLOOKUP(N185,setup!$A$8:$H$58,6),VLOOKUP(N185,setup!$A$8:$H$58,7), VLOOKUP(0,setup!$A$8:$H$58,2),VLOOKUP(0,setup!$A$8:$H$58,5),VLOOKUP(N185,setup!$A$8:$H$58,8))</f>
        <v/>
      </c>
    </row>
    <row r="186" spans="1:15" x14ac:dyDescent="0.25">
      <c r="A186" s="6"/>
      <c r="O186" s="7" t="str">
        <f ca="1">getCodigoBackend(N186,A186,VLOOKUP(N186,setup!$A$8:$H$58,2),VLOOKUP(N186,setup!$A$8:$H$58,3),VLOOKUP(N186,setup!$A$8:$H$58,4),VLOOKUP(N186,setup!$A$8:$H$58,5),VLOOKUP(N186,setup!$A$8:$H$58,6),VLOOKUP(N186,setup!$A$8:$H$58,7), VLOOKUP(0,setup!$A$8:$H$58,2),VLOOKUP(0,setup!$A$8:$H$58,5),VLOOKUP(N186,setup!$A$8:$H$58,8))</f>
        <v/>
      </c>
    </row>
    <row r="187" spans="1:15" x14ac:dyDescent="0.25">
      <c r="A187" s="6"/>
      <c r="O187" s="7" t="str">
        <f ca="1">getCodigoBackend(N187,A187,VLOOKUP(N187,setup!$A$8:$H$58,2),VLOOKUP(N187,setup!$A$8:$H$58,3),VLOOKUP(N187,setup!$A$8:$H$58,4),VLOOKUP(N187,setup!$A$8:$H$58,5),VLOOKUP(N187,setup!$A$8:$H$58,6),VLOOKUP(N187,setup!$A$8:$H$58,7), VLOOKUP(0,setup!$A$8:$H$58,2),VLOOKUP(0,setup!$A$8:$H$58,5),VLOOKUP(N187,setup!$A$8:$H$58,8))</f>
        <v/>
      </c>
    </row>
    <row r="188" spans="1:15" x14ac:dyDescent="0.25">
      <c r="A188" s="6"/>
      <c r="O188" s="7" t="str">
        <f ca="1">getCodigoBackend(N188,A188,VLOOKUP(N188,setup!$A$8:$H$58,2),VLOOKUP(N188,setup!$A$8:$H$58,3),VLOOKUP(N188,setup!$A$8:$H$58,4),VLOOKUP(N188,setup!$A$8:$H$58,5),VLOOKUP(N188,setup!$A$8:$H$58,6),VLOOKUP(N188,setup!$A$8:$H$58,7), VLOOKUP(0,setup!$A$8:$H$58,2),VLOOKUP(0,setup!$A$8:$H$58,5),VLOOKUP(N188,setup!$A$8:$H$58,8))</f>
        <v/>
      </c>
    </row>
    <row r="189" spans="1:15" x14ac:dyDescent="0.25">
      <c r="A189" s="6"/>
      <c r="O189" s="7" t="str">
        <f ca="1">getCodigoBackend(N189,A189,VLOOKUP(N189,setup!$A$8:$H$58,2),VLOOKUP(N189,setup!$A$8:$H$58,3),VLOOKUP(N189,setup!$A$8:$H$58,4),VLOOKUP(N189,setup!$A$8:$H$58,5),VLOOKUP(N189,setup!$A$8:$H$58,6),VLOOKUP(N189,setup!$A$8:$H$58,7), VLOOKUP(0,setup!$A$8:$H$58,2),VLOOKUP(0,setup!$A$8:$H$58,5),VLOOKUP(N189,setup!$A$8:$H$58,8))</f>
        <v/>
      </c>
    </row>
    <row r="190" spans="1:15" x14ac:dyDescent="0.25">
      <c r="A190" s="6"/>
      <c r="O190" s="7" t="str">
        <f ca="1">getCodigoBackend(N190,A190,VLOOKUP(N190,setup!$A$8:$H$58,2),VLOOKUP(N190,setup!$A$8:$H$58,3),VLOOKUP(N190,setup!$A$8:$H$58,4),VLOOKUP(N190,setup!$A$8:$H$58,5),VLOOKUP(N190,setup!$A$8:$H$58,6),VLOOKUP(N190,setup!$A$8:$H$58,7), VLOOKUP(0,setup!$A$8:$H$58,2),VLOOKUP(0,setup!$A$8:$H$58,5),VLOOKUP(N190,setup!$A$8:$H$58,8))</f>
        <v/>
      </c>
    </row>
    <row r="191" spans="1:15" x14ac:dyDescent="0.25">
      <c r="A191" s="6"/>
      <c r="O191" s="7" t="str">
        <f ca="1">getCodigoBackend(N191,A191,VLOOKUP(N191,setup!$A$8:$H$58,2),VLOOKUP(N191,setup!$A$8:$H$58,3),VLOOKUP(N191,setup!$A$8:$H$58,4),VLOOKUP(N191,setup!$A$8:$H$58,5),VLOOKUP(N191,setup!$A$8:$H$58,6),VLOOKUP(N191,setup!$A$8:$H$58,7), VLOOKUP(0,setup!$A$8:$H$58,2),VLOOKUP(0,setup!$A$8:$H$58,5),VLOOKUP(N191,setup!$A$8:$H$58,8))</f>
        <v/>
      </c>
    </row>
    <row r="192" spans="1:15" x14ac:dyDescent="0.25">
      <c r="A192" s="15"/>
      <c r="O192" s="7" t="str">
        <f ca="1">getCodigoBackend(N192,A192,VLOOKUP(N192,setup!$A$8:$H$58,2),VLOOKUP(N192,setup!$A$8:$H$58,3),VLOOKUP(N192,setup!$A$8:$H$58,4),VLOOKUP(N192,setup!$A$8:$H$58,5),VLOOKUP(N192,setup!$A$8:$H$58,6),VLOOKUP(N192,setup!$A$8:$H$58,7), VLOOKUP(0,setup!$A$8:$H$58,2),VLOOKUP(0,setup!$A$8:$H$58,5),VLOOKUP(N192,setup!$A$8:$H$58,8))</f>
        <v/>
      </c>
    </row>
    <row r="193" spans="1:15" x14ac:dyDescent="0.25">
      <c r="A193" s="6"/>
      <c r="O193" s="7" t="str">
        <f ca="1">getCodigoBackend(N193,A193,VLOOKUP(N193,setup!$A$8:$H$58,2),VLOOKUP(N193,setup!$A$8:$H$58,3),VLOOKUP(N193,setup!$A$8:$H$58,4),VLOOKUP(N193,setup!$A$8:$H$58,5),VLOOKUP(N193,setup!$A$8:$H$58,6),VLOOKUP(N193,setup!$A$8:$H$58,7), VLOOKUP(0,setup!$A$8:$H$58,2),VLOOKUP(0,setup!$A$8:$H$58,5),VLOOKUP(N193,setup!$A$8:$H$58,8))</f>
        <v/>
      </c>
    </row>
    <row r="194" spans="1:15" x14ac:dyDescent="0.25">
      <c r="A194" s="6"/>
      <c r="O194" s="7" t="str">
        <f ca="1">getCodigoBackend(N194,A194,VLOOKUP(N194,setup!$A$8:$H$58,2),VLOOKUP(N194,setup!$A$8:$H$58,3),VLOOKUP(N194,setup!$A$8:$H$58,4),VLOOKUP(N194,setup!$A$8:$H$58,5),VLOOKUP(N194,setup!$A$8:$H$58,6),VLOOKUP(N194,setup!$A$8:$H$58,7), VLOOKUP(0,setup!$A$8:$H$58,2),VLOOKUP(0,setup!$A$8:$H$58,5),VLOOKUP(N194,setup!$A$8:$H$58,8))</f>
        <v/>
      </c>
    </row>
    <row r="195" spans="1:15" x14ac:dyDescent="0.25">
      <c r="A195" s="6"/>
      <c r="O195" s="7" t="str">
        <f ca="1">getCodigoBackend(N195,A195,VLOOKUP(N195,setup!$A$8:$H$58,2),VLOOKUP(N195,setup!$A$8:$H$58,3),VLOOKUP(N195,setup!$A$8:$H$58,4),VLOOKUP(N195,setup!$A$8:$H$58,5),VLOOKUP(N195,setup!$A$8:$H$58,6),VLOOKUP(N195,setup!$A$8:$H$58,7), VLOOKUP(0,setup!$A$8:$H$58,2),VLOOKUP(0,setup!$A$8:$H$58,5),VLOOKUP(N195,setup!$A$8:$H$58,8))</f>
        <v/>
      </c>
    </row>
    <row r="196" spans="1:15" x14ac:dyDescent="0.25">
      <c r="A196" s="6"/>
      <c r="O196" s="7" t="str">
        <f ca="1">getCodigoBackend(N196,A196,VLOOKUP(N196,setup!$A$8:$H$58,2),VLOOKUP(N196,setup!$A$8:$H$58,3),VLOOKUP(N196,setup!$A$8:$H$58,4),VLOOKUP(N196,setup!$A$8:$H$58,5),VLOOKUP(N196,setup!$A$8:$H$58,6),VLOOKUP(N196,setup!$A$8:$H$58,7), VLOOKUP(0,setup!$A$8:$H$58,2),VLOOKUP(0,setup!$A$8:$H$58,5),VLOOKUP(N196,setup!$A$8:$H$58,8))</f>
        <v/>
      </c>
    </row>
    <row r="197" spans="1:15" x14ac:dyDescent="0.25">
      <c r="A197" s="6"/>
      <c r="O197" s="7" t="str">
        <f ca="1">getCodigoBackend(N197,A197,VLOOKUP(N197,setup!$A$8:$H$58,2),VLOOKUP(N197,setup!$A$8:$H$58,3),VLOOKUP(N197,setup!$A$8:$H$58,4),VLOOKUP(N197,setup!$A$8:$H$58,5),VLOOKUP(N197,setup!$A$8:$H$58,6),VLOOKUP(N197,setup!$A$8:$H$58,7), VLOOKUP(0,setup!$A$8:$H$58,2),VLOOKUP(0,setup!$A$8:$H$58,5),VLOOKUP(N197,setup!$A$8:$H$58,8))</f>
        <v/>
      </c>
    </row>
    <row r="198" spans="1:15" x14ac:dyDescent="0.25">
      <c r="A198" s="6"/>
      <c r="O198" s="7" t="str">
        <f ca="1">getCodigoBackend(N198,A198,VLOOKUP(N198,setup!$A$8:$H$58,2),VLOOKUP(N198,setup!$A$8:$H$58,3),VLOOKUP(N198,setup!$A$8:$H$58,4),VLOOKUP(N198,setup!$A$8:$H$58,5),VLOOKUP(N198,setup!$A$8:$H$58,6),VLOOKUP(N198,setup!$A$8:$H$58,7), VLOOKUP(0,setup!$A$8:$H$58,2),VLOOKUP(0,setup!$A$8:$H$58,5),VLOOKUP(N198,setup!$A$8:$H$58,8))</f>
        <v/>
      </c>
    </row>
    <row r="199" spans="1:15" x14ac:dyDescent="0.25">
      <c r="A199" s="6"/>
      <c r="O199" s="7" t="str">
        <f ca="1">getCodigoBackend(N199,A199,VLOOKUP(N199,setup!$A$8:$H$58,2),VLOOKUP(N199,setup!$A$8:$H$58,3),VLOOKUP(N199,setup!$A$8:$H$58,4),VLOOKUP(N199,setup!$A$8:$H$58,5),VLOOKUP(N199,setup!$A$8:$H$58,6),VLOOKUP(N199,setup!$A$8:$H$58,7), VLOOKUP(0,setup!$A$8:$H$58,2),VLOOKUP(0,setup!$A$8:$H$58,5),VLOOKUP(N199,setup!$A$8:$H$58,8))</f>
        <v/>
      </c>
    </row>
    <row r="200" spans="1:15" x14ac:dyDescent="0.25">
      <c r="A200" s="6"/>
      <c r="O200" s="7" t="str">
        <f ca="1">getCodigoBackend(N200,A200,VLOOKUP(N200,setup!$A$8:$H$58,2),VLOOKUP(N200,setup!$A$8:$H$58,3),VLOOKUP(N200,setup!$A$8:$H$58,4),VLOOKUP(N200,setup!$A$8:$H$58,5),VLOOKUP(N200,setup!$A$8:$H$58,6),VLOOKUP(N200,setup!$A$8:$H$58,7), VLOOKUP(0,setup!$A$8:$H$58,2),VLOOKUP(0,setup!$A$8:$H$58,5),VLOOKUP(N200,setup!$A$8:$H$58,8))</f>
        <v/>
      </c>
    </row>
    <row r="201" spans="1:15" x14ac:dyDescent="0.25">
      <c r="A201" s="6"/>
      <c r="O201" s="7" t="str">
        <f ca="1">getCodigoBackend(N201,A201,VLOOKUP(N201,setup!$A$8:$H$58,2),VLOOKUP(N201,setup!$A$8:$H$58,3),VLOOKUP(N201,setup!$A$8:$H$58,4),VLOOKUP(N201,setup!$A$8:$H$58,5),VLOOKUP(N201,setup!$A$8:$H$58,6),VLOOKUP(N201,setup!$A$8:$H$58,7), VLOOKUP(0,setup!$A$8:$H$58,2),VLOOKUP(0,setup!$A$8:$H$58,5),VLOOKUP(N201,setup!$A$8:$H$58,8))</f>
        <v/>
      </c>
    </row>
    <row r="202" spans="1:15" x14ac:dyDescent="0.25">
      <c r="A202" s="6"/>
      <c r="O202" s="7" t="str">
        <f ca="1">getCodigoBackend(N202,A202,VLOOKUP(N202,setup!$A$8:$H$58,2),VLOOKUP(N202,setup!$A$8:$H$58,3),VLOOKUP(N202,setup!$A$8:$H$58,4),VLOOKUP(N202,setup!$A$8:$H$58,5),VLOOKUP(N202,setup!$A$8:$H$58,6),VLOOKUP(N202,setup!$A$8:$H$58,7), VLOOKUP(0,setup!$A$8:$H$58,2),VLOOKUP(0,setup!$A$8:$H$58,5),VLOOKUP(N202,setup!$A$8:$H$58,8))</f>
        <v/>
      </c>
    </row>
    <row r="203" spans="1:15" x14ac:dyDescent="0.25">
      <c r="A203" s="6"/>
      <c r="O203" s="7" t="str">
        <f ca="1">getCodigoBackend(N203,A203,VLOOKUP(N203,setup!$A$8:$H$58,2),VLOOKUP(N203,setup!$A$8:$H$58,3),VLOOKUP(N203,setup!$A$8:$H$58,4),VLOOKUP(N203,setup!$A$8:$H$58,5),VLOOKUP(N203,setup!$A$8:$H$58,6),VLOOKUP(N203,setup!$A$8:$H$58,7), VLOOKUP(0,setup!$A$8:$H$58,2),VLOOKUP(0,setup!$A$8:$H$58,5),VLOOKUP(N203,setup!$A$8:$H$58,8))</f>
        <v/>
      </c>
    </row>
    <row r="204" spans="1:15" x14ac:dyDescent="0.25">
      <c r="A204" s="6"/>
      <c r="O204" s="7" t="str">
        <f ca="1">getCodigoBackend(N204,A204,VLOOKUP(N204,setup!$A$8:$H$58,2),VLOOKUP(N204,setup!$A$8:$H$58,3),VLOOKUP(N204,setup!$A$8:$H$58,4),VLOOKUP(N204,setup!$A$8:$H$58,5),VLOOKUP(N204,setup!$A$8:$H$58,6),VLOOKUP(N204,setup!$A$8:$H$58,7), VLOOKUP(0,setup!$A$8:$H$58,2),VLOOKUP(0,setup!$A$8:$H$58,5),VLOOKUP(N204,setup!$A$8:$H$58,8))</f>
        <v/>
      </c>
    </row>
    <row r="205" spans="1:15" x14ac:dyDescent="0.25">
      <c r="A205" s="6"/>
      <c r="O205" s="7" t="str">
        <f ca="1">getCodigoBackend(N205,A205,VLOOKUP(N205,setup!$A$8:$H$58,2),VLOOKUP(N205,setup!$A$8:$H$58,3),VLOOKUP(N205,setup!$A$8:$H$58,4),VLOOKUP(N205,setup!$A$8:$H$58,5),VLOOKUP(N205,setup!$A$8:$H$58,6),VLOOKUP(N205,setup!$A$8:$H$58,7), VLOOKUP(0,setup!$A$8:$H$58,2),VLOOKUP(0,setup!$A$8:$H$58,5),VLOOKUP(N205,setup!$A$8:$H$58,8))</f>
        <v/>
      </c>
    </row>
    <row r="206" spans="1:15" x14ac:dyDescent="0.25">
      <c r="A206" s="6"/>
      <c r="O206" s="7" t="str">
        <f ca="1">getCodigoBackend(N206,A206,VLOOKUP(N206,setup!$A$8:$H$58,2),VLOOKUP(N206,setup!$A$8:$H$58,3),VLOOKUP(N206,setup!$A$8:$H$58,4),VLOOKUP(N206,setup!$A$8:$H$58,5),VLOOKUP(N206,setup!$A$8:$H$58,6),VLOOKUP(N206,setup!$A$8:$H$58,7), VLOOKUP(0,setup!$A$8:$H$58,2),VLOOKUP(0,setup!$A$8:$H$58,5),VLOOKUP(N206,setup!$A$8:$H$58,8))</f>
        <v/>
      </c>
    </row>
    <row r="207" spans="1:15" x14ac:dyDescent="0.25">
      <c r="A207" s="6"/>
      <c r="O207" s="7" t="str">
        <f ca="1">getCodigoBackend(N207,A207,VLOOKUP(N207,setup!$A$8:$H$58,2),VLOOKUP(N207,setup!$A$8:$H$58,3),VLOOKUP(N207,setup!$A$8:$H$58,4),VLOOKUP(N207,setup!$A$8:$H$58,5),VLOOKUP(N207,setup!$A$8:$H$58,6),VLOOKUP(N207,setup!$A$8:$H$58,7), VLOOKUP(0,setup!$A$8:$H$58,2),VLOOKUP(0,setup!$A$8:$H$58,5),VLOOKUP(N207,setup!$A$8:$H$58,8))</f>
        <v/>
      </c>
    </row>
    <row r="208" spans="1:15" x14ac:dyDescent="0.25">
      <c r="A208" s="6"/>
      <c r="O208" s="7" t="str">
        <f ca="1">getCodigoBackend(N208,A208,VLOOKUP(N208,setup!$A$8:$H$58,2),VLOOKUP(N208,setup!$A$8:$H$58,3),VLOOKUP(N208,setup!$A$8:$H$58,4),VLOOKUP(N208,setup!$A$8:$H$58,5),VLOOKUP(N208,setup!$A$8:$H$58,6),VLOOKUP(N208,setup!$A$8:$H$58,7), VLOOKUP(0,setup!$A$8:$H$58,2),VLOOKUP(0,setup!$A$8:$H$58,5),VLOOKUP(N208,setup!$A$8:$H$58,8))</f>
        <v/>
      </c>
    </row>
    <row r="209" spans="1:15" x14ac:dyDescent="0.25">
      <c r="A209" s="6"/>
      <c r="O209" s="7" t="str">
        <f ca="1">getCodigoBackend(N209,A209,VLOOKUP(N209,setup!$A$8:$H$58,2),VLOOKUP(N209,setup!$A$8:$H$58,3),VLOOKUP(N209,setup!$A$8:$H$58,4),VLOOKUP(N209,setup!$A$8:$H$58,5),VLOOKUP(N209,setup!$A$8:$H$58,6),VLOOKUP(N209,setup!$A$8:$H$58,7), VLOOKUP(0,setup!$A$8:$H$58,2),VLOOKUP(0,setup!$A$8:$H$58,5),VLOOKUP(N209,setup!$A$8:$H$58,8))</f>
        <v/>
      </c>
    </row>
    <row r="210" spans="1:15" x14ac:dyDescent="0.25">
      <c r="A210" s="6"/>
      <c r="O210" s="7" t="str">
        <f ca="1">getCodigoBackend(N210,A210,VLOOKUP(N210,setup!$A$8:$H$58,2),VLOOKUP(N210,setup!$A$8:$H$58,3),VLOOKUP(N210,setup!$A$8:$H$58,4),VLOOKUP(N210,setup!$A$8:$H$58,5),VLOOKUP(N210,setup!$A$8:$H$58,6),VLOOKUP(N210,setup!$A$8:$H$58,7), VLOOKUP(0,setup!$A$8:$H$58,2),VLOOKUP(0,setup!$A$8:$H$58,5),VLOOKUP(N210,setup!$A$8:$H$58,8))</f>
        <v/>
      </c>
    </row>
    <row r="211" spans="1:15" x14ac:dyDescent="0.25">
      <c r="A211" s="6"/>
      <c r="O211" s="7" t="str">
        <f ca="1">getCodigoBackend(N211,A211,VLOOKUP(N211,setup!$A$8:$H$58,2),VLOOKUP(N211,setup!$A$8:$H$58,3),VLOOKUP(N211,setup!$A$8:$H$58,4),VLOOKUP(N211,setup!$A$8:$H$58,5),VLOOKUP(N211,setup!$A$8:$H$58,6),VLOOKUP(N211,setup!$A$8:$H$58,7), VLOOKUP(0,setup!$A$8:$H$58,2),VLOOKUP(0,setup!$A$8:$H$58,5),VLOOKUP(N211,setup!$A$8:$H$58,8))</f>
        <v/>
      </c>
    </row>
    <row r="212" spans="1:15" x14ac:dyDescent="0.25">
      <c r="A212" s="6"/>
      <c r="O212" s="7" t="str">
        <f ca="1">getCodigoBackend(N212,A212,VLOOKUP(N212,setup!$A$8:$H$58,2),VLOOKUP(N212,setup!$A$8:$H$58,3),VLOOKUP(N212,setup!$A$8:$H$58,4),VLOOKUP(N212,setup!$A$8:$H$58,5),VLOOKUP(N212,setup!$A$8:$H$58,6),VLOOKUP(N212,setup!$A$8:$H$58,7), VLOOKUP(0,setup!$A$8:$H$58,2),VLOOKUP(0,setup!$A$8:$H$58,5),VLOOKUP(N212,setup!$A$8:$H$58,8))</f>
        <v/>
      </c>
    </row>
    <row r="213" spans="1:15" x14ac:dyDescent="0.25">
      <c r="A213" s="6"/>
      <c r="O213" s="7" t="str">
        <f ca="1">getCodigoBackend(N213,A213,VLOOKUP(N213,setup!$A$8:$H$58,2),VLOOKUP(N213,setup!$A$8:$H$58,3),VLOOKUP(N213,setup!$A$8:$H$58,4),VLOOKUP(N213,setup!$A$8:$H$58,5),VLOOKUP(N213,setup!$A$8:$H$58,6),VLOOKUP(N213,setup!$A$8:$H$58,7), VLOOKUP(0,setup!$A$8:$H$58,2),VLOOKUP(0,setup!$A$8:$H$58,5),VLOOKUP(N213,setup!$A$8:$H$58,8))</f>
        <v/>
      </c>
    </row>
    <row r="214" spans="1:15" x14ac:dyDescent="0.25">
      <c r="A214" s="6"/>
      <c r="O214" s="7" t="str">
        <f ca="1">getCodigoBackend(N214,A214,VLOOKUP(N214,setup!$A$8:$H$58,2),VLOOKUP(N214,setup!$A$8:$H$58,3),VLOOKUP(N214,setup!$A$8:$H$58,4),VLOOKUP(N214,setup!$A$8:$H$58,5),VLOOKUP(N214,setup!$A$8:$H$58,6),VLOOKUP(N214,setup!$A$8:$H$58,7), VLOOKUP(0,setup!$A$8:$H$58,2),VLOOKUP(0,setup!$A$8:$H$58,5),VLOOKUP(N214,setup!$A$8:$H$58,8))</f>
        <v/>
      </c>
    </row>
    <row r="215" spans="1:15" x14ac:dyDescent="0.25">
      <c r="A215" s="6"/>
      <c r="O215" s="7" t="str">
        <f ca="1">getCodigoBackend(N215,A215,VLOOKUP(N215,setup!$A$8:$H$58,2),VLOOKUP(N215,setup!$A$8:$H$58,3),VLOOKUP(N215,setup!$A$8:$H$58,4),VLOOKUP(N215,setup!$A$8:$H$58,5),VLOOKUP(N215,setup!$A$8:$H$58,6),VLOOKUP(N215,setup!$A$8:$H$58,7), VLOOKUP(0,setup!$A$8:$H$58,2),VLOOKUP(0,setup!$A$8:$H$58,5),VLOOKUP(N215,setup!$A$8:$H$58,8))</f>
        <v/>
      </c>
    </row>
    <row r="216" spans="1:15" x14ac:dyDescent="0.25">
      <c r="A216" s="6"/>
      <c r="O216" s="7" t="str">
        <f ca="1">getCodigoBackend(N216,A216,VLOOKUP(N216,setup!$A$8:$H$58,2),VLOOKUP(N216,setup!$A$8:$H$58,3),VLOOKUP(N216,setup!$A$8:$H$58,4),VLOOKUP(N216,setup!$A$8:$H$58,5),VLOOKUP(N216,setup!$A$8:$H$58,6),VLOOKUP(N216,setup!$A$8:$H$58,7), VLOOKUP(0,setup!$A$8:$H$58,2),VLOOKUP(0,setup!$A$8:$H$58,5),VLOOKUP(N216,setup!$A$8:$H$58,8))</f>
        <v/>
      </c>
    </row>
    <row r="217" spans="1:15" x14ac:dyDescent="0.25">
      <c r="A217" s="6"/>
      <c r="O217" s="7" t="str">
        <f ca="1">getCodigoBackend(N217,A217,VLOOKUP(N217,setup!$A$8:$H$58,2),VLOOKUP(N217,setup!$A$8:$H$58,3),VLOOKUP(N217,setup!$A$8:$H$58,4),VLOOKUP(N217,setup!$A$8:$H$58,5),VLOOKUP(N217,setup!$A$8:$H$58,6),VLOOKUP(N217,setup!$A$8:$H$58,7), VLOOKUP(0,setup!$A$8:$H$58,2),VLOOKUP(0,setup!$A$8:$H$58,5),VLOOKUP(N217,setup!$A$8:$H$58,8))</f>
        <v/>
      </c>
    </row>
    <row r="218" spans="1:15" x14ac:dyDescent="0.25">
      <c r="A218" s="6"/>
      <c r="O218" s="7" t="str">
        <f ca="1">getCodigoBackend(N218,A218,VLOOKUP(N218,setup!$A$8:$H$58,2),VLOOKUP(N218,setup!$A$8:$H$58,3),VLOOKUP(N218,setup!$A$8:$H$58,4),VLOOKUP(N218,setup!$A$8:$H$58,5),VLOOKUP(N218,setup!$A$8:$H$58,6),VLOOKUP(N218,setup!$A$8:$H$58,7), VLOOKUP(0,setup!$A$8:$H$58,2),VLOOKUP(0,setup!$A$8:$H$58,5),VLOOKUP(N218,setup!$A$8:$H$58,8))</f>
        <v/>
      </c>
    </row>
    <row r="219" spans="1:15" x14ac:dyDescent="0.25">
      <c r="A219" s="6"/>
      <c r="O219" s="7" t="str">
        <f ca="1">getCodigoBackend(N219,A219,VLOOKUP(N219,setup!$A$8:$H$58,2),VLOOKUP(N219,setup!$A$8:$H$58,3),VLOOKUP(N219,setup!$A$8:$H$58,4),VLOOKUP(N219,setup!$A$8:$H$58,5),VLOOKUP(N219,setup!$A$8:$H$58,6),VLOOKUP(N219,setup!$A$8:$H$58,7), VLOOKUP(0,setup!$A$8:$H$58,2),VLOOKUP(0,setup!$A$8:$H$58,5),VLOOKUP(N219,setup!$A$8:$H$58,8))</f>
        <v/>
      </c>
    </row>
    <row r="220" spans="1:15" x14ac:dyDescent="0.25">
      <c r="A220" s="6"/>
      <c r="O220" s="7" t="str">
        <f ca="1">getCodigoBackend(N220,A220,VLOOKUP(N220,setup!$A$8:$H$58,2),VLOOKUP(N220,setup!$A$8:$H$58,3),VLOOKUP(N220,setup!$A$8:$H$58,4),VLOOKUP(N220,setup!$A$8:$H$58,5),VLOOKUP(N220,setup!$A$8:$H$58,6),VLOOKUP(N220,setup!$A$8:$H$58,7), VLOOKUP(0,setup!$A$8:$H$58,2),VLOOKUP(0,setup!$A$8:$H$58,5),VLOOKUP(N220,setup!$A$8:$H$58,8))</f>
        <v/>
      </c>
    </row>
    <row r="221" spans="1:15" x14ac:dyDescent="0.25">
      <c r="A221" s="6"/>
      <c r="O221" s="7" t="str">
        <f ca="1">getCodigoBackend(N221,A221,VLOOKUP(N221,setup!$A$8:$H$58,2),VLOOKUP(N221,setup!$A$8:$H$58,3),VLOOKUP(N221,setup!$A$8:$H$58,4),VLOOKUP(N221,setup!$A$8:$H$58,5),VLOOKUP(N221,setup!$A$8:$H$58,6),VLOOKUP(N221,setup!$A$8:$H$58,7), VLOOKUP(0,setup!$A$8:$H$58,2),VLOOKUP(0,setup!$A$8:$H$58,5),VLOOKUP(N221,setup!$A$8:$H$58,8))</f>
        <v/>
      </c>
    </row>
    <row r="222" spans="1:15" x14ac:dyDescent="0.25">
      <c r="A222" s="6"/>
      <c r="O222" s="7" t="str">
        <f ca="1">getCodigoBackend(N222,A222,VLOOKUP(N222,setup!$A$8:$H$58,2),VLOOKUP(N222,setup!$A$8:$H$58,3),VLOOKUP(N222,setup!$A$8:$H$58,4),VLOOKUP(N222,setup!$A$8:$H$58,5),VLOOKUP(N222,setup!$A$8:$H$58,6),VLOOKUP(N222,setup!$A$8:$H$58,7), VLOOKUP(0,setup!$A$8:$H$58,2),VLOOKUP(0,setup!$A$8:$H$58,5),VLOOKUP(N222,setup!$A$8:$H$58,8))</f>
        <v/>
      </c>
    </row>
    <row r="223" spans="1:15" x14ac:dyDescent="0.25">
      <c r="A223" s="6"/>
      <c r="O223" s="7" t="str">
        <f ca="1">getCodigoBackend(N223,A223,VLOOKUP(N223,setup!$A$8:$H$58,2),VLOOKUP(N223,setup!$A$8:$H$58,3),VLOOKUP(N223,setup!$A$8:$H$58,4),VLOOKUP(N223,setup!$A$8:$H$58,5),VLOOKUP(N223,setup!$A$8:$H$58,6),VLOOKUP(N223,setup!$A$8:$H$58,7), VLOOKUP(0,setup!$A$8:$H$58,2),VLOOKUP(0,setup!$A$8:$H$58,5),VLOOKUP(N223,setup!$A$8:$H$58,8))</f>
        <v/>
      </c>
    </row>
    <row r="224" spans="1:15" x14ac:dyDescent="0.25">
      <c r="A224" s="6"/>
      <c r="O224" s="7" t="str">
        <f ca="1">getCodigoBackend(N224,A224,VLOOKUP(N224,setup!$A$8:$H$58,2),VLOOKUP(N224,setup!$A$8:$H$58,3),VLOOKUP(N224,setup!$A$8:$H$58,4),VLOOKUP(N224,setup!$A$8:$H$58,5),VLOOKUP(N224,setup!$A$8:$H$58,6),VLOOKUP(N224,setup!$A$8:$H$58,7), VLOOKUP(0,setup!$A$8:$H$58,2),VLOOKUP(0,setup!$A$8:$H$58,5),VLOOKUP(N224,setup!$A$8:$H$58,8))</f>
        <v/>
      </c>
    </row>
    <row r="225" spans="1:15" x14ac:dyDescent="0.25">
      <c r="A225" s="6"/>
      <c r="O225" s="7" t="str">
        <f ca="1">getCodigoBackend(N225,A225,VLOOKUP(N225,setup!$A$8:$H$58,2),VLOOKUP(N225,setup!$A$8:$H$58,3),VLOOKUP(N225,setup!$A$8:$H$58,4),VLOOKUP(N225,setup!$A$8:$H$58,5),VLOOKUP(N225,setup!$A$8:$H$58,6),VLOOKUP(N225,setup!$A$8:$H$58,7), VLOOKUP(0,setup!$A$8:$H$58,2),VLOOKUP(0,setup!$A$8:$H$58,5),VLOOKUP(N225,setup!$A$8:$H$58,8))</f>
        <v/>
      </c>
    </row>
    <row r="226" spans="1:15" x14ac:dyDescent="0.25">
      <c r="A226" s="6"/>
      <c r="O226" s="7" t="str">
        <f ca="1">getCodigoBackend(N226,A226,VLOOKUP(N226,setup!$A$8:$H$58,2),VLOOKUP(N226,setup!$A$8:$H$58,3),VLOOKUP(N226,setup!$A$8:$H$58,4),VLOOKUP(N226,setup!$A$8:$H$58,5),VLOOKUP(N226,setup!$A$8:$H$58,6),VLOOKUP(N226,setup!$A$8:$H$58,7), VLOOKUP(0,setup!$A$8:$H$58,2),VLOOKUP(0,setup!$A$8:$H$58,5),VLOOKUP(N226,setup!$A$8:$H$58,8))</f>
        <v/>
      </c>
    </row>
    <row r="227" spans="1:15" x14ac:dyDescent="0.25">
      <c r="A227" s="6"/>
      <c r="O227" s="7" t="str">
        <f ca="1">getCodigoBackend(N227,A227,VLOOKUP(N227,setup!$A$8:$H$58,2),VLOOKUP(N227,setup!$A$8:$H$58,3),VLOOKUP(N227,setup!$A$8:$H$58,4),VLOOKUP(N227,setup!$A$8:$H$58,5),VLOOKUP(N227,setup!$A$8:$H$58,6),VLOOKUP(N227,setup!$A$8:$H$58,7), VLOOKUP(0,setup!$A$8:$H$58,2),VLOOKUP(0,setup!$A$8:$H$58,5),VLOOKUP(N227,setup!$A$8:$H$58,8))</f>
        <v/>
      </c>
    </row>
    <row r="228" spans="1:15" x14ac:dyDescent="0.25">
      <c r="A228" s="6"/>
      <c r="O228" s="7" t="str">
        <f ca="1">getCodigoBackend(N228,A228,VLOOKUP(N228,setup!$A$8:$H$58,2),VLOOKUP(N228,setup!$A$8:$H$58,3),VLOOKUP(N228,setup!$A$8:$H$58,4),VLOOKUP(N228,setup!$A$8:$H$58,5),VLOOKUP(N228,setup!$A$8:$H$58,6),VLOOKUP(N228,setup!$A$8:$H$58,7), VLOOKUP(0,setup!$A$8:$H$58,2),VLOOKUP(0,setup!$A$8:$H$58,5),VLOOKUP(N228,setup!$A$8:$H$58,8))</f>
        <v/>
      </c>
    </row>
    <row r="229" spans="1:15" x14ac:dyDescent="0.25">
      <c r="A229" s="6"/>
      <c r="O229" s="7" t="str">
        <f ca="1">getCodigoBackend(N229,A229,VLOOKUP(N229,setup!$A$8:$H$58,2),VLOOKUP(N229,setup!$A$8:$H$58,3),VLOOKUP(N229,setup!$A$8:$H$58,4),VLOOKUP(N229,setup!$A$8:$H$58,5),VLOOKUP(N229,setup!$A$8:$H$58,6),VLOOKUP(N229,setup!$A$8:$H$58,7), VLOOKUP(0,setup!$A$8:$H$58,2),VLOOKUP(0,setup!$A$8:$H$58,5),VLOOKUP(N229,setup!$A$8:$H$58,8))</f>
        <v/>
      </c>
    </row>
    <row r="230" spans="1:15" x14ac:dyDescent="0.25">
      <c r="A230" s="6"/>
      <c r="O230" s="7" t="str">
        <f ca="1">getCodigoBackend(N230,A230,VLOOKUP(N230,setup!$A$8:$H$58,2),VLOOKUP(N230,setup!$A$8:$H$58,3),VLOOKUP(N230,setup!$A$8:$H$58,4),VLOOKUP(N230,setup!$A$8:$H$58,5),VLOOKUP(N230,setup!$A$8:$H$58,6),VLOOKUP(N230,setup!$A$8:$H$58,7), VLOOKUP(0,setup!$A$8:$H$58,2),VLOOKUP(0,setup!$A$8:$H$58,5),VLOOKUP(N230,setup!$A$8:$H$58,8))</f>
        <v/>
      </c>
    </row>
    <row r="231" spans="1:15" x14ac:dyDescent="0.25">
      <c r="A231" s="6"/>
      <c r="O231" s="7" t="str">
        <f ca="1">getCodigoBackend(N231,A231,VLOOKUP(N231,setup!$A$8:$H$58,2),VLOOKUP(N231,setup!$A$8:$H$58,3),VLOOKUP(N231,setup!$A$8:$H$58,4),VLOOKUP(N231,setup!$A$8:$H$58,5),VLOOKUP(N231,setup!$A$8:$H$58,6),VLOOKUP(N231,setup!$A$8:$H$58,7), VLOOKUP(0,setup!$A$8:$H$58,2),VLOOKUP(0,setup!$A$8:$H$58,5),VLOOKUP(N231,setup!$A$8:$H$58,8))</f>
        <v/>
      </c>
    </row>
    <row r="232" spans="1:15" x14ac:dyDescent="0.25">
      <c r="A232" s="6"/>
      <c r="O232" s="7" t="str">
        <f ca="1">getCodigoBackend(N232,A232,VLOOKUP(N232,setup!$A$8:$H$58,2),VLOOKUP(N232,setup!$A$8:$H$58,3),VLOOKUP(N232,setup!$A$8:$H$58,4),VLOOKUP(N232,setup!$A$8:$H$58,5),VLOOKUP(N232,setup!$A$8:$H$58,6),VLOOKUP(N232,setup!$A$8:$H$58,7), VLOOKUP(0,setup!$A$8:$H$58,2),VLOOKUP(0,setup!$A$8:$H$58,5),VLOOKUP(N232,setup!$A$8:$H$58,8))</f>
        <v/>
      </c>
    </row>
    <row r="233" spans="1:15" x14ac:dyDescent="0.25">
      <c r="A233" s="6"/>
      <c r="O233" s="7" t="str">
        <f ca="1">getCodigoBackend(N233,A233,VLOOKUP(N233,setup!$A$8:$H$58,2),VLOOKUP(N233,setup!$A$8:$H$58,3),VLOOKUP(N233,setup!$A$8:$H$58,4),VLOOKUP(N233,setup!$A$8:$H$58,5),VLOOKUP(N233,setup!$A$8:$H$58,6),VLOOKUP(N233,setup!$A$8:$H$58,7), VLOOKUP(0,setup!$A$8:$H$58,2),VLOOKUP(0,setup!$A$8:$H$58,5),VLOOKUP(N233,setup!$A$8:$H$58,8))</f>
        <v/>
      </c>
    </row>
    <row r="234" spans="1:15" x14ac:dyDescent="0.25">
      <c r="A234" s="6"/>
      <c r="O234" s="7" t="str">
        <f ca="1">getCodigoBackend(N234,A234,VLOOKUP(N234,setup!$A$8:$H$58,2),VLOOKUP(N234,setup!$A$8:$H$58,3),VLOOKUP(N234,setup!$A$8:$H$58,4),VLOOKUP(N234,setup!$A$8:$H$58,5),VLOOKUP(N234,setup!$A$8:$H$58,6),VLOOKUP(N234,setup!$A$8:$H$58,7), VLOOKUP(0,setup!$A$8:$H$58,2),VLOOKUP(0,setup!$A$8:$H$58,5),VLOOKUP(N234,setup!$A$8:$H$58,8))</f>
        <v/>
      </c>
    </row>
    <row r="235" spans="1:15" x14ac:dyDescent="0.25">
      <c r="A235" s="6"/>
      <c r="O235" s="7" t="str">
        <f ca="1">getCodigoBackend(N235,A235,VLOOKUP(N235,setup!$A$8:$H$58,2),VLOOKUP(N235,setup!$A$8:$H$58,3),VLOOKUP(N235,setup!$A$8:$H$58,4),VLOOKUP(N235,setup!$A$8:$H$58,5),VLOOKUP(N235,setup!$A$8:$H$58,6),VLOOKUP(N235,setup!$A$8:$H$58,7), VLOOKUP(0,setup!$A$8:$H$58,2),VLOOKUP(0,setup!$A$8:$H$58,5),VLOOKUP(N235,setup!$A$8:$H$58,8))</f>
        <v/>
      </c>
    </row>
    <row r="236" spans="1:15" x14ac:dyDescent="0.25">
      <c r="A236" s="6"/>
      <c r="O236" s="7" t="str">
        <f ca="1">getCodigoBackend(N236,A236,VLOOKUP(N236,setup!$A$8:$H$58,2),VLOOKUP(N236,setup!$A$8:$H$58,3),VLOOKUP(N236,setup!$A$8:$H$58,4),VLOOKUP(N236,setup!$A$8:$H$58,5),VLOOKUP(N236,setup!$A$8:$H$58,6),VLOOKUP(N236,setup!$A$8:$H$58,7), VLOOKUP(0,setup!$A$8:$H$58,2),VLOOKUP(0,setup!$A$8:$H$58,5),VLOOKUP(N236,setup!$A$8:$H$58,8))</f>
        <v/>
      </c>
    </row>
    <row r="237" spans="1:15" x14ac:dyDescent="0.25">
      <c r="A237" s="6"/>
      <c r="O237" s="7" t="str">
        <f ca="1">getCodigoBackend(N237,A237,VLOOKUP(N237,setup!$A$8:$H$58,2),VLOOKUP(N237,setup!$A$8:$H$58,3),VLOOKUP(N237,setup!$A$8:$H$58,4),VLOOKUP(N237,setup!$A$8:$H$58,5),VLOOKUP(N237,setup!$A$8:$H$58,6),VLOOKUP(N237,setup!$A$8:$H$58,7), VLOOKUP(0,setup!$A$8:$H$58,2),VLOOKUP(0,setup!$A$8:$H$58,5),VLOOKUP(N237,setup!$A$8:$H$58,8))</f>
        <v/>
      </c>
    </row>
    <row r="238" spans="1:15" x14ac:dyDescent="0.25">
      <c r="A238" s="6"/>
      <c r="O238" s="7" t="str">
        <f ca="1">getCodigoBackend(N238,A238,VLOOKUP(N238,setup!$A$8:$H$58,2),VLOOKUP(N238,setup!$A$8:$H$58,3),VLOOKUP(N238,setup!$A$8:$H$58,4),VLOOKUP(N238,setup!$A$8:$H$58,5),VLOOKUP(N238,setup!$A$8:$H$58,6),VLOOKUP(N238,setup!$A$8:$H$58,7), VLOOKUP(0,setup!$A$8:$H$58,2),VLOOKUP(0,setup!$A$8:$H$58,5),VLOOKUP(N238,setup!$A$8:$H$58,8))</f>
        <v/>
      </c>
    </row>
    <row r="239" spans="1:15" x14ac:dyDescent="0.25">
      <c r="A239" s="6"/>
      <c r="O239" s="7" t="str">
        <f ca="1">getCodigoBackend(N239,A239,VLOOKUP(N239,setup!$A$8:$H$58,2),VLOOKUP(N239,setup!$A$8:$H$58,3),VLOOKUP(N239,setup!$A$8:$H$58,4),VLOOKUP(N239,setup!$A$8:$H$58,5),VLOOKUP(N239,setup!$A$8:$H$58,6),VLOOKUP(N239,setup!$A$8:$H$58,7), VLOOKUP(0,setup!$A$8:$H$58,2),VLOOKUP(0,setup!$A$8:$H$58,5),VLOOKUP(N239,setup!$A$8:$H$58,8))</f>
        <v/>
      </c>
    </row>
    <row r="240" spans="1:15" x14ac:dyDescent="0.25">
      <c r="A240" s="6"/>
      <c r="O240" s="7" t="str">
        <f ca="1">getCodigoBackend(N240,A240,VLOOKUP(N240,setup!$A$8:$H$58,2),VLOOKUP(N240,setup!$A$8:$H$58,3),VLOOKUP(N240,setup!$A$8:$H$58,4),VLOOKUP(N240,setup!$A$8:$H$58,5),VLOOKUP(N240,setup!$A$8:$H$58,6),VLOOKUP(N240,setup!$A$8:$H$58,7), VLOOKUP(0,setup!$A$8:$H$58,2),VLOOKUP(0,setup!$A$8:$H$58,5),VLOOKUP(N240,setup!$A$8:$H$58,8))</f>
        <v/>
      </c>
    </row>
    <row r="241" spans="1:15" x14ac:dyDescent="0.25">
      <c r="A241" s="6"/>
      <c r="O241" s="7" t="str">
        <f ca="1">getCodigoBackend(N241,A241,VLOOKUP(N241,setup!$A$8:$H$58,2),VLOOKUP(N241,setup!$A$8:$H$58,3),VLOOKUP(N241,setup!$A$8:$H$58,4),VLOOKUP(N241,setup!$A$8:$H$58,5),VLOOKUP(N241,setup!$A$8:$H$58,6),VLOOKUP(N241,setup!$A$8:$H$58,7), VLOOKUP(0,setup!$A$8:$H$58,2),VLOOKUP(0,setup!$A$8:$H$58,5),VLOOKUP(N241,setup!$A$8:$H$58,8))</f>
        <v/>
      </c>
    </row>
    <row r="242" spans="1:15" x14ac:dyDescent="0.25">
      <c r="A242" s="6"/>
      <c r="O242" s="7" t="str">
        <f ca="1">getCodigoBackend(N242,A242,VLOOKUP(N242,setup!$A$8:$H$58,2),VLOOKUP(N242,setup!$A$8:$H$58,3),VLOOKUP(N242,setup!$A$8:$H$58,4),VLOOKUP(N242,setup!$A$8:$H$58,5),VLOOKUP(N242,setup!$A$8:$H$58,6),VLOOKUP(N242,setup!$A$8:$H$58,7), VLOOKUP(0,setup!$A$8:$H$58,2),VLOOKUP(0,setup!$A$8:$H$58,5),VLOOKUP(N242,setup!$A$8:$H$58,8))</f>
        <v/>
      </c>
    </row>
    <row r="243" spans="1:15" x14ac:dyDescent="0.25">
      <c r="A243" s="6"/>
      <c r="O243" s="7" t="str">
        <f ca="1">getCodigoBackend(N243,A243,VLOOKUP(N243,setup!$A$8:$H$58,2),VLOOKUP(N243,setup!$A$8:$H$58,3),VLOOKUP(N243,setup!$A$8:$H$58,4),VLOOKUP(N243,setup!$A$8:$H$58,5),VLOOKUP(N243,setup!$A$8:$H$58,6),VLOOKUP(N243,setup!$A$8:$H$58,7), VLOOKUP(0,setup!$A$8:$H$58,2),VLOOKUP(0,setup!$A$8:$H$58,5),VLOOKUP(N243,setup!$A$8:$H$58,8))</f>
        <v/>
      </c>
    </row>
    <row r="244" spans="1:15" x14ac:dyDescent="0.25">
      <c r="A244" s="6"/>
      <c r="O244" s="7" t="str">
        <f ca="1">getCodigoBackend(N244,A244,VLOOKUP(N244,setup!$A$8:$H$58,2),VLOOKUP(N244,setup!$A$8:$H$58,3),VLOOKUP(N244,setup!$A$8:$H$58,4),VLOOKUP(N244,setup!$A$8:$H$58,5),VLOOKUP(N244,setup!$A$8:$H$58,6),VLOOKUP(N244,setup!$A$8:$H$58,7), VLOOKUP(0,setup!$A$8:$H$58,2),VLOOKUP(0,setup!$A$8:$H$58,5),VLOOKUP(N244,setup!$A$8:$H$58,8))</f>
        <v/>
      </c>
    </row>
    <row r="245" spans="1:15" x14ac:dyDescent="0.25">
      <c r="A245" s="6"/>
      <c r="O245" s="7" t="str">
        <f ca="1">getCodigoBackend(N245,A245,VLOOKUP(N245,setup!$A$8:$H$58,2),VLOOKUP(N245,setup!$A$8:$H$58,3),VLOOKUP(N245,setup!$A$8:$H$58,4),VLOOKUP(N245,setup!$A$8:$H$58,5),VLOOKUP(N245,setup!$A$8:$H$58,6),VLOOKUP(N245,setup!$A$8:$H$58,7), VLOOKUP(0,setup!$A$8:$H$58,2),VLOOKUP(0,setup!$A$8:$H$58,5),VLOOKUP(N245,setup!$A$8:$H$58,8))</f>
        <v/>
      </c>
    </row>
    <row r="246" spans="1:15" x14ac:dyDescent="0.25">
      <c r="A246" s="6"/>
      <c r="O246" s="7" t="str">
        <f ca="1">getCodigoBackend(N246,A246,VLOOKUP(N246,setup!$A$8:$H$58,2),VLOOKUP(N246,setup!$A$8:$H$58,3),VLOOKUP(N246,setup!$A$8:$H$58,4),VLOOKUP(N246,setup!$A$8:$H$58,5),VLOOKUP(N246,setup!$A$8:$H$58,6),VLOOKUP(N246,setup!$A$8:$H$58,7), VLOOKUP(0,setup!$A$8:$H$58,2),VLOOKUP(0,setup!$A$8:$H$58,5),VLOOKUP(N246,setup!$A$8:$H$58,8))</f>
        <v/>
      </c>
    </row>
    <row r="247" spans="1:15" x14ac:dyDescent="0.25">
      <c r="A247" s="6"/>
      <c r="O247" s="7" t="str">
        <f ca="1">getCodigoBackend(N247,A247,VLOOKUP(N247,setup!$A$8:$H$58,2),VLOOKUP(N247,setup!$A$8:$H$58,3),VLOOKUP(N247,setup!$A$8:$H$58,4),VLOOKUP(N247,setup!$A$8:$H$58,5),VLOOKUP(N247,setup!$A$8:$H$58,6),VLOOKUP(N247,setup!$A$8:$H$58,7), VLOOKUP(0,setup!$A$8:$H$58,2),VLOOKUP(0,setup!$A$8:$H$58,5),VLOOKUP(N247,setup!$A$8:$H$58,8))</f>
        <v/>
      </c>
    </row>
    <row r="248" spans="1:15" x14ac:dyDescent="0.25">
      <c r="A248" s="6"/>
      <c r="O248" s="7" t="str">
        <f ca="1">getCodigoBackend(N248,A248,VLOOKUP(N248,setup!$A$8:$H$58,2),VLOOKUP(N248,setup!$A$8:$H$58,3),VLOOKUP(N248,setup!$A$8:$H$58,4),VLOOKUP(N248,setup!$A$8:$H$58,5),VLOOKUP(N248,setup!$A$8:$H$58,6),VLOOKUP(N248,setup!$A$8:$H$58,7), VLOOKUP(0,setup!$A$8:$H$58,2),VLOOKUP(0,setup!$A$8:$H$58,5),VLOOKUP(N248,setup!$A$8:$H$58,8))</f>
        <v/>
      </c>
    </row>
    <row r="249" spans="1:15" x14ac:dyDescent="0.25">
      <c r="A249" s="6"/>
      <c r="O249" s="7" t="str">
        <f ca="1">getCodigoBackend(N249,A249,VLOOKUP(N249,setup!$A$8:$H$58,2),VLOOKUP(N249,setup!$A$8:$H$58,3),VLOOKUP(N249,setup!$A$8:$H$58,4),VLOOKUP(N249,setup!$A$8:$H$58,5),VLOOKUP(N249,setup!$A$8:$H$58,6),VLOOKUP(N249,setup!$A$8:$H$58,7), VLOOKUP(0,setup!$A$8:$H$58,2),VLOOKUP(0,setup!$A$8:$H$58,5),VLOOKUP(N249,setup!$A$8:$H$58,8))</f>
        <v/>
      </c>
    </row>
    <row r="250" spans="1:15" x14ac:dyDescent="0.25">
      <c r="A250" s="2"/>
      <c r="O250" s="7" t="str">
        <f ca="1">getCodigoBackend(N250,A250,VLOOKUP(N250,setup!$A$8:$H$58,2),VLOOKUP(N250,setup!$A$8:$H$58,3),VLOOKUP(N250,setup!$A$8:$H$58,4),VLOOKUP(N250,setup!$A$8:$H$58,5),VLOOKUP(N250,setup!$A$8:$H$58,6),VLOOKUP(N250,setup!$A$8:$H$58,7), VLOOKUP(0,setup!$A$8:$H$58,2),VLOOKUP(0,setup!$A$8:$H$58,5),VLOOKUP(N250,setup!$A$8:$H$58,8))</f>
        <v/>
      </c>
    </row>
    <row r="251" spans="1:15" x14ac:dyDescent="0.25">
      <c r="A251" s="2"/>
      <c r="O251" s="7" t="str">
        <f ca="1">getCodigoBackend(N251,A251,VLOOKUP(N251,setup!$A$8:$H$58,2),VLOOKUP(N251,setup!$A$8:$H$58,3),VLOOKUP(N251,setup!$A$8:$H$58,4),VLOOKUP(N251,setup!$A$8:$H$58,5),VLOOKUP(N251,setup!$A$8:$H$58,6),VLOOKUP(N251,setup!$A$8:$H$58,7), VLOOKUP(0,setup!$A$8:$H$58,2),VLOOKUP(0,setup!$A$8:$H$58,5),VLOOKUP(N251,setup!$A$8:$H$58,8))</f>
        <v/>
      </c>
    </row>
    <row r="252" spans="1:15" x14ac:dyDescent="0.25">
      <c r="A252" s="3"/>
      <c r="O252" s="7" t="str">
        <f ca="1">getCodigoBackend(N252,A252,VLOOKUP(N252,setup!$A$8:$H$58,2),VLOOKUP(N252,setup!$A$8:$H$58,3),VLOOKUP(N252,setup!$A$8:$H$58,4),VLOOKUP(N252,setup!$A$8:$H$58,5),VLOOKUP(N252,setup!$A$8:$H$58,6),VLOOKUP(N252,setup!$A$8:$H$58,7), VLOOKUP(0,setup!$A$8:$H$58,2),VLOOKUP(0,setup!$A$8:$H$58,5),VLOOKUP(N252,setup!$A$8:$H$58,8))</f>
        <v/>
      </c>
    </row>
    <row r="253" spans="1:15" x14ac:dyDescent="0.25">
      <c r="A253" s="2"/>
      <c r="O253" s="7" t="str">
        <f ca="1">getCodigoBackend(N253,A253,VLOOKUP(N253,setup!$A$8:$H$58,2),VLOOKUP(N253,setup!$A$8:$H$58,3),VLOOKUP(N253,setup!$A$8:$H$58,4),VLOOKUP(N253,setup!$A$8:$H$58,5),VLOOKUP(N253,setup!$A$8:$H$58,6),VLOOKUP(N253,setup!$A$8:$H$58,7), VLOOKUP(0,setup!$A$8:$H$58,2),VLOOKUP(0,setup!$A$8:$H$58,5),VLOOKUP(N253,setup!$A$8:$H$58,8))</f>
        <v/>
      </c>
    </row>
    <row r="254" spans="1:15" x14ac:dyDescent="0.25">
      <c r="A254" s="6"/>
      <c r="O254" s="7" t="str">
        <f ca="1">getCodigoBackend(N254,A254,VLOOKUP(N254,setup!$A$8:$H$58,2),VLOOKUP(N254,setup!$A$8:$H$58,3),VLOOKUP(N254,setup!$A$8:$H$58,4),VLOOKUP(N254,setup!$A$8:$H$58,5),VLOOKUP(N254,setup!$A$8:$H$58,6),VLOOKUP(N254,setup!$A$8:$H$58,7), VLOOKUP(0,setup!$A$8:$H$58,2),VLOOKUP(0,setup!$A$8:$H$58,5),VLOOKUP(N254,setup!$A$8:$H$58,8))</f>
        <v/>
      </c>
    </row>
    <row r="255" spans="1:15" x14ac:dyDescent="0.25">
      <c r="A255" s="5"/>
      <c r="O255" s="7" t="str">
        <f ca="1">getCodigoBackend(N255,A255,VLOOKUP(N255,setup!$A$8:$H$58,2),VLOOKUP(N255,setup!$A$8:$H$58,3),VLOOKUP(N255,setup!$A$8:$H$58,4),VLOOKUP(N255,setup!$A$8:$H$58,5),VLOOKUP(N255,setup!$A$8:$H$58,6),VLOOKUP(N255,setup!$A$8:$H$58,7), VLOOKUP(0,setup!$A$8:$H$58,2),VLOOKUP(0,setup!$A$8:$H$58,5),VLOOKUP(N255,setup!$A$8:$H$58,8))</f>
        <v/>
      </c>
    </row>
    <row r="256" spans="1:15" x14ac:dyDescent="0.25">
      <c r="A256" s="6"/>
      <c r="O256" s="7" t="str">
        <f ca="1">getCodigoBackend(N256,A256,VLOOKUP(N256,setup!$A$8:$H$58,2),VLOOKUP(N256,setup!$A$8:$H$58,3),VLOOKUP(N256,setup!$A$8:$H$58,4),VLOOKUP(N256,setup!$A$8:$H$58,5),VLOOKUP(N256,setup!$A$8:$H$58,6),VLOOKUP(N256,setup!$A$8:$H$58,7), VLOOKUP(0,setup!$A$8:$H$58,2),VLOOKUP(0,setup!$A$8:$H$58,5),VLOOKUP(N256,setup!$A$8:$H$58,8))</f>
        <v/>
      </c>
    </row>
    <row r="257" spans="1:15" x14ac:dyDescent="0.25">
      <c r="A257" s="10"/>
      <c r="O257" s="7" t="str">
        <f ca="1">getCodigoBackend(N257,A257,VLOOKUP(N257,setup!$A$8:$H$58,2),VLOOKUP(N257,setup!$A$8:$H$58,3),VLOOKUP(N257,setup!$A$8:$H$58,4),VLOOKUP(N257,setup!$A$8:$H$58,5),VLOOKUP(N257,setup!$A$8:$H$58,6),VLOOKUP(N257,setup!$A$8:$H$58,7), VLOOKUP(0,setup!$A$8:$H$58,2),VLOOKUP(0,setup!$A$8:$H$58,5),VLOOKUP(N257,setup!$A$8:$H$58,8))</f>
        <v/>
      </c>
    </row>
    <row r="258" spans="1:15" x14ac:dyDescent="0.25">
      <c r="A258" s="10"/>
      <c r="O258" s="7" t="str">
        <f ca="1">getCodigoBackend(N258,A258,VLOOKUP(N258,setup!$A$8:$H$58,2),VLOOKUP(N258,setup!$A$8:$H$58,3),VLOOKUP(N258,setup!$A$8:$H$58,4),VLOOKUP(N258,setup!$A$8:$H$58,5),VLOOKUP(N258,setup!$A$8:$H$58,6),VLOOKUP(N258,setup!$A$8:$H$58,7), VLOOKUP(0,setup!$A$8:$H$58,2),VLOOKUP(0,setup!$A$8:$H$58,5),VLOOKUP(N258,setup!$A$8:$H$58,8))</f>
        <v/>
      </c>
    </row>
    <row r="259" spans="1:15" x14ac:dyDescent="0.25">
      <c r="A259" s="10"/>
      <c r="O259" s="7" t="str">
        <f ca="1">getCodigoBackend(N259,A259,VLOOKUP(N259,setup!$A$8:$H$58,2),VLOOKUP(N259,setup!$A$8:$H$58,3),VLOOKUP(N259,setup!$A$8:$H$58,4),VLOOKUP(N259,setup!$A$8:$H$58,5),VLOOKUP(N259,setup!$A$8:$H$58,6),VLOOKUP(N259,setup!$A$8:$H$58,7), VLOOKUP(0,setup!$A$8:$H$58,2),VLOOKUP(0,setup!$A$8:$H$58,5),VLOOKUP(N259,setup!$A$8:$H$58,8))</f>
        <v/>
      </c>
    </row>
    <row r="260" spans="1:15" x14ac:dyDescent="0.25">
      <c r="A260" s="10"/>
      <c r="O260" s="7" t="str">
        <f ca="1">getCodigoBackend(N260,A260,VLOOKUP(N260,setup!$A$8:$H$58,2),VLOOKUP(N260,setup!$A$8:$H$58,3),VLOOKUP(N260,setup!$A$8:$H$58,4),VLOOKUP(N260,setup!$A$8:$H$58,5),VLOOKUP(N260,setup!$A$8:$H$58,6),VLOOKUP(N260,setup!$A$8:$H$58,7), VLOOKUP(0,setup!$A$8:$H$58,2),VLOOKUP(0,setup!$A$8:$H$58,5),VLOOKUP(N260,setup!$A$8:$H$58,8))</f>
        <v/>
      </c>
    </row>
    <row r="261" spans="1:15" x14ac:dyDescent="0.25">
      <c r="A261" s="10"/>
      <c r="O261" s="7" t="str">
        <f ca="1">getCodigoBackend(N261,A261,VLOOKUP(N261,setup!$A$8:$H$58,2),VLOOKUP(N261,setup!$A$8:$H$58,3),VLOOKUP(N261,setup!$A$8:$H$58,4),VLOOKUP(N261,setup!$A$8:$H$58,5),VLOOKUP(N261,setup!$A$8:$H$58,6),VLOOKUP(N261,setup!$A$8:$H$58,7), VLOOKUP(0,setup!$A$8:$H$58,2),VLOOKUP(0,setup!$A$8:$H$58,5),VLOOKUP(N261,setup!$A$8:$H$58,8))</f>
        <v/>
      </c>
    </row>
    <row r="262" spans="1:15" x14ac:dyDescent="0.25">
      <c r="A262" s="10"/>
      <c r="O262" s="7" t="str">
        <f ca="1">getCodigoBackend(N262,A262,VLOOKUP(N262,setup!$A$8:$H$58,2),VLOOKUP(N262,setup!$A$8:$H$58,3),VLOOKUP(N262,setup!$A$8:$H$58,4),VLOOKUP(N262,setup!$A$8:$H$58,5),VLOOKUP(N262,setup!$A$8:$H$58,6),VLOOKUP(N262,setup!$A$8:$H$58,7), VLOOKUP(0,setup!$A$8:$H$58,2),VLOOKUP(0,setup!$A$8:$H$58,5),VLOOKUP(N262,setup!$A$8:$H$58,8))</f>
        <v/>
      </c>
    </row>
    <row r="263" spans="1:15" x14ac:dyDescent="0.25">
      <c r="A263" s="10"/>
      <c r="O263" s="7" t="str">
        <f ca="1">getCodigoBackend(N263,A263,VLOOKUP(N263,setup!$A$8:$H$58,2),VLOOKUP(N263,setup!$A$8:$H$58,3),VLOOKUP(N263,setup!$A$8:$H$58,4),VLOOKUP(N263,setup!$A$8:$H$58,5),VLOOKUP(N263,setup!$A$8:$H$58,6),VLOOKUP(N263,setup!$A$8:$H$58,7), VLOOKUP(0,setup!$A$8:$H$58,2),VLOOKUP(0,setup!$A$8:$H$58,5),VLOOKUP(N263,setup!$A$8:$H$58,8))</f>
        <v/>
      </c>
    </row>
    <row r="264" spans="1:15" x14ac:dyDescent="0.25">
      <c r="A264" s="10"/>
      <c r="O264" s="7" t="str">
        <f ca="1">getCodigoBackend(N264,A264,VLOOKUP(N264,setup!$A$8:$H$58,2),VLOOKUP(N264,setup!$A$8:$H$58,3),VLOOKUP(N264,setup!$A$8:$H$58,4),VLOOKUP(N264,setup!$A$8:$H$58,5),VLOOKUP(N264,setup!$A$8:$H$58,6),VLOOKUP(N264,setup!$A$8:$H$58,7), VLOOKUP(0,setup!$A$8:$H$58,2),VLOOKUP(0,setup!$A$8:$H$58,5),VLOOKUP(N264,setup!$A$8:$H$58,8))</f>
        <v/>
      </c>
    </row>
    <row r="265" spans="1:15" x14ac:dyDescent="0.25">
      <c r="A265" s="10"/>
      <c r="O265" s="7" t="str">
        <f ca="1">getCodigoBackend(N265,A265,VLOOKUP(N265,setup!$A$8:$H$58,2),VLOOKUP(N265,setup!$A$8:$H$58,3),VLOOKUP(N265,setup!$A$8:$H$58,4),VLOOKUP(N265,setup!$A$8:$H$58,5),VLOOKUP(N265,setup!$A$8:$H$58,6),VLOOKUP(N265,setup!$A$8:$H$58,7), VLOOKUP(0,setup!$A$8:$H$58,2),VLOOKUP(0,setup!$A$8:$H$58,5),VLOOKUP(N265,setup!$A$8:$H$58,8))</f>
        <v/>
      </c>
    </row>
    <row r="266" spans="1:15" x14ac:dyDescent="0.25">
      <c r="A266" s="10"/>
      <c r="O266" s="7" t="str">
        <f ca="1">getCodigoBackend(N266,A266,VLOOKUP(N266,setup!$A$8:$H$58,2),VLOOKUP(N266,setup!$A$8:$H$58,3),VLOOKUP(N266,setup!$A$8:$H$58,4),VLOOKUP(N266,setup!$A$8:$H$58,5),VLOOKUP(N266,setup!$A$8:$H$58,6),VLOOKUP(N266,setup!$A$8:$H$58,7), VLOOKUP(0,setup!$A$8:$H$58,2),VLOOKUP(0,setup!$A$8:$H$58,5),VLOOKUP(N266,setup!$A$8:$H$58,8))</f>
        <v/>
      </c>
    </row>
    <row r="267" spans="1:15" x14ac:dyDescent="0.25">
      <c r="A267" s="10"/>
      <c r="O267" s="7" t="str">
        <f ca="1">getCodigoBackend(N267,A267,VLOOKUP(N267,setup!$A$8:$H$58,2),VLOOKUP(N267,setup!$A$8:$H$58,3),VLOOKUP(N267,setup!$A$8:$H$58,4),VLOOKUP(N267,setup!$A$8:$H$58,5),VLOOKUP(N267,setup!$A$8:$H$58,6),VLOOKUP(N267,setup!$A$8:$H$58,7), VLOOKUP(0,setup!$A$8:$H$58,2),VLOOKUP(0,setup!$A$8:$H$58,5),VLOOKUP(N267,setup!$A$8:$H$58,8))</f>
        <v/>
      </c>
    </row>
    <row r="268" spans="1:15" x14ac:dyDescent="0.25">
      <c r="A268" s="10"/>
      <c r="O268" s="7" t="str">
        <f ca="1">getCodigoBackend(N268,A268,VLOOKUP(N268,setup!$A$8:$H$58,2),VLOOKUP(N268,setup!$A$8:$H$58,3),VLOOKUP(N268,setup!$A$8:$H$58,4),VLOOKUP(N268,setup!$A$8:$H$58,5),VLOOKUP(N268,setup!$A$8:$H$58,6),VLOOKUP(N268,setup!$A$8:$H$58,7), VLOOKUP(0,setup!$A$8:$H$58,2),VLOOKUP(0,setup!$A$8:$H$58,5),VLOOKUP(N268,setup!$A$8:$H$58,8))</f>
        <v/>
      </c>
    </row>
    <row r="269" spans="1:15" x14ac:dyDescent="0.25">
      <c r="A269" s="10"/>
      <c r="O269" s="7" t="str">
        <f ca="1">getCodigoBackend(N269,A269,VLOOKUP(N269,setup!$A$8:$H$58,2),VLOOKUP(N269,setup!$A$8:$H$58,3),VLOOKUP(N269,setup!$A$8:$H$58,4),VLOOKUP(N269,setup!$A$8:$H$58,5),VLOOKUP(N269,setup!$A$8:$H$58,6),VLOOKUP(N269,setup!$A$8:$H$58,7), VLOOKUP(0,setup!$A$8:$H$58,2),VLOOKUP(0,setup!$A$8:$H$58,5),VLOOKUP(N269,setup!$A$8:$H$58,8))</f>
        <v/>
      </c>
    </row>
    <row r="270" spans="1:15" x14ac:dyDescent="0.25">
      <c r="A270" s="10"/>
      <c r="O270" s="7" t="str">
        <f ca="1">getCodigoBackend(N270,A270,VLOOKUP(N270,setup!$A$8:$H$58,2),VLOOKUP(N270,setup!$A$8:$H$58,3),VLOOKUP(N270,setup!$A$8:$H$58,4),VLOOKUP(N270,setup!$A$8:$H$58,5),VLOOKUP(N270,setup!$A$8:$H$58,6),VLOOKUP(N270,setup!$A$8:$H$58,7), VLOOKUP(0,setup!$A$8:$H$58,2),VLOOKUP(0,setup!$A$8:$H$58,5),VLOOKUP(N270,setup!$A$8:$H$58,8))</f>
        <v/>
      </c>
    </row>
    <row r="271" spans="1:15" x14ac:dyDescent="0.25">
      <c r="A271" s="10"/>
      <c r="O271" s="7" t="str">
        <f ca="1">getCodigoBackend(N271,A271,VLOOKUP(N271,setup!$A$8:$H$58,2),VLOOKUP(N271,setup!$A$8:$H$58,3),VLOOKUP(N271,setup!$A$8:$H$58,4),VLOOKUP(N271,setup!$A$8:$H$58,5),VLOOKUP(N271,setup!$A$8:$H$58,6),VLOOKUP(N271,setup!$A$8:$H$58,7), VLOOKUP(0,setup!$A$8:$H$58,2),VLOOKUP(0,setup!$A$8:$H$58,5),VLOOKUP(N271,setup!$A$8:$H$58,8))</f>
        <v/>
      </c>
    </row>
    <row r="272" spans="1:15" x14ac:dyDescent="0.25">
      <c r="A272" s="10"/>
      <c r="O272" s="7" t="str">
        <f ca="1">getCodigoBackend(N272,A272,VLOOKUP(N272,setup!$A$8:$H$58,2),VLOOKUP(N272,setup!$A$8:$H$58,3),VLOOKUP(N272,setup!$A$8:$H$58,4),VLOOKUP(N272,setup!$A$8:$H$58,5),VLOOKUP(N272,setup!$A$8:$H$58,6),VLOOKUP(N272,setup!$A$8:$H$58,7), VLOOKUP(0,setup!$A$8:$H$58,2),VLOOKUP(0,setup!$A$8:$H$58,5),VLOOKUP(N272,setup!$A$8:$H$58,8))</f>
        <v/>
      </c>
    </row>
    <row r="273" spans="1:15" x14ac:dyDescent="0.25">
      <c r="A273" s="10"/>
      <c r="O273" s="7" t="str">
        <f ca="1">getCodigoBackend(N273,A273,VLOOKUP(N273,setup!$A$8:$H$58,2),VLOOKUP(N273,setup!$A$8:$H$58,3),VLOOKUP(N273,setup!$A$8:$H$58,4),VLOOKUP(N273,setup!$A$8:$H$58,5),VLOOKUP(N273,setup!$A$8:$H$58,6),VLOOKUP(N273,setup!$A$8:$H$58,7), VLOOKUP(0,setup!$A$8:$H$58,2),VLOOKUP(0,setup!$A$8:$H$58,5),VLOOKUP(N273,setup!$A$8:$H$58,8))</f>
        <v/>
      </c>
    </row>
    <row r="274" spans="1:15" x14ac:dyDescent="0.25">
      <c r="A274" s="10"/>
      <c r="O274" s="7" t="str">
        <f ca="1">getCodigoBackend(N274,A274,VLOOKUP(N274,setup!$A$8:$H$58,2),VLOOKUP(N274,setup!$A$8:$H$58,3),VLOOKUP(N274,setup!$A$8:$H$58,4),VLOOKUP(N274,setup!$A$8:$H$58,5),VLOOKUP(N274,setup!$A$8:$H$58,6),VLOOKUP(N274,setup!$A$8:$H$58,7), VLOOKUP(0,setup!$A$8:$H$58,2),VLOOKUP(0,setup!$A$8:$H$58,5),VLOOKUP(N274,setup!$A$8:$H$58,8))</f>
        <v/>
      </c>
    </row>
    <row r="275" spans="1:15" x14ac:dyDescent="0.25">
      <c r="A275" s="10"/>
      <c r="O275" s="7" t="str">
        <f ca="1">getCodigoBackend(N275,A275,VLOOKUP(N275,setup!$A$8:$H$58,2),VLOOKUP(N275,setup!$A$8:$H$58,3),VLOOKUP(N275,setup!$A$8:$H$58,4),VLOOKUP(N275,setup!$A$8:$H$58,5),VLOOKUP(N275,setup!$A$8:$H$58,6),VLOOKUP(N275,setup!$A$8:$H$58,7), VLOOKUP(0,setup!$A$8:$H$58,2),VLOOKUP(0,setup!$A$8:$H$58,5),VLOOKUP(N275,setup!$A$8:$H$58,8))</f>
        <v/>
      </c>
    </row>
    <row r="276" spans="1:15" x14ac:dyDescent="0.25">
      <c r="A276" s="10"/>
      <c r="O276" s="7" t="str">
        <f ca="1">getCodigoBackend(N276,A276,VLOOKUP(N276,setup!$A$8:$H$58,2),VLOOKUP(N276,setup!$A$8:$H$58,3),VLOOKUP(N276,setup!$A$8:$H$58,4),VLOOKUP(N276,setup!$A$8:$H$58,5),VLOOKUP(N276,setup!$A$8:$H$58,6),VLOOKUP(N276,setup!$A$8:$H$58,7), VLOOKUP(0,setup!$A$8:$H$58,2),VLOOKUP(0,setup!$A$8:$H$58,5),VLOOKUP(N276,setup!$A$8:$H$58,8))</f>
        <v/>
      </c>
    </row>
    <row r="277" spans="1:15" x14ac:dyDescent="0.25">
      <c r="A277" s="10"/>
      <c r="O277" s="7" t="str">
        <f ca="1">getCodigoBackend(N277,A277,VLOOKUP(N277,setup!$A$8:$H$58,2),VLOOKUP(N277,setup!$A$8:$H$58,3),VLOOKUP(N277,setup!$A$8:$H$58,4),VLOOKUP(N277,setup!$A$8:$H$58,5),VLOOKUP(N277,setup!$A$8:$H$58,6),VLOOKUP(N277,setup!$A$8:$H$58,7), VLOOKUP(0,setup!$A$8:$H$58,2),VLOOKUP(0,setup!$A$8:$H$58,5),VLOOKUP(N277,setup!$A$8:$H$58,8))</f>
        <v/>
      </c>
    </row>
    <row r="278" spans="1:15" x14ac:dyDescent="0.25">
      <c r="A278" s="10"/>
      <c r="O278" s="7" t="str">
        <f ca="1">getCodigoBackend(N278,A278,VLOOKUP(N278,setup!$A$8:$H$58,2),VLOOKUP(N278,setup!$A$8:$H$58,3),VLOOKUP(N278,setup!$A$8:$H$58,4),VLOOKUP(N278,setup!$A$8:$H$58,5),VLOOKUP(N278,setup!$A$8:$H$58,6),VLOOKUP(N278,setup!$A$8:$H$58,7), VLOOKUP(0,setup!$A$8:$H$58,2),VLOOKUP(0,setup!$A$8:$H$58,5),VLOOKUP(N278,setup!$A$8:$H$58,8))</f>
        <v/>
      </c>
    </row>
    <row r="279" spans="1:15" x14ac:dyDescent="0.25">
      <c r="A279" s="10"/>
      <c r="O279" s="7" t="str">
        <f ca="1">getCodigoBackend(N279,A279,VLOOKUP(N279,setup!$A$8:$H$58,2),VLOOKUP(N279,setup!$A$8:$H$58,3),VLOOKUP(N279,setup!$A$8:$H$58,4),VLOOKUP(N279,setup!$A$8:$H$58,5),VLOOKUP(N279,setup!$A$8:$H$58,6),VLOOKUP(N279,setup!$A$8:$H$58,7), VLOOKUP(0,setup!$A$8:$H$58,2),VLOOKUP(0,setup!$A$8:$H$58,5),VLOOKUP(N279,setup!$A$8:$H$58,8))</f>
        <v/>
      </c>
    </row>
    <row r="280" spans="1:15" x14ac:dyDescent="0.25">
      <c r="A280" s="10"/>
      <c r="O280" s="7" t="str">
        <f ca="1">getCodigoBackend(N280,A280,VLOOKUP(N280,setup!$A$8:$H$58,2),VLOOKUP(N280,setup!$A$8:$H$58,3),VLOOKUP(N280,setup!$A$8:$H$58,4),VLOOKUP(N280,setup!$A$8:$H$58,5),VLOOKUP(N280,setup!$A$8:$H$58,6),VLOOKUP(N280,setup!$A$8:$H$58,7), VLOOKUP(0,setup!$A$8:$H$58,2),VLOOKUP(0,setup!$A$8:$H$58,5),VLOOKUP(N280,setup!$A$8:$H$58,8))</f>
        <v/>
      </c>
    </row>
    <row r="281" spans="1:15" x14ac:dyDescent="0.25">
      <c r="A281" s="10"/>
      <c r="O281" s="7" t="str">
        <f ca="1">getCodigoBackend(N281,A281,VLOOKUP(N281,setup!$A$8:$H$58,2),VLOOKUP(N281,setup!$A$8:$H$58,3),VLOOKUP(N281,setup!$A$8:$H$58,4),VLOOKUP(N281,setup!$A$8:$H$58,5),VLOOKUP(N281,setup!$A$8:$H$58,6),VLOOKUP(N281,setup!$A$8:$H$58,7), VLOOKUP(0,setup!$A$8:$H$58,2),VLOOKUP(0,setup!$A$8:$H$58,5),VLOOKUP(N281,setup!$A$8:$H$58,8))</f>
        <v/>
      </c>
    </row>
    <row r="282" spans="1:15" x14ac:dyDescent="0.25">
      <c r="A282" s="10"/>
      <c r="O282" s="7" t="str">
        <f ca="1">getCodigoBackend(N282,A282,VLOOKUP(N282,setup!$A$8:$H$58,2),VLOOKUP(N282,setup!$A$8:$H$58,3),VLOOKUP(N282,setup!$A$8:$H$58,4),VLOOKUP(N282,setup!$A$8:$H$58,5),VLOOKUP(N282,setup!$A$8:$H$58,6),VLOOKUP(N282,setup!$A$8:$H$58,7), VLOOKUP(0,setup!$A$8:$H$58,2),VLOOKUP(0,setup!$A$8:$H$58,5),VLOOKUP(N282,setup!$A$8:$H$58,8))</f>
        <v/>
      </c>
    </row>
    <row r="283" spans="1:15" x14ac:dyDescent="0.25">
      <c r="A283" s="10"/>
      <c r="O283" s="7" t="str">
        <f ca="1">getCodigoBackend(N283,A283,VLOOKUP(N283,setup!$A$8:$H$58,2),VLOOKUP(N283,setup!$A$8:$H$58,3),VLOOKUP(N283,setup!$A$8:$H$58,4),VLOOKUP(N283,setup!$A$8:$H$58,5),VLOOKUP(N283,setup!$A$8:$H$58,6),VLOOKUP(N283,setup!$A$8:$H$58,7), VLOOKUP(0,setup!$A$8:$H$58,2),VLOOKUP(0,setup!$A$8:$H$58,5),VLOOKUP(N283,setup!$A$8:$H$58,8))</f>
        <v/>
      </c>
    </row>
    <row r="284" spans="1:15" x14ac:dyDescent="0.25">
      <c r="A284" s="10"/>
      <c r="O284" s="7" t="str">
        <f ca="1">getCodigoBackend(N284,A284,VLOOKUP(N284,setup!$A$8:$H$58,2),VLOOKUP(N284,setup!$A$8:$H$58,3),VLOOKUP(N284,setup!$A$8:$H$58,4),VLOOKUP(N284,setup!$A$8:$H$58,5),VLOOKUP(N284,setup!$A$8:$H$58,6),VLOOKUP(N284,setup!$A$8:$H$58,7), VLOOKUP(0,setup!$A$8:$H$58,2),VLOOKUP(0,setup!$A$8:$H$58,5),VLOOKUP(N284,setup!$A$8:$H$58,8))</f>
        <v/>
      </c>
    </row>
    <row r="285" spans="1:15" x14ac:dyDescent="0.25">
      <c r="A285" s="10"/>
      <c r="O285" s="7" t="str">
        <f ca="1">getCodigoBackend(N285,A285,VLOOKUP(N285,setup!$A$8:$H$58,2),VLOOKUP(N285,setup!$A$8:$H$58,3),VLOOKUP(N285,setup!$A$8:$H$58,4),VLOOKUP(N285,setup!$A$8:$H$58,5),VLOOKUP(N285,setup!$A$8:$H$58,6),VLOOKUP(N285,setup!$A$8:$H$58,7), VLOOKUP(0,setup!$A$8:$H$58,2),VLOOKUP(0,setup!$A$8:$H$58,5),VLOOKUP(N285,setup!$A$8:$H$58,8))</f>
        <v/>
      </c>
    </row>
    <row r="286" spans="1:15" x14ac:dyDescent="0.25">
      <c r="A286" s="10"/>
      <c r="O286" s="7" t="str">
        <f ca="1">getCodigoBackend(N286,A286,VLOOKUP(N286,setup!$A$8:$H$58,2),VLOOKUP(N286,setup!$A$8:$H$58,3),VLOOKUP(N286,setup!$A$8:$H$58,4),VLOOKUP(N286,setup!$A$8:$H$58,5),VLOOKUP(N286,setup!$A$8:$H$58,6),VLOOKUP(N286,setup!$A$8:$H$58,7), VLOOKUP(0,setup!$A$8:$H$58,2),VLOOKUP(0,setup!$A$8:$H$58,5),VLOOKUP(N286,setup!$A$8:$H$58,8))</f>
        <v/>
      </c>
    </row>
    <row r="287" spans="1:15" x14ac:dyDescent="0.25">
      <c r="A287" s="10"/>
      <c r="O287" s="7" t="str">
        <f ca="1">getCodigoBackend(N287,A287,VLOOKUP(N287,setup!$A$8:$H$58,2),VLOOKUP(N287,setup!$A$8:$H$58,3),VLOOKUP(N287,setup!$A$8:$H$58,4),VLOOKUP(N287,setup!$A$8:$H$58,5),VLOOKUP(N287,setup!$A$8:$H$58,6),VLOOKUP(N287,setup!$A$8:$H$58,7), VLOOKUP(0,setup!$A$8:$H$58,2),VLOOKUP(0,setup!$A$8:$H$58,5),VLOOKUP(N287,setup!$A$8:$H$58,8))</f>
        <v/>
      </c>
    </row>
    <row r="288" spans="1:15" x14ac:dyDescent="0.25">
      <c r="A288" s="10"/>
      <c r="O288" s="7" t="str">
        <f ca="1">getCodigoBackend(N288,A288,VLOOKUP(N288,setup!$A$8:$H$58,2),VLOOKUP(N288,setup!$A$8:$H$58,3),VLOOKUP(N288,setup!$A$8:$H$58,4),VLOOKUP(N288,setup!$A$8:$H$58,5),VLOOKUP(N288,setup!$A$8:$H$58,6),VLOOKUP(N288,setup!$A$8:$H$58,7), VLOOKUP(0,setup!$A$8:$H$58,2),VLOOKUP(0,setup!$A$8:$H$58,5),VLOOKUP(N288,setup!$A$8:$H$58,8))</f>
        <v/>
      </c>
    </row>
    <row r="289" spans="1:15" x14ac:dyDescent="0.25">
      <c r="A289" s="10"/>
      <c r="O289" s="7" t="str">
        <f ca="1">getCodigoBackend(N289,A289,VLOOKUP(N289,setup!$A$8:$H$58,2),VLOOKUP(N289,setup!$A$8:$H$58,3),VLOOKUP(N289,setup!$A$8:$H$58,4),VLOOKUP(N289,setup!$A$8:$H$58,5),VLOOKUP(N289,setup!$A$8:$H$58,6),VLOOKUP(N289,setup!$A$8:$H$58,7), VLOOKUP(0,setup!$A$8:$H$58,2),VLOOKUP(0,setup!$A$8:$H$58,5),VLOOKUP(N289,setup!$A$8:$H$58,8))</f>
        <v/>
      </c>
    </row>
    <row r="290" spans="1:15" x14ac:dyDescent="0.25">
      <c r="A290" s="10"/>
      <c r="O290" s="7" t="str">
        <f ca="1">getCodigoBackend(N290,A290,VLOOKUP(N290,setup!$A$8:$H$58,2),VLOOKUP(N290,setup!$A$8:$H$58,3),VLOOKUP(N290,setup!$A$8:$H$58,4),VLOOKUP(N290,setup!$A$8:$H$58,5),VLOOKUP(N290,setup!$A$8:$H$58,6),VLOOKUP(N290,setup!$A$8:$H$58,7), VLOOKUP(0,setup!$A$8:$H$58,2),VLOOKUP(0,setup!$A$8:$H$58,5),VLOOKUP(N290,setup!$A$8:$H$58,8))</f>
        <v/>
      </c>
    </row>
    <row r="291" spans="1:15" x14ac:dyDescent="0.25">
      <c r="A291" s="10"/>
      <c r="O291" s="7" t="str">
        <f ca="1">getCodigoBackend(N291,A291,VLOOKUP(N291,setup!$A$8:$H$58,2),VLOOKUP(N291,setup!$A$8:$H$58,3),VLOOKUP(N291,setup!$A$8:$H$58,4),VLOOKUP(N291,setup!$A$8:$H$58,5),VLOOKUP(N291,setup!$A$8:$H$58,6),VLOOKUP(N291,setup!$A$8:$H$58,7), VLOOKUP(0,setup!$A$8:$H$58,2),VLOOKUP(0,setup!$A$8:$H$58,5),VLOOKUP(N291,setup!$A$8:$H$58,8))</f>
        <v/>
      </c>
    </row>
    <row r="292" spans="1:15" x14ac:dyDescent="0.25">
      <c r="A292" s="10"/>
      <c r="O292" s="7" t="str">
        <f ca="1">getCodigoBackend(N292,A292,VLOOKUP(N292,setup!$A$8:$H$58,2),VLOOKUP(N292,setup!$A$8:$H$58,3),VLOOKUP(N292,setup!$A$8:$H$58,4),VLOOKUP(N292,setup!$A$8:$H$58,5),VLOOKUP(N292,setup!$A$8:$H$58,6),VLOOKUP(N292,setup!$A$8:$H$58,7), VLOOKUP(0,setup!$A$8:$H$58,2),VLOOKUP(0,setup!$A$8:$H$58,5),VLOOKUP(N292,setup!$A$8:$H$58,8))</f>
        <v/>
      </c>
    </row>
    <row r="293" spans="1:15" x14ac:dyDescent="0.25">
      <c r="A293" s="10"/>
      <c r="O293" s="7" t="str">
        <f ca="1">getCodigoBackend(N293,A293,VLOOKUP(N293,setup!$A$8:$H$58,2),VLOOKUP(N293,setup!$A$8:$H$58,3),VLOOKUP(N293,setup!$A$8:$H$58,4),VLOOKUP(N293,setup!$A$8:$H$58,5),VLOOKUP(N293,setup!$A$8:$H$58,6),VLOOKUP(N293,setup!$A$8:$H$58,7), VLOOKUP(0,setup!$A$8:$H$58,2),VLOOKUP(0,setup!$A$8:$H$58,5),VLOOKUP(N293,setup!$A$8:$H$58,8))</f>
        <v/>
      </c>
    </row>
    <row r="294" spans="1:15" x14ac:dyDescent="0.25">
      <c r="A294" s="10"/>
      <c r="O294" s="7" t="str">
        <f ca="1">getCodigoBackend(N294,A294,VLOOKUP(N294,setup!$A$8:$H$58,2),VLOOKUP(N294,setup!$A$8:$H$58,3),VLOOKUP(N294,setup!$A$8:$H$58,4),VLOOKUP(N294,setup!$A$8:$H$58,5),VLOOKUP(N294,setup!$A$8:$H$58,6),VLOOKUP(N294,setup!$A$8:$H$58,7), VLOOKUP(0,setup!$A$8:$H$58,2),VLOOKUP(0,setup!$A$8:$H$58,5),VLOOKUP(N294,setup!$A$8:$H$58,8))</f>
        <v/>
      </c>
    </row>
    <row r="295" spans="1:15" x14ac:dyDescent="0.25">
      <c r="A295" s="10"/>
      <c r="O295" s="7" t="str">
        <f ca="1">getCodigoBackend(N295,A295,VLOOKUP(N295,setup!$A$8:$H$58,2),VLOOKUP(N295,setup!$A$8:$H$58,3),VLOOKUP(N295,setup!$A$8:$H$58,4),VLOOKUP(N295,setup!$A$8:$H$58,5),VLOOKUP(N295,setup!$A$8:$H$58,6),VLOOKUP(N295,setup!$A$8:$H$58,7), VLOOKUP(0,setup!$A$8:$H$58,2),VLOOKUP(0,setup!$A$8:$H$58,5),VLOOKUP(N295,setup!$A$8:$H$58,8))</f>
        <v/>
      </c>
    </row>
    <row r="296" spans="1:15" x14ac:dyDescent="0.25">
      <c r="A296" s="10"/>
      <c r="O296" s="7" t="str">
        <f ca="1">getCodigoBackend(N296,A296,VLOOKUP(N296,setup!$A$8:$H$58,2),VLOOKUP(N296,setup!$A$8:$H$58,3),VLOOKUP(N296,setup!$A$8:$H$58,4),VLOOKUP(N296,setup!$A$8:$H$58,5),VLOOKUP(N296,setup!$A$8:$H$58,6),VLOOKUP(N296,setup!$A$8:$H$58,7), VLOOKUP(0,setup!$A$8:$H$58,2),VLOOKUP(0,setup!$A$8:$H$58,5),VLOOKUP(N296,setup!$A$8:$H$58,8))</f>
        <v/>
      </c>
    </row>
    <row r="297" spans="1:15" x14ac:dyDescent="0.25">
      <c r="A297" s="10"/>
      <c r="O297" s="7" t="str">
        <f ca="1">getCodigoBackend(N297,A297,VLOOKUP(N297,setup!$A$8:$H$58,2),VLOOKUP(N297,setup!$A$8:$H$58,3),VLOOKUP(N297,setup!$A$8:$H$58,4),VLOOKUP(N297,setup!$A$8:$H$58,5),VLOOKUP(N297,setup!$A$8:$H$58,6),VLOOKUP(N297,setup!$A$8:$H$58,7), VLOOKUP(0,setup!$A$8:$H$58,2),VLOOKUP(0,setup!$A$8:$H$58,5),VLOOKUP(N297,setup!$A$8:$H$58,8))</f>
        <v/>
      </c>
    </row>
    <row r="298" spans="1:15" x14ac:dyDescent="0.25">
      <c r="A298" s="10"/>
      <c r="O298" s="7" t="str">
        <f ca="1">getCodigoBackend(N298,A298,VLOOKUP(N298,setup!$A$8:$H$58,2),VLOOKUP(N298,setup!$A$8:$H$58,3),VLOOKUP(N298,setup!$A$8:$H$58,4),VLOOKUP(N298,setup!$A$8:$H$58,5),VLOOKUP(N298,setup!$A$8:$H$58,6),VLOOKUP(N298,setup!$A$8:$H$58,7), VLOOKUP(0,setup!$A$8:$H$58,2),VLOOKUP(0,setup!$A$8:$H$58,5),VLOOKUP(N298,setup!$A$8:$H$58,8))</f>
        <v/>
      </c>
    </row>
    <row r="299" spans="1:15" x14ac:dyDescent="0.25">
      <c r="A299" s="10"/>
      <c r="O299" s="7" t="str">
        <f ca="1">getCodigoBackend(N299,A299,VLOOKUP(N299,setup!$A$8:$H$58,2),VLOOKUP(N299,setup!$A$8:$H$58,3),VLOOKUP(N299,setup!$A$8:$H$58,4),VLOOKUP(N299,setup!$A$8:$H$58,5),VLOOKUP(N299,setup!$A$8:$H$58,6),VLOOKUP(N299,setup!$A$8:$H$58,7), VLOOKUP(0,setup!$A$8:$H$58,2),VLOOKUP(0,setup!$A$8:$H$58,5),VLOOKUP(N299,setup!$A$8:$H$58,8))</f>
        <v/>
      </c>
    </row>
    <row r="300" spans="1:15" x14ac:dyDescent="0.25">
      <c r="A300" s="10"/>
      <c r="O300" s="7" t="str">
        <f ca="1">getCodigoBackend(N300,A300,VLOOKUP(N300,setup!$A$8:$H$58,2),VLOOKUP(N300,setup!$A$8:$H$58,3),VLOOKUP(N300,setup!$A$8:$H$58,4),VLOOKUP(N300,setup!$A$8:$H$58,5),VLOOKUP(N300,setup!$A$8:$H$58,6),VLOOKUP(N300,setup!$A$8:$H$58,7), VLOOKUP(0,setup!$A$8:$H$58,2),VLOOKUP(0,setup!$A$8:$H$58,5),VLOOKUP(N300,setup!$A$8:$H$58,8))</f>
        <v/>
      </c>
    </row>
    <row r="301" spans="1:15" x14ac:dyDescent="0.25">
      <c r="A301" s="10"/>
      <c r="O301" s="7" t="str">
        <f ca="1">getCodigoBackend(N301,A301,VLOOKUP(N301,setup!$A$8:$H$58,2),VLOOKUP(N301,setup!$A$8:$H$58,3),VLOOKUP(N301,setup!$A$8:$H$58,4),VLOOKUP(N301,setup!$A$8:$H$58,5),VLOOKUP(N301,setup!$A$8:$H$58,6),VLOOKUP(N301,setup!$A$8:$H$58,7), VLOOKUP(0,setup!$A$8:$H$58,2),VLOOKUP(0,setup!$A$8:$H$58,5),VLOOKUP(N301,setup!$A$8:$H$58,8))</f>
        <v/>
      </c>
    </row>
    <row r="302" spans="1:15" x14ac:dyDescent="0.25">
      <c r="A302" s="10"/>
      <c r="O302" s="7" t="str">
        <f ca="1">getCodigoBackend(N302,A302,VLOOKUP(N302,setup!$A$8:$H$58,2),VLOOKUP(N302,setup!$A$8:$H$58,3),VLOOKUP(N302,setup!$A$8:$H$58,4),VLOOKUP(N302,setup!$A$8:$H$58,5),VLOOKUP(N302,setup!$A$8:$H$58,6),VLOOKUP(N302,setup!$A$8:$H$58,7), VLOOKUP(0,setup!$A$8:$H$58,2),VLOOKUP(0,setup!$A$8:$H$58,5),VLOOKUP(N302,setup!$A$8:$H$58,8))</f>
        <v/>
      </c>
    </row>
    <row r="303" spans="1:15" x14ac:dyDescent="0.25">
      <c r="A303" s="10"/>
      <c r="O303" s="7" t="str">
        <f ca="1">getCodigoBackend(N303,A303,VLOOKUP(N303,setup!$A$8:$H$58,2),VLOOKUP(N303,setup!$A$8:$H$58,3),VLOOKUP(N303,setup!$A$8:$H$58,4),VLOOKUP(N303,setup!$A$8:$H$58,5),VLOOKUP(N303,setup!$A$8:$H$58,6),VLOOKUP(N303,setup!$A$8:$H$58,7), VLOOKUP(0,setup!$A$8:$H$58,2),VLOOKUP(0,setup!$A$8:$H$58,5),VLOOKUP(N303,setup!$A$8:$H$58,8))</f>
        <v/>
      </c>
    </row>
    <row r="304" spans="1:15" x14ac:dyDescent="0.25">
      <c r="A304" s="10"/>
      <c r="O304" s="7" t="str">
        <f ca="1">getCodigoBackend(N304,A304,VLOOKUP(N304,setup!$A$8:$H$58,2),VLOOKUP(N304,setup!$A$8:$H$58,3),VLOOKUP(N304,setup!$A$8:$H$58,4),VLOOKUP(N304,setup!$A$8:$H$58,5),VLOOKUP(N304,setup!$A$8:$H$58,6),VLOOKUP(N304,setup!$A$8:$H$58,7), VLOOKUP(0,setup!$A$8:$H$58,2),VLOOKUP(0,setup!$A$8:$H$58,5),VLOOKUP(N304,setup!$A$8:$H$58,8))</f>
        <v/>
      </c>
    </row>
    <row r="305" spans="1:15" x14ac:dyDescent="0.25">
      <c r="A305" s="10"/>
      <c r="O305" s="7" t="str">
        <f ca="1">getCodigoBackend(N305,A305,VLOOKUP(N305,setup!$A$8:$H$58,2),VLOOKUP(N305,setup!$A$8:$H$58,3),VLOOKUP(N305,setup!$A$8:$H$58,4),VLOOKUP(N305,setup!$A$8:$H$58,5),VLOOKUP(N305,setup!$A$8:$H$58,6),VLOOKUP(N305,setup!$A$8:$H$58,7), VLOOKUP(0,setup!$A$8:$H$58,2),VLOOKUP(0,setup!$A$8:$H$58,5),VLOOKUP(N305,setup!$A$8:$H$58,8))</f>
        <v/>
      </c>
    </row>
    <row r="306" spans="1:15" x14ac:dyDescent="0.25">
      <c r="A306" s="10"/>
      <c r="O306" s="7" t="str">
        <f ca="1">getCodigoBackend(N306,A306,VLOOKUP(N306,setup!$A$8:$H$58,2),VLOOKUP(N306,setup!$A$8:$H$58,3),VLOOKUP(N306,setup!$A$8:$H$58,4),VLOOKUP(N306,setup!$A$8:$H$58,5),VLOOKUP(N306,setup!$A$8:$H$58,6),VLOOKUP(N306,setup!$A$8:$H$58,7), VLOOKUP(0,setup!$A$8:$H$58,2),VLOOKUP(0,setup!$A$8:$H$58,5),VLOOKUP(N306,setup!$A$8:$H$58,8))</f>
        <v/>
      </c>
    </row>
    <row r="307" spans="1:15" x14ac:dyDescent="0.25">
      <c r="A307" s="10"/>
      <c r="O307" s="7" t="str">
        <f ca="1">getCodigoBackend(N307,A307,VLOOKUP(N307,setup!$A$8:$H$58,2),VLOOKUP(N307,setup!$A$8:$H$58,3),VLOOKUP(N307,setup!$A$8:$H$58,4),VLOOKUP(N307,setup!$A$8:$H$58,5),VLOOKUP(N307,setup!$A$8:$H$58,6),VLOOKUP(N307,setup!$A$8:$H$58,7), VLOOKUP(0,setup!$A$8:$H$58,2),VLOOKUP(0,setup!$A$8:$H$58,5),VLOOKUP(N307,setup!$A$8:$H$58,8))</f>
        <v/>
      </c>
    </row>
    <row r="308" spans="1:15" x14ac:dyDescent="0.25">
      <c r="A308" s="1"/>
      <c r="O308" s="7" t="str">
        <f ca="1">getCodigoBackend(N308,A308,VLOOKUP(N308,setup!$A$8:$H$58,2),VLOOKUP(N308,setup!$A$8:$H$58,3),VLOOKUP(N308,setup!$A$8:$H$58,4),VLOOKUP(N308,setup!$A$8:$H$58,5),VLOOKUP(N308,setup!$A$8:$H$58,6),VLOOKUP(N308,setup!$A$8:$H$58,7), VLOOKUP(0,setup!$A$8:$H$58,2),VLOOKUP(0,setup!$A$8:$H$58,5),VLOOKUP(N308,setup!$A$8:$H$58,8))</f>
        <v/>
      </c>
    </row>
    <row r="309" spans="1:15" x14ac:dyDescent="0.25">
      <c r="A309" s="1"/>
      <c r="O309" s="7" t="str">
        <f ca="1">getCodigoBackend(N309,A309,VLOOKUP(N309,setup!$A$8:$H$58,2),VLOOKUP(N309,setup!$A$8:$H$58,3),VLOOKUP(N309,setup!$A$8:$H$58,4),VLOOKUP(N309,setup!$A$8:$H$58,5),VLOOKUP(N309,setup!$A$8:$H$58,6),VLOOKUP(N309,setup!$A$8:$H$58,7), VLOOKUP(0,setup!$A$8:$H$58,2),VLOOKUP(0,setup!$A$8:$H$58,5),VLOOKUP(N309,setup!$A$8:$H$58,8))</f>
        <v/>
      </c>
    </row>
    <row r="310" spans="1:15" x14ac:dyDescent="0.25">
      <c r="A310" s="1"/>
      <c r="O310" s="7" t="str">
        <f ca="1">getCodigoBackend(N310,A310,VLOOKUP(N310,setup!$A$8:$H$58,2),VLOOKUP(N310,setup!$A$8:$H$58,3),VLOOKUP(N310,setup!$A$8:$H$58,4),VLOOKUP(N310,setup!$A$8:$H$58,5),VLOOKUP(N310,setup!$A$8:$H$58,6),VLOOKUP(N310,setup!$A$8:$H$58,7), VLOOKUP(0,setup!$A$8:$H$58,2),VLOOKUP(0,setup!$A$8:$H$58,5),VLOOKUP(N310,setup!$A$8:$H$58,8))</f>
        <v/>
      </c>
    </row>
    <row r="311" spans="1:15" x14ac:dyDescent="0.25">
      <c r="A311" s="1"/>
      <c r="O311" s="7" t="str">
        <f ca="1">getCodigoBackend(N311,A311,VLOOKUP(N311,setup!$A$8:$H$58,2),VLOOKUP(N311,setup!$A$8:$H$58,3),VLOOKUP(N311,setup!$A$8:$H$58,4),VLOOKUP(N311,setup!$A$8:$H$58,5),VLOOKUP(N311,setup!$A$8:$H$58,6),VLOOKUP(N311,setup!$A$8:$H$58,7), VLOOKUP(0,setup!$A$8:$H$58,2),VLOOKUP(0,setup!$A$8:$H$58,5),VLOOKUP(N311,setup!$A$8:$H$58,8))</f>
        <v/>
      </c>
    </row>
    <row r="312" spans="1:15" x14ac:dyDescent="0.25">
      <c r="A312" s="6"/>
      <c r="O312" s="7" t="str">
        <f ca="1">getCodigoBackend(N312,A312,VLOOKUP(N312,setup!$A$8:$H$58,2),VLOOKUP(N312,setup!$A$8:$H$58,3),VLOOKUP(N312,setup!$A$8:$H$58,4),VLOOKUP(N312,setup!$A$8:$H$58,5),VLOOKUP(N312,setup!$A$8:$H$58,6),VLOOKUP(N312,setup!$A$8:$H$58,7), VLOOKUP(0,setup!$A$8:$H$58,2),VLOOKUP(0,setup!$A$8:$H$58,5),VLOOKUP(N312,setup!$A$8:$H$58,8))</f>
        <v/>
      </c>
    </row>
    <row r="313" spans="1:15" x14ac:dyDescent="0.25">
      <c r="A313" s="6"/>
      <c r="O313" s="7" t="str">
        <f ca="1">getCodigoBackend(N313,A313,VLOOKUP(N313,setup!$A$8:$H$58,2),VLOOKUP(N313,setup!$A$8:$H$58,3),VLOOKUP(N313,setup!$A$8:$H$58,4),VLOOKUP(N313,setup!$A$8:$H$58,5),VLOOKUP(N313,setup!$A$8:$H$58,6),VLOOKUP(N313,setup!$A$8:$H$58,7), VLOOKUP(0,setup!$A$8:$H$58,2),VLOOKUP(0,setup!$A$8:$H$58,5),VLOOKUP(N313,setup!$A$8:$H$58,8))</f>
        <v/>
      </c>
    </row>
    <row r="314" spans="1:15" x14ac:dyDescent="0.25">
      <c r="A314" s="3"/>
      <c r="O314" s="7" t="str">
        <f ca="1">getCodigoBackend(N314,A314,VLOOKUP(N314,setup!$A$8:$H$58,2),VLOOKUP(N314,setup!$A$8:$H$58,3),VLOOKUP(N314,setup!$A$8:$H$58,4),VLOOKUP(N314,setup!$A$8:$H$58,5),VLOOKUP(N314,setup!$A$8:$H$58,6),VLOOKUP(N314,setup!$A$8:$H$58,7), VLOOKUP(0,setup!$A$8:$H$58,2),VLOOKUP(0,setup!$A$8:$H$58,5),VLOOKUP(N314,setup!$A$8:$H$58,8))</f>
        <v/>
      </c>
    </row>
    <row r="315" spans="1:15" x14ac:dyDescent="0.25">
      <c r="A315" s="3"/>
      <c r="O315" s="7" t="str">
        <f ca="1">getCodigoBackend(N315,A315,VLOOKUP(N315,setup!$A$8:$H$58,2),VLOOKUP(N315,setup!$A$8:$H$58,3),VLOOKUP(N315,setup!$A$8:$H$58,4),VLOOKUP(N315,setup!$A$8:$H$58,5),VLOOKUP(N315,setup!$A$8:$H$58,6),VLOOKUP(N315,setup!$A$8:$H$58,7), VLOOKUP(0,setup!$A$8:$H$58,2),VLOOKUP(0,setup!$A$8:$H$58,5),VLOOKUP(N315,setup!$A$8:$H$58,8))</f>
        <v/>
      </c>
    </row>
    <row r="316" spans="1:15" x14ac:dyDescent="0.25">
      <c r="A316" s="6"/>
      <c r="O316" s="7" t="str">
        <f ca="1">getCodigoBackend(N316,A316,VLOOKUP(N316,setup!$A$8:$H$58,2),VLOOKUP(N316,setup!$A$8:$H$58,3),VLOOKUP(N316,setup!$A$8:$H$58,4),VLOOKUP(N316,setup!$A$8:$H$58,5),VLOOKUP(N316,setup!$A$8:$H$58,6),VLOOKUP(N316,setup!$A$8:$H$58,7), VLOOKUP(0,setup!$A$8:$H$58,2),VLOOKUP(0,setup!$A$8:$H$58,5),VLOOKUP(N316,setup!$A$8:$H$58,8))</f>
        <v/>
      </c>
    </row>
    <row r="317" spans="1:15" x14ac:dyDescent="0.25">
      <c r="A317" s="2"/>
      <c r="O317" s="7" t="str">
        <f ca="1">getCodigoBackend(N317,A317,VLOOKUP(N317,setup!$A$8:$H$58,2),VLOOKUP(N317,setup!$A$8:$H$58,3),VLOOKUP(N317,setup!$A$8:$H$58,4),VLOOKUP(N317,setup!$A$8:$H$58,5),VLOOKUP(N317,setup!$A$8:$H$58,6),VLOOKUP(N317,setup!$A$8:$H$58,7), VLOOKUP(0,setup!$A$8:$H$58,2),VLOOKUP(0,setup!$A$8:$H$58,5),VLOOKUP(N317,setup!$A$8:$H$58,8))</f>
        <v/>
      </c>
    </row>
    <row r="318" spans="1:15" x14ac:dyDescent="0.25">
      <c r="O318" t="str">
        <f>SUBSTITUTE(SUBSTITUTE(SUBSTITUTE(SUBSTITUTE(A318,"${dto}",setup!$C$3),"${pk}",setup!$E$8),"${tabela}",setup!$C$2),CONCATENATE("${",N318,"}"),VLOOKUP(N318,setup!$A$8:$E$58,5))</f>
        <v/>
      </c>
    </row>
    <row r="319" spans="1:15" x14ac:dyDescent="0.25">
      <c r="O319" t="str">
        <f>SUBSTITUTE(SUBSTITUTE(SUBSTITUTE(SUBSTITUTE(A319,"${dto}",setup!$C$3),"${pk}",setup!$E$8),"${tabela}",setup!$C$2),CONCATENATE("${",N319,"}"),VLOOKUP(N319,setup!$A$8:$E$58,5))</f>
        <v/>
      </c>
    </row>
    <row r="320" spans="1:15" x14ac:dyDescent="0.25">
      <c r="O320" t="str">
        <f>SUBSTITUTE(SUBSTITUTE(SUBSTITUTE(SUBSTITUTE(A320,"${dto}",setup!$C$3),"${pk}",setup!$E$8),"${tabela}",setup!$C$2),CONCATENATE("${",N320,"}"),VLOOKUP(N320,setup!$A$8:$E$58,5))</f>
        <v/>
      </c>
    </row>
    <row r="321" spans="15:15" x14ac:dyDescent="0.25">
      <c r="O321" t="str">
        <f>SUBSTITUTE(SUBSTITUTE(SUBSTITUTE(SUBSTITUTE(A321,"${dto}",setup!$C$3),"${pk}",setup!$E$8),"${tabela}",setup!$C$2),CONCATENATE("${",N321,"}"),VLOOKUP(N321,setup!$A$8:$E$58,5))</f>
        <v/>
      </c>
    </row>
    <row r="322" spans="15:15" x14ac:dyDescent="0.25">
      <c r="O322" t="str">
        <f>SUBSTITUTE(SUBSTITUTE(SUBSTITUTE(SUBSTITUTE(A322,"${dto}",setup!$C$3),"${pk}",setup!$E$8),"${tabela}",setup!$C$2),CONCATENATE("${",N322,"}"),VLOOKUP(N322,setup!$A$8:$E$58,5))</f>
        <v/>
      </c>
    </row>
    <row r="323" spans="15:15" x14ac:dyDescent="0.25">
      <c r="O323" t="str">
        <f>SUBSTITUTE(SUBSTITUTE(SUBSTITUTE(SUBSTITUTE(A323,"${dto}",setup!$C$3),"${pk}",setup!$E$8),"${tabela}",setup!$C$2),CONCATENATE("${",N323,"}"),VLOOKUP(N323,setup!$A$8:$E$58,5))</f>
        <v/>
      </c>
    </row>
    <row r="324" spans="15:15" x14ac:dyDescent="0.25">
      <c r="O324" t="str">
        <f>SUBSTITUTE(SUBSTITUTE(SUBSTITUTE(SUBSTITUTE(A324,"${dto}",setup!$C$3),"${pk}",setup!$E$8),"${tabela}",setup!$C$2),CONCATENATE("${",N324,"}"),VLOOKUP(N324,setup!$A$8:$E$58,5))</f>
        <v/>
      </c>
    </row>
    <row r="325" spans="15:15" x14ac:dyDescent="0.25">
      <c r="O325" t="str">
        <f>SUBSTITUTE(SUBSTITUTE(SUBSTITUTE(SUBSTITUTE(A325,"${dto}",setup!$C$3),"${pk}",setup!$E$8),"${tabela}",setup!$C$2),CONCATENATE("${",N325,"}"),VLOOKUP(N325,setup!$A$8:$E$58,5))</f>
        <v/>
      </c>
    </row>
    <row r="326" spans="15:15" x14ac:dyDescent="0.25">
      <c r="O326" t="str">
        <f>SUBSTITUTE(SUBSTITUTE(SUBSTITUTE(SUBSTITUTE(A326,"${dto}",setup!$C$3),"${pk}",setup!$E$8),"${tabela}",setup!$C$2),CONCATENATE("${",N326,"}"),VLOOKUP(N326,setup!$A$8:$E$58,5))</f>
        <v/>
      </c>
    </row>
    <row r="327" spans="15:15" x14ac:dyDescent="0.25">
      <c r="O327" t="str">
        <f>SUBSTITUTE(SUBSTITUTE(SUBSTITUTE(SUBSTITUTE(A327,"${dto}",setup!$C$3),"${pk}",setup!$E$8),"${tabela}",setup!$C$2),CONCATENATE("${",N327,"}"),VLOOKUP(N327,setup!$A$8:$E$58,5))</f>
        <v/>
      </c>
    </row>
    <row r="328" spans="15:15" x14ac:dyDescent="0.25">
      <c r="O328" t="str">
        <f>SUBSTITUTE(SUBSTITUTE(SUBSTITUTE(SUBSTITUTE(A328,"${dto}",setup!$C$3),"${pk}",setup!$E$8),"${tabela}",setup!$C$2),CONCATENATE("${",N328,"}"),VLOOKUP(N328,setup!$A$8:$E$58,5))</f>
        <v/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0FF53-C621-437C-A652-E77B4F402667}">
  <sheetPr codeName="Sheet18"/>
  <dimension ref="A7:O320"/>
  <sheetViews>
    <sheetView workbookViewId="0">
      <selection activeCell="O1" sqref="O1:O1048576"/>
    </sheetView>
  </sheetViews>
  <sheetFormatPr defaultRowHeight="15" x14ac:dyDescent="0.25"/>
  <sheetData>
    <row r="7" spans="1:15" x14ac:dyDescent="0.25">
      <c r="A7" s="20" t="s">
        <v>580</v>
      </c>
      <c r="O7" s="7" t="str">
        <f ca="1">getCodigoBackend(N7,A7,VLOOKUP(N7,setup!$A$8:$H$58,2),VLOOKUP(N7,setup!$A$8:$H$58,3),VLOOKUP(N7,setup!$A$8:$H$58,4),VLOOKUP(N7,setup!$A$8:$H$58,5),VLOOKUP(N7,setup!$A$8:$H$58,6),VLOOKUP(N7,setup!$A$8:$H$58,7), VLOOKUP(0,setup!$A$8:$H$58,2),VLOOKUP(0,setup!$A$8:$H$58,5),VLOOKUP(N7,setup!$A$8:$H$58,8))</f>
        <v>import 'package:flutter/material.dart';</v>
      </c>
    </row>
    <row r="8" spans="1:15" x14ac:dyDescent="0.25">
      <c r="A8" s="20" t="s">
        <v>623</v>
      </c>
      <c r="O8" s="7" t="str">
        <f ca="1">getCodigoBackend(N8,A8,VLOOKUP(N8,setup!$A$8:$H$58,2),VLOOKUP(N8,setup!$A$8:$H$58,3),VLOOKUP(N8,setup!$A$8:$H$58,4),VLOOKUP(N8,setup!$A$8:$H$58,5),VLOOKUP(N8,setup!$A$8:$H$58,6),VLOOKUP(N8,setup!$A$8:$H$58,7), VLOOKUP(0,setup!$A$8:$H$58,2),VLOOKUP(0,setup!$A$8:$H$58,5),VLOOKUP(N8,setup!$A$8:$H$58,8))</f>
        <v>import 'package:junta10/br/com/jcv/linker/classes/ui/common/common-msgcode.dart';</v>
      </c>
    </row>
    <row r="9" spans="1:15" x14ac:dyDescent="0.25">
      <c r="A9" s="19"/>
      <c r="O9" s="7" t="str">
        <f ca="1">getCodigoBackend(N9,A9,VLOOKUP(N9,setup!$A$8:$H$58,2),VLOOKUP(N9,setup!$A$8:$H$58,3),VLOOKUP(N9,setup!$A$8:$H$58,4),VLOOKUP(N9,setup!$A$8:$H$58,5),VLOOKUP(N9,setup!$A$8:$H$58,6),VLOOKUP(N9,setup!$A$8:$H$58,7), VLOOKUP(0,setup!$A$8:$H$58,2),VLOOKUP(0,setup!$A$8:$H$58,5),VLOOKUP(N9,setup!$A$8:$H$58,8))</f>
        <v/>
      </c>
    </row>
    <row r="10" spans="1:15" x14ac:dyDescent="0.25">
      <c r="A10" s="20" t="s">
        <v>632</v>
      </c>
      <c r="O10" s="7" t="str">
        <f ca="1">getCodigoBackend(N10,A10,VLOOKUP(N10,setup!$A$8:$H$58,2),VLOOKUP(N10,setup!$A$8:$H$58,3),VLOOKUP(N10,setup!$A$8:$H$58,4),VLOOKUP(N10,setup!$A$8:$H$58,5),VLOOKUP(N10,setup!$A$8:$H$58,6),VLOOKUP(N10,setup!$A$8:$H$58,7), VLOOKUP(0,setup!$A$8:$H$58,2),VLOOKUP(0,setup!$A$8:$H$58,5),VLOOKUP(N10,setup!$A$8:$H$58,8))</f>
        <v>import 'CampanhaCashbackResgatePixUI.dart';</v>
      </c>
    </row>
    <row r="11" spans="1:15" x14ac:dyDescent="0.25">
      <c r="A11" s="19"/>
      <c r="O11" s="7" t="str">
        <f ca="1">getCodigoBackend(N11,A11,VLOOKUP(N11,setup!$A$8:$H$58,2),VLOOKUP(N11,setup!$A$8:$H$58,3),VLOOKUP(N11,setup!$A$8:$H$58,4),VLOOKUP(N11,setup!$A$8:$H$58,5),VLOOKUP(N11,setup!$A$8:$H$58,6),VLOOKUP(N11,setup!$A$8:$H$58,7), VLOOKUP(0,setup!$A$8:$H$58,2),VLOOKUP(0,setup!$A$8:$H$58,5),VLOOKUP(N11,setup!$A$8:$H$58,8))</f>
        <v/>
      </c>
    </row>
    <row r="12" spans="1:15" x14ac:dyDescent="0.25">
      <c r="A12" s="20" t="s">
        <v>633</v>
      </c>
      <c r="O12" s="7" t="str">
        <f ca="1">getCodigoBackend(N12,A12,VLOOKUP(N12,setup!$A$8:$H$58,2),VLOOKUP(N12,setup!$A$8:$H$58,3),VLOOKUP(N12,setup!$A$8:$H$58,4),VLOOKUP(N12,setup!$A$8:$H$58,5),VLOOKUP(N12,setup!$A$8:$H$58,6),VLOOKUP(N12,setup!$A$8:$H$58,7), VLOOKUP(0,setup!$A$8:$H$58,2),VLOOKUP(0,setup!$A$8:$H$58,5),VLOOKUP(N12,setup!$A$8:$H$58,8))</f>
        <v>class CampanhaCashbackResgatePixLV extends StatefulWidget {</v>
      </c>
    </row>
    <row r="13" spans="1:15" x14ac:dyDescent="0.25">
      <c r="A13" s="19"/>
      <c r="O13" s="7" t="str">
        <f ca="1">getCodigoBackend(N13,A13,VLOOKUP(N13,setup!$A$8:$H$58,2),VLOOKUP(N13,setup!$A$8:$H$58,3),VLOOKUP(N13,setup!$A$8:$H$58,4),VLOOKUP(N13,setup!$A$8:$H$58,5),VLOOKUP(N13,setup!$A$8:$H$58,6),VLOOKUP(N13,setup!$A$8:$H$58,7), VLOOKUP(0,setup!$A$8:$H$58,2),VLOOKUP(0,setup!$A$8:$H$58,5),VLOOKUP(N13,setup!$A$8:$H$58,8))</f>
        <v/>
      </c>
    </row>
    <row r="14" spans="1:15" x14ac:dyDescent="0.25">
      <c r="A14" s="18" t="s">
        <v>624</v>
      </c>
      <c r="O14" s="7" t="str">
        <f ca="1">getCodigoBackend(N14,A14,VLOOKUP(N14,setup!$A$8:$H$58,2),VLOOKUP(N14,setup!$A$8:$H$58,3),VLOOKUP(N14,setup!$A$8:$H$58,4),VLOOKUP(N14,setup!$A$8:$H$58,5),VLOOKUP(N14,setup!$A$8:$H$58,6),VLOOKUP(N14,setup!$A$8:$H$58,7), VLOOKUP(0,setup!$A$8:$H$58,2),VLOOKUP(0,setup!$A$8:$H$58,5),VLOOKUP(N14,setup!$A$8:$H$58,8))</f>
        <v xml:space="preserve">  dynamic _pagina;</v>
      </c>
    </row>
    <row r="15" spans="1:15" x14ac:dyDescent="0.25">
      <c r="A15" s="19"/>
      <c r="O15" s="7" t="str">
        <f ca="1">getCodigoBackend(N15,A15,VLOOKUP(N15,setup!$A$8:$H$58,2),VLOOKUP(N15,setup!$A$8:$H$58,3),VLOOKUP(N15,setup!$A$8:$H$58,4),VLOOKUP(N15,setup!$A$8:$H$58,5),VLOOKUP(N15,setup!$A$8:$H$58,6),VLOOKUP(N15,setup!$A$8:$H$58,7), VLOOKUP(0,setup!$A$8:$H$58,2),VLOOKUP(0,setup!$A$8:$H$58,5),VLOOKUP(N15,setup!$A$8:$H$58,8))</f>
        <v/>
      </c>
    </row>
    <row r="16" spans="1:15" x14ac:dyDescent="0.25">
      <c r="A16" s="18" t="s">
        <v>634</v>
      </c>
      <c r="O16" s="7" t="str">
        <f ca="1">getCodigoBackend(N16,A16,VLOOKUP(N16,setup!$A$8:$H$58,2),VLOOKUP(N16,setup!$A$8:$H$58,3),VLOOKUP(N16,setup!$A$8:$H$58,4),VLOOKUP(N16,setup!$A$8:$H$58,5),VLOOKUP(N16,setup!$A$8:$H$58,6),VLOOKUP(N16,setup!$A$8:$H$58,7), VLOOKUP(0,setup!$A$8:$H$58,2),VLOOKUP(0,setup!$A$8:$H$58,5),VLOOKUP(N16,setup!$A$8:$H$58,8))</f>
        <v xml:space="preserve">  CampanhaCashbackResgatePixLV(this._pagina);</v>
      </c>
    </row>
    <row r="17" spans="1:15" x14ac:dyDescent="0.25">
      <c r="A17" s="19"/>
      <c r="O17" s="7" t="str">
        <f ca="1">getCodigoBackend(N17,A17,VLOOKUP(N17,setup!$A$8:$H$58,2),VLOOKUP(N17,setup!$A$8:$H$58,3),VLOOKUP(N17,setup!$A$8:$H$58,4),VLOOKUP(N17,setup!$A$8:$H$58,5),VLOOKUP(N17,setup!$A$8:$H$58,6),VLOOKUP(N17,setup!$A$8:$H$58,7), VLOOKUP(0,setup!$A$8:$H$58,2),VLOOKUP(0,setup!$A$8:$H$58,5),VLOOKUP(N17,setup!$A$8:$H$58,8))</f>
        <v/>
      </c>
    </row>
    <row r="18" spans="1:15" x14ac:dyDescent="0.25">
      <c r="A18" s="18" t="s">
        <v>585</v>
      </c>
      <c r="O18" s="7" t="str">
        <f ca="1">getCodigoBackend(N18,A18,VLOOKUP(N18,setup!$A$8:$H$58,2),VLOOKUP(N18,setup!$A$8:$H$58,3),VLOOKUP(N18,setup!$A$8:$H$58,4),VLOOKUP(N18,setup!$A$8:$H$58,5),VLOOKUP(N18,setup!$A$8:$H$58,6),VLOOKUP(N18,setup!$A$8:$H$58,7), VLOOKUP(0,setup!$A$8:$H$58,2),VLOOKUP(0,setup!$A$8:$H$58,5),VLOOKUP(N18,setup!$A$8:$H$58,8))</f>
        <v xml:space="preserve">  @override</v>
      </c>
    </row>
    <row r="19" spans="1:15" x14ac:dyDescent="0.25">
      <c r="A19" s="21" t="s">
        <v>635</v>
      </c>
      <c r="O19" s="7" t="str">
        <f ca="1">getCodigoBackend(N19,A19,VLOOKUP(N19,setup!$A$8:$H$58,2),VLOOKUP(N19,setup!$A$8:$H$58,3),VLOOKUP(N19,setup!$A$8:$H$58,4),VLOOKUP(N19,setup!$A$8:$H$58,5),VLOOKUP(N19,setup!$A$8:$H$58,6),VLOOKUP(N19,setup!$A$8:$H$58,7), VLOOKUP(0,setup!$A$8:$H$58,2),VLOOKUP(0,setup!$A$8:$H$58,5),VLOOKUP(N19,setup!$A$8:$H$58,8))</f>
        <v xml:space="preserve">  _CampanhaCashbackResgatePixLVState createState() =&gt; _CampanhaCashbackResgatePixLVState();</v>
      </c>
    </row>
    <row r="20" spans="1:15" x14ac:dyDescent="0.25">
      <c r="A20" s="23" t="s">
        <v>28</v>
      </c>
      <c r="O20" s="7" t="str">
        <f ca="1">getCodigoBackend(N20,A20,VLOOKUP(N20,setup!$A$8:$H$58,2),VLOOKUP(N20,setup!$A$8:$H$58,3),VLOOKUP(N20,setup!$A$8:$H$58,4),VLOOKUP(N20,setup!$A$8:$H$58,5),VLOOKUP(N20,setup!$A$8:$H$58,6),VLOOKUP(N20,setup!$A$8:$H$58,7), VLOOKUP(0,setup!$A$8:$H$58,2),VLOOKUP(0,setup!$A$8:$H$58,5),VLOOKUP(N20,setup!$A$8:$H$58,8))</f>
        <v>}</v>
      </c>
    </row>
    <row r="21" spans="1:15" x14ac:dyDescent="0.25">
      <c r="A21" s="22"/>
      <c r="N21" s="33"/>
      <c r="O21" s="7" t="str">
        <f ca="1">getCodigoBackend(N21,A21,VLOOKUP(N21,setup!$A$8:$H$58,2),VLOOKUP(N21,setup!$A$8:$H$58,3),VLOOKUP(N21,setup!$A$8:$H$58,4),VLOOKUP(N21,setup!$A$8:$H$58,5),VLOOKUP(N21,setup!$A$8:$H$58,6),VLOOKUP(N21,setup!$A$8:$H$58,7), VLOOKUP(0,setup!$A$8:$H$58,2),VLOOKUP(0,setup!$A$8:$H$58,5),VLOOKUP(N21,setup!$A$8:$H$58,8))</f>
        <v/>
      </c>
    </row>
    <row r="22" spans="1:15" x14ac:dyDescent="0.25">
      <c r="A22" s="24" t="s">
        <v>636</v>
      </c>
      <c r="O22" s="7" t="str">
        <f ca="1">getCodigoBackend(N22,A22,VLOOKUP(N22,setup!$A$8:$H$58,2),VLOOKUP(N22,setup!$A$8:$H$58,3),VLOOKUP(N22,setup!$A$8:$H$58,4),VLOOKUP(N22,setup!$A$8:$H$58,5),VLOOKUP(N22,setup!$A$8:$H$58,6),VLOOKUP(N22,setup!$A$8:$H$58,7), VLOOKUP(0,setup!$A$8:$H$58,2),VLOOKUP(0,setup!$A$8:$H$58,5),VLOOKUP(N22,setup!$A$8:$H$58,8))</f>
        <v>class _CampanhaCashbackResgatePixLVState extends State&lt;CampanhaCashbackResgatePixLV&gt; {</v>
      </c>
    </row>
    <row r="23" spans="1:15" x14ac:dyDescent="0.25">
      <c r="A23" s="23" t="s">
        <v>585</v>
      </c>
      <c r="O23" s="7" t="str">
        <f ca="1">getCodigoBackend(N23,A23,VLOOKUP(N23,setup!$A$8:$H$58,2),VLOOKUP(N23,setup!$A$8:$H$58,3),VLOOKUP(N23,setup!$A$8:$H$58,4),VLOOKUP(N23,setup!$A$8:$H$58,5),VLOOKUP(N23,setup!$A$8:$H$58,6),VLOOKUP(N23,setup!$A$8:$H$58,7), VLOOKUP(0,setup!$A$8:$H$58,2),VLOOKUP(0,setup!$A$8:$H$58,5),VLOOKUP(N23,setup!$A$8:$H$58,8))</f>
        <v xml:space="preserve">  @override</v>
      </c>
    </row>
    <row r="24" spans="1:15" x14ac:dyDescent="0.25">
      <c r="A24" s="21" t="s">
        <v>594</v>
      </c>
      <c r="O24" s="7" t="str">
        <f ca="1">getCodigoBackend(N24,A24,VLOOKUP(N24,setup!$A$8:$H$58,2),VLOOKUP(N24,setup!$A$8:$H$58,3),VLOOKUP(N24,setup!$A$8:$H$58,4),VLOOKUP(N24,setup!$A$8:$H$58,5),VLOOKUP(N24,setup!$A$8:$H$58,6),VLOOKUP(N24,setup!$A$8:$H$58,7), VLOOKUP(0,setup!$A$8:$H$58,2),VLOOKUP(0,setup!$A$8:$H$58,5),VLOOKUP(N24,setup!$A$8:$H$58,8))</f>
        <v xml:space="preserve">  Widget build(BuildContext context) {</v>
      </c>
    </row>
    <row r="25" spans="1:15" x14ac:dyDescent="0.25">
      <c r="A25" s="23" t="s">
        <v>625</v>
      </c>
      <c r="O25" s="7" t="str">
        <f ca="1">getCodigoBackend(N25,A25,VLOOKUP(N25,setup!$A$8:$H$58,2),VLOOKUP(N25,setup!$A$8:$H$58,3),VLOOKUP(N25,setup!$A$8:$H$58,4),VLOOKUP(N25,setup!$A$8:$H$58,5),VLOOKUP(N25,setup!$A$8:$H$58,6),VLOOKUP(N25,setup!$A$8:$H$58,7), VLOOKUP(0,setup!$A$8:$H$58,2),VLOOKUP(0,setup!$A$8:$H$58,5),VLOOKUP(N25,setup!$A$8:$H$58,8))</f>
        <v xml:space="preserve">    debugPrint(widget._pagina['lst'].length.toString());</v>
      </c>
    </row>
    <row r="26" spans="1:15" x14ac:dyDescent="0.25">
      <c r="A26" s="23" t="s">
        <v>626</v>
      </c>
      <c r="O26" s="7" t="str">
        <f ca="1">getCodigoBackend(N26,A26,VLOOKUP(N26,setup!$A$8:$H$58,2),VLOOKUP(N26,setup!$A$8:$H$58,3),VLOOKUP(N26,setup!$A$8:$H$58,4),VLOOKUP(N26,setup!$A$8:$H$58,5),VLOOKUP(N26,setup!$A$8:$H$58,6),VLOOKUP(N26,setup!$A$8:$H$58,7), VLOOKUP(0,setup!$A$8:$H$58,2),VLOOKUP(0,setup!$A$8:$H$58,5),VLOOKUP(N26,setup!$A$8:$H$58,8))</f>
        <v xml:space="preserve">    return widget._pagina['lst'].length == 0</v>
      </c>
    </row>
    <row r="27" spans="1:15" x14ac:dyDescent="0.25">
      <c r="A27" s="25" t="s">
        <v>627</v>
      </c>
      <c r="O27" s="7" t="str">
        <f ca="1">getCodigoBackend(N27,A27,VLOOKUP(N27,setup!$A$8:$H$58,2),VLOOKUP(N27,setup!$A$8:$H$58,3),VLOOKUP(N27,setup!$A$8:$H$58,4),VLOOKUP(N27,setup!$A$8:$H$58,5),VLOOKUP(N27,setup!$A$8:$H$58,6),VLOOKUP(N27,setup!$A$8:$H$58,7), VLOOKUP(0,setup!$A$8:$H$58,2),VLOOKUP(0,setup!$A$8:$H$58,5),VLOOKUP(N27,setup!$A$8:$H$58,8))</f>
        <v xml:space="preserve">        ? new CommonMsgCode(msgcode: "LNK-0042", msgcodeString: "Nenhum cartão encontrado.")</v>
      </c>
    </row>
    <row r="28" spans="1:15" x14ac:dyDescent="0.25">
      <c r="A28" s="23" t="s">
        <v>628</v>
      </c>
      <c r="O28" s="7" t="str">
        <f ca="1">getCodigoBackend(N28,A28,VLOOKUP(N28,setup!$A$8:$H$58,2),VLOOKUP(N28,setup!$A$8:$H$58,3),VLOOKUP(N28,setup!$A$8:$H$58,4),VLOOKUP(N28,setup!$A$8:$H$58,5),VLOOKUP(N28,setup!$A$8:$H$58,6),VLOOKUP(N28,setup!$A$8:$H$58,7), VLOOKUP(0,setup!$A$8:$H$58,2),VLOOKUP(0,setup!$A$8:$H$58,5),VLOOKUP(N28,setup!$A$8:$H$58,8))</f>
        <v xml:space="preserve">        : new ListView.builder(</v>
      </c>
    </row>
    <row r="29" spans="1:15" x14ac:dyDescent="0.25">
      <c r="A29" s="23" t="s">
        <v>629</v>
      </c>
      <c r="O29" s="7" t="str">
        <f ca="1">getCodigoBackend(N29,A29,VLOOKUP(N29,setup!$A$8:$H$58,2),VLOOKUP(N29,setup!$A$8:$H$58,3),VLOOKUP(N29,setup!$A$8:$H$58,4),VLOOKUP(N29,setup!$A$8:$H$58,5),VLOOKUP(N29,setup!$A$8:$H$58,6),VLOOKUP(N29,setup!$A$8:$H$58,7), VLOOKUP(0,setup!$A$8:$H$58,2),VLOOKUP(0,setup!$A$8:$H$58,5),VLOOKUP(N29,setup!$A$8:$H$58,8))</f>
        <v xml:space="preserve">      itemCount: widget._pagina['lst'].length,</v>
      </c>
    </row>
    <row r="30" spans="1:15" x14ac:dyDescent="0.25">
      <c r="A30" s="23" t="s">
        <v>630</v>
      </c>
      <c r="O30" s="7" t="str">
        <f ca="1">getCodigoBackend(N30,A30,VLOOKUP(N30,setup!$A$8:$H$58,2),VLOOKUP(N30,setup!$A$8:$H$58,3),VLOOKUP(N30,setup!$A$8:$H$58,4),VLOOKUP(N30,setup!$A$8:$H$58,5),VLOOKUP(N30,setup!$A$8:$H$58,6),VLOOKUP(N30,setup!$A$8:$H$58,7), VLOOKUP(0,setup!$A$8:$H$58,2),VLOOKUP(0,setup!$A$8:$H$58,5),VLOOKUP(N30,setup!$A$8:$H$58,8))</f>
        <v xml:space="preserve">      itemBuilder: (BuildContext context, int index){</v>
      </c>
    </row>
    <row r="31" spans="1:15" x14ac:dyDescent="0.25">
      <c r="A31" s="23"/>
      <c r="O31" s="7" t="str">
        <f ca="1">getCodigoBackend(N31,A31,VLOOKUP(N31,setup!$A$8:$H$58,2),VLOOKUP(N31,setup!$A$8:$H$58,3),VLOOKUP(N31,setup!$A$8:$H$58,4),VLOOKUP(N31,setup!$A$8:$H$58,5),VLOOKUP(N31,setup!$A$8:$H$58,6),VLOOKUP(N31,setup!$A$8:$H$58,7), VLOOKUP(0,setup!$A$8:$H$58,2),VLOOKUP(0,setup!$A$8:$H$58,5),VLOOKUP(N31,setup!$A$8:$H$58,8))</f>
        <v/>
      </c>
    </row>
    <row r="32" spans="1:15" x14ac:dyDescent="0.25">
      <c r="A32" s="26" t="s">
        <v>637</v>
      </c>
      <c r="O32" s="7" t="str">
        <f ca="1">getCodigoBackend(N32,A32,VLOOKUP(N32,setup!$A$8:$H$58,2),VLOOKUP(N32,setup!$A$8:$H$58,3),VLOOKUP(N32,setup!$A$8:$H$58,4),VLOOKUP(N32,setup!$A$8:$H$58,5),VLOOKUP(N32,setup!$A$8:$H$58,6),VLOOKUP(N32,setup!$A$8:$H$58,7), VLOOKUP(0,setup!$A$8:$H$58,2),VLOOKUP(0,setup!$A$8:$H$58,5),VLOOKUP(N32,setup!$A$8:$H$58,8))</f>
        <v xml:space="preserve">        return CampanhaCashbackResgatePixUI(widget._pagina['lst'][index]);</v>
      </c>
    </row>
    <row r="33" spans="1:15" x14ac:dyDescent="0.25">
      <c r="A33" s="23" t="s">
        <v>631</v>
      </c>
      <c r="O33" s="7" t="str">
        <f ca="1">getCodigoBackend(N33,A33,VLOOKUP(N33,setup!$A$8:$H$58,2),VLOOKUP(N33,setup!$A$8:$H$58,3),VLOOKUP(N33,setup!$A$8:$H$58,4),VLOOKUP(N33,setup!$A$8:$H$58,5),VLOOKUP(N33,setup!$A$8:$H$58,6),VLOOKUP(N33,setup!$A$8:$H$58,7), VLOOKUP(0,setup!$A$8:$H$58,2),VLOOKUP(0,setup!$A$8:$H$58,5),VLOOKUP(N33,setup!$A$8:$H$58,8))</f>
        <v xml:space="preserve">      },</v>
      </c>
    </row>
    <row r="34" spans="1:15" x14ac:dyDescent="0.25">
      <c r="A34" s="23" t="s">
        <v>455</v>
      </c>
      <c r="O34" s="7" t="str">
        <f ca="1">getCodigoBackend(N34,A34,VLOOKUP(N34,setup!$A$8:$H$58,2),VLOOKUP(N34,setup!$A$8:$H$58,3),VLOOKUP(N34,setup!$A$8:$H$58,4),VLOOKUP(N34,setup!$A$8:$H$58,5),VLOOKUP(N34,setup!$A$8:$H$58,6),VLOOKUP(N34,setup!$A$8:$H$58,7), VLOOKUP(0,setup!$A$8:$H$58,2),VLOOKUP(0,setup!$A$8:$H$58,5),VLOOKUP(N34,setup!$A$8:$H$58,8))</f>
        <v xml:space="preserve">    );</v>
      </c>
    </row>
    <row r="35" spans="1:15" x14ac:dyDescent="0.25">
      <c r="A35" s="23" t="s">
        <v>456</v>
      </c>
      <c r="O35" s="7" t="str">
        <f ca="1">getCodigoBackend(N35,A35,VLOOKUP(N35,setup!$A$8:$H$58,2),VLOOKUP(N35,setup!$A$8:$H$58,3),VLOOKUP(N35,setup!$A$8:$H$58,4),VLOOKUP(N35,setup!$A$8:$H$58,5),VLOOKUP(N35,setup!$A$8:$H$58,6),VLOOKUP(N35,setup!$A$8:$H$58,7), VLOOKUP(0,setup!$A$8:$H$58,2),VLOOKUP(0,setup!$A$8:$H$58,5),VLOOKUP(N35,setup!$A$8:$H$58,8))</f>
        <v xml:space="preserve">  }</v>
      </c>
    </row>
    <row r="36" spans="1:15" x14ac:dyDescent="0.25">
      <c r="A36" s="23" t="s">
        <v>28</v>
      </c>
      <c r="O36" s="7" t="str">
        <f ca="1">getCodigoBackend(N36,A36,VLOOKUP(N36,setup!$A$8:$H$58,2),VLOOKUP(N36,setup!$A$8:$H$58,3),VLOOKUP(N36,setup!$A$8:$H$58,4),VLOOKUP(N36,setup!$A$8:$H$58,5),VLOOKUP(N36,setup!$A$8:$H$58,6),VLOOKUP(N36,setup!$A$8:$H$58,7), VLOOKUP(0,setup!$A$8:$H$58,2),VLOOKUP(0,setup!$A$8:$H$58,5),VLOOKUP(N36,setup!$A$8:$H$58,8))</f>
        <v>}</v>
      </c>
    </row>
    <row r="37" spans="1:15" x14ac:dyDescent="0.25">
      <c r="A37" s="22"/>
      <c r="O37" s="7" t="str">
        <f ca="1">getCodigoBackend(N37,A37,VLOOKUP(N37,setup!$A$8:$H$58,2),VLOOKUP(N37,setup!$A$8:$H$58,3),VLOOKUP(N37,setup!$A$8:$H$58,4),VLOOKUP(N37,setup!$A$8:$H$58,5),VLOOKUP(N37,setup!$A$8:$H$58,6),VLOOKUP(N37,setup!$A$8:$H$58,7), VLOOKUP(0,setup!$A$8:$H$58,2),VLOOKUP(0,setup!$A$8:$H$58,5),VLOOKUP(N37,setup!$A$8:$H$58,8))</f>
        <v/>
      </c>
    </row>
    <row r="38" spans="1:15" x14ac:dyDescent="0.25">
      <c r="A38" s="23"/>
      <c r="O38" s="7" t="str">
        <f ca="1">getCodigoBackend(N38,A38,VLOOKUP(N38,setup!$A$8:$H$58,2),VLOOKUP(N38,setup!$A$8:$H$58,3),VLOOKUP(N38,setup!$A$8:$H$58,4),VLOOKUP(N38,setup!$A$8:$H$58,5),VLOOKUP(N38,setup!$A$8:$H$58,6),VLOOKUP(N38,setup!$A$8:$H$58,7), VLOOKUP(0,setup!$A$8:$H$58,2),VLOOKUP(0,setup!$A$8:$H$58,5),VLOOKUP(N38,setup!$A$8:$H$58,8))</f>
        <v/>
      </c>
    </row>
    <row r="39" spans="1:15" x14ac:dyDescent="0.25">
      <c r="A39" s="23"/>
      <c r="O39" s="7" t="str">
        <f ca="1">getCodigoBackend(N39,A39,VLOOKUP(N39,setup!$A$8:$H$58,2),VLOOKUP(N39,setup!$A$8:$H$58,3),VLOOKUP(N39,setup!$A$8:$H$58,4),VLOOKUP(N39,setup!$A$8:$H$58,5),VLOOKUP(N39,setup!$A$8:$H$58,6),VLOOKUP(N39,setup!$A$8:$H$58,7), VLOOKUP(0,setup!$A$8:$H$58,2),VLOOKUP(0,setup!$A$8:$H$58,5),VLOOKUP(N39,setup!$A$8:$H$58,8))</f>
        <v/>
      </c>
    </row>
    <row r="40" spans="1:15" x14ac:dyDescent="0.25">
      <c r="A40" s="23"/>
      <c r="O40" s="7" t="str">
        <f ca="1">getCodigoBackend(N40,A40,VLOOKUP(N40,setup!$A$8:$H$58,2),VLOOKUP(N40,setup!$A$8:$H$58,3),VLOOKUP(N40,setup!$A$8:$H$58,4),VLOOKUP(N40,setup!$A$8:$H$58,5),VLOOKUP(N40,setup!$A$8:$H$58,6),VLOOKUP(N40,setup!$A$8:$H$58,7), VLOOKUP(0,setup!$A$8:$H$58,2),VLOOKUP(0,setup!$A$8:$H$58,5),VLOOKUP(N40,setup!$A$8:$H$58,8))</f>
        <v/>
      </c>
    </row>
    <row r="41" spans="1:15" x14ac:dyDescent="0.25">
      <c r="A41" s="22"/>
      <c r="O41" s="7" t="str">
        <f ca="1">getCodigoBackend(N41,A41,VLOOKUP(N41,setup!$A$8:$H$58,2),VLOOKUP(N41,setup!$A$8:$H$58,3),VLOOKUP(N41,setup!$A$8:$H$58,4),VLOOKUP(N41,setup!$A$8:$H$58,5),VLOOKUP(N41,setup!$A$8:$H$58,6),VLOOKUP(N41,setup!$A$8:$H$58,7), VLOOKUP(0,setup!$A$8:$H$58,2),VLOOKUP(0,setup!$A$8:$H$58,5),VLOOKUP(N41,setup!$A$8:$H$58,8))</f>
        <v/>
      </c>
    </row>
    <row r="42" spans="1:15" x14ac:dyDescent="0.25">
      <c r="A42" s="23"/>
      <c r="O42" s="7" t="str">
        <f ca="1">getCodigoBackend(N42,A42,VLOOKUP(N42,setup!$A$8:$H$58,2),VLOOKUP(N42,setup!$A$8:$H$58,3),VLOOKUP(N42,setup!$A$8:$H$58,4),VLOOKUP(N42,setup!$A$8:$H$58,5),VLOOKUP(N42,setup!$A$8:$H$58,6),VLOOKUP(N42,setup!$A$8:$H$58,7), VLOOKUP(0,setup!$A$8:$H$58,2),VLOOKUP(0,setup!$A$8:$H$58,5),VLOOKUP(N42,setup!$A$8:$H$58,8))</f>
        <v/>
      </c>
    </row>
    <row r="43" spans="1:15" x14ac:dyDescent="0.25">
      <c r="A43" s="23"/>
      <c r="O43" s="7" t="str">
        <f ca="1">getCodigoBackend(N43,A43,VLOOKUP(N43,setup!$A$8:$H$58,2),VLOOKUP(N43,setup!$A$8:$H$58,3),VLOOKUP(N43,setup!$A$8:$H$58,4),VLOOKUP(N43,setup!$A$8:$H$58,5),VLOOKUP(N43,setup!$A$8:$H$58,6),VLOOKUP(N43,setup!$A$8:$H$58,7), VLOOKUP(0,setup!$A$8:$H$58,2),VLOOKUP(0,setup!$A$8:$H$58,5),VLOOKUP(N43,setup!$A$8:$H$58,8))</f>
        <v/>
      </c>
    </row>
    <row r="44" spans="1:15" x14ac:dyDescent="0.25">
      <c r="A44" s="23"/>
      <c r="O44" s="7" t="str">
        <f ca="1">getCodigoBackend(N44,A44,VLOOKUP(N44,setup!$A$8:$H$58,2),VLOOKUP(N44,setup!$A$8:$H$58,3),VLOOKUP(N44,setup!$A$8:$H$58,4),VLOOKUP(N44,setup!$A$8:$H$58,5),VLOOKUP(N44,setup!$A$8:$H$58,6),VLOOKUP(N44,setup!$A$8:$H$58,7), VLOOKUP(0,setup!$A$8:$H$58,2),VLOOKUP(0,setup!$A$8:$H$58,5),VLOOKUP(N44,setup!$A$8:$H$58,8))</f>
        <v/>
      </c>
    </row>
    <row r="45" spans="1:15" x14ac:dyDescent="0.25">
      <c r="A45" s="23"/>
      <c r="O45" s="7" t="str">
        <f ca="1">getCodigoBackend(N45,A45,VLOOKUP(N45,setup!$A$8:$H$58,2),VLOOKUP(N45,setup!$A$8:$H$58,3),VLOOKUP(N45,setup!$A$8:$H$58,4),VLOOKUP(N45,setup!$A$8:$H$58,5),VLOOKUP(N45,setup!$A$8:$H$58,6),VLOOKUP(N45,setup!$A$8:$H$58,7), VLOOKUP(0,setup!$A$8:$H$58,2),VLOOKUP(0,setup!$A$8:$H$58,5),VLOOKUP(N45,setup!$A$8:$H$58,8))</f>
        <v/>
      </c>
    </row>
    <row r="46" spans="1:15" x14ac:dyDescent="0.25">
      <c r="A46" s="22"/>
      <c r="O46" s="7" t="str">
        <f ca="1">getCodigoBackend(N46,A46,VLOOKUP(N46,setup!$A$8:$H$58,2),VLOOKUP(N46,setup!$A$8:$H$58,3),VLOOKUP(N46,setup!$A$8:$H$58,4),VLOOKUP(N46,setup!$A$8:$H$58,5),VLOOKUP(N46,setup!$A$8:$H$58,6),VLOOKUP(N46,setup!$A$8:$H$58,7), VLOOKUP(0,setup!$A$8:$H$58,2),VLOOKUP(0,setup!$A$8:$H$58,5),VLOOKUP(N46,setup!$A$8:$H$58,8))</f>
        <v/>
      </c>
    </row>
    <row r="47" spans="1:15" x14ac:dyDescent="0.25">
      <c r="A47" s="23"/>
      <c r="O47" s="7" t="str">
        <f ca="1">getCodigoBackend(N47,A47,VLOOKUP(N47,setup!$A$8:$H$58,2),VLOOKUP(N47,setup!$A$8:$H$58,3),VLOOKUP(N47,setup!$A$8:$H$58,4),VLOOKUP(N47,setup!$A$8:$H$58,5),VLOOKUP(N47,setup!$A$8:$H$58,6),VLOOKUP(N47,setup!$A$8:$H$58,7), VLOOKUP(0,setup!$A$8:$H$58,2),VLOOKUP(0,setup!$A$8:$H$58,5),VLOOKUP(N47,setup!$A$8:$H$58,8))</f>
        <v/>
      </c>
    </row>
    <row r="48" spans="1:15" x14ac:dyDescent="0.25">
      <c r="A48" s="21"/>
      <c r="O48" s="7" t="str">
        <f ca="1">getCodigoBackend(N48,A48,VLOOKUP(N48,setup!$A$8:$H$58,2),VLOOKUP(N48,setup!$A$8:$H$58,3),VLOOKUP(N48,setup!$A$8:$H$58,4),VLOOKUP(N48,setup!$A$8:$H$58,5),VLOOKUP(N48,setup!$A$8:$H$58,6),VLOOKUP(N48,setup!$A$8:$H$58,7), VLOOKUP(0,setup!$A$8:$H$58,2),VLOOKUP(0,setup!$A$8:$H$58,5),VLOOKUP(N48,setup!$A$8:$H$58,8))</f>
        <v/>
      </c>
    </row>
    <row r="49" spans="1:15" x14ac:dyDescent="0.25">
      <c r="A49" s="23"/>
      <c r="O49" s="7" t="str">
        <f ca="1">getCodigoBackend(N49,A49,VLOOKUP(N49,setup!$A$8:$H$58,2),VLOOKUP(N49,setup!$A$8:$H$58,3),VLOOKUP(N49,setup!$A$8:$H$58,4),VLOOKUP(N49,setup!$A$8:$H$58,5),VLOOKUP(N49,setup!$A$8:$H$58,6),VLOOKUP(N49,setup!$A$8:$H$58,7), VLOOKUP(0,setup!$A$8:$H$58,2),VLOOKUP(0,setup!$A$8:$H$58,5),VLOOKUP(N49,setup!$A$8:$H$58,8))</f>
        <v/>
      </c>
    </row>
    <row r="50" spans="1:15" x14ac:dyDescent="0.25">
      <c r="A50" s="23"/>
      <c r="O50" s="7" t="str">
        <f ca="1">getCodigoBackend(N50,A50,VLOOKUP(N50,setup!$A$8:$H$58,2),VLOOKUP(N50,setup!$A$8:$H$58,3),VLOOKUP(N50,setup!$A$8:$H$58,4),VLOOKUP(N50,setup!$A$8:$H$58,5),VLOOKUP(N50,setup!$A$8:$H$58,6),VLOOKUP(N50,setup!$A$8:$H$58,7), VLOOKUP(0,setup!$A$8:$H$58,2),VLOOKUP(0,setup!$A$8:$H$58,5),VLOOKUP(N50,setup!$A$8:$H$58,8))</f>
        <v/>
      </c>
    </row>
    <row r="51" spans="1:15" x14ac:dyDescent="0.25">
      <c r="A51" s="23"/>
      <c r="O51" s="7" t="str">
        <f ca="1">getCodigoBackend(N51,A51,VLOOKUP(N51,setup!$A$8:$H$58,2),VLOOKUP(N51,setup!$A$8:$H$58,3),VLOOKUP(N51,setup!$A$8:$H$58,4),VLOOKUP(N51,setup!$A$8:$H$58,5),VLOOKUP(N51,setup!$A$8:$H$58,6),VLOOKUP(N51,setup!$A$8:$H$58,7), VLOOKUP(0,setup!$A$8:$H$58,2),VLOOKUP(0,setup!$A$8:$H$58,5),VLOOKUP(N51,setup!$A$8:$H$58,8))</f>
        <v/>
      </c>
    </row>
    <row r="52" spans="1:15" x14ac:dyDescent="0.25">
      <c r="A52" s="23"/>
      <c r="O52" s="7" t="str">
        <f ca="1">getCodigoBackend(N52,A52,VLOOKUP(N52,setup!$A$8:$H$58,2),VLOOKUP(N52,setup!$A$8:$H$58,3),VLOOKUP(N52,setup!$A$8:$H$58,4),VLOOKUP(N52,setup!$A$8:$H$58,5),VLOOKUP(N52,setup!$A$8:$H$58,6),VLOOKUP(N52,setup!$A$8:$H$58,7), VLOOKUP(0,setup!$A$8:$H$58,2),VLOOKUP(0,setup!$A$8:$H$58,5),VLOOKUP(N52,setup!$A$8:$H$58,8))</f>
        <v/>
      </c>
    </row>
    <row r="53" spans="1:15" x14ac:dyDescent="0.25">
      <c r="A53" s="23"/>
      <c r="O53" s="7" t="str">
        <f ca="1">getCodigoBackend(N53,A53,VLOOKUP(N53,setup!$A$8:$H$58,2),VLOOKUP(N53,setup!$A$8:$H$58,3),VLOOKUP(N53,setup!$A$8:$H$58,4),VLOOKUP(N53,setup!$A$8:$H$58,5),VLOOKUP(N53,setup!$A$8:$H$58,6),VLOOKUP(N53,setup!$A$8:$H$58,7), VLOOKUP(0,setup!$A$8:$H$58,2),VLOOKUP(0,setup!$A$8:$H$58,5),VLOOKUP(N53,setup!$A$8:$H$58,8))</f>
        <v/>
      </c>
    </row>
    <row r="54" spans="1:15" x14ac:dyDescent="0.25">
      <c r="A54" s="23"/>
      <c r="O54" s="7" t="str">
        <f ca="1">getCodigoBackend(N54,A54,VLOOKUP(N54,setup!$A$8:$H$58,2),VLOOKUP(N54,setup!$A$8:$H$58,3),VLOOKUP(N54,setup!$A$8:$H$58,4),VLOOKUP(N54,setup!$A$8:$H$58,5),VLOOKUP(N54,setup!$A$8:$H$58,6),VLOOKUP(N54,setup!$A$8:$H$58,7), VLOOKUP(0,setup!$A$8:$H$58,2),VLOOKUP(0,setup!$A$8:$H$58,5),VLOOKUP(N54,setup!$A$8:$H$58,8))</f>
        <v/>
      </c>
    </row>
    <row r="55" spans="1:15" x14ac:dyDescent="0.25">
      <c r="A55" s="23"/>
      <c r="O55" s="7" t="str">
        <f ca="1">getCodigoBackend(N55,A55,VLOOKUP(N55,setup!$A$8:$H$58,2),VLOOKUP(N55,setup!$A$8:$H$58,3),VLOOKUP(N55,setup!$A$8:$H$58,4),VLOOKUP(N55,setup!$A$8:$H$58,5),VLOOKUP(N55,setup!$A$8:$H$58,6),VLOOKUP(N55,setup!$A$8:$H$58,7), VLOOKUP(0,setup!$A$8:$H$58,2),VLOOKUP(0,setup!$A$8:$H$58,5),VLOOKUP(N55,setup!$A$8:$H$58,8))</f>
        <v/>
      </c>
    </row>
    <row r="56" spans="1:15" x14ac:dyDescent="0.25">
      <c r="A56" s="23"/>
      <c r="O56" s="7" t="str">
        <f ca="1">getCodigoBackend(N56,A56,VLOOKUP(N56,setup!$A$8:$H$58,2),VLOOKUP(N56,setup!$A$8:$H$58,3),VLOOKUP(N56,setup!$A$8:$H$58,4),VLOOKUP(N56,setup!$A$8:$H$58,5),VLOOKUP(N56,setup!$A$8:$H$58,6),VLOOKUP(N56,setup!$A$8:$H$58,7), VLOOKUP(0,setup!$A$8:$H$58,2),VLOOKUP(0,setup!$A$8:$H$58,5),VLOOKUP(N56,setup!$A$8:$H$58,8))</f>
        <v/>
      </c>
    </row>
    <row r="57" spans="1:15" x14ac:dyDescent="0.25">
      <c r="A57" s="23"/>
      <c r="O57" s="7" t="str">
        <f ca="1">getCodigoBackend(N57,A57,VLOOKUP(N57,setup!$A$8:$H$58,2),VLOOKUP(N57,setup!$A$8:$H$58,3),VLOOKUP(N57,setup!$A$8:$H$58,4),VLOOKUP(N57,setup!$A$8:$H$58,5),VLOOKUP(N57,setup!$A$8:$H$58,6),VLOOKUP(N57,setup!$A$8:$H$58,7), VLOOKUP(0,setup!$A$8:$H$58,2),VLOOKUP(0,setup!$A$8:$H$58,5),VLOOKUP(N57,setup!$A$8:$H$58,8))</f>
        <v/>
      </c>
    </row>
    <row r="58" spans="1:15" x14ac:dyDescent="0.25">
      <c r="A58" s="23"/>
      <c r="O58" s="7" t="str">
        <f ca="1">getCodigoBackend(N58,A58,VLOOKUP(N58,setup!$A$8:$H$58,2),VLOOKUP(N58,setup!$A$8:$H$58,3),VLOOKUP(N58,setup!$A$8:$H$58,4),VLOOKUP(N58,setup!$A$8:$H$58,5),VLOOKUP(N58,setup!$A$8:$H$58,6),VLOOKUP(N58,setup!$A$8:$H$58,7), VLOOKUP(0,setup!$A$8:$H$58,2),VLOOKUP(0,setup!$A$8:$H$58,5),VLOOKUP(N58,setup!$A$8:$H$58,8))</f>
        <v/>
      </c>
    </row>
    <row r="59" spans="1:15" x14ac:dyDescent="0.25">
      <c r="A59" s="23"/>
      <c r="O59" s="7" t="str">
        <f ca="1">getCodigoBackend(N59,A59,VLOOKUP(N59,setup!$A$8:$H$58,2),VLOOKUP(N59,setup!$A$8:$H$58,3),VLOOKUP(N59,setup!$A$8:$H$58,4),VLOOKUP(N59,setup!$A$8:$H$58,5),VLOOKUP(N59,setup!$A$8:$H$58,6),VLOOKUP(N59,setup!$A$8:$H$58,7), VLOOKUP(0,setup!$A$8:$H$58,2),VLOOKUP(0,setup!$A$8:$H$58,5),VLOOKUP(N59,setup!$A$8:$H$58,8))</f>
        <v/>
      </c>
    </row>
    <row r="60" spans="1:15" x14ac:dyDescent="0.25">
      <c r="A60" s="23"/>
      <c r="O60" s="7" t="str">
        <f ca="1">getCodigoBackend(N60,A60,VLOOKUP(N60,setup!$A$8:$H$58,2),VLOOKUP(N60,setup!$A$8:$H$58,3),VLOOKUP(N60,setup!$A$8:$H$58,4),VLOOKUP(N60,setup!$A$8:$H$58,5),VLOOKUP(N60,setup!$A$8:$H$58,6),VLOOKUP(N60,setup!$A$8:$H$58,7), VLOOKUP(0,setup!$A$8:$H$58,2),VLOOKUP(0,setup!$A$8:$H$58,5),VLOOKUP(N60,setup!$A$8:$H$58,8))</f>
        <v/>
      </c>
    </row>
    <row r="61" spans="1:15" x14ac:dyDescent="0.25">
      <c r="A61" s="23"/>
      <c r="O61" s="7" t="str">
        <f ca="1">getCodigoBackend(N61,A61,VLOOKUP(N61,setup!$A$8:$H$58,2),VLOOKUP(N61,setup!$A$8:$H$58,3),VLOOKUP(N61,setup!$A$8:$H$58,4),VLOOKUP(N61,setup!$A$8:$H$58,5),VLOOKUP(N61,setup!$A$8:$H$58,6),VLOOKUP(N61,setup!$A$8:$H$58,7), VLOOKUP(0,setup!$A$8:$H$58,2),VLOOKUP(0,setup!$A$8:$H$58,5),VLOOKUP(N61,setup!$A$8:$H$58,8))</f>
        <v/>
      </c>
    </row>
    <row r="62" spans="1:15" x14ac:dyDescent="0.25">
      <c r="A62" s="23"/>
      <c r="O62" s="7" t="str">
        <f ca="1">getCodigoBackend(N62,A62,VLOOKUP(N62,setup!$A$8:$H$58,2),VLOOKUP(N62,setup!$A$8:$H$58,3),VLOOKUP(N62,setup!$A$8:$H$58,4),VLOOKUP(N62,setup!$A$8:$H$58,5),VLOOKUP(N62,setup!$A$8:$H$58,6),VLOOKUP(N62,setup!$A$8:$H$58,7), VLOOKUP(0,setup!$A$8:$H$58,2),VLOOKUP(0,setup!$A$8:$H$58,5),VLOOKUP(N62,setup!$A$8:$H$58,8))</f>
        <v/>
      </c>
    </row>
    <row r="63" spans="1:15" x14ac:dyDescent="0.25">
      <c r="A63" s="23"/>
      <c r="O63" s="7" t="str">
        <f ca="1">getCodigoBackend(N63,A63,VLOOKUP(N63,setup!$A$8:$H$58,2),VLOOKUP(N63,setup!$A$8:$H$58,3),VLOOKUP(N63,setup!$A$8:$H$58,4),VLOOKUP(N63,setup!$A$8:$H$58,5),VLOOKUP(N63,setup!$A$8:$H$58,6),VLOOKUP(N63,setup!$A$8:$H$58,7), VLOOKUP(0,setup!$A$8:$H$58,2),VLOOKUP(0,setup!$A$8:$H$58,5),VLOOKUP(N63,setup!$A$8:$H$58,8))</f>
        <v/>
      </c>
    </row>
    <row r="64" spans="1:15" x14ac:dyDescent="0.25">
      <c r="A64" s="23"/>
      <c r="O64" s="7" t="str">
        <f ca="1">getCodigoBackend(N64,A64,VLOOKUP(N64,setup!$A$8:$H$58,2),VLOOKUP(N64,setup!$A$8:$H$58,3),VLOOKUP(N64,setup!$A$8:$H$58,4),VLOOKUP(N64,setup!$A$8:$H$58,5),VLOOKUP(N64,setup!$A$8:$H$58,6),VLOOKUP(N64,setup!$A$8:$H$58,7), VLOOKUP(0,setup!$A$8:$H$58,2),VLOOKUP(0,setup!$A$8:$H$58,5),VLOOKUP(N64,setup!$A$8:$H$58,8))</f>
        <v/>
      </c>
    </row>
    <row r="65" spans="1:15" x14ac:dyDescent="0.25">
      <c r="A65" s="23"/>
      <c r="O65" s="7" t="str">
        <f ca="1">getCodigoBackend(N65,A65,VLOOKUP(N65,setup!$A$8:$H$58,2),VLOOKUP(N65,setup!$A$8:$H$58,3),VLOOKUP(N65,setup!$A$8:$H$58,4),VLOOKUP(N65,setup!$A$8:$H$58,5),VLOOKUP(N65,setup!$A$8:$H$58,6),VLOOKUP(N65,setup!$A$8:$H$58,7), VLOOKUP(0,setup!$A$8:$H$58,2),VLOOKUP(0,setup!$A$8:$H$58,5),VLOOKUP(N65,setup!$A$8:$H$58,8))</f>
        <v/>
      </c>
    </row>
    <row r="66" spans="1:15" x14ac:dyDescent="0.25">
      <c r="A66" s="23"/>
      <c r="O66" s="7" t="str">
        <f ca="1">getCodigoBackend(N66,A66,VLOOKUP(N66,setup!$A$8:$H$58,2),VLOOKUP(N66,setup!$A$8:$H$58,3),VLOOKUP(N66,setup!$A$8:$H$58,4),VLOOKUP(N66,setup!$A$8:$H$58,5),VLOOKUP(N66,setup!$A$8:$H$58,6),VLOOKUP(N66,setup!$A$8:$H$58,7), VLOOKUP(0,setup!$A$8:$H$58,2),VLOOKUP(0,setup!$A$8:$H$58,5),VLOOKUP(N66,setup!$A$8:$H$58,8))</f>
        <v/>
      </c>
    </row>
    <row r="67" spans="1:15" x14ac:dyDescent="0.25">
      <c r="A67" s="23"/>
      <c r="O67" s="7" t="str">
        <f ca="1">getCodigoBackend(N67,A67,VLOOKUP(N67,setup!$A$8:$H$58,2),VLOOKUP(N67,setup!$A$8:$H$58,3),VLOOKUP(N67,setup!$A$8:$H$58,4),VLOOKUP(N67,setup!$A$8:$H$58,5),VLOOKUP(N67,setup!$A$8:$H$58,6),VLOOKUP(N67,setup!$A$8:$H$58,7), VLOOKUP(0,setup!$A$8:$H$58,2),VLOOKUP(0,setup!$A$8:$H$58,5),VLOOKUP(N67,setup!$A$8:$H$58,8))</f>
        <v/>
      </c>
    </row>
    <row r="68" spans="1:15" x14ac:dyDescent="0.25">
      <c r="A68" s="23"/>
      <c r="O68" s="7" t="str">
        <f ca="1">getCodigoBackend(N68,A68,VLOOKUP(N68,setup!$A$8:$H$58,2),VLOOKUP(N68,setup!$A$8:$H$58,3),VLOOKUP(N68,setup!$A$8:$H$58,4),VLOOKUP(N68,setup!$A$8:$H$58,5),VLOOKUP(N68,setup!$A$8:$H$58,6),VLOOKUP(N68,setup!$A$8:$H$58,7), VLOOKUP(0,setup!$A$8:$H$58,2),VLOOKUP(0,setup!$A$8:$H$58,5),VLOOKUP(N68,setup!$A$8:$H$58,8))</f>
        <v/>
      </c>
    </row>
    <row r="69" spans="1:15" x14ac:dyDescent="0.25">
      <c r="A69" s="23"/>
      <c r="O69" s="7" t="str">
        <f ca="1">getCodigoBackend(N69,A69,VLOOKUP(N69,setup!$A$8:$H$58,2),VLOOKUP(N69,setup!$A$8:$H$58,3),VLOOKUP(N69,setup!$A$8:$H$58,4),VLOOKUP(N69,setup!$A$8:$H$58,5),VLOOKUP(N69,setup!$A$8:$H$58,6),VLOOKUP(N69,setup!$A$8:$H$58,7), VLOOKUP(0,setup!$A$8:$H$58,2),VLOOKUP(0,setup!$A$8:$H$58,5),VLOOKUP(N69,setup!$A$8:$H$58,8))</f>
        <v/>
      </c>
    </row>
    <row r="70" spans="1:15" x14ac:dyDescent="0.25">
      <c r="A70" s="23"/>
      <c r="O70" s="7" t="str">
        <f ca="1">getCodigoBackend(N70,A70,VLOOKUP(N70,setup!$A$8:$H$58,2),VLOOKUP(N70,setup!$A$8:$H$58,3),VLOOKUP(N70,setup!$A$8:$H$58,4),VLOOKUP(N70,setup!$A$8:$H$58,5),VLOOKUP(N70,setup!$A$8:$H$58,6),VLOOKUP(N70,setup!$A$8:$H$58,7), VLOOKUP(0,setup!$A$8:$H$58,2),VLOOKUP(0,setup!$A$8:$H$58,5),VLOOKUP(N70,setup!$A$8:$H$58,8))</f>
        <v/>
      </c>
    </row>
    <row r="71" spans="1:15" x14ac:dyDescent="0.25">
      <c r="A71" s="23"/>
      <c r="O71" s="7" t="str">
        <f ca="1">getCodigoBackend(N71,A71,VLOOKUP(N71,setup!$A$8:$H$58,2),VLOOKUP(N71,setup!$A$8:$H$58,3),VLOOKUP(N71,setup!$A$8:$H$58,4),VLOOKUP(N71,setup!$A$8:$H$58,5),VLOOKUP(N71,setup!$A$8:$H$58,6),VLOOKUP(N71,setup!$A$8:$H$58,7), VLOOKUP(0,setup!$A$8:$H$58,2),VLOOKUP(0,setup!$A$8:$H$58,5),VLOOKUP(N71,setup!$A$8:$H$58,8))</f>
        <v/>
      </c>
    </row>
    <row r="72" spans="1:15" x14ac:dyDescent="0.25">
      <c r="A72" s="23"/>
      <c r="O72" s="7" t="str">
        <f ca="1">getCodigoBackend(N72,A72,VLOOKUP(N72,setup!$A$8:$H$58,2),VLOOKUP(N72,setup!$A$8:$H$58,3),VLOOKUP(N72,setup!$A$8:$H$58,4),VLOOKUP(N72,setup!$A$8:$H$58,5),VLOOKUP(N72,setup!$A$8:$H$58,6),VLOOKUP(N72,setup!$A$8:$H$58,7), VLOOKUP(0,setup!$A$8:$H$58,2),VLOOKUP(0,setup!$A$8:$H$58,5),VLOOKUP(N72,setup!$A$8:$H$58,8))</f>
        <v/>
      </c>
    </row>
    <row r="73" spans="1:15" x14ac:dyDescent="0.25">
      <c r="A73" s="23"/>
      <c r="O73" s="7" t="str">
        <f ca="1">getCodigoBackend(N73,A73,VLOOKUP(N73,setup!$A$8:$H$58,2),VLOOKUP(N73,setup!$A$8:$H$58,3),VLOOKUP(N73,setup!$A$8:$H$58,4),VLOOKUP(N73,setup!$A$8:$H$58,5),VLOOKUP(N73,setup!$A$8:$H$58,6),VLOOKUP(N73,setup!$A$8:$H$58,7), VLOOKUP(0,setup!$A$8:$H$58,2),VLOOKUP(0,setup!$A$8:$H$58,5),VLOOKUP(N73,setup!$A$8:$H$58,8))</f>
        <v/>
      </c>
    </row>
    <row r="74" spans="1:15" x14ac:dyDescent="0.25">
      <c r="A74" s="23"/>
      <c r="O74" s="7" t="str">
        <f ca="1">getCodigoBackend(N74,A74,VLOOKUP(N74,setup!$A$8:$H$58,2),VLOOKUP(N74,setup!$A$8:$H$58,3),VLOOKUP(N74,setup!$A$8:$H$58,4),VLOOKUP(N74,setup!$A$8:$H$58,5),VLOOKUP(N74,setup!$A$8:$H$58,6),VLOOKUP(N74,setup!$A$8:$H$58,7), VLOOKUP(0,setup!$A$8:$H$58,2),VLOOKUP(0,setup!$A$8:$H$58,5),VLOOKUP(N74,setup!$A$8:$H$58,8))</f>
        <v/>
      </c>
    </row>
    <row r="75" spans="1:15" x14ac:dyDescent="0.25">
      <c r="A75" s="23"/>
      <c r="O75" s="7" t="str">
        <f ca="1">getCodigoBackend(N75,A75,VLOOKUP(N75,setup!$A$8:$H$58,2),VLOOKUP(N75,setup!$A$8:$H$58,3),VLOOKUP(N75,setup!$A$8:$H$58,4),VLOOKUP(N75,setup!$A$8:$H$58,5),VLOOKUP(N75,setup!$A$8:$H$58,6),VLOOKUP(N75,setup!$A$8:$H$58,7), VLOOKUP(0,setup!$A$8:$H$58,2),VLOOKUP(0,setup!$A$8:$H$58,5),VLOOKUP(N75,setup!$A$8:$H$58,8))</f>
        <v/>
      </c>
    </row>
    <row r="76" spans="1:15" x14ac:dyDescent="0.25">
      <c r="A76" s="23"/>
      <c r="O76" s="7" t="str">
        <f ca="1">getCodigoBackend(N76,A76,VLOOKUP(N76,setup!$A$8:$H$58,2),VLOOKUP(N76,setup!$A$8:$H$58,3),VLOOKUP(N76,setup!$A$8:$H$58,4),VLOOKUP(N76,setup!$A$8:$H$58,5),VLOOKUP(N76,setup!$A$8:$H$58,6),VLOOKUP(N76,setup!$A$8:$H$58,7), VLOOKUP(0,setup!$A$8:$H$58,2),VLOOKUP(0,setup!$A$8:$H$58,5),VLOOKUP(N76,setup!$A$8:$H$58,8))</f>
        <v/>
      </c>
    </row>
    <row r="77" spans="1:15" x14ac:dyDescent="0.25">
      <c r="A77" s="23"/>
      <c r="O77" s="7" t="str">
        <f ca="1">getCodigoBackend(N77,A77,VLOOKUP(N77,setup!$A$8:$H$58,2),VLOOKUP(N77,setup!$A$8:$H$58,3),VLOOKUP(N77,setup!$A$8:$H$58,4),VLOOKUP(N77,setup!$A$8:$H$58,5),VLOOKUP(N77,setup!$A$8:$H$58,6),VLOOKUP(N77,setup!$A$8:$H$58,7), VLOOKUP(0,setup!$A$8:$H$58,2),VLOOKUP(0,setup!$A$8:$H$58,5),VLOOKUP(N77,setup!$A$8:$H$58,8))</f>
        <v/>
      </c>
    </row>
    <row r="78" spans="1:15" x14ac:dyDescent="0.25">
      <c r="A78" s="23"/>
      <c r="O78" s="7" t="str">
        <f ca="1">getCodigoBackend(N78,A78,VLOOKUP(N78,setup!$A$8:$H$58,2),VLOOKUP(N78,setup!$A$8:$H$58,3),VLOOKUP(N78,setup!$A$8:$H$58,4),VLOOKUP(N78,setup!$A$8:$H$58,5),VLOOKUP(N78,setup!$A$8:$H$58,6),VLOOKUP(N78,setup!$A$8:$H$58,7), VLOOKUP(0,setup!$A$8:$H$58,2),VLOOKUP(0,setup!$A$8:$H$58,5),VLOOKUP(N78,setup!$A$8:$H$58,8))</f>
        <v/>
      </c>
    </row>
    <row r="79" spans="1:15" x14ac:dyDescent="0.25">
      <c r="A79" s="23"/>
      <c r="O79" s="7" t="str">
        <f ca="1">getCodigoBackend(N79,A79,VLOOKUP(N79,setup!$A$8:$H$58,2),VLOOKUP(N79,setup!$A$8:$H$58,3),VLOOKUP(N79,setup!$A$8:$H$58,4),VLOOKUP(N79,setup!$A$8:$H$58,5),VLOOKUP(N79,setup!$A$8:$H$58,6),VLOOKUP(N79,setup!$A$8:$H$58,7), VLOOKUP(0,setup!$A$8:$H$58,2),VLOOKUP(0,setup!$A$8:$H$58,5),VLOOKUP(N79,setup!$A$8:$H$58,8))</f>
        <v/>
      </c>
    </row>
    <row r="80" spans="1:15" x14ac:dyDescent="0.25">
      <c r="A80" s="6"/>
      <c r="O80" s="7" t="str">
        <f ca="1">getCodigoBackend(N80,A80,VLOOKUP(N80,setup!$A$8:$H$58,2),VLOOKUP(N80,setup!$A$8:$H$58,3),VLOOKUP(N80,setup!$A$8:$H$58,4),VLOOKUP(N80,setup!$A$8:$H$58,5),VLOOKUP(N80,setup!$A$8:$H$58,6),VLOOKUP(N80,setup!$A$8:$H$58,7), VLOOKUP(0,setup!$A$8:$H$58,2),VLOOKUP(0,setup!$A$8:$H$58,5),VLOOKUP(N80,setup!$A$8:$H$58,8))</f>
        <v/>
      </c>
    </row>
    <row r="81" spans="1:15" x14ac:dyDescent="0.25">
      <c r="A81" s="6"/>
      <c r="O81" s="7" t="str">
        <f ca="1">getCodigoBackend(N81,A81,VLOOKUP(N81,setup!$A$8:$H$58,2),VLOOKUP(N81,setup!$A$8:$H$58,3),VLOOKUP(N81,setup!$A$8:$H$58,4),VLOOKUP(N81,setup!$A$8:$H$58,5),VLOOKUP(N81,setup!$A$8:$H$58,6),VLOOKUP(N81,setup!$A$8:$H$58,7), VLOOKUP(0,setup!$A$8:$H$58,2),VLOOKUP(0,setup!$A$8:$H$58,5),VLOOKUP(N81,setup!$A$8:$H$58,8))</f>
        <v/>
      </c>
    </row>
    <row r="82" spans="1:15" x14ac:dyDescent="0.25">
      <c r="A82" s="6"/>
      <c r="O82" s="7" t="str">
        <f ca="1">getCodigoBackend(N82,A82,VLOOKUP(N82,setup!$A$8:$H$58,2),VLOOKUP(N82,setup!$A$8:$H$58,3),VLOOKUP(N82,setup!$A$8:$H$58,4),VLOOKUP(N82,setup!$A$8:$H$58,5),VLOOKUP(N82,setup!$A$8:$H$58,6),VLOOKUP(N82,setup!$A$8:$H$58,7), VLOOKUP(0,setup!$A$8:$H$58,2),VLOOKUP(0,setup!$A$8:$H$58,5),VLOOKUP(N82,setup!$A$8:$H$58,8))</f>
        <v/>
      </c>
    </row>
    <row r="83" spans="1:15" x14ac:dyDescent="0.25">
      <c r="A83" s="6"/>
      <c r="O83" s="7" t="str">
        <f ca="1">getCodigoBackend(N83,A83,VLOOKUP(N83,setup!$A$8:$H$58,2),VLOOKUP(N83,setup!$A$8:$H$58,3),VLOOKUP(N83,setup!$A$8:$H$58,4),VLOOKUP(N83,setup!$A$8:$H$58,5),VLOOKUP(N83,setup!$A$8:$H$58,6),VLOOKUP(N83,setup!$A$8:$H$58,7), VLOOKUP(0,setup!$A$8:$H$58,2),VLOOKUP(0,setup!$A$8:$H$58,5),VLOOKUP(N83,setup!$A$8:$H$58,8))</f>
        <v/>
      </c>
    </row>
    <row r="84" spans="1:15" x14ac:dyDescent="0.25">
      <c r="A84" s="6"/>
      <c r="O84" s="7" t="str">
        <f ca="1">getCodigoBackend(N84,A84,VLOOKUP(N84,setup!$A$8:$H$58,2),VLOOKUP(N84,setup!$A$8:$H$58,3),VLOOKUP(N84,setup!$A$8:$H$58,4),VLOOKUP(N84,setup!$A$8:$H$58,5),VLOOKUP(N84,setup!$A$8:$H$58,6),VLOOKUP(N84,setup!$A$8:$H$58,7), VLOOKUP(0,setup!$A$8:$H$58,2),VLOOKUP(0,setup!$A$8:$H$58,5),VLOOKUP(N84,setup!$A$8:$H$58,8))</f>
        <v/>
      </c>
    </row>
    <row r="85" spans="1:15" x14ac:dyDescent="0.25">
      <c r="A85" s="6"/>
      <c r="O85" s="7" t="str">
        <f ca="1">getCodigoBackend(N85,A85,VLOOKUP(N85,setup!$A$8:$H$58,2),VLOOKUP(N85,setup!$A$8:$H$58,3),VLOOKUP(N85,setup!$A$8:$H$58,4),VLOOKUP(N85,setup!$A$8:$H$58,5),VLOOKUP(N85,setup!$A$8:$H$58,6),VLOOKUP(N85,setup!$A$8:$H$58,7), VLOOKUP(0,setup!$A$8:$H$58,2),VLOOKUP(0,setup!$A$8:$H$58,5),VLOOKUP(N85,setup!$A$8:$H$58,8))</f>
        <v/>
      </c>
    </row>
    <row r="86" spans="1:15" x14ac:dyDescent="0.25">
      <c r="A86" s="6"/>
      <c r="O86" s="7" t="str">
        <f ca="1">getCodigoBackend(N86,A86,VLOOKUP(N86,setup!$A$8:$H$58,2),VLOOKUP(N86,setup!$A$8:$H$58,3),VLOOKUP(N86,setup!$A$8:$H$58,4),VLOOKUP(N86,setup!$A$8:$H$58,5),VLOOKUP(N86,setup!$A$8:$H$58,6),VLOOKUP(N86,setup!$A$8:$H$58,7), VLOOKUP(0,setup!$A$8:$H$58,2),VLOOKUP(0,setup!$A$8:$H$58,5),VLOOKUP(N86,setup!$A$8:$H$58,8))</f>
        <v/>
      </c>
    </row>
    <row r="87" spans="1:15" x14ac:dyDescent="0.25">
      <c r="A87" s="6"/>
      <c r="O87" s="7" t="str">
        <f ca="1">getCodigoBackend(N87,A87,VLOOKUP(N87,setup!$A$8:$H$58,2),VLOOKUP(N87,setup!$A$8:$H$58,3),VLOOKUP(N87,setup!$A$8:$H$58,4),VLOOKUP(N87,setup!$A$8:$H$58,5),VLOOKUP(N87,setup!$A$8:$H$58,6),VLOOKUP(N87,setup!$A$8:$H$58,7), VLOOKUP(0,setup!$A$8:$H$58,2),VLOOKUP(0,setup!$A$8:$H$58,5),VLOOKUP(N87,setup!$A$8:$H$58,8))</f>
        <v/>
      </c>
    </row>
    <row r="88" spans="1:15" x14ac:dyDescent="0.25">
      <c r="A88" s="6"/>
      <c r="O88" s="7" t="str">
        <f ca="1">getCodigoBackend(N88,A88,VLOOKUP(N88,setup!$A$8:$H$58,2),VLOOKUP(N88,setup!$A$8:$H$58,3),VLOOKUP(N88,setup!$A$8:$H$58,4),VLOOKUP(N88,setup!$A$8:$H$58,5),VLOOKUP(N88,setup!$A$8:$H$58,6),VLOOKUP(N88,setup!$A$8:$H$58,7), VLOOKUP(0,setup!$A$8:$H$58,2),VLOOKUP(0,setup!$A$8:$H$58,5),VLOOKUP(N88,setup!$A$8:$H$58,8))</f>
        <v/>
      </c>
    </row>
    <row r="89" spans="1:15" x14ac:dyDescent="0.25">
      <c r="A89" s="6"/>
      <c r="O89" s="7" t="str">
        <f ca="1">getCodigoBackend(N89,A89,VLOOKUP(N89,setup!$A$8:$H$58,2),VLOOKUP(N89,setup!$A$8:$H$58,3),VLOOKUP(N89,setup!$A$8:$H$58,4),VLOOKUP(N89,setup!$A$8:$H$58,5),VLOOKUP(N89,setup!$A$8:$H$58,6),VLOOKUP(N89,setup!$A$8:$H$58,7), VLOOKUP(0,setup!$A$8:$H$58,2),VLOOKUP(0,setup!$A$8:$H$58,5),VLOOKUP(N89,setup!$A$8:$H$58,8))</f>
        <v/>
      </c>
    </row>
    <row r="90" spans="1:15" x14ac:dyDescent="0.25">
      <c r="A90" s="6"/>
      <c r="O90" s="7" t="str">
        <f ca="1">getCodigoBackend(N90,A90,VLOOKUP(N90,setup!$A$8:$H$58,2),VLOOKUP(N90,setup!$A$8:$H$58,3),VLOOKUP(N90,setup!$A$8:$H$58,4),VLOOKUP(N90,setup!$A$8:$H$58,5),VLOOKUP(N90,setup!$A$8:$H$58,6),VLOOKUP(N90,setup!$A$8:$H$58,7), VLOOKUP(0,setup!$A$8:$H$58,2),VLOOKUP(0,setup!$A$8:$H$58,5),VLOOKUP(N90,setup!$A$8:$H$58,8))</f>
        <v/>
      </c>
    </row>
    <row r="91" spans="1:15" x14ac:dyDescent="0.25">
      <c r="A91" s="6"/>
      <c r="O91" s="7" t="str">
        <f ca="1">getCodigoBackend(N91,A91,VLOOKUP(N91,setup!$A$8:$H$58,2),VLOOKUP(N91,setup!$A$8:$H$58,3),VLOOKUP(N91,setup!$A$8:$H$58,4),VLOOKUP(N91,setup!$A$8:$H$58,5),VLOOKUP(N91,setup!$A$8:$H$58,6),VLOOKUP(N91,setup!$A$8:$H$58,7), VLOOKUP(0,setup!$A$8:$H$58,2),VLOOKUP(0,setup!$A$8:$H$58,5),VLOOKUP(N91,setup!$A$8:$H$58,8))</f>
        <v/>
      </c>
    </row>
    <row r="92" spans="1:15" x14ac:dyDescent="0.25">
      <c r="A92" s="6"/>
      <c r="O92" s="7" t="str">
        <f ca="1">getCodigoBackend(N92,A92,VLOOKUP(N92,setup!$A$8:$H$58,2),VLOOKUP(N92,setup!$A$8:$H$58,3),VLOOKUP(N92,setup!$A$8:$H$58,4),VLOOKUP(N92,setup!$A$8:$H$58,5),VLOOKUP(N92,setup!$A$8:$H$58,6),VLOOKUP(N92,setup!$A$8:$H$58,7), VLOOKUP(0,setup!$A$8:$H$58,2),VLOOKUP(0,setup!$A$8:$H$58,5),VLOOKUP(N92,setup!$A$8:$H$58,8))</f>
        <v/>
      </c>
    </row>
    <row r="93" spans="1:15" x14ac:dyDescent="0.25">
      <c r="A93" s="6"/>
      <c r="O93" s="7" t="str">
        <f ca="1">getCodigoBackend(N93,A93,VLOOKUP(N93,setup!$A$8:$H$58,2),VLOOKUP(N93,setup!$A$8:$H$58,3),VLOOKUP(N93,setup!$A$8:$H$58,4),VLOOKUP(N93,setup!$A$8:$H$58,5),VLOOKUP(N93,setup!$A$8:$H$58,6),VLOOKUP(N93,setup!$A$8:$H$58,7), VLOOKUP(0,setup!$A$8:$H$58,2),VLOOKUP(0,setup!$A$8:$H$58,5),VLOOKUP(N93,setup!$A$8:$H$58,8))</f>
        <v/>
      </c>
    </row>
    <row r="94" spans="1:15" x14ac:dyDescent="0.25">
      <c r="A94" s="6"/>
      <c r="O94" s="7" t="str">
        <f ca="1">getCodigoBackend(N94,A94,VLOOKUP(N94,setup!$A$8:$H$58,2),VLOOKUP(N94,setup!$A$8:$H$58,3),VLOOKUP(N94,setup!$A$8:$H$58,4),VLOOKUP(N94,setup!$A$8:$H$58,5),VLOOKUP(N94,setup!$A$8:$H$58,6),VLOOKUP(N94,setup!$A$8:$H$58,7), VLOOKUP(0,setup!$A$8:$H$58,2),VLOOKUP(0,setup!$A$8:$H$58,5),VLOOKUP(N94,setup!$A$8:$H$58,8))</f>
        <v/>
      </c>
    </row>
    <row r="95" spans="1:15" x14ac:dyDescent="0.25">
      <c r="A95" s="6"/>
      <c r="O95" s="7" t="str">
        <f ca="1">getCodigoBackend(N95,A95,VLOOKUP(N95,setup!$A$8:$H$58,2),VLOOKUP(N95,setup!$A$8:$H$58,3),VLOOKUP(N95,setup!$A$8:$H$58,4),VLOOKUP(N95,setup!$A$8:$H$58,5),VLOOKUP(N95,setup!$A$8:$H$58,6),VLOOKUP(N95,setup!$A$8:$H$58,7), VLOOKUP(0,setup!$A$8:$H$58,2),VLOOKUP(0,setup!$A$8:$H$58,5),VLOOKUP(N95,setup!$A$8:$H$58,8))</f>
        <v/>
      </c>
    </row>
    <row r="96" spans="1:15" x14ac:dyDescent="0.25">
      <c r="A96" s="6"/>
      <c r="O96" s="7" t="str">
        <f ca="1">getCodigoBackend(N96,A96,VLOOKUP(N96,setup!$A$8:$H$58,2),VLOOKUP(N96,setup!$A$8:$H$58,3),VLOOKUP(N96,setup!$A$8:$H$58,4),VLOOKUP(N96,setup!$A$8:$H$58,5),VLOOKUP(N96,setup!$A$8:$H$58,6),VLOOKUP(N96,setup!$A$8:$H$58,7), VLOOKUP(0,setup!$A$8:$H$58,2),VLOOKUP(0,setup!$A$8:$H$58,5),VLOOKUP(N96,setup!$A$8:$H$58,8))</f>
        <v/>
      </c>
    </row>
    <row r="97" spans="1:15" x14ac:dyDescent="0.25">
      <c r="A97" s="6"/>
      <c r="O97" s="7" t="str">
        <f ca="1">getCodigoBackend(N97,A97,VLOOKUP(N97,setup!$A$8:$H$58,2),VLOOKUP(N97,setup!$A$8:$H$58,3),VLOOKUP(N97,setup!$A$8:$H$58,4),VLOOKUP(N97,setup!$A$8:$H$58,5),VLOOKUP(N97,setup!$A$8:$H$58,6),VLOOKUP(N97,setup!$A$8:$H$58,7), VLOOKUP(0,setup!$A$8:$H$58,2),VLOOKUP(0,setup!$A$8:$H$58,5),VLOOKUP(N97,setup!$A$8:$H$58,8))</f>
        <v/>
      </c>
    </row>
    <row r="98" spans="1:15" x14ac:dyDescent="0.25">
      <c r="A98" s="6"/>
      <c r="O98" s="7" t="str">
        <f ca="1">getCodigoBackend(N98,A98,VLOOKUP(N98,setup!$A$8:$H$58,2),VLOOKUP(N98,setup!$A$8:$H$58,3),VLOOKUP(N98,setup!$A$8:$H$58,4),VLOOKUP(N98,setup!$A$8:$H$58,5),VLOOKUP(N98,setup!$A$8:$H$58,6),VLOOKUP(N98,setup!$A$8:$H$58,7), VLOOKUP(0,setup!$A$8:$H$58,2),VLOOKUP(0,setup!$A$8:$H$58,5),VLOOKUP(N98,setup!$A$8:$H$58,8))</f>
        <v/>
      </c>
    </row>
    <row r="99" spans="1:15" x14ac:dyDescent="0.25">
      <c r="A99" s="6"/>
      <c r="O99" s="7" t="str">
        <f ca="1">getCodigoBackend(N99,A99,VLOOKUP(N99,setup!$A$8:$H$58,2),VLOOKUP(N99,setup!$A$8:$H$58,3),VLOOKUP(N99,setup!$A$8:$H$58,4),VLOOKUP(N99,setup!$A$8:$H$58,5),VLOOKUP(N99,setup!$A$8:$H$58,6),VLOOKUP(N99,setup!$A$8:$H$58,7), VLOOKUP(0,setup!$A$8:$H$58,2),VLOOKUP(0,setup!$A$8:$H$58,5),VLOOKUP(N99,setup!$A$8:$H$58,8))</f>
        <v/>
      </c>
    </row>
    <row r="100" spans="1:15" x14ac:dyDescent="0.25">
      <c r="A100" s="6"/>
      <c r="O100" s="7" t="str">
        <f ca="1">getCodigoBackend(N100,A100,VLOOKUP(N100,setup!$A$8:$H$58,2),VLOOKUP(N100,setup!$A$8:$H$58,3),VLOOKUP(N100,setup!$A$8:$H$58,4),VLOOKUP(N100,setup!$A$8:$H$58,5),VLOOKUP(N100,setup!$A$8:$H$58,6),VLOOKUP(N100,setup!$A$8:$H$58,7), VLOOKUP(0,setup!$A$8:$H$58,2),VLOOKUP(0,setup!$A$8:$H$58,5),VLOOKUP(N100,setup!$A$8:$H$58,8))</f>
        <v/>
      </c>
    </row>
    <row r="101" spans="1:15" x14ac:dyDescent="0.25">
      <c r="A101" s="6"/>
      <c r="O101" s="7" t="str">
        <f ca="1">getCodigoBackend(N101,A101,VLOOKUP(N101,setup!$A$8:$H$58,2),VLOOKUP(N101,setup!$A$8:$H$58,3),VLOOKUP(N101,setup!$A$8:$H$58,4),VLOOKUP(N101,setup!$A$8:$H$58,5),VLOOKUP(N101,setup!$A$8:$H$58,6),VLOOKUP(N101,setup!$A$8:$H$58,7), VLOOKUP(0,setup!$A$8:$H$58,2),VLOOKUP(0,setup!$A$8:$H$58,5),VLOOKUP(N101,setup!$A$8:$H$58,8))</f>
        <v/>
      </c>
    </row>
    <row r="102" spans="1:15" x14ac:dyDescent="0.25">
      <c r="A102" s="6"/>
      <c r="O102" s="7" t="str">
        <f ca="1">getCodigoBackend(N102,A102,VLOOKUP(N102,setup!$A$8:$H$58,2),VLOOKUP(N102,setup!$A$8:$H$58,3),VLOOKUP(N102,setup!$A$8:$H$58,4),VLOOKUP(N102,setup!$A$8:$H$58,5),VLOOKUP(N102,setup!$A$8:$H$58,6),VLOOKUP(N102,setup!$A$8:$H$58,7), VLOOKUP(0,setup!$A$8:$H$58,2),VLOOKUP(0,setup!$A$8:$H$58,5),VLOOKUP(N102,setup!$A$8:$H$58,8))</f>
        <v/>
      </c>
    </row>
    <row r="103" spans="1:15" x14ac:dyDescent="0.25">
      <c r="A103" s="6"/>
      <c r="O103" s="7" t="str">
        <f ca="1">getCodigoBackend(N103,A103,VLOOKUP(N103,setup!$A$8:$H$58,2),VLOOKUP(N103,setup!$A$8:$H$58,3),VLOOKUP(N103,setup!$A$8:$H$58,4),VLOOKUP(N103,setup!$A$8:$H$58,5),VLOOKUP(N103,setup!$A$8:$H$58,6),VLOOKUP(N103,setup!$A$8:$H$58,7), VLOOKUP(0,setup!$A$8:$H$58,2),VLOOKUP(0,setup!$A$8:$H$58,5),VLOOKUP(N103,setup!$A$8:$H$58,8))</f>
        <v/>
      </c>
    </row>
    <row r="104" spans="1:15" x14ac:dyDescent="0.25">
      <c r="A104" s="6"/>
      <c r="O104" s="7" t="str">
        <f ca="1">getCodigoBackend(N104,A104,VLOOKUP(N104,setup!$A$8:$H$58,2),VLOOKUP(N104,setup!$A$8:$H$58,3),VLOOKUP(N104,setup!$A$8:$H$58,4),VLOOKUP(N104,setup!$A$8:$H$58,5),VLOOKUP(N104,setup!$A$8:$H$58,6),VLOOKUP(N104,setup!$A$8:$H$58,7), VLOOKUP(0,setup!$A$8:$H$58,2),VLOOKUP(0,setup!$A$8:$H$58,5),VLOOKUP(N104,setup!$A$8:$H$58,8))</f>
        <v/>
      </c>
    </row>
    <row r="105" spans="1:15" x14ac:dyDescent="0.25">
      <c r="A105" s="6"/>
      <c r="O105" s="7" t="str">
        <f ca="1">getCodigoBackend(N105,A105,VLOOKUP(N105,setup!$A$8:$H$58,2),VLOOKUP(N105,setup!$A$8:$H$58,3),VLOOKUP(N105,setup!$A$8:$H$58,4),VLOOKUP(N105,setup!$A$8:$H$58,5),VLOOKUP(N105,setup!$A$8:$H$58,6),VLOOKUP(N105,setup!$A$8:$H$58,7), VLOOKUP(0,setup!$A$8:$H$58,2),VLOOKUP(0,setup!$A$8:$H$58,5),VLOOKUP(N105,setup!$A$8:$H$58,8))</f>
        <v/>
      </c>
    </row>
    <row r="106" spans="1:15" x14ac:dyDescent="0.25">
      <c r="A106" s="6"/>
      <c r="O106" s="7" t="str">
        <f ca="1">getCodigoBackend(N106,A106,VLOOKUP(N106,setup!$A$8:$H$58,2),VLOOKUP(N106,setup!$A$8:$H$58,3),VLOOKUP(N106,setup!$A$8:$H$58,4),VLOOKUP(N106,setup!$A$8:$H$58,5),VLOOKUP(N106,setup!$A$8:$H$58,6),VLOOKUP(N106,setup!$A$8:$H$58,7), VLOOKUP(0,setup!$A$8:$H$58,2),VLOOKUP(0,setup!$A$8:$H$58,5),VLOOKUP(N106,setup!$A$8:$H$58,8))</f>
        <v/>
      </c>
    </row>
    <row r="107" spans="1:15" x14ac:dyDescent="0.25">
      <c r="A107" s="6"/>
      <c r="O107" s="7" t="str">
        <f ca="1">getCodigoBackend(N107,A107,VLOOKUP(N107,setup!$A$8:$H$58,2),VLOOKUP(N107,setup!$A$8:$H$58,3),VLOOKUP(N107,setup!$A$8:$H$58,4),VLOOKUP(N107,setup!$A$8:$H$58,5),VLOOKUP(N107,setup!$A$8:$H$58,6),VLOOKUP(N107,setup!$A$8:$H$58,7), VLOOKUP(0,setup!$A$8:$H$58,2),VLOOKUP(0,setup!$A$8:$H$58,5),VLOOKUP(N107,setup!$A$8:$H$58,8))</f>
        <v/>
      </c>
    </row>
    <row r="108" spans="1:15" x14ac:dyDescent="0.25">
      <c r="A108" s="6"/>
      <c r="O108" s="7" t="str">
        <f ca="1">getCodigoBackend(N108,A108,VLOOKUP(N108,setup!$A$8:$H$58,2),VLOOKUP(N108,setup!$A$8:$H$58,3),VLOOKUP(N108,setup!$A$8:$H$58,4),VLOOKUP(N108,setup!$A$8:$H$58,5),VLOOKUP(N108,setup!$A$8:$H$58,6),VLOOKUP(N108,setup!$A$8:$H$58,7), VLOOKUP(0,setup!$A$8:$H$58,2),VLOOKUP(0,setup!$A$8:$H$58,5),VLOOKUP(N108,setup!$A$8:$H$58,8))</f>
        <v/>
      </c>
    </row>
    <row r="109" spans="1:15" x14ac:dyDescent="0.25">
      <c r="A109" s="6"/>
      <c r="O109" s="7" t="str">
        <f ca="1">getCodigoBackend(N109,A109,VLOOKUP(N109,setup!$A$8:$H$58,2),VLOOKUP(N109,setup!$A$8:$H$58,3),VLOOKUP(N109,setup!$A$8:$H$58,4),VLOOKUP(N109,setup!$A$8:$H$58,5),VLOOKUP(N109,setup!$A$8:$H$58,6),VLOOKUP(N109,setup!$A$8:$H$58,7), VLOOKUP(0,setup!$A$8:$H$58,2),VLOOKUP(0,setup!$A$8:$H$58,5),VLOOKUP(N109,setup!$A$8:$H$58,8))</f>
        <v/>
      </c>
    </row>
    <row r="110" spans="1:15" x14ac:dyDescent="0.25">
      <c r="A110" s="6"/>
      <c r="O110" s="7" t="str">
        <f ca="1">getCodigoBackend(N110,A110,VLOOKUP(N110,setup!$A$8:$H$58,2),VLOOKUP(N110,setup!$A$8:$H$58,3),VLOOKUP(N110,setup!$A$8:$H$58,4),VLOOKUP(N110,setup!$A$8:$H$58,5),VLOOKUP(N110,setup!$A$8:$H$58,6),VLOOKUP(N110,setup!$A$8:$H$58,7), VLOOKUP(0,setup!$A$8:$H$58,2),VLOOKUP(0,setup!$A$8:$H$58,5),VLOOKUP(N110,setup!$A$8:$H$58,8))</f>
        <v/>
      </c>
    </row>
    <row r="111" spans="1:15" x14ac:dyDescent="0.25">
      <c r="A111" s="6"/>
      <c r="O111" s="7" t="str">
        <f ca="1">getCodigoBackend(N111,A111,VLOOKUP(N111,setup!$A$8:$H$58,2),VLOOKUP(N111,setup!$A$8:$H$58,3),VLOOKUP(N111,setup!$A$8:$H$58,4),VLOOKUP(N111,setup!$A$8:$H$58,5),VLOOKUP(N111,setup!$A$8:$H$58,6),VLOOKUP(N111,setup!$A$8:$H$58,7), VLOOKUP(0,setup!$A$8:$H$58,2),VLOOKUP(0,setup!$A$8:$H$58,5),VLOOKUP(N111,setup!$A$8:$H$58,8))</f>
        <v/>
      </c>
    </row>
    <row r="112" spans="1:15" x14ac:dyDescent="0.25">
      <c r="A112" s="6"/>
      <c r="O112" s="7" t="str">
        <f ca="1">getCodigoBackend(N112,A112,VLOOKUP(N112,setup!$A$8:$H$58,2),VLOOKUP(N112,setup!$A$8:$H$58,3),VLOOKUP(N112,setup!$A$8:$H$58,4),VLOOKUP(N112,setup!$A$8:$H$58,5),VLOOKUP(N112,setup!$A$8:$H$58,6),VLOOKUP(N112,setup!$A$8:$H$58,7), VLOOKUP(0,setup!$A$8:$H$58,2),VLOOKUP(0,setup!$A$8:$H$58,5),VLOOKUP(N112,setup!$A$8:$H$58,8))</f>
        <v/>
      </c>
    </row>
    <row r="113" spans="1:15" x14ac:dyDescent="0.25">
      <c r="A113" s="6"/>
      <c r="O113" s="7" t="str">
        <f ca="1">getCodigoBackend(N113,A113,VLOOKUP(N113,setup!$A$8:$H$58,2),VLOOKUP(N113,setup!$A$8:$H$58,3),VLOOKUP(N113,setup!$A$8:$H$58,4),VLOOKUP(N113,setup!$A$8:$H$58,5),VLOOKUP(N113,setup!$A$8:$H$58,6),VLOOKUP(N113,setup!$A$8:$H$58,7), VLOOKUP(0,setup!$A$8:$H$58,2),VLOOKUP(0,setup!$A$8:$H$58,5),VLOOKUP(N113,setup!$A$8:$H$58,8))</f>
        <v/>
      </c>
    </row>
    <row r="114" spans="1:15" x14ac:dyDescent="0.25">
      <c r="A114" s="6"/>
      <c r="O114" s="7" t="str">
        <f ca="1">getCodigoBackend(N114,A114,VLOOKUP(N114,setup!$A$8:$H$58,2),VLOOKUP(N114,setup!$A$8:$H$58,3),VLOOKUP(N114,setup!$A$8:$H$58,4),VLOOKUP(N114,setup!$A$8:$H$58,5),VLOOKUP(N114,setup!$A$8:$H$58,6),VLOOKUP(N114,setup!$A$8:$H$58,7), VLOOKUP(0,setup!$A$8:$H$58,2),VLOOKUP(0,setup!$A$8:$H$58,5),VLOOKUP(N114,setup!$A$8:$H$58,8))</f>
        <v/>
      </c>
    </row>
    <row r="115" spans="1:15" x14ac:dyDescent="0.25">
      <c r="A115" s="6"/>
      <c r="O115" s="7" t="str">
        <f ca="1">getCodigoBackend(N115,A115,VLOOKUP(N115,setup!$A$8:$H$58,2),VLOOKUP(N115,setup!$A$8:$H$58,3),VLOOKUP(N115,setup!$A$8:$H$58,4),VLOOKUP(N115,setup!$A$8:$H$58,5),VLOOKUP(N115,setup!$A$8:$H$58,6),VLOOKUP(N115,setup!$A$8:$H$58,7), VLOOKUP(0,setup!$A$8:$H$58,2),VLOOKUP(0,setup!$A$8:$H$58,5),VLOOKUP(N115,setup!$A$8:$H$58,8))</f>
        <v/>
      </c>
    </row>
    <row r="116" spans="1:15" x14ac:dyDescent="0.25">
      <c r="A116" s="6"/>
      <c r="O116" s="7" t="str">
        <f ca="1">getCodigoBackend(N116,A116,VLOOKUP(N116,setup!$A$8:$H$58,2),VLOOKUP(N116,setup!$A$8:$H$58,3),VLOOKUP(N116,setup!$A$8:$H$58,4),VLOOKUP(N116,setup!$A$8:$H$58,5),VLOOKUP(N116,setup!$A$8:$H$58,6),VLOOKUP(N116,setup!$A$8:$H$58,7), VLOOKUP(0,setup!$A$8:$H$58,2),VLOOKUP(0,setup!$A$8:$H$58,5),VLOOKUP(N116,setup!$A$8:$H$58,8))</f>
        <v/>
      </c>
    </row>
    <row r="117" spans="1:15" x14ac:dyDescent="0.25">
      <c r="A117" s="6"/>
      <c r="O117" s="7" t="str">
        <f ca="1">getCodigoBackend(N117,A117,VLOOKUP(N117,setup!$A$8:$H$58,2),VLOOKUP(N117,setup!$A$8:$H$58,3),VLOOKUP(N117,setup!$A$8:$H$58,4),VLOOKUP(N117,setup!$A$8:$H$58,5),VLOOKUP(N117,setup!$A$8:$H$58,6),VLOOKUP(N117,setup!$A$8:$H$58,7), VLOOKUP(0,setup!$A$8:$H$58,2),VLOOKUP(0,setup!$A$8:$H$58,5),VLOOKUP(N117,setup!$A$8:$H$58,8))</f>
        <v/>
      </c>
    </row>
    <row r="118" spans="1:15" x14ac:dyDescent="0.25">
      <c r="A118" s="6"/>
      <c r="O118" s="7" t="str">
        <f ca="1">getCodigoBackend(N118,A118,VLOOKUP(N118,setup!$A$8:$H$58,2),VLOOKUP(N118,setup!$A$8:$H$58,3),VLOOKUP(N118,setup!$A$8:$H$58,4),VLOOKUP(N118,setup!$A$8:$H$58,5),VLOOKUP(N118,setup!$A$8:$H$58,6),VLOOKUP(N118,setup!$A$8:$H$58,7), VLOOKUP(0,setup!$A$8:$H$58,2),VLOOKUP(0,setup!$A$8:$H$58,5),VLOOKUP(N118,setup!$A$8:$H$58,8))</f>
        <v/>
      </c>
    </row>
    <row r="119" spans="1:15" x14ac:dyDescent="0.25">
      <c r="A119" s="6"/>
      <c r="O119" s="7" t="str">
        <f ca="1">getCodigoBackend(N119,A119,VLOOKUP(N119,setup!$A$8:$H$58,2),VLOOKUP(N119,setup!$A$8:$H$58,3),VLOOKUP(N119,setup!$A$8:$H$58,4),VLOOKUP(N119,setup!$A$8:$H$58,5),VLOOKUP(N119,setup!$A$8:$H$58,6),VLOOKUP(N119,setup!$A$8:$H$58,7), VLOOKUP(0,setup!$A$8:$H$58,2),VLOOKUP(0,setup!$A$8:$H$58,5),VLOOKUP(N119,setup!$A$8:$H$58,8))</f>
        <v/>
      </c>
    </row>
    <row r="120" spans="1:15" x14ac:dyDescent="0.25">
      <c r="A120" s="6"/>
      <c r="O120" s="7" t="str">
        <f ca="1">getCodigoBackend(N120,A120,VLOOKUP(N120,setup!$A$8:$H$58,2),VLOOKUP(N120,setup!$A$8:$H$58,3),VLOOKUP(N120,setup!$A$8:$H$58,4),VLOOKUP(N120,setup!$A$8:$H$58,5),VLOOKUP(N120,setup!$A$8:$H$58,6),VLOOKUP(N120,setup!$A$8:$H$58,7), VLOOKUP(0,setup!$A$8:$H$58,2),VLOOKUP(0,setup!$A$8:$H$58,5),VLOOKUP(N120,setup!$A$8:$H$58,8))</f>
        <v/>
      </c>
    </row>
    <row r="121" spans="1:15" x14ac:dyDescent="0.25">
      <c r="A121" s="6"/>
      <c r="O121" s="7" t="str">
        <f ca="1">getCodigoBackend(N121,A121,VLOOKUP(N121,setup!$A$8:$H$58,2),VLOOKUP(N121,setup!$A$8:$H$58,3),VLOOKUP(N121,setup!$A$8:$H$58,4),VLOOKUP(N121,setup!$A$8:$H$58,5),VLOOKUP(N121,setup!$A$8:$H$58,6),VLOOKUP(N121,setup!$A$8:$H$58,7), VLOOKUP(0,setup!$A$8:$H$58,2),VLOOKUP(0,setup!$A$8:$H$58,5),VLOOKUP(N121,setup!$A$8:$H$58,8))</f>
        <v/>
      </c>
    </row>
    <row r="122" spans="1:15" x14ac:dyDescent="0.25">
      <c r="A122" s="6"/>
      <c r="O122" s="7" t="str">
        <f ca="1">getCodigoBackend(N122,A122,VLOOKUP(N122,setup!$A$8:$H$58,2),VLOOKUP(N122,setup!$A$8:$H$58,3),VLOOKUP(N122,setup!$A$8:$H$58,4),VLOOKUP(N122,setup!$A$8:$H$58,5),VLOOKUP(N122,setup!$A$8:$H$58,6),VLOOKUP(N122,setup!$A$8:$H$58,7), VLOOKUP(0,setup!$A$8:$H$58,2),VLOOKUP(0,setup!$A$8:$H$58,5),VLOOKUP(N122,setup!$A$8:$H$58,8))</f>
        <v/>
      </c>
    </row>
    <row r="123" spans="1:15" x14ac:dyDescent="0.25">
      <c r="A123" s="6"/>
      <c r="O123" s="7" t="str">
        <f ca="1">getCodigoBackend(N123,A123,VLOOKUP(N123,setup!$A$8:$H$58,2),VLOOKUP(N123,setup!$A$8:$H$58,3),VLOOKUP(N123,setup!$A$8:$H$58,4),VLOOKUP(N123,setup!$A$8:$H$58,5),VLOOKUP(N123,setup!$A$8:$H$58,6),VLOOKUP(N123,setup!$A$8:$H$58,7), VLOOKUP(0,setup!$A$8:$H$58,2),VLOOKUP(0,setup!$A$8:$H$58,5),VLOOKUP(N123,setup!$A$8:$H$58,8))</f>
        <v/>
      </c>
    </row>
    <row r="124" spans="1:15" x14ac:dyDescent="0.25">
      <c r="A124" s="15"/>
      <c r="O124" s="7" t="str">
        <f ca="1">getCodigoBackend(N124,A124,VLOOKUP(N124,setup!$A$8:$H$58,2),VLOOKUP(N124,setup!$A$8:$H$58,3),VLOOKUP(N124,setup!$A$8:$H$58,4),VLOOKUP(N124,setup!$A$8:$H$58,5),VLOOKUP(N124,setup!$A$8:$H$58,6),VLOOKUP(N124,setup!$A$8:$H$58,7), VLOOKUP(0,setup!$A$8:$H$58,2),VLOOKUP(0,setup!$A$8:$H$58,5),VLOOKUP(N124,setup!$A$8:$H$58,8))</f>
        <v/>
      </c>
    </row>
    <row r="125" spans="1:15" x14ac:dyDescent="0.25">
      <c r="A125" s="6"/>
      <c r="O125" s="7" t="str">
        <f ca="1">getCodigoBackend(N125,A125,VLOOKUP(N125,setup!$A$8:$H$58,2),VLOOKUP(N125,setup!$A$8:$H$58,3),VLOOKUP(N125,setup!$A$8:$H$58,4),VLOOKUP(N125,setup!$A$8:$H$58,5),VLOOKUP(N125,setup!$A$8:$H$58,6),VLOOKUP(N125,setup!$A$8:$H$58,7), VLOOKUP(0,setup!$A$8:$H$58,2),VLOOKUP(0,setup!$A$8:$H$58,5),VLOOKUP(N125,setup!$A$8:$H$58,8))</f>
        <v/>
      </c>
    </row>
    <row r="126" spans="1:15" x14ac:dyDescent="0.25">
      <c r="A126" s="6"/>
      <c r="O126" s="7" t="str">
        <f ca="1">getCodigoBackend(N126,A126,VLOOKUP(N126,setup!$A$8:$H$58,2),VLOOKUP(N126,setup!$A$8:$H$58,3),VLOOKUP(N126,setup!$A$8:$H$58,4),VLOOKUP(N126,setup!$A$8:$H$58,5),VLOOKUP(N126,setup!$A$8:$H$58,6),VLOOKUP(N126,setup!$A$8:$H$58,7), VLOOKUP(0,setup!$A$8:$H$58,2),VLOOKUP(0,setup!$A$8:$H$58,5),VLOOKUP(N126,setup!$A$8:$H$58,8))</f>
        <v/>
      </c>
    </row>
    <row r="127" spans="1:15" x14ac:dyDescent="0.25">
      <c r="A127" s="6"/>
      <c r="O127" s="7" t="str">
        <f ca="1">getCodigoBackend(N127,A127,VLOOKUP(N127,setup!$A$8:$H$58,2),VLOOKUP(N127,setup!$A$8:$H$58,3),VLOOKUP(N127,setup!$A$8:$H$58,4),VLOOKUP(N127,setup!$A$8:$H$58,5),VLOOKUP(N127,setup!$A$8:$H$58,6),VLOOKUP(N127,setup!$A$8:$H$58,7), VLOOKUP(0,setup!$A$8:$H$58,2),VLOOKUP(0,setup!$A$8:$H$58,5),VLOOKUP(N127,setup!$A$8:$H$58,8))</f>
        <v/>
      </c>
    </row>
    <row r="128" spans="1:15" x14ac:dyDescent="0.25">
      <c r="A128" s="6"/>
      <c r="O128" s="7" t="str">
        <f ca="1">getCodigoBackend(N128,A128,VLOOKUP(N128,setup!$A$8:$H$58,2),VLOOKUP(N128,setup!$A$8:$H$58,3),VLOOKUP(N128,setup!$A$8:$H$58,4),VLOOKUP(N128,setup!$A$8:$H$58,5),VLOOKUP(N128,setup!$A$8:$H$58,6),VLOOKUP(N128,setup!$A$8:$H$58,7), VLOOKUP(0,setup!$A$8:$H$58,2),VLOOKUP(0,setup!$A$8:$H$58,5),VLOOKUP(N128,setup!$A$8:$H$58,8))</f>
        <v/>
      </c>
    </row>
    <row r="129" spans="1:15" x14ac:dyDescent="0.25">
      <c r="A129" s="6"/>
      <c r="O129" s="7" t="str">
        <f ca="1">getCodigoBackend(N129,A129,VLOOKUP(N129,setup!$A$8:$H$58,2),VLOOKUP(N129,setup!$A$8:$H$58,3),VLOOKUP(N129,setup!$A$8:$H$58,4),VLOOKUP(N129,setup!$A$8:$H$58,5),VLOOKUP(N129,setup!$A$8:$H$58,6),VLOOKUP(N129,setup!$A$8:$H$58,7), VLOOKUP(0,setup!$A$8:$H$58,2),VLOOKUP(0,setup!$A$8:$H$58,5),VLOOKUP(N129,setup!$A$8:$H$58,8))</f>
        <v/>
      </c>
    </row>
    <row r="130" spans="1:15" x14ac:dyDescent="0.25">
      <c r="A130" s="6"/>
      <c r="O130" s="7" t="str">
        <f ca="1">getCodigoBackend(N130,A130,VLOOKUP(N130,setup!$A$8:$H$58,2),VLOOKUP(N130,setup!$A$8:$H$58,3),VLOOKUP(N130,setup!$A$8:$H$58,4),VLOOKUP(N130,setup!$A$8:$H$58,5),VLOOKUP(N130,setup!$A$8:$H$58,6),VLOOKUP(N130,setup!$A$8:$H$58,7), VLOOKUP(0,setup!$A$8:$H$58,2),VLOOKUP(0,setup!$A$8:$H$58,5),VLOOKUP(N130,setup!$A$8:$H$58,8))</f>
        <v/>
      </c>
    </row>
    <row r="131" spans="1:15" x14ac:dyDescent="0.25">
      <c r="A131" s="6"/>
      <c r="O131" s="7" t="str">
        <f ca="1">getCodigoBackend(N131,A131,VLOOKUP(N131,setup!$A$8:$H$58,2),VLOOKUP(N131,setup!$A$8:$H$58,3),VLOOKUP(N131,setup!$A$8:$H$58,4),VLOOKUP(N131,setup!$A$8:$H$58,5),VLOOKUP(N131,setup!$A$8:$H$58,6),VLOOKUP(N131,setup!$A$8:$H$58,7), VLOOKUP(0,setup!$A$8:$H$58,2),VLOOKUP(0,setup!$A$8:$H$58,5),VLOOKUP(N131,setup!$A$8:$H$58,8))</f>
        <v/>
      </c>
    </row>
    <row r="132" spans="1:15" x14ac:dyDescent="0.25">
      <c r="A132" s="6"/>
      <c r="O132" s="7" t="str">
        <f ca="1">getCodigoBackend(N132,A132,VLOOKUP(N132,setup!$A$8:$H$58,2),VLOOKUP(N132,setup!$A$8:$H$58,3),VLOOKUP(N132,setup!$A$8:$H$58,4),VLOOKUP(N132,setup!$A$8:$H$58,5),VLOOKUP(N132,setup!$A$8:$H$58,6),VLOOKUP(N132,setup!$A$8:$H$58,7), VLOOKUP(0,setup!$A$8:$H$58,2),VLOOKUP(0,setup!$A$8:$H$58,5),VLOOKUP(N132,setup!$A$8:$H$58,8))</f>
        <v/>
      </c>
    </row>
    <row r="133" spans="1:15" x14ac:dyDescent="0.25">
      <c r="A133" s="6"/>
      <c r="O133" s="7" t="str">
        <f ca="1">getCodigoBackend(N133,A133,VLOOKUP(N133,setup!$A$8:$H$58,2),VLOOKUP(N133,setup!$A$8:$H$58,3),VLOOKUP(N133,setup!$A$8:$H$58,4),VLOOKUP(N133,setup!$A$8:$H$58,5),VLOOKUP(N133,setup!$A$8:$H$58,6),VLOOKUP(N133,setup!$A$8:$H$58,7), VLOOKUP(0,setup!$A$8:$H$58,2),VLOOKUP(0,setup!$A$8:$H$58,5),VLOOKUP(N133,setup!$A$8:$H$58,8))</f>
        <v/>
      </c>
    </row>
    <row r="134" spans="1:15" x14ac:dyDescent="0.25">
      <c r="A134" s="6"/>
      <c r="O134" s="7" t="str">
        <f ca="1">getCodigoBackend(N134,A134,VLOOKUP(N134,setup!$A$8:$H$58,2),VLOOKUP(N134,setup!$A$8:$H$58,3),VLOOKUP(N134,setup!$A$8:$H$58,4),VLOOKUP(N134,setup!$A$8:$H$58,5),VLOOKUP(N134,setup!$A$8:$H$58,6),VLOOKUP(N134,setup!$A$8:$H$58,7), VLOOKUP(0,setup!$A$8:$H$58,2),VLOOKUP(0,setup!$A$8:$H$58,5),VLOOKUP(N134,setup!$A$8:$H$58,8))</f>
        <v/>
      </c>
    </row>
    <row r="135" spans="1:15" x14ac:dyDescent="0.25">
      <c r="A135" s="6"/>
      <c r="O135" s="7" t="str">
        <f ca="1">getCodigoBackend(N135,A135,VLOOKUP(N135,setup!$A$8:$H$58,2),VLOOKUP(N135,setup!$A$8:$H$58,3),VLOOKUP(N135,setup!$A$8:$H$58,4),VLOOKUP(N135,setup!$A$8:$H$58,5),VLOOKUP(N135,setup!$A$8:$H$58,6),VLOOKUP(N135,setup!$A$8:$H$58,7), VLOOKUP(0,setup!$A$8:$H$58,2),VLOOKUP(0,setup!$A$8:$H$58,5),VLOOKUP(N135,setup!$A$8:$H$58,8))</f>
        <v/>
      </c>
    </row>
    <row r="136" spans="1:15" x14ac:dyDescent="0.25">
      <c r="A136" s="6"/>
      <c r="O136" s="7" t="str">
        <f ca="1">getCodigoBackend(N136,A136,VLOOKUP(N136,setup!$A$8:$H$58,2),VLOOKUP(N136,setup!$A$8:$H$58,3),VLOOKUP(N136,setup!$A$8:$H$58,4),VLOOKUP(N136,setup!$A$8:$H$58,5),VLOOKUP(N136,setup!$A$8:$H$58,6),VLOOKUP(N136,setup!$A$8:$H$58,7), VLOOKUP(0,setup!$A$8:$H$58,2),VLOOKUP(0,setup!$A$8:$H$58,5),VLOOKUP(N136,setup!$A$8:$H$58,8))</f>
        <v/>
      </c>
    </row>
    <row r="137" spans="1:15" x14ac:dyDescent="0.25">
      <c r="A137" s="6"/>
      <c r="O137" s="7" t="str">
        <f ca="1">getCodigoBackend(N137,A137,VLOOKUP(N137,setup!$A$8:$H$58,2),VLOOKUP(N137,setup!$A$8:$H$58,3),VLOOKUP(N137,setup!$A$8:$H$58,4),VLOOKUP(N137,setup!$A$8:$H$58,5),VLOOKUP(N137,setup!$A$8:$H$58,6),VLOOKUP(N137,setup!$A$8:$H$58,7), VLOOKUP(0,setup!$A$8:$H$58,2),VLOOKUP(0,setup!$A$8:$H$58,5),VLOOKUP(N137,setup!$A$8:$H$58,8))</f>
        <v/>
      </c>
    </row>
    <row r="138" spans="1:15" x14ac:dyDescent="0.25">
      <c r="A138" s="6"/>
      <c r="O138" s="7" t="str">
        <f ca="1">getCodigoBackend(N138,A138,VLOOKUP(N138,setup!$A$8:$H$58,2),VLOOKUP(N138,setup!$A$8:$H$58,3),VLOOKUP(N138,setup!$A$8:$H$58,4),VLOOKUP(N138,setup!$A$8:$H$58,5),VLOOKUP(N138,setup!$A$8:$H$58,6),VLOOKUP(N138,setup!$A$8:$H$58,7), VLOOKUP(0,setup!$A$8:$H$58,2),VLOOKUP(0,setup!$A$8:$H$58,5),VLOOKUP(N138,setup!$A$8:$H$58,8))</f>
        <v/>
      </c>
    </row>
    <row r="139" spans="1:15" x14ac:dyDescent="0.25">
      <c r="A139" s="6"/>
      <c r="O139" s="7" t="str">
        <f ca="1">getCodigoBackend(N139,A139,VLOOKUP(N139,setup!$A$8:$H$58,2),VLOOKUP(N139,setup!$A$8:$H$58,3),VLOOKUP(N139,setup!$A$8:$H$58,4),VLOOKUP(N139,setup!$A$8:$H$58,5),VLOOKUP(N139,setup!$A$8:$H$58,6),VLOOKUP(N139,setup!$A$8:$H$58,7), VLOOKUP(0,setup!$A$8:$H$58,2),VLOOKUP(0,setup!$A$8:$H$58,5),VLOOKUP(N139,setup!$A$8:$H$58,8))</f>
        <v/>
      </c>
    </row>
    <row r="140" spans="1:15" x14ac:dyDescent="0.25">
      <c r="A140" s="6"/>
      <c r="O140" s="7" t="str">
        <f ca="1">getCodigoBackend(N140,A140,VLOOKUP(N140,setup!$A$8:$H$58,2),VLOOKUP(N140,setup!$A$8:$H$58,3),VLOOKUP(N140,setup!$A$8:$H$58,4),VLOOKUP(N140,setup!$A$8:$H$58,5),VLOOKUP(N140,setup!$A$8:$H$58,6),VLOOKUP(N140,setup!$A$8:$H$58,7), VLOOKUP(0,setup!$A$8:$H$58,2),VLOOKUP(0,setup!$A$8:$H$58,5),VLOOKUP(N140,setup!$A$8:$H$58,8))</f>
        <v/>
      </c>
    </row>
    <row r="141" spans="1:15" x14ac:dyDescent="0.25">
      <c r="A141" s="6"/>
      <c r="O141" s="7" t="str">
        <f ca="1">getCodigoBackend(N141,A141,VLOOKUP(N141,setup!$A$8:$H$58,2),VLOOKUP(N141,setup!$A$8:$H$58,3),VLOOKUP(N141,setup!$A$8:$H$58,4),VLOOKUP(N141,setup!$A$8:$H$58,5),VLOOKUP(N141,setup!$A$8:$H$58,6),VLOOKUP(N141,setup!$A$8:$H$58,7), VLOOKUP(0,setup!$A$8:$H$58,2),VLOOKUP(0,setup!$A$8:$H$58,5),VLOOKUP(N141,setup!$A$8:$H$58,8))</f>
        <v/>
      </c>
    </row>
    <row r="142" spans="1:15" x14ac:dyDescent="0.25">
      <c r="A142" s="6"/>
      <c r="O142" s="7" t="str">
        <f ca="1">getCodigoBackend(N142,A142,VLOOKUP(N142,setup!$A$8:$H$58,2),VLOOKUP(N142,setup!$A$8:$H$58,3),VLOOKUP(N142,setup!$A$8:$H$58,4),VLOOKUP(N142,setup!$A$8:$H$58,5),VLOOKUP(N142,setup!$A$8:$H$58,6),VLOOKUP(N142,setup!$A$8:$H$58,7), VLOOKUP(0,setup!$A$8:$H$58,2),VLOOKUP(0,setup!$A$8:$H$58,5),VLOOKUP(N142,setup!$A$8:$H$58,8))</f>
        <v/>
      </c>
    </row>
    <row r="143" spans="1:15" x14ac:dyDescent="0.25">
      <c r="A143" s="6"/>
      <c r="O143" s="7" t="str">
        <f ca="1">getCodigoBackend(N143,A143,VLOOKUP(N143,setup!$A$8:$H$58,2),VLOOKUP(N143,setup!$A$8:$H$58,3),VLOOKUP(N143,setup!$A$8:$H$58,4),VLOOKUP(N143,setup!$A$8:$H$58,5),VLOOKUP(N143,setup!$A$8:$H$58,6),VLOOKUP(N143,setup!$A$8:$H$58,7), VLOOKUP(0,setup!$A$8:$H$58,2),VLOOKUP(0,setup!$A$8:$H$58,5),VLOOKUP(N143,setup!$A$8:$H$58,8))</f>
        <v/>
      </c>
    </row>
    <row r="144" spans="1:15" x14ac:dyDescent="0.25">
      <c r="A144" s="6"/>
      <c r="O144" s="7" t="str">
        <f ca="1">getCodigoBackend(N144,A144,VLOOKUP(N144,setup!$A$8:$H$58,2),VLOOKUP(N144,setup!$A$8:$H$58,3),VLOOKUP(N144,setup!$A$8:$H$58,4),VLOOKUP(N144,setup!$A$8:$H$58,5),VLOOKUP(N144,setup!$A$8:$H$58,6),VLOOKUP(N144,setup!$A$8:$H$58,7), VLOOKUP(0,setup!$A$8:$H$58,2),VLOOKUP(0,setup!$A$8:$H$58,5),VLOOKUP(N144,setup!$A$8:$H$58,8))</f>
        <v/>
      </c>
    </row>
    <row r="145" spans="1:15" x14ac:dyDescent="0.25">
      <c r="A145" s="6"/>
      <c r="O145" s="7" t="str">
        <f ca="1">getCodigoBackend(N145,A145,VLOOKUP(N145,setup!$A$8:$H$58,2),VLOOKUP(N145,setup!$A$8:$H$58,3),VLOOKUP(N145,setup!$A$8:$H$58,4),VLOOKUP(N145,setup!$A$8:$H$58,5),VLOOKUP(N145,setup!$A$8:$H$58,6),VLOOKUP(N145,setup!$A$8:$H$58,7), VLOOKUP(0,setup!$A$8:$H$58,2),VLOOKUP(0,setup!$A$8:$H$58,5),VLOOKUP(N145,setup!$A$8:$H$58,8))</f>
        <v/>
      </c>
    </row>
    <row r="146" spans="1:15" x14ac:dyDescent="0.25">
      <c r="A146" s="6"/>
      <c r="O146" s="7" t="str">
        <f ca="1">getCodigoBackend(N146,A146,VLOOKUP(N146,setup!$A$8:$H$58,2),VLOOKUP(N146,setup!$A$8:$H$58,3),VLOOKUP(N146,setup!$A$8:$H$58,4),VLOOKUP(N146,setup!$A$8:$H$58,5),VLOOKUP(N146,setup!$A$8:$H$58,6),VLOOKUP(N146,setup!$A$8:$H$58,7), VLOOKUP(0,setup!$A$8:$H$58,2),VLOOKUP(0,setup!$A$8:$H$58,5),VLOOKUP(N146,setup!$A$8:$H$58,8))</f>
        <v/>
      </c>
    </row>
    <row r="147" spans="1:15" x14ac:dyDescent="0.25">
      <c r="A147" s="6"/>
      <c r="O147" s="7" t="str">
        <f ca="1">getCodigoBackend(N147,A147,VLOOKUP(N147,setup!$A$8:$H$58,2),VLOOKUP(N147,setup!$A$8:$H$58,3),VLOOKUP(N147,setup!$A$8:$H$58,4),VLOOKUP(N147,setup!$A$8:$H$58,5),VLOOKUP(N147,setup!$A$8:$H$58,6),VLOOKUP(N147,setup!$A$8:$H$58,7), VLOOKUP(0,setup!$A$8:$H$58,2),VLOOKUP(0,setup!$A$8:$H$58,5),VLOOKUP(N147,setup!$A$8:$H$58,8))</f>
        <v/>
      </c>
    </row>
    <row r="148" spans="1:15" x14ac:dyDescent="0.25">
      <c r="A148" s="6"/>
      <c r="O148" s="7" t="str">
        <f ca="1">getCodigoBackend(N148,A148,VLOOKUP(N148,setup!$A$8:$H$58,2),VLOOKUP(N148,setup!$A$8:$H$58,3),VLOOKUP(N148,setup!$A$8:$H$58,4),VLOOKUP(N148,setup!$A$8:$H$58,5),VLOOKUP(N148,setup!$A$8:$H$58,6),VLOOKUP(N148,setup!$A$8:$H$58,7), VLOOKUP(0,setup!$A$8:$H$58,2),VLOOKUP(0,setup!$A$8:$H$58,5),VLOOKUP(N148,setup!$A$8:$H$58,8))</f>
        <v/>
      </c>
    </row>
    <row r="149" spans="1:15" x14ac:dyDescent="0.25">
      <c r="A149" s="6"/>
      <c r="O149" s="7" t="str">
        <f ca="1">getCodigoBackend(N149,A149,VLOOKUP(N149,setup!$A$8:$H$58,2),VLOOKUP(N149,setup!$A$8:$H$58,3),VLOOKUP(N149,setup!$A$8:$H$58,4),VLOOKUP(N149,setup!$A$8:$H$58,5),VLOOKUP(N149,setup!$A$8:$H$58,6),VLOOKUP(N149,setup!$A$8:$H$58,7), VLOOKUP(0,setup!$A$8:$H$58,2),VLOOKUP(0,setup!$A$8:$H$58,5),VLOOKUP(N149,setup!$A$8:$H$58,8))</f>
        <v/>
      </c>
    </row>
    <row r="150" spans="1:15" x14ac:dyDescent="0.25">
      <c r="A150" s="6"/>
      <c r="O150" s="7" t="str">
        <f ca="1">getCodigoBackend(N150,A150,VLOOKUP(N150,setup!$A$8:$H$58,2),VLOOKUP(N150,setup!$A$8:$H$58,3),VLOOKUP(N150,setup!$A$8:$H$58,4),VLOOKUP(N150,setup!$A$8:$H$58,5),VLOOKUP(N150,setup!$A$8:$H$58,6),VLOOKUP(N150,setup!$A$8:$H$58,7), VLOOKUP(0,setup!$A$8:$H$58,2),VLOOKUP(0,setup!$A$8:$H$58,5),VLOOKUP(N150,setup!$A$8:$H$58,8))</f>
        <v/>
      </c>
    </row>
    <row r="151" spans="1:15" x14ac:dyDescent="0.25">
      <c r="A151" s="6"/>
      <c r="O151" s="7" t="str">
        <f ca="1">getCodigoBackend(N151,A151,VLOOKUP(N151,setup!$A$8:$H$58,2),VLOOKUP(N151,setup!$A$8:$H$58,3),VLOOKUP(N151,setup!$A$8:$H$58,4),VLOOKUP(N151,setup!$A$8:$H$58,5),VLOOKUP(N151,setup!$A$8:$H$58,6),VLOOKUP(N151,setup!$A$8:$H$58,7), VLOOKUP(0,setup!$A$8:$H$58,2),VLOOKUP(0,setup!$A$8:$H$58,5),VLOOKUP(N151,setup!$A$8:$H$58,8))</f>
        <v/>
      </c>
    </row>
    <row r="152" spans="1:15" x14ac:dyDescent="0.25">
      <c r="A152" s="6"/>
      <c r="O152" s="7" t="str">
        <f ca="1">getCodigoBackend(N152,A152,VLOOKUP(N152,setup!$A$8:$H$58,2),VLOOKUP(N152,setup!$A$8:$H$58,3),VLOOKUP(N152,setup!$A$8:$H$58,4),VLOOKUP(N152,setup!$A$8:$H$58,5),VLOOKUP(N152,setup!$A$8:$H$58,6),VLOOKUP(N152,setup!$A$8:$H$58,7), VLOOKUP(0,setup!$A$8:$H$58,2),VLOOKUP(0,setup!$A$8:$H$58,5),VLOOKUP(N152,setup!$A$8:$H$58,8))</f>
        <v/>
      </c>
    </row>
    <row r="153" spans="1:15" x14ac:dyDescent="0.25">
      <c r="A153" s="6"/>
      <c r="O153" s="7" t="str">
        <f ca="1">getCodigoBackend(N153,A153,VLOOKUP(N153,setup!$A$8:$H$58,2),VLOOKUP(N153,setup!$A$8:$H$58,3),VLOOKUP(N153,setup!$A$8:$H$58,4),VLOOKUP(N153,setup!$A$8:$H$58,5),VLOOKUP(N153,setup!$A$8:$H$58,6),VLOOKUP(N153,setup!$A$8:$H$58,7), VLOOKUP(0,setup!$A$8:$H$58,2),VLOOKUP(0,setup!$A$8:$H$58,5),VLOOKUP(N153,setup!$A$8:$H$58,8))</f>
        <v/>
      </c>
    </row>
    <row r="154" spans="1:15" x14ac:dyDescent="0.25">
      <c r="A154" s="6"/>
      <c r="O154" s="7" t="str">
        <f ca="1">getCodigoBackend(N154,A154,VLOOKUP(N154,setup!$A$8:$H$58,2),VLOOKUP(N154,setup!$A$8:$H$58,3),VLOOKUP(N154,setup!$A$8:$H$58,4),VLOOKUP(N154,setup!$A$8:$H$58,5),VLOOKUP(N154,setup!$A$8:$H$58,6),VLOOKUP(N154,setup!$A$8:$H$58,7), VLOOKUP(0,setup!$A$8:$H$58,2),VLOOKUP(0,setup!$A$8:$H$58,5),VLOOKUP(N154,setup!$A$8:$H$58,8))</f>
        <v/>
      </c>
    </row>
    <row r="155" spans="1:15" x14ac:dyDescent="0.25">
      <c r="A155" s="6"/>
      <c r="O155" s="7" t="str">
        <f ca="1">getCodigoBackend(N155,A155,VLOOKUP(N155,setup!$A$8:$H$58,2),VLOOKUP(N155,setup!$A$8:$H$58,3),VLOOKUP(N155,setup!$A$8:$H$58,4),VLOOKUP(N155,setup!$A$8:$H$58,5),VLOOKUP(N155,setup!$A$8:$H$58,6),VLOOKUP(N155,setup!$A$8:$H$58,7), VLOOKUP(0,setup!$A$8:$H$58,2),VLOOKUP(0,setup!$A$8:$H$58,5),VLOOKUP(N155,setup!$A$8:$H$58,8))</f>
        <v/>
      </c>
    </row>
    <row r="156" spans="1:15" x14ac:dyDescent="0.25">
      <c r="A156" s="6"/>
      <c r="O156" s="7" t="str">
        <f ca="1">getCodigoBackend(N156,A156,VLOOKUP(N156,setup!$A$8:$H$58,2),VLOOKUP(N156,setup!$A$8:$H$58,3),VLOOKUP(N156,setup!$A$8:$H$58,4),VLOOKUP(N156,setup!$A$8:$H$58,5),VLOOKUP(N156,setup!$A$8:$H$58,6),VLOOKUP(N156,setup!$A$8:$H$58,7), VLOOKUP(0,setup!$A$8:$H$58,2),VLOOKUP(0,setup!$A$8:$H$58,5),VLOOKUP(N156,setup!$A$8:$H$58,8))</f>
        <v/>
      </c>
    </row>
    <row r="157" spans="1:15" x14ac:dyDescent="0.25">
      <c r="A157" s="6"/>
      <c r="O157" s="7" t="str">
        <f ca="1">getCodigoBackend(N157,A157,VLOOKUP(N157,setup!$A$8:$H$58,2),VLOOKUP(N157,setup!$A$8:$H$58,3),VLOOKUP(N157,setup!$A$8:$H$58,4),VLOOKUP(N157,setup!$A$8:$H$58,5),VLOOKUP(N157,setup!$A$8:$H$58,6),VLOOKUP(N157,setup!$A$8:$H$58,7), VLOOKUP(0,setup!$A$8:$H$58,2),VLOOKUP(0,setup!$A$8:$H$58,5),VLOOKUP(N157,setup!$A$8:$H$58,8))</f>
        <v/>
      </c>
    </row>
    <row r="158" spans="1:15" x14ac:dyDescent="0.25">
      <c r="A158" s="6"/>
      <c r="O158" s="7" t="str">
        <f ca="1">getCodigoBackend(N158,A158,VLOOKUP(N158,setup!$A$8:$H$58,2),VLOOKUP(N158,setup!$A$8:$H$58,3),VLOOKUP(N158,setup!$A$8:$H$58,4),VLOOKUP(N158,setup!$A$8:$H$58,5),VLOOKUP(N158,setup!$A$8:$H$58,6),VLOOKUP(N158,setup!$A$8:$H$58,7), VLOOKUP(0,setup!$A$8:$H$58,2),VLOOKUP(0,setup!$A$8:$H$58,5),VLOOKUP(N158,setup!$A$8:$H$58,8))</f>
        <v/>
      </c>
    </row>
    <row r="159" spans="1:15" x14ac:dyDescent="0.25">
      <c r="A159" s="6"/>
      <c r="O159" s="7" t="str">
        <f ca="1">getCodigoBackend(N159,A159,VLOOKUP(N159,setup!$A$8:$H$58,2),VLOOKUP(N159,setup!$A$8:$H$58,3),VLOOKUP(N159,setup!$A$8:$H$58,4),VLOOKUP(N159,setup!$A$8:$H$58,5),VLOOKUP(N159,setup!$A$8:$H$58,6),VLOOKUP(N159,setup!$A$8:$H$58,7), VLOOKUP(0,setup!$A$8:$H$58,2),VLOOKUP(0,setup!$A$8:$H$58,5),VLOOKUP(N159,setup!$A$8:$H$58,8))</f>
        <v/>
      </c>
    </row>
    <row r="160" spans="1:15" x14ac:dyDescent="0.25">
      <c r="A160" s="6"/>
      <c r="O160" s="7" t="str">
        <f ca="1">getCodigoBackend(N160,A160,VLOOKUP(N160,setup!$A$8:$H$58,2),VLOOKUP(N160,setup!$A$8:$H$58,3),VLOOKUP(N160,setup!$A$8:$H$58,4),VLOOKUP(N160,setup!$A$8:$H$58,5),VLOOKUP(N160,setup!$A$8:$H$58,6),VLOOKUP(N160,setup!$A$8:$H$58,7), VLOOKUP(0,setup!$A$8:$H$58,2),VLOOKUP(0,setup!$A$8:$H$58,5),VLOOKUP(N160,setup!$A$8:$H$58,8))</f>
        <v/>
      </c>
    </row>
    <row r="161" spans="1:15" x14ac:dyDescent="0.25">
      <c r="A161" s="6"/>
      <c r="O161" s="7" t="str">
        <f ca="1">getCodigoBackend(N161,A161,VLOOKUP(N161,setup!$A$8:$H$58,2),VLOOKUP(N161,setup!$A$8:$H$58,3),VLOOKUP(N161,setup!$A$8:$H$58,4),VLOOKUP(N161,setup!$A$8:$H$58,5),VLOOKUP(N161,setup!$A$8:$H$58,6),VLOOKUP(N161,setup!$A$8:$H$58,7), VLOOKUP(0,setup!$A$8:$H$58,2),VLOOKUP(0,setup!$A$8:$H$58,5),VLOOKUP(N161,setup!$A$8:$H$58,8))</f>
        <v/>
      </c>
    </row>
    <row r="162" spans="1:15" x14ac:dyDescent="0.25">
      <c r="A162" s="6"/>
      <c r="O162" s="7" t="str">
        <f ca="1">getCodigoBackend(N162,A162,VLOOKUP(N162,setup!$A$8:$H$58,2),VLOOKUP(N162,setup!$A$8:$H$58,3),VLOOKUP(N162,setup!$A$8:$H$58,4),VLOOKUP(N162,setup!$A$8:$H$58,5),VLOOKUP(N162,setup!$A$8:$H$58,6),VLOOKUP(N162,setup!$A$8:$H$58,7), VLOOKUP(0,setup!$A$8:$H$58,2),VLOOKUP(0,setup!$A$8:$H$58,5),VLOOKUP(N162,setup!$A$8:$H$58,8))</f>
        <v/>
      </c>
    </row>
    <row r="163" spans="1:15" x14ac:dyDescent="0.25">
      <c r="A163" s="6"/>
      <c r="O163" s="7" t="str">
        <f ca="1">getCodigoBackend(N163,A163,VLOOKUP(N163,setup!$A$8:$H$58,2),VLOOKUP(N163,setup!$A$8:$H$58,3),VLOOKUP(N163,setup!$A$8:$H$58,4),VLOOKUP(N163,setup!$A$8:$H$58,5),VLOOKUP(N163,setup!$A$8:$H$58,6),VLOOKUP(N163,setup!$A$8:$H$58,7), VLOOKUP(0,setup!$A$8:$H$58,2),VLOOKUP(0,setup!$A$8:$H$58,5),VLOOKUP(N163,setup!$A$8:$H$58,8))</f>
        <v/>
      </c>
    </row>
    <row r="164" spans="1:15" x14ac:dyDescent="0.25">
      <c r="A164" s="6"/>
      <c r="O164" s="7" t="str">
        <f ca="1">getCodigoBackend(N164,A164,VLOOKUP(N164,setup!$A$8:$H$58,2),VLOOKUP(N164,setup!$A$8:$H$58,3),VLOOKUP(N164,setup!$A$8:$H$58,4),VLOOKUP(N164,setup!$A$8:$H$58,5),VLOOKUP(N164,setup!$A$8:$H$58,6),VLOOKUP(N164,setup!$A$8:$H$58,7), VLOOKUP(0,setup!$A$8:$H$58,2),VLOOKUP(0,setup!$A$8:$H$58,5),VLOOKUP(N164,setup!$A$8:$H$58,8))</f>
        <v/>
      </c>
    </row>
    <row r="165" spans="1:15" x14ac:dyDescent="0.25">
      <c r="A165" s="6"/>
      <c r="O165" s="7" t="str">
        <f ca="1">getCodigoBackend(N165,A165,VLOOKUP(N165,setup!$A$8:$H$58,2),VLOOKUP(N165,setup!$A$8:$H$58,3),VLOOKUP(N165,setup!$A$8:$H$58,4),VLOOKUP(N165,setup!$A$8:$H$58,5),VLOOKUP(N165,setup!$A$8:$H$58,6),VLOOKUP(N165,setup!$A$8:$H$58,7), VLOOKUP(0,setup!$A$8:$H$58,2),VLOOKUP(0,setup!$A$8:$H$58,5),VLOOKUP(N165,setup!$A$8:$H$58,8))</f>
        <v/>
      </c>
    </row>
    <row r="166" spans="1:15" x14ac:dyDescent="0.25">
      <c r="A166" s="6"/>
      <c r="O166" s="7" t="str">
        <f ca="1">getCodigoBackend(N166,A166,VLOOKUP(N166,setup!$A$8:$H$58,2),VLOOKUP(N166,setup!$A$8:$H$58,3),VLOOKUP(N166,setup!$A$8:$H$58,4),VLOOKUP(N166,setup!$A$8:$H$58,5),VLOOKUP(N166,setup!$A$8:$H$58,6),VLOOKUP(N166,setup!$A$8:$H$58,7), VLOOKUP(0,setup!$A$8:$H$58,2),VLOOKUP(0,setup!$A$8:$H$58,5),VLOOKUP(N166,setup!$A$8:$H$58,8))</f>
        <v/>
      </c>
    </row>
    <row r="167" spans="1:15" x14ac:dyDescent="0.25">
      <c r="A167" s="6"/>
      <c r="O167" s="7" t="str">
        <f ca="1">getCodigoBackend(N167,A167,VLOOKUP(N167,setup!$A$8:$H$58,2),VLOOKUP(N167,setup!$A$8:$H$58,3),VLOOKUP(N167,setup!$A$8:$H$58,4),VLOOKUP(N167,setup!$A$8:$H$58,5),VLOOKUP(N167,setup!$A$8:$H$58,6),VLOOKUP(N167,setup!$A$8:$H$58,7), VLOOKUP(0,setup!$A$8:$H$58,2),VLOOKUP(0,setup!$A$8:$H$58,5),VLOOKUP(N167,setup!$A$8:$H$58,8))</f>
        <v/>
      </c>
    </row>
    <row r="168" spans="1:15" x14ac:dyDescent="0.25">
      <c r="A168" s="6"/>
      <c r="O168" s="7" t="str">
        <f ca="1">getCodigoBackend(N168,A168,VLOOKUP(N168,setup!$A$8:$H$58,2),VLOOKUP(N168,setup!$A$8:$H$58,3),VLOOKUP(N168,setup!$A$8:$H$58,4),VLOOKUP(N168,setup!$A$8:$H$58,5),VLOOKUP(N168,setup!$A$8:$H$58,6),VLOOKUP(N168,setup!$A$8:$H$58,7), VLOOKUP(0,setup!$A$8:$H$58,2),VLOOKUP(0,setup!$A$8:$H$58,5),VLOOKUP(N168,setup!$A$8:$H$58,8))</f>
        <v/>
      </c>
    </row>
    <row r="169" spans="1:15" x14ac:dyDescent="0.25">
      <c r="A169" s="6"/>
      <c r="O169" s="7" t="str">
        <f ca="1">getCodigoBackend(N169,A169,VLOOKUP(N169,setup!$A$8:$H$58,2),VLOOKUP(N169,setup!$A$8:$H$58,3),VLOOKUP(N169,setup!$A$8:$H$58,4),VLOOKUP(N169,setup!$A$8:$H$58,5),VLOOKUP(N169,setup!$A$8:$H$58,6),VLOOKUP(N169,setup!$A$8:$H$58,7), VLOOKUP(0,setup!$A$8:$H$58,2),VLOOKUP(0,setup!$A$8:$H$58,5),VLOOKUP(N169,setup!$A$8:$H$58,8))</f>
        <v/>
      </c>
    </row>
    <row r="170" spans="1:15" x14ac:dyDescent="0.25">
      <c r="A170" s="6"/>
      <c r="O170" s="7" t="str">
        <f ca="1">getCodigoBackend(N170,A170,VLOOKUP(N170,setup!$A$8:$H$58,2),VLOOKUP(N170,setup!$A$8:$H$58,3),VLOOKUP(N170,setup!$A$8:$H$58,4),VLOOKUP(N170,setup!$A$8:$H$58,5),VLOOKUP(N170,setup!$A$8:$H$58,6),VLOOKUP(N170,setup!$A$8:$H$58,7), VLOOKUP(0,setup!$A$8:$H$58,2),VLOOKUP(0,setup!$A$8:$H$58,5),VLOOKUP(N170,setup!$A$8:$H$58,8))</f>
        <v/>
      </c>
    </row>
    <row r="171" spans="1:15" x14ac:dyDescent="0.25">
      <c r="A171" s="6"/>
      <c r="O171" s="7" t="str">
        <f ca="1">getCodigoBackend(N171,A171,VLOOKUP(N171,setup!$A$8:$H$58,2),VLOOKUP(N171,setup!$A$8:$H$58,3),VLOOKUP(N171,setup!$A$8:$H$58,4),VLOOKUP(N171,setup!$A$8:$H$58,5),VLOOKUP(N171,setup!$A$8:$H$58,6),VLOOKUP(N171,setup!$A$8:$H$58,7), VLOOKUP(0,setup!$A$8:$H$58,2),VLOOKUP(0,setup!$A$8:$H$58,5),VLOOKUP(N171,setup!$A$8:$H$58,8))</f>
        <v/>
      </c>
    </row>
    <row r="172" spans="1:15" x14ac:dyDescent="0.25">
      <c r="A172" s="6"/>
      <c r="O172" s="7" t="str">
        <f ca="1">getCodigoBackend(N172,A172,VLOOKUP(N172,setup!$A$8:$H$58,2),VLOOKUP(N172,setup!$A$8:$H$58,3),VLOOKUP(N172,setup!$A$8:$H$58,4),VLOOKUP(N172,setup!$A$8:$H$58,5),VLOOKUP(N172,setup!$A$8:$H$58,6),VLOOKUP(N172,setup!$A$8:$H$58,7), VLOOKUP(0,setup!$A$8:$H$58,2),VLOOKUP(0,setup!$A$8:$H$58,5),VLOOKUP(N172,setup!$A$8:$H$58,8))</f>
        <v/>
      </c>
    </row>
    <row r="173" spans="1:15" x14ac:dyDescent="0.25">
      <c r="A173" s="6"/>
      <c r="O173" s="7" t="str">
        <f ca="1">getCodigoBackend(N173,A173,VLOOKUP(N173,setup!$A$8:$H$58,2),VLOOKUP(N173,setup!$A$8:$H$58,3),VLOOKUP(N173,setup!$A$8:$H$58,4),VLOOKUP(N173,setup!$A$8:$H$58,5),VLOOKUP(N173,setup!$A$8:$H$58,6),VLOOKUP(N173,setup!$A$8:$H$58,7), VLOOKUP(0,setup!$A$8:$H$58,2),VLOOKUP(0,setup!$A$8:$H$58,5),VLOOKUP(N173,setup!$A$8:$H$58,8))</f>
        <v/>
      </c>
    </row>
    <row r="174" spans="1:15" x14ac:dyDescent="0.25">
      <c r="A174" s="6"/>
      <c r="O174" s="7" t="str">
        <f ca="1">getCodigoBackend(N174,A174,VLOOKUP(N174,setup!$A$8:$H$58,2),VLOOKUP(N174,setup!$A$8:$H$58,3),VLOOKUP(N174,setup!$A$8:$H$58,4),VLOOKUP(N174,setup!$A$8:$H$58,5),VLOOKUP(N174,setup!$A$8:$H$58,6),VLOOKUP(N174,setup!$A$8:$H$58,7), VLOOKUP(0,setup!$A$8:$H$58,2),VLOOKUP(0,setup!$A$8:$H$58,5),VLOOKUP(N174,setup!$A$8:$H$58,8))</f>
        <v/>
      </c>
    </row>
    <row r="175" spans="1:15" x14ac:dyDescent="0.25">
      <c r="A175" s="6"/>
      <c r="O175" s="7" t="str">
        <f ca="1">getCodigoBackend(N175,A175,VLOOKUP(N175,setup!$A$8:$H$58,2),VLOOKUP(N175,setup!$A$8:$H$58,3),VLOOKUP(N175,setup!$A$8:$H$58,4),VLOOKUP(N175,setup!$A$8:$H$58,5),VLOOKUP(N175,setup!$A$8:$H$58,6),VLOOKUP(N175,setup!$A$8:$H$58,7), VLOOKUP(0,setup!$A$8:$H$58,2),VLOOKUP(0,setup!$A$8:$H$58,5),VLOOKUP(N175,setup!$A$8:$H$58,8))</f>
        <v/>
      </c>
    </row>
    <row r="176" spans="1:15" x14ac:dyDescent="0.25">
      <c r="A176" s="6"/>
      <c r="O176" s="7" t="str">
        <f ca="1">getCodigoBackend(N176,A176,VLOOKUP(N176,setup!$A$8:$H$58,2),VLOOKUP(N176,setup!$A$8:$H$58,3),VLOOKUP(N176,setup!$A$8:$H$58,4),VLOOKUP(N176,setup!$A$8:$H$58,5),VLOOKUP(N176,setup!$A$8:$H$58,6),VLOOKUP(N176,setup!$A$8:$H$58,7), VLOOKUP(0,setup!$A$8:$H$58,2),VLOOKUP(0,setup!$A$8:$H$58,5),VLOOKUP(N176,setup!$A$8:$H$58,8))</f>
        <v/>
      </c>
    </row>
    <row r="177" spans="1:15" x14ac:dyDescent="0.25">
      <c r="A177" s="6"/>
      <c r="O177" s="7" t="str">
        <f ca="1">getCodigoBackend(N177,A177,VLOOKUP(N177,setup!$A$8:$H$58,2),VLOOKUP(N177,setup!$A$8:$H$58,3),VLOOKUP(N177,setup!$A$8:$H$58,4),VLOOKUP(N177,setup!$A$8:$H$58,5),VLOOKUP(N177,setup!$A$8:$H$58,6),VLOOKUP(N177,setup!$A$8:$H$58,7), VLOOKUP(0,setup!$A$8:$H$58,2),VLOOKUP(0,setup!$A$8:$H$58,5),VLOOKUP(N177,setup!$A$8:$H$58,8))</f>
        <v/>
      </c>
    </row>
    <row r="178" spans="1:15" x14ac:dyDescent="0.25">
      <c r="A178" s="6"/>
      <c r="O178" s="7" t="str">
        <f ca="1">getCodigoBackend(N178,A178,VLOOKUP(N178,setup!$A$8:$H$58,2),VLOOKUP(N178,setup!$A$8:$H$58,3),VLOOKUP(N178,setup!$A$8:$H$58,4),VLOOKUP(N178,setup!$A$8:$H$58,5),VLOOKUP(N178,setup!$A$8:$H$58,6),VLOOKUP(N178,setup!$A$8:$H$58,7), VLOOKUP(0,setup!$A$8:$H$58,2),VLOOKUP(0,setup!$A$8:$H$58,5),VLOOKUP(N178,setup!$A$8:$H$58,8))</f>
        <v/>
      </c>
    </row>
    <row r="179" spans="1:15" x14ac:dyDescent="0.25">
      <c r="A179" s="6"/>
      <c r="O179" s="7" t="str">
        <f ca="1">getCodigoBackend(N179,A179,VLOOKUP(N179,setup!$A$8:$H$58,2),VLOOKUP(N179,setup!$A$8:$H$58,3),VLOOKUP(N179,setup!$A$8:$H$58,4),VLOOKUP(N179,setup!$A$8:$H$58,5),VLOOKUP(N179,setup!$A$8:$H$58,6),VLOOKUP(N179,setup!$A$8:$H$58,7), VLOOKUP(0,setup!$A$8:$H$58,2),VLOOKUP(0,setup!$A$8:$H$58,5),VLOOKUP(N179,setup!$A$8:$H$58,8))</f>
        <v/>
      </c>
    </row>
    <row r="180" spans="1:15" x14ac:dyDescent="0.25">
      <c r="A180" s="6"/>
      <c r="O180" s="7" t="str">
        <f ca="1">getCodigoBackend(N180,A180,VLOOKUP(N180,setup!$A$8:$H$58,2),VLOOKUP(N180,setup!$A$8:$H$58,3),VLOOKUP(N180,setup!$A$8:$H$58,4),VLOOKUP(N180,setup!$A$8:$H$58,5),VLOOKUP(N180,setup!$A$8:$H$58,6),VLOOKUP(N180,setup!$A$8:$H$58,7), VLOOKUP(0,setup!$A$8:$H$58,2),VLOOKUP(0,setup!$A$8:$H$58,5),VLOOKUP(N180,setup!$A$8:$H$58,8))</f>
        <v/>
      </c>
    </row>
    <row r="181" spans="1:15" x14ac:dyDescent="0.25">
      <c r="A181" s="6"/>
      <c r="O181" s="7" t="str">
        <f ca="1">getCodigoBackend(N181,A181,VLOOKUP(N181,setup!$A$8:$H$58,2),VLOOKUP(N181,setup!$A$8:$H$58,3),VLOOKUP(N181,setup!$A$8:$H$58,4),VLOOKUP(N181,setup!$A$8:$H$58,5),VLOOKUP(N181,setup!$A$8:$H$58,6),VLOOKUP(N181,setup!$A$8:$H$58,7), VLOOKUP(0,setup!$A$8:$H$58,2),VLOOKUP(0,setup!$A$8:$H$58,5),VLOOKUP(N181,setup!$A$8:$H$58,8))</f>
        <v/>
      </c>
    </row>
    <row r="182" spans="1:15" x14ac:dyDescent="0.25">
      <c r="A182" s="6"/>
      <c r="O182" s="7" t="str">
        <f ca="1">getCodigoBackend(N182,A182,VLOOKUP(N182,setup!$A$8:$H$58,2),VLOOKUP(N182,setup!$A$8:$H$58,3),VLOOKUP(N182,setup!$A$8:$H$58,4),VLOOKUP(N182,setup!$A$8:$H$58,5),VLOOKUP(N182,setup!$A$8:$H$58,6),VLOOKUP(N182,setup!$A$8:$H$58,7), VLOOKUP(0,setup!$A$8:$H$58,2),VLOOKUP(0,setup!$A$8:$H$58,5),VLOOKUP(N182,setup!$A$8:$H$58,8))</f>
        <v/>
      </c>
    </row>
    <row r="183" spans="1:15" x14ac:dyDescent="0.25">
      <c r="A183" s="6"/>
      <c r="O183" s="7" t="str">
        <f ca="1">getCodigoBackend(N183,A183,VLOOKUP(N183,setup!$A$8:$H$58,2),VLOOKUP(N183,setup!$A$8:$H$58,3),VLOOKUP(N183,setup!$A$8:$H$58,4),VLOOKUP(N183,setup!$A$8:$H$58,5),VLOOKUP(N183,setup!$A$8:$H$58,6),VLOOKUP(N183,setup!$A$8:$H$58,7), VLOOKUP(0,setup!$A$8:$H$58,2),VLOOKUP(0,setup!$A$8:$H$58,5),VLOOKUP(N183,setup!$A$8:$H$58,8))</f>
        <v/>
      </c>
    </row>
    <row r="184" spans="1:15" x14ac:dyDescent="0.25">
      <c r="A184" s="15"/>
      <c r="O184" s="7" t="str">
        <f ca="1">getCodigoBackend(N184,A184,VLOOKUP(N184,setup!$A$8:$H$58,2),VLOOKUP(N184,setup!$A$8:$H$58,3),VLOOKUP(N184,setup!$A$8:$H$58,4),VLOOKUP(N184,setup!$A$8:$H$58,5),VLOOKUP(N184,setup!$A$8:$H$58,6),VLOOKUP(N184,setup!$A$8:$H$58,7), VLOOKUP(0,setup!$A$8:$H$58,2),VLOOKUP(0,setup!$A$8:$H$58,5),VLOOKUP(N184,setup!$A$8:$H$58,8))</f>
        <v/>
      </c>
    </row>
    <row r="185" spans="1:15" x14ac:dyDescent="0.25">
      <c r="A185" s="6"/>
      <c r="O185" s="7" t="str">
        <f ca="1">getCodigoBackend(N185,A185,VLOOKUP(N185,setup!$A$8:$H$58,2),VLOOKUP(N185,setup!$A$8:$H$58,3),VLOOKUP(N185,setup!$A$8:$H$58,4),VLOOKUP(N185,setup!$A$8:$H$58,5),VLOOKUP(N185,setup!$A$8:$H$58,6),VLOOKUP(N185,setup!$A$8:$H$58,7), VLOOKUP(0,setup!$A$8:$H$58,2),VLOOKUP(0,setup!$A$8:$H$58,5),VLOOKUP(N185,setup!$A$8:$H$58,8))</f>
        <v/>
      </c>
    </row>
    <row r="186" spans="1:15" x14ac:dyDescent="0.25">
      <c r="A186" s="6"/>
      <c r="O186" s="7" t="str">
        <f ca="1">getCodigoBackend(N186,A186,VLOOKUP(N186,setup!$A$8:$H$58,2),VLOOKUP(N186,setup!$A$8:$H$58,3),VLOOKUP(N186,setup!$A$8:$H$58,4),VLOOKUP(N186,setup!$A$8:$H$58,5),VLOOKUP(N186,setup!$A$8:$H$58,6),VLOOKUP(N186,setup!$A$8:$H$58,7), VLOOKUP(0,setup!$A$8:$H$58,2),VLOOKUP(0,setup!$A$8:$H$58,5),VLOOKUP(N186,setup!$A$8:$H$58,8))</f>
        <v/>
      </c>
    </row>
    <row r="187" spans="1:15" x14ac:dyDescent="0.25">
      <c r="A187" s="6"/>
      <c r="O187" s="7" t="str">
        <f ca="1">getCodigoBackend(N187,A187,VLOOKUP(N187,setup!$A$8:$H$58,2),VLOOKUP(N187,setup!$A$8:$H$58,3),VLOOKUP(N187,setup!$A$8:$H$58,4),VLOOKUP(N187,setup!$A$8:$H$58,5),VLOOKUP(N187,setup!$A$8:$H$58,6),VLOOKUP(N187,setup!$A$8:$H$58,7), VLOOKUP(0,setup!$A$8:$H$58,2),VLOOKUP(0,setup!$A$8:$H$58,5),VLOOKUP(N187,setup!$A$8:$H$58,8))</f>
        <v/>
      </c>
    </row>
    <row r="188" spans="1:15" x14ac:dyDescent="0.25">
      <c r="A188" s="6"/>
      <c r="O188" s="7" t="str">
        <f ca="1">getCodigoBackend(N188,A188,VLOOKUP(N188,setup!$A$8:$H$58,2),VLOOKUP(N188,setup!$A$8:$H$58,3),VLOOKUP(N188,setup!$A$8:$H$58,4),VLOOKUP(N188,setup!$A$8:$H$58,5),VLOOKUP(N188,setup!$A$8:$H$58,6),VLOOKUP(N188,setup!$A$8:$H$58,7), VLOOKUP(0,setup!$A$8:$H$58,2),VLOOKUP(0,setup!$A$8:$H$58,5),VLOOKUP(N188,setup!$A$8:$H$58,8))</f>
        <v/>
      </c>
    </row>
    <row r="189" spans="1:15" x14ac:dyDescent="0.25">
      <c r="A189" s="6"/>
      <c r="O189" s="7" t="str">
        <f ca="1">getCodigoBackend(N189,A189,VLOOKUP(N189,setup!$A$8:$H$58,2),VLOOKUP(N189,setup!$A$8:$H$58,3),VLOOKUP(N189,setup!$A$8:$H$58,4),VLOOKUP(N189,setup!$A$8:$H$58,5),VLOOKUP(N189,setup!$A$8:$H$58,6),VLOOKUP(N189,setup!$A$8:$H$58,7), VLOOKUP(0,setup!$A$8:$H$58,2),VLOOKUP(0,setup!$A$8:$H$58,5),VLOOKUP(N189,setup!$A$8:$H$58,8))</f>
        <v/>
      </c>
    </row>
    <row r="190" spans="1:15" x14ac:dyDescent="0.25">
      <c r="A190" s="6"/>
      <c r="O190" s="7" t="str">
        <f ca="1">getCodigoBackend(N190,A190,VLOOKUP(N190,setup!$A$8:$H$58,2),VLOOKUP(N190,setup!$A$8:$H$58,3),VLOOKUP(N190,setup!$A$8:$H$58,4),VLOOKUP(N190,setup!$A$8:$H$58,5),VLOOKUP(N190,setup!$A$8:$H$58,6),VLOOKUP(N190,setup!$A$8:$H$58,7), VLOOKUP(0,setup!$A$8:$H$58,2),VLOOKUP(0,setup!$A$8:$H$58,5),VLOOKUP(N190,setup!$A$8:$H$58,8))</f>
        <v/>
      </c>
    </row>
    <row r="191" spans="1:15" x14ac:dyDescent="0.25">
      <c r="A191" s="6"/>
      <c r="O191" s="7" t="str">
        <f ca="1">getCodigoBackend(N191,A191,VLOOKUP(N191,setup!$A$8:$H$58,2),VLOOKUP(N191,setup!$A$8:$H$58,3),VLOOKUP(N191,setup!$A$8:$H$58,4),VLOOKUP(N191,setup!$A$8:$H$58,5),VLOOKUP(N191,setup!$A$8:$H$58,6),VLOOKUP(N191,setup!$A$8:$H$58,7), VLOOKUP(0,setup!$A$8:$H$58,2),VLOOKUP(0,setup!$A$8:$H$58,5),VLOOKUP(N191,setup!$A$8:$H$58,8))</f>
        <v/>
      </c>
    </row>
    <row r="192" spans="1:15" x14ac:dyDescent="0.25">
      <c r="A192" s="6"/>
      <c r="O192" s="7" t="str">
        <f ca="1">getCodigoBackend(N192,A192,VLOOKUP(N192,setup!$A$8:$H$58,2),VLOOKUP(N192,setup!$A$8:$H$58,3),VLOOKUP(N192,setup!$A$8:$H$58,4),VLOOKUP(N192,setup!$A$8:$H$58,5),VLOOKUP(N192,setup!$A$8:$H$58,6),VLOOKUP(N192,setup!$A$8:$H$58,7), VLOOKUP(0,setup!$A$8:$H$58,2),VLOOKUP(0,setup!$A$8:$H$58,5),VLOOKUP(N192,setup!$A$8:$H$58,8))</f>
        <v/>
      </c>
    </row>
    <row r="193" spans="1:15" x14ac:dyDescent="0.25">
      <c r="A193" s="6"/>
      <c r="O193" s="7" t="str">
        <f ca="1">getCodigoBackend(N193,A193,VLOOKUP(N193,setup!$A$8:$H$58,2),VLOOKUP(N193,setup!$A$8:$H$58,3),VLOOKUP(N193,setup!$A$8:$H$58,4),VLOOKUP(N193,setup!$A$8:$H$58,5),VLOOKUP(N193,setup!$A$8:$H$58,6),VLOOKUP(N193,setup!$A$8:$H$58,7), VLOOKUP(0,setup!$A$8:$H$58,2),VLOOKUP(0,setup!$A$8:$H$58,5),VLOOKUP(N193,setup!$A$8:$H$58,8))</f>
        <v/>
      </c>
    </row>
    <row r="194" spans="1:15" x14ac:dyDescent="0.25">
      <c r="A194" s="6"/>
      <c r="O194" s="7" t="str">
        <f ca="1">getCodigoBackend(N194,A194,VLOOKUP(N194,setup!$A$8:$H$58,2),VLOOKUP(N194,setup!$A$8:$H$58,3),VLOOKUP(N194,setup!$A$8:$H$58,4),VLOOKUP(N194,setup!$A$8:$H$58,5),VLOOKUP(N194,setup!$A$8:$H$58,6),VLOOKUP(N194,setup!$A$8:$H$58,7), VLOOKUP(0,setup!$A$8:$H$58,2),VLOOKUP(0,setup!$A$8:$H$58,5),VLOOKUP(N194,setup!$A$8:$H$58,8))</f>
        <v/>
      </c>
    </row>
    <row r="195" spans="1:15" x14ac:dyDescent="0.25">
      <c r="A195" s="6"/>
      <c r="O195" s="7" t="str">
        <f ca="1">getCodigoBackend(N195,A195,VLOOKUP(N195,setup!$A$8:$H$58,2),VLOOKUP(N195,setup!$A$8:$H$58,3),VLOOKUP(N195,setup!$A$8:$H$58,4),VLOOKUP(N195,setup!$A$8:$H$58,5),VLOOKUP(N195,setup!$A$8:$H$58,6),VLOOKUP(N195,setup!$A$8:$H$58,7), VLOOKUP(0,setup!$A$8:$H$58,2),VLOOKUP(0,setup!$A$8:$H$58,5),VLOOKUP(N195,setup!$A$8:$H$58,8))</f>
        <v/>
      </c>
    </row>
    <row r="196" spans="1:15" x14ac:dyDescent="0.25">
      <c r="A196" s="6"/>
      <c r="O196" s="7" t="str">
        <f ca="1">getCodigoBackend(N196,A196,VLOOKUP(N196,setup!$A$8:$H$58,2),VLOOKUP(N196,setup!$A$8:$H$58,3),VLOOKUP(N196,setup!$A$8:$H$58,4),VLOOKUP(N196,setup!$A$8:$H$58,5),VLOOKUP(N196,setup!$A$8:$H$58,6),VLOOKUP(N196,setup!$A$8:$H$58,7), VLOOKUP(0,setup!$A$8:$H$58,2),VLOOKUP(0,setup!$A$8:$H$58,5),VLOOKUP(N196,setup!$A$8:$H$58,8))</f>
        <v/>
      </c>
    </row>
    <row r="197" spans="1:15" x14ac:dyDescent="0.25">
      <c r="A197" s="6"/>
      <c r="O197" s="7" t="str">
        <f ca="1">getCodigoBackend(N197,A197,VLOOKUP(N197,setup!$A$8:$H$58,2),VLOOKUP(N197,setup!$A$8:$H$58,3),VLOOKUP(N197,setup!$A$8:$H$58,4),VLOOKUP(N197,setup!$A$8:$H$58,5),VLOOKUP(N197,setup!$A$8:$H$58,6),VLOOKUP(N197,setup!$A$8:$H$58,7), VLOOKUP(0,setup!$A$8:$H$58,2),VLOOKUP(0,setup!$A$8:$H$58,5),VLOOKUP(N197,setup!$A$8:$H$58,8))</f>
        <v/>
      </c>
    </row>
    <row r="198" spans="1:15" x14ac:dyDescent="0.25">
      <c r="A198" s="6"/>
      <c r="O198" s="7" t="str">
        <f ca="1">getCodigoBackend(N198,A198,VLOOKUP(N198,setup!$A$8:$H$58,2),VLOOKUP(N198,setup!$A$8:$H$58,3),VLOOKUP(N198,setup!$A$8:$H$58,4),VLOOKUP(N198,setup!$A$8:$H$58,5),VLOOKUP(N198,setup!$A$8:$H$58,6),VLOOKUP(N198,setup!$A$8:$H$58,7), VLOOKUP(0,setup!$A$8:$H$58,2),VLOOKUP(0,setup!$A$8:$H$58,5),VLOOKUP(N198,setup!$A$8:$H$58,8))</f>
        <v/>
      </c>
    </row>
    <row r="199" spans="1:15" x14ac:dyDescent="0.25">
      <c r="A199" s="6"/>
      <c r="O199" s="7" t="str">
        <f ca="1">getCodigoBackend(N199,A199,VLOOKUP(N199,setup!$A$8:$H$58,2),VLOOKUP(N199,setup!$A$8:$H$58,3),VLOOKUP(N199,setup!$A$8:$H$58,4),VLOOKUP(N199,setup!$A$8:$H$58,5),VLOOKUP(N199,setup!$A$8:$H$58,6),VLOOKUP(N199,setup!$A$8:$H$58,7), VLOOKUP(0,setup!$A$8:$H$58,2),VLOOKUP(0,setup!$A$8:$H$58,5),VLOOKUP(N199,setup!$A$8:$H$58,8))</f>
        <v/>
      </c>
    </row>
    <row r="200" spans="1:15" x14ac:dyDescent="0.25">
      <c r="A200" s="6"/>
      <c r="O200" s="7" t="str">
        <f ca="1">getCodigoBackend(N200,A200,VLOOKUP(N200,setup!$A$8:$H$58,2),VLOOKUP(N200,setup!$A$8:$H$58,3),VLOOKUP(N200,setup!$A$8:$H$58,4),VLOOKUP(N200,setup!$A$8:$H$58,5),VLOOKUP(N200,setup!$A$8:$H$58,6),VLOOKUP(N200,setup!$A$8:$H$58,7), VLOOKUP(0,setup!$A$8:$H$58,2),VLOOKUP(0,setup!$A$8:$H$58,5),VLOOKUP(N200,setup!$A$8:$H$58,8))</f>
        <v/>
      </c>
    </row>
    <row r="201" spans="1:15" x14ac:dyDescent="0.25">
      <c r="A201" s="6"/>
      <c r="O201" s="7" t="str">
        <f ca="1">getCodigoBackend(N201,A201,VLOOKUP(N201,setup!$A$8:$H$58,2),VLOOKUP(N201,setup!$A$8:$H$58,3),VLOOKUP(N201,setup!$A$8:$H$58,4),VLOOKUP(N201,setup!$A$8:$H$58,5),VLOOKUP(N201,setup!$A$8:$H$58,6),VLOOKUP(N201,setup!$A$8:$H$58,7), VLOOKUP(0,setup!$A$8:$H$58,2),VLOOKUP(0,setup!$A$8:$H$58,5),VLOOKUP(N201,setup!$A$8:$H$58,8))</f>
        <v/>
      </c>
    </row>
    <row r="202" spans="1:15" x14ac:dyDescent="0.25">
      <c r="A202" s="6"/>
      <c r="O202" s="7" t="str">
        <f ca="1">getCodigoBackend(N202,A202,VLOOKUP(N202,setup!$A$8:$H$58,2),VLOOKUP(N202,setup!$A$8:$H$58,3),VLOOKUP(N202,setup!$A$8:$H$58,4),VLOOKUP(N202,setup!$A$8:$H$58,5),VLOOKUP(N202,setup!$A$8:$H$58,6),VLOOKUP(N202,setup!$A$8:$H$58,7), VLOOKUP(0,setup!$A$8:$H$58,2),VLOOKUP(0,setup!$A$8:$H$58,5),VLOOKUP(N202,setup!$A$8:$H$58,8))</f>
        <v/>
      </c>
    </row>
    <row r="203" spans="1:15" x14ac:dyDescent="0.25">
      <c r="A203" s="6"/>
      <c r="O203" s="7" t="str">
        <f ca="1">getCodigoBackend(N203,A203,VLOOKUP(N203,setup!$A$8:$H$58,2),VLOOKUP(N203,setup!$A$8:$H$58,3),VLOOKUP(N203,setup!$A$8:$H$58,4),VLOOKUP(N203,setup!$A$8:$H$58,5),VLOOKUP(N203,setup!$A$8:$H$58,6),VLOOKUP(N203,setup!$A$8:$H$58,7), VLOOKUP(0,setup!$A$8:$H$58,2),VLOOKUP(0,setup!$A$8:$H$58,5),VLOOKUP(N203,setup!$A$8:$H$58,8))</f>
        <v/>
      </c>
    </row>
    <row r="204" spans="1:15" x14ac:dyDescent="0.25">
      <c r="A204" s="6"/>
      <c r="O204" s="7" t="str">
        <f ca="1">getCodigoBackend(N204,A204,VLOOKUP(N204,setup!$A$8:$H$58,2),VLOOKUP(N204,setup!$A$8:$H$58,3),VLOOKUP(N204,setup!$A$8:$H$58,4),VLOOKUP(N204,setup!$A$8:$H$58,5),VLOOKUP(N204,setup!$A$8:$H$58,6),VLOOKUP(N204,setup!$A$8:$H$58,7), VLOOKUP(0,setup!$A$8:$H$58,2),VLOOKUP(0,setup!$A$8:$H$58,5),VLOOKUP(N204,setup!$A$8:$H$58,8))</f>
        <v/>
      </c>
    </row>
    <row r="205" spans="1:15" x14ac:dyDescent="0.25">
      <c r="A205" s="6"/>
      <c r="O205" s="7" t="str">
        <f ca="1">getCodigoBackend(N205,A205,VLOOKUP(N205,setup!$A$8:$H$58,2),VLOOKUP(N205,setup!$A$8:$H$58,3),VLOOKUP(N205,setup!$A$8:$H$58,4),VLOOKUP(N205,setup!$A$8:$H$58,5),VLOOKUP(N205,setup!$A$8:$H$58,6),VLOOKUP(N205,setup!$A$8:$H$58,7), VLOOKUP(0,setup!$A$8:$H$58,2),VLOOKUP(0,setup!$A$8:$H$58,5),VLOOKUP(N205,setup!$A$8:$H$58,8))</f>
        <v/>
      </c>
    </row>
    <row r="206" spans="1:15" x14ac:dyDescent="0.25">
      <c r="A206" s="6"/>
      <c r="O206" s="7" t="str">
        <f ca="1">getCodigoBackend(N206,A206,VLOOKUP(N206,setup!$A$8:$H$58,2),VLOOKUP(N206,setup!$A$8:$H$58,3),VLOOKUP(N206,setup!$A$8:$H$58,4),VLOOKUP(N206,setup!$A$8:$H$58,5),VLOOKUP(N206,setup!$A$8:$H$58,6),VLOOKUP(N206,setup!$A$8:$H$58,7), VLOOKUP(0,setup!$A$8:$H$58,2),VLOOKUP(0,setup!$A$8:$H$58,5),VLOOKUP(N206,setup!$A$8:$H$58,8))</f>
        <v/>
      </c>
    </row>
    <row r="207" spans="1:15" x14ac:dyDescent="0.25">
      <c r="A207" s="6"/>
      <c r="O207" s="7" t="str">
        <f ca="1">getCodigoBackend(N207,A207,VLOOKUP(N207,setup!$A$8:$H$58,2),VLOOKUP(N207,setup!$A$8:$H$58,3),VLOOKUP(N207,setup!$A$8:$H$58,4),VLOOKUP(N207,setup!$A$8:$H$58,5),VLOOKUP(N207,setup!$A$8:$H$58,6),VLOOKUP(N207,setup!$A$8:$H$58,7), VLOOKUP(0,setup!$A$8:$H$58,2),VLOOKUP(0,setup!$A$8:$H$58,5),VLOOKUP(N207,setup!$A$8:$H$58,8))</f>
        <v/>
      </c>
    </row>
    <row r="208" spans="1:15" x14ac:dyDescent="0.25">
      <c r="A208" s="6"/>
      <c r="O208" s="7" t="str">
        <f ca="1">getCodigoBackend(N208,A208,VLOOKUP(N208,setup!$A$8:$H$58,2),VLOOKUP(N208,setup!$A$8:$H$58,3),VLOOKUP(N208,setup!$A$8:$H$58,4),VLOOKUP(N208,setup!$A$8:$H$58,5),VLOOKUP(N208,setup!$A$8:$H$58,6),VLOOKUP(N208,setup!$A$8:$H$58,7), VLOOKUP(0,setup!$A$8:$H$58,2),VLOOKUP(0,setup!$A$8:$H$58,5),VLOOKUP(N208,setup!$A$8:$H$58,8))</f>
        <v/>
      </c>
    </row>
    <row r="209" spans="1:15" x14ac:dyDescent="0.25">
      <c r="A209" s="6"/>
      <c r="O209" s="7" t="str">
        <f ca="1">getCodigoBackend(N209,A209,VLOOKUP(N209,setup!$A$8:$H$58,2),VLOOKUP(N209,setup!$A$8:$H$58,3),VLOOKUP(N209,setup!$A$8:$H$58,4),VLOOKUP(N209,setup!$A$8:$H$58,5),VLOOKUP(N209,setup!$A$8:$H$58,6),VLOOKUP(N209,setup!$A$8:$H$58,7), VLOOKUP(0,setup!$A$8:$H$58,2),VLOOKUP(0,setup!$A$8:$H$58,5),VLOOKUP(N209,setup!$A$8:$H$58,8))</f>
        <v/>
      </c>
    </row>
    <row r="210" spans="1:15" x14ac:dyDescent="0.25">
      <c r="A210" s="6"/>
      <c r="O210" s="7" t="str">
        <f ca="1">getCodigoBackend(N210,A210,VLOOKUP(N210,setup!$A$8:$H$58,2),VLOOKUP(N210,setup!$A$8:$H$58,3),VLOOKUP(N210,setup!$A$8:$H$58,4),VLOOKUP(N210,setup!$A$8:$H$58,5),VLOOKUP(N210,setup!$A$8:$H$58,6),VLOOKUP(N210,setup!$A$8:$H$58,7), VLOOKUP(0,setup!$A$8:$H$58,2),VLOOKUP(0,setup!$A$8:$H$58,5),VLOOKUP(N210,setup!$A$8:$H$58,8))</f>
        <v/>
      </c>
    </row>
    <row r="211" spans="1:15" x14ac:dyDescent="0.25">
      <c r="A211" s="6"/>
      <c r="O211" s="7" t="str">
        <f ca="1">getCodigoBackend(N211,A211,VLOOKUP(N211,setup!$A$8:$H$58,2),VLOOKUP(N211,setup!$A$8:$H$58,3),VLOOKUP(N211,setup!$A$8:$H$58,4),VLOOKUP(N211,setup!$A$8:$H$58,5),VLOOKUP(N211,setup!$A$8:$H$58,6),VLOOKUP(N211,setup!$A$8:$H$58,7), VLOOKUP(0,setup!$A$8:$H$58,2),VLOOKUP(0,setup!$A$8:$H$58,5),VLOOKUP(N211,setup!$A$8:$H$58,8))</f>
        <v/>
      </c>
    </row>
    <row r="212" spans="1:15" x14ac:dyDescent="0.25">
      <c r="A212" s="6"/>
      <c r="O212" s="7" t="str">
        <f ca="1">getCodigoBackend(N212,A212,VLOOKUP(N212,setup!$A$8:$H$58,2),VLOOKUP(N212,setup!$A$8:$H$58,3),VLOOKUP(N212,setup!$A$8:$H$58,4),VLOOKUP(N212,setup!$A$8:$H$58,5),VLOOKUP(N212,setup!$A$8:$H$58,6),VLOOKUP(N212,setup!$A$8:$H$58,7), VLOOKUP(0,setup!$A$8:$H$58,2),VLOOKUP(0,setup!$A$8:$H$58,5),VLOOKUP(N212,setup!$A$8:$H$58,8))</f>
        <v/>
      </c>
    </row>
    <row r="213" spans="1:15" x14ac:dyDescent="0.25">
      <c r="A213" s="6"/>
      <c r="O213" s="7" t="str">
        <f ca="1">getCodigoBackend(N213,A213,VLOOKUP(N213,setup!$A$8:$H$58,2),VLOOKUP(N213,setup!$A$8:$H$58,3),VLOOKUP(N213,setup!$A$8:$H$58,4),VLOOKUP(N213,setup!$A$8:$H$58,5),VLOOKUP(N213,setup!$A$8:$H$58,6),VLOOKUP(N213,setup!$A$8:$H$58,7), VLOOKUP(0,setup!$A$8:$H$58,2),VLOOKUP(0,setup!$A$8:$H$58,5),VLOOKUP(N213,setup!$A$8:$H$58,8))</f>
        <v/>
      </c>
    </row>
    <row r="214" spans="1:15" x14ac:dyDescent="0.25">
      <c r="A214" s="6"/>
      <c r="O214" s="7" t="str">
        <f ca="1">getCodigoBackend(N214,A214,VLOOKUP(N214,setup!$A$8:$H$58,2),VLOOKUP(N214,setup!$A$8:$H$58,3),VLOOKUP(N214,setup!$A$8:$H$58,4),VLOOKUP(N214,setup!$A$8:$H$58,5),VLOOKUP(N214,setup!$A$8:$H$58,6),VLOOKUP(N214,setup!$A$8:$H$58,7), VLOOKUP(0,setup!$A$8:$H$58,2),VLOOKUP(0,setup!$A$8:$H$58,5),VLOOKUP(N214,setup!$A$8:$H$58,8))</f>
        <v/>
      </c>
    </row>
    <row r="215" spans="1:15" x14ac:dyDescent="0.25">
      <c r="A215" s="6"/>
      <c r="O215" s="7" t="str">
        <f ca="1">getCodigoBackend(N215,A215,VLOOKUP(N215,setup!$A$8:$H$58,2),VLOOKUP(N215,setup!$A$8:$H$58,3),VLOOKUP(N215,setup!$A$8:$H$58,4),VLOOKUP(N215,setup!$A$8:$H$58,5),VLOOKUP(N215,setup!$A$8:$H$58,6),VLOOKUP(N215,setup!$A$8:$H$58,7), VLOOKUP(0,setup!$A$8:$H$58,2),VLOOKUP(0,setup!$A$8:$H$58,5),VLOOKUP(N215,setup!$A$8:$H$58,8))</f>
        <v/>
      </c>
    </row>
    <row r="216" spans="1:15" x14ac:dyDescent="0.25">
      <c r="A216" s="6"/>
      <c r="O216" s="7" t="str">
        <f ca="1">getCodigoBackend(N216,A216,VLOOKUP(N216,setup!$A$8:$H$58,2),VLOOKUP(N216,setup!$A$8:$H$58,3),VLOOKUP(N216,setup!$A$8:$H$58,4),VLOOKUP(N216,setup!$A$8:$H$58,5),VLOOKUP(N216,setup!$A$8:$H$58,6),VLOOKUP(N216,setup!$A$8:$H$58,7), VLOOKUP(0,setup!$A$8:$H$58,2),VLOOKUP(0,setup!$A$8:$H$58,5),VLOOKUP(N216,setup!$A$8:$H$58,8))</f>
        <v/>
      </c>
    </row>
    <row r="217" spans="1:15" x14ac:dyDescent="0.25">
      <c r="A217" s="6"/>
      <c r="O217" s="7" t="str">
        <f ca="1">getCodigoBackend(N217,A217,VLOOKUP(N217,setup!$A$8:$H$58,2),VLOOKUP(N217,setup!$A$8:$H$58,3),VLOOKUP(N217,setup!$A$8:$H$58,4),VLOOKUP(N217,setup!$A$8:$H$58,5),VLOOKUP(N217,setup!$A$8:$H$58,6),VLOOKUP(N217,setup!$A$8:$H$58,7), VLOOKUP(0,setup!$A$8:$H$58,2),VLOOKUP(0,setup!$A$8:$H$58,5),VLOOKUP(N217,setup!$A$8:$H$58,8))</f>
        <v/>
      </c>
    </row>
    <row r="218" spans="1:15" x14ac:dyDescent="0.25">
      <c r="A218" s="6"/>
      <c r="O218" s="7" t="str">
        <f ca="1">getCodigoBackend(N218,A218,VLOOKUP(N218,setup!$A$8:$H$58,2),VLOOKUP(N218,setup!$A$8:$H$58,3),VLOOKUP(N218,setup!$A$8:$H$58,4),VLOOKUP(N218,setup!$A$8:$H$58,5),VLOOKUP(N218,setup!$A$8:$H$58,6),VLOOKUP(N218,setup!$A$8:$H$58,7), VLOOKUP(0,setup!$A$8:$H$58,2),VLOOKUP(0,setup!$A$8:$H$58,5),VLOOKUP(N218,setup!$A$8:$H$58,8))</f>
        <v/>
      </c>
    </row>
    <row r="219" spans="1:15" x14ac:dyDescent="0.25">
      <c r="A219" s="6"/>
      <c r="O219" s="7" t="str">
        <f ca="1">getCodigoBackend(N219,A219,VLOOKUP(N219,setup!$A$8:$H$58,2),VLOOKUP(N219,setup!$A$8:$H$58,3),VLOOKUP(N219,setup!$A$8:$H$58,4),VLOOKUP(N219,setup!$A$8:$H$58,5),VLOOKUP(N219,setup!$A$8:$H$58,6),VLOOKUP(N219,setup!$A$8:$H$58,7), VLOOKUP(0,setup!$A$8:$H$58,2),VLOOKUP(0,setup!$A$8:$H$58,5),VLOOKUP(N219,setup!$A$8:$H$58,8))</f>
        <v/>
      </c>
    </row>
    <row r="220" spans="1:15" x14ac:dyDescent="0.25">
      <c r="A220" s="6"/>
      <c r="O220" s="7" t="str">
        <f ca="1">getCodigoBackend(N220,A220,VLOOKUP(N220,setup!$A$8:$H$58,2),VLOOKUP(N220,setup!$A$8:$H$58,3),VLOOKUP(N220,setup!$A$8:$H$58,4),VLOOKUP(N220,setup!$A$8:$H$58,5),VLOOKUP(N220,setup!$A$8:$H$58,6),VLOOKUP(N220,setup!$A$8:$H$58,7), VLOOKUP(0,setup!$A$8:$H$58,2),VLOOKUP(0,setup!$A$8:$H$58,5),VLOOKUP(N220,setup!$A$8:$H$58,8))</f>
        <v/>
      </c>
    </row>
    <row r="221" spans="1:15" x14ac:dyDescent="0.25">
      <c r="A221" s="6"/>
      <c r="O221" s="7" t="str">
        <f ca="1">getCodigoBackend(N221,A221,VLOOKUP(N221,setup!$A$8:$H$58,2),VLOOKUP(N221,setup!$A$8:$H$58,3),VLOOKUP(N221,setup!$A$8:$H$58,4),VLOOKUP(N221,setup!$A$8:$H$58,5),VLOOKUP(N221,setup!$A$8:$H$58,6),VLOOKUP(N221,setup!$A$8:$H$58,7), VLOOKUP(0,setup!$A$8:$H$58,2),VLOOKUP(0,setup!$A$8:$H$58,5),VLOOKUP(N221,setup!$A$8:$H$58,8))</f>
        <v/>
      </c>
    </row>
    <row r="222" spans="1:15" x14ac:dyDescent="0.25">
      <c r="A222" s="6"/>
      <c r="O222" s="7" t="str">
        <f ca="1">getCodigoBackend(N222,A222,VLOOKUP(N222,setup!$A$8:$H$58,2),VLOOKUP(N222,setup!$A$8:$H$58,3),VLOOKUP(N222,setup!$A$8:$H$58,4),VLOOKUP(N222,setup!$A$8:$H$58,5),VLOOKUP(N222,setup!$A$8:$H$58,6),VLOOKUP(N222,setup!$A$8:$H$58,7), VLOOKUP(0,setup!$A$8:$H$58,2),VLOOKUP(0,setup!$A$8:$H$58,5),VLOOKUP(N222,setup!$A$8:$H$58,8))</f>
        <v/>
      </c>
    </row>
    <row r="223" spans="1:15" x14ac:dyDescent="0.25">
      <c r="A223" s="6"/>
      <c r="O223" s="7" t="str">
        <f ca="1">getCodigoBackend(N223,A223,VLOOKUP(N223,setup!$A$8:$H$58,2),VLOOKUP(N223,setup!$A$8:$H$58,3),VLOOKUP(N223,setup!$A$8:$H$58,4),VLOOKUP(N223,setup!$A$8:$H$58,5),VLOOKUP(N223,setup!$A$8:$H$58,6),VLOOKUP(N223,setup!$A$8:$H$58,7), VLOOKUP(0,setup!$A$8:$H$58,2),VLOOKUP(0,setup!$A$8:$H$58,5),VLOOKUP(N223,setup!$A$8:$H$58,8))</f>
        <v/>
      </c>
    </row>
    <row r="224" spans="1:15" x14ac:dyDescent="0.25">
      <c r="A224" s="6"/>
      <c r="O224" s="7" t="str">
        <f ca="1">getCodigoBackend(N224,A224,VLOOKUP(N224,setup!$A$8:$H$58,2),VLOOKUP(N224,setup!$A$8:$H$58,3),VLOOKUP(N224,setup!$A$8:$H$58,4),VLOOKUP(N224,setup!$A$8:$H$58,5),VLOOKUP(N224,setup!$A$8:$H$58,6),VLOOKUP(N224,setup!$A$8:$H$58,7), VLOOKUP(0,setup!$A$8:$H$58,2),VLOOKUP(0,setup!$A$8:$H$58,5),VLOOKUP(N224,setup!$A$8:$H$58,8))</f>
        <v/>
      </c>
    </row>
    <row r="225" spans="1:15" x14ac:dyDescent="0.25">
      <c r="A225" s="6"/>
      <c r="O225" s="7" t="str">
        <f ca="1">getCodigoBackend(N225,A225,VLOOKUP(N225,setup!$A$8:$H$58,2),VLOOKUP(N225,setup!$A$8:$H$58,3),VLOOKUP(N225,setup!$A$8:$H$58,4),VLOOKUP(N225,setup!$A$8:$H$58,5),VLOOKUP(N225,setup!$A$8:$H$58,6),VLOOKUP(N225,setup!$A$8:$H$58,7), VLOOKUP(0,setup!$A$8:$H$58,2),VLOOKUP(0,setup!$A$8:$H$58,5),VLOOKUP(N225,setup!$A$8:$H$58,8))</f>
        <v/>
      </c>
    </row>
    <row r="226" spans="1:15" x14ac:dyDescent="0.25">
      <c r="A226" s="6"/>
      <c r="O226" s="7" t="str">
        <f ca="1">getCodigoBackend(N226,A226,VLOOKUP(N226,setup!$A$8:$H$58,2),VLOOKUP(N226,setup!$A$8:$H$58,3),VLOOKUP(N226,setup!$A$8:$H$58,4),VLOOKUP(N226,setup!$A$8:$H$58,5),VLOOKUP(N226,setup!$A$8:$H$58,6),VLOOKUP(N226,setup!$A$8:$H$58,7), VLOOKUP(0,setup!$A$8:$H$58,2),VLOOKUP(0,setup!$A$8:$H$58,5),VLOOKUP(N226,setup!$A$8:$H$58,8))</f>
        <v/>
      </c>
    </row>
    <row r="227" spans="1:15" x14ac:dyDescent="0.25">
      <c r="A227" s="6"/>
      <c r="O227" s="7" t="str">
        <f ca="1">getCodigoBackend(N227,A227,VLOOKUP(N227,setup!$A$8:$H$58,2),VLOOKUP(N227,setup!$A$8:$H$58,3),VLOOKUP(N227,setup!$A$8:$H$58,4),VLOOKUP(N227,setup!$A$8:$H$58,5),VLOOKUP(N227,setup!$A$8:$H$58,6),VLOOKUP(N227,setup!$A$8:$H$58,7), VLOOKUP(0,setup!$A$8:$H$58,2),VLOOKUP(0,setup!$A$8:$H$58,5),VLOOKUP(N227,setup!$A$8:$H$58,8))</f>
        <v/>
      </c>
    </row>
    <row r="228" spans="1:15" x14ac:dyDescent="0.25">
      <c r="A228" s="6"/>
      <c r="O228" s="7" t="str">
        <f ca="1">getCodigoBackend(N228,A228,VLOOKUP(N228,setup!$A$8:$H$58,2),VLOOKUP(N228,setup!$A$8:$H$58,3),VLOOKUP(N228,setup!$A$8:$H$58,4),VLOOKUP(N228,setup!$A$8:$H$58,5),VLOOKUP(N228,setup!$A$8:$H$58,6),VLOOKUP(N228,setup!$A$8:$H$58,7), VLOOKUP(0,setup!$A$8:$H$58,2),VLOOKUP(0,setup!$A$8:$H$58,5),VLOOKUP(N228,setup!$A$8:$H$58,8))</f>
        <v/>
      </c>
    </row>
    <row r="229" spans="1:15" x14ac:dyDescent="0.25">
      <c r="A229" s="6"/>
      <c r="O229" s="7" t="str">
        <f ca="1">getCodigoBackend(N229,A229,VLOOKUP(N229,setup!$A$8:$H$58,2),VLOOKUP(N229,setup!$A$8:$H$58,3),VLOOKUP(N229,setup!$A$8:$H$58,4),VLOOKUP(N229,setup!$A$8:$H$58,5),VLOOKUP(N229,setup!$A$8:$H$58,6),VLOOKUP(N229,setup!$A$8:$H$58,7), VLOOKUP(0,setup!$A$8:$H$58,2),VLOOKUP(0,setup!$A$8:$H$58,5),VLOOKUP(N229,setup!$A$8:$H$58,8))</f>
        <v/>
      </c>
    </row>
    <row r="230" spans="1:15" x14ac:dyDescent="0.25">
      <c r="A230" s="6"/>
      <c r="O230" s="7" t="str">
        <f ca="1">getCodigoBackend(N230,A230,VLOOKUP(N230,setup!$A$8:$H$58,2),VLOOKUP(N230,setup!$A$8:$H$58,3),VLOOKUP(N230,setup!$A$8:$H$58,4),VLOOKUP(N230,setup!$A$8:$H$58,5),VLOOKUP(N230,setup!$A$8:$H$58,6),VLOOKUP(N230,setup!$A$8:$H$58,7), VLOOKUP(0,setup!$A$8:$H$58,2),VLOOKUP(0,setup!$A$8:$H$58,5),VLOOKUP(N230,setup!$A$8:$H$58,8))</f>
        <v/>
      </c>
    </row>
    <row r="231" spans="1:15" x14ac:dyDescent="0.25">
      <c r="A231" s="6"/>
      <c r="O231" s="7" t="str">
        <f ca="1">getCodigoBackend(N231,A231,VLOOKUP(N231,setup!$A$8:$H$58,2),VLOOKUP(N231,setup!$A$8:$H$58,3),VLOOKUP(N231,setup!$A$8:$H$58,4),VLOOKUP(N231,setup!$A$8:$H$58,5),VLOOKUP(N231,setup!$A$8:$H$58,6),VLOOKUP(N231,setup!$A$8:$H$58,7), VLOOKUP(0,setup!$A$8:$H$58,2),VLOOKUP(0,setup!$A$8:$H$58,5),VLOOKUP(N231,setup!$A$8:$H$58,8))</f>
        <v/>
      </c>
    </row>
    <row r="232" spans="1:15" x14ac:dyDescent="0.25">
      <c r="A232" s="6"/>
      <c r="O232" s="7" t="str">
        <f ca="1">getCodigoBackend(N232,A232,VLOOKUP(N232,setup!$A$8:$H$58,2),VLOOKUP(N232,setup!$A$8:$H$58,3),VLOOKUP(N232,setup!$A$8:$H$58,4),VLOOKUP(N232,setup!$A$8:$H$58,5),VLOOKUP(N232,setup!$A$8:$H$58,6),VLOOKUP(N232,setup!$A$8:$H$58,7), VLOOKUP(0,setup!$A$8:$H$58,2),VLOOKUP(0,setup!$A$8:$H$58,5),VLOOKUP(N232,setup!$A$8:$H$58,8))</f>
        <v/>
      </c>
    </row>
    <row r="233" spans="1:15" x14ac:dyDescent="0.25">
      <c r="A233" s="6"/>
      <c r="O233" s="7" t="str">
        <f ca="1">getCodigoBackend(N233,A233,VLOOKUP(N233,setup!$A$8:$H$58,2),VLOOKUP(N233,setup!$A$8:$H$58,3),VLOOKUP(N233,setup!$A$8:$H$58,4),VLOOKUP(N233,setup!$A$8:$H$58,5),VLOOKUP(N233,setup!$A$8:$H$58,6),VLOOKUP(N233,setup!$A$8:$H$58,7), VLOOKUP(0,setup!$A$8:$H$58,2),VLOOKUP(0,setup!$A$8:$H$58,5),VLOOKUP(N233,setup!$A$8:$H$58,8))</f>
        <v/>
      </c>
    </row>
    <row r="234" spans="1:15" x14ac:dyDescent="0.25">
      <c r="A234" s="6"/>
      <c r="O234" s="7" t="str">
        <f ca="1">getCodigoBackend(N234,A234,VLOOKUP(N234,setup!$A$8:$H$58,2),VLOOKUP(N234,setup!$A$8:$H$58,3),VLOOKUP(N234,setup!$A$8:$H$58,4),VLOOKUP(N234,setup!$A$8:$H$58,5),VLOOKUP(N234,setup!$A$8:$H$58,6),VLOOKUP(N234,setup!$A$8:$H$58,7), VLOOKUP(0,setup!$A$8:$H$58,2),VLOOKUP(0,setup!$A$8:$H$58,5),VLOOKUP(N234,setup!$A$8:$H$58,8))</f>
        <v/>
      </c>
    </row>
    <row r="235" spans="1:15" x14ac:dyDescent="0.25">
      <c r="A235" s="6"/>
      <c r="O235" s="7" t="str">
        <f ca="1">getCodigoBackend(N235,A235,VLOOKUP(N235,setup!$A$8:$H$58,2),VLOOKUP(N235,setup!$A$8:$H$58,3),VLOOKUP(N235,setup!$A$8:$H$58,4),VLOOKUP(N235,setup!$A$8:$H$58,5),VLOOKUP(N235,setup!$A$8:$H$58,6),VLOOKUP(N235,setup!$A$8:$H$58,7), VLOOKUP(0,setup!$A$8:$H$58,2),VLOOKUP(0,setup!$A$8:$H$58,5),VLOOKUP(N235,setup!$A$8:$H$58,8))</f>
        <v/>
      </c>
    </row>
    <row r="236" spans="1:15" x14ac:dyDescent="0.25">
      <c r="A236" s="6"/>
      <c r="O236" s="7" t="str">
        <f ca="1">getCodigoBackend(N236,A236,VLOOKUP(N236,setup!$A$8:$H$58,2),VLOOKUP(N236,setup!$A$8:$H$58,3),VLOOKUP(N236,setup!$A$8:$H$58,4),VLOOKUP(N236,setup!$A$8:$H$58,5),VLOOKUP(N236,setup!$A$8:$H$58,6),VLOOKUP(N236,setup!$A$8:$H$58,7), VLOOKUP(0,setup!$A$8:$H$58,2),VLOOKUP(0,setup!$A$8:$H$58,5),VLOOKUP(N236,setup!$A$8:$H$58,8))</f>
        <v/>
      </c>
    </row>
    <row r="237" spans="1:15" x14ac:dyDescent="0.25">
      <c r="A237" s="6"/>
      <c r="O237" s="7" t="str">
        <f ca="1">getCodigoBackend(N237,A237,VLOOKUP(N237,setup!$A$8:$H$58,2),VLOOKUP(N237,setup!$A$8:$H$58,3),VLOOKUP(N237,setup!$A$8:$H$58,4),VLOOKUP(N237,setup!$A$8:$H$58,5),VLOOKUP(N237,setup!$A$8:$H$58,6),VLOOKUP(N237,setup!$A$8:$H$58,7), VLOOKUP(0,setup!$A$8:$H$58,2),VLOOKUP(0,setup!$A$8:$H$58,5),VLOOKUP(N237,setup!$A$8:$H$58,8))</f>
        <v/>
      </c>
    </row>
    <row r="238" spans="1:15" x14ac:dyDescent="0.25">
      <c r="A238" s="6"/>
      <c r="O238" s="7" t="str">
        <f ca="1">getCodigoBackend(N238,A238,VLOOKUP(N238,setup!$A$8:$H$58,2),VLOOKUP(N238,setup!$A$8:$H$58,3),VLOOKUP(N238,setup!$A$8:$H$58,4),VLOOKUP(N238,setup!$A$8:$H$58,5),VLOOKUP(N238,setup!$A$8:$H$58,6),VLOOKUP(N238,setup!$A$8:$H$58,7), VLOOKUP(0,setup!$A$8:$H$58,2),VLOOKUP(0,setup!$A$8:$H$58,5),VLOOKUP(N238,setup!$A$8:$H$58,8))</f>
        <v/>
      </c>
    </row>
    <row r="239" spans="1:15" x14ac:dyDescent="0.25">
      <c r="A239" s="6"/>
      <c r="O239" s="7" t="str">
        <f ca="1">getCodigoBackend(N239,A239,VLOOKUP(N239,setup!$A$8:$H$58,2),VLOOKUP(N239,setup!$A$8:$H$58,3),VLOOKUP(N239,setup!$A$8:$H$58,4),VLOOKUP(N239,setup!$A$8:$H$58,5),VLOOKUP(N239,setup!$A$8:$H$58,6),VLOOKUP(N239,setup!$A$8:$H$58,7), VLOOKUP(0,setup!$A$8:$H$58,2),VLOOKUP(0,setup!$A$8:$H$58,5),VLOOKUP(N239,setup!$A$8:$H$58,8))</f>
        <v/>
      </c>
    </row>
    <row r="240" spans="1:15" x14ac:dyDescent="0.25">
      <c r="A240" s="6"/>
      <c r="O240" s="7" t="str">
        <f ca="1">getCodigoBackend(N240,A240,VLOOKUP(N240,setup!$A$8:$H$58,2),VLOOKUP(N240,setup!$A$8:$H$58,3),VLOOKUP(N240,setup!$A$8:$H$58,4),VLOOKUP(N240,setup!$A$8:$H$58,5),VLOOKUP(N240,setup!$A$8:$H$58,6),VLOOKUP(N240,setup!$A$8:$H$58,7), VLOOKUP(0,setup!$A$8:$H$58,2),VLOOKUP(0,setup!$A$8:$H$58,5),VLOOKUP(N240,setup!$A$8:$H$58,8))</f>
        <v/>
      </c>
    </row>
    <row r="241" spans="1:15" x14ac:dyDescent="0.25">
      <c r="A241" s="6"/>
      <c r="O241" s="7" t="str">
        <f ca="1">getCodigoBackend(N241,A241,VLOOKUP(N241,setup!$A$8:$H$58,2),VLOOKUP(N241,setup!$A$8:$H$58,3),VLOOKUP(N241,setup!$A$8:$H$58,4),VLOOKUP(N241,setup!$A$8:$H$58,5),VLOOKUP(N241,setup!$A$8:$H$58,6),VLOOKUP(N241,setup!$A$8:$H$58,7), VLOOKUP(0,setup!$A$8:$H$58,2),VLOOKUP(0,setup!$A$8:$H$58,5),VLOOKUP(N241,setup!$A$8:$H$58,8))</f>
        <v/>
      </c>
    </row>
    <row r="242" spans="1:15" x14ac:dyDescent="0.25">
      <c r="A242" s="2"/>
      <c r="O242" s="7" t="str">
        <f ca="1">getCodigoBackend(N242,A242,VLOOKUP(N242,setup!$A$8:$H$58,2),VLOOKUP(N242,setup!$A$8:$H$58,3),VLOOKUP(N242,setup!$A$8:$H$58,4),VLOOKUP(N242,setup!$A$8:$H$58,5),VLOOKUP(N242,setup!$A$8:$H$58,6),VLOOKUP(N242,setup!$A$8:$H$58,7), VLOOKUP(0,setup!$A$8:$H$58,2),VLOOKUP(0,setup!$A$8:$H$58,5),VLOOKUP(N242,setup!$A$8:$H$58,8))</f>
        <v/>
      </c>
    </row>
    <row r="243" spans="1:15" x14ac:dyDescent="0.25">
      <c r="A243" s="2"/>
      <c r="O243" s="7" t="str">
        <f ca="1">getCodigoBackend(N243,A243,VLOOKUP(N243,setup!$A$8:$H$58,2),VLOOKUP(N243,setup!$A$8:$H$58,3),VLOOKUP(N243,setup!$A$8:$H$58,4),VLOOKUP(N243,setup!$A$8:$H$58,5),VLOOKUP(N243,setup!$A$8:$H$58,6),VLOOKUP(N243,setup!$A$8:$H$58,7), VLOOKUP(0,setup!$A$8:$H$58,2),VLOOKUP(0,setup!$A$8:$H$58,5),VLOOKUP(N243,setup!$A$8:$H$58,8))</f>
        <v/>
      </c>
    </row>
    <row r="244" spans="1:15" x14ac:dyDescent="0.25">
      <c r="A244" s="3"/>
      <c r="O244" s="7" t="str">
        <f ca="1">getCodigoBackend(N244,A244,VLOOKUP(N244,setup!$A$8:$H$58,2),VLOOKUP(N244,setup!$A$8:$H$58,3),VLOOKUP(N244,setup!$A$8:$H$58,4),VLOOKUP(N244,setup!$A$8:$H$58,5),VLOOKUP(N244,setup!$A$8:$H$58,6),VLOOKUP(N244,setup!$A$8:$H$58,7), VLOOKUP(0,setup!$A$8:$H$58,2),VLOOKUP(0,setup!$A$8:$H$58,5),VLOOKUP(N244,setup!$A$8:$H$58,8))</f>
        <v/>
      </c>
    </row>
    <row r="245" spans="1:15" x14ac:dyDescent="0.25">
      <c r="A245" s="2"/>
      <c r="O245" s="7" t="str">
        <f ca="1">getCodigoBackend(N245,A245,VLOOKUP(N245,setup!$A$8:$H$58,2),VLOOKUP(N245,setup!$A$8:$H$58,3),VLOOKUP(N245,setup!$A$8:$H$58,4),VLOOKUP(N245,setup!$A$8:$H$58,5),VLOOKUP(N245,setup!$A$8:$H$58,6),VLOOKUP(N245,setup!$A$8:$H$58,7), VLOOKUP(0,setup!$A$8:$H$58,2),VLOOKUP(0,setup!$A$8:$H$58,5),VLOOKUP(N245,setup!$A$8:$H$58,8))</f>
        <v/>
      </c>
    </row>
    <row r="246" spans="1:15" x14ac:dyDescent="0.25">
      <c r="A246" s="6"/>
      <c r="O246" s="7" t="str">
        <f ca="1">getCodigoBackend(N246,A246,VLOOKUP(N246,setup!$A$8:$H$58,2),VLOOKUP(N246,setup!$A$8:$H$58,3),VLOOKUP(N246,setup!$A$8:$H$58,4),VLOOKUP(N246,setup!$A$8:$H$58,5),VLOOKUP(N246,setup!$A$8:$H$58,6),VLOOKUP(N246,setup!$A$8:$H$58,7), VLOOKUP(0,setup!$A$8:$H$58,2),VLOOKUP(0,setup!$A$8:$H$58,5),VLOOKUP(N246,setup!$A$8:$H$58,8))</f>
        <v/>
      </c>
    </row>
    <row r="247" spans="1:15" x14ac:dyDescent="0.25">
      <c r="A247" s="5"/>
      <c r="O247" s="7" t="str">
        <f ca="1">getCodigoBackend(N247,A247,VLOOKUP(N247,setup!$A$8:$H$58,2),VLOOKUP(N247,setup!$A$8:$H$58,3),VLOOKUP(N247,setup!$A$8:$H$58,4),VLOOKUP(N247,setup!$A$8:$H$58,5),VLOOKUP(N247,setup!$A$8:$H$58,6),VLOOKUP(N247,setup!$A$8:$H$58,7), VLOOKUP(0,setup!$A$8:$H$58,2),VLOOKUP(0,setup!$A$8:$H$58,5),VLOOKUP(N247,setup!$A$8:$H$58,8))</f>
        <v/>
      </c>
    </row>
    <row r="248" spans="1:15" x14ac:dyDescent="0.25">
      <c r="A248" s="6"/>
      <c r="O248" s="7" t="str">
        <f ca="1">getCodigoBackend(N248,A248,VLOOKUP(N248,setup!$A$8:$H$58,2),VLOOKUP(N248,setup!$A$8:$H$58,3),VLOOKUP(N248,setup!$A$8:$H$58,4),VLOOKUP(N248,setup!$A$8:$H$58,5),VLOOKUP(N248,setup!$A$8:$H$58,6),VLOOKUP(N248,setup!$A$8:$H$58,7), VLOOKUP(0,setup!$A$8:$H$58,2),VLOOKUP(0,setup!$A$8:$H$58,5),VLOOKUP(N248,setup!$A$8:$H$58,8))</f>
        <v/>
      </c>
    </row>
    <row r="249" spans="1:15" x14ac:dyDescent="0.25">
      <c r="A249" s="10"/>
      <c r="O249" s="7" t="str">
        <f ca="1">getCodigoBackend(N249,A249,VLOOKUP(N249,setup!$A$8:$H$58,2),VLOOKUP(N249,setup!$A$8:$H$58,3),VLOOKUP(N249,setup!$A$8:$H$58,4),VLOOKUP(N249,setup!$A$8:$H$58,5),VLOOKUP(N249,setup!$A$8:$H$58,6),VLOOKUP(N249,setup!$A$8:$H$58,7), VLOOKUP(0,setup!$A$8:$H$58,2),VLOOKUP(0,setup!$A$8:$H$58,5),VLOOKUP(N249,setup!$A$8:$H$58,8))</f>
        <v/>
      </c>
    </row>
    <row r="250" spans="1:15" x14ac:dyDescent="0.25">
      <c r="A250" s="10"/>
      <c r="O250" s="7" t="str">
        <f ca="1">getCodigoBackend(N250,A250,VLOOKUP(N250,setup!$A$8:$H$58,2),VLOOKUP(N250,setup!$A$8:$H$58,3),VLOOKUP(N250,setup!$A$8:$H$58,4),VLOOKUP(N250,setup!$A$8:$H$58,5),VLOOKUP(N250,setup!$A$8:$H$58,6),VLOOKUP(N250,setup!$A$8:$H$58,7), VLOOKUP(0,setup!$A$8:$H$58,2),VLOOKUP(0,setup!$A$8:$H$58,5),VLOOKUP(N250,setup!$A$8:$H$58,8))</f>
        <v/>
      </c>
    </row>
    <row r="251" spans="1:15" x14ac:dyDescent="0.25">
      <c r="A251" s="10"/>
      <c r="O251" s="7" t="str">
        <f ca="1">getCodigoBackend(N251,A251,VLOOKUP(N251,setup!$A$8:$H$58,2),VLOOKUP(N251,setup!$A$8:$H$58,3),VLOOKUP(N251,setup!$A$8:$H$58,4),VLOOKUP(N251,setup!$A$8:$H$58,5),VLOOKUP(N251,setup!$A$8:$H$58,6),VLOOKUP(N251,setup!$A$8:$H$58,7), VLOOKUP(0,setup!$A$8:$H$58,2),VLOOKUP(0,setup!$A$8:$H$58,5),VLOOKUP(N251,setup!$A$8:$H$58,8))</f>
        <v/>
      </c>
    </row>
    <row r="252" spans="1:15" x14ac:dyDescent="0.25">
      <c r="A252" s="10"/>
      <c r="O252" s="7" t="str">
        <f ca="1">getCodigoBackend(N252,A252,VLOOKUP(N252,setup!$A$8:$H$58,2),VLOOKUP(N252,setup!$A$8:$H$58,3),VLOOKUP(N252,setup!$A$8:$H$58,4),VLOOKUP(N252,setup!$A$8:$H$58,5),VLOOKUP(N252,setup!$A$8:$H$58,6),VLOOKUP(N252,setup!$A$8:$H$58,7), VLOOKUP(0,setup!$A$8:$H$58,2),VLOOKUP(0,setup!$A$8:$H$58,5),VLOOKUP(N252,setup!$A$8:$H$58,8))</f>
        <v/>
      </c>
    </row>
    <row r="253" spans="1:15" x14ac:dyDescent="0.25">
      <c r="A253" s="10"/>
      <c r="O253" s="7" t="str">
        <f ca="1">getCodigoBackend(N253,A253,VLOOKUP(N253,setup!$A$8:$H$58,2),VLOOKUP(N253,setup!$A$8:$H$58,3),VLOOKUP(N253,setup!$A$8:$H$58,4),VLOOKUP(N253,setup!$A$8:$H$58,5),VLOOKUP(N253,setup!$A$8:$H$58,6),VLOOKUP(N253,setup!$A$8:$H$58,7), VLOOKUP(0,setup!$A$8:$H$58,2),VLOOKUP(0,setup!$A$8:$H$58,5),VLOOKUP(N253,setup!$A$8:$H$58,8))</f>
        <v/>
      </c>
    </row>
    <row r="254" spans="1:15" x14ac:dyDescent="0.25">
      <c r="A254" s="10"/>
      <c r="O254" s="7" t="str">
        <f ca="1">getCodigoBackend(N254,A254,VLOOKUP(N254,setup!$A$8:$H$58,2),VLOOKUP(N254,setup!$A$8:$H$58,3),VLOOKUP(N254,setup!$A$8:$H$58,4),VLOOKUP(N254,setup!$A$8:$H$58,5),VLOOKUP(N254,setup!$A$8:$H$58,6),VLOOKUP(N254,setup!$A$8:$H$58,7), VLOOKUP(0,setup!$A$8:$H$58,2),VLOOKUP(0,setup!$A$8:$H$58,5),VLOOKUP(N254,setup!$A$8:$H$58,8))</f>
        <v/>
      </c>
    </row>
    <row r="255" spans="1:15" x14ac:dyDescent="0.25">
      <c r="A255" s="10"/>
      <c r="O255" s="7" t="str">
        <f ca="1">getCodigoBackend(N255,A255,VLOOKUP(N255,setup!$A$8:$H$58,2),VLOOKUP(N255,setup!$A$8:$H$58,3),VLOOKUP(N255,setup!$A$8:$H$58,4),VLOOKUP(N255,setup!$A$8:$H$58,5),VLOOKUP(N255,setup!$A$8:$H$58,6),VLOOKUP(N255,setup!$A$8:$H$58,7), VLOOKUP(0,setup!$A$8:$H$58,2),VLOOKUP(0,setup!$A$8:$H$58,5),VLOOKUP(N255,setup!$A$8:$H$58,8))</f>
        <v/>
      </c>
    </row>
    <row r="256" spans="1:15" x14ac:dyDescent="0.25">
      <c r="A256" s="10"/>
      <c r="O256" s="7" t="str">
        <f ca="1">getCodigoBackend(N256,A256,VLOOKUP(N256,setup!$A$8:$H$58,2),VLOOKUP(N256,setup!$A$8:$H$58,3),VLOOKUP(N256,setup!$A$8:$H$58,4),VLOOKUP(N256,setup!$A$8:$H$58,5),VLOOKUP(N256,setup!$A$8:$H$58,6),VLOOKUP(N256,setup!$A$8:$H$58,7), VLOOKUP(0,setup!$A$8:$H$58,2),VLOOKUP(0,setup!$A$8:$H$58,5),VLOOKUP(N256,setup!$A$8:$H$58,8))</f>
        <v/>
      </c>
    </row>
    <row r="257" spans="1:15" x14ac:dyDescent="0.25">
      <c r="A257" s="10"/>
      <c r="O257" s="7" t="str">
        <f ca="1">getCodigoBackend(N257,A257,VLOOKUP(N257,setup!$A$8:$H$58,2),VLOOKUP(N257,setup!$A$8:$H$58,3),VLOOKUP(N257,setup!$A$8:$H$58,4),VLOOKUP(N257,setup!$A$8:$H$58,5),VLOOKUP(N257,setup!$A$8:$H$58,6),VLOOKUP(N257,setup!$A$8:$H$58,7), VLOOKUP(0,setup!$A$8:$H$58,2),VLOOKUP(0,setup!$A$8:$H$58,5),VLOOKUP(N257,setup!$A$8:$H$58,8))</f>
        <v/>
      </c>
    </row>
    <row r="258" spans="1:15" x14ac:dyDescent="0.25">
      <c r="A258" s="10"/>
      <c r="O258" s="7" t="str">
        <f ca="1">getCodigoBackend(N258,A258,VLOOKUP(N258,setup!$A$8:$H$58,2),VLOOKUP(N258,setup!$A$8:$H$58,3),VLOOKUP(N258,setup!$A$8:$H$58,4),VLOOKUP(N258,setup!$A$8:$H$58,5),VLOOKUP(N258,setup!$A$8:$H$58,6),VLOOKUP(N258,setup!$A$8:$H$58,7), VLOOKUP(0,setup!$A$8:$H$58,2),VLOOKUP(0,setup!$A$8:$H$58,5),VLOOKUP(N258,setup!$A$8:$H$58,8))</f>
        <v/>
      </c>
    </row>
    <row r="259" spans="1:15" x14ac:dyDescent="0.25">
      <c r="A259" s="10"/>
      <c r="O259" s="7" t="str">
        <f ca="1">getCodigoBackend(N259,A259,VLOOKUP(N259,setup!$A$8:$H$58,2),VLOOKUP(N259,setup!$A$8:$H$58,3),VLOOKUP(N259,setup!$A$8:$H$58,4),VLOOKUP(N259,setup!$A$8:$H$58,5),VLOOKUP(N259,setup!$A$8:$H$58,6),VLOOKUP(N259,setup!$A$8:$H$58,7), VLOOKUP(0,setup!$A$8:$H$58,2),VLOOKUP(0,setup!$A$8:$H$58,5),VLOOKUP(N259,setup!$A$8:$H$58,8))</f>
        <v/>
      </c>
    </row>
    <row r="260" spans="1:15" x14ac:dyDescent="0.25">
      <c r="A260" s="10"/>
      <c r="O260" s="7" t="str">
        <f ca="1">getCodigoBackend(N260,A260,VLOOKUP(N260,setup!$A$8:$H$58,2),VLOOKUP(N260,setup!$A$8:$H$58,3),VLOOKUP(N260,setup!$A$8:$H$58,4),VLOOKUP(N260,setup!$A$8:$H$58,5),VLOOKUP(N260,setup!$A$8:$H$58,6),VLOOKUP(N260,setup!$A$8:$H$58,7), VLOOKUP(0,setup!$A$8:$H$58,2),VLOOKUP(0,setup!$A$8:$H$58,5),VLOOKUP(N260,setup!$A$8:$H$58,8))</f>
        <v/>
      </c>
    </row>
    <row r="261" spans="1:15" x14ac:dyDescent="0.25">
      <c r="A261" s="10"/>
      <c r="O261" s="7" t="str">
        <f ca="1">getCodigoBackend(N261,A261,VLOOKUP(N261,setup!$A$8:$H$58,2),VLOOKUP(N261,setup!$A$8:$H$58,3),VLOOKUP(N261,setup!$A$8:$H$58,4),VLOOKUP(N261,setup!$A$8:$H$58,5),VLOOKUP(N261,setup!$A$8:$H$58,6),VLOOKUP(N261,setup!$A$8:$H$58,7), VLOOKUP(0,setup!$A$8:$H$58,2),VLOOKUP(0,setup!$A$8:$H$58,5),VLOOKUP(N261,setup!$A$8:$H$58,8))</f>
        <v/>
      </c>
    </row>
    <row r="262" spans="1:15" x14ac:dyDescent="0.25">
      <c r="A262" s="10"/>
      <c r="O262" s="7" t="str">
        <f ca="1">getCodigoBackend(N262,A262,VLOOKUP(N262,setup!$A$8:$H$58,2),VLOOKUP(N262,setup!$A$8:$H$58,3),VLOOKUP(N262,setup!$A$8:$H$58,4),VLOOKUP(N262,setup!$A$8:$H$58,5),VLOOKUP(N262,setup!$A$8:$H$58,6),VLOOKUP(N262,setup!$A$8:$H$58,7), VLOOKUP(0,setup!$A$8:$H$58,2),VLOOKUP(0,setup!$A$8:$H$58,5),VLOOKUP(N262,setup!$A$8:$H$58,8))</f>
        <v/>
      </c>
    </row>
    <row r="263" spans="1:15" x14ac:dyDescent="0.25">
      <c r="A263" s="10"/>
      <c r="O263" s="7" t="str">
        <f ca="1">getCodigoBackend(N263,A263,VLOOKUP(N263,setup!$A$8:$H$58,2),VLOOKUP(N263,setup!$A$8:$H$58,3),VLOOKUP(N263,setup!$A$8:$H$58,4),VLOOKUP(N263,setup!$A$8:$H$58,5),VLOOKUP(N263,setup!$A$8:$H$58,6),VLOOKUP(N263,setup!$A$8:$H$58,7), VLOOKUP(0,setup!$A$8:$H$58,2),VLOOKUP(0,setup!$A$8:$H$58,5),VLOOKUP(N263,setup!$A$8:$H$58,8))</f>
        <v/>
      </c>
    </row>
    <row r="264" spans="1:15" x14ac:dyDescent="0.25">
      <c r="A264" s="10"/>
      <c r="O264" s="7" t="str">
        <f ca="1">getCodigoBackend(N264,A264,VLOOKUP(N264,setup!$A$8:$H$58,2),VLOOKUP(N264,setup!$A$8:$H$58,3),VLOOKUP(N264,setup!$A$8:$H$58,4),VLOOKUP(N264,setup!$A$8:$H$58,5),VLOOKUP(N264,setup!$A$8:$H$58,6),VLOOKUP(N264,setup!$A$8:$H$58,7), VLOOKUP(0,setup!$A$8:$H$58,2),VLOOKUP(0,setup!$A$8:$H$58,5),VLOOKUP(N264,setup!$A$8:$H$58,8))</f>
        <v/>
      </c>
    </row>
    <row r="265" spans="1:15" x14ac:dyDescent="0.25">
      <c r="A265" s="10"/>
      <c r="O265" s="7" t="str">
        <f ca="1">getCodigoBackend(N265,A265,VLOOKUP(N265,setup!$A$8:$H$58,2),VLOOKUP(N265,setup!$A$8:$H$58,3),VLOOKUP(N265,setup!$A$8:$H$58,4),VLOOKUP(N265,setup!$A$8:$H$58,5),VLOOKUP(N265,setup!$A$8:$H$58,6),VLOOKUP(N265,setup!$A$8:$H$58,7), VLOOKUP(0,setup!$A$8:$H$58,2),VLOOKUP(0,setup!$A$8:$H$58,5),VLOOKUP(N265,setup!$A$8:$H$58,8))</f>
        <v/>
      </c>
    </row>
    <row r="266" spans="1:15" x14ac:dyDescent="0.25">
      <c r="A266" s="10"/>
      <c r="O266" s="7" t="str">
        <f ca="1">getCodigoBackend(N266,A266,VLOOKUP(N266,setup!$A$8:$H$58,2),VLOOKUP(N266,setup!$A$8:$H$58,3),VLOOKUP(N266,setup!$A$8:$H$58,4),VLOOKUP(N266,setup!$A$8:$H$58,5),VLOOKUP(N266,setup!$A$8:$H$58,6),VLOOKUP(N266,setup!$A$8:$H$58,7), VLOOKUP(0,setup!$A$8:$H$58,2),VLOOKUP(0,setup!$A$8:$H$58,5),VLOOKUP(N266,setup!$A$8:$H$58,8))</f>
        <v/>
      </c>
    </row>
    <row r="267" spans="1:15" x14ac:dyDescent="0.25">
      <c r="A267" s="10"/>
      <c r="O267" s="7" t="str">
        <f ca="1">getCodigoBackend(N267,A267,VLOOKUP(N267,setup!$A$8:$H$58,2),VLOOKUP(N267,setup!$A$8:$H$58,3),VLOOKUP(N267,setup!$A$8:$H$58,4),VLOOKUP(N267,setup!$A$8:$H$58,5),VLOOKUP(N267,setup!$A$8:$H$58,6),VLOOKUP(N267,setup!$A$8:$H$58,7), VLOOKUP(0,setup!$A$8:$H$58,2),VLOOKUP(0,setup!$A$8:$H$58,5),VLOOKUP(N267,setup!$A$8:$H$58,8))</f>
        <v/>
      </c>
    </row>
    <row r="268" spans="1:15" x14ac:dyDescent="0.25">
      <c r="A268" s="10"/>
      <c r="O268" s="7" t="str">
        <f ca="1">getCodigoBackend(N268,A268,VLOOKUP(N268,setup!$A$8:$H$58,2),VLOOKUP(N268,setup!$A$8:$H$58,3),VLOOKUP(N268,setup!$A$8:$H$58,4),VLOOKUP(N268,setup!$A$8:$H$58,5),VLOOKUP(N268,setup!$A$8:$H$58,6),VLOOKUP(N268,setup!$A$8:$H$58,7), VLOOKUP(0,setup!$A$8:$H$58,2),VLOOKUP(0,setup!$A$8:$H$58,5),VLOOKUP(N268,setup!$A$8:$H$58,8))</f>
        <v/>
      </c>
    </row>
    <row r="269" spans="1:15" x14ac:dyDescent="0.25">
      <c r="A269" s="10"/>
      <c r="O269" s="7" t="str">
        <f ca="1">getCodigoBackend(N269,A269,VLOOKUP(N269,setup!$A$8:$H$58,2),VLOOKUP(N269,setup!$A$8:$H$58,3),VLOOKUP(N269,setup!$A$8:$H$58,4),VLOOKUP(N269,setup!$A$8:$H$58,5),VLOOKUP(N269,setup!$A$8:$H$58,6),VLOOKUP(N269,setup!$A$8:$H$58,7), VLOOKUP(0,setup!$A$8:$H$58,2),VLOOKUP(0,setup!$A$8:$H$58,5),VLOOKUP(N269,setup!$A$8:$H$58,8))</f>
        <v/>
      </c>
    </row>
    <row r="270" spans="1:15" x14ac:dyDescent="0.25">
      <c r="A270" s="10"/>
      <c r="O270" s="7" t="str">
        <f ca="1">getCodigoBackend(N270,A270,VLOOKUP(N270,setup!$A$8:$H$58,2),VLOOKUP(N270,setup!$A$8:$H$58,3),VLOOKUP(N270,setup!$A$8:$H$58,4),VLOOKUP(N270,setup!$A$8:$H$58,5),VLOOKUP(N270,setup!$A$8:$H$58,6),VLOOKUP(N270,setup!$A$8:$H$58,7), VLOOKUP(0,setup!$A$8:$H$58,2),VLOOKUP(0,setup!$A$8:$H$58,5),VLOOKUP(N270,setup!$A$8:$H$58,8))</f>
        <v/>
      </c>
    </row>
    <row r="271" spans="1:15" x14ac:dyDescent="0.25">
      <c r="A271" s="10"/>
      <c r="O271" s="7" t="str">
        <f ca="1">getCodigoBackend(N271,A271,VLOOKUP(N271,setup!$A$8:$H$58,2),VLOOKUP(N271,setup!$A$8:$H$58,3),VLOOKUP(N271,setup!$A$8:$H$58,4),VLOOKUP(N271,setup!$A$8:$H$58,5),VLOOKUP(N271,setup!$A$8:$H$58,6),VLOOKUP(N271,setup!$A$8:$H$58,7), VLOOKUP(0,setup!$A$8:$H$58,2),VLOOKUP(0,setup!$A$8:$H$58,5),VLOOKUP(N271,setup!$A$8:$H$58,8))</f>
        <v/>
      </c>
    </row>
    <row r="272" spans="1:15" x14ac:dyDescent="0.25">
      <c r="A272" s="10"/>
      <c r="O272" s="7" t="str">
        <f ca="1">getCodigoBackend(N272,A272,VLOOKUP(N272,setup!$A$8:$H$58,2),VLOOKUP(N272,setup!$A$8:$H$58,3),VLOOKUP(N272,setup!$A$8:$H$58,4),VLOOKUP(N272,setup!$A$8:$H$58,5),VLOOKUP(N272,setup!$A$8:$H$58,6),VLOOKUP(N272,setup!$A$8:$H$58,7), VLOOKUP(0,setup!$A$8:$H$58,2),VLOOKUP(0,setup!$A$8:$H$58,5),VLOOKUP(N272,setup!$A$8:$H$58,8))</f>
        <v/>
      </c>
    </row>
    <row r="273" spans="1:15" x14ac:dyDescent="0.25">
      <c r="A273" s="10"/>
      <c r="O273" s="7" t="str">
        <f ca="1">getCodigoBackend(N273,A273,VLOOKUP(N273,setup!$A$8:$H$58,2),VLOOKUP(N273,setup!$A$8:$H$58,3),VLOOKUP(N273,setup!$A$8:$H$58,4),VLOOKUP(N273,setup!$A$8:$H$58,5),VLOOKUP(N273,setup!$A$8:$H$58,6),VLOOKUP(N273,setup!$A$8:$H$58,7), VLOOKUP(0,setup!$A$8:$H$58,2),VLOOKUP(0,setup!$A$8:$H$58,5),VLOOKUP(N273,setup!$A$8:$H$58,8))</f>
        <v/>
      </c>
    </row>
    <row r="274" spans="1:15" x14ac:dyDescent="0.25">
      <c r="A274" s="10"/>
      <c r="O274" s="7" t="str">
        <f ca="1">getCodigoBackend(N274,A274,VLOOKUP(N274,setup!$A$8:$H$58,2),VLOOKUP(N274,setup!$A$8:$H$58,3),VLOOKUP(N274,setup!$A$8:$H$58,4),VLOOKUP(N274,setup!$A$8:$H$58,5),VLOOKUP(N274,setup!$A$8:$H$58,6),VLOOKUP(N274,setup!$A$8:$H$58,7), VLOOKUP(0,setup!$A$8:$H$58,2),VLOOKUP(0,setup!$A$8:$H$58,5),VLOOKUP(N274,setup!$A$8:$H$58,8))</f>
        <v/>
      </c>
    </row>
    <row r="275" spans="1:15" x14ac:dyDescent="0.25">
      <c r="A275" s="10"/>
      <c r="O275" s="7" t="str">
        <f ca="1">getCodigoBackend(N275,A275,VLOOKUP(N275,setup!$A$8:$H$58,2),VLOOKUP(N275,setup!$A$8:$H$58,3),VLOOKUP(N275,setup!$A$8:$H$58,4),VLOOKUP(N275,setup!$A$8:$H$58,5),VLOOKUP(N275,setup!$A$8:$H$58,6),VLOOKUP(N275,setup!$A$8:$H$58,7), VLOOKUP(0,setup!$A$8:$H$58,2),VLOOKUP(0,setup!$A$8:$H$58,5),VLOOKUP(N275,setup!$A$8:$H$58,8))</f>
        <v/>
      </c>
    </row>
    <row r="276" spans="1:15" x14ac:dyDescent="0.25">
      <c r="A276" s="10"/>
      <c r="O276" s="7" t="str">
        <f ca="1">getCodigoBackend(N276,A276,VLOOKUP(N276,setup!$A$8:$H$58,2),VLOOKUP(N276,setup!$A$8:$H$58,3),VLOOKUP(N276,setup!$A$8:$H$58,4),VLOOKUP(N276,setup!$A$8:$H$58,5),VLOOKUP(N276,setup!$A$8:$H$58,6),VLOOKUP(N276,setup!$A$8:$H$58,7), VLOOKUP(0,setup!$A$8:$H$58,2),VLOOKUP(0,setup!$A$8:$H$58,5),VLOOKUP(N276,setup!$A$8:$H$58,8))</f>
        <v/>
      </c>
    </row>
    <row r="277" spans="1:15" x14ac:dyDescent="0.25">
      <c r="A277" s="10"/>
      <c r="O277" s="7" t="str">
        <f ca="1">getCodigoBackend(N277,A277,VLOOKUP(N277,setup!$A$8:$H$58,2),VLOOKUP(N277,setup!$A$8:$H$58,3),VLOOKUP(N277,setup!$A$8:$H$58,4),VLOOKUP(N277,setup!$A$8:$H$58,5),VLOOKUP(N277,setup!$A$8:$H$58,6),VLOOKUP(N277,setup!$A$8:$H$58,7), VLOOKUP(0,setup!$A$8:$H$58,2),VLOOKUP(0,setup!$A$8:$H$58,5),VLOOKUP(N277,setup!$A$8:$H$58,8))</f>
        <v/>
      </c>
    </row>
    <row r="278" spans="1:15" x14ac:dyDescent="0.25">
      <c r="A278" s="10"/>
      <c r="O278" s="7" t="str">
        <f ca="1">getCodigoBackend(N278,A278,VLOOKUP(N278,setup!$A$8:$H$58,2),VLOOKUP(N278,setup!$A$8:$H$58,3),VLOOKUP(N278,setup!$A$8:$H$58,4),VLOOKUP(N278,setup!$A$8:$H$58,5),VLOOKUP(N278,setup!$A$8:$H$58,6),VLOOKUP(N278,setup!$A$8:$H$58,7), VLOOKUP(0,setup!$A$8:$H$58,2),VLOOKUP(0,setup!$A$8:$H$58,5),VLOOKUP(N278,setup!$A$8:$H$58,8))</f>
        <v/>
      </c>
    </row>
    <row r="279" spans="1:15" x14ac:dyDescent="0.25">
      <c r="A279" s="10"/>
      <c r="O279" s="7" t="str">
        <f ca="1">getCodigoBackend(N279,A279,VLOOKUP(N279,setup!$A$8:$H$58,2),VLOOKUP(N279,setup!$A$8:$H$58,3),VLOOKUP(N279,setup!$A$8:$H$58,4),VLOOKUP(N279,setup!$A$8:$H$58,5),VLOOKUP(N279,setup!$A$8:$H$58,6),VLOOKUP(N279,setup!$A$8:$H$58,7), VLOOKUP(0,setup!$A$8:$H$58,2),VLOOKUP(0,setup!$A$8:$H$58,5),VLOOKUP(N279,setup!$A$8:$H$58,8))</f>
        <v/>
      </c>
    </row>
    <row r="280" spans="1:15" x14ac:dyDescent="0.25">
      <c r="A280" s="10"/>
      <c r="O280" s="7" t="str">
        <f ca="1">getCodigoBackend(N280,A280,VLOOKUP(N280,setup!$A$8:$H$58,2),VLOOKUP(N280,setup!$A$8:$H$58,3),VLOOKUP(N280,setup!$A$8:$H$58,4),VLOOKUP(N280,setup!$A$8:$H$58,5),VLOOKUP(N280,setup!$A$8:$H$58,6),VLOOKUP(N280,setup!$A$8:$H$58,7), VLOOKUP(0,setup!$A$8:$H$58,2),VLOOKUP(0,setup!$A$8:$H$58,5),VLOOKUP(N280,setup!$A$8:$H$58,8))</f>
        <v/>
      </c>
    </row>
    <row r="281" spans="1:15" x14ac:dyDescent="0.25">
      <c r="A281" s="10"/>
      <c r="O281" s="7" t="str">
        <f ca="1">getCodigoBackend(N281,A281,VLOOKUP(N281,setup!$A$8:$H$58,2),VLOOKUP(N281,setup!$A$8:$H$58,3),VLOOKUP(N281,setup!$A$8:$H$58,4),VLOOKUP(N281,setup!$A$8:$H$58,5),VLOOKUP(N281,setup!$A$8:$H$58,6),VLOOKUP(N281,setup!$A$8:$H$58,7), VLOOKUP(0,setup!$A$8:$H$58,2),VLOOKUP(0,setup!$A$8:$H$58,5),VLOOKUP(N281,setup!$A$8:$H$58,8))</f>
        <v/>
      </c>
    </row>
    <row r="282" spans="1:15" x14ac:dyDescent="0.25">
      <c r="A282" s="10"/>
      <c r="O282" s="7" t="str">
        <f ca="1">getCodigoBackend(N282,A282,VLOOKUP(N282,setup!$A$8:$H$58,2),VLOOKUP(N282,setup!$A$8:$H$58,3),VLOOKUP(N282,setup!$A$8:$H$58,4),VLOOKUP(N282,setup!$A$8:$H$58,5),VLOOKUP(N282,setup!$A$8:$H$58,6),VLOOKUP(N282,setup!$A$8:$H$58,7), VLOOKUP(0,setup!$A$8:$H$58,2),VLOOKUP(0,setup!$A$8:$H$58,5),VLOOKUP(N282,setup!$A$8:$H$58,8))</f>
        <v/>
      </c>
    </row>
    <row r="283" spans="1:15" x14ac:dyDescent="0.25">
      <c r="A283" s="10"/>
      <c r="O283" s="7" t="str">
        <f ca="1">getCodigoBackend(N283,A283,VLOOKUP(N283,setup!$A$8:$H$58,2),VLOOKUP(N283,setup!$A$8:$H$58,3),VLOOKUP(N283,setup!$A$8:$H$58,4),VLOOKUP(N283,setup!$A$8:$H$58,5),VLOOKUP(N283,setup!$A$8:$H$58,6),VLOOKUP(N283,setup!$A$8:$H$58,7), VLOOKUP(0,setup!$A$8:$H$58,2),VLOOKUP(0,setup!$A$8:$H$58,5),VLOOKUP(N283,setup!$A$8:$H$58,8))</f>
        <v/>
      </c>
    </row>
    <row r="284" spans="1:15" x14ac:dyDescent="0.25">
      <c r="A284" s="10"/>
      <c r="O284" s="7" t="str">
        <f ca="1">getCodigoBackend(N284,A284,VLOOKUP(N284,setup!$A$8:$H$58,2),VLOOKUP(N284,setup!$A$8:$H$58,3),VLOOKUP(N284,setup!$A$8:$H$58,4),VLOOKUP(N284,setup!$A$8:$H$58,5),VLOOKUP(N284,setup!$A$8:$H$58,6),VLOOKUP(N284,setup!$A$8:$H$58,7), VLOOKUP(0,setup!$A$8:$H$58,2),VLOOKUP(0,setup!$A$8:$H$58,5),VLOOKUP(N284,setup!$A$8:$H$58,8))</f>
        <v/>
      </c>
    </row>
    <row r="285" spans="1:15" x14ac:dyDescent="0.25">
      <c r="A285" s="10"/>
      <c r="O285" s="7" t="str">
        <f ca="1">getCodigoBackend(N285,A285,VLOOKUP(N285,setup!$A$8:$H$58,2),VLOOKUP(N285,setup!$A$8:$H$58,3),VLOOKUP(N285,setup!$A$8:$H$58,4),VLOOKUP(N285,setup!$A$8:$H$58,5),VLOOKUP(N285,setup!$A$8:$H$58,6),VLOOKUP(N285,setup!$A$8:$H$58,7), VLOOKUP(0,setup!$A$8:$H$58,2),VLOOKUP(0,setup!$A$8:$H$58,5),VLOOKUP(N285,setup!$A$8:$H$58,8))</f>
        <v/>
      </c>
    </row>
    <row r="286" spans="1:15" x14ac:dyDescent="0.25">
      <c r="A286" s="10"/>
      <c r="O286" s="7" t="str">
        <f ca="1">getCodigoBackend(N286,A286,VLOOKUP(N286,setup!$A$8:$H$58,2),VLOOKUP(N286,setup!$A$8:$H$58,3),VLOOKUP(N286,setup!$A$8:$H$58,4),VLOOKUP(N286,setup!$A$8:$H$58,5),VLOOKUP(N286,setup!$A$8:$H$58,6),VLOOKUP(N286,setup!$A$8:$H$58,7), VLOOKUP(0,setup!$A$8:$H$58,2),VLOOKUP(0,setup!$A$8:$H$58,5),VLOOKUP(N286,setup!$A$8:$H$58,8))</f>
        <v/>
      </c>
    </row>
    <row r="287" spans="1:15" x14ac:dyDescent="0.25">
      <c r="A287" s="10"/>
      <c r="O287" s="7" t="str">
        <f ca="1">getCodigoBackend(N287,A287,VLOOKUP(N287,setup!$A$8:$H$58,2),VLOOKUP(N287,setup!$A$8:$H$58,3),VLOOKUP(N287,setup!$A$8:$H$58,4),VLOOKUP(N287,setup!$A$8:$H$58,5),VLOOKUP(N287,setup!$A$8:$H$58,6),VLOOKUP(N287,setup!$A$8:$H$58,7), VLOOKUP(0,setup!$A$8:$H$58,2),VLOOKUP(0,setup!$A$8:$H$58,5),VLOOKUP(N287,setup!$A$8:$H$58,8))</f>
        <v/>
      </c>
    </row>
    <row r="288" spans="1:15" x14ac:dyDescent="0.25">
      <c r="A288" s="10"/>
      <c r="O288" s="7" t="str">
        <f ca="1">getCodigoBackend(N288,A288,VLOOKUP(N288,setup!$A$8:$H$58,2),VLOOKUP(N288,setup!$A$8:$H$58,3),VLOOKUP(N288,setup!$A$8:$H$58,4),VLOOKUP(N288,setup!$A$8:$H$58,5),VLOOKUP(N288,setup!$A$8:$H$58,6),VLOOKUP(N288,setup!$A$8:$H$58,7), VLOOKUP(0,setup!$A$8:$H$58,2),VLOOKUP(0,setup!$A$8:$H$58,5),VLOOKUP(N288,setup!$A$8:$H$58,8))</f>
        <v/>
      </c>
    </row>
    <row r="289" spans="1:15" x14ac:dyDescent="0.25">
      <c r="A289" s="10"/>
      <c r="O289" s="7" t="str">
        <f ca="1">getCodigoBackend(N289,A289,VLOOKUP(N289,setup!$A$8:$H$58,2),VLOOKUP(N289,setup!$A$8:$H$58,3),VLOOKUP(N289,setup!$A$8:$H$58,4),VLOOKUP(N289,setup!$A$8:$H$58,5),VLOOKUP(N289,setup!$A$8:$H$58,6),VLOOKUP(N289,setup!$A$8:$H$58,7), VLOOKUP(0,setup!$A$8:$H$58,2),VLOOKUP(0,setup!$A$8:$H$58,5),VLOOKUP(N289,setup!$A$8:$H$58,8))</f>
        <v/>
      </c>
    </row>
    <row r="290" spans="1:15" x14ac:dyDescent="0.25">
      <c r="A290" s="10"/>
      <c r="O290" s="7" t="str">
        <f ca="1">getCodigoBackend(N290,A290,VLOOKUP(N290,setup!$A$8:$H$58,2),VLOOKUP(N290,setup!$A$8:$H$58,3),VLOOKUP(N290,setup!$A$8:$H$58,4),VLOOKUP(N290,setup!$A$8:$H$58,5),VLOOKUP(N290,setup!$A$8:$H$58,6),VLOOKUP(N290,setup!$A$8:$H$58,7), VLOOKUP(0,setup!$A$8:$H$58,2),VLOOKUP(0,setup!$A$8:$H$58,5),VLOOKUP(N290,setup!$A$8:$H$58,8))</f>
        <v/>
      </c>
    </row>
    <row r="291" spans="1:15" x14ac:dyDescent="0.25">
      <c r="A291" s="10"/>
      <c r="O291" s="7" t="str">
        <f ca="1">getCodigoBackend(N291,A291,VLOOKUP(N291,setup!$A$8:$H$58,2),VLOOKUP(N291,setup!$A$8:$H$58,3),VLOOKUP(N291,setup!$A$8:$H$58,4),VLOOKUP(N291,setup!$A$8:$H$58,5),VLOOKUP(N291,setup!$A$8:$H$58,6),VLOOKUP(N291,setup!$A$8:$H$58,7), VLOOKUP(0,setup!$A$8:$H$58,2),VLOOKUP(0,setup!$A$8:$H$58,5),VLOOKUP(N291,setup!$A$8:$H$58,8))</f>
        <v/>
      </c>
    </row>
    <row r="292" spans="1:15" x14ac:dyDescent="0.25">
      <c r="A292" s="10"/>
      <c r="O292" s="7" t="str">
        <f ca="1">getCodigoBackend(N292,A292,VLOOKUP(N292,setup!$A$8:$H$58,2),VLOOKUP(N292,setup!$A$8:$H$58,3),VLOOKUP(N292,setup!$A$8:$H$58,4),VLOOKUP(N292,setup!$A$8:$H$58,5),VLOOKUP(N292,setup!$A$8:$H$58,6),VLOOKUP(N292,setup!$A$8:$H$58,7), VLOOKUP(0,setup!$A$8:$H$58,2),VLOOKUP(0,setup!$A$8:$H$58,5),VLOOKUP(N292,setup!$A$8:$H$58,8))</f>
        <v/>
      </c>
    </row>
    <row r="293" spans="1:15" x14ac:dyDescent="0.25">
      <c r="A293" s="10"/>
      <c r="O293" s="7" t="str">
        <f ca="1">getCodigoBackend(N293,A293,VLOOKUP(N293,setup!$A$8:$H$58,2),VLOOKUP(N293,setup!$A$8:$H$58,3),VLOOKUP(N293,setup!$A$8:$H$58,4),VLOOKUP(N293,setup!$A$8:$H$58,5),VLOOKUP(N293,setup!$A$8:$H$58,6),VLOOKUP(N293,setup!$A$8:$H$58,7), VLOOKUP(0,setup!$A$8:$H$58,2),VLOOKUP(0,setup!$A$8:$H$58,5),VLOOKUP(N293,setup!$A$8:$H$58,8))</f>
        <v/>
      </c>
    </row>
    <row r="294" spans="1:15" x14ac:dyDescent="0.25">
      <c r="A294" s="10"/>
      <c r="O294" s="7" t="str">
        <f ca="1">getCodigoBackend(N294,A294,VLOOKUP(N294,setup!$A$8:$H$58,2),VLOOKUP(N294,setup!$A$8:$H$58,3),VLOOKUP(N294,setup!$A$8:$H$58,4),VLOOKUP(N294,setup!$A$8:$H$58,5),VLOOKUP(N294,setup!$A$8:$H$58,6),VLOOKUP(N294,setup!$A$8:$H$58,7), VLOOKUP(0,setup!$A$8:$H$58,2),VLOOKUP(0,setup!$A$8:$H$58,5),VLOOKUP(N294,setup!$A$8:$H$58,8))</f>
        <v/>
      </c>
    </row>
    <row r="295" spans="1:15" x14ac:dyDescent="0.25">
      <c r="A295" s="10"/>
      <c r="O295" s="7" t="str">
        <f ca="1">getCodigoBackend(N295,A295,VLOOKUP(N295,setup!$A$8:$H$58,2),VLOOKUP(N295,setup!$A$8:$H$58,3),VLOOKUP(N295,setup!$A$8:$H$58,4),VLOOKUP(N295,setup!$A$8:$H$58,5),VLOOKUP(N295,setup!$A$8:$H$58,6),VLOOKUP(N295,setup!$A$8:$H$58,7), VLOOKUP(0,setup!$A$8:$H$58,2),VLOOKUP(0,setup!$A$8:$H$58,5),VLOOKUP(N295,setup!$A$8:$H$58,8))</f>
        <v/>
      </c>
    </row>
    <row r="296" spans="1:15" x14ac:dyDescent="0.25">
      <c r="A296" s="10"/>
      <c r="O296" s="7" t="str">
        <f ca="1">getCodigoBackend(N296,A296,VLOOKUP(N296,setup!$A$8:$H$58,2),VLOOKUP(N296,setup!$A$8:$H$58,3),VLOOKUP(N296,setup!$A$8:$H$58,4),VLOOKUP(N296,setup!$A$8:$H$58,5),VLOOKUP(N296,setup!$A$8:$H$58,6),VLOOKUP(N296,setup!$A$8:$H$58,7), VLOOKUP(0,setup!$A$8:$H$58,2),VLOOKUP(0,setup!$A$8:$H$58,5),VLOOKUP(N296,setup!$A$8:$H$58,8))</f>
        <v/>
      </c>
    </row>
    <row r="297" spans="1:15" x14ac:dyDescent="0.25">
      <c r="A297" s="10"/>
      <c r="O297" s="7" t="str">
        <f ca="1">getCodigoBackend(N297,A297,VLOOKUP(N297,setup!$A$8:$H$58,2),VLOOKUP(N297,setup!$A$8:$H$58,3),VLOOKUP(N297,setup!$A$8:$H$58,4),VLOOKUP(N297,setup!$A$8:$H$58,5),VLOOKUP(N297,setup!$A$8:$H$58,6),VLOOKUP(N297,setup!$A$8:$H$58,7), VLOOKUP(0,setup!$A$8:$H$58,2),VLOOKUP(0,setup!$A$8:$H$58,5),VLOOKUP(N297,setup!$A$8:$H$58,8))</f>
        <v/>
      </c>
    </row>
    <row r="298" spans="1:15" x14ac:dyDescent="0.25">
      <c r="A298" s="10"/>
      <c r="O298" s="7" t="str">
        <f ca="1">getCodigoBackend(N298,A298,VLOOKUP(N298,setup!$A$8:$H$58,2),VLOOKUP(N298,setup!$A$8:$H$58,3),VLOOKUP(N298,setup!$A$8:$H$58,4),VLOOKUP(N298,setup!$A$8:$H$58,5),VLOOKUP(N298,setup!$A$8:$H$58,6),VLOOKUP(N298,setup!$A$8:$H$58,7), VLOOKUP(0,setup!$A$8:$H$58,2),VLOOKUP(0,setup!$A$8:$H$58,5),VLOOKUP(N298,setup!$A$8:$H$58,8))</f>
        <v/>
      </c>
    </row>
    <row r="299" spans="1:15" x14ac:dyDescent="0.25">
      <c r="A299" s="10"/>
      <c r="O299" s="7" t="str">
        <f ca="1">getCodigoBackend(N299,A299,VLOOKUP(N299,setup!$A$8:$H$58,2),VLOOKUP(N299,setup!$A$8:$H$58,3),VLOOKUP(N299,setup!$A$8:$H$58,4),VLOOKUP(N299,setup!$A$8:$H$58,5),VLOOKUP(N299,setup!$A$8:$H$58,6),VLOOKUP(N299,setup!$A$8:$H$58,7), VLOOKUP(0,setup!$A$8:$H$58,2),VLOOKUP(0,setup!$A$8:$H$58,5),VLOOKUP(N299,setup!$A$8:$H$58,8))</f>
        <v/>
      </c>
    </row>
    <row r="300" spans="1:15" x14ac:dyDescent="0.25">
      <c r="A300" s="1"/>
      <c r="O300" s="7" t="str">
        <f ca="1">getCodigoBackend(N300,A300,VLOOKUP(N300,setup!$A$8:$H$58,2),VLOOKUP(N300,setup!$A$8:$H$58,3),VLOOKUP(N300,setup!$A$8:$H$58,4),VLOOKUP(N300,setup!$A$8:$H$58,5),VLOOKUP(N300,setup!$A$8:$H$58,6),VLOOKUP(N300,setup!$A$8:$H$58,7), VLOOKUP(0,setup!$A$8:$H$58,2),VLOOKUP(0,setup!$A$8:$H$58,5),VLOOKUP(N300,setup!$A$8:$H$58,8))</f>
        <v/>
      </c>
    </row>
    <row r="301" spans="1:15" x14ac:dyDescent="0.25">
      <c r="A301" s="1"/>
      <c r="O301" s="7" t="str">
        <f ca="1">getCodigoBackend(N301,A301,VLOOKUP(N301,setup!$A$8:$H$58,2),VLOOKUP(N301,setup!$A$8:$H$58,3),VLOOKUP(N301,setup!$A$8:$H$58,4),VLOOKUP(N301,setup!$A$8:$H$58,5),VLOOKUP(N301,setup!$A$8:$H$58,6),VLOOKUP(N301,setup!$A$8:$H$58,7), VLOOKUP(0,setup!$A$8:$H$58,2),VLOOKUP(0,setup!$A$8:$H$58,5),VLOOKUP(N301,setup!$A$8:$H$58,8))</f>
        <v/>
      </c>
    </row>
    <row r="302" spans="1:15" x14ac:dyDescent="0.25">
      <c r="A302" s="1"/>
      <c r="O302" s="7" t="str">
        <f ca="1">getCodigoBackend(N302,A302,VLOOKUP(N302,setup!$A$8:$H$58,2),VLOOKUP(N302,setup!$A$8:$H$58,3),VLOOKUP(N302,setup!$A$8:$H$58,4),VLOOKUP(N302,setup!$A$8:$H$58,5),VLOOKUP(N302,setup!$A$8:$H$58,6),VLOOKUP(N302,setup!$A$8:$H$58,7), VLOOKUP(0,setup!$A$8:$H$58,2),VLOOKUP(0,setup!$A$8:$H$58,5),VLOOKUP(N302,setup!$A$8:$H$58,8))</f>
        <v/>
      </c>
    </row>
    <row r="303" spans="1:15" x14ac:dyDescent="0.25">
      <c r="A303" s="1"/>
      <c r="O303" s="7" t="str">
        <f ca="1">getCodigoBackend(N303,A303,VLOOKUP(N303,setup!$A$8:$H$58,2),VLOOKUP(N303,setup!$A$8:$H$58,3),VLOOKUP(N303,setup!$A$8:$H$58,4),VLOOKUP(N303,setup!$A$8:$H$58,5),VLOOKUP(N303,setup!$A$8:$H$58,6),VLOOKUP(N303,setup!$A$8:$H$58,7), VLOOKUP(0,setup!$A$8:$H$58,2),VLOOKUP(0,setup!$A$8:$H$58,5),VLOOKUP(N303,setup!$A$8:$H$58,8))</f>
        <v/>
      </c>
    </row>
    <row r="304" spans="1:15" x14ac:dyDescent="0.25">
      <c r="A304" s="6"/>
      <c r="O304" s="7" t="str">
        <f ca="1">getCodigoBackend(N304,A304,VLOOKUP(N304,setup!$A$8:$H$58,2),VLOOKUP(N304,setup!$A$8:$H$58,3),VLOOKUP(N304,setup!$A$8:$H$58,4),VLOOKUP(N304,setup!$A$8:$H$58,5),VLOOKUP(N304,setup!$A$8:$H$58,6),VLOOKUP(N304,setup!$A$8:$H$58,7), VLOOKUP(0,setup!$A$8:$H$58,2),VLOOKUP(0,setup!$A$8:$H$58,5),VLOOKUP(N304,setup!$A$8:$H$58,8))</f>
        <v/>
      </c>
    </row>
    <row r="305" spans="1:15" x14ac:dyDescent="0.25">
      <c r="A305" s="6"/>
      <c r="O305" s="7" t="str">
        <f ca="1">getCodigoBackend(N305,A305,VLOOKUP(N305,setup!$A$8:$H$58,2),VLOOKUP(N305,setup!$A$8:$H$58,3),VLOOKUP(N305,setup!$A$8:$H$58,4),VLOOKUP(N305,setup!$A$8:$H$58,5),VLOOKUP(N305,setup!$A$8:$H$58,6),VLOOKUP(N305,setup!$A$8:$H$58,7), VLOOKUP(0,setup!$A$8:$H$58,2),VLOOKUP(0,setup!$A$8:$H$58,5),VLOOKUP(N305,setup!$A$8:$H$58,8))</f>
        <v/>
      </c>
    </row>
    <row r="306" spans="1:15" x14ac:dyDescent="0.25">
      <c r="A306" s="3"/>
      <c r="O306" s="7" t="str">
        <f ca="1">getCodigoBackend(N306,A306,VLOOKUP(N306,setup!$A$8:$H$58,2),VLOOKUP(N306,setup!$A$8:$H$58,3),VLOOKUP(N306,setup!$A$8:$H$58,4),VLOOKUP(N306,setup!$A$8:$H$58,5),VLOOKUP(N306,setup!$A$8:$H$58,6),VLOOKUP(N306,setup!$A$8:$H$58,7), VLOOKUP(0,setup!$A$8:$H$58,2),VLOOKUP(0,setup!$A$8:$H$58,5),VLOOKUP(N306,setup!$A$8:$H$58,8))</f>
        <v/>
      </c>
    </row>
    <row r="307" spans="1:15" x14ac:dyDescent="0.25">
      <c r="A307" s="3"/>
      <c r="O307" s="7" t="str">
        <f ca="1">getCodigoBackend(N307,A307,VLOOKUP(N307,setup!$A$8:$H$58,2),VLOOKUP(N307,setup!$A$8:$H$58,3),VLOOKUP(N307,setup!$A$8:$H$58,4),VLOOKUP(N307,setup!$A$8:$H$58,5),VLOOKUP(N307,setup!$A$8:$H$58,6),VLOOKUP(N307,setup!$A$8:$H$58,7), VLOOKUP(0,setup!$A$8:$H$58,2),VLOOKUP(0,setup!$A$8:$H$58,5),VLOOKUP(N307,setup!$A$8:$H$58,8))</f>
        <v/>
      </c>
    </row>
    <row r="308" spans="1:15" x14ac:dyDescent="0.25">
      <c r="A308" s="6"/>
      <c r="O308" s="7" t="str">
        <f ca="1">getCodigoBackend(N308,A308,VLOOKUP(N308,setup!$A$8:$H$58,2),VLOOKUP(N308,setup!$A$8:$H$58,3),VLOOKUP(N308,setup!$A$8:$H$58,4),VLOOKUP(N308,setup!$A$8:$H$58,5),VLOOKUP(N308,setup!$A$8:$H$58,6),VLOOKUP(N308,setup!$A$8:$H$58,7), VLOOKUP(0,setup!$A$8:$H$58,2),VLOOKUP(0,setup!$A$8:$H$58,5),VLOOKUP(N308,setup!$A$8:$H$58,8))</f>
        <v/>
      </c>
    </row>
    <row r="309" spans="1:15" x14ac:dyDescent="0.25">
      <c r="A309" s="2"/>
      <c r="O309" s="7" t="str">
        <f ca="1">getCodigoBackend(N309,A309,VLOOKUP(N309,setup!$A$8:$H$58,2),VLOOKUP(N309,setup!$A$8:$H$58,3),VLOOKUP(N309,setup!$A$8:$H$58,4),VLOOKUP(N309,setup!$A$8:$H$58,5),VLOOKUP(N309,setup!$A$8:$H$58,6),VLOOKUP(N309,setup!$A$8:$H$58,7), VLOOKUP(0,setup!$A$8:$H$58,2),VLOOKUP(0,setup!$A$8:$H$58,5),VLOOKUP(N309,setup!$A$8:$H$58,8))</f>
        <v/>
      </c>
    </row>
    <row r="310" spans="1:15" x14ac:dyDescent="0.25">
      <c r="O310" t="str">
        <f>SUBSTITUTE(SUBSTITUTE(SUBSTITUTE(SUBSTITUTE(A310,"${dto}",setup!$C$3),"${pk}",setup!$E$8),"${tabela}",setup!$C$2),CONCATENATE("${",N310,"}"),VLOOKUP(N310,setup!$A$8:$E$58,5))</f>
        <v/>
      </c>
    </row>
    <row r="311" spans="1:15" x14ac:dyDescent="0.25">
      <c r="O311" t="str">
        <f>SUBSTITUTE(SUBSTITUTE(SUBSTITUTE(SUBSTITUTE(A311,"${dto}",setup!$C$3),"${pk}",setup!$E$8),"${tabela}",setup!$C$2),CONCATENATE("${",N311,"}"),VLOOKUP(N311,setup!$A$8:$E$58,5))</f>
        <v/>
      </c>
    </row>
    <row r="312" spans="1:15" x14ac:dyDescent="0.25">
      <c r="O312" t="str">
        <f>SUBSTITUTE(SUBSTITUTE(SUBSTITUTE(SUBSTITUTE(A312,"${dto}",setup!$C$3),"${pk}",setup!$E$8),"${tabela}",setup!$C$2),CONCATENATE("${",N312,"}"),VLOOKUP(N312,setup!$A$8:$E$58,5))</f>
        <v/>
      </c>
    </row>
    <row r="313" spans="1:15" x14ac:dyDescent="0.25">
      <c r="O313" t="str">
        <f>SUBSTITUTE(SUBSTITUTE(SUBSTITUTE(SUBSTITUTE(A313,"${dto}",setup!$C$3),"${pk}",setup!$E$8),"${tabela}",setup!$C$2),CONCATENATE("${",N313,"}"),VLOOKUP(N313,setup!$A$8:$E$58,5))</f>
        <v/>
      </c>
    </row>
    <row r="314" spans="1:15" x14ac:dyDescent="0.25">
      <c r="O314" t="str">
        <f>SUBSTITUTE(SUBSTITUTE(SUBSTITUTE(SUBSTITUTE(A314,"${dto}",setup!$C$3),"${pk}",setup!$E$8),"${tabela}",setup!$C$2),CONCATENATE("${",N314,"}"),VLOOKUP(N314,setup!$A$8:$E$58,5))</f>
        <v/>
      </c>
    </row>
    <row r="315" spans="1:15" x14ac:dyDescent="0.25">
      <c r="O315" t="str">
        <f>SUBSTITUTE(SUBSTITUTE(SUBSTITUTE(SUBSTITUTE(A315,"${dto}",setup!$C$3),"${pk}",setup!$E$8),"${tabela}",setup!$C$2),CONCATENATE("${",N315,"}"),VLOOKUP(N315,setup!$A$8:$E$58,5))</f>
        <v/>
      </c>
    </row>
    <row r="316" spans="1:15" x14ac:dyDescent="0.25">
      <c r="O316" t="str">
        <f>SUBSTITUTE(SUBSTITUTE(SUBSTITUTE(SUBSTITUTE(A316,"${dto}",setup!$C$3),"${pk}",setup!$E$8),"${tabela}",setup!$C$2),CONCATENATE("${",N316,"}"),VLOOKUP(N316,setup!$A$8:$E$58,5))</f>
        <v/>
      </c>
    </row>
    <row r="317" spans="1:15" x14ac:dyDescent="0.25">
      <c r="O317" t="str">
        <f>SUBSTITUTE(SUBSTITUTE(SUBSTITUTE(SUBSTITUTE(A317,"${dto}",setup!$C$3),"${pk}",setup!$E$8),"${tabela}",setup!$C$2),CONCATENATE("${",N317,"}"),VLOOKUP(N317,setup!$A$8:$E$58,5))</f>
        <v/>
      </c>
    </row>
    <row r="318" spans="1:15" x14ac:dyDescent="0.25">
      <c r="O318" t="str">
        <f>SUBSTITUTE(SUBSTITUTE(SUBSTITUTE(SUBSTITUTE(A318,"${dto}",setup!$C$3),"${pk}",setup!$E$8),"${tabela}",setup!$C$2),CONCATENATE("${",N318,"}"),VLOOKUP(N318,setup!$A$8:$E$58,5))</f>
        <v/>
      </c>
    </row>
    <row r="319" spans="1:15" x14ac:dyDescent="0.25">
      <c r="O319" t="str">
        <f>SUBSTITUTE(SUBSTITUTE(SUBSTITUTE(SUBSTITUTE(A319,"${dto}",setup!$C$3),"${pk}",setup!$E$8),"${tabela}",setup!$C$2),CONCATENATE("${",N319,"}"),VLOOKUP(N319,setup!$A$8:$E$58,5))</f>
        <v/>
      </c>
    </row>
    <row r="320" spans="1:15" x14ac:dyDescent="0.25">
      <c r="O320" t="str">
        <f>SUBSTITUTE(SUBSTITUTE(SUBSTITUTE(SUBSTITUTE(A320,"${dto}",setup!$C$3),"${pk}",setup!$E$8),"${tabela}",setup!$C$2),CONCATENATE("${",N320,"}"),VLOOKUP(N320,setup!$A$8:$E$58,5))</f>
        <v/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BCEDEB-CCAE-4C01-B246-006BD9E4B58C}">
  <sheetPr codeName="Sheet19"/>
  <dimension ref="A7:O295"/>
  <sheetViews>
    <sheetView topLeftCell="A114" workbookViewId="0">
      <selection activeCell="O114" sqref="O1:O1048576"/>
    </sheetView>
  </sheetViews>
  <sheetFormatPr defaultRowHeight="15" x14ac:dyDescent="0.25"/>
  <sheetData>
    <row r="7" spans="1:15" x14ac:dyDescent="0.25">
      <c r="A7" s="20" t="s">
        <v>638</v>
      </c>
      <c r="O7" s="7" t="str">
        <f ca="1">getCodigoBackend(N7,A7,VLOOKUP(N7,setup!$A$8:$H$58,2),VLOOKUP(N7,setup!$A$8:$H$58,3),VLOOKUP(N7,setup!$A$8:$H$58,4),VLOOKUP(N7,setup!$A$8:$H$58,5),VLOOKUP(N7,setup!$A$8:$H$58,6),VLOOKUP(N7,setup!$A$8:$H$58,7), VLOOKUP(0,setup!$A$8:$H$58,2),VLOOKUP(0,setup!$A$8:$H$58,5),VLOOKUP(N7,setup!$A$8:$H$58,8))</f>
        <v>import 'package:flutter/cupertino.dart';</v>
      </c>
    </row>
    <row r="8" spans="1:15" x14ac:dyDescent="0.25">
      <c r="A8" s="20" t="s">
        <v>580</v>
      </c>
      <c r="O8" s="7" t="str">
        <f ca="1">getCodigoBackend(N8,A8,VLOOKUP(N8,setup!$A$8:$H$58,2),VLOOKUP(N8,setup!$A$8:$H$58,3),VLOOKUP(N8,setup!$A$8:$H$58,4),VLOOKUP(N8,setup!$A$8:$H$58,5),VLOOKUP(N8,setup!$A$8:$H$58,6),VLOOKUP(N8,setup!$A$8:$H$58,7), VLOOKUP(0,setup!$A$8:$H$58,2),VLOOKUP(0,setup!$A$8:$H$58,5),VLOOKUP(N8,setup!$A$8:$H$58,8))</f>
        <v>import 'package:flutter/material.dart';</v>
      </c>
    </row>
    <row r="9" spans="1:15" x14ac:dyDescent="0.25">
      <c r="A9" s="20" t="s">
        <v>639</v>
      </c>
      <c r="O9" s="7" t="str">
        <f ca="1">getCodigoBackend(N9,A9,VLOOKUP(N9,setup!$A$8:$H$58,2),VLOOKUP(N9,setup!$A$8:$H$58,3),VLOOKUP(N9,setup!$A$8:$H$58,4),VLOOKUP(N9,setup!$A$8:$H$58,5),VLOOKUP(N9,setup!$A$8:$H$58,6),VLOOKUP(N9,setup!$A$8:$H$58,7), VLOOKUP(0,setup!$A$8:$H$58,2),VLOOKUP(0,setup!$A$8:$H$58,5),VLOOKUP(N9,setup!$A$8:$H$58,8))</f>
        <v>import 'package:flutter/rendering.dart';</v>
      </c>
    </row>
    <row r="10" spans="1:15" x14ac:dyDescent="0.25">
      <c r="A10" s="20" t="s">
        <v>640</v>
      </c>
      <c r="O10" s="7" t="str">
        <f ca="1">getCodigoBackend(N10,A10,VLOOKUP(N10,setup!$A$8:$H$58,2),VLOOKUP(N10,setup!$A$8:$H$58,3),VLOOKUP(N10,setup!$A$8:$H$58,4),VLOOKUP(N10,setup!$A$8:$H$58,5),VLOOKUP(N10,setup!$A$8:$H$58,6),VLOOKUP(N10,setup!$A$8:$H$58,7), VLOOKUP(0,setup!$A$8:$H$58,2),VLOOKUP(0,setup!$A$8:$H$58,5),VLOOKUP(N10,setup!$A$8:$H$58,8))</f>
        <v>import 'package:flutter/widgets.dart';</v>
      </c>
    </row>
    <row r="11" spans="1:15" x14ac:dyDescent="0.25">
      <c r="A11" s="2" t="s">
        <v>892</v>
      </c>
      <c r="O11" s="7" t="str">
        <f ca="1">getCodigoBackend(N11,A11,VLOOKUP(N11,setup!$A$8:$H$58,2),VLOOKUP(N11,setup!$A$8:$H$58,3),VLOOKUP(N11,setup!$A$8:$H$58,4),VLOOKUP(N11,setup!$A$8:$H$58,5),VLOOKUP(N11,setup!$A$8:$H$58,6),VLOOKUP(N11,setup!$A$8:$H$58,7), VLOOKUP(0,setup!$A$8:$H$58,2),VLOOKUP(0,setup!$A$8:$H$58,5),VLOOKUP(N11,setup!$A$8:$H$58,8))</f>
        <v>import 'package:junta10/br/com/jcv/linker/classes/ui/common/common-flatbutton-function.dart';</v>
      </c>
    </row>
    <row r="12" spans="1:15" x14ac:dyDescent="0.25">
      <c r="A12" s="2" t="s">
        <v>893</v>
      </c>
      <c r="O12" s="7" t="str">
        <f ca="1">getCodigoBackend(N12,A12,VLOOKUP(N12,setup!$A$8:$H$58,2),VLOOKUP(N12,setup!$A$8:$H$58,3),VLOOKUP(N12,setup!$A$8:$H$58,4),VLOOKUP(N12,setup!$A$8:$H$58,5),VLOOKUP(N12,setup!$A$8:$H$58,6),VLOOKUP(N12,setup!$A$8:$H$58,7), VLOOKUP(0,setup!$A$8:$H$58,2),VLOOKUP(0,setup!$A$8:$H$58,5),VLOOKUP(N12,setup!$A$8:$H$58,8))</f>
        <v>import 'package:junta10/br/com/jcv/linker/classes/ui/common/common-image-circle.dart';</v>
      </c>
    </row>
    <row r="13" spans="1:15" x14ac:dyDescent="0.25">
      <c r="A13" s="19"/>
      <c r="O13" s="7" t="str">
        <f ca="1">getCodigoBackend(N13,A13,VLOOKUP(N13,setup!$A$8:$H$58,2),VLOOKUP(N13,setup!$A$8:$H$58,3),VLOOKUP(N13,setup!$A$8:$H$58,4),VLOOKUP(N13,setup!$A$8:$H$58,5),VLOOKUP(N13,setup!$A$8:$H$58,6),VLOOKUP(N13,setup!$A$8:$H$58,7), VLOOKUP(0,setup!$A$8:$H$58,2),VLOOKUP(0,setup!$A$8:$H$58,5),VLOOKUP(N13,setup!$A$8:$H$58,8))</f>
        <v/>
      </c>
    </row>
    <row r="14" spans="1:15" x14ac:dyDescent="0.25">
      <c r="A14" s="20" t="s">
        <v>584</v>
      </c>
      <c r="O14" s="7" t="str">
        <f ca="1">getCodigoBackend(N14,A14,VLOOKUP(N14,setup!$A$8:$H$58,2),VLOOKUP(N14,setup!$A$8:$H$58,3),VLOOKUP(N14,setup!$A$8:$H$58,4),VLOOKUP(N14,setup!$A$8:$H$58,5),VLOOKUP(N14,setup!$A$8:$H$58,6),VLOOKUP(N14,setup!$A$8:$H$58,7), VLOOKUP(0,setup!$A$8:$H$58,2),VLOOKUP(0,setup!$A$8:$H$58,5),VLOOKUP(N14,setup!$A$8:$H$58,8))</f>
        <v>import 'package:junta10/br/com/jcv/linker/classes/storages/cacheSession.dart';</v>
      </c>
    </row>
    <row r="15" spans="1:15" x14ac:dyDescent="0.25">
      <c r="A15" s="19"/>
      <c r="O15" s="7" t="str">
        <f ca="1">getCodigoBackend(N15,A15,VLOOKUP(N15,setup!$A$8:$H$58,2),VLOOKUP(N15,setup!$A$8:$H$58,3),VLOOKUP(N15,setup!$A$8:$H$58,4),VLOOKUP(N15,setup!$A$8:$H$58,5),VLOOKUP(N15,setup!$A$8:$H$58,6),VLOOKUP(N15,setup!$A$8:$H$58,7), VLOOKUP(0,setup!$A$8:$H$58,2),VLOOKUP(0,setup!$A$8:$H$58,5),VLOOKUP(N15,setup!$A$8:$H$58,8))</f>
        <v/>
      </c>
    </row>
    <row r="16" spans="1:15" x14ac:dyDescent="0.25">
      <c r="A16" s="20" t="s">
        <v>685</v>
      </c>
      <c r="O16" s="7" t="str">
        <f ca="1">getCodigoBackend(N16,A16,VLOOKUP(N16,setup!$A$8:$H$58,2),VLOOKUP(N16,setup!$A$8:$H$58,3),VLOOKUP(N16,setup!$A$8:$H$58,4),VLOOKUP(N16,setup!$A$8:$H$58,5),VLOOKUP(N16,setup!$A$8:$H$58,6),VLOOKUP(N16,setup!$A$8:$H$58,7), VLOOKUP(0,setup!$A$8:$H$58,2),VLOOKUP(0,setup!$A$8:$H$58,5),VLOOKUP(N16,setup!$A$8:$H$58,8))</f>
        <v>class CampanhaCashbackResgatePixUI extends StatefulWidget {</v>
      </c>
    </row>
    <row r="17" spans="1:15" x14ac:dyDescent="0.25">
      <c r="A17" s="19"/>
      <c r="O17" s="7" t="str">
        <f ca="1">getCodigoBackend(N17,A17,VLOOKUP(N17,setup!$A$8:$H$58,2),VLOOKUP(N17,setup!$A$8:$H$58,3),VLOOKUP(N17,setup!$A$8:$H$58,4),VLOOKUP(N17,setup!$A$8:$H$58,5),VLOOKUP(N17,setup!$A$8:$H$58,6),VLOOKUP(N17,setup!$A$8:$H$58,7), VLOOKUP(0,setup!$A$8:$H$58,2),VLOOKUP(0,setup!$A$8:$H$58,5),VLOOKUP(N17,setup!$A$8:$H$58,8))</f>
        <v/>
      </c>
    </row>
    <row r="18" spans="1:15" x14ac:dyDescent="0.25">
      <c r="A18" s="18" t="s">
        <v>687</v>
      </c>
      <c r="O18" s="7" t="str">
        <f ca="1">getCodigoBackend(N18,A18,VLOOKUP(N18,setup!$A$8:$H$58,2),VLOOKUP(N18,setup!$A$8:$H$58,3),VLOOKUP(N18,setup!$A$8:$H$58,4),VLOOKUP(N18,setup!$A$8:$H$58,5),VLOOKUP(N18,setup!$A$8:$H$58,6),VLOOKUP(N18,setup!$A$8:$H$58,7), VLOOKUP(0,setup!$A$8:$H$58,2),VLOOKUP(0,setup!$A$8:$H$58,5),VLOOKUP(N18,setup!$A$8:$H$58,8))</f>
        <v xml:space="preserve">  dynamic _campanhacashbackresgatepixVO;</v>
      </c>
    </row>
    <row r="19" spans="1:15" x14ac:dyDescent="0.25">
      <c r="A19" s="19"/>
      <c r="O19" s="7" t="str">
        <f ca="1">getCodigoBackend(N19,A19,VLOOKUP(N19,setup!$A$8:$H$58,2),VLOOKUP(N19,setup!$A$8:$H$58,3),VLOOKUP(N19,setup!$A$8:$H$58,4),VLOOKUP(N19,setup!$A$8:$H$58,5),VLOOKUP(N19,setup!$A$8:$H$58,6),VLOOKUP(N19,setup!$A$8:$H$58,7), VLOOKUP(0,setup!$A$8:$H$58,2),VLOOKUP(0,setup!$A$8:$H$58,5),VLOOKUP(N19,setup!$A$8:$H$58,8))</f>
        <v/>
      </c>
    </row>
    <row r="20" spans="1:15" x14ac:dyDescent="0.25">
      <c r="A20" s="18" t="s">
        <v>688</v>
      </c>
      <c r="O20" s="7" t="str">
        <f ca="1">getCodigoBackend(N20,A20,VLOOKUP(N20,setup!$A$8:$H$58,2),VLOOKUP(N20,setup!$A$8:$H$58,3),VLOOKUP(N20,setup!$A$8:$H$58,4),VLOOKUP(N20,setup!$A$8:$H$58,5),VLOOKUP(N20,setup!$A$8:$H$58,6),VLOOKUP(N20,setup!$A$8:$H$58,7), VLOOKUP(0,setup!$A$8:$H$58,2),VLOOKUP(0,setup!$A$8:$H$58,5),VLOOKUP(N20,setup!$A$8:$H$58,8))</f>
        <v xml:space="preserve">  CampanhaCashbackResgatePixUI(this._campanhacashbackresgatepixVO);</v>
      </c>
    </row>
    <row r="21" spans="1:15" x14ac:dyDescent="0.25">
      <c r="A21" s="19"/>
      <c r="O21" s="7" t="str">
        <f ca="1">getCodigoBackend(N21,A21,VLOOKUP(N21,setup!$A$8:$H$58,2),VLOOKUP(N21,setup!$A$8:$H$58,3),VLOOKUP(N21,setup!$A$8:$H$58,4),VLOOKUP(N21,setup!$A$8:$H$58,5),VLOOKUP(N21,setup!$A$8:$H$58,6),VLOOKUP(N21,setup!$A$8:$H$58,7), VLOOKUP(0,setup!$A$8:$H$58,2),VLOOKUP(0,setup!$A$8:$H$58,5),VLOOKUP(N21,setup!$A$8:$H$58,8))</f>
        <v/>
      </c>
    </row>
    <row r="22" spans="1:15" x14ac:dyDescent="0.25">
      <c r="A22" s="18" t="s">
        <v>479</v>
      </c>
      <c r="O22" s="7" t="str">
        <f ca="1">getCodigoBackend(N22,A22,VLOOKUP(N22,setup!$A$8:$H$58,2),VLOOKUP(N22,setup!$A$8:$H$58,3),VLOOKUP(N22,setup!$A$8:$H$58,4),VLOOKUP(N22,setup!$A$8:$H$58,5),VLOOKUP(N22,setup!$A$8:$H$58,6),VLOOKUP(N22,setup!$A$8:$H$58,7), VLOOKUP(0,setup!$A$8:$H$58,2),VLOOKUP(0,setup!$A$8:$H$58,5),VLOOKUP(N22,setup!$A$8:$H$58,8))</f>
        <v xml:space="preserve">  @override</v>
      </c>
    </row>
    <row r="23" spans="1:15" x14ac:dyDescent="0.25">
      <c r="A23" s="18" t="s">
        <v>643</v>
      </c>
      <c r="O23" s="7" t="str">
        <f ca="1">getCodigoBackend(N23,A23,VLOOKUP(N23,setup!$A$8:$H$58,2),VLOOKUP(N23,setup!$A$8:$H$58,3),VLOOKUP(N23,setup!$A$8:$H$58,4),VLOOKUP(N23,setup!$A$8:$H$58,5),VLOOKUP(N23,setup!$A$8:$H$58,6),VLOOKUP(N23,setup!$A$8:$H$58,7), VLOOKUP(0,setup!$A$8:$H$58,2),VLOOKUP(0,setup!$A$8:$H$58,5),VLOOKUP(N23,setup!$A$8:$H$58,8))</f>
        <v xml:space="preserve">  _CampanhaCashbackResgatePixUIState createState() =&gt; _CampanhaCashbackResgatePixUIState();</v>
      </c>
    </row>
    <row r="24" spans="1:15" x14ac:dyDescent="0.25">
      <c r="A24" s="18" t="s">
        <v>28</v>
      </c>
      <c r="O24" s="7" t="str">
        <f ca="1">getCodigoBackend(N24,A24,VLOOKUP(N24,setup!$A$8:$H$58,2),VLOOKUP(N24,setup!$A$8:$H$58,3),VLOOKUP(N24,setup!$A$8:$H$58,4),VLOOKUP(N24,setup!$A$8:$H$58,5),VLOOKUP(N24,setup!$A$8:$H$58,6),VLOOKUP(N24,setup!$A$8:$H$58,7), VLOOKUP(0,setup!$A$8:$H$58,2),VLOOKUP(0,setup!$A$8:$H$58,5),VLOOKUP(N24,setup!$A$8:$H$58,8))</f>
        <v>}</v>
      </c>
    </row>
    <row r="25" spans="1:15" x14ac:dyDescent="0.25">
      <c r="A25" s="19"/>
      <c r="O25" s="7" t="str">
        <f ca="1">getCodigoBackend(N25,A25,VLOOKUP(N25,setup!$A$8:$H$58,2),VLOOKUP(N25,setup!$A$8:$H$58,3),VLOOKUP(N25,setup!$A$8:$H$58,4),VLOOKUP(N25,setup!$A$8:$H$58,5),VLOOKUP(N25,setup!$A$8:$H$58,6),VLOOKUP(N25,setup!$A$8:$H$58,7), VLOOKUP(0,setup!$A$8:$H$58,2),VLOOKUP(0,setup!$A$8:$H$58,5),VLOOKUP(N25,setup!$A$8:$H$58,8))</f>
        <v/>
      </c>
    </row>
    <row r="26" spans="1:15" x14ac:dyDescent="0.25">
      <c r="A26" s="20" t="s">
        <v>686</v>
      </c>
      <c r="O26" s="7" t="str">
        <f ca="1">getCodigoBackend(N26,A26,VLOOKUP(N26,setup!$A$8:$H$58,2),VLOOKUP(N26,setup!$A$8:$H$58,3),VLOOKUP(N26,setup!$A$8:$H$58,4),VLOOKUP(N26,setup!$A$8:$H$58,5),VLOOKUP(N26,setup!$A$8:$H$58,6),VLOOKUP(N26,setup!$A$8:$H$58,7), VLOOKUP(0,setup!$A$8:$H$58,2),VLOOKUP(0,setup!$A$8:$H$58,5),VLOOKUP(N26,setup!$A$8:$H$58,8))</f>
        <v>class _CampanhaCashbackResgatePixUIState extends State&lt;CampanhaCashbackResgatePixUI&gt; {</v>
      </c>
    </row>
    <row r="27" spans="1:15" x14ac:dyDescent="0.25">
      <c r="A27" s="19"/>
      <c r="O27" s="7" t="str">
        <f ca="1">getCodigoBackend(N27,A27,VLOOKUP(N27,setup!$A$8:$H$58,2),VLOOKUP(N27,setup!$A$8:$H$58,3),VLOOKUP(N27,setup!$A$8:$H$58,4),VLOOKUP(N27,setup!$A$8:$H$58,5),VLOOKUP(N27,setup!$A$8:$H$58,6),VLOOKUP(N27,setup!$A$8:$H$58,7), VLOOKUP(0,setup!$A$8:$H$58,2),VLOOKUP(0,setup!$A$8:$H$58,5),VLOOKUP(N27,setup!$A$8:$H$58,8))</f>
        <v/>
      </c>
    </row>
    <row r="28" spans="1:15" x14ac:dyDescent="0.25">
      <c r="A28" s="18" t="s">
        <v>481</v>
      </c>
      <c r="O28" s="7" t="str">
        <f ca="1">getCodigoBackend(N28,A28,VLOOKUP(N28,setup!$A$8:$H$58,2),VLOOKUP(N28,setup!$A$8:$H$58,3),VLOOKUP(N28,setup!$A$8:$H$58,4),VLOOKUP(N28,setup!$A$8:$H$58,5),VLOOKUP(N28,setup!$A$8:$H$58,6),VLOOKUP(N28,setup!$A$8:$H$58,7), VLOOKUP(0,setup!$A$8:$H$58,2),VLOOKUP(0,setup!$A$8:$H$58,5),VLOOKUP(N28,setup!$A$8:$H$58,8))</f>
        <v xml:space="preserve">  String _token;</v>
      </c>
    </row>
    <row r="29" spans="1:15" x14ac:dyDescent="0.25">
      <c r="A29" s="18" t="s">
        <v>482</v>
      </c>
      <c r="O29" s="7" t="str">
        <f ca="1">getCodigoBackend(N29,A29,VLOOKUP(N29,setup!$A$8:$H$58,2),VLOOKUP(N29,setup!$A$8:$H$58,3),VLOOKUP(N29,setup!$A$8:$H$58,4),VLOOKUP(N29,setup!$A$8:$H$58,5),VLOOKUP(N29,setup!$A$8:$H$58,6),VLOOKUP(N29,setup!$A$8:$H$58,7), VLOOKUP(0,setup!$A$8:$H$58,2),VLOOKUP(0,setup!$A$8:$H$58,5),VLOOKUP(N29,setup!$A$8:$H$58,8))</f>
        <v xml:space="preserve">  String _urlControlador;</v>
      </c>
    </row>
    <row r="30" spans="1:15" x14ac:dyDescent="0.25">
      <c r="A30" s="18" t="s">
        <v>894</v>
      </c>
      <c r="O30" s="7" t="str">
        <f ca="1">getCodigoBackend(N30,A30,VLOOKUP(N30,setup!$A$8:$H$58,2),VLOOKUP(N30,setup!$A$8:$H$58,3),VLOOKUP(N30,setup!$A$8:$H$58,4),VLOOKUP(N30,setup!$A$8:$H$58,5),VLOOKUP(N30,setup!$A$8:$H$58,6),VLOOKUP(N30,setup!$A$8:$H$58,7), VLOOKUP(0,setup!$A$8:$H$58,2),VLOOKUP(0,setup!$A$8:$H$58,5),VLOOKUP(N30,setup!$A$8:$H$58,8))</f>
        <v xml:space="preserve">   bool _isVisibleActionBtn = false;</v>
      </c>
    </row>
    <row r="31" spans="1:15" x14ac:dyDescent="0.25">
      <c r="A31" s="18"/>
      <c r="O31" s="7" t="str">
        <f ca="1">getCodigoBackend(N31,A31,VLOOKUP(N31,setup!$A$8:$H$58,2),VLOOKUP(N31,setup!$A$8:$H$58,3),VLOOKUP(N31,setup!$A$8:$H$58,4),VLOOKUP(N31,setup!$A$8:$H$58,5),VLOOKUP(N31,setup!$A$8:$H$58,6),VLOOKUP(N31,setup!$A$8:$H$58,7), VLOOKUP(0,setup!$A$8:$H$58,2),VLOOKUP(0,setup!$A$8:$H$58,5),VLOOKUP(N31,setup!$A$8:$H$58,8))</f>
        <v/>
      </c>
    </row>
    <row r="32" spans="1:15" x14ac:dyDescent="0.25">
      <c r="A32" s="18" t="s">
        <v>479</v>
      </c>
      <c r="O32" s="7" t="str">
        <f ca="1">getCodigoBackend(N32,A32,VLOOKUP(N32,setup!$A$8:$H$58,2),VLOOKUP(N32,setup!$A$8:$H$58,3),VLOOKUP(N32,setup!$A$8:$H$58,4),VLOOKUP(N32,setup!$A$8:$H$58,5),VLOOKUP(N32,setup!$A$8:$H$58,6),VLOOKUP(N32,setup!$A$8:$H$58,7), VLOOKUP(0,setup!$A$8:$H$58,2),VLOOKUP(0,setup!$A$8:$H$58,5),VLOOKUP(N32,setup!$A$8:$H$58,8))</f>
        <v xml:space="preserve">  @override</v>
      </c>
    </row>
    <row r="33" spans="1:15" x14ac:dyDescent="0.25">
      <c r="A33" s="18" t="s">
        <v>677</v>
      </c>
      <c r="O33" s="7" t="str">
        <f ca="1">getCodigoBackend(N33,A33,VLOOKUP(N33,setup!$A$8:$H$58,2),VLOOKUP(N33,setup!$A$8:$H$58,3),VLOOKUP(N33,setup!$A$8:$H$58,4),VLOOKUP(N33,setup!$A$8:$H$58,5),VLOOKUP(N33,setup!$A$8:$H$58,6),VLOOKUP(N33,setup!$A$8:$H$58,7), VLOOKUP(0,setup!$A$8:$H$58,2),VLOOKUP(0,setup!$A$8:$H$58,5),VLOOKUP(N33,setup!$A$8:$H$58,8))</f>
        <v xml:space="preserve">  initState() {</v>
      </c>
    </row>
    <row r="34" spans="1:15" x14ac:dyDescent="0.25">
      <c r="A34" s="18" t="s">
        <v>678</v>
      </c>
      <c r="O34" s="7" t="str">
        <f ca="1">getCodigoBackend(N34,A34,VLOOKUP(N34,setup!$A$8:$H$58,2),VLOOKUP(N34,setup!$A$8:$H$58,3),VLOOKUP(N34,setup!$A$8:$H$58,4),VLOOKUP(N34,setup!$A$8:$H$58,5),VLOOKUP(N34,setup!$A$8:$H$58,6),VLOOKUP(N34,setup!$A$8:$H$58,7), VLOOKUP(0,setup!$A$8:$H$58,2),VLOOKUP(0,setup!$A$8:$H$58,5),VLOOKUP(N34,setup!$A$8:$H$58,8))</f>
        <v xml:space="preserve">    _token = CacheSession().getSession()['tokenid'];</v>
      </c>
    </row>
    <row r="35" spans="1:15" x14ac:dyDescent="0.25">
      <c r="A35" s="18" t="s">
        <v>679</v>
      </c>
      <c r="O35" s="7" t="str">
        <f ca="1">getCodigoBackend(N35,A35,VLOOKUP(N35,setup!$A$8:$H$58,2),VLOOKUP(N35,setup!$A$8:$H$58,3),VLOOKUP(N35,setup!$A$8:$H$58,4),VLOOKUP(N35,setup!$A$8:$H$58,5),VLOOKUP(N35,setup!$A$8:$H$58,6),VLOOKUP(N35,setup!$A$8:$H$58,7), VLOOKUP(0,setup!$A$8:$H$58,2),VLOOKUP(0,setup!$A$8:$H$58,5),VLOOKUP(N35,setup!$A$8:$H$58,8))</f>
        <v xml:space="preserve">    _urlControlador = CacheSession().getSession()['urlControlador'];</v>
      </c>
    </row>
    <row r="36" spans="1:15" x14ac:dyDescent="0.25">
      <c r="A36" s="18" t="s">
        <v>456</v>
      </c>
      <c r="O36" s="7" t="str">
        <f ca="1">getCodigoBackend(N36,A36,VLOOKUP(N36,setup!$A$8:$H$58,2),VLOOKUP(N36,setup!$A$8:$H$58,3),VLOOKUP(N36,setup!$A$8:$H$58,4),VLOOKUP(N36,setup!$A$8:$H$58,5),VLOOKUP(N36,setup!$A$8:$H$58,6),VLOOKUP(N36,setup!$A$8:$H$58,7), VLOOKUP(0,setup!$A$8:$H$58,2),VLOOKUP(0,setup!$A$8:$H$58,5),VLOOKUP(N36,setup!$A$8:$H$58,8))</f>
        <v xml:space="preserve">  }</v>
      </c>
    </row>
    <row r="37" spans="1:15" x14ac:dyDescent="0.25">
      <c r="A37" s="19"/>
      <c r="O37" s="7" t="str">
        <f ca="1">getCodigoBackend(N37,A37,VLOOKUP(N37,setup!$A$8:$H$58,2),VLOOKUP(N37,setup!$A$8:$H$58,3),VLOOKUP(N37,setup!$A$8:$H$58,4),VLOOKUP(N37,setup!$A$8:$H$58,5),VLOOKUP(N37,setup!$A$8:$H$58,6),VLOOKUP(N37,setup!$A$8:$H$58,7), VLOOKUP(0,setup!$A$8:$H$58,2),VLOOKUP(0,setup!$A$8:$H$58,5),VLOOKUP(N37,setup!$A$8:$H$58,8))</f>
        <v/>
      </c>
    </row>
    <row r="38" spans="1:15" x14ac:dyDescent="0.25">
      <c r="A38" s="18" t="s">
        <v>479</v>
      </c>
      <c r="O38" s="7" t="str">
        <f ca="1">getCodigoBackend(N38,A38,VLOOKUP(N38,setup!$A$8:$H$58,2),VLOOKUP(N38,setup!$A$8:$H$58,3),VLOOKUP(N38,setup!$A$8:$H$58,4),VLOOKUP(N38,setup!$A$8:$H$58,5),VLOOKUP(N38,setup!$A$8:$H$58,6),VLOOKUP(N38,setup!$A$8:$H$58,7), VLOOKUP(0,setup!$A$8:$H$58,2),VLOOKUP(0,setup!$A$8:$H$58,5),VLOOKUP(N38,setup!$A$8:$H$58,8))</f>
        <v xml:space="preserve">  @override</v>
      </c>
    </row>
    <row r="39" spans="1:15" x14ac:dyDescent="0.25">
      <c r="A39" s="18" t="s">
        <v>486</v>
      </c>
      <c r="O39" s="7" t="str">
        <f ca="1">getCodigoBackend(N39,A39,VLOOKUP(N39,setup!$A$8:$H$58,2),VLOOKUP(N39,setup!$A$8:$H$58,3),VLOOKUP(N39,setup!$A$8:$H$58,4),VLOOKUP(N39,setup!$A$8:$H$58,5),VLOOKUP(N39,setup!$A$8:$H$58,6),VLOOKUP(N39,setup!$A$8:$H$58,7), VLOOKUP(0,setup!$A$8:$H$58,2),VLOOKUP(0,setup!$A$8:$H$58,5),VLOOKUP(N39,setup!$A$8:$H$58,8))</f>
        <v xml:space="preserve">  Widget build(BuildContext context) {</v>
      </c>
    </row>
    <row r="40" spans="1:15" x14ac:dyDescent="0.25">
      <c r="A40" s="18"/>
      <c r="O40" s="7" t="str">
        <f ca="1">getCodigoBackend(N40,A40,VLOOKUP(N40,setup!$A$8:$H$58,2),VLOOKUP(N40,setup!$A$8:$H$58,3),VLOOKUP(N40,setup!$A$8:$H$58,4),VLOOKUP(N40,setup!$A$8:$H$58,5),VLOOKUP(N40,setup!$A$8:$H$58,6),VLOOKUP(N40,setup!$A$8:$H$58,7), VLOOKUP(0,setup!$A$8:$H$58,2),VLOOKUP(0,setup!$A$8:$H$58,5),VLOOKUP(N40,setup!$A$8:$H$58,8))</f>
        <v/>
      </c>
    </row>
    <row r="41" spans="1:15" x14ac:dyDescent="0.25">
      <c r="A41" s="6" t="s">
        <v>895</v>
      </c>
      <c r="O41" s="7" t="str">
        <f ca="1">getCodigoBackend(N41,A41,VLOOKUP(N41,setup!$A$8:$H$58,2),VLOOKUP(N41,setup!$A$8:$H$58,3),VLOOKUP(N41,setup!$A$8:$H$58,4),VLOOKUP(N41,setup!$A$8:$H$58,5),VLOOKUP(N41,setup!$A$8:$H$58,6),VLOOKUP(N41,setup!$A$8:$H$58,7), VLOOKUP(0,setup!$A$8:$H$58,2),VLOOKUP(0,setup!$A$8:$H$58,5),VLOOKUP(N41,setup!$A$8:$H$58,8))</f>
        <v>    // Toolbar com botões de ação</v>
      </c>
    </row>
    <row r="42" spans="1:15" x14ac:dyDescent="0.25">
      <c r="A42" s="6" t="s">
        <v>896</v>
      </c>
      <c r="O42" s="7" t="str">
        <f ca="1">getCodigoBackend(N42,A42,VLOOKUP(N42,setup!$A$8:$H$58,2),VLOOKUP(N42,setup!$A$8:$H$58,3),VLOOKUP(N42,setup!$A$8:$H$58,4),VLOOKUP(N42,setup!$A$8:$H$58,5),VLOOKUP(N42,setup!$A$8:$H$58,6),VLOOKUP(N42,setup!$A$8:$H$58,7), VLOOKUP(0,setup!$A$8:$H$58,2),VLOOKUP(0,setup!$A$8:$H$58,5),VLOOKUP(N42,setup!$A$8:$H$58,8))</f>
        <v>    Widget _widActionBtn = Row(</v>
      </c>
    </row>
    <row r="43" spans="1:15" x14ac:dyDescent="0.25">
      <c r="A43" s="6" t="s">
        <v>897</v>
      </c>
      <c r="O43" s="7" t="str">
        <f ca="1">getCodigoBackend(N43,A43,VLOOKUP(N43,setup!$A$8:$H$58,2),VLOOKUP(N43,setup!$A$8:$H$58,3),VLOOKUP(N43,setup!$A$8:$H$58,4),VLOOKUP(N43,setup!$A$8:$H$58,5),VLOOKUP(N43,setup!$A$8:$H$58,6),VLOOKUP(N43,setup!$A$8:$H$58,7), VLOOKUP(0,setup!$A$8:$H$58,2),VLOOKUP(0,setup!$A$8:$H$58,5),VLOOKUP(N43,setup!$A$8:$H$58,8))</f>
        <v>      mainAxisAlignment: MainAxisAlignment.spaceBetween,</v>
      </c>
    </row>
    <row r="44" spans="1:15" x14ac:dyDescent="0.25">
      <c r="A44" s="6" t="s">
        <v>898</v>
      </c>
      <c r="O44" s="7" t="str">
        <f ca="1">getCodigoBackend(N44,A44,VLOOKUP(N44,setup!$A$8:$H$58,2),VLOOKUP(N44,setup!$A$8:$H$58,3),VLOOKUP(N44,setup!$A$8:$H$58,4),VLOOKUP(N44,setup!$A$8:$H$58,5),VLOOKUP(N44,setup!$A$8:$H$58,6),VLOOKUP(N44,setup!$A$8:$H$58,7), VLOOKUP(0,setup!$A$8:$H$58,2),VLOOKUP(0,setup!$A$8:$H$58,5),VLOOKUP(N44,setup!$A$8:$H$58,8))</f>
        <v>      children: &lt;Widget&gt;[</v>
      </c>
    </row>
    <row r="45" spans="1:15" x14ac:dyDescent="0.25">
      <c r="A45" s="6" t="s">
        <v>899</v>
      </c>
      <c r="O45" s="7" t="str">
        <f ca="1">getCodigoBackend(N45,A45,VLOOKUP(N45,setup!$A$8:$H$58,2),VLOOKUP(N45,setup!$A$8:$H$58,3),VLOOKUP(N45,setup!$A$8:$H$58,4),VLOOKUP(N45,setup!$A$8:$H$58,5),VLOOKUP(N45,setup!$A$8:$H$58,6),VLOOKUP(N45,setup!$A$8:$H$58,7), VLOOKUP(0,setup!$A$8:$H$58,2),VLOOKUP(0,setup!$A$8:$H$58,5),VLOOKUP(N45,setup!$A$8:$H$58,8))</f>
        <v>        CommonFlatButtonFunction(Icon(Icons.edit, color: Colors.white), "Editar", (){}),</v>
      </c>
    </row>
    <row r="46" spans="1:15" x14ac:dyDescent="0.25">
      <c r="A46" s="6" t="s">
        <v>900</v>
      </c>
      <c r="O46" s="7" t="str">
        <f ca="1">getCodigoBackend(N46,A46,VLOOKUP(N46,setup!$A$8:$H$58,2),VLOOKUP(N46,setup!$A$8:$H$58,3),VLOOKUP(N46,setup!$A$8:$H$58,4),VLOOKUP(N46,setup!$A$8:$H$58,5),VLOOKUP(N46,setup!$A$8:$H$58,6),VLOOKUP(N46,setup!$A$8:$H$58,7), VLOOKUP(0,setup!$A$8:$H$58,2),VLOOKUP(0,setup!$A$8:$H$58,5),VLOOKUP(N46,setup!$A$8:$H$58,8))</f>
        <v>        CommonFlatButtonFunction(Icon(Icons.cancel, color: Colors.white), "Apagar", (){}),</v>
      </c>
    </row>
    <row r="47" spans="1:15" x14ac:dyDescent="0.25">
      <c r="A47" s="6" t="s">
        <v>901</v>
      </c>
      <c r="O47" s="7" t="str">
        <f ca="1">getCodigoBackend(N47,A47,VLOOKUP(N47,setup!$A$8:$H$58,2),VLOOKUP(N47,setup!$A$8:$H$58,3),VLOOKUP(N47,setup!$A$8:$H$58,4),VLOOKUP(N47,setup!$A$8:$H$58,5),VLOOKUP(N47,setup!$A$8:$H$58,6),VLOOKUP(N47,setup!$A$8:$H$58,7), VLOOKUP(0,setup!$A$8:$H$58,2),VLOOKUP(0,setup!$A$8:$H$58,5),VLOOKUP(N47,setup!$A$8:$H$58,8))</f>
        <v>      ],</v>
      </c>
    </row>
    <row r="48" spans="1:15" x14ac:dyDescent="0.25">
      <c r="A48" s="6" t="s">
        <v>839</v>
      </c>
      <c r="O48" s="7" t="str">
        <f ca="1">getCodigoBackend(N48,A48,VLOOKUP(N48,setup!$A$8:$H$58,2),VLOOKUP(N48,setup!$A$8:$H$58,3),VLOOKUP(N48,setup!$A$8:$H$58,4),VLOOKUP(N48,setup!$A$8:$H$58,5),VLOOKUP(N48,setup!$A$8:$H$58,6),VLOOKUP(N48,setup!$A$8:$H$58,7), VLOOKUP(0,setup!$A$8:$H$58,2),VLOOKUP(0,setup!$A$8:$H$58,5),VLOOKUP(N48,setup!$A$8:$H$58,8))</f>
        <v>    );</v>
      </c>
    </row>
    <row r="49" spans="1:15" x14ac:dyDescent="0.25">
      <c r="A49" s="19"/>
      <c r="O49" s="7" t="str">
        <f ca="1">getCodigoBackend(N49,A49,VLOOKUP(N49,setup!$A$8:$H$58,2),VLOOKUP(N49,setup!$A$8:$H$58,3),VLOOKUP(N49,setup!$A$8:$H$58,4),VLOOKUP(N49,setup!$A$8:$H$58,5),VLOOKUP(N49,setup!$A$8:$H$58,6),VLOOKUP(N49,setup!$A$8:$H$58,7), VLOOKUP(0,setup!$A$8:$H$58,2),VLOOKUP(0,setup!$A$8:$H$58,5),VLOOKUP(N49,setup!$A$8:$H$58,8))</f>
        <v/>
      </c>
    </row>
    <row r="50" spans="1:15" x14ac:dyDescent="0.25">
      <c r="A50" s="19" t="s">
        <v>902</v>
      </c>
      <c r="O50" s="7" t="str">
        <f ca="1">getCodigoBackend(N50,A50,VLOOKUP(N50,setup!$A$8:$H$58,2),VLOOKUP(N50,setup!$A$8:$H$58,3),VLOOKUP(N50,setup!$A$8:$H$58,4),VLOOKUP(N50,setup!$A$8:$H$58,5),VLOOKUP(N50,setup!$A$8:$H$58,6),VLOOKUP(N50,setup!$A$8:$H$58,7), VLOOKUP(0,setup!$A$8:$H$58,2),VLOOKUP(0,setup!$A$8:$H$58,5),VLOOKUP(N50,setup!$A$8:$H$58,8))</f>
        <v xml:space="preserve">    return Container(</v>
      </c>
    </row>
    <row r="51" spans="1:15" x14ac:dyDescent="0.25">
      <c r="A51" s="19" t="s">
        <v>903</v>
      </c>
      <c r="O51" s="7" t="str">
        <f ca="1">getCodigoBackend(N51,A51,VLOOKUP(N51,setup!$A$8:$H$58,2),VLOOKUP(N51,setup!$A$8:$H$58,3),VLOOKUP(N51,setup!$A$8:$H$58,4),VLOOKUP(N51,setup!$A$8:$H$58,5),VLOOKUP(N51,setup!$A$8:$H$58,6),VLOOKUP(N51,setup!$A$8:$H$58,7), VLOOKUP(0,setup!$A$8:$H$58,2),VLOOKUP(0,setup!$A$8:$H$58,5),VLOOKUP(N51,setup!$A$8:$H$58,8))</f>
        <v xml:space="preserve">        padding: EdgeInsets.symmetric(horizontal: 4, vertical: 2),</v>
      </c>
    </row>
    <row r="52" spans="1:15" x14ac:dyDescent="0.25">
      <c r="A52" s="19" t="s">
        <v>680</v>
      </c>
      <c r="O52" s="7" t="str">
        <f ca="1">getCodigoBackend(N52,A52,VLOOKUP(N52,setup!$A$8:$H$58,2),VLOOKUP(N52,setup!$A$8:$H$58,3),VLOOKUP(N52,setup!$A$8:$H$58,4),VLOOKUP(N52,setup!$A$8:$H$58,5),VLOOKUP(N52,setup!$A$8:$H$58,6),VLOOKUP(N52,setup!$A$8:$H$58,7), VLOOKUP(0,setup!$A$8:$H$58,2),VLOOKUP(0,setup!$A$8:$H$58,5),VLOOKUP(N52,setup!$A$8:$H$58,8))</f>
        <v xml:space="preserve">        child: Card(</v>
      </c>
    </row>
    <row r="53" spans="1:15" x14ac:dyDescent="0.25">
      <c r="A53" s="19" t="s">
        <v>681</v>
      </c>
      <c r="O53" s="7" t="str">
        <f ca="1">getCodigoBackend(N53,A53,VLOOKUP(N53,setup!$A$8:$H$58,2),VLOOKUP(N53,setup!$A$8:$H$58,3),VLOOKUP(N53,setup!$A$8:$H$58,4),VLOOKUP(N53,setup!$A$8:$H$58,5),VLOOKUP(N53,setup!$A$8:$H$58,6),VLOOKUP(N53,setup!$A$8:$H$58,7), VLOOKUP(0,setup!$A$8:$H$58,2),VLOOKUP(0,setup!$A$8:$H$58,5),VLOOKUP(N53,setup!$A$8:$H$58,8))</f>
        <v xml:space="preserve">          child: Padding(</v>
      </c>
    </row>
    <row r="54" spans="1:15" x14ac:dyDescent="0.25">
      <c r="A54" s="19" t="s">
        <v>904</v>
      </c>
      <c r="O54" s="7" t="str">
        <f ca="1">getCodigoBackend(N54,A54,VLOOKUP(N54,setup!$A$8:$H$58,2),VLOOKUP(N54,setup!$A$8:$H$58,3),VLOOKUP(N54,setup!$A$8:$H$58,4),VLOOKUP(N54,setup!$A$8:$H$58,5),VLOOKUP(N54,setup!$A$8:$H$58,6),VLOOKUP(N54,setup!$A$8:$H$58,7), VLOOKUP(0,setup!$A$8:$H$58,2),VLOOKUP(0,setup!$A$8:$H$58,5),VLOOKUP(N54,setup!$A$8:$H$58,8))</f>
        <v xml:space="preserve">            padding: EdgeInsets.symmetric(horizontal:8.0, vertical: 10.0),</v>
      </c>
    </row>
    <row r="55" spans="1:15" x14ac:dyDescent="0.25">
      <c r="A55" s="19" t="s">
        <v>682</v>
      </c>
      <c r="O55" s="7" t="str">
        <f ca="1">getCodigoBackend(N55,A55,VLOOKUP(N55,setup!$A$8:$H$58,2),VLOOKUP(N55,setup!$A$8:$H$58,3),VLOOKUP(N55,setup!$A$8:$H$58,4),VLOOKUP(N55,setup!$A$8:$H$58,5),VLOOKUP(N55,setup!$A$8:$H$58,6),VLOOKUP(N55,setup!$A$8:$H$58,7), VLOOKUP(0,setup!$A$8:$H$58,2),VLOOKUP(0,setup!$A$8:$H$58,5),VLOOKUP(N55,setup!$A$8:$H$58,8))</f>
        <v xml:space="preserve">            child: Column(</v>
      </c>
    </row>
    <row r="56" spans="1:15" x14ac:dyDescent="0.25">
      <c r="A56" s="19" t="s">
        <v>683</v>
      </c>
      <c r="O56" s="7" t="str">
        <f ca="1">getCodigoBackend(N56,A56,VLOOKUP(N56,setup!$A$8:$H$58,2),VLOOKUP(N56,setup!$A$8:$H$58,3),VLOOKUP(N56,setup!$A$8:$H$58,4),VLOOKUP(N56,setup!$A$8:$H$58,5),VLOOKUP(N56,setup!$A$8:$H$58,6),VLOOKUP(N56,setup!$A$8:$H$58,7), VLOOKUP(0,setup!$A$8:$H$58,2),VLOOKUP(0,setup!$A$8:$H$58,5),VLOOKUP(N56,setup!$A$8:$H$58,8))</f>
        <v xml:space="preserve">              mainAxisAlignment: MainAxisAlignment.start,</v>
      </c>
    </row>
    <row r="57" spans="1:15" x14ac:dyDescent="0.25">
      <c r="A57" s="19" t="s">
        <v>684</v>
      </c>
      <c r="O57" s="7" t="str">
        <f ca="1">getCodigoBackend(N57,A57,VLOOKUP(N57,setup!$A$8:$H$58,2),VLOOKUP(N57,setup!$A$8:$H$58,3),VLOOKUP(N57,setup!$A$8:$H$58,4),VLOOKUP(N57,setup!$A$8:$H$58,5),VLOOKUP(N57,setup!$A$8:$H$58,6),VLOOKUP(N57,setup!$A$8:$H$58,7), VLOOKUP(0,setup!$A$8:$H$58,2),VLOOKUP(0,setup!$A$8:$H$58,5),VLOOKUP(N57,setup!$A$8:$H$58,8))</f>
        <v xml:space="preserve">              crossAxisAlignment: CrossAxisAlignment.start,</v>
      </c>
    </row>
    <row r="58" spans="1:15" x14ac:dyDescent="0.25">
      <c r="A58" s="19" t="s">
        <v>641</v>
      </c>
      <c r="O58" s="7" t="str">
        <f ca="1">getCodigoBackend(N58,A58,VLOOKUP(N58,setup!$A$8:$H$58,2),VLOOKUP(N58,setup!$A$8:$H$58,3),VLOOKUP(N58,setup!$A$8:$H$58,4),VLOOKUP(N58,setup!$A$8:$H$58,5),VLOOKUP(N58,setup!$A$8:$H$58,6),VLOOKUP(N58,setup!$A$8:$H$58,7), VLOOKUP(0,setup!$A$8:$H$58,2),VLOOKUP(0,setup!$A$8:$H$58,5),VLOOKUP(N58,setup!$A$8:$H$58,8))</f>
        <v xml:space="preserve">              children: &lt;Widget&gt;[</v>
      </c>
    </row>
    <row r="59" spans="1:15" x14ac:dyDescent="0.25">
      <c r="A59" s="19" t="s">
        <v>856</v>
      </c>
      <c r="O59" s="7" t="str">
        <f ca="1">getCodigoBackend(N59,A59,VLOOKUP(N59,setup!$A$8:$H$58,2),VLOOKUP(N59,setup!$A$8:$H$58,3),VLOOKUP(N59,setup!$A$8:$H$58,4),VLOOKUP(N59,setup!$A$8:$H$58,5),VLOOKUP(N59,setup!$A$8:$H$58,6),VLOOKUP(N59,setup!$A$8:$H$58,7), VLOOKUP(0,setup!$A$8:$H$58,2),VLOOKUP(0,setup!$A$8:$H$58,5),VLOOKUP(N59,setup!$A$8:$H$58,8))</f>
        <v xml:space="preserve">                Row(</v>
      </c>
    </row>
    <row r="60" spans="1:15" x14ac:dyDescent="0.25">
      <c r="A60" s="19" t="s">
        <v>857</v>
      </c>
      <c r="O60" s="7" t="str">
        <f ca="1">getCodigoBackend(N60,A60,VLOOKUP(N60,setup!$A$8:$H$58,2),VLOOKUP(N60,setup!$A$8:$H$58,3),VLOOKUP(N60,setup!$A$8:$H$58,4),VLOOKUP(N60,setup!$A$8:$H$58,5),VLOOKUP(N60,setup!$A$8:$H$58,6),VLOOKUP(N60,setup!$A$8:$H$58,7), VLOOKUP(0,setup!$A$8:$H$58,2),VLOOKUP(0,setup!$A$8:$H$58,5),VLOOKUP(N60,setup!$A$8:$H$58,8))</f>
        <v xml:space="preserve">                  children: &lt;Widget&gt;[</v>
      </c>
    </row>
    <row r="61" spans="1:15" x14ac:dyDescent="0.25">
      <c r="A61" s="19" t="s">
        <v>858</v>
      </c>
      <c r="O61" s="7" t="str">
        <f ca="1">getCodigoBackend(N61,A61,VLOOKUP(N61,setup!$A$8:$H$58,2),VLOOKUP(N61,setup!$A$8:$H$58,3),VLOOKUP(N61,setup!$A$8:$H$58,4),VLOOKUP(N61,setup!$A$8:$H$58,5),VLOOKUP(N61,setup!$A$8:$H$58,6),VLOOKUP(N61,setup!$A$8:$H$58,7), VLOOKUP(0,setup!$A$8:$H$58,2),VLOOKUP(0,setup!$A$8:$H$58,5),VLOOKUP(N61,setup!$A$8:$H$58,8))</f>
        <v xml:space="preserve">                    new CommonImageCircle("no-user.png"</v>
      </c>
    </row>
    <row r="62" spans="1:15" x14ac:dyDescent="0.25">
      <c r="A62" s="19" t="s">
        <v>859</v>
      </c>
      <c r="O62" s="7" t="str">
        <f ca="1">getCodigoBackend(N62,A62,VLOOKUP(N62,setup!$A$8:$H$58,2),VLOOKUP(N62,setup!$A$8:$H$58,3),VLOOKUP(N62,setup!$A$8:$H$58,4),VLOOKUP(N62,setup!$A$8:$H$58,5),VLOOKUP(N62,setup!$A$8:$H$58,6),VLOOKUP(N62,setup!$A$8:$H$58,7), VLOOKUP(0,setup!$A$8:$H$58,2),VLOOKUP(0,setup!$A$8:$H$58,5),VLOOKUP(N62,setup!$A$8:$H$58,8))</f>
        <v xml:space="preserve">                        ,heightcic: 64</v>
      </c>
    </row>
    <row r="63" spans="1:15" x14ac:dyDescent="0.25">
      <c r="A63" s="19" t="s">
        <v>860</v>
      </c>
      <c r="O63" s="7" t="str">
        <f ca="1">getCodigoBackend(N63,A63,VLOOKUP(N63,setup!$A$8:$H$58,2),VLOOKUP(N63,setup!$A$8:$H$58,3),VLOOKUP(N63,setup!$A$8:$H$58,4),VLOOKUP(N63,setup!$A$8:$H$58,5),VLOOKUP(N63,setup!$A$8:$H$58,6),VLOOKUP(N63,setup!$A$8:$H$58,7), VLOOKUP(0,setup!$A$8:$H$58,2),VLOOKUP(0,setup!$A$8:$H$58,5),VLOOKUP(N63,setup!$A$8:$H$58,8))</f>
        <v xml:space="preserve">                        ,widthcic: 64</v>
      </c>
    </row>
    <row r="64" spans="1:15" x14ac:dyDescent="0.25">
      <c r="A64" s="19" t="s">
        <v>861</v>
      </c>
      <c r="O64" s="7" t="str">
        <f ca="1">getCodigoBackend(N64,A64,VLOOKUP(N64,setup!$A$8:$H$58,2),VLOOKUP(N64,setup!$A$8:$H$58,3),VLOOKUP(N64,setup!$A$8:$H$58,4),VLOOKUP(N64,setup!$A$8:$H$58,5),VLOOKUP(N64,setup!$A$8:$H$58,6),VLOOKUP(N64,setup!$A$8:$H$58,7), VLOOKUP(0,setup!$A$8:$H$58,2),VLOOKUP(0,setup!$A$8:$H$58,5),VLOOKUP(N64,setup!$A$8:$H$58,8))</f>
        <v xml:space="preserve">                        ,bordercolorcic: Colors.transparent),</v>
      </c>
    </row>
    <row r="65" spans="1:15" x14ac:dyDescent="0.25">
      <c r="A65" s="19" t="s">
        <v>862</v>
      </c>
      <c r="O65" s="7" t="str">
        <f ca="1">getCodigoBackend(N65,A65,VLOOKUP(N65,setup!$A$8:$H$58,2),VLOOKUP(N65,setup!$A$8:$H$58,3),VLOOKUP(N65,setup!$A$8:$H$58,4),VLOOKUP(N65,setup!$A$8:$H$58,5),VLOOKUP(N65,setup!$A$8:$H$58,6),VLOOKUP(N65,setup!$A$8:$H$58,7), VLOOKUP(0,setup!$A$8:$H$58,2),VLOOKUP(0,setup!$A$8:$H$58,5),VLOOKUP(N65,setup!$A$8:$H$58,8))</f>
        <v xml:space="preserve">                    SizedBox(width: 8,),</v>
      </c>
    </row>
    <row r="66" spans="1:15" x14ac:dyDescent="0.25">
      <c r="A66" s="19" t="s">
        <v>863</v>
      </c>
      <c r="O66" s="7" t="str">
        <f ca="1">getCodigoBackend(N66,A66,VLOOKUP(N66,setup!$A$8:$H$58,2),VLOOKUP(N66,setup!$A$8:$H$58,3),VLOOKUP(N66,setup!$A$8:$H$58,4),VLOOKUP(N66,setup!$A$8:$H$58,5),VLOOKUP(N66,setup!$A$8:$H$58,6),VLOOKUP(N66,setup!$A$8:$H$58,7), VLOOKUP(0,setup!$A$8:$H$58,2),VLOOKUP(0,setup!$A$8:$H$58,5),VLOOKUP(N66,setup!$A$8:$H$58,8))</f>
        <v xml:space="preserve">                    Column(</v>
      </c>
    </row>
    <row r="67" spans="1:15" x14ac:dyDescent="0.25">
      <c r="A67" s="19" t="s">
        <v>864</v>
      </c>
      <c r="O67" s="7" t="str">
        <f ca="1">getCodigoBackend(N67,A67,VLOOKUP(N67,setup!$A$8:$H$58,2),VLOOKUP(N67,setup!$A$8:$H$58,3),VLOOKUP(N67,setup!$A$8:$H$58,4),VLOOKUP(N67,setup!$A$8:$H$58,5),VLOOKUP(N67,setup!$A$8:$H$58,6),VLOOKUP(N67,setup!$A$8:$H$58,7), VLOOKUP(0,setup!$A$8:$H$58,2),VLOOKUP(0,setup!$A$8:$H$58,5),VLOOKUP(N67,setup!$A$8:$H$58,8))</f>
        <v xml:space="preserve">                      crossAxisAlignment: CrossAxisAlignment.start,</v>
      </c>
    </row>
    <row r="68" spans="1:15" x14ac:dyDescent="0.25">
      <c r="A68" s="19" t="s">
        <v>865</v>
      </c>
      <c r="O68" s="7" t="str">
        <f ca="1">getCodigoBackend(N68,A68,VLOOKUP(N68,setup!$A$8:$H$58,2),VLOOKUP(N68,setup!$A$8:$H$58,3),VLOOKUP(N68,setup!$A$8:$H$58,4),VLOOKUP(N68,setup!$A$8:$H$58,5),VLOOKUP(N68,setup!$A$8:$H$58,6),VLOOKUP(N68,setup!$A$8:$H$58,7), VLOOKUP(0,setup!$A$8:$H$58,2),VLOOKUP(0,setup!$A$8:$H$58,5),VLOOKUP(N68,setup!$A$8:$H$58,8))</f>
        <v xml:space="preserve">                      children: &lt;Widget&gt;[</v>
      </c>
    </row>
    <row r="69" spans="1:15" x14ac:dyDescent="0.25">
      <c r="A69" s="19" t="s">
        <v>905</v>
      </c>
      <c r="O69" s="7" t="str">
        <f ca="1">getCodigoBackend(N69,A69,VLOOKUP(N69,setup!$A$8:$H$58,2),VLOOKUP(N69,setup!$A$8:$H$58,3),VLOOKUP(N69,setup!$A$8:$H$58,4),VLOOKUP(N69,setup!$A$8:$H$58,5),VLOOKUP(N69,setup!$A$8:$H$58,6),VLOOKUP(N69,setup!$A$8:$H$58,7), VLOOKUP(0,setup!$A$8:$H$58,2),VLOOKUP(0,setup!$A$8:$H$58,5),VLOOKUP(N69,setup!$A$8:$H$58,8))</f>
        <v xml:space="preserve">                        Text("Titulo principal" ,</v>
      </c>
    </row>
    <row r="70" spans="1:15" x14ac:dyDescent="0.25">
      <c r="A70" s="19" t="s">
        <v>906</v>
      </c>
      <c r="O70" s="7" t="str">
        <f ca="1">getCodigoBackend(N70,A70,VLOOKUP(N70,setup!$A$8:$H$58,2),VLOOKUP(N70,setup!$A$8:$H$58,3),VLOOKUP(N70,setup!$A$8:$H$58,4),VLOOKUP(N70,setup!$A$8:$H$58,5),VLOOKUP(N70,setup!$A$8:$H$58,6),VLOOKUP(N70,setup!$A$8:$H$58,7), VLOOKUP(0,setup!$A$8:$H$58,2),VLOOKUP(0,setup!$A$8:$H$58,5),VLOOKUP(N70,setup!$A$8:$H$58,8))</f>
        <v xml:space="preserve">                            style: TextStyle(fontStyle: FontStyle.italic, color: Colors.black45)),</v>
      </c>
    </row>
    <row r="71" spans="1:15" x14ac:dyDescent="0.25">
      <c r="A71" s="19" t="s">
        <v>915</v>
      </c>
      <c r="O71" s="7" t="str">
        <f ca="1">getCodigoBackend(N71,A71,VLOOKUP(N71,setup!$A$8:$H$58,2),VLOOKUP(N71,setup!$A$8:$H$58,3),VLOOKUP(N71,setup!$A$8:$H$58,4),VLOOKUP(N71,setup!$A$8:$H$58,5),VLOOKUP(N71,setup!$A$8:$H$58,6),VLOOKUP(N71,setup!$A$8:$H$58,7), VLOOKUP(0,setup!$A$8:$H$58,2),VLOOKUP(0,setup!$A$8:$H$58,5),VLOOKUP(N71,setup!$A$8:$H$58,8))</f>
        <v xml:space="preserve">                        Text(widget._campanhacashbackresgatepixVO['statusdesc'].toUpperCase(),</v>
      </c>
    </row>
    <row r="72" spans="1:15" x14ac:dyDescent="0.25">
      <c r="A72" s="19" t="s">
        <v>907</v>
      </c>
      <c r="O72" s="7" t="str">
        <f ca="1">getCodigoBackend(N72,A72,VLOOKUP(N72,setup!$A$8:$H$58,2),VLOOKUP(N72,setup!$A$8:$H$58,3),VLOOKUP(N72,setup!$A$8:$H$58,4),VLOOKUP(N72,setup!$A$8:$H$58,5),VLOOKUP(N72,setup!$A$8:$H$58,6),VLOOKUP(N72,setup!$A$8:$H$58,7), VLOOKUP(0,setup!$A$8:$H$58,2),VLOOKUP(0,setup!$A$8:$H$58,5),VLOOKUP(N72,setup!$A$8:$H$58,8))</f>
        <v xml:space="preserve">                            style: TextStyle(fontSize: 16, color: Colors.red)),</v>
      </c>
    </row>
    <row r="73" spans="1:15" x14ac:dyDescent="0.25">
      <c r="A73" s="19" t="s">
        <v>870</v>
      </c>
      <c r="N73">
        <v>0</v>
      </c>
      <c r="O73" s="7" t="str">
        <f ca="1">getCodigoBackend(N73,A73,VLOOKUP(N73,setup!$A$8:$H$58,2),VLOOKUP(N73,setup!$A$8:$H$58,3),VLOOKUP(N73,setup!$A$8:$H$58,4),VLOOKUP(N73,setup!$A$8:$H$58,5),VLOOKUP(N73,setup!$A$8:$H$58,6),VLOOKUP(N73,setup!$A$8:$H$58,7), VLOOKUP(0,setup!$A$8:$H$58,2),VLOOKUP(0,setup!$A$8:$H$58,5),VLOOKUP(N73,setup!$A$8:$H$58,8))</f>
        <v xml:space="preserve">                        Text(widget._campanhacashbackresgatepixVO['id'] ,style: TextStyle(fontSize: 14, color: Colors.black)),</v>
      </c>
    </row>
    <row r="74" spans="1:15" x14ac:dyDescent="0.25">
      <c r="A74" s="19" t="s">
        <v>870</v>
      </c>
      <c r="N74">
        <f>N73+1</f>
        <v>1</v>
      </c>
      <c r="O74" s="7" t="str">
        <f ca="1">getCodigoBackend(N74,A74,VLOOKUP(N74,setup!$A$8:$H$58,2),VLOOKUP(N74,setup!$A$8:$H$58,3),VLOOKUP(N74,setup!$A$8:$H$58,4),VLOOKUP(N74,setup!$A$8:$H$58,5),VLOOKUP(N74,setup!$A$8:$H$58,6),VLOOKUP(N74,setup!$A$8:$H$58,7), VLOOKUP(0,setup!$A$8:$H$58,2),VLOOKUP(0,setup!$A$8:$H$58,5),VLOOKUP(N74,setup!$A$8:$H$58,8))</f>
        <v xml:space="preserve">                        Text(widget._campanhacashbackresgatepixVO['idCampanhaCashback'] ,style: TextStyle(fontSize: 14, color: Colors.black)),</v>
      </c>
    </row>
    <row r="75" spans="1:15" x14ac:dyDescent="0.25">
      <c r="A75" s="19" t="s">
        <v>870</v>
      </c>
      <c r="N75">
        <f t="shared" ref="N75:N123" si="0">N74+1</f>
        <v>2</v>
      </c>
      <c r="O75" s="7" t="str">
        <f ca="1">getCodigoBackend(N75,A75,VLOOKUP(N75,setup!$A$8:$H$58,2),VLOOKUP(N75,setup!$A$8:$H$58,3),VLOOKUP(N75,setup!$A$8:$H$58,4),VLOOKUP(N75,setup!$A$8:$H$58,5),VLOOKUP(N75,setup!$A$8:$H$58,6),VLOOKUP(N75,setup!$A$8:$H$58,7), VLOOKUP(0,setup!$A$8:$H$58,2),VLOOKUP(0,setup!$A$8:$H$58,5),VLOOKUP(N75,setup!$A$8:$H$58,8))</f>
        <v xml:space="preserve">                        Text(widget._campanhacashbackresgatepixVO['idUsuarioSolicitante'] ,style: TextStyle(fontSize: 14, color: Colors.black)),</v>
      </c>
    </row>
    <row r="76" spans="1:15" x14ac:dyDescent="0.25">
      <c r="A76" s="19" t="s">
        <v>870</v>
      </c>
      <c r="N76">
        <f t="shared" si="0"/>
        <v>3</v>
      </c>
      <c r="O76" s="7" t="str">
        <f ca="1">getCodigoBackend(N76,A76,VLOOKUP(N76,setup!$A$8:$H$58,2),VLOOKUP(N76,setup!$A$8:$H$58,3),VLOOKUP(N76,setup!$A$8:$H$58,4),VLOOKUP(N76,setup!$A$8:$H$58,5),VLOOKUP(N76,setup!$A$8:$H$58,6),VLOOKUP(N76,setup!$A$8:$H$58,7), VLOOKUP(0,setup!$A$8:$H$58,2),VLOOKUP(0,setup!$A$8:$H$58,5),VLOOKUP(N76,setup!$A$8:$H$58,8))</f>
        <v xml:space="preserve">                        Text(widget._campanhacashbackresgatepixVO['tipoChavePix'] ,style: TextStyle(fontSize: 14, color: Colors.black)),</v>
      </c>
    </row>
    <row r="77" spans="1:15" x14ac:dyDescent="0.25">
      <c r="A77" s="19" t="s">
        <v>870</v>
      </c>
      <c r="N77">
        <f t="shared" si="0"/>
        <v>4</v>
      </c>
      <c r="O77" s="7" t="str">
        <f ca="1">getCodigoBackend(N77,A77,VLOOKUP(N77,setup!$A$8:$H$58,2),VLOOKUP(N77,setup!$A$8:$H$58,3),VLOOKUP(N77,setup!$A$8:$H$58,4),VLOOKUP(N77,setup!$A$8:$H$58,5),VLOOKUP(N77,setup!$A$8:$H$58,6),VLOOKUP(N77,setup!$A$8:$H$58,7), VLOOKUP(0,setup!$A$8:$H$58,2),VLOOKUP(0,setup!$A$8:$H$58,5),VLOOKUP(N77,setup!$A$8:$H$58,8))</f>
        <v xml:space="preserve">                        Text(widget._campanhacashbackresgatepixVO['chavePix'] ,style: TextStyle(fontSize: 14, color: Colors.black)),</v>
      </c>
    </row>
    <row r="78" spans="1:15" x14ac:dyDescent="0.25">
      <c r="A78" s="19" t="s">
        <v>870</v>
      </c>
      <c r="N78">
        <f t="shared" si="0"/>
        <v>5</v>
      </c>
      <c r="O78" s="7" t="str">
        <f ca="1">getCodigoBackend(N78,A78,VLOOKUP(N78,setup!$A$8:$H$58,2),VLOOKUP(N78,setup!$A$8:$H$58,3),VLOOKUP(N78,setup!$A$8:$H$58,4),VLOOKUP(N78,setup!$A$8:$H$58,5),VLOOKUP(N78,setup!$A$8:$H$58,6),VLOOKUP(N78,setup!$A$8:$H$58,7), VLOOKUP(0,setup!$A$8:$H$58,2),VLOOKUP(0,setup!$A$8:$H$58,5),VLOOKUP(N78,setup!$A$8:$H$58,8))</f>
        <v xml:space="preserve">                        Text(widget._campanhacashbackresgatepixVO['valorResgate'] ,style: TextStyle(fontSize: 14, color: Colors.black)),</v>
      </c>
    </row>
    <row r="79" spans="1:15" x14ac:dyDescent="0.25">
      <c r="A79" s="19" t="s">
        <v>870</v>
      </c>
      <c r="N79">
        <f t="shared" si="0"/>
        <v>6</v>
      </c>
      <c r="O79" s="7" t="str">
        <f ca="1">getCodigoBackend(N79,A79,VLOOKUP(N79,setup!$A$8:$H$58,2),VLOOKUP(N79,setup!$A$8:$H$58,3),VLOOKUP(N79,setup!$A$8:$H$58,4),VLOOKUP(N79,setup!$A$8:$H$58,5),VLOOKUP(N79,setup!$A$8:$H$58,6),VLOOKUP(N79,setup!$A$8:$H$58,7), VLOOKUP(0,setup!$A$8:$H$58,2),VLOOKUP(0,setup!$A$8:$H$58,5),VLOOKUP(N79,setup!$A$8:$H$58,8))</f>
        <v xml:space="preserve">                        Text(widget._campanhacashbackresgatepixVO['autenticacaoBco'] ,style: TextStyle(fontSize: 14, color: Colors.black)),</v>
      </c>
    </row>
    <row r="80" spans="1:15" x14ac:dyDescent="0.25">
      <c r="A80" s="19" t="s">
        <v>870</v>
      </c>
      <c r="N80">
        <f t="shared" si="0"/>
        <v>7</v>
      </c>
      <c r="O80" s="7" t="str">
        <f ca="1">getCodigoBackend(N80,A80,VLOOKUP(N80,setup!$A$8:$H$58,2),VLOOKUP(N80,setup!$A$8:$H$58,3),VLOOKUP(N80,setup!$A$8:$H$58,4),VLOOKUP(N80,setup!$A$8:$H$58,5),VLOOKUP(N80,setup!$A$8:$H$58,6),VLOOKUP(N80,setup!$A$8:$H$58,7), VLOOKUP(0,setup!$A$8:$H$58,2),VLOOKUP(0,setup!$A$8:$H$58,5),VLOOKUP(N80,setup!$A$8:$H$58,8))</f>
        <v xml:space="preserve">                        Text(widget._campanhacashbackresgatepixVO['estagioRealTime'] ,style: TextStyle(fontSize: 14, color: Colors.black)),</v>
      </c>
    </row>
    <row r="81" spans="1:15" x14ac:dyDescent="0.25">
      <c r="A81" s="19" t="s">
        <v>870</v>
      </c>
      <c r="N81">
        <f t="shared" si="0"/>
        <v>8</v>
      </c>
      <c r="O81" s="7" t="str">
        <f ca="1">getCodigoBackend(N81,A81,VLOOKUP(N81,setup!$A$8:$H$58,2),VLOOKUP(N81,setup!$A$8:$H$58,3),VLOOKUP(N81,setup!$A$8:$H$58,4),VLOOKUP(N81,setup!$A$8:$H$58,5),VLOOKUP(N81,setup!$A$8:$H$58,6),VLOOKUP(N81,setup!$A$8:$H$58,7), VLOOKUP(0,setup!$A$8:$H$58,2),VLOOKUP(0,setup!$A$8:$H$58,5),VLOOKUP(N81,setup!$A$8:$H$58,8))</f>
        <v xml:space="preserve">                        Text(widget._campanhacashbackresgatepixVO['dtEstagioAnalise'] ,style: TextStyle(fontSize: 14, color: Colors.black)),</v>
      </c>
    </row>
    <row r="82" spans="1:15" x14ac:dyDescent="0.25">
      <c r="A82" s="19" t="s">
        <v>870</v>
      </c>
      <c r="N82">
        <f t="shared" si="0"/>
        <v>9</v>
      </c>
      <c r="O82" s="7" t="str">
        <f ca="1">getCodigoBackend(N82,A82,VLOOKUP(N82,setup!$A$8:$H$58,2),VLOOKUP(N82,setup!$A$8:$H$58,3),VLOOKUP(N82,setup!$A$8:$H$58,4),VLOOKUP(N82,setup!$A$8:$H$58,5),VLOOKUP(N82,setup!$A$8:$H$58,6),VLOOKUP(N82,setup!$A$8:$H$58,7), VLOOKUP(0,setup!$A$8:$H$58,2),VLOOKUP(0,setup!$A$8:$H$58,5),VLOOKUP(N82,setup!$A$8:$H$58,8))</f>
        <v xml:space="preserve">                        Text(widget._campanhacashbackresgatepixVO['dtEstagioFinanceiro'] ,style: TextStyle(fontSize: 14, color: Colors.black)),</v>
      </c>
    </row>
    <row r="83" spans="1:15" x14ac:dyDescent="0.25">
      <c r="A83" s="19" t="s">
        <v>870</v>
      </c>
      <c r="N83">
        <f t="shared" si="0"/>
        <v>10</v>
      </c>
      <c r="O83" s="7" t="str">
        <f ca="1">getCodigoBackend(N83,A83,VLOOKUP(N83,setup!$A$8:$H$58,2),VLOOKUP(N83,setup!$A$8:$H$58,3),VLOOKUP(N83,setup!$A$8:$H$58,4),VLOOKUP(N83,setup!$A$8:$H$58,5),VLOOKUP(N83,setup!$A$8:$H$58,6),VLOOKUP(N83,setup!$A$8:$H$58,7), VLOOKUP(0,setup!$A$8:$H$58,2),VLOOKUP(0,setup!$A$8:$H$58,5),VLOOKUP(N83,setup!$A$8:$H$58,8))</f>
        <v xml:space="preserve">                        Text(widget._campanhacashbackresgatepixVO['dtEstagioErro'] ,style: TextStyle(fontSize: 14, color: Colors.black)),</v>
      </c>
    </row>
    <row r="84" spans="1:15" x14ac:dyDescent="0.25">
      <c r="A84" s="19" t="s">
        <v>870</v>
      </c>
      <c r="N84">
        <f t="shared" si="0"/>
        <v>11</v>
      </c>
      <c r="O84" s="7" t="str">
        <f ca="1">getCodigoBackend(N84,A84,VLOOKUP(N84,setup!$A$8:$H$58,2),VLOOKUP(N84,setup!$A$8:$H$58,3),VLOOKUP(N84,setup!$A$8:$H$58,4),VLOOKUP(N84,setup!$A$8:$H$58,5),VLOOKUP(N84,setup!$A$8:$H$58,6),VLOOKUP(N84,setup!$A$8:$H$58,7), VLOOKUP(0,setup!$A$8:$H$58,2),VLOOKUP(0,setup!$A$8:$H$58,5),VLOOKUP(N84,setup!$A$8:$H$58,8))</f>
        <v xml:space="preserve">                        Text(widget._campanhacashbackresgatepixVO['dtEstagioTranfBco'] ,style: TextStyle(fontSize: 14, color: Colors.black)),</v>
      </c>
    </row>
    <row r="85" spans="1:15" x14ac:dyDescent="0.25">
      <c r="A85" s="19" t="s">
        <v>870</v>
      </c>
      <c r="N85">
        <f t="shared" si="0"/>
        <v>12</v>
      </c>
      <c r="O85" s="7" t="str">
        <f ca="1">getCodigoBackend(N85,A85,VLOOKUP(N85,setup!$A$8:$H$58,2),VLOOKUP(N85,setup!$A$8:$H$58,3),VLOOKUP(N85,setup!$A$8:$H$58,4),VLOOKUP(N85,setup!$A$8:$H$58,5),VLOOKUP(N85,setup!$A$8:$H$58,6),VLOOKUP(N85,setup!$A$8:$H$58,7), VLOOKUP(0,setup!$A$8:$H$58,2),VLOOKUP(0,setup!$A$8:$H$58,5),VLOOKUP(N85,setup!$A$8:$H$58,8))</f>
        <v xml:space="preserve">                        Text(widget._campanhacashbackresgatepixVO['txtLivreEstagioRT'] ,style: TextStyle(fontSize: 14, color: Colors.black)),</v>
      </c>
    </row>
    <row r="86" spans="1:15" x14ac:dyDescent="0.25">
      <c r="A86" s="19" t="s">
        <v>870</v>
      </c>
      <c r="N86">
        <f t="shared" si="0"/>
        <v>13</v>
      </c>
      <c r="O86" s="7" t="e">
        <f>getCodigoBackend(N86,A86,VLOOKUP(N86,setup!$A$8:$H$58,2),VLOOKUP(N86,setup!$A$8:$H$58,3),VLOOKUP(N86,setup!$A$8:$H$58,4),VLOOKUP(N86,setup!$A$8:$H$58,5),VLOOKUP(N86,setup!$A$8:$H$58,6),VLOOKUP(N86,setup!$A$8:$H$58,7), VLOOKUP(0,setup!$A$8:$H$58,2),VLOOKUP(0,setup!$A$8:$H$58,5),VLOOKUP(N86,setup!$A$8:$H$58,8))</f>
        <v>#VALUE!</v>
      </c>
    </row>
    <row r="87" spans="1:15" x14ac:dyDescent="0.25">
      <c r="A87" s="19" t="s">
        <v>870</v>
      </c>
      <c r="N87">
        <f t="shared" si="0"/>
        <v>14</v>
      </c>
      <c r="O87" s="7" t="e">
        <f>getCodigoBackend(N87,A87,VLOOKUP(N87,setup!$A$8:$H$58,2),VLOOKUP(N87,setup!$A$8:$H$58,3),VLOOKUP(N87,setup!$A$8:$H$58,4),VLOOKUP(N87,setup!$A$8:$H$58,5),VLOOKUP(N87,setup!$A$8:$H$58,6),VLOOKUP(N87,setup!$A$8:$H$58,7), VLOOKUP(0,setup!$A$8:$H$58,2),VLOOKUP(0,setup!$A$8:$H$58,5),VLOOKUP(N87,setup!$A$8:$H$58,8))</f>
        <v>#VALUE!</v>
      </c>
    </row>
    <row r="88" spans="1:15" x14ac:dyDescent="0.25">
      <c r="A88" s="19" t="s">
        <v>870</v>
      </c>
      <c r="N88">
        <f t="shared" si="0"/>
        <v>15</v>
      </c>
      <c r="O88" s="7" t="e">
        <f>getCodigoBackend(N88,A88,VLOOKUP(N88,setup!$A$8:$H$58,2),VLOOKUP(N88,setup!$A$8:$H$58,3),VLOOKUP(N88,setup!$A$8:$H$58,4),VLOOKUP(N88,setup!$A$8:$H$58,5),VLOOKUP(N88,setup!$A$8:$H$58,6),VLOOKUP(N88,setup!$A$8:$H$58,7), VLOOKUP(0,setup!$A$8:$H$58,2),VLOOKUP(0,setup!$A$8:$H$58,5),VLOOKUP(N88,setup!$A$8:$H$58,8))</f>
        <v>#VALUE!</v>
      </c>
    </row>
    <row r="89" spans="1:15" x14ac:dyDescent="0.25">
      <c r="A89" s="19" t="s">
        <v>870</v>
      </c>
      <c r="N89">
        <f t="shared" si="0"/>
        <v>16</v>
      </c>
      <c r="O89" s="7" t="e">
        <f>getCodigoBackend(N89,A89,VLOOKUP(N89,setup!$A$8:$H$58,2),VLOOKUP(N89,setup!$A$8:$H$58,3),VLOOKUP(N89,setup!$A$8:$H$58,4),VLOOKUP(N89,setup!$A$8:$H$58,5),VLOOKUP(N89,setup!$A$8:$H$58,6),VLOOKUP(N89,setup!$A$8:$H$58,7), VLOOKUP(0,setup!$A$8:$H$58,2),VLOOKUP(0,setup!$A$8:$H$58,5),VLOOKUP(N89,setup!$A$8:$H$58,8))</f>
        <v>#VALUE!</v>
      </c>
    </row>
    <row r="90" spans="1:15" x14ac:dyDescent="0.25">
      <c r="A90" s="19" t="s">
        <v>870</v>
      </c>
      <c r="N90">
        <f t="shared" si="0"/>
        <v>17</v>
      </c>
      <c r="O90" s="7" t="e">
        <f>getCodigoBackend(N90,A90,VLOOKUP(N90,setup!$A$8:$H$58,2),VLOOKUP(N90,setup!$A$8:$H$58,3),VLOOKUP(N90,setup!$A$8:$H$58,4),VLOOKUP(N90,setup!$A$8:$H$58,5),VLOOKUP(N90,setup!$A$8:$H$58,6),VLOOKUP(N90,setup!$A$8:$H$58,7), VLOOKUP(0,setup!$A$8:$H$58,2),VLOOKUP(0,setup!$A$8:$H$58,5),VLOOKUP(N90,setup!$A$8:$H$58,8))</f>
        <v>#VALUE!</v>
      </c>
    </row>
    <row r="91" spans="1:15" x14ac:dyDescent="0.25">
      <c r="A91" s="19" t="s">
        <v>870</v>
      </c>
      <c r="N91">
        <f t="shared" si="0"/>
        <v>18</v>
      </c>
      <c r="O91" s="7" t="e">
        <f>getCodigoBackend(N91,A91,VLOOKUP(N91,setup!$A$8:$H$58,2),VLOOKUP(N91,setup!$A$8:$H$58,3),VLOOKUP(N91,setup!$A$8:$H$58,4),VLOOKUP(N91,setup!$A$8:$H$58,5),VLOOKUP(N91,setup!$A$8:$H$58,6),VLOOKUP(N91,setup!$A$8:$H$58,7), VLOOKUP(0,setup!$A$8:$H$58,2),VLOOKUP(0,setup!$A$8:$H$58,5),VLOOKUP(N91,setup!$A$8:$H$58,8))</f>
        <v>#VALUE!</v>
      </c>
    </row>
    <row r="92" spans="1:15" x14ac:dyDescent="0.25">
      <c r="A92" s="19" t="s">
        <v>870</v>
      </c>
      <c r="N92">
        <f t="shared" si="0"/>
        <v>19</v>
      </c>
      <c r="O92" s="7" t="e">
        <f>getCodigoBackend(N92,A92,VLOOKUP(N92,setup!$A$8:$H$58,2),VLOOKUP(N92,setup!$A$8:$H$58,3),VLOOKUP(N92,setup!$A$8:$H$58,4),VLOOKUP(N92,setup!$A$8:$H$58,5),VLOOKUP(N92,setup!$A$8:$H$58,6),VLOOKUP(N92,setup!$A$8:$H$58,7), VLOOKUP(0,setup!$A$8:$H$58,2),VLOOKUP(0,setup!$A$8:$H$58,5),VLOOKUP(N92,setup!$A$8:$H$58,8))</f>
        <v>#VALUE!</v>
      </c>
    </row>
    <row r="93" spans="1:15" x14ac:dyDescent="0.25">
      <c r="A93" s="19" t="s">
        <v>870</v>
      </c>
      <c r="N93">
        <f t="shared" si="0"/>
        <v>20</v>
      </c>
      <c r="O93" s="7" t="e">
        <f>getCodigoBackend(N93,A93,VLOOKUP(N93,setup!$A$8:$H$58,2),VLOOKUP(N93,setup!$A$8:$H$58,3),VLOOKUP(N93,setup!$A$8:$H$58,4),VLOOKUP(N93,setup!$A$8:$H$58,5),VLOOKUP(N93,setup!$A$8:$H$58,6),VLOOKUP(N93,setup!$A$8:$H$58,7), VLOOKUP(0,setup!$A$8:$H$58,2),VLOOKUP(0,setup!$A$8:$H$58,5),VLOOKUP(N93,setup!$A$8:$H$58,8))</f>
        <v>#VALUE!</v>
      </c>
    </row>
    <row r="94" spans="1:15" x14ac:dyDescent="0.25">
      <c r="A94" s="19" t="s">
        <v>870</v>
      </c>
      <c r="N94">
        <f t="shared" si="0"/>
        <v>21</v>
      </c>
      <c r="O94" s="7" t="e">
        <f>getCodigoBackend(N94,A94,VLOOKUP(N94,setup!$A$8:$H$58,2),VLOOKUP(N94,setup!$A$8:$H$58,3),VLOOKUP(N94,setup!$A$8:$H$58,4),VLOOKUP(N94,setup!$A$8:$H$58,5),VLOOKUP(N94,setup!$A$8:$H$58,6),VLOOKUP(N94,setup!$A$8:$H$58,7), VLOOKUP(0,setup!$A$8:$H$58,2),VLOOKUP(0,setup!$A$8:$H$58,5),VLOOKUP(N94,setup!$A$8:$H$58,8))</f>
        <v>#VALUE!</v>
      </c>
    </row>
    <row r="95" spans="1:15" x14ac:dyDescent="0.25">
      <c r="A95" s="19" t="s">
        <v>870</v>
      </c>
      <c r="N95">
        <f t="shared" si="0"/>
        <v>22</v>
      </c>
      <c r="O95" s="7" t="e">
        <f>getCodigoBackend(N95,A95,VLOOKUP(N95,setup!$A$8:$H$58,2),VLOOKUP(N95,setup!$A$8:$H$58,3),VLOOKUP(N95,setup!$A$8:$H$58,4),VLOOKUP(N95,setup!$A$8:$H$58,5),VLOOKUP(N95,setup!$A$8:$H$58,6),VLOOKUP(N95,setup!$A$8:$H$58,7), VLOOKUP(0,setup!$A$8:$H$58,2),VLOOKUP(0,setup!$A$8:$H$58,5),VLOOKUP(N95,setup!$A$8:$H$58,8))</f>
        <v>#VALUE!</v>
      </c>
    </row>
    <row r="96" spans="1:15" x14ac:dyDescent="0.25">
      <c r="A96" s="19" t="s">
        <v>870</v>
      </c>
      <c r="N96">
        <f t="shared" si="0"/>
        <v>23</v>
      </c>
      <c r="O96" s="7" t="e">
        <f>getCodigoBackend(N96,A96,VLOOKUP(N96,setup!$A$8:$H$58,2),VLOOKUP(N96,setup!$A$8:$H$58,3),VLOOKUP(N96,setup!$A$8:$H$58,4),VLOOKUP(N96,setup!$A$8:$H$58,5),VLOOKUP(N96,setup!$A$8:$H$58,6),VLOOKUP(N96,setup!$A$8:$H$58,7), VLOOKUP(0,setup!$A$8:$H$58,2),VLOOKUP(0,setup!$A$8:$H$58,5),VLOOKUP(N96,setup!$A$8:$H$58,8))</f>
        <v>#VALUE!</v>
      </c>
    </row>
    <row r="97" spans="1:15" x14ac:dyDescent="0.25">
      <c r="A97" s="19" t="s">
        <v>870</v>
      </c>
      <c r="N97">
        <f t="shared" si="0"/>
        <v>24</v>
      </c>
      <c r="O97" s="7" t="e">
        <f>getCodigoBackend(N97,A97,VLOOKUP(N97,setup!$A$8:$H$58,2),VLOOKUP(N97,setup!$A$8:$H$58,3),VLOOKUP(N97,setup!$A$8:$H$58,4),VLOOKUP(N97,setup!$A$8:$H$58,5),VLOOKUP(N97,setup!$A$8:$H$58,6),VLOOKUP(N97,setup!$A$8:$H$58,7), VLOOKUP(0,setup!$A$8:$H$58,2),VLOOKUP(0,setup!$A$8:$H$58,5),VLOOKUP(N97,setup!$A$8:$H$58,8))</f>
        <v>#VALUE!</v>
      </c>
    </row>
    <row r="98" spans="1:15" x14ac:dyDescent="0.25">
      <c r="A98" s="19" t="s">
        <v>870</v>
      </c>
      <c r="N98">
        <f t="shared" si="0"/>
        <v>25</v>
      </c>
      <c r="O98" s="7" t="e">
        <f>getCodigoBackend(N98,A98,VLOOKUP(N98,setup!$A$8:$H$58,2),VLOOKUP(N98,setup!$A$8:$H$58,3),VLOOKUP(N98,setup!$A$8:$H$58,4),VLOOKUP(N98,setup!$A$8:$H$58,5),VLOOKUP(N98,setup!$A$8:$H$58,6),VLOOKUP(N98,setup!$A$8:$H$58,7), VLOOKUP(0,setup!$A$8:$H$58,2),VLOOKUP(0,setup!$A$8:$H$58,5),VLOOKUP(N98,setup!$A$8:$H$58,8))</f>
        <v>#VALUE!</v>
      </c>
    </row>
    <row r="99" spans="1:15" x14ac:dyDescent="0.25">
      <c r="A99" s="19" t="s">
        <v>870</v>
      </c>
      <c r="N99">
        <f t="shared" si="0"/>
        <v>26</v>
      </c>
      <c r="O99" s="7" t="e">
        <f>getCodigoBackend(N99,A99,VLOOKUP(N99,setup!$A$8:$H$58,2),VLOOKUP(N99,setup!$A$8:$H$58,3),VLOOKUP(N99,setup!$A$8:$H$58,4),VLOOKUP(N99,setup!$A$8:$H$58,5),VLOOKUP(N99,setup!$A$8:$H$58,6),VLOOKUP(N99,setup!$A$8:$H$58,7), VLOOKUP(0,setup!$A$8:$H$58,2),VLOOKUP(0,setup!$A$8:$H$58,5),VLOOKUP(N99,setup!$A$8:$H$58,8))</f>
        <v>#VALUE!</v>
      </c>
    </row>
    <row r="100" spans="1:15" x14ac:dyDescent="0.25">
      <c r="A100" s="19" t="s">
        <v>870</v>
      </c>
      <c r="N100">
        <f t="shared" si="0"/>
        <v>27</v>
      </c>
      <c r="O100" s="7" t="e">
        <f>getCodigoBackend(N100,A100,VLOOKUP(N100,setup!$A$8:$H$58,2),VLOOKUP(N100,setup!$A$8:$H$58,3),VLOOKUP(N100,setup!$A$8:$H$58,4),VLOOKUP(N100,setup!$A$8:$H$58,5),VLOOKUP(N100,setup!$A$8:$H$58,6),VLOOKUP(N100,setup!$A$8:$H$58,7), VLOOKUP(0,setup!$A$8:$H$58,2),VLOOKUP(0,setup!$A$8:$H$58,5),VLOOKUP(N100,setup!$A$8:$H$58,8))</f>
        <v>#VALUE!</v>
      </c>
    </row>
    <row r="101" spans="1:15" x14ac:dyDescent="0.25">
      <c r="A101" s="19" t="s">
        <v>870</v>
      </c>
      <c r="N101">
        <f t="shared" si="0"/>
        <v>28</v>
      </c>
      <c r="O101" s="7" t="e">
        <f>getCodigoBackend(N101,A101,VLOOKUP(N101,setup!$A$8:$H$58,2),VLOOKUP(N101,setup!$A$8:$H$58,3),VLOOKUP(N101,setup!$A$8:$H$58,4),VLOOKUP(N101,setup!$A$8:$H$58,5),VLOOKUP(N101,setup!$A$8:$H$58,6),VLOOKUP(N101,setup!$A$8:$H$58,7), VLOOKUP(0,setup!$A$8:$H$58,2),VLOOKUP(0,setup!$A$8:$H$58,5),VLOOKUP(N101,setup!$A$8:$H$58,8))</f>
        <v>#VALUE!</v>
      </c>
    </row>
    <row r="102" spans="1:15" x14ac:dyDescent="0.25">
      <c r="A102" s="19" t="s">
        <v>870</v>
      </c>
      <c r="N102">
        <f t="shared" si="0"/>
        <v>29</v>
      </c>
      <c r="O102" s="7" t="e">
        <f>getCodigoBackend(N102,A102,VLOOKUP(N102,setup!$A$8:$H$58,2),VLOOKUP(N102,setup!$A$8:$H$58,3),VLOOKUP(N102,setup!$A$8:$H$58,4),VLOOKUP(N102,setup!$A$8:$H$58,5),VLOOKUP(N102,setup!$A$8:$H$58,6),VLOOKUP(N102,setup!$A$8:$H$58,7), VLOOKUP(0,setup!$A$8:$H$58,2),VLOOKUP(0,setup!$A$8:$H$58,5),VLOOKUP(N102,setup!$A$8:$H$58,8))</f>
        <v>#VALUE!</v>
      </c>
    </row>
    <row r="103" spans="1:15" x14ac:dyDescent="0.25">
      <c r="A103" s="19" t="s">
        <v>870</v>
      </c>
      <c r="N103">
        <f t="shared" si="0"/>
        <v>30</v>
      </c>
      <c r="O103" s="7" t="e">
        <f>getCodigoBackend(N103,A103,VLOOKUP(N103,setup!$A$8:$H$58,2),VLOOKUP(N103,setup!$A$8:$H$58,3),VLOOKUP(N103,setup!$A$8:$H$58,4),VLOOKUP(N103,setup!$A$8:$H$58,5),VLOOKUP(N103,setup!$A$8:$H$58,6),VLOOKUP(N103,setup!$A$8:$H$58,7), VLOOKUP(0,setup!$A$8:$H$58,2),VLOOKUP(0,setup!$A$8:$H$58,5),VLOOKUP(N103,setup!$A$8:$H$58,8))</f>
        <v>#VALUE!</v>
      </c>
    </row>
    <row r="104" spans="1:15" x14ac:dyDescent="0.25">
      <c r="A104" s="19" t="s">
        <v>870</v>
      </c>
      <c r="N104">
        <f t="shared" si="0"/>
        <v>31</v>
      </c>
      <c r="O104" s="7" t="e">
        <f>getCodigoBackend(N104,A104,VLOOKUP(N104,setup!$A$8:$H$58,2),VLOOKUP(N104,setup!$A$8:$H$58,3),VLOOKUP(N104,setup!$A$8:$H$58,4),VLOOKUP(N104,setup!$A$8:$H$58,5),VLOOKUP(N104,setup!$A$8:$H$58,6),VLOOKUP(N104,setup!$A$8:$H$58,7), VLOOKUP(0,setup!$A$8:$H$58,2),VLOOKUP(0,setup!$A$8:$H$58,5),VLOOKUP(N104,setup!$A$8:$H$58,8))</f>
        <v>#VALUE!</v>
      </c>
    </row>
    <row r="105" spans="1:15" x14ac:dyDescent="0.25">
      <c r="A105" s="19" t="s">
        <v>870</v>
      </c>
      <c r="N105">
        <f t="shared" si="0"/>
        <v>32</v>
      </c>
      <c r="O105" s="7" t="e">
        <f>getCodigoBackend(N105,A105,VLOOKUP(N105,setup!$A$8:$H$58,2),VLOOKUP(N105,setup!$A$8:$H$58,3),VLOOKUP(N105,setup!$A$8:$H$58,4),VLOOKUP(N105,setup!$A$8:$H$58,5),VLOOKUP(N105,setup!$A$8:$H$58,6),VLOOKUP(N105,setup!$A$8:$H$58,7), VLOOKUP(0,setup!$A$8:$H$58,2),VLOOKUP(0,setup!$A$8:$H$58,5),VLOOKUP(N105,setup!$A$8:$H$58,8))</f>
        <v>#VALUE!</v>
      </c>
    </row>
    <row r="106" spans="1:15" x14ac:dyDescent="0.25">
      <c r="A106" s="19" t="s">
        <v>870</v>
      </c>
      <c r="N106">
        <f t="shared" si="0"/>
        <v>33</v>
      </c>
      <c r="O106" s="7" t="e">
        <f>getCodigoBackend(N106,A106,VLOOKUP(N106,setup!$A$8:$H$58,2),VLOOKUP(N106,setup!$A$8:$H$58,3),VLOOKUP(N106,setup!$A$8:$H$58,4),VLOOKUP(N106,setup!$A$8:$H$58,5),VLOOKUP(N106,setup!$A$8:$H$58,6),VLOOKUP(N106,setup!$A$8:$H$58,7), VLOOKUP(0,setup!$A$8:$H$58,2),VLOOKUP(0,setup!$A$8:$H$58,5),VLOOKUP(N106,setup!$A$8:$H$58,8))</f>
        <v>#VALUE!</v>
      </c>
    </row>
    <row r="107" spans="1:15" x14ac:dyDescent="0.25">
      <c r="A107" s="19" t="s">
        <v>870</v>
      </c>
      <c r="N107">
        <f t="shared" si="0"/>
        <v>34</v>
      </c>
      <c r="O107" s="7" t="e">
        <f>getCodigoBackend(N107,A107,VLOOKUP(N107,setup!$A$8:$H$58,2),VLOOKUP(N107,setup!$A$8:$H$58,3),VLOOKUP(N107,setup!$A$8:$H$58,4),VLOOKUP(N107,setup!$A$8:$H$58,5),VLOOKUP(N107,setup!$A$8:$H$58,6),VLOOKUP(N107,setup!$A$8:$H$58,7), VLOOKUP(0,setup!$A$8:$H$58,2),VLOOKUP(0,setup!$A$8:$H$58,5),VLOOKUP(N107,setup!$A$8:$H$58,8))</f>
        <v>#VALUE!</v>
      </c>
    </row>
    <row r="108" spans="1:15" x14ac:dyDescent="0.25">
      <c r="A108" s="19" t="s">
        <v>870</v>
      </c>
      <c r="N108">
        <f t="shared" si="0"/>
        <v>35</v>
      </c>
      <c r="O108" s="7" t="e">
        <f>getCodigoBackend(N108,A108,VLOOKUP(N108,setup!$A$8:$H$58,2),VLOOKUP(N108,setup!$A$8:$H$58,3),VLOOKUP(N108,setup!$A$8:$H$58,4),VLOOKUP(N108,setup!$A$8:$H$58,5),VLOOKUP(N108,setup!$A$8:$H$58,6),VLOOKUP(N108,setup!$A$8:$H$58,7), VLOOKUP(0,setup!$A$8:$H$58,2),VLOOKUP(0,setup!$A$8:$H$58,5),VLOOKUP(N108,setup!$A$8:$H$58,8))</f>
        <v>#VALUE!</v>
      </c>
    </row>
    <row r="109" spans="1:15" x14ac:dyDescent="0.25">
      <c r="A109" s="19" t="s">
        <v>870</v>
      </c>
      <c r="N109">
        <f t="shared" si="0"/>
        <v>36</v>
      </c>
      <c r="O109" s="7" t="e">
        <f>getCodigoBackend(N109,A109,VLOOKUP(N109,setup!$A$8:$H$58,2),VLOOKUP(N109,setup!$A$8:$H$58,3),VLOOKUP(N109,setup!$A$8:$H$58,4),VLOOKUP(N109,setup!$A$8:$H$58,5),VLOOKUP(N109,setup!$A$8:$H$58,6),VLOOKUP(N109,setup!$A$8:$H$58,7), VLOOKUP(0,setup!$A$8:$H$58,2),VLOOKUP(0,setup!$A$8:$H$58,5),VLOOKUP(N109,setup!$A$8:$H$58,8))</f>
        <v>#VALUE!</v>
      </c>
    </row>
    <row r="110" spans="1:15" x14ac:dyDescent="0.25">
      <c r="A110" s="19" t="s">
        <v>870</v>
      </c>
      <c r="N110">
        <f t="shared" si="0"/>
        <v>37</v>
      </c>
      <c r="O110" s="7" t="e">
        <f>getCodigoBackend(N110,A110,VLOOKUP(N110,setup!$A$8:$H$58,2),VLOOKUP(N110,setup!$A$8:$H$58,3),VLOOKUP(N110,setup!$A$8:$H$58,4),VLOOKUP(N110,setup!$A$8:$H$58,5),VLOOKUP(N110,setup!$A$8:$H$58,6),VLOOKUP(N110,setup!$A$8:$H$58,7), VLOOKUP(0,setup!$A$8:$H$58,2),VLOOKUP(0,setup!$A$8:$H$58,5),VLOOKUP(N110,setup!$A$8:$H$58,8))</f>
        <v>#VALUE!</v>
      </c>
    </row>
    <row r="111" spans="1:15" x14ac:dyDescent="0.25">
      <c r="A111" s="19" t="s">
        <v>870</v>
      </c>
      <c r="N111">
        <f t="shared" si="0"/>
        <v>38</v>
      </c>
      <c r="O111" s="7" t="e">
        <f>getCodigoBackend(N111,A111,VLOOKUP(N111,setup!$A$8:$H$58,2),VLOOKUP(N111,setup!$A$8:$H$58,3),VLOOKUP(N111,setup!$A$8:$H$58,4),VLOOKUP(N111,setup!$A$8:$H$58,5),VLOOKUP(N111,setup!$A$8:$H$58,6),VLOOKUP(N111,setup!$A$8:$H$58,7), VLOOKUP(0,setup!$A$8:$H$58,2),VLOOKUP(0,setup!$A$8:$H$58,5),VLOOKUP(N111,setup!$A$8:$H$58,8))</f>
        <v>#VALUE!</v>
      </c>
    </row>
    <row r="112" spans="1:15" x14ac:dyDescent="0.25">
      <c r="A112" s="19" t="s">
        <v>870</v>
      </c>
      <c r="N112">
        <f t="shared" si="0"/>
        <v>39</v>
      </c>
      <c r="O112" s="7" t="e">
        <f>getCodigoBackend(N112,A112,VLOOKUP(N112,setup!$A$8:$H$58,2),VLOOKUP(N112,setup!$A$8:$H$58,3),VLOOKUP(N112,setup!$A$8:$H$58,4),VLOOKUP(N112,setup!$A$8:$H$58,5),VLOOKUP(N112,setup!$A$8:$H$58,6),VLOOKUP(N112,setup!$A$8:$H$58,7), VLOOKUP(0,setup!$A$8:$H$58,2),VLOOKUP(0,setup!$A$8:$H$58,5),VLOOKUP(N112,setup!$A$8:$H$58,8))</f>
        <v>#VALUE!</v>
      </c>
    </row>
    <row r="113" spans="1:15" x14ac:dyDescent="0.25">
      <c r="A113" s="19" t="s">
        <v>870</v>
      </c>
      <c r="N113">
        <f t="shared" si="0"/>
        <v>40</v>
      </c>
      <c r="O113" s="7" t="e">
        <f>getCodigoBackend(N113,A113,VLOOKUP(N113,setup!$A$8:$H$58,2),VLOOKUP(N113,setup!$A$8:$H$58,3),VLOOKUP(N113,setup!$A$8:$H$58,4),VLOOKUP(N113,setup!$A$8:$H$58,5),VLOOKUP(N113,setup!$A$8:$H$58,6),VLOOKUP(N113,setup!$A$8:$H$58,7), VLOOKUP(0,setup!$A$8:$H$58,2),VLOOKUP(0,setup!$A$8:$H$58,5),VLOOKUP(N113,setup!$A$8:$H$58,8))</f>
        <v>#VALUE!</v>
      </c>
    </row>
    <row r="114" spans="1:15" x14ac:dyDescent="0.25">
      <c r="A114" s="19" t="s">
        <v>870</v>
      </c>
      <c r="N114">
        <f t="shared" si="0"/>
        <v>41</v>
      </c>
      <c r="O114" s="7" t="e">
        <f>getCodigoBackend(N114,A114,VLOOKUP(N114,setup!$A$8:$H$58,2),VLOOKUP(N114,setup!$A$8:$H$58,3),VLOOKUP(N114,setup!$A$8:$H$58,4),VLOOKUP(N114,setup!$A$8:$H$58,5),VLOOKUP(N114,setup!$A$8:$H$58,6),VLOOKUP(N114,setup!$A$8:$H$58,7), VLOOKUP(0,setup!$A$8:$H$58,2),VLOOKUP(0,setup!$A$8:$H$58,5),VLOOKUP(N114,setup!$A$8:$H$58,8))</f>
        <v>#VALUE!</v>
      </c>
    </row>
    <row r="115" spans="1:15" x14ac:dyDescent="0.25">
      <c r="A115" s="19" t="s">
        <v>870</v>
      </c>
      <c r="N115">
        <f t="shared" si="0"/>
        <v>42</v>
      </c>
      <c r="O115" s="7" t="e">
        <f>getCodigoBackend(N115,A115,VLOOKUP(N115,setup!$A$8:$H$58,2),VLOOKUP(N115,setup!$A$8:$H$58,3),VLOOKUP(N115,setup!$A$8:$H$58,4),VLOOKUP(N115,setup!$A$8:$H$58,5),VLOOKUP(N115,setup!$A$8:$H$58,6),VLOOKUP(N115,setup!$A$8:$H$58,7), VLOOKUP(0,setup!$A$8:$H$58,2),VLOOKUP(0,setup!$A$8:$H$58,5),VLOOKUP(N115,setup!$A$8:$H$58,8))</f>
        <v>#VALUE!</v>
      </c>
    </row>
    <row r="116" spans="1:15" x14ac:dyDescent="0.25">
      <c r="A116" s="19" t="s">
        <v>870</v>
      </c>
      <c r="N116">
        <f t="shared" si="0"/>
        <v>43</v>
      </c>
      <c r="O116" s="7" t="e">
        <f>getCodigoBackend(N116,A116,VLOOKUP(N116,setup!$A$8:$H$58,2),VLOOKUP(N116,setup!$A$8:$H$58,3),VLOOKUP(N116,setup!$A$8:$H$58,4),VLOOKUP(N116,setup!$A$8:$H$58,5),VLOOKUP(N116,setup!$A$8:$H$58,6),VLOOKUP(N116,setup!$A$8:$H$58,7), VLOOKUP(0,setup!$A$8:$H$58,2),VLOOKUP(0,setup!$A$8:$H$58,5),VLOOKUP(N116,setup!$A$8:$H$58,8))</f>
        <v>#VALUE!</v>
      </c>
    </row>
    <row r="117" spans="1:15" x14ac:dyDescent="0.25">
      <c r="A117" s="19" t="s">
        <v>870</v>
      </c>
      <c r="N117">
        <f t="shared" si="0"/>
        <v>44</v>
      </c>
      <c r="O117" s="7" t="e">
        <f>getCodigoBackend(N117,A117,VLOOKUP(N117,setup!$A$8:$H$58,2),VLOOKUP(N117,setup!$A$8:$H$58,3),VLOOKUP(N117,setup!$A$8:$H$58,4),VLOOKUP(N117,setup!$A$8:$H$58,5),VLOOKUP(N117,setup!$A$8:$H$58,6),VLOOKUP(N117,setup!$A$8:$H$58,7), VLOOKUP(0,setup!$A$8:$H$58,2),VLOOKUP(0,setup!$A$8:$H$58,5),VLOOKUP(N117,setup!$A$8:$H$58,8))</f>
        <v>#VALUE!</v>
      </c>
    </row>
    <row r="118" spans="1:15" x14ac:dyDescent="0.25">
      <c r="A118" s="19" t="s">
        <v>870</v>
      </c>
      <c r="N118">
        <f t="shared" si="0"/>
        <v>45</v>
      </c>
      <c r="O118" s="7" t="e">
        <f>getCodigoBackend(N118,A118,VLOOKUP(N118,setup!$A$8:$H$58,2),VLOOKUP(N118,setup!$A$8:$H$58,3),VLOOKUP(N118,setup!$A$8:$H$58,4),VLOOKUP(N118,setup!$A$8:$H$58,5),VLOOKUP(N118,setup!$A$8:$H$58,6),VLOOKUP(N118,setup!$A$8:$H$58,7), VLOOKUP(0,setup!$A$8:$H$58,2),VLOOKUP(0,setup!$A$8:$H$58,5),VLOOKUP(N118,setup!$A$8:$H$58,8))</f>
        <v>#VALUE!</v>
      </c>
    </row>
    <row r="119" spans="1:15" x14ac:dyDescent="0.25">
      <c r="A119" s="19" t="s">
        <v>870</v>
      </c>
      <c r="N119">
        <f t="shared" si="0"/>
        <v>46</v>
      </c>
      <c r="O119" s="7" t="e">
        <f>getCodigoBackend(N119,A119,VLOOKUP(N119,setup!$A$8:$H$58,2),VLOOKUP(N119,setup!$A$8:$H$58,3),VLOOKUP(N119,setup!$A$8:$H$58,4),VLOOKUP(N119,setup!$A$8:$H$58,5),VLOOKUP(N119,setup!$A$8:$H$58,6),VLOOKUP(N119,setup!$A$8:$H$58,7), VLOOKUP(0,setup!$A$8:$H$58,2),VLOOKUP(0,setup!$A$8:$H$58,5),VLOOKUP(N119,setup!$A$8:$H$58,8))</f>
        <v>#VALUE!</v>
      </c>
    </row>
    <row r="120" spans="1:15" x14ac:dyDescent="0.25">
      <c r="A120" s="19" t="s">
        <v>870</v>
      </c>
      <c r="N120">
        <f t="shared" si="0"/>
        <v>47</v>
      </c>
      <c r="O120" s="7" t="e">
        <f>getCodigoBackend(N120,A120,VLOOKUP(N120,setup!$A$8:$H$58,2),VLOOKUP(N120,setup!$A$8:$H$58,3),VLOOKUP(N120,setup!$A$8:$H$58,4),VLOOKUP(N120,setup!$A$8:$H$58,5),VLOOKUP(N120,setup!$A$8:$H$58,6),VLOOKUP(N120,setup!$A$8:$H$58,7), VLOOKUP(0,setup!$A$8:$H$58,2),VLOOKUP(0,setup!$A$8:$H$58,5),VLOOKUP(N120,setup!$A$8:$H$58,8))</f>
        <v>#VALUE!</v>
      </c>
    </row>
    <row r="121" spans="1:15" x14ac:dyDescent="0.25">
      <c r="A121" s="19" t="s">
        <v>870</v>
      </c>
      <c r="N121">
        <f t="shared" si="0"/>
        <v>48</v>
      </c>
      <c r="O121" s="7" t="str">
        <f ca="1">getCodigoBackend(N121,A121,VLOOKUP(N121,setup!$A$8:$H$58,2),VLOOKUP(N121,setup!$A$8:$H$58,3),VLOOKUP(N121,setup!$A$8:$H$58,4),VLOOKUP(N121,setup!$A$8:$H$58,5),VLOOKUP(N121,setup!$A$8:$H$58,6),VLOOKUP(N121,setup!$A$8:$H$58,7), VLOOKUP(0,setup!$A$8:$H$58,2),VLOOKUP(0,setup!$A$8:$H$58,5),VLOOKUP(N121,setup!$A$8:$H$58,8))</f>
        <v xml:space="preserve">                        Text(widget._campanhacashbackresgatepixVO['status'] ,style: TextStyle(fontSize: 14, color: Colors.black)),</v>
      </c>
    </row>
    <row r="122" spans="1:15" x14ac:dyDescent="0.25">
      <c r="A122" s="19" t="s">
        <v>870</v>
      </c>
      <c r="N122">
        <f t="shared" si="0"/>
        <v>49</v>
      </c>
      <c r="O122" s="7" t="str">
        <f ca="1">getCodigoBackend(N122,A122,VLOOKUP(N122,setup!$A$8:$H$58,2),VLOOKUP(N122,setup!$A$8:$H$58,3),VLOOKUP(N122,setup!$A$8:$H$58,4),VLOOKUP(N122,setup!$A$8:$H$58,5),VLOOKUP(N122,setup!$A$8:$H$58,6),VLOOKUP(N122,setup!$A$8:$H$58,7), VLOOKUP(0,setup!$A$8:$H$58,2),VLOOKUP(0,setup!$A$8:$H$58,5),VLOOKUP(N122,setup!$A$8:$H$58,8))</f>
        <v xml:space="preserve">                        Text(widget._campanhacashbackresgatepixVO['dataCadastro'] ,style: TextStyle(fontSize: 14, color: Colors.black)),</v>
      </c>
    </row>
    <row r="123" spans="1:15" x14ac:dyDescent="0.25">
      <c r="A123" s="19" t="s">
        <v>870</v>
      </c>
      <c r="N123">
        <f t="shared" si="0"/>
        <v>50</v>
      </c>
      <c r="O123" s="7" t="str">
        <f ca="1">getCodigoBackend(N123,A123,VLOOKUP(N123,setup!$A$8:$H$58,2),VLOOKUP(N123,setup!$A$8:$H$58,3),VLOOKUP(N123,setup!$A$8:$H$58,4),VLOOKUP(N123,setup!$A$8:$H$58,5),VLOOKUP(N123,setup!$A$8:$H$58,6),VLOOKUP(N123,setup!$A$8:$H$58,7), VLOOKUP(0,setup!$A$8:$H$58,2),VLOOKUP(0,setup!$A$8:$H$58,5),VLOOKUP(N123,setup!$A$8:$H$58,8))</f>
        <v xml:space="preserve">                        Text(widget._campanhacashbackresgatepixVO['dataAtualizacao'] ,style: TextStyle(fontSize: 14, color: Colors.black)),</v>
      </c>
    </row>
    <row r="124" spans="1:15" x14ac:dyDescent="0.25">
      <c r="A124" s="19" t="s">
        <v>866</v>
      </c>
      <c r="O124" s="7" t="str">
        <f ca="1">getCodigoBackend(N124,A124,VLOOKUP(N124,setup!$A$8:$H$58,2),VLOOKUP(N124,setup!$A$8:$H$58,3),VLOOKUP(N124,setup!$A$8:$H$58,4),VLOOKUP(N124,setup!$A$8:$H$58,5),VLOOKUP(N124,setup!$A$8:$H$58,6),VLOOKUP(N124,setup!$A$8:$H$58,7), VLOOKUP(0,setup!$A$8:$H$58,2),VLOOKUP(0,setup!$A$8:$H$58,5),VLOOKUP(N124,setup!$A$8:$H$58,8))</f>
        <v xml:space="preserve">                      ],</v>
      </c>
    </row>
    <row r="125" spans="1:15" x14ac:dyDescent="0.25">
      <c r="A125" s="19" t="s">
        <v>867</v>
      </c>
      <c r="O125" s="7" t="str">
        <f ca="1">getCodigoBackend(N125,A125,VLOOKUP(N125,setup!$A$8:$H$58,2),VLOOKUP(N125,setup!$A$8:$H$58,3),VLOOKUP(N125,setup!$A$8:$H$58,4),VLOOKUP(N125,setup!$A$8:$H$58,5),VLOOKUP(N125,setup!$A$8:$H$58,6),VLOOKUP(N125,setup!$A$8:$H$58,7), VLOOKUP(0,setup!$A$8:$H$58,2),VLOOKUP(0,setup!$A$8:$H$58,5),VLOOKUP(N125,setup!$A$8:$H$58,8))</f>
        <v xml:space="preserve">                    ),</v>
      </c>
    </row>
    <row r="126" spans="1:15" x14ac:dyDescent="0.25">
      <c r="A126" s="19" t="s">
        <v>908</v>
      </c>
      <c r="O126" s="7" t="str">
        <f ca="1">getCodigoBackend(N126,A126,VLOOKUP(N126,setup!$A$8:$H$58,2),VLOOKUP(N126,setup!$A$8:$H$58,3),VLOOKUP(N126,setup!$A$8:$H$58,4),VLOOKUP(N126,setup!$A$8:$H$58,5),VLOOKUP(N126,setup!$A$8:$H$58,6),VLOOKUP(N126,setup!$A$8:$H$58,7), VLOOKUP(0,setup!$A$8:$H$58,2),VLOOKUP(0,setup!$A$8:$H$58,5),VLOOKUP(N126,setup!$A$8:$H$58,8))</f>
        <v xml:space="preserve">                    IconButton(icon: Icon(Icons.arrow_drop_down), onPressed: (){</v>
      </c>
    </row>
    <row r="127" spans="1:15" x14ac:dyDescent="0.25">
      <c r="A127" s="19" t="s">
        <v>909</v>
      </c>
      <c r="O127" s="7" t="str">
        <f ca="1">getCodigoBackend(N127,A127,VLOOKUP(N127,setup!$A$8:$H$58,2),VLOOKUP(N127,setup!$A$8:$H$58,3),VLOOKUP(N127,setup!$A$8:$H$58,4),VLOOKUP(N127,setup!$A$8:$H$58,5),VLOOKUP(N127,setup!$A$8:$H$58,6),VLOOKUP(N127,setup!$A$8:$H$58,7), VLOOKUP(0,setup!$A$8:$H$58,2),VLOOKUP(0,setup!$A$8:$H$58,5),VLOOKUP(N127,setup!$A$8:$H$58,8))</f>
        <v xml:space="preserve">                      setState(() {</v>
      </c>
    </row>
    <row r="128" spans="1:15" x14ac:dyDescent="0.25">
      <c r="A128" s="18" t="s">
        <v>910</v>
      </c>
      <c r="O128" s="7" t="str">
        <f ca="1">getCodigoBackend(N128,A128,VLOOKUP(N128,setup!$A$8:$H$58,2),VLOOKUP(N128,setup!$A$8:$H$58,3),VLOOKUP(N128,setup!$A$8:$H$58,4),VLOOKUP(N128,setup!$A$8:$H$58,5),VLOOKUP(N128,setup!$A$8:$H$58,6),VLOOKUP(N128,setup!$A$8:$H$58,7), VLOOKUP(0,setup!$A$8:$H$58,2),VLOOKUP(0,setup!$A$8:$H$58,5),VLOOKUP(N128,setup!$A$8:$H$58,8))</f>
        <v xml:space="preserve">                         _isVisibleActionBtn = !_isVisibleActionBtn;</v>
      </c>
    </row>
    <row r="129" spans="1:15" x14ac:dyDescent="0.25">
      <c r="A129" s="18"/>
      <c r="O129" s="7" t="str">
        <f ca="1">getCodigoBackend(N129,A129,VLOOKUP(N129,setup!$A$8:$H$58,2),VLOOKUP(N129,setup!$A$8:$H$58,3),VLOOKUP(N129,setup!$A$8:$H$58,4),VLOOKUP(N129,setup!$A$8:$H$58,5),VLOOKUP(N129,setup!$A$8:$H$58,6),VLOOKUP(N129,setup!$A$8:$H$58,7), VLOOKUP(0,setup!$A$8:$H$58,2),VLOOKUP(0,setup!$A$8:$H$58,5),VLOOKUP(N129,setup!$A$8:$H$58,8))</f>
        <v/>
      </c>
    </row>
    <row r="130" spans="1:15" x14ac:dyDescent="0.25">
      <c r="A130" s="18" t="s">
        <v>911</v>
      </c>
      <c r="O130" s="7" t="str">
        <f ca="1">getCodigoBackend(N130,A130,VLOOKUP(N130,setup!$A$8:$H$58,2),VLOOKUP(N130,setup!$A$8:$H$58,3),VLOOKUP(N130,setup!$A$8:$H$58,4),VLOOKUP(N130,setup!$A$8:$H$58,5),VLOOKUP(N130,setup!$A$8:$H$58,6),VLOOKUP(N130,setup!$A$8:$H$58,7), VLOOKUP(0,setup!$A$8:$H$58,2),VLOOKUP(0,setup!$A$8:$H$58,5),VLOOKUP(N130,setup!$A$8:$H$58,8))</f>
        <v xml:space="preserve">                      });</v>
      </c>
    </row>
    <row r="131" spans="1:15" x14ac:dyDescent="0.25">
      <c r="A131" s="18" t="s">
        <v>912</v>
      </c>
      <c r="O131" s="7" t="str">
        <f ca="1">getCodigoBackend(N131,A131,VLOOKUP(N131,setup!$A$8:$H$58,2),VLOOKUP(N131,setup!$A$8:$H$58,3),VLOOKUP(N131,setup!$A$8:$H$58,4),VLOOKUP(N131,setup!$A$8:$H$58,5),VLOOKUP(N131,setup!$A$8:$H$58,6),VLOOKUP(N131,setup!$A$8:$H$58,7), VLOOKUP(0,setup!$A$8:$H$58,2),VLOOKUP(0,setup!$A$8:$H$58,5),VLOOKUP(N131,setup!$A$8:$H$58,8))</f>
        <v xml:space="preserve">                    },)</v>
      </c>
    </row>
    <row r="132" spans="1:15" x14ac:dyDescent="0.25">
      <c r="A132" s="18" t="s">
        <v>868</v>
      </c>
      <c r="O132" s="7" t="str">
        <f ca="1">getCodigoBackend(N132,A132,VLOOKUP(N132,setup!$A$8:$H$58,2),VLOOKUP(N132,setup!$A$8:$H$58,3),VLOOKUP(N132,setup!$A$8:$H$58,4),VLOOKUP(N132,setup!$A$8:$H$58,5),VLOOKUP(N132,setup!$A$8:$H$58,6),VLOOKUP(N132,setup!$A$8:$H$58,7), VLOOKUP(0,setup!$A$8:$H$58,2),VLOOKUP(0,setup!$A$8:$H$58,5),VLOOKUP(N132,setup!$A$8:$H$58,8))</f>
        <v xml:space="preserve">                  ],</v>
      </c>
    </row>
    <row r="133" spans="1:15" x14ac:dyDescent="0.25">
      <c r="A133" s="18" t="s">
        <v>869</v>
      </c>
      <c r="O133" s="7" t="str">
        <f ca="1">getCodigoBackend(N133,A133,VLOOKUP(N133,setup!$A$8:$H$58,2),VLOOKUP(N133,setup!$A$8:$H$58,3),VLOOKUP(N133,setup!$A$8:$H$58,4),VLOOKUP(N133,setup!$A$8:$H$58,5),VLOOKUP(N133,setup!$A$8:$H$58,6),VLOOKUP(N133,setup!$A$8:$H$58,7), VLOOKUP(0,setup!$A$8:$H$58,2),VLOOKUP(0,setup!$A$8:$H$58,5),VLOOKUP(N133,setup!$A$8:$H$58,8))</f>
        <v xml:space="preserve">                ),</v>
      </c>
    </row>
    <row r="134" spans="1:15" x14ac:dyDescent="0.25">
      <c r="A134" s="18" t="s">
        <v>913</v>
      </c>
      <c r="O134" s="7" t="str">
        <f ca="1">getCodigoBackend(N134,A134,VLOOKUP(N134,setup!$A$8:$H$58,2),VLOOKUP(N134,setup!$A$8:$H$58,3),VLOOKUP(N134,setup!$A$8:$H$58,4),VLOOKUP(N134,setup!$A$8:$H$58,5),VLOOKUP(N134,setup!$A$8:$H$58,6),VLOOKUP(N134,setup!$A$8:$H$58,7), VLOOKUP(0,setup!$A$8:$H$58,2),VLOOKUP(0,setup!$A$8:$H$58,5),VLOOKUP(N134,setup!$A$8:$H$58,8))</f>
        <v xml:space="preserve">                SizedBox(height: 10,),</v>
      </c>
    </row>
    <row r="135" spans="1:15" x14ac:dyDescent="0.25">
      <c r="A135" s="18" t="s">
        <v>914</v>
      </c>
      <c r="O135" s="7" t="str">
        <f ca="1">getCodigoBackend(N135,A135,VLOOKUP(N135,setup!$A$8:$H$58,2),VLOOKUP(N135,setup!$A$8:$H$58,3),VLOOKUP(N135,setup!$A$8:$H$58,4),VLOOKUP(N135,setup!$A$8:$H$58,5),VLOOKUP(N135,setup!$A$8:$H$58,6),VLOOKUP(N135,setup!$A$8:$H$58,7), VLOOKUP(0,setup!$A$8:$H$58,2),VLOOKUP(0,setup!$A$8:$H$58,5),VLOOKUP(N135,setup!$A$8:$H$58,8))</f>
        <v xml:space="preserve">                _isVisibleActionBtn ? _widActionBtn : Container(height: 0, width: 0,)</v>
      </c>
    </row>
    <row r="136" spans="1:15" x14ac:dyDescent="0.25">
      <c r="A136" s="18" t="s">
        <v>642</v>
      </c>
      <c r="O136" s="7" t="str">
        <f ca="1">getCodigoBackend(N136,A136,VLOOKUP(N136,setup!$A$8:$H$58,2),VLOOKUP(N136,setup!$A$8:$H$58,3),VLOOKUP(N136,setup!$A$8:$H$58,4),VLOOKUP(N136,setup!$A$8:$H$58,5),VLOOKUP(N136,setup!$A$8:$H$58,6),VLOOKUP(N136,setup!$A$8:$H$58,7), VLOOKUP(0,setup!$A$8:$H$58,2),VLOOKUP(0,setup!$A$8:$H$58,5),VLOOKUP(N136,setup!$A$8:$H$58,8))</f>
        <v xml:space="preserve">              ],</v>
      </c>
    </row>
    <row r="137" spans="1:15" x14ac:dyDescent="0.25">
      <c r="A137" s="28" t="s">
        <v>488</v>
      </c>
      <c r="O137" s="7" t="str">
        <f ca="1">getCodigoBackend(N137,A137,VLOOKUP(N137,setup!$A$8:$H$58,2),VLOOKUP(N137,setup!$A$8:$H$58,3),VLOOKUP(N137,setup!$A$8:$H$58,4),VLOOKUP(N137,setup!$A$8:$H$58,5),VLOOKUP(N137,setup!$A$8:$H$58,6),VLOOKUP(N137,setup!$A$8:$H$58,7), VLOOKUP(0,setup!$A$8:$H$58,2),VLOOKUP(0,setup!$A$8:$H$58,5),VLOOKUP(N137,setup!$A$8:$H$58,8))</f>
        <v xml:space="preserve">            ),</v>
      </c>
    </row>
    <row r="138" spans="1:15" x14ac:dyDescent="0.25">
      <c r="A138" s="28" t="s">
        <v>489</v>
      </c>
      <c r="O138" s="7" t="str">
        <f ca="1">getCodigoBackend(N138,A138,VLOOKUP(N138,setup!$A$8:$H$58,2),VLOOKUP(N138,setup!$A$8:$H$58,3),VLOOKUP(N138,setup!$A$8:$H$58,4),VLOOKUP(N138,setup!$A$8:$H$58,5),VLOOKUP(N138,setup!$A$8:$H$58,6),VLOOKUP(N138,setup!$A$8:$H$58,7), VLOOKUP(0,setup!$A$8:$H$58,2),VLOOKUP(0,setup!$A$8:$H$58,5),VLOOKUP(N138,setup!$A$8:$H$58,8))</f>
        <v xml:space="preserve">          ),</v>
      </c>
    </row>
    <row r="139" spans="1:15" x14ac:dyDescent="0.25">
      <c r="A139" s="28" t="s">
        <v>490</v>
      </c>
      <c r="O139" s="7" t="str">
        <f ca="1">getCodigoBackend(N139,A139,VLOOKUP(N139,setup!$A$8:$H$58,2),VLOOKUP(N139,setup!$A$8:$H$58,3),VLOOKUP(N139,setup!$A$8:$H$58,4),VLOOKUP(N139,setup!$A$8:$H$58,5),VLOOKUP(N139,setup!$A$8:$H$58,6),VLOOKUP(N139,setup!$A$8:$H$58,7), VLOOKUP(0,setup!$A$8:$H$58,2),VLOOKUP(0,setup!$A$8:$H$58,5),VLOOKUP(N139,setup!$A$8:$H$58,8))</f>
        <v xml:space="preserve">        )</v>
      </c>
    </row>
    <row r="140" spans="1:15" x14ac:dyDescent="0.25">
      <c r="A140" s="28" t="s">
        <v>455</v>
      </c>
      <c r="O140" s="7" t="str">
        <f ca="1">getCodigoBackend(N140,A140,VLOOKUP(N140,setup!$A$8:$H$58,2),VLOOKUP(N140,setup!$A$8:$H$58,3),VLOOKUP(N140,setup!$A$8:$H$58,4),VLOOKUP(N140,setup!$A$8:$H$58,5),VLOOKUP(N140,setup!$A$8:$H$58,6),VLOOKUP(N140,setup!$A$8:$H$58,7), VLOOKUP(0,setup!$A$8:$H$58,2),VLOOKUP(0,setup!$A$8:$H$58,5),VLOOKUP(N140,setup!$A$8:$H$58,8))</f>
        <v xml:space="preserve">    );</v>
      </c>
    </row>
    <row r="141" spans="1:15" x14ac:dyDescent="0.25">
      <c r="A141" s="18" t="s">
        <v>456</v>
      </c>
      <c r="O141" s="7" t="str">
        <f ca="1">getCodigoBackend(N141,A141,VLOOKUP(N141,setup!$A$8:$H$58,2),VLOOKUP(N141,setup!$A$8:$H$58,3),VLOOKUP(N141,setup!$A$8:$H$58,4),VLOOKUP(N141,setup!$A$8:$H$58,5),VLOOKUP(N141,setup!$A$8:$H$58,6),VLOOKUP(N141,setup!$A$8:$H$58,7), VLOOKUP(0,setup!$A$8:$H$58,2),VLOOKUP(0,setup!$A$8:$H$58,5),VLOOKUP(N141,setup!$A$8:$H$58,8))</f>
        <v xml:space="preserve">  }</v>
      </c>
    </row>
    <row r="142" spans="1:15" x14ac:dyDescent="0.25">
      <c r="A142" s="18" t="s">
        <v>28</v>
      </c>
      <c r="O142" s="7" t="str">
        <f ca="1">getCodigoBackend(N142,A142,VLOOKUP(N142,setup!$A$8:$H$58,2),VLOOKUP(N142,setup!$A$8:$H$58,3),VLOOKUP(N142,setup!$A$8:$H$58,4),VLOOKUP(N142,setup!$A$8:$H$58,5),VLOOKUP(N142,setup!$A$8:$H$58,6),VLOOKUP(N142,setup!$A$8:$H$58,7), VLOOKUP(0,setup!$A$8:$H$58,2),VLOOKUP(0,setup!$A$8:$H$58,5),VLOOKUP(N142,setup!$A$8:$H$58,8))</f>
        <v>}</v>
      </c>
    </row>
    <row r="143" spans="1:15" x14ac:dyDescent="0.25">
      <c r="A143" s="23"/>
      <c r="O143" s="7" t="str">
        <f ca="1">getCodigoBackend(N143,A143,VLOOKUP(N143,setup!$A$8:$H$58,2),VLOOKUP(N143,setup!$A$8:$H$58,3),VLOOKUP(N143,setup!$A$8:$H$58,4),VLOOKUP(N143,setup!$A$8:$H$58,5),VLOOKUP(N143,setup!$A$8:$H$58,6),VLOOKUP(N143,setup!$A$8:$H$58,7), VLOOKUP(0,setup!$A$8:$H$58,2),VLOOKUP(0,setup!$A$8:$H$58,5),VLOOKUP(N143,setup!$A$8:$H$58,8))</f>
        <v/>
      </c>
    </row>
    <row r="144" spans="1:15" x14ac:dyDescent="0.25">
      <c r="A144" s="23"/>
      <c r="O144" s="7" t="str">
        <f ca="1">getCodigoBackend(N144,A144,VLOOKUP(N144,setup!$A$8:$H$58,2),VLOOKUP(N144,setup!$A$8:$H$58,3),VLOOKUP(N144,setup!$A$8:$H$58,4),VLOOKUP(N144,setup!$A$8:$H$58,5),VLOOKUP(N144,setup!$A$8:$H$58,6),VLOOKUP(N144,setup!$A$8:$H$58,7), VLOOKUP(0,setup!$A$8:$H$58,2),VLOOKUP(0,setup!$A$8:$H$58,5),VLOOKUP(N144,setup!$A$8:$H$58,8))</f>
        <v/>
      </c>
    </row>
    <row r="145" spans="1:15" x14ac:dyDescent="0.25">
      <c r="A145" s="23"/>
      <c r="O145" s="7" t="str">
        <f ca="1">getCodigoBackend(N145,A145,VLOOKUP(N145,setup!$A$8:$H$58,2),VLOOKUP(N145,setup!$A$8:$H$58,3),VLOOKUP(N145,setup!$A$8:$H$58,4),VLOOKUP(N145,setup!$A$8:$H$58,5),VLOOKUP(N145,setup!$A$8:$H$58,6),VLOOKUP(N145,setup!$A$8:$H$58,7), VLOOKUP(0,setup!$A$8:$H$58,2),VLOOKUP(0,setup!$A$8:$H$58,5),VLOOKUP(N145,setup!$A$8:$H$58,8))</f>
        <v/>
      </c>
    </row>
    <row r="146" spans="1:15" x14ac:dyDescent="0.25">
      <c r="A146" s="23"/>
      <c r="O146" s="7" t="str">
        <f ca="1">getCodigoBackend(N146,A146,VLOOKUP(N146,setup!$A$8:$H$58,2),VLOOKUP(N146,setup!$A$8:$H$58,3),VLOOKUP(N146,setup!$A$8:$H$58,4),VLOOKUP(N146,setup!$A$8:$H$58,5),VLOOKUP(N146,setup!$A$8:$H$58,6),VLOOKUP(N146,setup!$A$8:$H$58,7), VLOOKUP(0,setup!$A$8:$H$58,2),VLOOKUP(0,setup!$A$8:$H$58,5),VLOOKUP(N146,setup!$A$8:$H$58,8))</f>
        <v/>
      </c>
    </row>
    <row r="147" spans="1:15" x14ac:dyDescent="0.25">
      <c r="A147" s="23"/>
      <c r="O147" s="7" t="str">
        <f ca="1">getCodigoBackend(N147,A147,VLOOKUP(N147,setup!$A$8:$H$58,2),VLOOKUP(N147,setup!$A$8:$H$58,3),VLOOKUP(N147,setup!$A$8:$H$58,4),VLOOKUP(N147,setup!$A$8:$H$58,5),VLOOKUP(N147,setup!$A$8:$H$58,6),VLOOKUP(N147,setup!$A$8:$H$58,7), VLOOKUP(0,setup!$A$8:$H$58,2),VLOOKUP(0,setup!$A$8:$H$58,5),VLOOKUP(N147,setup!$A$8:$H$58,8))</f>
        <v/>
      </c>
    </row>
    <row r="148" spans="1:15" x14ac:dyDescent="0.25">
      <c r="A148" s="23"/>
      <c r="O148" s="7" t="str">
        <f ca="1">getCodigoBackend(N148,A148,VLOOKUP(N148,setup!$A$8:$H$58,2),VLOOKUP(N148,setup!$A$8:$H$58,3),VLOOKUP(N148,setup!$A$8:$H$58,4),VLOOKUP(N148,setup!$A$8:$H$58,5),VLOOKUP(N148,setup!$A$8:$H$58,6),VLOOKUP(N148,setup!$A$8:$H$58,7), VLOOKUP(0,setup!$A$8:$H$58,2),VLOOKUP(0,setup!$A$8:$H$58,5),VLOOKUP(N148,setup!$A$8:$H$58,8))</f>
        <v/>
      </c>
    </row>
    <row r="149" spans="1:15" x14ac:dyDescent="0.25">
      <c r="A149" s="23"/>
      <c r="O149" s="7" t="str">
        <f ca="1">getCodigoBackend(N149,A149,VLOOKUP(N149,setup!$A$8:$H$58,2),VLOOKUP(N149,setup!$A$8:$H$58,3),VLOOKUP(N149,setup!$A$8:$H$58,4),VLOOKUP(N149,setup!$A$8:$H$58,5),VLOOKUP(N149,setup!$A$8:$H$58,6),VLOOKUP(N149,setup!$A$8:$H$58,7), VLOOKUP(0,setup!$A$8:$H$58,2),VLOOKUP(0,setup!$A$8:$H$58,5),VLOOKUP(N149,setup!$A$8:$H$58,8))</f>
        <v/>
      </c>
    </row>
    <row r="150" spans="1:15" x14ac:dyDescent="0.25">
      <c r="A150" s="23"/>
      <c r="O150" s="7" t="str">
        <f ca="1">getCodigoBackend(N150,A150,VLOOKUP(N150,setup!$A$8:$H$58,2),VLOOKUP(N150,setup!$A$8:$H$58,3),VLOOKUP(N150,setup!$A$8:$H$58,4),VLOOKUP(N150,setup!$A$8:$H$58,5),VLOOKUP(N150,setup!$A$8:$H$58,6),VLOOKUP(N150,setup!$A$8:$H$58,7), VLOOKUP(0,setup!$A$8:$H$58,2),VLOOKUP(0,setup!$A$8:$H$58,5),VLOOKUP(N150,setup!$A$8:$H$58,8))</f>
        <v/>
      </c>
    </row>
    <row r="151" spans="1:15" x14ac:dyDescent="0.25">
      <c r="A151" s="23"/>
      <c r="O151" s="7" t="str">
        <f ca="1">getCodigoBackend(N151,A151,VLOOKUP(N151,setup!$A$8:$H$58,2),VLOOKUP(N151,setup!$A$8:$H$58,3),VLOOKUP(N151,setup!$A$8:$H$58,4),VLOOKUP(N151,setup!$A$8:$H$58,5),VLOOKUP(N151,setup!$A$8:$H$58,6),VLOOKUP(N151,setup!$A$8:$H$58,7), VLOOKUP(0,setup!$A$8:$H$58,2),VLOOKUP(0,setup!$A$8:$H$58,5),VLOOKUP(N151,setup!$A$8:$H$58,8))</f>
        <v/>
      </c>
    </row>
    <row r="152" spans="1:15" x14ac:dyDescent="0.25">
      <c r="A152" s="23"/>
      <c r="O152" s="7" t="str">
        <f ca="1">getCodigoBackend(N152,A152,VLOOKUP(N152,setup!$A$8:$H$58,2),VLOOKUP(N152,setup!$A$8:$H$58,3),VLOOKUP(N152,setup!$A$8:$H$58,4),VLOOKUP(N152,setup!$A$8:$H$58,5),VLOOKUP(N152,setup!$A$8:$H$58,6),VLOOKUP(N152,setup!$A$8:$H$58,7), VLOOKUP(0,setup!$A$8:$H$58,2),VLOOKUP(0,setup!$A$8:$H$58,5),VLOOKUP(N152,setup!$A$8:$H$58,8))</f>
        <v/>
      </c>
    </row>
    <row r="153" spans="1:15" x14ac:dyDescent="0.25">
      <c r="A153" s="23"/>
      <c r="O153" s="7" t="str">
        <f ca="1">getCodigoBackend(N153,A153,VLOOKUP(N153,setup!$A$8:$H$58,2),VLOOKUP(N153,setup!$A$8:$H$58,3),VLOOKUP(N153,setup!$A$8:$H$58,4),VLOOKUP(N153,setup!$A$8:$H$58,5),VLOOKUP(N153,setup!$A$8:$H$58,6),VLOOKUP(N153,setup!$A$8:$H$58,7), VLOOKUP(0,setup!$A$8:$H$58,2),VLOOKUP(0,setup!$A$8:$H$58,5),VLOOKUP(N153,setup!$A$8:$H$58,8))</f>
        <v/>
      </c>
    </row>
    <row r="154" spans="1:15" x14ac:dyDescent="0.25">
      <c r="A154" s="23"/>
      <c r="O154" s="7" t="str">
        <f ca="1">getCodigoBackend(N154,A154,VLOOKUP(N154,setup!$A$8:$H$58,2),VLOOKUP(N154,setup!$A$8:$H$58,3),VLOOKUP(N154,setup!$A$8:$H$58,4),VLOOKUP(N154,setup!$A$8:$H$58,5),VLOOKUP(N154,setup!$A$8:$H$58,6),VLOOKUP(N154,setup!$A$8:$H$58,7), VLOOKUP(0,setup!$A$8:$H$58,2),VLOOKUP(0,setup!$A$8:$H$58,5),VLOOKUP(N154,setup!$A$8:$H$58,8))</f>
        <v/>
      </c>
    </row>
    <row r="155" spans="1:15" x14ac:dyDescent="0.25">
      <c r="A155" s="23"/>
      <c r="O155" s="7" t="str">
        <f ca="1">getCodigoBackend(N155,A155,VLOOKUP(N155,setup!$A$8:$H$58,2),VLOOKUP(N155,setup!$A$8:$H$58,3),VLOOKUP(N155,setup!$A$8:$H$58,4),VLOOKUP(N155,setup!$A$8:$H$58,5),VLOOKUP(N155,setup!$A$8:$H$58,6),VLOOKUP(N155,setup!$A$8:$H$58,7), VLOOKUP(0,setup!$A$8:$H$58,2),VLOOKUP(0,setup!$A$8:$H$58,5),VLOOKUP(N155,setup!$A$8:$H$58,8))</f>
        <v/>
      </c>
    </row>
    <row r="156" spans="1:15" x14ac:dyDescent="0.25">
      <c r="A156" s="23"/>
      <c r="O156" s="7" t="str">
        <f ca="1">getCodigoBackend(N156,A156,VLOOKUP(N156,setup!$A$8:$H$58,2),VLOOKUP(N156,setup!$A$8:$H$58,3),VLOOKUP(N156,setup!$A$8:$H$58,4),VLOOKUP(N156,setup!$A$8:$H$58,5),VLOOKUP(N156,setup!$A$8:$H$58,6),VLOOKUP(N156,setup!$A$8:$H$58,7), VLOOKUP(0,setup!$A$8:$H$58,2),VLOOKUP(0,setup!$A$8:$H$58,5),VLOOKUP(N156,setup!$A$8:$H$58,8))</f>
        <v/>
      </c>
    </row>
    <row r="157" spans="1:15" x14ac:dyDescent="0.25">
      <c r="A157" s="23"/>
      <c r="O157" s="7" t="str">
        <f ca="1">getCodigoBackend(N157,A157,VLOOKUP(N157,setup!$A$8:$H$58,2),VLOOKUP(N157,setup!$A$8:$H$58,3),VLOOKUP(N157,setup!$A$8:$H$58,4),VLOOKUP(N157,setup!$A$8:$H$58,5),VLOOKUP(N157,setup!$A$8:$H$58,6),VLOOKUP(N157,setup!$A$8:$H$58,7), VLOOKUP(0,setup!$A$8:$H$58,2),VLOOKUP(0,setup!$A$8:$H$58,5),VLOOKUP(N157,setup!$A$8:$H$58,8))</f>
        <v/>
      </c>
    </row>
    <row r="158" spans="1:15" x14ac:dyDescent="0.25">
      <c r="A158" s="23"/>
      <c r="O158" s="7" t="str">
        <f ca="1">getCodigoBackend(N158,A158,VLOOKUP(N158,setup!$A$8:$H$58,2),VLOOKUP(N158,setup!$A$8:$H$58,3),VLOOKUP(N158,setup!$A$8:$H$58,4),VLOOKUP(N158,setup!$A$8:$H$58,5),VLOOKUP(N158,setup!$A$8:$H$58,6),VLOOKUP(N158,setup!$A$8:$H$58,7), VLOOKUP(0,setup!$A$8:$H$58,2),VLOOKUP(0,setup!$A$8:$H$58,5),VLOOKUP(N158,setup!$A$8:$H$58,8))</f>
        <v/>
      </c>
    </row>
    <row r="159" spans="1:15" x14ac:dyDescent="0.25">
      <c r="A159" s="23"/>
      <c r="O159" s="7" t="str">
        <f ca="1">getCodigoBackend(N159,A159,VLOOKUP(N159,setup!$A$8:$H$58,2),VLOOKUP(N159,setup!$A$8:$H$58,3),VLOOKUP(N159,setup!$A$8:$H$58,4),VLOOKUP(N159,setup!$A$8:$H$58,5),VLOOKUP(N159,setup!$A$8:$H$58,6),VLOOKUP(N159,setup!$A$8:$H$58,7), VLOOKUP(0,setup!$A$8:$H$58,2),VLOOKUP(0,setup!$A$8:$H$58,5),VLOOKUP(N159,setup!$A$8:$H$58,8))</f>
        <v/>
      </c>
    </row>
    <row r="160" spans="1:15" x14ac:dyDescent="0.25">
      <c r="A160" s="23"/>
      <c r="O160" s="7" t="str">
        <f ca="1">getCodigoBackend(N160,A160,VLOOKUP(N160,setup!$A$8:$H$58,2),VLOOKUP(N160,setup!$A$8:$H$58,3),VLOOKUP(N160,setup!$A$8:$H$58,4),VLOOKUP(N160,setup!$A$8:$H$58,5),VLOOKUP(N160,setup!$A$8:$H$58,6),VLOOKUP(N160,setup!$A$8:$H$58,7), VLOOKUP(0,setup!$A$8:$H$58,2),VLOOKUP(0,setup!$A$8:$H$58,5),VLOOKUP(N160,setup!$A$8:$H$58,8))</f>
        <v/>
      </c>
    </row>
    <row r="161" spans="1:15" x14ac:dyDescent="0.25">
      <c r="A161" s="23"/>
      <c r="O161" s="7" t="str">
        <f ca="1">getCodigoBackend(N161,A161,VLOOKUP(N161,setup!$A$8:$H$58,2),VLOOKUP(N161,setup!$A$8:$H$58,3),VLOOKUP(N161,setup!$A$8:$H$58,4),VLOOKUP(N161,setup!$A$8:$H$58,5),VLOOKUP(N161,setup!$A$8:$H$58,6),VLOOKUP(N161,setup!$A$8:$H$58,7), VLOOKUP(0,setup!$A$8:$H$58,2),VLOOKUP(0,setup!$A$8:$H$58,5),VLOOKUP(N161,setup!$A$8:$H$58,8))</f>
        <v/>
      </c>
    </row>
    <row r="162" spans="1:15" x14ac:dyDescent="0.25">
      <c r="A162" s="23"/>
      <c r="O162" s="7" t="str">
        <f ca="1">getCodigoBackend(N162,A162,VLOOKUP(N162,setup!$A$8:$H$58,2),VLOOKUP(N162,setup!$A$8:$H$58,3),VLOOKUP(N162,setup!$A$8:$H$58,4),VLOOKUP(N162,setup!$A$8:$H$58,5),VLOOKUP(N162,setup!$A$8:$H$58,6),VLOOKUP(N162,setup!$A$8:$H$58,7), VLOOKUP(0,setup!$A$8:$H$58,2),VLOOKUP(0,setup!$A$8:$H$58,5),VLOOKUP(N162,setup!$A$8:$H$58,8))</f>
        <v/>
      </c>
    </row>
    <row r="163" spans="1:15" x14ac:dyDescent="0.25">
      <c r="A163" s="27"/>
      <c r="O163" s="7" t="str">
        <f ca="1">getCodigoBackend(N163,A163,VLOOKUP(N163,setup!$A$8:$H$58,2),VLOOKUP(N163,setup!$A$8:$H$58,3),VLOOKUP(N163,setup!$A$8:$H$58,4),VLOOKUP(N163,setup!$A$8:$H$58,5),VLOOKUP(N163,setup!$A$8:$H$58,6),VLOOKUP(N163,setup!$A$8:$H$58,7), VLOOKUP(0,setup!$A$8:$H$58,2),VLOOKUP(0,setup!$A$8:$H$58,5),VLOOKUP(N163,setup!$A$8:$H$58,8))</f>
        <v/>
      </c>
    </row>
    <row r="164" spans="1:15" x14ac:dyDescent="0.25">
      <c r="A164" s="23"/>
      <c r="O164" s="7" t="str">
        <f ca="1">getCodigoBackend(N164,A164,VLOOKUP(N164,setup!$A$8:$H$58,2),VLOOKUP(N164,setup!$A$8:$H$58,3),VLOOKUP(N164,setup!$A$8:$H$58,4),VLOOKUP(N164,setup!$A$8:$H$58,5),VLOOKUP(N164,setup!$A$8:$H$58,6),VLOOKUP(N164,setup!$A$8:$H$58,7), VLOOKUP(0,setup!$A$8:$H$58,2),VLOOKUP(0,setup!$A$8:$H$58,5),VLOOKUP(N164,setup!$A$8:$H$58,8))</f>
        <v/>
      </c>
    </row>
    <row r="165" spans="1:15" x14ac:dyDescent="0.25">
      <c r="A165" s="23"/>
      <c r="O165" s="7" t="str">
        <f ca="1">getCodigoBackend(N165,A165,VLOOKUP(N165,setup!$A$8:$H$58,2),VLOOKUP(N165,setup!$A$8:$H$58,3),VLOOKUP(N165,setup!$A$8:$H$58,4),VLOOKUP(N165,setup!$A$8:$H$58,5),VLOOKUP(N165,setup!$A$8:$H$58,6),VLOOKUP(N165,setup!$A$8:$H$58,7), VLOOKUP(0,setup!$A$8:$H$58,2),VLOOKUP(0,setup!$A$8:$H$58,5),VLOOKUP(N165,setup!$A$8:$H$58,8))</f>
        <v/>
      </c>
    </row>
    <row r="166" spans="1:15" x14ac:dyDescent="0.25">
      <c r="A166" s="23"/>
      <c r="O166" s="7" t="str">
        <f ca="1">getCodigoBackend(N166,A166,VLOOKUP(N166,setup!$A$8:$H$58,2),VLOOKUP(N166,setup!$A$8:$H$58,3),VLOOKUP(N166,setup!$A$8:$H$58,4),VLOOKUP(N166,setup!$A$8:$H$58,5),VLOOKUP(N166,setup!$A$8:$H$58,6),VLOOKUP(N166,setup!$A$8:$H$58,7), VLOOKUP(0,setup!$A$8:$H$58,2),VLOOKUP(0,setup!$A$8:$H$58,5),VLOOKUP(N166,setup!$A$8:$H$58,8))</f>
        <v/>
      </c>
    </row>
    <row r="167" spans="1:15" x14ac:dyDescent="0.25">
      <c r="A167" s="27"/>
      <c r="O167" s="7" t="str">
        <f ca="1">getCodigoBackend(N167,A167,VLOOKUP(N167,setup!$A$8:$H$58,2),VLOOKUP(N167,setup!$A$8:$H$58,3),VLOOKUP(N167,setup!$A$8:$H$58,4),VLOOKUP(N167,setup!$A$8:$H$58,5),VLOOKUP(N167,setup!$A$8:$H$58,6),VLOOKUP(N167,setup!$A$8:$H$58,7), VLOOKUP(0,setup!$A$8:$H$58,2),VLOOKUP(0,setup!$A$8:$H$58,5),VLOOKUP(N167,setup!$A$8:$H$58,8))</f>
        <v/>
      </c>
    </row>
    <row r="168" spans="1:15" x14ac:dyDescent="0.25">
      <c r="A168" s="23"/>
      <c r="O168" s="7" t="str">
        <f ca="1">getCodigoBackend(N168,A168,VLOOKUP(N168,setup!$A$8:$H$58,2),VLOOKUP(N168,setup!$A$8:$H$58,3),VLOOKUP(N168,setup!$A$8:$H$58,4),VLOOKUP(N168,setup!$A$8:$H$58,5),VLOOKUP(N168,setup!$A$8:$H$58,6),VLOOKUP(N168,setup!$A$8:$H$58,7), VLOOKUP(0,setup!$A$8:$H$58,2),VLOOKUP(0,setup!$A$8:$H$58,5),VLOOKUP(N168,setup!$A$8:$H$58,8))</f>
        <v/>
      </c>
    </row>
    <row r="169" spans="1:15" x14ac:dyDescent="0.25">
      <c r="A169" s="23"/>
      <c r="O169" s="7" t="str">
        <f ca="1">getCodigoBackend(N169,A169,VLOOKUP(N169,setup!$A$8:$H$58,2),VLOOKUP(N169,setup!$A$8:$H$58,3),VLOOKUP(N169,setup!$A$8:$H$58,4),VLOOKUP(N169,setup!$A$8:$H$58,5),VLOOKUP(N169,setup!$A$8:$H$58,6),VLOOKUP(N169,setup!$A$8:$H$58,7), VLOOKUP(0,setup!$A$8:$H$58,2),VLOOKUP(0,setup!$A$8:$H$58,5),VLOOKUP(N169,setup!$A$8:$H$58,8))</f>
        <v/>
      </c>
    </row>
    <row r="170" spans="1:15" x14ac:dyDescent="0.25">
      <c r="A170" s="23"/>
      <c r="O170" s="7" t="str">
        <f ca="1">getCodigoBackend(N170,A170,VLOOKUP(N170,setup!$A$8:$H$58,2),VLOOKUP(N170,setup!$A$8:$H$58,3),VLOOKUP(N170,setup!$A$8:$H$58,4),VLOOKUP(N170,setup!$A$8:$H$58,5),VLOOKUP(N170,setup!$A$8:$H$58,6),VLOOKUP(N170,setup!$A$8:$H$58,7), VLOOKUP(0,setup!$A$8:$H$58,2),VLOOKUP(0,setup!$A$8:$H$58,5),VLOOKUP(N170,setup!$A$8:$H$58,8))</f>
        <v/>
      </c>
    </row>
    <row r="171" spans="1:15" x14ac:dyDescent="0.25">
      <c r="A171" s="22"/>
      <c r="O171" s="7" t="str">
        <f ca="1">getCodigoBackend(N171,A171,VLOOKUP(N171,setup!$A$8:$H$58,2),VLOOKUP(N171,setup!$A$8:$H$58,3),VLOOKUP(N171,setup!$A$8:$H$58,4),VLOOKUP(N171,setup!$A$8:$H$58,5),VLOOKUP(N171,setup!$A$8:$H$58,6),VLOOKUP(N171,setup!$A$8:$H$58,7), VLOOKUP(0,setup!$A$8:$H$58,2),VLOOKUP(0,setup!$A$8:$H$58,5),VLOOKUP(N171,setup!$A$8:$H$58,8))</f>
        <v/>
      </c>
    </row>
    <row r="172" spans="1:15" x14ac:dyDescent="0.25">
      <c r="A172" s="23"/>
      <c r="O172" s="7" t="str">
        <f ca="1">getCodigoBackend(N172,A172,VLOOKUP(N172,setup!$A$8:$H$58,2),VLOOKUP(N172,setup!$A$8:$H$58,3),VLOOKUP(N172,setup!$A$8:$H$58,4),VLOOKUP(N172,setup!$A$8:$H$58,5),VLOOKUP(N172,setup!$A$8:$H$58,6),VLOOKUP(N172,setup!$A$8:$H$58,7), VLOOKUP(0,setup!$A$8:$H$58,2),VLOOKUP(0,setup!$A$8:$H$58,5),VLOOKUP(N172,setup!$A$8:$H$58,8))</f>
        <v/>
      </c>
    </row>
    <row r="173" spans="1:15" x14ac:dyDescent="0.25">
      <c r="A173" s="23"/>
      <c r="O173" s="7" t="str">
        <f ca="1">getCodigoBackend(N173,A173,VLOOKUP(N173,setup!$A$8:$H$58,2),VLOOKUP(N173,setup!$A$8:$H$58,3),VLOOKUP(N173,setup!$A$8:$H$58,4),VLOOKUP(N173,setup!$A$8:$H$58,5),VLOOKUP(N173,setup!$A$8:$H$58,6),VLOOKUP(N173,setup!$A$8:$H$58,7), VLOOKUP(0,setup!$A$8:$H$58,2),VLOOKUP(0,setup!$A$8:$H$58,5),VLOOKUP(N173,setup!$A$8:$H$58,8))</f>
        <v/>
      </c>
    </row>
    <row r="174" spans="1:15" x14ac:dyDescent="0.25">
      <c r="A174" s="23"/>
      <c r="O174" s="7" t="str">
        <f ca="1">getCodigoBackend(N174,A174,VLOOKUP(N174,setup!$A$8:$H$58,2),VLOOKUP(N174,setup!$A$8:$H$58,3),VLOOKUP(N174,setup!$A$8:$H$58,4),VLOOKUP(N174,setup!$A$8:$H$58,5),VLOOKUP(N174,setup!$A$8:$H$58,6),VLOOKUP(N174,setup!$A$8:$H$58,7), VLOOKUP(0,setup!$A$8:$H$58,2),VLOOKUP(0,setup!$A$8:$H$58,5),VLOOKUP(N174,setup!$A$8:$H$58,8))</f>
        <v/>
      </c>
    </row>
    <row r="175" spans="1:15" x14ac:dyDescent="0.25">
      <c r="A175" s="23"/>
      <c r="O175" s="7" t="str">
        <f ca="1">getCodigoBackend(N175,A175,VLOOKUP(N175,setup!$A$8:$H$58,2),VLOOKUP(N175,setup!$A$8:$H$58,3),VLOOKUP(N175,setup!$A$8:$H$58,4),VLOOKUP(N175,setup!$A$8:$H$58,5),VLOOKUP(N175,setup!$A$8:$H$58,6),VLOOKUP(N175,setup!$A$8:$H$58,7), VLOOKUP(0,setup!$A$8:$H$58,2),VLOOKUP(0,setup!$A$8:$H$58,5),VLOOKUP(N175,setup!$A$8:$H$58,8))</f>
        <v/>
      </c>
    </row>
    <row r="176" spans="1:15" x14ac:dyDescent="0.25">
      <c r="A176" s="23"/>
      <c r="O176" s="7" t="str">
        <f ca="1">getCodigoBackend(N176,A176,VLOOKUP(N176,setup!$A$8:$H$58,2),VLOOKUP(N176,setup!$A$8:$H$58,3),VLOOKUP(N176,setup!$A$8:$H$58,4),VLOOKUP(N176,setup!$A$8:$H$58,5),VLOOKUP(N176,setup!$A$8:$H$58,6),VLOOKUP(N176,setup!$A$8:$H$58,7), VLOOKUP(0,setup!$A$8:$H$58,2),VLOOKUP(0,setup!$A$8:$H$58,5),VLOOKUP(N176,setup!$A$8:$H$58,8))</f>
        <v/>
      </c>
    </row>
    <row r="177" spans="1:15" x14ac:dyDescent="0.25">
      <c r="A177" s="23"/>
      <c r="O177" s="7" t="str">
        <f ca="1">getCodigoBackend(N177,A177,VLOOKUP(N177,setup!$A$8:$H$58,2),VLOOKUP(N177,setup!$A$8:$H$58,3),VLOOKUP(N177,setup!$A$8:$H$58,4),VLOOKUP(N177,setup!$A$8:$H$58,5),VLOOKUP(N177,setup!$A$8:$H$58,6),VLOOKUP(N177,setup!$A$8:$H$58,7), VLOOKUP(0,setup!$A$8:$H$58,2),VLOOKUP(0,setup!$A$8:$H$58,5),VLOOKUP(N177,setup!$A$8:$H$58,8))</f>
        <v/>
      </c>
    </row>
    <row r="178" spans="1:15" x14ac:dyDescent="0.25">
      <c r="A178" s="23"/>
      <c r="O178" s="7" t="str">
        <f ca="1">getCodigoBackend(N178,A178,VLOOKUP(N178,setup!$A$8:$H$58,2),VLOOKUP(N178,setup!$A$8:$H$58,3),VLOOKUP(N178,setup!$A$8:$H$58,4),VLOOKUP(N178,setup!$A$8:$H$58,5),VLOOKUP(N178,setup!$A$8:$H$58,6),VLOOKUP(N178,setup!$A$8:$H$58,7), VLOOKUP(0,setup!$A$8:$H$58,2),VLOOKUP(0,setup!$A$8:$H$58,5),VLOOKUP(N178,setup!$A$8:$H$58,8))</f>
        <v/>
      </c>
    </row>
    <row r="179" spans="1:15" x14ac:dyDescent="0.25">
      <c r="A179" s="23"/>
      <c r="O179" s="7" t="str">
        <f ca="1">getCodigoBackend(N179,A179,VLOOKUP(N179,setup!$A$8:$H$58,2),VLOOKUP(N179,setup!$A$8:$H$58,3),VLOOKUP(N179,setup!$A$8:$H$58,4),VLOOKUP(N179,setup!$A$8:$H$58,5),VLOOKUP(N179,setup!$A$8:$H$58,6),VLOOKUP(N179,setup!$A$8:$H$58,7), VLOOKUP(0,setup!$A$8:$H$58,2),VLOOKUP(0,setup!$A$8:$H$58,5),VLOOKUP(N179,setup!$A$8:$H$58,8))</f>
        <v/>
      </c>
    </row>
    <row r="180" spans="1:15" x14ac:dyDescent="0.25">
      <c r="A180" s="23"/>
      <c r="O180" s="7" t="str">
        <f ca="1">getCodigoBackend(N180,A180,VLOOKUP(N180,setup!$A$8:$H$58,2),VLOOKUP(N180,setup!$A$8:$H$58,3),VLOOKUP(N180,setup!$A$8:$H$58,4),VLOOKUP(N180,setup!$A$8:$H$58,5),VLOOKUP(N180,setup!$A$8:$H$58,6),VLOOKUP(N180,setup!$A$8:$H$58,7), VLOOKUP(0,setup!$A$8:$H$58,2),VLOOKUP(0,setup!$A$8:$H$58,5),VLOOKUP(N180,setup!$A$8:$H$58,8))</f>
        <v/>
      </c>
    </row>
    <row r="181" spans="1:15" x14ac:dyDescent="0.25">
      <c r="A181" s="6"/>
      <c r="O181" s="7" t="str">
        <f ca="1">getCodigoBackend(N181,A181,VLOOKUP(N181,setup!$A$8:$H$58,2),VLOOKUP(N181,setup!$A$8:$H$58,3),VLOOKUP(N181,setup!$A$8:$H$58,4),VLOOKUP(N181,setup!$A$8:$H$58,5),VLOOKUP(N181,setup!$A$8:$H$58,6),VLOOKUP(N181,setup!$A$8:$H$58,7), VLOOKUP(0,setup!$A$8:$H$58,2),VLOOKUP(0,setup!$A$8:$H$58,5),VLOOKUP(N181,setup!$A$8:$H$58,8))</f>
        <v/>
      </c>
    </row>
    <row r="182" spans="1:15" x14ac:dyDescent="0.25">
      <c r="A182" s="6"/>
      <c r="O182" s="7" t="str">
        <f ca="1">getCodigoBackend(N182,A182,VLOOKUP(N182,setup!$A$8:$H$58,2),VLOOKUP(N182,setup!$A$8:$H$58,3),VLOOKUP(N182,setup!$A$8:$H$58,4),VLOOKUP(N182,setup!$A$8:$H$58,5),VLOOKUP(N182,setup!$A$8:$H$58,6),VLOOKUP(N182,setup!$A$8:$H$58,7), VLOOKUP(0,setup!$A$8:$H$58,2),VLOOKUP(0,setup!$A$8:$H$58,5),VLOOKUP(N182,setup!$A$8:$H$58,8))</f>
        <v/>
      </c>
    </row>
    <row r="183" spans="1:15" x14ac:dyDescent="0.25">
      <c r="A183" s="6"/>
      <c r="O183" s="7" t="str">
        <f ca="1">getCodigoBackend(N183,A183,VLOOKUP(N183,setup!$A$8:$H$58,2),VLOOKUP(N183,setup!$A$8:$H$58,3),VLOOKUP(N183,setup!$A$8:$H$58,4),VLOOKUP(N183,setup!$A$8:$H$58,5),VLOOKUP(N183,setup!$A$8:$H$58,6),VLOOKUP(N183,setup!$A$8:$H$58,7), VLOOKUP(0,setup!$A$8:$H$58,2),VLOOKUP(0,setup!$A$8:$H$58,5),VLOOKUP(N183,setup!$A$8:$H$58,8))</f>
        <v/>
      </c>
    </row>
    <row r="184" spans="1:15" x14ac:dyDescent="0.25">
      <c r="A184" s="6"/>
      <c r="O184" s="7" t="str">
        <f ca="1">getCodigoBackend(N184,A184,VLOOKUP(N184,setup!$A$8:$H$58,2),VLOOKUP(N184,setup!$A$8:$H$58,3),VLOOKUP(N184,setup!$A$8:$H$58,4),VLOOKUP(N184,setup!$A$8:$H$58,5),VLOOKUP(N184,setup!$A$8:$H$58,6),VLOOKUP(N184,setup!$A$8:$H$58,7), VLOOKUP(0,setup!$A$8:$H$58,2),VLOOKUP(0,setup!$A$8:$H$58,5),VLOOKUP(N184,setup!$A$8:$H$58,8))</f>
        <v/>
      </c>
    </row>
    <row r="185" spans="1:15" x14ac:dyDescent="0.25">
      <c r="A185" s="6"/>
      <c r="O185" s="7" t="str">
        <f ca="1">getCodigoBackend(N185,A185,VLOOKUP(N185,setup!$A$8:$H$58,2),VLOOKUP(N185,setup!$A$8:$H$58,3),VLOOKUP(N185,setup!$A$8:$H$58,4),VLOOKUP(N185,setup!$A$8:$H$58,5),VLOOKUP(N185,setup!$A$8:$H$58,6),VLOOKUP(N185,setup!$A$8:$H$58,7), VLOOKUP(0,setup!$A$8:$H$58,2),VLOOKUP(0,setup!$A$8:$H$58,5),VLOOKUP(N185,setup!$A$8:$H$58,8))</f>
        <v/>
      </c>
    </row>
    <row r="186" spans="1:15" x14ac:dyDescent="0.25">
      <c r="A186" s="6"/>
      <c r="O186" s="7" t="str">
        <f ca="1">getCodigoBackend(N186,A186,VLOOKUP(N186,setup!$A$8:$H$58,2),VLOOKUP(N186,setup!$A$8:$H$58,3),VLOOKUP(N186,setup!$A$8:$H$58,4),VLOOKUP(N186,setup!$A$8:$H$58,5),VLOOKUP(N186,setup!$A$8:$H$58,6),VLOOKUP(N186,setup!$A$8:$H$58,7), VLOOKUP(0,setup!$A$8:$H$58,2),VLOOKUP(0,setup!$A$8:$H$58,5),VLOOKUP(N186,setup!$A$8:$H$58,8))</f>
        <v/>
      </c>
    </row>
    <row r="187" spans="1:15" x14ac:dyDescent="0.25">
      <c r="A187" s="6"/>
      <c r="O187" s="7" t="str">
        <f ca="1">getCodigoBackend(N187,A187,VLOOKUP(N187,setup!$A$8:$H$58,2),VLOOKUP(N187,setup!$A$8:$H$58,3),VLOOKUP(N187,setup!$A$8:$H$58,4),VLOOKUP(N187,setup!$A$8:$H$58,5),VLOOKUP(N187,setup!$A$8:$H$58,6),VLOOKUP(N187,setup!$A$8:$H$58,7), VLOOKUP(0,setup!$A$8:$H$58,2),VLOOKUP(0,setup!$A$8:$H$58,5),VLOOKUP(N187,setup!$A$8:$H$58,8))</f>
        <v/>
      </c>
    </row>
    <row r="188" spans="1:15" x14ac:dyDescent="0.25">
      <c r="A188" s="6"/>
      <c r="O188" s="7" t="str">
        <f ca="1">getCodigoBackend(N188,A188,VLOOKUP(N188,setup!$A$8:$H$58,2),VLOOKUP(N188,setup!$A$8:$H$58,3),VLOOKUP(N188,setup!$A$8:$H$58,4),VLOOKUP(N188,setup!$A$8:$H$58,5),VLOOKUP(N188,setup!$A$8:$H$58,6),VLOOKUP(N188,setup!$A$8:$H$58,7), VLOOKUP(0,setup!$A$8:$H$58,2),VLOOKUP(0,setup!$A$8:$H$58,5),VLOOKUP(N188,setup!$A$8:$H$58,8))</f>
        <v/>
      </c>
    </row>
    <row r="189" spans="1:15" x14ac:dyDescent="0.25">
      <c r="A189" s="6"/>
      <c r="O189" s="7" t="str">
        <f ca="1">getCodigoBackend(N189,A189,VLOOKUP(N189,setup!$A$8:$H$58,2),VLOOKUP(N189,setup!$A$8:$H$58,3),VLOOKUP(N189,setup!$A$8:$H$58,4),VLOOKUP(N189,setup!$A$8:$H$58,5),VLOOKUP(N189,setup!$A$8:$H$58,6),VLOOKUP(N189,setup!$A$8:$H$58,7), VLOOKUP(0,setup!$A$8:$H$58,2),VLOOKUP(0,setup!$A$8:$H$58,5),VLOOKUP(N189,setup!$A$8:$H$58,8))</f>
        <v/>
      </c>
    </row>
    <row r="190" spans="1:15" x14ac:dyDescent="0.25">
      <c r="A190" s="6"/>
      <c r="O190" s="7" t="str">
        <f ca="1">getCodigoBackend(N190,A190,VLOOKUP(N190,setup!$A$8:$H$58,2),VLOOKUP(N190,setup!$A$8:$H$58,3),VLOOKUP(N190,setup!$A$8:$H$58,4),VLOOKUP(N190,setup!$A$8:$H$58,5),VLOOKUP(N190,setup!$A$8:$H$58,6),VLOOKUP(N190,setup!$A$8:$H$58,7), VLOOKUP(0,setup!$A$8:$H$58,2),VLOOKUP(0,setup!$A$8:$H$58,5),VLOOKUP(N190,setup!$A$8:$H$58,8))</f>
        <v/>
      </c>
    </row>
    <row r="191" spans="1:15" x14ac:dyDescent="0.25">
      <c r="A191" s="6"/>
      <c r="O191" s="7" t="str">
        <f ca="1">getCodigoBackend(N191,A191,VLOOKUP(N191,setup!$A$8:$H$58,2),VLOOKUP(N191,setup!$A$8:$H$58,3),VLOOKUP(N191,setup!$A$8:$H$58,4),VLOOKUP(N191,setup!$A$8:$H$58,5),VLOOKUP(N191,setup!$A$8:$H$58,6),VLOOKUP(N191,setup!$A$8:$H$58,7), VLOOKUP(0,setup!$A$8:$H$58,2),VLOOKUP(0,setup!$A$8:$H$58,5),VLOOKUP(N191,setup!$A$8:$H$58,8))</f>
        <v/>
      </c>
    </row>
    <row r="192" spans="1:15" x14ac:dyDescent="0.25">
      <c r="A192" s="6"/>
      <c r="O192" s="7" t="str">
        <f ca="1">getCodigoBackend(N192,A192,VLOOKUP(N192,setup!$A$8:$H$58,2),VLOOKUP(N192,setup!$A$8:$H$58,3),VLOOKUP(N192,setup!$A$8:$H$58,4),VLOOKUP(N192,setup!$A$8:$H$58,5),VLOOKUP(N192,setup!$A$8:$H$58,6),VLOOKUP(N192,setup!$A$8:$H$58,7), VLOOKUP(0,setup!$A$8:$H$58,2),VLOOKUP(0,setup!$A$8:$H$58,5),VLOOKUP(N192,setup!$A$8:$H$58,8))</f>
        <v/>
      </c>
    </row>
    <row r="193" spans="1:15" x14ac:dyDescent="0.25">
      <c r="A193" s="6"/>
      <c r="O193" s="7" t="str">
        <f ca="1">getCodigoBackend(N193,A193,VLOOKUP(N193,setup!$A$8:$H$58,2),VLOOKUP(N193,setup!$A$8:$H$58,3),VLOOKUP(N193,setup!$A$8:$H$58,4),VLOOKUP(N193,setup!$A$8:$H$58,5),VLOOKUP(N193,setup!$A$8:$H$58,6),VLOOKUP(N193,setup!$A$8:$H$58,7), VLOOKUP(0,setup!$A$8:$H$58,2),VLOOKUP(0,setup!$A$8:$H$58,5),VLOOKUP(N193,setup!$A$8:$H$58,8))</f>
        <v/>
      </c>
    </row>
    <row r="194" spans="1:15" x14ac:dyDescent="0.25">
      <c r="A194" s="6"/>
      <c r="O194" s="7" t="str">
        <f ca="1">getCodigoBackend(N194,A194,VLOOKUP(N194,setup!$A$8:$H$58,2),VLOOKUP(N194,setup!$A$8:$H$58,3),VLOOKUP(N194,setup!$A$8:$H$58,4),VLOOKUP(N194,setup!$A$8:$H$58,5),VLOOKUP(N194,setup!$A$8:$H$58,6),VLOOKUP(N194,setup!$A$8:$H$58,7), VLOOKUP(0,setup!$A$8:$H$58,2),VLOOKUP(0,setup!$A$8:$H$58,5),VLOOKUP(N194,setup!$A$8:$H$58,8))</f>
        <v/>
      </c>
    </row>
    <row r="195" spans="1:15" x14ac:dyDescent="0.25">
      <c r="A195" s="6"/>
      <c r="O195" s="7" t="str">
        <f ca="1">getCodigoBackend(N195,A195,VLOOKUP(N195,setup!$A$8:$H$58,2),VLOOKUP(N195,setup!$A$8:$H$58,3),VLOOKUP(N195,setup!$A$8:$H$58,4),VLOOKUP(N195,setup!$A$8:$H$58,5),VLOOKUP(N195,setup!$A$8:$H$58,6),VLOOKUP(N195,setup!$A$8:$H$58,7), VLOOKUP(0,setup!$A$8:$H$58,2),VLOOKUP(0,setup!$A$8:$H$58,5),VLOOKUP(N195,setup!$A$8:$H$58,8))</f>
        <v/>
      </c>
    </row>
    <row r="196" spans="1:15" x14ac:dyDescent="0.25">
      <c r="A196" s="6"/>
      <c r="O196" s="7" t="str">
        <f ca="1">getCodigoBackend(N196,A196,VLOOKUP(N196,setup!$A$8:$H$58,2),VLOOKUP(N196,setup!$A$8:$H$58,3),VLOOKUP(N196,setup!$A$8:$H$58,4),VLOOKUP(N196,setup!$A$8:$H$58,5),VLOOKUP(N196,setup!$A$8:$H$58,6),VLOOKUP(N196,setup!$A$8:$H$58,7), VLOOKUP(0,setup!$A$8:$H$58,2),VLOOKUP(0,setup!$A$8:$H$58,5),VLOOKUP(N196,setup!$A$8:$H$58,8))</f>
        <v/>
      </c>
    </row>
    <row r="197" spans="1:15" x14ac:dyDescent="0.25">
      <c r="A197" s="6"/>
      <c r="O197" s="7" t="str">
        <f ca="1">getCodigoBackend(N197,A197,VLOOKUP(N197,setup!$A$8:$H$58,2),VLOOKUP(N197,setup!$A$8:$H$58,3),VLOOKUP(N197,setup!$A$8:$H$58,4),VLOOKUP(N197,setup!$A$8:$H$58,5),VLOOKUP(N197,setup!$A$8:$H$58,6),VLOOKUP(N197,setup!$A$8:$H$58,7), VLOOKUP(0,setup!$A$8:$H$58,2),VLOOKUP(0,setup!$A$8:$H$58,5),VLOOKUP(N197,setup!$A$8:$H$58,8))</f>
        <v/>
      </c>
    </row>
    <row r="198" spans="1:15" x14ac:dyDescent="0.25">
      <c r="A198" s="6"/>
      <c r="O198" s="7" t="str">
        <f ca="1">getCodigoBackend(N198,A198,VLOOKUP(N198,setup!$A$8:$H$58,2),VLOOKUP(N198,setup!$A$8:$H$58,3),VLOOKUP(N198,setup!$A$8:$H$58,4),VLOOKUP(N198,setup!$A$8:$H$58,5),VLOOKUP(N198,setup!$A$8:$H$58,6),VLOOKUP(N198,setup!$A$8:$H$58,7), VLOOKUP(0,setup!$A$8:$H$58,2),VLOOKUP(0,setup!$A$8:$H$58,5),VLOOKUP(N198,setup!$A$8:$H$58,8))</f>
        <v/>
      </c>
    </row>
    <row r="199" spans="1:15" x14ac:dyDescent="0.25">
      <c r="A199" s="6"/>
      <c r="O199" s="7" t="str">
        <f ca="1">getCodigoBackend(N199,A199,VLOOKUP(N199,setup!$A$8:$H$58,2),VLOOKUP(N199,setup!$A$8:$H$58,3),VLOOKUP(N199,setup!$A$8:$H$58,4),VLOOKUP(N199,setup!$A$8:$H$58,5),VLOOKUP(N199,setup!$A$8:$H$58,6),VLOOKUP(N199,setup!$A$8:$H$58,7), VLOOKUP(0,setup!$A$8:$H$58,2),VLOOKUP(0,setup!$A$8:$H$58,5),VLOOKUP(N199,setup!$A$8:$H$58,8))</f>
        <v/>
      </c>
    </row>
    <row r="200" spans="1:15" x14ac:dyDescent="0.25">
      <c r="A200" s="6"/>
      <c r="O200" s="7" t="str">
        <f ca="1">getCodigoBackend(N200,A200,VLOOKUP(N200,setup!$A$8:$H$58,2),VLOOKUP(N200,setup!$A$8:$H$58,3),VLOOKUP(N200,setup!$A$8:$H$58,4),VLOOKUP(N200,setup!$A$8:$H$58,5),VLOOKUP(N200,setup!$A$8:$H$58,6),VLOOKUP(N200,setup!$A$8:$H$58,7), VLOOKUP(0,setup!$A$8:$H$58,2),VLOOKUP(0,setup!$A$8:$H$58,5),VLOOKUP(N200,setup!$A$8:$H$58,8))</f>
        <v/>
      </c>
    </row>
    <row r="201" spans="1:15" x14ac:dyDescent="0.25">
      <c r="A201" s="6"/>
      <c r="O201" s="7" t="str">
        <f ca="1">getCodigoBackend(N201,A201,VLOOKUP(N201,setup!$A$8:$H$58,2),VLOOKUP(N201,setup!$A$8:$H$58,3),VLOOKUP(N201,setup!$A$8:$H$58,4),VLOOKUP(N201,setup!$A$8:$H$58,5),VLOOKUP(N201,setup!$A$8:$H$58,6),VLOOKUP(N201,setup!$A$8:$H$58,7), VLOOKUP(0,setup!$A$8:$H$58,2),VLOOKUP(0,setup!$A$8:$H$58,5),VLOOKUP(N201,setup!$A$8:$H$58,8))</f>
        <v/>
      </c>
    </row>
    <row r="202" spans="1:15" x14ac:dyDescent="0.25">
      <c r="A202" s="6"/>
      <c r="O202" s="7" t="str">
        <f ca="1">getCodigoBackend(N202,A202,VLOOKUP(N202,setup!$A$8:$H$58,2),VLOOKUP(N202,setup!$A$8:$H$58,3),VLOOKUP(N202,setup!$A$8:$H$58,4),VLOOKUP(N202,setup!$A$8:$H$58,5),VLOOKUP(N202,setup!$A$8:$H$58,6),VLOOKUP(N202,setup!$A$8:$H$58,7), VLOOKUP(0,setup!$A$8:$H$58,2),VLOOKUP(0,setup!$A$8:$H$58,5),VLOOKUP(N202,setup!$A$8:$H$58,8))</f>
        <v/>
      </c>
    </row>
    <row r="203" spans="1:15" x14ac:dyDescent="0.25">
      <c r="A203" s="6"/>
      <c r="O203" s="7" t="str">
        <f ca="1">getCodigoBackend(N203,A203,VLOOKUP(N203,setup!$A$8:$H$58,2),VLOOKUP(N203,setup!$A$8:$H$58,3),VLOOKUP(N203,setup!$A$8:$H$58,4),VLOOKUP(N203,setup!$A$8:$H$58,5),VLOOKUP(N203,setup!$A$8:$H$58,6),VLOOKUP(N203,setup!$A$8:$H$58,7), VLOOKUP(0,setup!$A$8:$H$58,2),VLOOKUP(0,setup!$A$8:$H$58,5),VLOOKUP(N203,setup!$A$8:$H$58,8))</f>
        <v/>
      </c>
    </row>
    <row r="204" spans="1:15" x14ac:dyDescent="0.25">
      <c r="A204" s="6"/>
      <c r="O204" s="7" t="str">
        <f ca="1">getCodigoBackend(N204,A204,VLOOKUP(N204,setup!$A$8:$H$58,2),VLOOKUP(N204,setup!$A$8:$H$58,3),VLOOKUP(N204,setup!$A$8:$H$58,4),VLOOKUP(N204,setup!$A$8:$H$58,5),VLOOKUP(N204,setup!$A$8:$H$58,6),VLOOKUP(N204,setup!$A$8:$H$58,7), VLOOKUP(0,setup!$A$8:$H$58,2),VLOOKUP(0,setup!$A$8:$H$58,5),VLOOKUP(N204,setup!$A$8:$H$58,8))</f>
        <v/>
      </c>
    </row>
    <row r="205" spans="1:15" x14ac:dyDescent="0.25">
      <c r="A205" s="6"/>
      <c r="O205" s="7" t="str">
        <f ca="1">getCodigoBackend(N205,A205,VLOOKUP(N205,setup!$A$8:$H$58,2),VLOOKUP(N205,setup!$A$8:$H$58,3),VLOOKUP(N205,setup!$A$8:$H$58,4),VLOOKUP(N205,setup!$A$8:$H$58,5),VLOOKUP(N205,setup!$A$8:$H$58,6),VLOOKUP(N205,setup!$A$8:$H$58,7), VLOOKUP(0,setup!$A$8:$H$58,2),VLOOKUP(0,setup!$A$8:$H$58,5),VLOOKUP(N205,setup!$A$8:$H$58,8))</f>
        <v/>
      </c>
    </row>
    <row r="206" spans="1:15" x14ac:dyDescent="0.25">
      <c r="A206" s="6"/>
      <c r="O206" s="7" t="str">
        <f ca="1">getCodigoBackend(N206,A206,VLOOKUP(N206,setup!$A$8:$H$58,2),VLOOKUP(N206,setup!$A$8:$H$58,3),VLOOKUP(N206,setup!$A$8:$H$58,4),VLOOKUP(N206,setup!$A$8:$H$58,5),VLOOKUP(N206,setup!$A$8:$H$58,6),VLOOKUP(N206,setup!$A$8:$H$58,7), VLOOKUP(0,setup!$A$8:$H$58,2),VLOOKUP(0,setup!$A$8:$H$58,5),VLOOKUP(N206,setup!$A$8:$H$58,8))</f>
        <v/>
      </c>
    </row>
    <row r="207" spans="1:15" x14ac:dyDescent="0.25">
      <c r="A207" s="6"/>
      <c r="O207" s="7" t="str">
        <f ca="1">getCodigoBackend(N207,A207,VLOOKUP(N207,setup!$A$8:$H$58,2),VLOOKUP(N207,setup!$A$8:$H$58,3),VLOOKUP(N207,setup!$A$8:$H$58,4),VLOOKUP(N207,setup!$A$8:$H$58,5),VLOOKUP(N207,setup!$A$8:$H$58,6),VLOOKUP(N207,setup!$A$8:$H$58,7), VLOOKUP(0,setup!$A$8:$H$58,2),VLOOKUP(0,setup!$A$8:$H$58,5),VLOOKUP(N207,setup!$A$8:$H$58,8))</f>
        <v/>
      </c>
    </row>
    <row r="208" spans="1:15" x14ac:dyDescent="0.25">
      <c r="A208" s="6"/>
      <c r="O208" s="7" t="str">
        <f ca="1">getCodigoBackend(N208,A208,VLOOKUP(N208,setup!$A$8:$H$58,2),VLOOKUP(N208,setup!$A$8:$H$58,3),VLOOKUP(N208,setup!$A$8:$H$58,4),VLOOKUP(N208,setup!$A$8:$H$58,5),VLOOKUP(N208,setup!$A$8:$H$58,6),VLOOKUP(N208,setup!$A$8:$H$58,7), VLOOKUP(0,setup!$A$8:$H$58,2),VLOOKUP(0,setup!$A$8:$H$58,5),VLOOKUP(N208,setup!$A$8:$H$58,8))</f>
        <v/>
      </c>
    </row>
    <row r="209" spans="1:15" x14ac:dyDescent="0.25">
      <c r="A209" s="6"/>
      <c r="O209" s="7" t="str">
        <f ca="1">getCodigoBackend(N209,A209,VLOOKUP(N209,setup!$A$8:$H$58,2),VLOOKUP(N209,setup!$A$8:$H$58,3),VLOOKUP(N209,setup!$A$8:$H$58,4),VLOOKUP(N209,setup!$A$8:$H$58,5),VLOOKUP(N209,setup!$A$8:$H$58,6),VLOOKUP(N209,setup!$A$8:$H$58,7), VLOOKUP(0,setup!$A$8:$H$58,2),VLOOKUP(0,setup!$A$8:$H$58,5),VLOOKUP(N209,setup!$A$8:$H$58,8))</f>
        <v/>
      </c>
    </row>
    <row r="210" spans="1:15" x14ac:dyDescent="0.25">
      <c r="A210" s="6"/>
      <c r="O210" s="7" t="str">
        <f ca="1">getCodigoBackend(N210,A210,VLOOKUP(N210,setup!$A$8:$H$58,2),VLOOKUP(N210,setup!$A$8:$H$58,3),VLOOKUP(N210,setup!$A$8:$H$58,4),VLOOKUP(N210,setup!$A$8:$H$58,5),VLOOKUP(N210,setup!$A$8:$H$58,6),VLOOKUP(N210,setup!$A$8:$H$58,7), VLOOKUP(0,setup!$A$8:$H$58,2),VLOOKUP(0,setup!$A$8:$H$58,5),VLOOKUP(N210,setup!$A$8:$H$58,8))</f>
        <v/>
      </c>
    </row>
    <row r="211" spans="1:15" x14ac:dyDescent="0.25">
      <c r="A211" s="6"/>
      <c r="O211" s="7" t="str">
        <f ca="1">getCodigoBackend(N211,A211,VLOOKUP(N211,setup!$A$8:$H$58,2),VLOOKUP(N211,setup!$A$8:$H$58,3),VLOOKUP(N211,setup!$A$8:$H$58,4),VLOOKUP(N211,setup!$A$8:$H$58,5),VLOOKUP(N211,setup!$A$8:$H$58,6),VLOOKUP(N211,setup!$A$8:$H$58,7), VLOOKUP(0,setup!$A$8:$H$58,2),VLOOKUP(0,setup!$A$8:$H$58,5),VLOOKUP(N211,setup!$A$8:$H$58,8))</f>
        <v/>
      </c>
    </row>
    <row r="212" spans="1:15" x14ac:dyDescent="0.25">
      <c r="A212" s="6"/>
      <c r="O212" s="7" t="str">
        <f ca="1">getCodigoBackend(N212,A212,VLOOKUP(N212,setup!$A$8:$H$58,2),VLOOKUP(N212,setup!$A$8:$H$58,3),VLOOKUP(N212,setup!$A$8:$H$58,4),VLOOKUP(N212,setup!$A$8:$H$58,5),VLOOKUP(N212,setup!$A$8:$H$58,6),VLOOKUP(N212,setup!$A$8:$H$58,7), VLOOKUP(0,setup!$A$8:$H$58,2),VLOOKUP(0,setup!$A$8:$H$58,5),VLOOKUP(N212,setup!$A$8:$H$58,8))</f>
        <v/>
      </c>
    </row>
    <row r="213" spans="1:15" x14ac:dyDescent="0.25">
      <c r="A213" s="6"/>
      <c r="O213" s="7" t="str">
        <f ca="1">getCodigoBackend(N213,A213,VLOOKUP(N213,setup!$A$8:$H$58,2),VLOOKUP(N213,setup!$A$8:$H$58,3),VLOOKUP(N213,setup!$A$8:$H$58,4),VLOOKUP(N213,setup!$A$8:$H$58,5),VLOOKUP(N213,setup!$A$8:$H$58,6),VLOOKUP(N213,setup!$A$8:$H$58,7), VLOOKUP(0,setup!$A$8:$H$58,2),VLOOKUP(0,setup!$A$8:$H$58,5),VLOOKUP(N213,setup!$A$8:$H$58,8))</f>
        <v/>
      </c>
    </row>
    <row r="214" spans="1:15" x14ac:dyDescent="0.25">
      <c r="A214" s="6"/>
      <c r="O214" s="7" t="str">
        <f ca="1">getCodigoBackend(N214,A214,VLOOKUP(N214,setup!$A$8:$H$58,2),VLOOKUP(N214,setup!$A$8:$H$58,3),VLOOKUP(N214,setup!$A$8:$H$58,4),VLOOKUP(N214,setup!$A$8:$H$58,5),VLOOKUP(N214,setup!$A$8:$H$58,6),VLOOKUP(N214,setup!$A$8:$H$58,7), VLOOKUP(0,setup!$A$8:$H$58,2),VLOOKUP(0,setup!$A$8:$H$58,5),VLOOKUP(N214,setup!$A$8:$H$58,8))</f>
        <v/>
      </c>
    </row>
    <row r="215" spans="1:15" x14ac:dyDescent="0.25">
      <c r="A215" s="6"/>
      <c r="O215" s="7" t="str">
        <f ca="1">getCodigoBackend(N215,A215,VLOOKUP(N215,setup!$A$8:$H$58,2),VLOOKUP(N215,setup!$A$8:$H$58,3),VLOOKUP(N215,setup!$A$8:$H$58,4),VLOOKUP(N215,setup!$A$8:$H$58,5),VLOOKUP(N215,setup!$A$8:$H$58,6),VLOOKUP(N215,setup!$A$8:$H$58,7), VLOOKUP(0,setup!$A$8:$H$58,2),VLOOKUP(0,setup!$A$8:$H$58,5),VLOOKUP(N215,setup!$A$8:$H$58,8))</f>
        <v/>
      </c>
    </row>
    <row r="216" spans="1:15" x14ac:dyDescent="0.25">
      <c r="A216" s="6"/>
      <c r="O216" s="7" t="str">
        <f ca="1">getCodigoBackend(N216,A216,VLOOKUP(N216,setup!$A$8:$H$58,2),VLOOKUP(N216,setup!$A$8:$H$58,3),VLOOKUP(N216,setup!$A$8:$H$58,4),VLOOKUP(N216,setup!$A$8:$H$58,5),VLOOKUP(N216,setup!$A$8:$H$58,6),VLOOKUP(N216,setup!$A$8:$H$58,7), VLOOKUP(0,setup!$A$8:$H$58,2),VLOOKUP(0,setup!$A$8:$H$58,5),VLOOKUP(N216,setup!$A$8:$H$58,8))</f>
        <v/>
      </c>
    </row>
    <row r="217" spans="1:15" x14ac:dyDescent="0.25">
      <c r="A217" s="2"/>
      <c r="O217" s="7" t="str">
        <f ca="1">getCodigoBackend(N217,A217,VLOOKUP(N217,setup!$A$8:$H$58,2),VLOOKUP(N217,setup!$A$8:$H$58,3),VLOOKUP(N217,setup!$A$8:$H$58,4),VLOOKUP(N217,setup!$A$8:$H$58,5),VLOOKUP(N217,setup!$A$8:$H$58,6),VLOOKUP(N217,setup!$A$8:$H$58,7), VLOOKUP(0,setup!$A$8:$H$58,2),VLOOKUP(0,setup!$A$8:$H$58,5),VLOOKUP(N217,setup!$A$8:$H$58,8))</f>
        <v/>
      </c>
    </row>
    <row r="218" spans="1:15" x14ac:dyDescent="0.25">
      <c r="A218" s="2"/>
      <c r="O218" s="7" t="str">
        <f ca="1">getCodigoBackend(N218,A218,VLOOKUP(N218,setup!$A$8:$H$58,2),VLOOKUP(N218,setup!$A$8:$H$58,3),VLOOKUP(N218,setup!$A$8:$H$58,4),VLOOKUP(N218,setup!$A$8:$H$58,5),VLOOKUP(N218,setup!$A$8:$H$58,6),VLOOKUP(N218,setup!$A$8:$H$58,7), VLOOKUP(0,setup!$A$8:$H$58,2),VLOOKUP(0,setup!$A$8:$H$58,5),VLOOKUP(N218,setup!$A$8:$H$58,8))</f>
        <v/>
      </c>
    </row>
    <row r="219" spans="1:15" x14ac:dyDescent="0.25">
      <c r="A219" s="3"/>
      <c r="O219" s="7" t="str">
        <f ca="1">getCodigoBackend(N219,A219,VLOOKUP(N219,setup!$A$8:$H$58,2),VLOOKUP(N219,setup!$A$8:$H$58,3),VLOOKUP(N219,setup!$A$8:$H$58,4),VLOOKUP(N219,setup!$A$8:$H$58,5),VLOOKUP(N219,setup!$A$8:$H$58,6),VLOOKUP(N219,setup!$A$8:$H$58,7), VLOOKUP(0,setup!$A$8:$H$58,2),VLOOKUP(0,setup!$A$8:$H$58,5),VLOOKUP(N219,setup!$A$8:$H$58,8))</f>
        <v/>
      </c>
    </row>
    <row r="220" spans="1:15" x14ac:dyDescent="0.25">
      <c r="A220" s="2"/>
      <c r="O220" s="7" t="str">
        <f ca="1">getCodigoBackend(N220,A220,VLOOKUP(N220,setup!$A$8:$H$58,2),VLOOKUP(N220,setup!$A$8:$H$58,3),VLOOKUP(N220,setup!$A$8:$H$58,4),VLOOKUP(N220,setup!$A$8:$H$58,5),VLOOKUP(N220,setup!$A$8:$H$58,6),VLOOKUP(N220,setup!$A$8:$H$58,7), VLOOKUP(0,setup!$A$8:$H$58,2),VLOOKUP(0,setup!$A$8:$H$58,5),VLOOKUP(N220,setup!$A$8:$H$58,8))</f>
        <v/>
      </c>
    </row>
    <row r="221" spans="1:15" x14ac:dyDescent="0.25">
      <c r="A221" s="6"/>
      <c r="O221" s="7" t="str">
        <f ca="1">getCodigoBackend(N221,A221,VLOOKUP(N221,setup!$A$8:$H$58,2),VLOOKUP(N221,setup!$A$8:$H$58,3),VLOOKUP(N221,setup!$A$8:$H$58,4),VLOOKUP(N221,setup!$A$8:$H$58,5),VLOOKUP(N221,setup!$A$8:$H$58,6),VLOOKUP(N221,setup!$A$8:$H$58,7), VLOOKUP(0,setup!$A$8:$H$58,2),VLOOKUP(0,setup!$A$8:$H$58,5),VLOOKUP(N221,setup!$A$8:$H$58,8))</f>
        <v/>
      </c>
    </row>
    <row r="222" spans="1:15" x14ac:dyDescent="0.25">
      <c r="A222" s="5"/>
      <c r="O222" s="7" t="str">
        <f ca="1">getCodigoBackend(N222,A222,VLOOKUP(N222,setup!$A$8:$H$58,2),VLOOKUP(N222,setup!$A$8:$H$58,3),VLOOKUP(N222,setup!$A$8:$H$58,4),VLOOKUP(N222,setup!$A$8:$H$58,5),VLOOKUP(N222,setup!$A$8:$H$58,6),VLOOKUP(N222,setup!$A$8:$H$58,7), VLOOKUP(0,setup!$A$8:$H$58,2),VLOOKUP(0,setup!$A$8:$H$58,5),VLOOKUP(N222,setup!$A$8:$H$58,8))</f>
        <v/>
      </c>
    </row>
    <row r="223" spans="1:15" x14ac:dyDescent="0.25">
      <c r="A223" s="6"/>
      <c r="O223" s="7" t="str">
        <f ca="1">getCodigoBackend(N223,A223,VLOOKUP(N223,setup!$A$8:$H$58,2),VLOOKUP(N223,setup!$A$8:$H$58,3),VLOOKUP(N223,setup!$A$8:$H$58,4),VLOOKUP(N223,setup!$A$8:$H$58,5),VLOOKUP(N223,setup!$A$8:$H$58,6),VLOOKUP(N223,setup!$A$8:$H$58,7), VLOOKUP(0,setup!$A$8:$H$58,2),VLOOKUP(0,setup!$A$8:$H$58,5),VLOOKUP(N223,setup!$A$8:$H$58,8))</f>
        <v/>
      </c>
    </row>
    <row r="224" spans="1:15" x14ac:dyDescent="0.25">
      <c r="A224" s="10"/>
      <c r="O224" s="7" t="str">
        <f ca="1">getCodigoBackend(N224,A224,VLOOKUP(N224,setup!$A$8:$H$58,2),VLOOKUP(N224,setup!$A$8:$H$58,3),VLOOKUP(N224,setup!$A$8:$H$58,4),VLOOKUP(N224,setup!$A$8:$H$58,5),VLOOKUP(N224,setup!$A$8:$H$58,6),VLOOKUP(N224,setup!$A$8:$H$58,7), VLOOKUP(0,setup!$A$8:$H$58,2),VLOOKUP(0,setup!$A$8:$H$58,5),VLOOKUP(N224,setup!$A$8:$H$58,8))</f>
        <v/>
      </c>
    </row>
    <row r="225" spans="1:15" x14ac:dyDescent="0.25">
      <c r="A225" s="10"/>
      <c r="O225" s="7" t="str">
        <f ca="1">getCodigoBackend(N225,A225,VLOOKUP(N225,setup!$A$8:$H$58,2),VLOOKUP(N225,setup!$A$8:$H$58,3),VLOOKUP(N225,setup!$A$8:$H$58,4),VLOOKUP(N225,setup!$A$8:$H$58,5),VLOOKUP(N225,setup!$A$8:$H$58,6),VLOOKUP(N225,setup!$A$8:$H$58,7), VLOOKUP(0,setup!$A$8:$H$58,2),VLOOKUP(0,setup!$A$8:$H$58,5),VLOOKUP(N225,setup!$A$8:$H$58,8))</f>
        <v/>
      </c>
    </row>
    <row r="226" spans="1:15" x14ac:dyDescent="0.25">
      <c r="A226" s="10"/>
      <c r="O226" s="7" t="str">
        <f ca="1">getCodigoBackend(N226,A226,VLOOKUP(N226,setup!$A$8:$H$58,2),VLOOKUP(N226,setup!$A$8:$H$58,3),VLOOKUP(N226,setup!$A$8:$H$58,4),VLOOKUP(N226,setup!$A$8:$H$58,5),VLOOKUP(N226,setup!$A$8:$H$58,6),VLOOKUP(N226,setup!$A$8:$H$58,7), VLOOKUP(0,setup!$A$8:$H$58,2),VLOOKUP(0,setup!$A$8:$H$58,5),VLOOKUP(N226,setup!$A$8:$H$58,8))</f>
        <v/>
      </c>
    </row>
    <row r="227" spans="1:15" x14ac:dyDescent="0.25">
      <c r="A227" s="10"/>
      <c r="O227" s="7" t="str">
        <f ca="1">getCodigoBackend(N227,A227,VLOOKUP(N227,setup!$A$8:$H$58,2),VLOOKUP(N227,setup!$A$8:$H$58,3),VLOOKUP(N227,setup!$A$8:$H$58,4),VLOOKUP(N227,setup!$A$8:$H$58,5),VLOOKUP(N227,setup!$A$8:$H$58,6),VLOOKUP(N227,setup!$A$8:$H$58,7), VLOOKUP(0,setup!$A$8:$H$58,2),VLOOKUP(0,setup!$A$8:$H$58,5),VLOOKUP(N227,setup!$A$8:$H$58,8))</f>
        <v/>
      </c>
    </row>
    <row r="228" spans="1:15" x14ac:dyDescent="0.25">
      <c r="A228" s="10"/>
      <c r="O228" s="7" t="str">
        <f ca="1">getCodigoBackend(N228,A228,VLOOKUP(N228,setup!$A$8:$H$58,2),VLOOKUP(N228,setup!$A$8:$H$58,3),VLOOKUP(N228,setup!$A$8:$H$58,4),VLOOKUP(N228,setup!$A$8:$H$58,5),VLOOKUP(N228,setup!$A$8:$H$58,6),VLOOKUP(N228,setup!$A$8:$H$58,7), VLOOKUP(0,setup!$A$8:$H$58,2),VLOOKUP(0,setup!$A$8:$H$58,5),VLOOKUP(N228,setup!$A$8:$H$58,8))</f>
        <v/>
      </c>
    </row>
    <row r="229" spans="1:15" x14ac:dyDescent="0.25">
      <c r="A229" s="10"/>
      <c r="O229" s="7" t="str">
        <f ca="1">getCodigoBackend(N229,A229,VLOOKUP(N229,setup!$A$8:$H$58,2),VLOOKUP(N229,setup!$A$8:$H$58,3),VLOOKUP(N229,setup!$A$8:$H$58,4),VLOOKUP(N229,setup!$A$8:$H$58,5),VLOOKUP(N229,setup!$A$8:$H$58,6),VLOOKUP(N229,setup!$A$8:$H$58,7), VLOOKUP(0,setup!$A$8:$H$58,2),VLOOKUP(0,setup!$A$8:$H$58,5),VLOOKUP(N229,setup!$A$8:$H$58,8))</f>
        <v/>
      </c>
    </row>
    <row r="230" spans="1:15" x14ac:dyDescent="0.25">
      <c r="A230" s="10"/>
      <c r="O230" s="7" t="str">
        <f ca="1">getCodigoBackend(N230,A230,VLOOKUP(N230,setup!$A$8:$H$58,2),VLOOKUP(N230,setup!$A$8:$H$58,3),VLOOKUP(N230,setup!$A$8:$H$58,4),VLOOKUP(N230,setup!$A$8:$H$58,5),VLOOKUP(N230,setup!$A$8:$H$58,6),VLOOKUP(N230,setup!$A$8:$H$58,7), VLOOKUP(0,setup!$A$8:$H$58,2),VLOOKUP(0,setup!$A$8:$H$58,5),VLOOKUP(N230,setup!$A$8:$H$58,8))</f>
        <v/>
      </c>
    </row>
    <row r="231" spans="1:15" x14ac:dyDescent="0.25">
      <c r="A231" s="10"/>
      <c r="O231" s="7" t="str">
        <f ca="1">getCodigoBackend(N231,A231,VLOOKUP(N231,setup!$A$8:$H$58,2),VLOOKUP(N231,setup!$A$8:$H$58,3),VLOOKUP(N231,setup!$A$8:$H$58,4),VLOOKUP(N231,setup!$A$8:$H$58,5),VLOOKUP(N231,setup!$A$8:$H$58,6),VLOOKUP(N231,setup!$A$8:$H$58,7), VLOOKUP(0,setup!$A$8:$H$58,2),VLOOKUP(0,setup!$A$8:$H$58,5),VLOOKUP(N231,setup!$A$8:$H$58,8))</f>
        <v/>
      </c>
    </row>
    <row r="232" spans="1:15" x14ac:dyDescent="0.25">
      <c r="A232" s="10"/>
      <c r="O232" s="7" t="str">
        <f ca="1">getCodigoBackend(N232,A232,VLOOKUP(N232,setup!$A$8:$H$58,2),VLOOKUP(N232,setup!$A$8:$H$58,3),VLOOKUP(N232,setup!$A$8:$H$58,4),VLOOKUP(N232,setup!$A$8:$H$58,5),VLOOKUP(N232,setup!$A$8:$H$58,6),VLOOKUP(N232,setup!$A$8:$H$58,7), VLOOKUP(0,setup!$A$8:$H$58,2),VLOOKUP(0,setup!$A$8:$H$58,5),VLOOKUP(N232,setup!$A$8:$H$58,8))</f>
        <v/>
      </c>
    </row>
    <row r="233" spans="1:15" x14ac:dyDescent="0.25">
      <c r="A233" s="10"/>
      <c r="O233" s="7" t="str">
        <f ca="1">getCodigoBackend(N233,A233,VLOOKUP(N233,setup!$A$8:$H$58,2),VLOOKUP(N233,setup!$A$8:$H$58,3),VLOOKUP(N233,setup!$A$8:$H$58,4),VLOOKUP(N233,setup!$A$8:$H$58,5),VLOOKUP(N233,setup!$A$8:$H$58,6),VLOOKUP(N233,setup!$A$8:$H$58,7), VLOOKUP(0,setup!$A$8:$H$58,2),VLOOKUP(0,setup!$A$8:$H$58,5),VLOOKUP(N233,setup!$A$8:$H$58,8))</f>
        <v/>
      </c>
    </row>
    <row r="234" spans="1:15" x14ac:dyDescent="0.25">
      <c r="A234" s="10"/>
      <c r="O234" s="7" t="str">
        <f ca="1">getCodigoBackend(N234,A234,VLOOKUP(N234,setup!$A$8:$H$58,2),VLOOKUP(N234,setup!$A$8:$H$58,3),VLOOKUP(N234,setup!$A$8:$H$58,4),VLOOKUP(N234,setup!$A$8:$H$58,5),VLOOKUP(N234,setup!$A$8:$H$58,6),VLOOKUP(N234,setup!$A$8:$H$58,7), VLOOKUP(0,setup!$A$8:$H$58,2),VLOOKUP(0,setup!$A$8:$H$58,5),VLOOKUP(N234,setup!$A$8:$H$58,8))</f>
        <v/>
      </c>
    </row>
    <row r="235" spans="1:15" x14ac:dyDescent="0.25">
      <c r="A235" s="10"/>
      <c r="O235" s="7" t="str">
        <f ca="1">getCodigoBackend(N235,A235,VLOOKUP(N235,setup!$A$8:$H$58,2),VLOOKUP(N235,setup!$A$8:$H$58,3),VLOOKUP(N235,setup!$A$8:$H$58,4),VLOOKUP(N235,setup!$A$8:$H$58,5),VLOOKUP(N235,setup!$A$8:$H$58,6),VLOOKUP(N235,setup!$A$8:$H$58,7), VLOOKUP(0,setup!$A$8:$H$58,2),VLOOKUP(0,setup!$A$8:$H$58,5),VLOOKUP(N235,setup!$A$8:$H$58,8))</f>
        <v/>
      </c>
    </row>
    <row r="236" spans="1:15" x14ac:dyDescent="0.25">
      <c r="A236" s="10"/>
      <c r="O236" s="7" t="str">
        <f ca="1">getCodigoBackend(N236,A236,VLOOKUP(N236,setup!$A$8:$H$58,2),VLOOKUP(N236,setup!$A$8:$H$58,3),VLOOKUP(N236,setup!$A$8:$H$58,4),VLOOKUP(N236,setup!$A$8:$H$58,5),VLOOKUP(N236,setup!$A$8:$H$58,6),VLOOKUP(N236,setup!$A$8:$H$58,7), VLOOKUP(0,setup!$A$8:$H$58,2),VLOOKUP(0,setup!$A$8:$H$58,5),VLOOKUP(N236,setup!$A$8:$H$58,8))</f>
        <v/>
      </c>
    </row>
    <row r="237" spans="1:15" x14ac:dyDescent="0.25">
      <c r="A237" s="10"/>
      <c r="O237" s="7" t="str">
        <f ca="1">getCodigoBackend(N237,A237,VLOOKUP(N237,setup!$A$8:$H$58,2),VLOOKUP(N237,setup!$A$8:$H$58,3),VLOOKUP(N237,setup!$A$8:$H$58,4),VLOOKUP(N237,setup!$A$8:$H$58,5),VLOOKUP(N237,setup!$A$8:$H$58,6),VLOOKUP(N237,setup!$A$8:$H$58,7), VLOOKUP(0,setup!$A$8:$H$58,2),VLOOKUP(0,setup!$A$8:$H$58,5),VLOOKUP(N237,setup!$A$8:$H$58,8))</f>
        <v/>
      </c>
    </row>
    <row r="238" spans="1:15" x14ac:dyDescent="0.25">
      <c r="A238" s="10"/>
      <c r="O238" s="7" t="str">
        <f ca="1">getCodigoBackend(N238,A238,VLOOKUP(N238,setup!$A$8:$H$58,2),VLOOKUP(N238,setup!$A$8:$H$58,3),VLOOKUP(N238,setup!$A$8:$H$58,4),VLOOKUP(N238,setup!$A$8:$H$58,5),VLOOKUP(N238,setup!$A$8:$H$58,6),VLOOKUP(N238,setup!$A$8:$H$58,7), VLOOKUP(0,setup!$A$8:$H$58,2),VLOOKUP(0,setup!$A$8:$H$58,5),VLOOKUP(N238,setup!$A$8:$H$58,8))</f>
        <v/>
      </c>
    </row>
    <row r="239" spans="1:15" x14ac:dyDescent="0.25">
      <c r="A239" s="10"/>
      <c r="O239" s="7" t="str">
        <f ca="1">getCodigoBackend(N239,A239,VLOOKUP(N239,setup!$A$8:$H$58,2),VLOOKUP(N239,setup!$A$8:$H$58,3),VLOOKUP(N239,setup!$A$8:$H$58,4),VLOOKUP(N239,setup!$A$8:$H$58,5),VLOOKUP(N239,setup!$A$8:$H$58,6),VLOOKUP(N239,setup!$A$8:$H$58,7), VLOOKUP(0,setup!$A$8:$H$58,2),VLOOKUP(0,setup!$A$8:$H$58,5),VLOOKUP(N239,setup!$A$8:$H$58,8))</f>
        <v/>
      </c>
    </row>
    <row r="240" spans="1:15" x14ac:dyDescent="0.25">
      <c r="A240" s="10"/>
      <c r="O240" s="7" t="str">
        <f ca="1">getCodigoBackend(N240,A240,VLOOKUP(N240,setup!$A$8:$H$58,2),VLOOKUP(N240,setup!$A$8:$H$58,3),VLOOKUP(N240,setup!$A$8:$H$58,4),VLOOKUP(N240,setup!$A$8:$H$58,5),VLOOKUP(N240,setup!$A$8:$H$58,6),VLOOKUP(N240,setup!$A$8:$H$58,7), VLOOKUP(0,setup!$A$8:$H$58,2),VLOOKUP(0,setup!$A$8:$H$58,5),VLOOKUP(N240,setup!$A$8:$H$58,8))</f>
        <v/>
      </c>
    </row>
    <row r="241" spans="1:15" x14ac:dyDescent="0.25">
      <c r="A241" s="10"/>
      <c r="O241" s="7" t="str">
        <f ca="1">getCodigoBackend(N241,A241,VLOOKUP(N241,setup!$A$8:$H$58,2),VLOOKUP(N241,setup!$A$8:$H$58,3),VLOOKUP(N241,setup!$A$8:$H$58,4),VLOOKUP(N241,setup!$A$8:$H$58,5),VLOOKUP(N241,setup!$A$8:$H$58,6),VLOOKUP(N241,setup!$A$8:$H$58,7), VLOOKUP(0,setup!$A$8:$H$58,2),VLOOKUP(0,setup!$A$8:$H$58,5),VLOOKUP(N241,setup!$A$8:$H$58,8))</f>
        <v/>
      </c>
    </row>
    <row r="242" spans="1:15" x14ac:dyDescent="0.25">
      <c r="A242" s="10"/>
      <c r="O242" s="7" t="str">
        <f ca="1">getCodigoBackend(N242,A242,VLOOKUP(N242,setup!$A$8:$H$58,2),VLOOKUP(N242,setup!$A$8:$H$58,3),VLOOKUP(N242,setup!$A$8:$H$58,4),VLOOKUP(N242,setup!$A$8:$H$58,5),VLOOKUP(N242,setup!$A$8:$H$58,6),VLOOKUP(N242,setup!$A$8:$H$58,7), VLOOKUP(0,setup!$A$8:$H$58,2),VLOOKUP(0,setup!$A$8:$H$58,5),VLOOKUP(N242,setup!$A$8:$H$58,8))</f>
        <v/>
      </c>
    </row>
    <row r="243" spans="1:15" x14ac:dyDescent="0.25">
      <c r="A243" s="10"/>
      <c r="O243" s="7" t="str">
        <f ca="1">getCodigoBackend(N243,A243,VLOOKUP(N243,setup!$A$8:$H$58,2),VLOOKUP(N243,setup!$A$8:$H$58,3),VLOOKUP(N243,setup!$A$8:$H$58,4),VLOOKUP(N243,setup!$A$8:$H$58,5),VLOOKUP(N243,setup!$A$8:$H$58,6),VLOOKUP(N243,setup!$A$8:$H$58,7), VLOOKUP(0,setup!$A$8:$H$58,2),VLOOKUP(0,setup!$A$8:$H$58,5),VLOOKUP(N243,setup!$A$8:$H$58,8))</f>
        <v/>
      </c>
    </row>
    <row r="244" spans="1:15" x14ac:dyDescent="0.25">
      <c r="A244" s="10"/>
      <c r="O244" s="7" t="str">
        <f ca="1">getCodigoBackend(N244,A244,VLOOKUP(N244,setup!$A$8:$H$58,2),VLOOKUP(N244,setup!$A$8:$H$58,3),VLOOKUP(N244,setup!$A$8:$H$58,4),VLOOKUP(N244,setup!$A$8:$H$58,5),VLOOKUP(N244,setup!$A$8:$H$58,6),VLOOKUP(N244,setup!$A$8:$H$58,7), VLOOKUP(0,setup!$A$8:$H$58,2),VLOOKUP(0,setup!$A$8:$H$58,5),VLOOKUP(N244,setup!$A$8:$H$58,8))</f>
        <v/>
      </c>
    </row>
    <row r="245" spans="1:15" x14ac:dyDescent="0.25">
      <c r="A245" s="10"/>
      <c r="O245" s="7" t="str">
        <f ca="1">getCodigoBackend(N245,A245,VLOOKUP(N245,setup!$A$8:$H$58,2),VLOOKUP(N245,setup!$A$8:$H$58,3),VLOOKUP(N245,setup!$A$8:$H$58,4),VLOOKUP(N245,setup!$A$8:$H$58,5),VLOOKUP(N245,setup!$A$8:$H$58,6),VLOOKUP(N245,setup!$A$8:$H$58,7), VLOOKUP(0,setup!$A$8:$H$58,2),VLOOKUP(0,setup!$A$8:$H$58,5),VLOOKUP(N245,setup!$A$8:$H$58,8))</f>
        <v/>
      </c>
    </row>
    <row r="246" spans="1:15" x14ac:dyDescent="0.25">
      <c r="A246" s="10"/>
      <c r="O246" s="7" t="str">
        <f ca="1">getCodigoBackend(N246,A246,VLOOKUP(N246,setup!$A$8:$H$58,2),VLOOKUP(N246,setup!$A$8:$H$58,3),VLOOKUP(N246,setup!$A$8:$H$58,4),VLOOKUP(N246,setup!$A$8:$H$58,5),VLOOKUP(N246,setup!$A$8:$H$58,6),VLOOKUP(N246,setup!$A$8:$H$58,7), VLOOKUP(0,setup!$A$8:$H$58,2),VLOOKUP(0,setup!$A$8:$H$58,5),VLOOKUP(N246,setup!$A$8:$H$58,8))</f>
        <v/>
      </c>
    </row>
    <row r="247" spans="1:15" x14ac:dyDescent="0.25">
      <c r="A247" s="10"/>
      <c r="O247" s="7" t="str">
        <f ca="1">getCodigoBackend(N247,A247,VLOOKUP(N247,setup!$A$8:$H$58,2),VLOOKUP(N247,setup!$A$8:$H$58,3),VLOOKUP(N247,setup!$A$8:$H$58,4),VLOOKUP(N247,setup!$A$8:$H$58,5),VLOOKUP(N247,setup!$A$8:$H$58,6),VLOOKUP(N247,setup!$A$8:$H$58,7), VLOOKUP(0,setup!$A$8:$H$58,2),VLOOKUP(0,setup!$A$8:$H$58,5),VLOOKUP(N247,setup!$A$8:$H$58,8))</f>
        <v/>
      </c>
    </row>
    <row r="248" spans="1:15" x14ac:dyDescent="0.25">
      <c r="A248" s="10"/>
      <c r="O248" s="7" t="str">
        <f ca="1">getCodigoBackend(N248,A248,VLOOKUP(N248,setup!$A$8:$H$58,2),VLOOKUP(N248,setup!$A$8:$H$58,3),VLOOKUP(N248,setup!$A$8:$H$58,4),VLOOKUP(N248,setup!$A$8:$H$58,5),VLOOKUP(N248,setup!$A$8:$H$58,6),VLOOKUP(N248,setup!$A$8:$H$58,7), VLOOKUP(0,setup!$A$8:$H$58,2),VLOOKUP(0,setup!$A$8:$H$58,5),VLOOKUP(N248,setup!$A$8:$H$58,8))</f>
        <v/>
      </c>
    </row>
    <row r="249" spans="1:15" x14ac:dyDescent="0.25">
      <c r="A249" s="10"/>
      <c r="O249" s="7" t="str">
        <f ca="1">getCodigoBackend(N249,A249,VLOOKUP(N249,setup!$A$8:$H$58,2),VLOOKUP(N249,setup!$A$8:$H$58,3),VLOOKUP(N249,setup!$A$8:$H$58,4),VLOOKUP(N249,setup!$A$8:$H$58,5),VLOOKUP(N249,setup!$A$8:$H$58,6),VLOOKUP(N249,setup!$A$8:$H$58,7), VLOOKUP(0,setup!$A$8:$H$58,2),VLOOKUP(0,setup!$A$8:$H$58,5),VLOOKUP(N249,setup!$A$8:$H$58,8))</f>
        <v/>
      </c>
    </row>
    <row r="250" spans="1:15" x14ac:dyDescent="0.25">
      <c r="A250" s="10"/>
      <c r="O250" s="7" t="str">
        <f ca="1">getCodigoBackend(N250,A250,VLOOKUP(N250,setup!$A$8:$H$58,2),VLOOKUP(N250,setup!$A$8:$H$58,3),VLOOKUP(N250,setup!$A$8:$H$58,4),VLOOKUP(N250,setup!$A$8:$H$58,5),VLOOKUP(N250,setup!$A$8:$H$58,6),VLOOKUP(N250,setup!$A$8:$H$58,7), VLOOKUP(0,setup!$A$8:$H$58,2),VLOOKUP(0,setup!$A$8:$H$58,5),VLOOKUP(N250,setup!$A$8:$H$58,8))</f>
        <v/>
      </c>
    </row>
    <row r="251" spans="1:15" x14ac:dyDescent="0.25">
      <c r="A251" s="10"/>
      <c r="O251" s="7" t="str">
        <f ca="1">getCodigoBackend(N251,A251,VLOOKUP(N251,setup!$A$8:$H$58,2),VLOOKUP(N251,setup!$A$8:$H$58,3),VLOOKUP(N251,setup!$A$8:$H$58,4),VLOOKUP(N251,setup!$A$8:$H$58,5),VLOOKUP(N251,setup!$A$8:$H$58,6),VLOOKUP(N251,setup!$A$8:$H$58,7), VLOOKUP(0,setup!$A$8:$H$58,2),VLOOKUP(0,setup!$A$8:$H$58,5),VLOOKUP(N251,setup!$A$8:$H$58,8))</f>
        <v/>
      </c>
    </row>
    <row r="252" spans="1:15" x14ac:dyDescent="0.25">
      <c r="A252" s="10"/>
      <c r="O252" s="7" t="str">
        <f ca="1">getCodigoBackend(N252,A252,VLOOKUP(N252,setup!$A$8:$H$58,2),VLOOKUP(N252,setup!$A$8:$H$58,3),VLOOKUP(N252,setup!$A$8:$H$58,4),VLOOKUP(N252,setup!$A$8:$H$58,5),VLOOKUP(N252,setup!$A$8:$H$58,6),VLOOKUP(N252,setup!$A$8:$H$58,7), VLOOKUP(0,setup!$A$8:$H$58,2),VLOOKUP(0,setup!$A$8:$H$58,5),VLOOKUP(N252,setup!$A$8:$H$58,8))</f>
        <v/>
      </c>
    </row>
    <row r="253" spans="1:15" x14ac:dyDescent="0.25">
      <c r="A253" s="10"/>
      <c r="O253" s="7" t="str">
        <f ca="1">getCodigoBackend(N253,A253,VLOOKUP(N253,setup!$A$8:$H$58,2),VLOOKUP(N253,setup!$A$8:$H$58,3),VLOOKUP(N253,setup!$A$8:$H$58,4),VLOOKUP(N253,setup!$A$8:$H$58,5),VLOOKUP(N253,setup!$A$8:$H$58,6),VLOOKUP(N253,setup!$A$8:$H$58,7), VLOOKUP(0,setup!$A$8:$H$58,2),VLOOKUP(0,setup!$A$8:$H$58,5),VLOOKUP(N253,setup!$A$8:$H$58,8))</f>
        <v/>
      </c>
    </row>
    <row r="254" spans="1:15" x14ac:dyDescent="0.25">
      <c r="A254" s="10"/>
      <c r="O254" s="7" t="str">
        <f ca="1">getCodigoBackend(N254,A254,VLOOKUP(N254,setup!$A$8:$H$58,2),VLOOKUP(N254,setup!$A$8:$H$58,3),VLOOKUP(N254,setup!$A$8:$H$58,4),VLOOKUP(N254,setup!$A$8:$H$58,5),VLOOKUP(N254,setup!$A$8:$H$58,6),VLOOKUP(N254,setup!$A$8:$H$58,7), VLOOKUP(0,setup!$A$8:$H$58,2),VLOOKUP(0,setup!$A$8:$H$58,5),VLOOKUP(N254,setup!$A$8:$H$58,8))</f>
        <v/>
      </c>
    </row>
    <row r="255" spans="1:15" x14ac:dyDescent="0.25">
      <c r="A255" s="10"/>
      <c r="O255" s="7" t="str">
        <f ca="1">getCodigoBackend(N255,A255,VLOOKUP(N255,setup!$A$8:$H$58,2),VLOOKUP(N255,setup!$A$8:$H$58,3),VLOOKUP(N255,setup!$A$8:$H$58,4),VLOOKUP(N255,setup!$A$8:$H$58,5),VLOOKUP(N255,setup!$A$8:$H$58,6),VLOOKUP(N255,setup!$A$8:$H$58,7), VLOOKUP(0,setup!$A$8:$H$58,2),VLOOKUP(0,setup!$A$8:$H$58,5),VLOOKUP(N255,setup!$A$8:$H$58,8))</f>
        <v/>
      </c>
    </row>
    <row r="256" spans="1:15" x14ac:dyDescent="0.25">
      <c r="A256" s="10"/>
      <c r="O256" s="7" t="str">
        <f ca="1">getCodigoBackend(N256,A256,VLOOKUP(N256,setup!$A$8:$H$58,2),VLOOKUP(N256,setup!$A$8:$H$58,3),VLOOKUP(N256,setup!$A$8:$H$58,4),VLOOKUP(N256,setup!$A$8:$H$58,5),VLOOKUP(N256,setup!$A$8:$H$58,6),VLOOKUP(N256,setup!$A$8:$H$58,7), VLOOKUP(0,setup!$A$8:$H$58,2),VLOOKUP(0,setup!$A$8:$H$58,5),VLOOKUP(N256,setup!$A$8:$H$58,8))</f>
        <v/>
      </c>
    </row>
    <row r="257" spans="1:15" x14ac:dyDescent="0.25">
      <c r="A257" s="10"/>
      <c r="O257" s="7" t="str">
        <f ca="1">getCodigoBackend(N257,A257,VLOOKUP(N257,setup!$A$8:$H$58,2),VLOOKUP(N257,setup!$A$8:$H$58,3),VLOOKUP(N257,setup!$A$8:$H$58,4),VLOOKUP(N257,setup!$A$8:$H$58,5),VLOOKUP(N257,setup!$A$8:$H$58,6),VLOOKUP(N257,setup!$A$8:$H$58,7), VLOOKUP(0,setup!$A$8:$H$58,2),VLOOKUP(0,setup!$A$8:$H$58,5),VLOOKUP(N257,setup!$A$8:$H$58,8))</f>
        <v/>
      </c>
    </row>
    <row r="258" spans="1:15" x14ac:dyDescent="0.25">
      <c r="A258" s="10"/>
      <c r="O258" s="7" t="str">
        <f ca="1">getCodigoBackend(N258,A258,VLOOKUP(N258,setup!$A$8:$H$58,2),VLOOKUP(N258,setup!$A$8:$H$58,3),VLOOKUP(N258,setup!$A$8:$H$58,4),VLOOKUP(N258,setup!$A$8:$H$58,5),VLOOKUP(N258,setup!$A$8:$H$58,6),VLOOKUP(N258,setup!$A$8:$H$58,7), VLOOKUP(0,setup!$A$8:$H$58,2),VLOOKUP(0,setup!$A$8:$H$58,5),VLOOKUP(N258,setup!$A$8:$H$58,8))</f>
        <v/>
      </c>
    </row>
    <row r="259" spans="1:15" x14ac:dyDescent="0.25">
      <c r="A259" s="10"/>
      <c r="O259" s="7" t="str">
        <f ca="1">getCodigoBackend(N259,A259,VLOOKUP(N259,setup!$A$8:$H$58,2),VLOOKUP(N259,setup!$A$8:$H$58,3),VLOOKUP(N259,setup!$A$8:$H$58,4),VLOOKUP(N259,setup!$A$8:$H$58,5),VLOOKUP(N259,setup!$A$8:$H$58,6),VLOOKUP(N259,setup!$A$8:$H$58,7), VLOOKUP(0,setup!$A$8:$H$58,2),VLOOKUP(0,setup!$A$8:$H$58,5),VLOOKUP(N259,setup!$A$8:$H$58,8))</f>
        <v/>
      </c>
    </row>
    <row r="260" spans="1:15" x14ac:dyDescent="0.25">
      <c r="A260" s="10"/>
      <c r="O260" s="7" t="str">
        <f ca="1">getCodigoBackend(N260,A260,VLOOKUP(N260,setup!$A$8:$H$58,2),VLOOKUP(N260,setup!$A$8:$H$58,3),VLOOKUP(N260,setup!$A$8:$H$58,4),VLOOKUP(N260,setup!$A$8:$H$58,5),VLOOKUP(N260,setup!$A$8:$H$58,6),VLOOKUP(N260,setup!$A$8:$H$58,7), VLOOKUP(0,setup!$A$8:$H$58,2),VLOOKUP(0,setup!$A$8:$H$58,5),VLOOKUP(N260,setup!$A$8:$H$58,8))</f>
        <v/>
      </c>
    </row>
    <row r="261" spans="1:15" x14ac:dyDescent="0.25">
      <c r="A261" s="10"/>
      <c r="O261" s="7" t="str">
        <f ca="1">getCodigoBackend(N261,A261,VLOOKUP(N261,setup!$A$8:$H$58,2),VLOOKUP(N261,setup!$A$8:$H$58,3),VLOOKUP(N261,setup!$A$8:$H$58,4),VLOOKUP(N261,setup!$A$8:$H$58,5),VLOOKUP(N261,setup!$A$8:$H$58,6),VLOOKUP(N261,setup!$A$8:$H$58,7), VLOOKUP(0,setup!$A$8:$H$58,2),VLOOKUP(0,setup!$A$8:$H$58,5),VLOOKUP(N261,setup!$A$8:$H$58,8))</f>
        <v/>
      </c>
    </row>
    <row r="262" spans="1:15" x14ac:dyDescent="0.25">
      <c r="A262" s="10"/>
      <c r="O262" s="7" t="str">
        <f ca="1">getCodigoBackend(N262,A262,VLOOKUP(N262,setup!$A$8:$H$58,2),VLOOKUP(N262,setup!$A$8:$H$58,3),VLOOKUP(N262,setup!$A$8:$H$58,4),VLOOKUP(N262,setup!$A$8:$H$58,5),VLOOKUP(N262,setup!$A$8:$H$58,6),VLOOKUP(N262,setup!$A$8:$H$58,7), VLOOKUP(0,setup!$A$8:$H$58,2),VLOOKUP(0,setup!$A$8:$H$58,5),VLOOKUP(N262,setup!$A$8:$H$58,8))</f>
        <v/>
      </c>
    </row>
    <row r="263" spans="1:15" x14ac:dyDescent="0.25">
      <c r="A263" s="10"/>
      <c r="O263" s="7" t="str">
        <f ca="1">getCodigoBackend(N263,A263,VLOOKUP(N263,setup!$A$8:$H$58,2),VLOOKUP(N263,setup!$A$8:$H$58,3),VLOOKUP(N263,setup!$A$8:$H$58,4),VLOOKUP(N263,setup!$A$8:$H$58,5),VLOOKUP(N263,setup!$A$8:$H$58,6),VLOOKUP(N263,setup!$A$8:$H$58,7), VLOOKUP(0,setup!$A$8:$H$58,2),VLOOKUP(0,setup!$A$8:$H$58,5),VLOOKUP(N263,setup!$A$8:$H$58,8))</f>
        <v/>
      </c>
    </row>
    <row r="264" spans="1:15" x14ac:dyDescent="0.25">
      <c r="A264" s="10"/>
      <c r="O264" s="7" t="str">
        <f ca="1">getCodigoBackend(N264,A264,VLOOKUP(N264,setup!$A$8:$H$58,2),VLOOKUP(N264,setup!$A$8:$H$58,3),VLOOKUP(N264,setup!$A$8:$H$58,4),VLOOKUP(N264,setup!$A$8:$H$58,5),VLOOKUP(N264,setup!$A$8:$H$58,6),VLOOKUP(N264,setup!$A$8:$H$58,7), VLOOKUP(0,setup!$A$8:$H$58,2),VLOOKUP(0,setup!$A$8:$H$58,5),VLOOKUP(N264,setup!$A$8:$H$58,8))</f>
        <v/>
      </c>
    </row>
    <row r="265" spans="1:15" x14ac:dyDescent="0.25">
      <c r="A265" s="10"/>
      <c r="O265" s="7" t="str">
        <f ca="1">getCodigoBackend(N265,A265,VLOOKUP(N265,setup!$A$8:$H$58,2),VLOOKUP(N265,setup!$A$8:$H$58,3),VLOOKUP(N265,setup!$A$8:$H$58,4),VLOOKUP(N265,setup!$A$8:$H$58,5),VLOOKUP(N265,setup!$A$8:$H$58,6),VLOOKUP(N265,setup!$A$8:$H$58,7), VLOOKUP(0,setup!$A$8:$H$58,2),VLOOKUP(0,setup!$A$8:$H$58,5),VLOOKUP(N265,setup!$A$8:$H$58,8))</f>
        <v/>
      </c>
    </row>
    <row r="266" spans="1:15" x14ac:dyDescent="0.25">
      <c r="A266" s="10"/>
      <c r="O266" s="7" t="str">
        <f ca="1">getCodigoBackend(N266,A266,VLOOKUP(N266,setup!$A$8:$H$58,2),VLOOKUP(N266,setup!$A$8:$H$58,3),VLOOKUP(N266,setup!$A$8:$H$58,4),VLOOKUP(N266,setup!$A$8:$H$58,5),VLOOKUP(N266,setup!$A$8:$H$58,6),VLOOKUP(N266,setup!$A$8:$H$58,7), VLOOKUP(0,setup!$A$8:$H$58,2),VLOOKUP(0,setup!$A$8:$H$58,5),VLOOKUP(N266,setup!$A$8:$H$58,8))</f>
        <v/>
      </c>
    </row>
    <row r="267" spans="1:15" x14ac:dyDescent="0.25">
      <c r="A267" s="10"/>
      <c r="O267" s="7" t="str">
        <f ca="1">getCodigoBackend(N267,A267,VLOOKUP(N267,setup!$A$8:$H$58,2),VLOOKUP(N267,setup!$A$8:$H$58,3),VLOOKUP(N267,setup!$A$8:$H$58,4),VLOOKUP(N267,setup!$A$8:$H$58,5),VLOOKUP(N267,setup!$A$8:$H$58,6),VLOOKUP(N267,setup!$A$8:$H$58,7), VLOOKUP(0,setup!$A$8:$H$58,2),VLOOKUP(0,setup!$A$8:$H$58,5),VLOOKUP(N267,setup!$A$8:$H$58,8))</f>
        <v/>
      </c>
    </row>
    <row r="268" spans="1:15" x14ac:dyDescent="0.25">
      <c r="A268" s="10"/>
      <c r="O268" s="7" t="str">
        <f ca="1">getCodigoBackend(N268,A268,VLOOKUP(N268,setup!$A$8:$H$58,2),VLOOKUP(N268,setup!$A$8:$H$58,3),VLOOKUP(N268,setup!$A$8:$H$58,4),VLOOKUP(N268,setup!$A$8:$H$58,5),VLOOKUP(N268,setup!$A$8:$H$58,6),VLOOKUP(N268,setup!$A$8:$H$58,7), VLOOKUP(0,setup!$A$8:$H$58,2),VLOOKUP(0,setup!$A$8:$H$58,5),VLOOKUP(N268,setup!$A$8:$H$58,8))</f>
        <v/>
      </c>
    </row>
    <row r="269" spans="1:15" x14ac:dyDescent="0.25">
      <c r="A269" s="10"/>
      <c r="O269" s="7" t="str">
        <f ca="1">getCodigoBackend(N269,A269,VLOOKUP(N269,setup!$A$8:$H$58,2),VLOOKUP(N269,setup!$A$8:$H$58,3),VLOOKUP(N269,setup!$A$8:$H$58,4),VLOOKUP(N269,setup!$A$8:$H$58,5),VLOOKUP(N269,setup!$A$8:$H$58,6),VLOOKUP(N269,setup!$A$8:$H$58,7), VLOOKUP(0,setup!$A$8:$H$58,2),VLOOKUP(0,setup!$A$8:$H$58,5),VLOOKUP(N269,setup!$A$8:$H$58,8))</f>
        <v/>
      </c>
    </row>
    <row r="270" spans="1:15" x14ac:dyDescent="0.25">
      <c r="A270" s="10"/>
      <c r="O270" s="7" t="str">
        <f ca="1">getCodigoBackend(N270,A270,VLOOKUP(N270,setup!$A$8:$H$58,2),VLOOKUP(N270,setup!$A$8:$H$58,3),VLOOKUP(N270,setup!$A$8:$H$58,4),VLOOKUP(N270,setup!$A$8:$H$58,5),VLOOKUP(N270,setup!$A$8:$H$58,6),VLOOKUP(N270,setup!$A$8:$H$58,7), VLOOKUP(0,setup!$A$8:$H$58,2),VLOOKUP(0,setup!$A$8:$H$58,5),VLOOKUP(N270,setup!$A$8:$H$58,8))</f>
        <v/>
      </c>
    </row>
    <row r="271" spans="1:15" x14ac:dyDescent="0.25">
      <c r="A271" s="10"/>
      <c r="O271" s="7" t="str">
        <f ca="1">getCodigoBackend(N271,A271,VLOOKUP(N271,setup!$A$8:$H$58,2),VLOOKUP(N271,setup!$A$8:$H$58,3),VLOOKUP(N271,setup!$A$8:$H$58,4),VLOOKUP(N271,setup!$A$8:$H$58,5),VLOOKUP(N271,setup!$A$8:$H$58,6),VLOOKUP(N271,setup!$A$8:$H$58,7), VLOOKUP(0,setup!$A$8:$H$58,2),VLOOKUP(0,setup!$A$8:$H$58,5),VLOOKUP(N271,setup!$A$8:$H$58,8))</f>
        <v/>
      </c>
    </row>
    <row r="272" spans="1:15" x14ac:dyDescent="0.25">
      <c r="A272" s="10"/>
      <c r="O272" s="7" t="str">
        <f ca="1">getCodigoBackend(N272,A272,VLOOKUP(N272,setup!$A$8:$H$58,2),VLOOKUP(N272,setup!$A$8:$H$58,3),VLOOKUP(N272,setup!$A$8:$H$58,4),VLOOKUP(N272,setup!$A$8:$H$58,5),VLOOKUP(N272,setup!$A$8:$H$58,6),VLOOKUP(N272,setup!$A$8:$H$58,7), VLOOKUP(0,setup!$A$8:$H$58,2),VLOOKUP(0,setup!$A$8:$H$58,5),VLOOKUP(N272,setup!$A$8:$H$58,8))</f>
        <v/>
      </c>
    </row>
    <row r="273" spans="1:15" x14ac:dyDescent="0.25">
      <c r="A273" s="10"/>
      <c r="O273" s="7" t="str">
        <f ca="1">getCodigoBackend(N273,A273,VLOOKUP(N273,setup!$A$8:$H$58,2),VLOOKUP(N273,setup!$A$8:$H$58,3),VLOOKUP(N273,setup!$A$8:$H$58,4),VLOOKUP(N273,setup!$A$8:$H$58,5),VLOOKUP(N273,setup!$A$8:$H$58,6),VLOOKUP(N273,setup!$A$8:$H$58,7), VLOOKUP(0,setup!$A$8:$H$58,2),VLOOKUP(0,setup!$A$8:$H$58,5),VLOOKUP(N273,setup!$A$8:$H$58,8))</f>
        <v/>
      </c>
    </row>
    <row r="274" spans="1:15" x14ac:dyDescent="0.25">
      <c r="A274" s="10"/>
      <c r="O274" s="7" t="str">
        <f ca="1">getCodigoBackend(N274,A274,VLOOKUP(N274,setup!$A$8:$H$58,2),VLOOKUP(N274,setup!$A$8:$H$58,3),VLOOKUP(N274,setup!$A$8:$H$58,4),VLOOKUP(N274,setup!$A$8:$H$58,5),VLOOKUP(N274,setup!$A$8:$H$58,6),VLOOKUP(N274,setup!$A$8:$H$58,7), VLOOKUP(0,setup!$A$8:$H$58,2),VLOOKUP(0,setup!$A$8:$H$58,5),VLOOKUP(N274,setup!$A$8:$H$58,8))</f>
        <v/>
      </c>
    </row>
    <row r="275" spans="1:15" x14ac:dyDescent="0.25">
      <c r="A275" s="1"/>
      <c r="O275" s="7" t="str">
        <f ca="1">getCodigoBackend(N275,A275,VLOOKUP(N275,setup!$A$8:$H$58,2),VLOOKUP(N275,setup!$A$8:$H$58,3),VLOOKUP(N275,setup!$A$8:$H$58,4),VLOOKUP(N275,setup!$A$8:$H$58,5),VLOOKUP(N275,setup!$A$8:$H$58,6),VLOOKUP(N275,setup!$A$8:$H$58,7), VLOOKUP(0,setup!$A$8:$H$58,2),VLOOKUP(0,setup!$A$8:$H$58,5),VLOOKUP(N275,setup!$A$8:$H$58,8))</f>
        <v/>
      </c>
    </row>
    <row r="276" spans="1:15" x14ac:dyDescent="0.25">
      <c r="A276" s="1"/>
      <c r="O276" s="7" t="str">
        <f ca="1">getCodigoBackend(N276,A276,VLOOKUP(N276,setup!$A$8:$H$58,2),VLOOKUP(N276,setup!$A$8:$H$58,3),VLOOKUP(N276,setup!$A$8:$H$58,4),VLOOKUP(N276,setup!$A$8:$H$58,5),VLOOKUP(N276,setup!$A$8:$H$58,6),VLOOKUP(N276,setup!$A$8:$H$58,7), VLOOKUP(0,setup!$A$8:$H$58,2),VLOOKUP(0,setup!$A$8:$H$58,5),VLOOKUP(N276,setup!$A$8:$H$58,8))</f>
        <v/>
      </c>
    </row>
    <row r="277" spans="1:15" x14ac:dyDescent="0.25">
      <c r="A277" s="1"/>
      <c r="O277" s="7" t="str">
        <f ca="1">getCodigoBackend(N277,A277,VLOOKUP(N277,setup!$A$8:$H$58,2),VLOOKUP(N277,setup!$A$8:$H$58,3),VLOOKUP(N277,setup!$A$8:$H$58,4),VLOOKUP(N277,setup!$A$8:$H$58,5),VLOOKUP(N277,setup!$A$8:$H$58,6),VLOOKUP(N277,setup!$A$8:$H$58,7), VLOOKUP(0,setup!$A$8:$H$58,2),VLOOKUP(0,setup!$A$8:$H$58,5),VLOOKUP(N277,setup!$A$8:$H$58,8))</f>
        <v/>
      </c>
    </row>
    <row r="278" spans="1:15" x14ac:dyDescent="0.25">
      <c r="A278" s="1"/>
      <c r="O278" s="7" t="str">
        <f ca="1">getCodigoBackend(N278,A278,VLOOKUP(N278,setup!$A$8:$H$58,2),VLOOKUP(N278,setup!$A$8:$H$58,3),VLOOKUP(N278,setup!$A$8:$H$58,4),VLOOKUP(N278,setup!$A$8:$H$58,5),VLOOKUP(N278,setup!$A$8:$H$58,6),VLOOKUP(N278,setup!$A$8:$H$58,7), VLOOKUP(0,setup!$A$8:$H$58,2),VLOOKUP(0,setup!$A$8:$H$58,5),VLOOKUP(N278,setup!$A$8:$H$58,8))</f>
        <v/>
      </c>
    </row>
    <row r="279" spans="1:15" x14ac:dyDescent="0.25">
      <c r="A279" s="6"/>
      <c r="O279" s="7" t="str">
        <f ca="1">getCodigoBackend(N279,A279,VLOOKUP(N279,setup!$A$8:$H$58,2),VLOOKUP(N279,setup!$A$8:$H$58,3),VLOOKUP(N279,setup!$A$8:$H$58,4),VLOOKUP(N279,setup!$A$8:$H$58,5),VLOOKUP(N279,setup!$A$8:$H$58,6),VLOOKUP(N279,setup!$A$8:$H$58,7), VLOOKUP(0,setup!$A$8:$H$58,2),VLOOKUP(0,setup!$A$8:$H$58,5),VLOOKUP(N279,setup!$A$8:$H$58,8))</f>
        <v/>
      </c>
    </row>
    <row r="280" spans="1:15" x14ac:dyDescent="0.25">
      <c r="A280" s="6"/>
      <c r="O280" s="7" t="str">
        <f ca="1">getCodigoBackend(N280,A280,VLOOKUP(N280,setup!$A$8:$H$58,2),VLOOKUP(N280,setup!$A$8:$H$58,3),VLOOKUP(N280,setup!$A$8:$H$58,4),VLOOKUP(N280,setup!$A$8:$H$58,5),VLOOKUP(N280,setup!$A$8:$H$58,6),VLOOKUP(N280,setup!$A$8:$H$58,7), VLOOKUP(0,setup!$A$8:$H$58,2),VLOOKUP(0,setup!$A$8:$H$58,5),VLOOKUP(N280,setup!$A$8:$H$58,8))</f>
        <v/>
      </c>
    </row>
    <row r="281" spans="1:15" x14ac:dyDescent="0.25">
      <c r="A281" s="3"/>
      <c r="O281" s="7" t="str">
        <f ca="1">getCodigoBackend(N281,A281,VLOOKUP(N281,setup!$A$8:$H$58,2),VLOOKUP(N281,setup!$A$8:$H$58,3),VLOOKUP(N281,setup!$A$8:$H$58,4),VLOOKUP(N281,setup!$A$8:$H$58,5),VLOOKUP(N281,setup!$A$8:$H$58,6),VLOOKUP(N281,setup!$A$8:$H$58,7), VLOOKUP(0,setup!$A$8:$H$58,2),VLOOKUP(0,setup!$A$8:$H$58,5),VLOOKUP(N281,setup!$A$8:$H$58,8))</f>
        <v/>
      </c>
    </row>
    <row r="282" spans="1:15" x14ac:dyDescent="0.25">
      <c r="A282" s="3"/>
      <c r="O282" s="7" t="str">
        <f ca="1">getCodigoBackend(N282,A282,VLOOKUP(N282,setup!$A$8:$H$58,2),VLOOKUP(N282,setup!$A$8:$H$58,3),VLOOKUP(N282,setup!$A$8:$H$58,4),VLOOKUP(N282,setup!$A$8:$H$58,5),VLOOKUP(N282,setup!$A$8:$H$58,6),VLOOKUP(N282,setup!$A$8:$H$58,7), VLOOKUP(0,setup!$A$8:$H$58,2),VLOOKUP(0,setup!$A$8:$H$58,5),VLOOKUP(N282,setup!$A$8:$H$58,8))</f>
        <v/>
      </c>
    </row>
    <row r="283" spans="1:15" x14ac:dyDescent="0.25">
      <c r="A283" s="6"/>
      <c r="O283" s="7" t="str">
        <f ca="1">getCodigoBackend(N283,A283,VLOOKUP(N283,setup!$A$8:$H$58,2),VLOOKUP(N283,setup!$A$8:$H$58,3),VLOOKUP(N283,setup!$A$8:$H$58,4),VLOOKUP(N283,setup!$A$8:$H$58,5),VLOOKUP(N283,setup!$A$8:$H$58,6),VLOOKUP(N283,setup!$A$8:$H$58,7), VLOOKUP(0,setup!$A$8:$H$58,2),VLOOKUP(0,setup!$A$8:$H$58,5),VLOOKUP(N283,setup!$A$8:$H$58,8))</f>
        <v/>
      </c>
    </row>
    <row r="284" spans="1:15" x14ac:dyDescent="0.25">
      <c r="A284" s="2"/>
      <c r="O284" s="7" t="str">
        <f ca="1">getCodigoBackend(N284,A284,VLOOKUP(N284,setup!$A$8:$H$58,2),VLOOKUP(N284,setup!$A$8:$H$58,3),VLOOKUP(N284,setup!$A$8:$H$58,4),VLOOKUP(N284,setup!$A$8:$H$58,5),VLOOKUP(N284,setup!$A$8:$H$58,6),VLOOKUP(N284,setup!$A$8:$H$58,7), VLOOKUP(0,setup!$A$8:$H$58,2),VLOOKUP(0,setup!$A$8:$H$58,5),VLOOKUP(N284,setup!$A$8:$H$58,8))</f>
        <v/>
      </c>
    </row>
    <row r="285" spans="1:15" x14ac:dyDescent="0.25">
      <c r="O285" t="str">
        <f>SUBSTITUTE(SUBSTITUTE(SUBSTITUTE(SUBSTITUTE(A285,"${dto}",setup!$C$3),"${pk}",setup!$E$8),"${tabela}",setup!$C$2),CONCATENATE("${",N285,"}"),VLOOKUP(N285,setup!$A$8:$E$58,5))</f>
        <v/>
      </c>
    </row>
    <row r="286" spans="1:15" x14ac:dyDescent="0.25">
      <c r="O286" t="str">
        <f>SUBSTITUTE(SUBSTITUTE(SUBSTITUTE(SUBSTITUTE(A286,"${dto}",setup!$C$3),"${pk}",setup!$E$8),"${tabela}",setup!$C$2),CONCATENATE("${",N286,"}"),VLOOKUP(N286,setup!$A$8:$E$58,5))</f>
        <v/>
      </c>
    </row>
    <row r="287" spans="1:15" x14ac:dyDescent="0.25">
      <c r="O287" t="str">
        <f>SUBSTITUTE(SUBSTITUTE(SUBSTITUTE(SUBSTITUTE(A287,"${dto}",setup!$C$3),"${pk}",setup!$E$8),"${tabela}",setup!$C$2),CONCATENATE("${",N287,"}"),VLOOKUP(N287,setup!$A$8:$E$58,5))</f>
        <v/>
      </c>
    </row>
    <row r="288" spans="1:15" x14ac:dyDescent="0.25">
      <c r="O288" t="str">
        <f>SUBSTITUTE(SUBSTITUTE(SUBSTITUTE(SUBSTITUTE(A288,"${dto}",setup!$C$3),"${pk}",setup!$E$8),"${tabela}",setup!$C$2),CONCATENATE("${",N288,"}"),VLOOKUP(N288,setup!$A$8:$E$58,5))</f>
        <v/>
      </c>
    </row>
    <row r="289" spans="15:15" x14ac:dyDescent="0.25">
      <c r="O289" t="str">
        <f>SUBSTITUTE(SUBSTITUTE(SUBSTITUTE(SUBSTITUTE(A289,"${dto}",setup!$C$3),"${pk}",setup!$E$8),"${tabela}",setup!$C$2),CONCATENATE("${",N289,"}"),VLOOKUP(N289,setup!$A$8:$E$58,5))</f>
        <v/>
      </c>
    </row>
    <row r="290" spans="15:15" x14ac:dyDescent="0.25">
      <c r="O290" t="str">
        <f>SUBSTITUTE(SUBSTITUTE(SUBSTITUTE(SUBSTITUTE(A290,"${dto}",setup!$C$3),"${pk}",setup!$E$8),"${tabela}",setup!$C$2),CONCATENATE("${",N290,"}"),VLOOKUP(N290,setup!$A$8:$E$58,5))</f>
        <v/>
      </c>
    </row>
    <row r="291" spans="15:15" x14ac:dyDescent="0.25">
      <c r="O291" t="str">
        <f>SUBSTITUTE(SUBSTITUTE(SUBSTITUTE(SUBSTITUTE(A291,"${dto}",setup!$C$3),"${pk}",setup!$E$8),"${tabela}",setup!$C$2),CONCATENATE("${",N291,"}"),VLOOKUP(N291,setup!$A$8:$E$58,5))</f>
        <v/>
      </c>
    </row>
    <row r="292" spans="15:15" x14ac:dyDescent="0.25">
      <c r="O292" t="str">
        <f>SUBSTITUTE(SUBSTITUTE(SUBSTITUTE(SUBSTITUTE(A292,"${dto}",setup!$C$3),"${pk}",setup!$E$8),"${tabela}",setup!$C$2),CONCATENATE("${",N292,"}"),VLOOKUP(N292,setup!$A$8:$E$58,5))</f>
        <v/>
      </c>
    </row>
    <row r="293" spans="15:15" x14ac:dyDescent="0.25">
      <c r="O293" t="str">
        <f>SUBSTITUTE(SUBSTITUTE(SUBSTITUTE(SUBSTITUTE(A293,"${dto}",setup!$C$3),"${pk}",setup!$E$8),"${tabela}",setup!$C$2),CONCATENATE("${",N293,"}"),VLOOKUP(N293,setup!$A$8:$E$58,5))</f>
        <v/>
      </c>
    </row>
    <row r="294" spans="15:15" x14ac:dyDescent="0.25">
      <c r="O294" t="str">
        <f>SUBSTITUTE(SUBSTITUTE(SUBSTITUTE(SUBSTITUTE(A294,"${dto}",setup!$C$3),"${pk}",setup!$E$8),"${tabela}",setup!$C$2),CONCATENATE("${",N294,"}"),VLOOKUP(N294,setup!$A$8:$E$58,5))</f>
        <v/>
      </c>
    </row>
    <row r="295" spans="15:15" x14ac:dyDescent="0.25">
      <c r="O295" t="str">
        <f>SUBSTITUTE(SUBSTITUTE(SUBSTITUTE(SUBSTITUTE(A295,"${dto}",setup!$C$3),"${pk}",setup!$E$8),"${tabela}",setup!$C$2),CONCATENATE("${",N295,"}"),VLOOKUP(N295,setup!$A$8:$E$58,5))</f>
        <v/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3A3E7-B6A9-48A8-BE10-C54E85020B92}">
  <sheetPr codeName="Sheet15"/>
  <dimension ref="A1:O409"/>
  <sheetViews>
    <sheetView tabSelected="1" workbookViewId="0">
      <selection activeCell="O1" sqref="O1:O1048576"/>
    </sheetView>
  </sheetViews>
  <sheetFormatPr defaultRowHeight="15" x14ac:dyDescent="0.25"/>
  <sheetData>
    <row r="1" spans="1:15" x14ac:dyDescent="0.25">
      <c r="O1" s="18"/>
    </row>
    <row r="2" spans="1:15" x14ac:dyDescent="0.25">
      <c r="O2" s="18"/>
    </row>
    <row r="3" spans="1:15" x14ac:dyDescent="0.25">
      <c r="A3" t="s">
        <v>30</v>
      </c>
      <c r="O3" s="18"/>
    </row>
    <row r="4" spans="1:15" x14ac:dyDescent="0.25">
      <c r="O4" s="18"/>
    </row>
    <row r="5" spans="1:15" x14ac:dyDescent="0.25">
      <c r="O5" s="18"/>
    </row>
    <row r="6" spans="1:15" x14ac:dyDescent="0.25">
      <c r="O6" s="18"/>
    </row>
    <row r="7" spans="1:15" x14ac:dyDescent="0.25">
      <c r="O7" s="18" t="str">
        <f ca="1">getCodigoBackend(N7,A7,VLOOKUP(N7,setup!$A$8:$H$58,2),VLOOKUP(N7,setup!$A$8:$H$58,3),VLOOKUP(N7,setup!$A$8:$H$58,4),VLOOKUP(N7,setup!$A$8:$H$58,5),VLOOKUP(N7,setup!$A$8:$H$58,6),VLOOKUP(N7,setup!$A$8:$H$58,7), VLOOKUP(0,setup!$A$8:$H$58,2),VLOOKUP(0,setup!$A$8:$H$58,5),VLOOKUP(N7,setup!$A$8:$H$58,8))</f>
        <v/>
      </c>
    </row>
    <row r="8" spans="1:15" x14ac:dyDescent="0.25">
      <c r="A8" t="s">
        <v>446</v>
      </c>
      <c r="O8" s="18" t="str">
        <f ca="1">getCodigoBackend(N8,A8,VLOOKUP(N8,setup!$A$8:$H$58,2),VLOOKUP(N8,setup!$A$8:$H$58,3),VLOOKUP(N8,setup!$A$8:$H$58,4),VLOOKUP(N8,setup!$A$8:$H$58,5),VLOOKUP(N8,setup!$A$8:$H$58,6),VLOOKUP(N8,setup!$A$8:$H$58,7), VLOOKUP(0,setup!$A$8:$H$58,2),VLOOKUP(0,setup!$A$8:$H$58,5),VLOOKUP(N8,setup!$A$8:$H$58,8))</f>
        <v>import 'package:flutter/material.dart';</v>
      </c>
    </row>
    <row r="9" spans="1:15" x14ac:dyDescent="0.25">
      <c r="A9" t="s">
        <v>469</v>
      </c>
      <c r="O9" s="18" t="str">
        <f ca="1">getCodigoBackend(N9,A9,VLOOKUP(N9,setup!$A$8:$H$58,2),VLOOKUP(N9,setup!$A$8:$H$58,3),VLOOKUP(N9,setup!$A$8:$H$58,4),VLOOKUP(N9,setup!$A$8:$H$58,5),VLOOKUP(N9,setup!$A$8:$H$58,6),VLOOKUP(N9,setup!$A$8:$H$58,7), VLOOKUP(0,setup!$A$8:$H$58,2),VLOOKUP(0,setup!$A$8:$H$58,5),VLOOKUP(N9,setup!$A$8:$H$58,8))</f>
        <v>import 'package:http/http.dart' as http;</v>
      </c>
    </row>
    <row r="10" spans="1:15" x14ac:dyDescent="0.25">
      <c r="A10" t="s">
        <v>470</v>
      </c>
      <c r="O10" s="18" t="str">
        <f ca="1">getCodigoBackend(N10,A10,VLOOKUP(N10,setup!$A$8:$H$58,2),VLOOKUP(N10,setup!$A$8:$H$58,3),VLOOKUP(N10,setup!$A$8:$H$58,4),VLOOKUP(N10,setup!$A$8:$H$58,5),VLOOKUP(N10,setup!$A$8:$H$58,6),VLOOKUP(N10,setup!$A$8:$H$58,7), VLOOKUP(0,setup!$A$8:$H$58,2),VLOOKUP(0,setup!$A$8:$H$58,5),VLOOKUP(N10,setup!$A$8:$H$58,8))</f>
        <v>import 'dart:convert';</v>
      </c>
    </row>
    <row r="11" spans="1:15" x14ac:dyDescent="0.25">
      <c r="A11" s="2" t="s">
        <v>821</v>
      </c>
      <c r="O11" s="18" t="str">
        <f ca="1">getCodigoBackend(N11,A11,VLOOKUP(N11,setup!$A$8:$H$58,2),VLOOKUP(N11,setup!$A$8:$H$58,3),VLOOKUP(N11,setup!$A$8:$H$58,4),VLOOKUP(N11,setup!$A$8:$H$58,5),VLOOKUP(N11,setup!$A$8:$H$58,6),VLOOKUP(N11,setup!$A$8:$H$58,7), VLOOKUP(0,setup!$A$8:$H$58,2),VLOOKUP(0,setup!$A$8:$H$58,5),VLOOKUP(N11,setup!$A$8:$H$58,8))</f>
        <v>import 'package:junta10/br/com/jcv/linker/classes/campanhacashbackresgatepix/CampanhaCashbackResgatePixVOPost.dart';</v>
      </c>
    </row>
    <row r="12" spans="1:15" x14ac:dyDescent="0.25">
      <c r="A12" s="4" t="s">
        <v>471</v>
      </c>
      <c r="O12" s="18" t="str">
        <f ca="1">getCodigoBackend(N12,A12,VLOOKUP(N12,setup!$A$8:$H$58,2),VLOOKUP(N12,setup!$A$8:$H$58,3),VLOOKUP(N12,setup!$A$8:$H$58,4),VLOOKUP(N12,setup!$A$8:$H$58,5),VLOOKUP(N12,setup!$A$8:$H$58,6),VLOOKUP(N12,setup!$A$8:$H$58,7), VLOOKUP(0,setup!$A$8:$H$58,2),VLOOKUP(0,setup!$A$8:$H$58,5),VLOOKUP(N12,setup!$A$8:$H$58,8))</f>
        <v>import 'package:junta10/br/com/jcv/linker/classes/storages/cacheSession.dart';</v>
      </c>
    </row>
    <row r="13" spans="1:15" x14ac:dyDescent="0.25">
      <c r="A13" s="5" t="s">
        <v>472</v>
      </c>
      <c r="O13" s="18" t="str">
        <f ca="1">getCodigoBackend(N13,A13,VLOOKUP(N13,setup!$A$8:$H$58,2),VLOOKUP(N13,setup!$A$8:$H$58,3),VLOOKUP(N13,setup!$A$8:$H$58,4),VLOOKUP(N13,setup!$A$8:$H$58,5),VLOOKUP(N13,setup!$A$8:$H$58,6),VLOOKUP(N13,setup!$A$8:$H$58,7), VLOOKUP(0,setup!$A$8:$H$58,2),VLOOKUP(0,setup!$A$8:$H$58,5),VLOOKUP(N13,setup!$A$8:$H$58,8))</f>
        <v>import 'package:junta10/br/com/jcv/linker/classes/ui/common/common-actionbutton.dart';</v>
      </c>
    </row>
    <row r="14" spans="1:15" x14ac:dyDescent="0.25">
      <c r="A14" s="4" t="s">
        <v>473</v>
      </c>
      <c r="O14" s="18" t="str">
        <f ca="1">getCodigoBackend(N14,A14,VLOOKUP(N14,setup!$A$8:$H$58,2),VLOOKUP(N14,setup!$A$8:$H$58,3),VLOOKUP(N14,setup!$A$8:$H$58,4),VLOOKUP(N14,setup!$A$8:$H$58,5),VLOOKUP(N14,setup!$A$8:$H$58,6),VLOOKUP(N14,setup!$A$8:$H$58,7), VLOOKUP(0,setup!$A$8:$H$58,2),VLOOKUP(0,setup!$A$8:$H$58,5),VLOOKUP(N14,setup!$A$8:$H$58,8))</f>
        <v>import 'package:junta10/br/com/jcv/linker/classes/ui/common/common-showdialog.dart';</v>
      </c>
    </row>
    <row r="15" spans="1:15" x14ac:dyDescent="0.25">
      <c r="A15" s="4"/>
      <c r="O15" s="18" t="str">
        <f ca="1">getCodigoBackend(N15,A15,VLOOKUP(N15,setup!$A$8:$H$58,2),VLOOKUP(N15,setup!$A$8:$H$58,3),VLOOKUP(N15,setup!$A$8:$H$58,4),VLOOKUP(N15,setup!$A$8:$H$58,5),VLOOKUP(N15,setup!$A$8:$H$58,6),VLOOKUP(N15,setup!$A$8:$H$58,7), VLOOKUP(0,setup!$A$8:$H$58,2),VLOOKUP(0,setup!$A$8:$H$58,5),VLOOKUP(N15,setup!$A$8:$H$58,8))</f>
        <v/>
      </c>
    </row>
    <row r="16" spans="1:15" x14ac:dyDescent="0.25">
      <c r="A16" s="4" t="s">
        <v>520</v>
      </c>
      <c r="O16" s="18" t="str">
        <f ca="1">getCodigoBackend(N16,A16,VLOOKUP(N16,setup!$A$8:$H$58,2),VLOOKUP(N16,setup!$A$8:$H$58,3),VLOOKUP(N16,setup!$A$8:$H$58,4),VLOOKUP(N16,setup!$A$8:$H$58,5),VLOOKUP(N16,setup!$A$8:$H$58,6),VLOOKUP(N16,setup!$A$8:$H$58,7), VLOOKUP(0,setup!$A$8:$H$58,2),VLOOKUP(0,setup!$A$8:$H$58,5),VLOOKUP(N16,setup!$A$8:$H$58,8))</f>
        <v>Future&lt;CampanhaCashbackResgatePixVOPost&gt; createPost(String url, {Map body}) async {</v>
      </c>
    </row>
    <row r="17" spans="1:15" x14ac:dyDescent="0.25">
      <c r="A17" s="4" t="s">
        <v>938</v>
      </c>
      <c r="O17" s="18" t="str">
        <f ca="1">getCodigoBackend(N17,A17,VLOOKUP(N17,setup!$A$8:$H$58,2),VLOOKUP(N17,setup!$A$8:$H$58,3),VLOOKUP(N17,setup!$A$8:$H$58,4),VLOOKUP(N17,setup!$A$8:$H$58,5),VLOOKUP(N17,setup!$A$8:$H$58,6),VLOOKUP(N17,setup!$A$8:$H$58,7), VLOOKUP(0,setup!$A$8:$H$58,2),VLOOKUP(0,setup!$A$8:$H$58,5),VLOOKUP(N17,setup!$A$8:$H$58,8))</f>
        <v xml:space="preserve">  return http.post(Uri.parse(url), body: body).then((http.Response response) {</v>
      </c>
    </row>
    <row r="18" spans="1:15" x14ac:dyDescent="0.25">
      <c r="A18" s="4" t="s">
        <v>474</v>
      </c>
      <c r="O18" s="18" t="str">
        <f ca="1">getCodigoBackend(N18,A18,VLOOKUP(N18,setup!$A$8:$H$58,2),VLOOKUP(N18,setup!$A$8:$H$58,3),VLOOKUP(N18,setup!$A$8:$H$58,4),VLOOKUP(N18,setup!$A$8:$H$58,5),VLOOKUP(N18,setup!$A$8:$H$58,6),VLOOKUP(N18,setup!$A$8:$H$58,7), VLOOKUP(0,setup!$A$8:$H$58,2),VLOOKUP(0,setup!$A$8:$H$58,5),VLOOKUP(N18,setup!$A$8:$H$58,8))</f>
        <v xml:space="preserve">    final int statusCode = response.statusCode;</v>
      </c>
    </row>
    <row r="19" spans="1:15" x14ac:dyDescent="0.25">
      <c r="A19" s="4" t="s">
        <v>475</v>
      </c>
      <c r="O19" s="18" t="str">
        <f ca="1">getCodigoBackend(N19,A19,VLOOKUP(N19,setup!$A$8:$H$58,2),VLOOKUP(N19,setup!$A$8:$H$58,3),VLOOKUP(N19,setup!$A$8:$H$58,4),VLOOKUP(N19,setup!$A$8:$H$58,5),VLOOKUP(N19,setup!$A$8:$H$58,6),VLOOKUP(N19,setup!$A$8:$H$58,7), VLOOKUP(0,setup!$A$8:$H$58,2),VLOOKUP(0,setup!$A$8:$H$58,5),VLOOKUP(N19,setup!$A$8:$H$58,8))</f>
        <v xml:space="preserve"> </v>
      </c>
    </row>
    <row r="20" spans="1:15" x14ac:dyDescent="0.25">
      <c r="A20" s="4" t="s">
        <v>476</v>
      </c>
      <c r="O20" s="18" t="str">
        <f ca="1">getCodigoBackend(N20,A20,VLOOKUP(N20,setup!$A$8:$H$58,2),VLOOKUP(N20,setup!$A$8:$H$58,3),VLOOKUP(N20,setup!$A$8:$H$58,4),VLOOKUP(N20,setup!$A$8:$H$58,5),VLOOKUP(N20,setup!$A$8:$H$58,6),VLOOKUP(N20,setup!$A$8:$H$58,7), VLOOKUP(0,setup!$A$8:$H$58,2),VLOOKUP(0,setup!$A$8:$H$58,5),VLOOKUP(N20,setup!$A$8:$H$58,8))</f>
        <v xml:space="preserve">    if (statusCode &lt; 200 || statusCode &gt; 400 || json == null) {</v>
      </c>
    </row>
    <row r="21" spans="1:15" x14ac:dyDescent="0.25">
      <c r="A21" s="4" t="s">
        <v>477</v>
      </c>
      <c r="O21" s="18" t="str">
        <f ca="1">getCodigoBackend(N21,A21,VLOOKUP(N21,setup!$A$8:$H$58,2),VLOOKUP(N21,setup!$A$8:$H$58,3),VLOOKUP(N21,setup!$A$8:$H$58,4),VLOOKUP(N21,setup!$A$8:$H$58,5),VLOOKUP(N21,setup!$A$8:$H$58,6),VLOOKUP(N21,setup!$A$8:$H$58,7), VLOOKUP(0,setup!$A$8:$H$58,2),VLOOKUP(0,setup!$A$8:$H$58,5),VLOOKUP(N21,setup!$A$8:$H$58,8))</f>
        <v xml:space="preserve">      throw new Exception("Erro ao submeter dados ao servidor.");</v>
      </c>
    </row>
    <row r="22" spans="1:15" x14ac:dyDescent="0.25">
      <c r="A22" s="4" t="s">
        <v>406</v>
      </c>
      <c r="O22" s="18" t="str">
        <f ca="1">getCodigoBackend(N22,A22,VLOOKUP(N22,setup!$A$8:$H$58,2),VLOOKUP(N22,setup!$A$8:$H$58,3),VLOOKUP(N22,setup!$A$8:$H$58,4),VLOOKUP(N22,setup!$A$8:$H$58,5),VLOOKUP(N22,setup!$A$8:$H$58,6),VLOOKUP(N22,setup!$A$8:$H$58,7), VLOOKUP(0,setup!$A$8:$H$58,2),VLOOKUP(0,setup!$A$8:$H$58,5),VLOOKUP(N22,setup!$A$8:$H$58,8))</f>
        <v xml:space="preserve">    }</v>
      </c>
    </row>
    <row r="23" spans="1:15" x14ac:dyDescent="0.25">
      <c r="A23" s="4" t="s">
        <v>521</v>
      </c>
      <c r="O23" s="18" t="str">
        <f ca="1">getCodigoBackend(N23,A23,VLOOKUP(N23,setup!$A$8:$H$58,2),VLOOKUP(N23,setup!$A$8:$H$58,3),VLOOKUP(N23,setup!$A$8:$H$58,4),VLOOKUP(N23,setup!$A$8:$H$58,5),VLOOKUP(N23,setup!$A$8:$H$58,6),VLOOKUP(N23,setup!$A$8:$H$58,7), VLOOKUP(0,setup!$A$8:$H$58,2),VLOOKUP(0,setup!$A$8:$H$58,5),VLOOKUP(N23,setup!$A$8:$H$58,8))</f>
        <v xml:space="preserve">    return CampanhaCashbackResgatePixVOPost.fromJson(json.decode(response.body));</v>
      </c>
    </row>
    <row r="24" spans="1:15" x14ac:dyDescent="0.25">
      <c r="A24" s="4" t="s">
        <v>478</v>
      </c>
      <c r="O24" s="18" t="str">
        <f ca="1">getCodigoBackend(N24,A24,VLOOKUP(N24,setup!$A$8:$H$58,2),VLOOKUP(N24,setup!$A$8:$H$58,3),VLOOKUP(N24,setup!$A$8:$H$58,4),VLOOKUP(N24,setup!$A$8:$H$58,5),VLOOKUP(N24,setup!$A$8:$H$58,6),VLOOKUP(N24,setup!$A$8:$H$58,7), VLOOKUP(0,setup!$A$8:$H$58,2),VLOOKUP(0,setup!$A$8:$H$58,5),VLOOKUP(N24,setup!$A$8:$H$58,8))</f>
        <v xml:space="preserve">  });</v>
      </c>
    </row>
    <row r="25" spans="1:15" x14ac:dyDescent="0.25">
      <c r="A25" s="4" t="s">
        <v>28</v>
      </c>
      <c r="O25" s="18" t="str">
        <f ca="1">getCodigoBackend(N25,A25,VLOOKUP(N25,setup!$A$8:$H$58,2),VLOOKUP(N25,setup!$A$8:$H$58,3),VLOOKUP(N25,setup!$A$8:$H$58,4),VLOOKUP(N25,setup!$A$8:$H$58,5),VLOOKUP(N25,setup!$A$8:$H$58,6),VLOOKUP(N25,setup!$A$8:$H$58,7), VLOOKUP(0,setup!$A$8:$H$58,2),VLOOKUP(0,setup!$A$8:$H$58,5),VLOOKUP(N25,setup!$A$8:$H$58,8))</f>
        <v>}</v>
      </c>
    </row>
    <row r="26" spans="1:15" x14ac:dyDescent="0.25">
      <c r="A26" s="4"/>
      <c r="O26" s="18" t="str">
        <f ca="1">getCodigoBackend(N26,A26,VLOOKUP(N26,setup!$A$8:$H$58,2),VLOOKUP(N26,setup!$A$8:$H$58,3),VLOOKUP(N26,setup!$A$8:$H$58,4),VLOOKUP(N26,setup!$A$8:$H$58,5),VLOOKUP(N26,setup!$A$8:$H$58,6),VLOOKUP(N26,setup!$A$8:$H$58,7), VLOOKUP(0,setup!$A$8:$H$58,2),VLOOKUP(0,setup!$A$8:$H$58,5),VLOOKUP(N26,setup!$A$8:$H$58,8))</f>
        <v/>
      </c>
    </row>
    <row r="27" spans="1:15" x14ac:dyDescent="0.25">
      <c r="A27" s="4" t="s">
        <v>546</v>
      </c>
      <c r="O27" s="18" t="str">
        <f ca="1">getCodigoBackend(N27,A27,VLOOKUP(N27,setup!$A$8:$H$58,2),VLOOKUP(N27,setup!$A$8:$H$58,3),VLOOKUP(N27,setup!$A$8:$H$58,4),VLOOKUP(N27,setup!$A$8:$H$58,5),VLOOKUP(N27,setup!$A$8:$H$58,6),VLOOKUP(N27,setup!$A$8:$H$58,7), VLOOKUP(0,setup!$A$8:$H$58,2),VLOOKUP(0,setup!$A$8:$H$58,5),VLOOKUP(N27,setup!$A$8:$H$58,8))</f>
        <v>class CampanhaCashbackResgatePixPageCRUD extends StatefulWidget {</v>
      </c>
    </row>
    <row r="28" spans="1:15" x14ac:dyDescent="0.25">
      <c r="A28" s="4"/>
      <c r="O28" s="18" t="str">
        <f ca="1">getCodigoBackend(N28,A28,VLOOKUP(N28,setup!$A$8:$H$58,2),VLOOKUP(N28,setup!$A$8:$H$58,3),VLOOKUP(N28,setup!$A$8:$H$58,4),VLOOKUP(N28,setup!$A$8:$H$58,5),VLOOKUP(N28,setup!$A$8:$H$58,6),VLOOKUP(N28,setup!$A$8:$H$58,7), VLOOKUP(0,setup!$A$8:$H$58,2),VLOOKUP(0,setup!$A$8:$H$58,5),VLOOKUP(N28,setup!$A$8:$H$58,8))</f>
        <v/>
      </c>
    </row>
    <row r="29" spans="1:15" x14ac:dyDescent="0.25">
      <c r="A29" s="4"/>
      <c r="O29" s="18" t="str">
        <f ca="1">getCodigoBackend(N29,A29,VLOOKUP(N29,setup!$A$8:$H$58,2),VLOOKUP(N29,setup!$A$8:$H$58,3),VLOOKUP(N29,setup!$A$8:$H$58,4),VLOOKUP(N29,setup!$A$8:$H$58,5),VLOOKUP(N29,setup!$A$8:$H$58,6),VLOOKUP(N29,setup!$A$8:$H$58,7), VLOOKUP(0,setup!$A$8:$H$58,2),VLOOKUP(0,setup!$A$8:$H$58,5),VLOOKUP(N29,setup!$A$8:$H$58,8))</f>
        <v/>
      </c>
    </row>
    <row r="30" spans="1:15" x14ac:dyDescent="0.25">
      <c r="A30" s="4" t="s">
        <v>534</v>
      </c>
      <c r="O30" s="18" t="str">
        <f ca="1">getCodigoBackend(N30,A30,VLOOKUP(N30,setup!$A$8:$H$58,2),VLOOKUP(N30,setup!$A$8:$H$58,3),VLOOKUP(N30,setup!$A$8:$H$58,4),VLOOKUP(N30,setup!$A$8:$H$58,5),VLOOKUP(N30,setup!$A$8:$H$58,6),VLOOKUP(N30,setup!$A$8:$H$58,7), VLOOKUP(0,setup!$A$8:$H$58,2),VLOOKUP(0,setup!$A$8:$H$58,5),VLOOKUP(N30,setup!$A$8:$H$58,8))</f>
        <v xml:space="preserve">  CampanhaCashbackResgatePixVOPost campanhacashbackresgatepixVO;</v>
      </c>
    </row>
    <row r="31" spans="1:15" x14ac:dyDescent="0.25">
      <c r="A31" s="4"/>
      <c r="O31" s="18"/>
    </row>
    <row r="32" spans="1:15" x14ac:dyDescent="0.25">
      <c r="A32" s="4" t="s">
        <v>547</v>
      </c>
      <c r="O32" s="18" t="str">
        <f ca="1">getCodigoBackend(N32,A32,VLOOKUP(N32,setup!$A$8:$H$58,2),VLOOKUP(N32,setup!$A$8:$H$58,3),VLOOKUP(N32,setup!$A$8:$H$58,4),VLOOKUP(N32,setup!$A$8:$H$58,5),VLOOKUP(N32,setup!$A$8:$H$58,6),VLOOKUP(N32,setup!$A$8:$H$58,7), VLOOKUP(0,setup!$A$8:$H$58,2),VLOOKUP(0,setup!$A$8:$H$58,5),VLOOKUP(N32,setup!$A$8:$H$58,8))</f>
        <v xml:space="preserve">  CampanhaCashbackResgatePixPageCRUD({this.campanhacashbackresgatepixVO});</v>
      </c>
    </row>
    <row r="33" spans="1:15" x14ac:dyDescent="0.25">
      <c r="A33" s="4"/>
      <c r="O33" s="18" t="str">
        <f ca="1">getCodigoBackend(N33,A33,VLOOKUP(N33,setup!$A$8:$H$58,2),VLOOKUP(N33,setup!$A$8:$H$58,3),VLOOKUP(N33,setup!$A$8:$H$58,4),VLOOKUP(N33,setup!$A$8:$H$58,5),VLOOKUP(N33,setup!$A$8:$H$58,6),VLOOKUP(N33,setup!$A$8:$H$58,7), VLOOKUP(0,setup!$A$8:$H$58,2),VLOOKUP(0,setup!$A$8:$H$58,5),VLOOKUP(N33,setup!$A$8:$H$58,8))</f>
        <v/>
      </c>
    </row>
    <row r="34" spans="1:15" x14ac:dyDescent="0.25">
      <c r="A34" s="4" t="s">
        <v>479</v>
      </c>
      <c r="O34" s="18" t="str">
        <f ca="1">getCodigoBackend(N34,A34,VLOOKUP(N34,setup!$A$8:$H$58,2),VLOOKUP(N34,setup!$A$8:$H$58,3),VLOOKUP(N34,setup!$A$8:$H$58,4),VLOOKUP(N34,setup!$A$8:$H$58,5),VLOOKUP(N34,setup!$A$8:$H$58,6),VLOOKUP(N34,setup!$A$8:$H$58,7), VLOOKUP(0,setup!$A$8:$H$58,2),VLOOKUP(0,setup!$A$8:$H$58,5),VLOOKUP(N34,setup!$A$8:$H$58,8))</f>
        <v xml:space="preserve">  @override</v>
      </c>
    </row>
    <row r="35" spans="1:15" x14ac:dyDescent="0.25">
      <c r="A35" s="4" t="s">
        <v>548</v>
      </c>
      <c r="O35" s="18" t="str">
        <f ca="1">getCodigoBackend(N35,A35,VLOOKUP(N35,setup!$A$8:$H$58,2),VLOOKUP(N35,setup!$A$8:$H$58,3),VLOOKUP(N35,setup!$A$8:$H$58,4),VLOOKUP(N35,setup!$A$8:$H$58,5),VLOOKUP(N35,setup!$A$8:$H$58,6),VLOOKUP(N35,setup!$A$8:$H$58,7), VLOOKUP(0,setup!$A$8:$H$58,2),VLOOKUP(0,setup!$A$8:$H$58,5),VLOOKUP(N35,setup!$A$8:$H$58,8))</f>
        <v xml:space="preserve">  _CampanhaCashbackResgatePixPageCRUDState createState() =&gt; _CampanhaCashbackResgatePixPageCRUDState();</v>
      </c>
    </row>
    <row r="36" spans="1:15" x14ac:dyDescent="0.25">
      <c r="A36" s="4" t="s">
        <v>28</v>
      </c>
      <c r="O36" s="18" t="str">
        <f ca="1">getCodigoBackend(N36,A36,VLOOKUP(N36,setup!$A$8:$H$58,2),VLOOKUP(N36,setup!$A$8:$H$58,3),VLOOKUP(N36,setup!$A$8:$H$58,4),VLOOKUP(N36,setup!$A$8:$H$58,5),VLOOKUP(N36,setup!$A$8:$H$58,6),VLOOKUP(N36,setup!$A$8:$H$58,7), VLOOKUP(0,setup!$A$8:$H$58,2),VLOOKUP(0,setup!$A$8:$H$58,5),VLOOKUP(N36,setup!$A$8:$H$58,8))</f>
        <v>}</v>
      </c>
    </row>
    <row r="37" spans="1:15" x14ac:dyDescent="0.25">
      <c r="A37" s="4"/>
      <c r="O37" s="18" t="str">
        <f ca="1">getCodigoBackend(N37,A37,VLOOKUP(N37,setup!$A$8:$H$58,2),VLOOKUP(N37,setup!$A$8:$H$58,3),VLOOKUP(N37,setup!$A$8:$H$58,4),VLOOKUP(N37,setup!$A$8:$H$58,5),VLOOKUP(N37,setup!$A$8:$H$58,6),VLOOKUP(N37,setup!$A$8:$H$58,7), VLOOKUP(0,setup!$A$8:$H$58,2),VLOOKUP(0,setup!$A$8:$H$58,5),VLOOKUP(N37,setup!$A$8:$H$58,8))</f>
        <v/>
      </c>
    </row>
    <row r="38" spans="1:15" x14ac:dyDescent="0.25">
      <c r="A38" s="4" t="s">
        <v>549</v>
      </c>
      <c r="O38" s="18" t="str">
        <f ca="1">getCodigoBackend(N38,A38,VLOOKUP(N38,setup!$A$8:$H$58,2),VLOOKUP(N38,setup!$A$8:$H$58,3),VLOOKUP(N38,setup!$A$8:$H$58,4),VLOOKUP(N38,setup!$A$8:$H$58,5),VLOOKUP(N38,setup!$A$8:$H$58,6),VLOOKUP(N38,setup!$A$8:$H$58,7), VLOOKUP(0,setup!$A$8:$H$58,2),VLOOKUP(0,setup!$A$8:$H$58,5),VLOOKUP(N38,setup!$A$8:$H$58,8))</f>
        <v>class _CampanhaCashbackResgatePixPageCRUDState extends State&lt;CampanhaCashbackResgatePixPageCRUD&gt; {</v>
      </c>
    </row>
    <row r="39" spans="1:15" x14ac:dyDescent="0.25">
      <c r="A39" s="4"/>
      <c r="O39" s="18" t="str">
        <f ca="1">getCodigoBackend(N39,A39,VLOOKUP(N39,setup!$A$8:$H$58,2),VLOOKUP(N39,setup!$A$8:$H$58,3),VLOOKUP(N39,setup!$A$8:$H$58,4),VLOOKUP(N39,setup!$A$8:$H$58,5),VLOOKUP(N39,setup!$A$8:$H$58,6),VLOOKUP(N39,setup!$A$8:$H$58,7), VLOOKUP(0,setup!$A$8:$H$58,2),VLOOKUP(0,setup!$A$8:$H$58,5),VLOOKUP(N39,setup!$A$8:$H$58,8))</f>
        <v/>
      </c>
    </row>
    <row r="40" spans="1:15" x14ac:dyDescent="0.25">
      <c r="A40" s="4" t="s">
        <v>480</v>
      </c>
      <c r="O40" s="18" t="str">
        <f ca="1">getCodigoBackend(N40,A40,VLOOKUP(N40,setup!$A$8:$H$58,2),VLOOKUP(N40,setup!$A$8:$H$58,3),VLOOKUP(N40,setup!$A$8:$H$58,4),VLOOKUP(N40,setup!$A$8:$H$58,5),VLOOKUP(N40,setup!$A$8:$H$58,6),VLOOKUP(N40,setup!$A$8:$H$58,7), VLOOKUP(0,setup!$A$8:$H$58,2),VLOOKUP(0,setup!$A$8:$H$58,5),VLOOKUP(N40,setup!$A$8:$H$58,8))</f>
        <v xml:space="preserve">  int _value;</v>
      </c>
    </row>
    <row r="41" spans="1:15" x14ac:dyDescent="0.25">
      <c r="A41" s="4" t="s">
        <v>481</v>
      </c>
      <c r="O41" s="18" t="str">
        <f ca="1">getCodigoBackend(N41,A41,VLOOKUP(N41,setup!$A$8:$H$58,2),VLOOKUP(N41,setup!$A$8:$H$58,3),VLOOKUP(N41,setup!$A$8:$H$58,4),VLOOKUP(N41,setup!$A$8:$H$58,5),VLOOKUP(N41,setup!$A$8:$H$58,6),VLOOKUP(N41,setup!$A$8:$H$58,7), VLOOKUP(0,setup!$A$8:$H$58,2),VLOOKUP(0,setup!$A$8:$H$58,5),VLOOKUP(N41,setup!$A$8:$H$58,8))</f>
        <v xml:space="preserve">  String _token;</v>
      </c>
    </row>
    <row r="42" spans="1:15" x14ac:dyDescent="0.25">
      <c r="A42" s="4" t="s">
        <v>482</v>
      </c>
      <c r="O42" s="18" t="str">
        <f ca="1">getCodigoBackend(N42,A42,VLOOKUP(N42,setup!$A$8:$H$58,2),VLOOKUP(N42,setup!$A$8:$H$58,3),VLOOKUP(N42,setup!$A$8:$H$58,4),VLOOKUP(N42,setup!$A$8:$H$58,5),VLOOKUP(N42,setup!$A$8:$H$58,6),VLOOKUP(N42,setup!$A$8:$H$58,7), VLOOKUP(0,setup!$A$8:$H$58,2),VLOOKUP(0,setup!$A$8:$H$58,5),VLOOKUP(N42,setup!$A$8:$H$58,8))</f>
        <v xml:space="preserve">  String _urlControlador;</v>
      </c>
    </row>
    <row r="43" spans="1:15" x14ac:dyDescent="0.25">
      <c r="A43" s="18" t="s">
        <v>541</v>
      </c>
      <c r="O43" s="18" t="str">
        <f ca="1">getCodigoBackend(N43,A43,VLOOKUP(N43,setup!$A$8:$H$58,2),VLOOKUP(N43,setup!$A$8:$H$58,3),VLOOKUP(N43,setup!$A$8:$H$58,4),VLOOKUP(N43,setup!$A$8:$H$58,5),VLOOKUP(N43,setup!$A$8:$H$58,6),VLOOKUP(N43,setup!$A$8:$H$58,7), VLOOKUP(0,setup!$A$8:$H$58,2),VLOOKUP(0,setup!$A$8:$H$58,5),VLOOKUP(N43,setup!$A$8:$H$58,8))</f>
        <v xml:space="preserve">  bool _iscadastro = true;</v>
      </c>
    </row>
    <row r="44" spans="1:15" x14ac:dyDescent="0.25">
      <c r="A44" s="18"/>
      <c r="O44" s="18" t="str">
        <f ca="1">getCodigoBackend(N44,A44,VLOOKUP(N44,setup!$A$8:$H$58,2),VLOOKUP(N44,setup!$A$8:$H$58,3),VLOOKUP(N44,setup!$A$8:$H$58,4),VLOOKUP(N44,setup!$A$8:$H$58,5),VLOOKUP(N44,setup!$A$8:$H$58,6),VLOOKUP(N44,setup!$A$8:$H$58,7), VLOOKUP(0,setup!$A$8:$H$58,2),VLOOKUP(0,setup!$A$8:$H$58,5),VLOOKUP(N44,setup!$A$8:$H$58,8))</f>
        <v/>
      </c>
    </row>
    <row r="45" spans="1:15" x14ac:dyDescent="0.25">
      <c r="A45" s="6" t="s">
        <v>533</v>
      </c>
      <c r="O45" s="18" t="str">
        <f ca="1">getCodigoBackend(N45,A45,VLOOKUP(N45,setup!$A$8:$H$58,2),VLOOKUP(N45,setup!$A$8:$H$58,3),VLOOKUP(N45,setup!$A$8:$H$58,4),VLOOKUP(N45,setup!$A$8:$H$58,5),VLOOKUP(N45,setup!$A$8:$H$58,6),VLOOKUP(N45,setup!$A$8:$H$58,7), VLOOKUP(0,setup!$A$8:$H$58,2),VLOOKUP(0,setup!$A$8:$H$58,5),VLOOKUP(N45,setup!$A$8:$H$58,8))</f>
        <v xml:space="preserve">    // ============================================================================</v>
      </c>
    </row>
    <row r="46" spans="1:15" x14ac:dyDescent="0.25">
      <c r="A46" s="6" t="s">
        <v>537</v>
      </c>
      <c r="O46" s="18" t="str">
        <f ca="1">getCodigoBackend(N46,A46,VLOOKUP(N46,setup!$A$8:$H$58,2),VLOOKUP(N46,setup!$A$8:$H$58,3),VLOOKUP(N46,setup!$A$8:$H$58,4),VLOOKUP(N46,setup!$A$8:$H$58,5),VLOOKUP(N46,setup!$A$8:$H$58,6),VLOOKUP(N46,setup!$A$8:$H$58,7), VLOOKUP(0,setup!$A$8:$H$58,2),VLOOKUP(0,setup!$A$8:$H$58,5),VLOOKUP(N46,setup!$A$8:$H$58,8))</f>
        <v xml:space="preserve">    // inicializa os controladores de campos com os respectivos atributos</v>
      </c>
    </row>
    <row r="47" spans="1:15" x14ac:dyDescent="0.25">
      <c r="A47" s="6" t="s">
        <v>533</v>
      </c>
      <c r="O47" s="18" t="str">
        <f ca="1">getCodigoBackend(N47,A47,VLOOKUP(N47,setup!$A$8:$H$58,2),VLOOKUP(N47,setup!$A$8:$H$58,3),VLOOKUP(N47,setup!$A$8:$H$58,4),VLOOKUP(N47,setup!$A$8:$H$58,5),VLOOKUP(N47,setup!$A$8:$H$58,6),VLOOKUP(N47,setup!$A$8:$H$58,7), VLOOKUP(0,setup!$A$8:$H$58,2),VLOOKUP(0,setup!$A$8:$H$58,5),VLOOKUP(N47,setup!$A$8:$H$58,8))</f>
        <v xml:space="preserve">    // ============================================================================</v>
      </c>
    </row>
    <row r="48" spans="1:15" x14ac:dyDescent="0.25">
      <c r="A48" s="4" t="s">
        <v>522</v>
      </c>
      <c r="N48">
        <v>0</v>
      </c>
      <c r="O48" s="18" t="str">
        <f ca="1">getCodigoBackend(N48,A48,VLOOKUP(N48,setup!$A$8:$H$58,2),VLOOKUP(N48,setup!$A$8:$H$58,3),VLOOKUP(N48,setup!$A$8:$H$58,4),VLOOKUP(N48,setup!$A$8:$H$58,5),VLOOKUP(N48,setup!$A$8:$H$58,6),VLOOKUP(N48,setup!$A$8:$H$58,7), VLOOKUP(0,setup!$A$8:$H$58,2),VLOOKUP(0,setup!$A$8:$H$58,5),VLOOKUP(N48,setup!$A$8:$H$58,8))</f>
        <v xml:space="preserve">  TextEditingController tecid = new TextEditingController();</v>
      </c>
    </row>
    <row r="49" spans="1:15" x14ac:dyDescent="0.25">
      <c r="A49" s="4" t="s">
        <v>522</v>
      </c>
      <c r="N49">
        <f>N48+1</f>
        <v>1</v>
      </c>
      <c r="O49" s="18" t="str">
        <f ca="1">getCodigoBackend(N49,A49,VLOOKUP(N49,setup!$A$8:$H$58,2),VLOOKUP(N49,setup!$A$8:$H$58,3),VLOOKUP(N49,setup!$A$8:$H$58,4),VLOOKUP(N49,setup!$A$8:$H$58,5),VLOOKUP(N49,setup!$A$8:$H$58,6),VLOOKUP(N49,setup!$A$8:$H$58,7), VLOOKUP(0,setup!$A$8:$H$58,2),VLOOKUP(0,setup!$A$8:$H$58,5),VLOOKUP(N49,setup!$A$8:$H$58,8))</f>
        <v xml:space="preserve">  TextEditingController tecidCampanhaCashback = new TextEditingController();</v>
      </c>
    </row>
    <row r="50" spans="1:15" x14ac:dyDescent="0.25">
      <c r="A50" s="4" t="s">
        <v>522</v>
      </c>
      <c r="N50">
        <f t="shared" ref="N50:N70" si="0">N49+1</f>
        <v>2</v>
      </c>
      <c r="O50" s="18" t="str">
        <f ca="1">getCodigoBackend(N50,A50,VLOOKUP(N50,setup!$A$8:$H$58,2),VLOOKUP(N50,setup!$A$8:$H$58,3),VLOOKUP(N50,setup!$A$8:$H$58,4),VLOOKUP(N50,setup!$A$8:$H$58,5),VLOOKUP(N50,setup!$A$8:$H$58,6),VLOOKUP(N50,setup!$A$8:$H$58,7), VLOOKUP(0,setup!$A$8:$H$58,2),VLOOKUP(0,setup!$A$8:$H$58,5),VLOOKUP(N50,setup!$A$8:$H$58,8))</f>
        <v xml:space="preserve">  TextEditingController tecidUsuarioSolicitante = new TextEditingController();</v>
      </c>
    </row>
    <row r="51" spans="1:15" x14ac:dyDescent="0.25">
      <c r="A51" s="4" t="s">
        <v>522</v>
      </c>
      <c r="N51">
        <f t="shared" si="0"/>
        <v>3</v>
      </c>
      <c r="O51" s="18" t="str">
        <f ca="1">getCodigoBackend(N51,A51,VLOOKUP(N51,setup!$A$8:$H$58,2),VLOOKUP(N51,setup!$A$8:$H$58,3),VLOOKUP(N51,setup!$A$8:$H$58,4),VLOOKUP(N51,setup!$A$8:$H$58,5),VLOOKUP(N51,setup!$A$8:$H$58,6),VLOOKUP(N51,setup!$A$8:$H$58,7), VLOOKUP(0,setup!$A$8:$H$58,2),VLOOKUP(0,setup!$A$8:$H$58,5),VLOOKUP(N51,setup!$A$8:$H$58,8))</f>
        <v xml:space="preserve">  TextEditingController tectipoChavePix = new TextEditingController();</v>
      </c>
    </row>
    <row r="52" spans="1:15" x14ac:dyDescent="0.25">
      <c r="A52" s="4" t="s">
        <v>522</v>
      </c>
      <c r="N52">
        <f t="shared" si="0"/>
        <v>4</v>
      </c>
      <c r="O52" s="18" t="str">
        <f ca="1">getCodigoBackend(N52,A52,VLOOKUP(N52,setup!$A$8:$H$58,2),VLOOKUP(N52,setup!$A$8:$H$58,3),VLOOKUP(N52,setup!$A$8:$H$58,4),VLOOKUP(N52,setup!$A$8:$H$58,5),VLOOKUP(N52,setup!$A$8:$H$58,6),VLOOKUP(N52,setup!$A$8:$H$58,7), VLOOKUP(0,setup!$A$8:$H$58,2),VLOOKUP(0,setup!$A$8:$H$58,5),VLOOKUP(N52,setup!$A$8:$H$58,8))</f>
        <v xml:space="preserve">  TextEditingController tecchavePix = new TextEditingController();</v>
      </c>
    </row>
    <row r="53" spans="1:15" x14ac:dyDescent="0.25">
      <c r="A53" s="4" t="s">
        <v>522</v>
      </c>
      <c r="N53">
        <f t="shared" si="0"/>
        <v>5</v>
      </c>
      <c r="O53" s="18" t="str">
        <f ca="1">getCodigoBackend(N53,A53,VLOOKUP(N53,setup!$A$8:$H$58,2),VLOOKUP(N53,setup!$A$8:$H$58,3),VLOOKUP(N53,setup!$A$8:$H$58,4),VLOOKUP(N53,setup!$A$8:$H$58,5),VLOOKUP(N53,setup!$A$8:$H$58,6),VLOOKUP(N53,setup!$A$8:$H$58,7), VLOOKUP(0,setup!$A$8:$H$58,2),VLOOKUP(0,setup!$A$8:$H$58,5),VLOOKUP(N53,setup!$A$8:$H$58,8))</f>
        <v xml:space="preserve">  TextEditingController tecvalorResgate = new TextEditingController();</v>
      </c>
    </row>
    <row r="54" spans="1:15" x14ac:dyDescent="0.25">
      <c r="A54" s="4" t="s">
        <v>522</v>
      </c>
      <c r="N54">
        <f t="shared" si="0"/>
        <v>6</v>
      </c>
      <c r="O54" s="18" t="str">
        <f ca="1">getCodigoBackend(N54,A54,VLOOKUP(N54,setup!$A$8:$H$58,2),VLOOKUP(N54,setup!$A$8:$H$58,3),VLOOKUP(N54,setup!$A$8:$H$58,4),VLOOKUP(N54,setup!$A$8:$H$58,5),VLOOKUP(N54,setup!$A$8:$H$58,6),VLOOKUP(N54,setup!$A$8:$H$58,7), VLOOKUP(0,setup!$A$8:$H$58,2),VLOOKUP(0,setup!$A$8:$H$58,5),VLOOKUP(N54,setup!$A$8:$H$58,8))</f>
        <v xml:space="preserve">  TextEditingController tecautenticacaoBco = new TextEditingController();</v>
      </c>
    </row>
    <row r="55" spans="1:15" x14ac:dyDescent="0.25">
      <c r="A55" s="4" t="s">
        <v>522</v>
      </c>
      <c r="N55">
        <f t="shared" si="0"/>
        <v>7</v>
      </c>
      <c r="O55" s="18" t="str">
        <f ca="1">getCodigoBackend(N55,A55,VLOOKUP(N55,setup!$A$8:$H$58,2),VLOOKUP(N55,setup!$A$8:$H$58,3),VLOOKUP(N55,setup!$A$8:$H$58,4),VLOOKUP(N55,setup!$A$8:$H$58,5),VLOOKUP(N55,setup!$A$8:$H$58,6),VLOOKUP(N55,setup!$A$8:$H$58,7), VLOOKUP(0,setup!$A$8:$H$58,2),VLOOKUP(0,setup!$A$8:$H$58,5),VLOOKUP(N55,setup!$A$8:$H$58,8))</f>
        <v xml:space="preserve">  TextEditingController tecestagioRealTime = new TextEditingController();</v>
      </c>
    </row>
    <row r="56" spans="1:15" x14ac:dyDescent="0.25">
      <c r="A56" s="4" t="s">
        <v>522</v>
      </c>
      <c r="N56">
        <f t="shared" si="0"/>
        <v>8</v>
      </c>
      <c r="O56" s="18" t="str">
        <f ca="1">getCodigoBackend(N56,A56,VLOOKUP(N56,setup!$A$8:$H$58,2),VLOOKUP(N56,setup!$A$8:$H$58,3),VLOOKUP(N56,setup!$A$8:$H$58,4),VLOOKUP(N56,setup!$A$8:$H$58,5),VLOOKUP(N56,setup!$A$8:$H$58,6),VLOOKUP(N56,setup!$A$8:$H$58,7), VLOOKUP(0,setup!$A$8:$H$58,2),VLOOKUP(0,setup!$A$8:$H$58,5),VLOOKUP(N56,setup!$A$8:$H$58,8))</f>
        <v xml:space="preserve">  TextEditingController tecdtEstagioAnalise = new TextEditingController();</v>
      </c>
    </row>
    <row r="57" spans="1:15" x14ac:dyDescent="0.25">
      <c r="A57" s="4" t="s">
        <v>522</v>
      </c>
      <c r="N57">
        <f t="shared" si="0"/>
        <v>9</v>
      </c>
      <c r="O57" s="18" t="str">
        <f ca="1">getCodigoBackend(N57,A57,VLOOKUP(N57,setup!$A$8:$H$58,2),VLOOKUP(N57,setup!$A$8:$H$58,3),VLOOKUP(N57,setup!$A$8:$H$58,4),VLOOKUP(N57,setup!$A$8:$H$58,5),VLOOKUP(N57,setup!$A$8:$H$58,6),VLOOKUP(N57,setup!$A$8:$H$58,7), VLOOKUP(0,setup!$A$8:$H$58,2),VLOOKUP(0,setup!$A$8:$H$58,5),VLOOKUP(N57,setup!$A$8:$H$58,8))</f>
        <v xml:space="preserve">  TextEditingController tecdtEstagioFinanceiro = new TextEditingController();</v>
      </c>
    </row>
    <row r="58" spans="1:15" x14ac:dyDescent="0.25">
      <c r="A58" s="4" t="s">
        <v>522</v>
      </c>
      <c r="N58">
        <f t="shared" si="0"/>
        <v>10</v>
      </c>
      <c r="O58" s="18" t="str">
        <f ca="1">getCodigoBackend(N58,A58,VLOOKUP(N58,setup!$A$8:$H$58,2),VLOOKUP(N58,setup!$A$8:$H$58,3),VLOOKUP(N58,setup!$A$8:$H$58,4),VLOOKUP(N58,setup!$A$8:$H$58,5),VLOOKUP(N58,setup!$A$8:$H$58,6),VLOOKUP(N58,setup!$A$8:$H$58,7), VLOOKUP(0,setup!$A$8:$H$58,2),VLOOKUP(0,setup!$A$8:$H$58,5),VLOOKUP(N58,setup!$A$8:$H$58,8))</f>
        <v xml:space="preserve">  TextEditingController tecdtEstagioErro = new TextEditingController();</v>
      </c>
    </row>
    <row r="59" spans="1:15" x14ac:dyDescent="0.25">
      <c r="A59" s="4" t="s">
        <v>522</v>
      </c>
      <c r="N59">
        <f t="shared" si="0"/>
        <v>11</v>
      </c>
      <c r="O59" s="18" t="str">
        <f ca="1">getCodigoBackend(N59,A59,VLOOKUP(N59,setup!$A$8:$H$58,2),VLOOKUP(N59,setup!$A$8:$H$58,3),VLOOKUP(N59,setup!$A$8:$H$58,4),VLOOKUP(N59,setup!$A$8:$H$58,5),VLOOKUP(N59,setup!$A$8:$H$58,6),VLOOKUP(N59,setup!$A$8:$H$58,7), VLOOKUP(0,setup!$A$8:$H$58,2),VLOOKUP(0,setup!$A$8:$H$58,5),VLOOKUP(N59,setup!$A$8:$H$58,8))</f>
        <v xml:space="preserve">  TextEditingController tecdtEstagioTranfBco = new TextEditingController();</v>
      </c>
    </row>
    <row r="60" spans="1:15" x14ac:dyDescent="0.25">
      <c r="A60" s="4" t="s">
        <v>522</v>
      </c>
      <c r="N60">
        <f t="shared" si="0"/>
        <v>12</v>
      </c>
      <c r="O60" s="18" t="str">
        <f ca="1">getCodigoBackend(N60,A60,VLOOKUP(N60,setup!$A$8:$H$58,2),VLOOKUP(N60,setup!$A$8:$H$58,3),VLOOKUP(N60,setup!$A$8:$H$58,4),VLOOKUP(N60,setup!$A$8:$H$58,5),VLOOKUP(N60,setup!$A$8:$H$58,6),VLOOKUP(N60,setup!$A$8:$H$58,7), VLOOKUP(0,setup!$A$8:$H$58,2),VLOOKUP(0,setup!$A$8:$H$58,5),VLOOKUP(N60,setup!$A$8:$H$58,8))</f>
        <v xml:space="preserve">  TextEditingController tectxtLivreEstagioRT = new TextEditingController();</v>
      </c>
    </row>
    <row r="61" spans="1:15" x14ac:dyDescent="0.25">
      <c r="A61" s="4" t="s">
        <v>522</v>
      </c>
      <c r="N61">
        <f t="shared" si="0"/>
        <v>13</v>
      </c>
      <c r="O61" s="18" t="e">
        <f>getCodigoBackend(N61,A61,VLOOKUP(N61,setup!$A$8:$H$58,2),VLOOKUP(N61,setup!$A$8:$H$58,3),VLOOKUP(N61,setup!$A$8:$H$58,4),VLOOKUP(N61,setup!$A$8:$H$58,5),VLOOKUP(N61,setup!$A$8:$H$58,6),VLOOKUP(N61,setup!$A$8:$H$58,7), VLOOKUP(0,setup!$A$8:$H$58,2),VLOOKUP(0,setup!$A$8:$H$58,5),VLOOKUP(N61,setup!$A$8:$H$58,8))</f>
        <v>#VALUE!</v>
      </c>
    </row>
    <row r="62" spans="1:15" x14ac:dyDescent="0.25">
      <c r="A62" s="4" t="s">
        <v>522</v>
      </c>
      <c r="N62">
        <f t="shared" si="0"/>
        <v>14</v>
      </c>
      <c r="O62" s="18" t="e">
        <f>getCodigoBackend(N62,A62,VLOOKUP(N62,setup!$A$8:$H$58,2),VLOOKUP(N62,setup!$A$8:$H$58,3),VLOOKUP(N62,setup!$A$8:$H$58,4),VLOOKUP(N62,setup!$A$8:$H$58,5),VLOOKUP(N62,setup!$A$8:$H$58,6),VLOOKUP(N62,setup!$A$8:$H$58,7), VLOOKUP(0,setup!$A$8:$H$58,2),VLOOKUP(0,setup!$A$8:$H$58,5),VLOOKUP(N62,setup!$A$8:$H$58,8))</f>
        <v>#VALUE!</v>
      </c>
    </row>
    <row r="63" spans="1:15" x14ac:dyDescent="0.25">
      <c r="A63" s="4" t="s">
        <v>522</v>
      </c>
      <c r="N63">
        <f t="shared" si="0"/>
        <v>15</v>
      </c>
      <c r="O63" s="18" t="e">
        <f>getCodigoBackend(N63,A63,VLOOKUP(N63,setup!$A$8:$H$58,2),VLOOKUP(N63,setup!$A$8:$H$58,3),VLOOKUP(N63,setup!$A$8:$H$58,4),VLOOKUP(N63,setup!$A$8:$H$58,5),VLOOKUP(N63,setup!$A$8:$H$58,6),VLOOKUP(N63,setup!$A$8:$H$58,7), VLOOKUP(0,setup!$A$8:$H$58,2),VLOOKUP(0,setup!$A$8:$H$58,5),VLOOKUP(N63,setup!$A$8:$H$58,8))</f>
        <v>#VALUE!</v>
      </c>
    </row>
    <row r="64" spans="1:15" x14ac:dyDescent="0.25">
      <c r="A64" s="4" t="s">
        <v>522</v>
      </c>
      <c r="N64">
        <f t="shared" si="0"/>
        <v>16</v>
      </c>
      <c r="O64" s="18" t="e">
        <f>getCodigoBackend(N64,A64,VLOOKUP(N64,setup!$A$8:$H$58,2),VLOOKUP(N64,setup!$A$8:$H$58,3),VLOOKUP(N64,setup!$A$8:$H$58,4),VLOOKUP(N64,setup!$A$8:$H$58,5),VLOOKUP(N64,setup!$A$8:$H$58,6),VLOOKUP(N64,setup!$A$8:$H$58,7), VLOOKUP(0,setup!$A$8:$H$58,2),VLOOKUP(0,setup!$A$8:$H$58,5),VLOOKUP(N64,setup!$A$8:$H$58,8))</f>
        <v>#VALUE!</v>
      </c>
    </row>
    <row r="65" spans="1:15" x14ac:dyDescent="0.25">
      <c r="A65" s="4" t="s">
        <v>522</v>
      </c>
      <c r="N65">
        <f t="shared" si="0"/>
        <v>17</v>
      </c>
      <c r="O65" s="18" t="e">
        <f>getCodigoBackend(N65,A65,VLOOKUP(N65,setup!$A$8:$H$58,2),VLOOKUP(N65,setup!$A$8:$H$58,3),VLOOKUP(N65,setup!$A$8:$H$58,4),VLOOKUP(N65,setup!$A$8:$H$58,5),VLOOKUP(N65,setup!$A$8:$H$58,6),VLOOKUP(N65,setup!$A$8:$H$58,7), VLOOKUP(0,setup!$A$8:$H$58,2),VLOOKUP(0,setup!$A$8:$H$58,5),VLOOKUP(N65,setup!$A$8:$H$58,8))</f>
        <v>#VALUE!</v>
      </c>
    </row>
    <row r="66" spans="1:15" x14ac:dyDescent="0.25">
      <c r="A66" s="4" t="s">
        <v>522</v>
      </c>
      <c r="N66">
        <f t="shared" si="0"/>
        <v>18</v>
      </c>
      <c r="O66" s="18" t="e">
        <f>getCodigoBackend(N66,A66,VLOOKUP(N66,setup!$A$8:$H$58,2),VLOOKUP(N66,setup!$A$8:$H$58,3),VLOOKUP(N66,setup!$A$8:$H$58,4),VLOOKUP(N66,setup!$A$8:$H$58,5),VLOOKUP(N66,setup!$A$8:$H$58,6),VLOOKUP(N66,setup!$A$8:$H$58,7), VLOOKUP(0,setup!$A$8:$H$58,2),VLOOKUP(0,setup!$A$8:$H$58,5),VLOOKUP(N66,setup!$A$8:$H$58,8))</f>
        <v>#VALUE!</v>
      </c>
    </row>
    <row r="67" spans="1:15" x14ac:dyDescent="0.25">
      <c r="A67" s="4" t="s">
        <v>522</v>
      </c>
      <c r="N67">
        <f t="shared" si="0"/>
        <v>19</v>
      </c>
      <c r="O67" s="18" t="e">
        <f>getCodigoBackend(N67,A67,VLOOKUP(N67,setup!$A$8:$H$58,2),VLOOKUP(N67,setup!$A$8:$H$58,3),VLOOKUP(N67,setup!$A$8:$H$58,4),VLOOKUP(N67,setup!$A$8:$H$58,5),VLOOKUP(N67,setup!$A$8:$H$58,6),VLOOKUP(N67,setup!$A$8:$H$58,7), VLOOKUP(0,setup!$A$8:$H$58,2),VLOOKUP(0,setup!$A$8:$H$58,5),VLOOKUP(N67,setup!$A$8:$H$58,8))</f>
        <v>#VALUE!</v>
      </c>
    </row>
    <row r="68" spans="1:15" x14ac:dyDescent="0.25">
      <c r="A68" s="4" t="s">
        <v>522</v>
      </c>
      <c r="N68">
        <f t="shared" si="0"/>
        <v>20</v>
      </c>
      <c r="O68" s="18" t="e">
        <f>getCodigoBackend(N68,A68,VLOOKUP(N68,setup!$A$8:$H$58,2),VLOOKUP(N68,setup!$A$8:$H$58,3),VLOOKUP(N68,setup!$A$8:$H$58,4),VLOOKUP(N68,setup!$A$8:$H$58,5),VLOOKUP(N68,setup!$A$8:$H$58,6),VLOOKUP(N68,setup!$A$8:$H$58,7), VLOOKUP(0,setup!$A$8:$H$58,2),VLOOKUP(0,setup!$A$8:$H$58,5),VLOOKUP(N68,setup!$A$8:$H$58,8))</f>
        <v>#VALUE!</v>
      </c>
    </row>
    <row r="69" spans="1:15" x14ac:dyDescent="0.25">
      <c r="A69" s="4" t="s">
        <v>522</v>
      </c>
      <c r="N69">
        <f t="shared" si="0"/>
        <v>21</v>
      </c>
      <c r="O69" s="18" t="e">
        <f>getCodigoBackend(N69,A69,VLOOKUP(N69,setup!$A$8:$H$58,2),VLOOKUP(N69,setup!$A$8:$H$58,3),VLOOKUP(N69,setup!$A$8:$H$58,4),VLOOKUP(N69,setup!$A$8:$H$58,5),VLOOKUP(N69,setup!$A$8:$H$58,6),VLOOKUP(N69,setup!$A$8:$H$58,7), VLOOKUP(0,setup!$A$8:$H$58,2),VLOOKUP(0,setup!$A$8:$H$58,5),VLOOKUP(N69,setup!$A$8:$H$58,8))</f>
        <v>#VALUE!</v>
      </c>
    </row>
    <row r="70" spans="1:15" x14ac:dyDescent="0.25">
      <c r="A70" s="4" t="s">
        <v>522</v>
      </c>
      <c r="N70">
        <f t="shared" si="0"/>
        <v>22</v>
      </c>
      <c r="O70" s="18" t="e">
        <f>getCodigoBackend(N70,A70,VLOOKUP(N70,setup!$A$8:$H$58,2),VLOOKUP(N70,setup!$A$8:$H$58,3),VLOOKUP(N70,setup!$A$8:$H$58,4),VLOOKUP(N70,setup!$A$8:$H$58,5),VLOOKUP(N70,setup!$A$8:$H$58,6),VLOOKUP(N70,setup!$A$8:$H$58,7), VLOOKUP(0,setup!$A$8:$H$58,2),VLOOKUP(0,setup!$A$8:$H$58,5),VLOOKUP(N70,setup!$A$8:$H$58,8))</f>
        <v>#VALUE!</v>
      </c>
    </row>
    <row r="71" spans="1:15" x14ac:dyDescent="0.25">
      <c r="A71" s="4" t="s">
        <v>522</v>
      </c>
      <c r="N71">
        <f t="shared" ref="N71:N91" si="1">N70+1</f>
        <v>23</v>
      </c>
      <c r="O71" s="18" t="e">
        <f>getCodigoBackend(N71,A71,VLOOKUP(N71,setup!$A$8:$H$58,2),VLOOKUP(N71,setup!$A$8:$H$58,3),VLOOKUP(N71,setup!$A$8:$H$58,4),VLOOKUP(N71,setup!$A$8:$H$58,5),VLOOKUP(N71,setup!$A$8:$H$58,6),VLOOKUP(N71,setup!$A$8:$H$58,7), VLOOKUP(0,setup!$A$8:$H$58,2),VLOOKUP(0,setup!$A$8:$H$58,5),VLOOKUP(N71,setup!$A$8:$H$58,8))</f>
        <v>#VALUE!</v>
      </c>
    </row>
    <row r="72" spans="1:15" x14ac:dyDescent="0.25">
      <c r="A72" s="4" t="s">
        <v>522</v>
      </c>
      <c r="N72">
        <f t="shared" si="1"/>
        <v>24</v>
      </c>
      <c r="O72" s="18" t="e">
        <f>getCodigoBackend(N72,A72,VLOOKUP(N72,setup!$A$8:$H$58,2),VLOOKUP(N72,setup!$A$8:$H$58,3),VLOOKUP(N72,setup!$A$8:$H$58,4),VLOOKUP(N72,setup!$A$8:$H$58,5),VLOOKUP(N72,setup!$A$8:$H$58,6),VLOOKUP(N72,setup!$A$8:$H$58,7), VLOOKUP(0,setup!$A$8:$H$58,2),VLOOKUP(0,setup!$A$8:$H$58,5),VLOOKUP(N72,setup!$A$8:$H$58,8))</f>
        <v>#VALUE!</v>
      </c>
    </row>
    <row r="73" spans="1:15" x14ac:dyDescent="0.25">
      <c r="A73" s="4" t="s">
        <v>522</v>
      </c>
      <c r="N73">
        <f t="shared" si="1"/>
        <v>25</v>
      </c>
      <c r="O73" s="18" t="e">
        <f>getCodigoBackend(N73,A73,VLOOKUP(N73,setup!$A$8:$H$58,2),VLOOKUP(N73,setup!$A$8:$H$58,3),VLOOKUP(N73,setup!$A$8:$H$58,4),VLOOKUP(N73,setup!$A$8:$H$58,5),VLOOKUP(N73,setup!$A$8:$H$58,6),VLOOKUP(N73,setup!$A$8:$H$58,7), VLOOKUP(0,setup!$A$8:$H$58,2),VLOOKUP(0,setup!$A$8:$H$58,5),VLOOKUP(N73,setup!$A$8:$H$58,8))</f>
        <v>#VALUE!</v>
      </c>
    </row>
    <row r="74" spans="1:15" x14ac:dyDescent="0.25">
      <c r="A74" s="4" t="s">
        <v>522</v>
      </c>
      <c r="N74">
        <f t="shared" si="1"/>
        <v>26</v>
      </c>
      <c r="O74" s="18" t="e">
        <f>getCodigoBackend(N74,A74,VLOOKUP(N74,setup!$A$8:$H$58,2),VLOOKUP(N74,setup!$A$8:$H$58,3),VLOOKUP(N74,setup!$A$8:$H$58,4),VLOOKUP(N74,setup!$A$8:$H$58,5),VLOOKUP(N74,setup!$A$8:$H$58,6),VLOOKUP(N74,setup!$A$8:$H$58,7), VLOOKUP(0,setup!$A$8:$H$58,2),VLOOKUP(0,setup!$A$8:$H$58,5),VLOOKUP(N74,setup!$A$8:$H$58,8))</f>
        <v>#VALUE!</v>
      </c>
    </row>
    <row r="75" spans="1:15" x14ac:dyDescent="0.25">
      <c r="A75" s="4" t="s">
        <v>522</v>
      </c>
      <c r="N75">
        <f t="shared" si="1"/>
        <v>27</v>
      </c>
      <c r="O75" s="18" t="e">
        <f>getCodigoBackend(N75,A75,VLOOKUP(N75,setup!$A$8:$H$58,2),VLOOKUP(N75,setup!$A$8:$H$58,3),VLOOKUP(N75,setup!$A$8:$H$58,4),VLOOKUP(N75,setup!$A$8:$H$58,5),VLOOKUP(N75,setup!$A$8:$H$58,6),VLOOKUP(N75,setup!$A$8:$H$58,7), VLOOKUP(0,setup!$A$8:$H$58,2),VLOOKUP(0,setup!$A$8:$H$58,5),VLOOKUP(N75,setup!$A$8:$H$58,8))</f>
        <v>#VALUE!</v>
      </c>
    </row>
    <row r="76" spans="1:15" x14ac:dyDescent="0.25">
      <c r="A76" s="4" t="s">
        <v>522</v>
      </c>
      <c r="N76">
        <f t="shared" si="1"/>
        <v>28</v>
      </c>
      <c r="O76" s="18" t="e">
        <f>getCodigoBackend(N76,A76,VLOOKUP(N76,setup!$A$8:$H$58,2),VLOOKUP(N76,setup!$A$8:$H$58,3),VLOOKUP(N76,setup!$A$8:$H$58,4),VLOOKUP(N76,setup!$A$8:$H$58,5),VLOOKUP(N76,setup!$A$8:$H$58,6),VLOOKUP(N76,setup!$A$8:$H$58,7), VLOOKUP(0,setup!$A$8:$H$58,2),VLOOKUP(0,setup!$A$8:$H$58,5),VLOOKUP(N76,setup!$A$8:$H$58,8))</f>
        <v>#VALUE!</v>
      </c>
    </row>
    <row r="77" spans="1:15" x14ac:dyDescent="0.25">
      <c r="A77" s="4" t="s">
        <v>522</v>
      </c>
      <c r="N77">
        <f t="shared" si="1"/>
        <v>29</v>
      </c>
      <c r="O77" s="18" t="e">
        <f>getCodigoBackend(N77,A77,VLOOKUP(N77,setup!$A$8:$H$58,2),VLOOKUP(N77,setup!$A$8:$H$58,3),VLOOKUP(N77,setup!$A$8:$H$58,4),VLOOKUP(N77,setup!$A$8:$H$58,5),VLOOKUP(N77,setup!$A$8:$H$58,6),VLOOKUP(N77,setup!$A$8:$H$58,7), VLOOKUP(0,setup!$A$8:$H$58,2),VLOOKUP(0,setup!$A$8:$H$58,5),VLOOKUP(N77,setup!$A$8:$H$58,8))</f>
        <v>#VALUE!</v>
      </c>
    </row>
    <row r="78" spans="1:15" x14ac:dyDescent="0.25">
      <c r="A78" s="4" t="s">
        <v>522</v>
      </c>
      <c r="N78">
        <f t="shared" si="1"/>
        <v>30</v>
      </c>
      <c r="O78" s="18" t="e">
        <f>getCodigoBackend(N78,A78,VLOOKUP(N78,setup!$A$8:$H$58,2),VLOOKUP(N78,setup!$A$8:$H$58,3),VLOOKUP(N78,setup!$A$8:$H$58,4),VLOOKUP(N78,setup!$A$8:$H$58,5),VLOOKUP(N78,setup!$A$8:$H$58,6),VLOOKUP(N78,setup!$A$8:$H$58,7), VLOOKUP(0,setup!$A$8:$H$58,2),VLOOKUP(0,setup!$A$8:$H$58,5),VLOOKUP(N78,setup!$A$8:$H$58,8))</f>
        <v>#VALUE!</v>
      </c>
    </row>
    <row r="79" spans="1:15" x14ac:dyDescent="0.25">
      <c r="A79" s="4" t="s">
        <v>522</v>
      </c>
      <c r="N79">
        <f t="shared" si="1"/>
        <v>31</v>
      </c>
      <c r="O79" s="18" t="e">
        <f>getCodigoBackend(N79,A79,VLOOKUP(N79,setup!$A$8:$H$58,2),VLOOKUP(N79,setup!$A$8:$H$58,3),VLOOKUP(N79,setup!$A$8:$H$58,4),VLOOKUP(N79,setup!$A$8:$H$58,5),VLOOKUP(N79,setup!$A$8:$H$58,6),VLOOKUP(N79,setup!$A$8:$H$58,7), VLOOKUP(0,setup!$A$8:$H$58,2),VLOOKUP(0,setup!$A$8:$H$58,5),VLOOKUP(N79,setup!$A$8:$H$58,8))</f>
        <v>#VALUE!</v>
      </c>
    </row>
    <row r="80" spans="1:15" x14ac:dyDescent="0.25">
      <c r="A80" s="4" t="s">
        <v>522</v>
      </c>
      <c r="N80">
        <f t="shared" si="1"/>
        <v>32</v>
      </c>
      <c r="O80" s="18" t="e">
        <f>getCodigoBackend(N80,A80,VLOOKUP(N80,setup!$A$8:$H$58,2),VLOOKUP(N80,setup!$A$8:$H$58,3),VLOOKUP(N80,setup!$A$8:$H$58,4),VLOOKUP(N80,setup!$A$8:$H$58,5),VLOOKUP(N80,setup!$A$8:$H$58,6),VLOOKUP(N80,setup!$A$8:$H$58,7), VLOOKUP(0,setup!$A$8:$H$58,2),VLOOKUP(0,setup!$A$8:$H$58,5),VLOOKUP(N80,setup!$A$8:$H$58,8))</f>
        <v>#VALUE!</v>
      </c>
    </row>
    <row r="81" spans="1:15" x14ac:dyDescent="0.25">
      <c r="A81" s="4" t="s">
        <v>522</v>
      </c>
      <c r="N81">
        <f t="shared" si="1"/>
        <v>33</v>
      </c>
      <c r="O81" s="18" t="e">
        <f>getCodigoBackend(N81,A81,VLOOKUP(N81,setup!$A$8:$H$58,2),VLOOKUP(N81,setup!$A$8:$H$58,3),VLOOKUP(N81,setup!$A$8:$H$58,4),VLOOKUP(N81,setup!$A$8:$H$58,5),VLOOKUP(N81,setup!$A$8:$H$58,6),VLOOKUP(N81,setup!$A$8:$H$58,7), VLOOKUP(0,setup!$A$8:$H$58,2),VLOOKUP(0,setup!$A$8:$H$58,5),VLOOKUP(N81,setup!$A$8:$H$58,8))</f>
        <v>#VALUE!</v>
      </c>
    </row>
    <row r="82" spans="1:15" x14ac:dyDescent="0.25">
      <c r="A82" s="4" t="s">
        <v>522</v>
      </c>
      <c r="N82">
        <f t="shared" si="1"/>
        <v>34</v>
      </c>
      <c r="O82" s="18" t="e">
        <f>getCodigoBackend(N82,A82,VLOOKUP(N82,setup!$A$8:$H$58,2),VLOOKUP(N82,setup!$A$8:$H$58,3),VLOOKUP(N82,setup!$A$8:$H$58,4),VLOOKUP(N82,setup!$A$8:$H$58,5),VLOOKUP(N82,setup!$A$8:$H$58,6),VLOOKUP(N82,setup!$A$8:$H$58,7), VLOOKUP(0,setup!$A$8:$H$58,2),VLOOKUP(0,setup!$A$8:$H$58,5),VLOOKUP(N82,setup!$A$8:$H$58,8))</f>
        <v>#VALUE!</v>
      </c>
    </row>
    <row r="83" spans="1:15" x14ac:dyDescent="0.25">
      <c r="A83" s="4" t="s">
        <v>522</v>
      </c>
      <c r="N83">
        <f t="shared" si="1"/>
        <v>35</v>
      </c>
      <c r="O83" s="18" t="e">
        <f>getCodigoBackend(N83,A83,VLOOKUP(N83,setup!$A$8:$H$58,2),VLOOKUP(N83,setup!$A$8:$H$58,3),VLOOKUP(N83,setup!$A$8:$H$58,4),VLOOKUP(N83,setup!$A$8:$H$58,5),VLOOKUP(N83,setup!$A$8:$H$58,6),VLOOKUP(N83,setup!$A$8:$H$58,7), VLOOKUP(0,setup!$A$8:$H$58,2),VLOOKUP(0,setup!$A$8:$H$58,5),VLOOKUP(N83,setup!$A$8:$H$58,8))</f>
        <v>#VALUE!</v>
      </c>
    </row>
    <row r="84" spans="1:15" x14ac:dyDescent="0.25">
      <c r="A84" s="4" t="s">
        <v>522</v>
      </c>
      <c r="N84">
        <f t="shared" si="1"/>
        <v>36</v>
      </c>
      <c r="O84" s="18" t="e">
        <f>getCodigoBackend(N84,A84,VLOOKUP(N84,setup!$A$8:$H$58,2),VLOOKUP(N84,setup!$A$8:$H$58,3),VLOOKUP(N84,setup!$A$8:$H$58,4),VLOOKUP(N84,setup!$A$8:$H$58,5),VLOOKUP(N84,setup!$A$8:$H$58,6),VLOOKUP(N84,setup!$A$8:$H$58,7), VLOOKUP(0,setup!$A$8:$H$58,2),VLOOKUP(0,setup!$A$8:$H$58,5),VLOOKUP(N84,setup!$A$8:$H$58,8))</f>
        <v>#VALUE!</v>
      </c>
    </row>
    <row r="85" spans="1:15" x14ac:dyDescent="0.25">
      <c r="A85" s="4" t="s">
        <v>522</v>
      </c>
      <c r="N85">
        <f t="shared" si="1"/>
        <v>37</v>
      </c>
      <c r="O85" s="18" t="e">
        <f>getCodigoBackend(N85,A85,VLOOKUP(N85,setup!$A$8:$H$58,2),VLOOKUP(N85,setup!$A$8:$H$58,3),VLOOKUP(N85,setup!$A$8:$H$58,4),VLOOKUP(N85,setup!$A$8:$H$58,5),VLOOKUP(N85,setup!$A$8:$H$58,6),VLOOKUP(N85,setup!$A$8:$H$58,7), VLOOKUP(0,setup!$A$8:$H$58,2),VLOOKUP(0,setup!$A$8:$H$58,5),VLOOKUP(N85,setup!$A$8:$H$58,8))</f>
        <v>#VALUE!</v>
      </c>
    </row>
    <row r="86" spans="1:15" x14ac:dyDescent="0.25">
      <c r="A86" s="4" t="s">
        <v>522</v>
      </c>
      <c r="N86">
        <f t="shared" si="1"/>
        <v>38</v>
      </c>
      <c r="O86" s="18" t="e">
        <f>getCodigoBackend(N86,A86,VLOOKUP(N86,setup!$A$8:$H$58,2),VLOOKUP(N86,setup!$A$8:$H$58,3),VLOOKUP(N86,setup!$A$8:$H$58,4),VLOOKUP(N86,setup!$A$8:$H$58,5),VLOOKUP(N86,setup!$A$8:$H$58,6),VLOOKUP(N86,setup!$A$8:$H$58,7), VLOOKUP(0,setup!$A$8:$H$58,2),VLOOKUP(0,setup!$A$8:$H$58,5),VLOOKUP(N86,setup!$A$8:$H$58,8))</f>
        <v>#VALUE!</v>
      </c>
    </row>
    <row r="87" spans="1:15" x14ac:dyDescent="0.25">
      <c r="A87" s="4" t="s">
        <v>522</v>
      </c>
      <c r="N87">
        <f t="shared" si="1"/>
        <v>39</v>
      </c>
      <c r="O87" s="18" t="e">
        <f>getCodigoBackend(N87,A87,VLOOKUP(N87,setup!$A$8:$H$58,2),VLOOKUP(N87,setup!$A$8:$H$58,3),VLOOKUP(N87,setup!$A$8:$H$58,4),VLOOKUP(N87,setup!$A$8:$H$58,5),VLOOKUP(N87,setup!$A$8:$H$58,6),VLOOKUP(N87,setup!$A$8:$H$58,7), VLOOKUP(0,setup!$A$8:$H$58,2),VLOOKUP(0,setup!$A$8:$H$58,5),VLOOKUP(N87,setup!$A$8:$H$58,8))</f>
        <v>#VALUE!</v>
      </c>
    </row>
    <row r="88" spans="1:15" x14ac:dyDescent="0.25">
      <c r="A88" s="4" t="s">
        <v>522</v>
      </c>
      <c r="N88">
        <f t="shared" si="1"/>
        <v>40</v>
      </c>
      <c r="O88" s="18" t="e">
        <f>getCodigoBackend(N88,A88,VLOOKUP(N88,setup!$A$8:$H$58,2),VLOOKUP(N88,setup!$A$8:$H$58,3),VLOOKUP(N88,setup!$A$8:$H$58,4),VLOOKUP(N88,setup!$A$8:$H$58,5),VLOOKUP(N88,setup!$A$8:$H$58,6),VLOOKUP(N88,setup!$A$8:$H$58,7), VLOOKUP(0,setup!$A$8:$H$58,2),VLOOKUP(0,setup!$A$8:$H$58,5),VLOOKUP(N88,setup!$A$8:$H$58,8))</f>
        <v>#VALUE!</v>
      </c>
    </row>
    <row r="89" spans="1:15" x14ac:dyDescent="0.25">
      <c r="A89" s="4" t="s">
        <v>522</v>
      </c>
      <c r="N89">
        <f t="shared" si="1"/>
        <v>41</v>
      </c>
      <c r="O89" s="18" t="e">
        <f>getCodigoBackend(N89,A89,VLOOKUP(N89,setup!$A$8:$H$58,2),VLOOKUP(N89,setup!$A$8:$H$58,3),VLOOKUP(N89,setup!$A$8:$H$58,4),VLOOKUP(N89,setup!$A$8:$H$58,5),VLOOKUP(N89,setup!$A$8:$H$58,6),VLOOKUP(N89,setup!$A$8:$H$58,7), VLOOKUP(0,setup!$A$8:$H$58,2),VLOOKUP(0,setup!$A$8:$H$58,5),VLOOKUP(N89,setup!$A$8:$H$58,8))</f>
        <v>#VALUE!</v>
      </c>
    </row>
    <row r="90" spans="1:15" x14ac:dyDescent="0.25">
      <c r="A90" s="4" t="s">
        <v>522</v>
      </c>
      <c r="N90">
        <f t="shared" si="1"/>
        <v>42</v>
      </c>
      <c r="O90" s="18" t="e">
        <f>getCodigoBackend(N90,A90,VLOOKUP(N90,setup!$A$8:$H$58,2),VLOOKUP(N90,setup!$A$8:$H$58,3),VLOOKUP(N90,setup!$A$8:$H$58,4),VLOOKUP(N90,setup!$A$8:$H$58,5),VLOOKUP(N90,setup!$A$8:$H$58,6),VLOOKUP(N90,setup!$A$8:$H$58,7), VLOOKUP(0,setup!$A$8:$H$58,2),VLOOKUP(0,setup!$A$8:$H$58,5),VLOOKUP(N90,setup!$A$8:$H$58,8))</f>
        <v>#VALUE!</v>
      </c>
    </row>
    <row r="91" spans="1:15" x14ac:dyDescent="0.25">
      <c r="A91" s="4" t="s">
        <v>522</v>
      </c>
      <c r="N91">
        <f t="shared" si="1"/>
        <v>43</v>
      </c>
      <c r="O91" s="18" t="e">
        <f>getCodigoBackend(N91,A91,VLOOKUP(N91,setup!$A$8:$H$58,2),VLOOKUP(N91,setup!$A$8:$H$58,3),VLOOKUP(N91,setup!$A$8:$H$58,4),VLOOKUP(N91,setup!$A$8:$H$58,5),VLOOKUP(N91,setup!$A$8:$H$58,6),VLOOKUP(N91,setup!$A$8:$H$58,7), VLOOKUP(0,setup!$A$8:$H$58,2),VLOOKUP(0,setup!$A$8:$H$58,5),VLOOKUP(N91,setup!$A$8:$H$58,8))</f>
        <v>#VALUE!</v>
      </c>
    </row>
    <row r="92" spans="1:15" x14ac:dyDescent="0.25">
      <c r="A92" s="4" t="s">
        <v>522</v>
      </c>
      <c r="N92">
        <f t="shared" ref="N92:N98" si="2">N91+1</f>
        <v>44</v>
      </c>
      <c r="O92" s="18" t="e">
        <f>getCodigoBackend(N92,A92,VLOOKUP(N92,setup!$A$8:$H$58,2),VLOOKUP(N92,setup!$A$8:$H$58,3),VLOOKUP(N92,setup!$A$8:$H$58,4),VLOOKUP(N92,setup!$A$8:$H$58,5),VLOOKUP(N92,setup!$A$8:$H$58,6),VLOOKUP(N92,setup!$A$8:$H$58,7), VLOOKUP(0,setup!$A$8:$H$58,2),VLOOKUP(0,setup!$A$8:$H$58,5),VLOOKUP(N92,setup!$A$8:$H$58,8))</f>
        <v>#VALUE!</v>
      </c>
    </row>
    <row r="93" spans="1:15" x14ac:dyDescent="0.25">
      <c r="A93" s="4" t="s">
        <v>522</v>
      </c>
      <c r="N93">
        <f t="shared" si="2"/>
        <v>45</v>
      </c>
      <c r="O93" s="18" t="e">
        <f>getCodigoBackend(N93,A93,VLOOKUP(N93,setup!$A$8:$H$58,2),VLOOKUP(N93,setup!$A$8:$H$58,3),VLOOKUP(N93,setup!$A$8:$H$58,4),VLOOKUP(N93,setup!$A$8:$H$58,5),VLOOKUP(N93,setup!$A$8:$H$58,6),VLOOKUP(N93,setup!$A$8:$H$58,7), VLOOKUP(0,setup!$A$8:$H$58,2),VLOOKUP(0,setup!$A$8:$H$58,5),VLOOKUP(N93,setup!$A$8:$H$58,8))</f>
        <v>#VALUE!</v>
      </c>
    </row>
    <row r="94" spans="1:15" x14ac:dyDescent="0.25">
      <c r="A94" s="4" t="s">
        <v>522</v>
      </c>
      <c r="N94">
        <f t="shared" si="2"/>
        <v>46</v>
      </c>
      <c r="O94" s="18" t="e">
        <f>getCodigoBackend(N94,A94,VLOOKUP(N94,setup!$A$8:$H$58,2),VLOOKUP(N94,setup!$A$8:$H$58,3),VLOOKUP(N94,setup!$A$8:$H$58,4),VLOOKUP(N94,setup!$A$8:$H$58,5),VLOOKUP(N94,setup!$A$8:$H$58,6),VLOOKUP(N94,setup!$A$8:$H$58,7), VLOOKUP(0,setup!$A$8:$H$58,2),VLOOKUP(0,setup!$A$8:$H$58,5),VLOOKUP(N94,setup!$A$8:$H$58,8))</f>
        <v>#VALUE!</v>
      </c>
    </row>
    <row r="95" spans="1:15" x14ac:dyDescent="0.25">
      <c r="A95" s="4" t="s">
        <v>522</v>
      </c>
      <c r="N95">
        <f t="shared" si="2"/>
        <v>47</v>
      </c>
      <c r="O95" s="18" t="e">
        <f>getCodigoBackend(N95,A95,VLOOKUP(N95,setup!$A$8:$H$58,2),VLOOKUP(N95,setup!$A$8:$H$58,3),VLOOKUP(N95,setup!$A$8:$H$58,4),VLOOKUP(N95,setup!$A$8:$H$58,5),VLOOKUP(N95,setup!$A$8:$H$58,6),VLOOKUP(N95,setup!$A$8:$H$58,7), VLOOKUP(0,setup!$A$8:$H$58,2),VLOOKUP(0,setup!$A$8:$H$58,5),VLOOKUP(N95,setup!$A$8:$H$58,8))</f>
        <v>#VALUE!</v>
      </c>
    </row>
    <row r="96" spans="1:15" x14ac:dyDescent="0.25">
      <c r="A96" s="4" t="s">
        <v>522</v>
      </c>
      <c r="N96">
        <f t="shared" si="2"/>
        <v>48</v>
      </c>
      <c r="O96" s="18" t="str">
        <f ca="1">getCodigoBackend(N96,A96,VLOOKUP(N96,setup!$A$8:$H$58,2),VLOOKUP(N96,setup!$A$8:$H$58,3),VLOOKUP(N96,setup!$A$8:$H$58,4),VLOOKUP(N96,setup!$A$8:$H$58,5),VLOOKUP(N96,setup!$A$8:$H$58,6),VLOOKUP(N96,setup!$A$8:$H$58,7), VLOOKUP(0,setup!$A$8:$H$58,2),VLOOKUP(0,setup!$A$8:$H$58,5),VLOOKUP(N96,setup!$A$8:$H$58,8))</f>
        <v xml:space="preserve">  TextEditingController tecstatus = new TextEditingController();</v>
      </c>
    </row>
    <row r="97" spans="1:15" x14ac:dyDescent="0.25">
      <c r="A97" s="4" t="s">
        <v>522</v>
      </c>
      <c r="N97">
        <f t="shared" si="2"/>
        <v>49</v>
      </c>
      <c r="O97" s="18" t="str">
        <f ca="1">getCodigoBackend(N97,A97,VLOOKUP(N97,setup!$A$8:$H$58,2),VLOOKUP(N97,setup!$A$8:$H$58,3),VLOOKUP(N97,setup!$A$8:$H$58,4),VLOOKUP(N97,setup!$A$8:$H$58,5),VLOOKUP(N97,setup!$A$8:$H$58,6),VLOOKUP(N97,setup!$A$8:$H$58,7), VLOOKUP(0,setup!$A$8:$H$58,2),VLOOKUP(0,setup!$A$8:$H$58,5),VLOOKUP(N97,setup!$A$8:$H$58,8))</f>
        <v xml:space="preserve">  TextEditingController tecdataCadastro = new TextEditingController();</v>
      </c>
    </row>
    <row r="98" spans="1:15" x14ac:dyDescent="0.25">
      <c r="A98" s="4" t="s">
        <v>522</v>
      </c>
      <c r="N98">
        <f t="shared" si="2"/>
        <v>50</v>
      </c>
      <c r="O98" s="18" t="str">
        <f ca="1">getCodigoBackend(N98,A98,VLOOKUP(N98,setup!$A$8:$H$58,2),VLOOKUP(N98,setup!$A$8:$H$58,3),VLOOKUP(N98,setup!$A$8:$H$58,4),VLOOKUP(N98,setup!$A$8:$H$58,5),VLOOKUP(N98,setup!$A$8:$H$58,6),VLOOKUP(N98,setup!$A$8:$H$58,7), VLOOKUP(0,setup!$A$8:$H$58,2),VLOOKUP(0,setup!$A$8:$H$58,5),VLOOKUP(N98,setup!$A$8:$H$58,8))</f>
        <v xml:space="preserve">  TextEditingController tecdataAtualizacao = new TextEditingController();</v>
      </c>
    </row>
    <row r="99" spans="1:15" x14ac:dyDescent="0.25">
      <c r="A99" s="4" t="s">
        <v>535</v>
      </c>
      <c r="O99" s="18" t="str">
        <f ca="1">getCodigoBackend(N99,A99,VLOOKUP(N99,setup!$A$8:$H$58,2),VLOOKUP(N99,setup!$A$8:$H$58,3),VLOOKUP(N99,setup!$A$8:$H$58,4),VLOOKUP(N99,setup!$A$8:$H$58,5),VLOOKUP(N99,setup!$A$8:$H$58,6),VLOOKUP(N99,setup!$A$8:$H$58,7), VLOOKUP(0,setup!$A$8:$H$58,2),VLOOKUP(0,setup!$A$8:$H$58,5),VLOOKUP(N99,setup!$A$8:$H$58,8))</f>
        <v xml:space="preserve">  /*</v>
      </c>
    </row>
    <row r="100" spans="1:15" x14ac:dyDescent="0.25">
      <c r="A100" s="6" t="s">
        <v>479</v>
      </c>
      <c r="O100" s="18" t="str">
        <f ca="1">getCodigoBackend(N100,A100,VLOOKUP(N100,setup!$A$8:$H$58,2),VLOOKUP(N100,setup!$A$8:$H$58,3),VLOOKUP(N100,setup!$A$8:$H$58,4),VLOOKUP(N100,setup!$A$8:$H$58,5),VLOOKUP(N100,setup!$A$8:$H$58,6),VLOOKUP(N100,setup!$A$8:$H$58,7), VLOOKUP(0,setup!$A$8:$H$58,2),VLOOKUP(0,setup!$A$8:$H$58,5),VLOOKUP(N100,setup!$A$8:$H$58,8))</f>
        <v xml:space="preserve">  @override</v>
      </c>
    </row>
    <row r="101" spans="1:15" x14ac:dyDescent="0.25">
      <c r="A101" s="6" t="s">
        <v>538</v>
      </c>
      <c r="O101" s="18" t="str">
        <f ca="1">getCodigoBackend(N101,A101,VLOOKUP(N101,setup!$A$8:$H$58,2),VLOOKUP(N101,setup!$A$8:$H$58,3),VLOOKUP(N101,setup!$A$8:$H$58,4),VLOOKUP(N101,setup!$A$8:$H$58,5),VLOOKUP(N101,setup!$A$8:$H$58,6),VLOOKUP(N101,setup!$A$8:$H$58,7), VLOOKUP(0,setup!$A$8:$H$58,2),VLOOKUP(0,setup!$A$8:$H$58,5),VLOOKUP(N101,setup!$A$8:$H$58,8))</f>
        <v xml:space="preserve">  @deprecated</v>
      </c>
    </row>
    <row r="102" spans="1:15" x14ac:dyDescent="0.25">
      <c r="A102" s="6" t="s">
        <v>483</v>
      </c>
      <c r="O102" s="18" t="str">
        <f ca="1">getCodigoBackend(N102,A102,VLOOKUP(N102,setup!$A$8:$H$58,2),VLOOKUP(N102,setup!$A$8:$H$58,3),VLOOKUP(N102,setup!$A$8:$H$58,4),VLOOKUP(N102,setup!$A$8:$H$58,5),VLOOKUP(N102,setup!$A$8:$H$58,6),VLOOKUP(N102,setup!$A$8:$H$58,7), VLOOKUP(0,setup!$A$8:$H$58,2),VLOOKUP(0,setup!$A$8:$H$58,5),VLOOKUP(N102,setup!$A$8:$H$58,8))</f>
        <v xml:space="preserve">  void initState(){</v>
      </c>
    </row>
    <row r="103" spans="1:15" x14ac:dyDescent="0.25">
      <c r="A103" s="6" t="s">
        <v>484</v>
      </c>
      <c r="O103" s="18" t="str">
        <f ca="1">getCodigoBackend(N103,A103,VLOOKUP(N103,setup!$A$8:$H$58,2),VLOOKUP(N103,setup!$A$8:$H$58,3),VLOOKUP(N103,setup!$A$8:$H$58,4),VLOOKUP(N103,setup!$A$8:$H$58,5),VLOOKUP(N103,setup!$A$8:$H$58,6),VLOOKUP(N103,setup!$A$8:$H$58,7), VLOOKUP(0,setup!$A$8:$H$58,2),VLOOKUP(0,setup!$A$8:$H$58,5),VLOOKUP(N103,setup!$A$8:$H$58,8))</f>
        <v xml:space="preserve">    _token = CacheSession().getSession()['tokenid'];</v>
      </c>
    </row>
    <row r="104" spans="1:15" x14ac:dyDescent="0.25">
      <c r="A104" s="6" t="s">
        <v>485</v>
      </c>
      <c r="O104" s="18" t="str">
        <f ca="1">getCodigoBackend(N104,A104,VLOOKUP(N104,setup!$A$8:$H$58,2),VLOOKUP(N104,setup!$A$8:$H$58,3),VLOOKUP(N104,setup!$A$8:$H$58,4),VLOOKUP(N104,setup!$A$8:$H$58,5),VLOOKUP(N104,setup!$A$8:$H$58,6),VLOOKUP(N104,setup!$A$8:$H$58,7), VLOOKUP(0,setup!$A$8:$H$58,2),VLOOKUP(0,setup!$A$8:$H$58,5),VLOOKUP(N104,setup!$A$8:$H$58,8))</f>
        <v xml:space="preserve">    _urlControlador = CacheSession().getSession()['urlControlador'];</v>
      </c>
    </row>
    <row r="105" spans="1:15" x14ac:dyDescent="0.25">
      <c r="A105" s="6" t="s">
        <v>523</v>
      </c>
      <c r="N105">
        <v>0</v>
      </c>
      <c r="O105" s="18" t="str">
        <f ca="1">getCodigoBackend(N105,A105,VLOOKUP(N105,setup!$A$8:$H$58,2),VLOOKUP(N105,setup!$A$8:$H$58,3),VLOOKUP(N105,setup!$A$8:$H$58,4),VLOOKUP(N105,setup!$A$8:$H$58,5),VLOOKUP(N105,setup!$A$8:$H$58,6),VLOOKUP(N105,setup!$A$8:$H$58,7), VLOOKUP(0,setup!$A$8:$H$58,2),VLOOKUP(0,setup!$A$8:$H$58,5),VLOOKUP(N105,setup!$A$8:$H$58,8))</f>
        <v xml:space="preserve">    tecid.text = widget.campanhacashbackresgatepix_full['id'];</v>
      </c>
    </row>
    <row r="106" spans="1:15" x14ac:dyDescent="0.25">
      <c r="A106" s="6" t="s">
        <v>523</v>
      </c>
      <c r="N106">
        <f>N105+1</f>
        <v>1</v>
      </c>
      <c r="O106" s="18" t="str">
        <f ca="1">getCodigoBackend(N106,A106,VLOOKUP(N106,setup!$A$8:$H$58,2),VLOOKUP(N106,setup!$A$8:$H$58,3),VLOOKUP(N106,setup!$A$8:$H$58,4),VLOOKUP(N106,setup!$A$8:$H$58,5),VLOOKUP(N106,setup!$A$8:$H$58,6),VLOOKUP(N106,setup!$A$8:$H$58,7), VLOOKUP(0,setup!$A$8:$H$58,2),VLOOKUP(0,setup!$A$8:$H$58,5),VLOOKUP(N106,setup!$A$8:$H$58,8))</f>
        <v xml:space="preserve">    tecidCampanhaCashback.text = widget.campanhacashbackresgatepix_full['idCampanhaCashback'];</v>
      </c>
    </row>
    <row r="107" spans="1:15" x14ac:dyDescent="0.25">
      <c r="A107" s="6" t="s">
        <v>523</v>
      </c>
      <c r="N107">
        <f t="shared" ref="N107:N142" si="3">N106+1</f>
        <v>2</v>
      </c>
      <c r="O107" s="18" t="str">
        <f ca="1">getCodigoBackend(N107,A107,VLOOKUP(N107,setup!$A$8:$H$58,2),VLOOKUP(N107,setup!$A$8:$H$58,3),VLOOKUP(N107,setup!$A$8:$H$58,4),VLOOKUP(N107,setup!$A$8:$H$58,5),VLOOKUP(N107,setup!$A$8:$H$58,6),VLOOKUP(N107,setup!$A$8:$H$58,7), VLOOKUP(0,setup!$A$8:$H$58,2),VLOOKUP(0,setup!$A$8:$H$58,5),VLOOKUP(N107,setup!$A$8:$H$58,8))</f>
        <v xml:space="preserve">    tecidUsuarioSolicitante.text = widget.campanhacashbackresgatepix_full['idUsuarioSolicitante'];</v>
      </c>
    </row>
    <row r="108" spans="1:15" x14ac:dyDescent="0.25">
      <c r="A108" s="6" t="s">
        <v>523</v>
      </c>
      <c r="N108">
        <f t="shared" si="3"/>
        <v>3</v>
      </c>
      <c r="O108" s="18" t="str">
        <f ca="1">getCodigoBackend(N108,A108,VLOOKUP(N108,setup!$A$8:$H$58,2),VLOOKUP(N108,setup!$A$8:$H$58,3),VLOOKUP(N108,setup!$A$8:$H$58,4),VLOOKUP(N108,setup!$A$8:$H$58,5),VLOOKUP(N108,setup!$A$8:$H$58,6),VLOOKUP(N108,setup!$A$8:$H$58,7), VLOOKUP(0,setup!$A$8:$H$58,2),VLOOKUP(0,setup!$A$8:$H$58,5),VLOOKUP(N108,setup!$A$8:$H$58,8))</f>
        <v xml:space="preserve">    tectipoChavePix.text = widget.campanhacashbackresgatepix_full['tipoChavePix'];</v>
      </c>
    </row>
    <row r="109" spans="1:15" x14ac:dyDescent="0.25">
      <c r="A109" s="6" t="s">
        <v>523</v>
      </c>
      <c r="N109">
        <f t="shared" si="3"/>
        <v>4</v>
      </c>
      <c r="O109" s="18" t="str">
        <f ca="1">getCodigoBackend(N109,A109,VLOOKUP(N109,setup!$A$8:$H$58,2),VLOOKUP(N109,setup!$A$8:$H$58,3),VLOOKUP(N109,setup!$A$8:$H$58,4),VLOOKUP(N109,setup!$A$8:$H$58,5),VLOOKUP(N109,setup!$A$8:$H$58,6),VLOOKUP(N109,setup!$A$8:$H$58,7), VLOOKUP(0,setup!$A$8:$H$58,2),VLOOKUP(0,setup!$A$8:$H$58,5),VLOOKUP(N109,setup!$A$8:$H$58,8))</f>
        <v xml:space="preserve">    tecchavePix.text = widget.campanhacashbackresgatepix_full['chavePix'];</v>
      </c>
    </row>
    <row r="110" spans="1:15" x14ac:dyDescent="0.25">
      <c r="A110" s="6" t="s">
        <v>523</v>
      </c>
      <c r="N110">
        <f t="shared" si="3"/>
        <v>5</v>
      </c>
      <c r="O110" s="18" t="str">
        <f ca="1">getCodigoBackend(N110,A110,VLOOKUP(N110,setup!$A$8:$H$58,2),VLOOKUP(N110,setup!$A$8:$H$58,3),VLOOKUP(N110,setup!$A$8:$H$58,4),VLOOKUP(N110,setup!$A$8:$H$58,5),VLOOKUP(N110,setup!$A$8:$H$58,6),VLOOKUP(N110,setup!$A$8:$H$58,7), VLOOKUP(0,setup!$A$8:$H$58,2),VLOOKUP(0,setup!$A$8:$H$58,5),VLOOKUP(N110,setup!$A$8:$H$58,8))</f>
        <v xml:space="preserve">    tecvalorResgate.text = widget.campanhacashbackresgatepix_full['valorResgate'];</v>
      </c>
    </row>
    <row r="111" spans="1:15" x14ac:dyDescent="0.25">
      <c r="A111" s="6" t="s">
        <v>523</v>
      </c>
      <c r="N111">
        <f t="shared" si="3"/>
        <v>6</v>
      </c>
      <c r="O111" s="18" t="str">
        <f ca="1">getCodigoBackend(N111,A111,VLOOKUP(N111,setup!$A$8:$H$58,2),VLOOKUP(N111,setup!$A$8:$H$58,3),VLOOKUP(N111,setup!$A$8:$H$58,4),VLOOKUP(N111,setup!$A$8:$H$58,5),VLOOKUP(N111,setup!$A$8:$H$58,6),VLOOKUP(N111,setup!$A$8:$H$58,7), VLOOKUP(0,setup!$A$8:$H$58,2),VLOOKUP(0,setup!$A$8:$H$58,5),VLOOKUP(N111,setup!$A$8:$H$58,8))</f>
        <v xml:space="preserve">    tecautenticacaoBco.text = widget.campanhacashbackresgatepix_full['autenticacaoBco'];</v>
      </c>
    </row>
    <row r="112" spans="1:15" x14ac:dyDescent="0.25">
      <c r="A112" s="6" t="s">
        <v>523</v>
      </c>
      <c r="N112">
        <f t="shared" si="3"/>
        <v>7</v>
      </c>
      <c r="O112" s="18" t="str">
        <f ca="1">getCodigoBackend(N112,A112,VLOOKUP(N112,setup!$A$8:$H$58,2),VLOOKUP(N112,setup!$A$8:$H$58,3),VLOOKUP(N112,setup!$A$8:$H$58,4),VLOOKUP(N112,setup!$A$8:$H$58,5),VLOOKUP(N112,setup!$A$8:$H$58,6),VLOOKUP(N112,setup!$A$8:$H$58,7), VLOOKUP(0,setup!$A$8:$H$58,2),VLOOKUP(0,setup!$A$8:$H$58,5),VLOOKUP(N112,setup!$A$8:$H$58,8))</f>
        <v xml:space="preserve">    tecestagioRealTime.text = widget.campanhacashbackresgatepix_full['estagioRealTime'];</v>
      </c>
    </row>
    <row r="113" spans="1:15" x14ac:dyDescent="0.25">
      <c r="A113" s="6" t="s">
        <v>523</v>
      </c>
      <c r="N113">
        <f t="shared" si="3"/>
        <v>8</v>
      </c>
      <c r="O113" s="18" t="str">
        <f ca="1">getCodigoBackend(N113,A113,VLOOKUP(N113,setup!$A$8:$H$58,2),VLOOKUP(N113,setup!$A$8:$H$58,3),VLOOKUP(N113,setup!$A$8:$H$58,4),VLOOKUP(N113,setup!$A$8:$H$58,5),VLOOKUP(N113,setup!$A$8:$H$58,6),VLOOKUP(N113,setup!$A$8:$H$58,7), VLOOKUP(0,setup!$A$8:$H$58,2),VLOOKUP(0,setup!$A$8:$H$58,5),VLOOKUP(N113,setup!$A$8:$H$58,8))</f>
        <v xml:space="preserve">    tecdtEstagioAnalise.text = widget.campanhacashbackresgatepix_full['dtEstagioAnalise'];</v>
      </c>
    </row>
    <row r="114" spans="1:15" x14ac:dyDescent="0.25">
      <c r="A114" s="6" t="s">
        <v>523</v>
      </c>
      <c r="N114">
        <f t="shared" si="3"/>
        <v>9</v>
      </c>
      <c r="O114" s="18" t="str">
        <f ca="1">getCodigoBackend(N114,A114,VLOOKUP(N114,setup!$A$8:$H$58,2),VLOOKUP(N114,setup!$A$8:$H$58,3),VLOOKUP(N114,setup!$A$8:$H$58,4),VLOOKUP(N114,setup!$A$8:$H$58,5),VLOOKUP(N114,setup!$A$8:$H$58,6),VLOOKUP(N114,setup!$A$8:$H$58,7), VLOOKUP(0,setup!$A$8:$H$58,2),VLOOKUP(0,setup!$A$8:$H$58,5),VLOOKUP(N114,setup!$A$8:$H$58,8))</f>
        <v xml:space="preserve">    tecdtEstagioFinanceiro.text = widget.campanhacashbackresgatepix_full['dtEstagioFinanceiro'];</v>
      </c>
    </row>
    <row r="115" spans="1:15" x14ac:dyDescent="0.25">
      <c r="A115" s="6" t="s">
        <v>523</v>
      </c>
      <c r="N115">
        <f t="shared" si="3"/>
        <v>10</v>
      </c>
      <c r="O115" s="18" t="str">
        <f ca="1">getCodigoBackend(N115,A115,VLOOKUP(N115,setup!$A$8:$H$58,2),VLOOKUP(N115,setup!$A$8:$H$58,3),VLOOKUP(N115,setup!$A$8:$H$58,4),VLOOKUP(N115,setup!$A$8:$H$58,5),VLOOKUP(N115,setup!$A$8:$H$58,6),VLOOKUP(N115,setup!$A$8:$H$58,7), VLOOKUP(0,setup!$A$8:$H$58,2),VLOOKUP(0,setup!$A$8:$H$58,5),VLOOKUP(N115,setup!$A$8:$H$58,8))</f>
        <v xml:space="preserve">    tecdtEstagioErro.text = widget.campanhacashbackresgatepix_full['dtEstagioErro'];</v>
      </c>
    </row>
    <row r="116" spans="1:15" x14ac:dyDescent="0.25">
      <c r="A116" s="6" t="s">
        <v>523</v>
      </c>
      <c r="N116">
        <f t="shared" si="3"/>
        <v>11</v>
      </c>
      <c r="O116" s="18" t="str">
        <f ca="1">getCodigoBackend(N116,A116,VLOOKUP(N116,setup!$A$8:$H$58,2),VLOOKUP(N116,setup!$A$8:$H$58,3),VLOOKUP(N116,setup!$A$8:$H$58,4),VLOOKUP(N116,setup!$A$8:$H$58,5),VLOOKUP(N116,setup!$A$8:$H$58,6),VLOOKUP(N116,setup!$A$8:$H$58,7), VLOOKUP(0,setup!$A$8:$H$58,2),VLOOKUP(0,setup!$A$8:$H$58,5),VLOOKUP(N116,setup!$A$8:$H$58,8))</f>
        <v xml:space="preserve">    tecdtEstagioTranfBco.text = widget.campanhacashbackresgatepix_full['dtEstagioTranfBco'];</v>
      </c>
    </row>
    <row r="117" spans="1:15" x14ac:dyDescent="0.25">
      <c r="A117" s="6" t="s">
        <v>523</v>
      </c>
      <c r="N117">
        <f t="shared" si="3"/>
        <v>12</v>
      </c>
      <c r="O117" s="18" t="str">
        <f ca="1">getCodigoBackend(N117,A117,VLOOKUP(N117,setup!$A$8:$H$58,2),VLOOKUP(N117,setup!$A$8:$H$58,3),VLOOKUP(N117,setup!$A$8:$H$58,4),VLOOKUP(N117,setup!$A$8:$H$58,5),VLOOKUP(N117,setup!$A$8:$H$58,6),VLOOKUP(N117,setup!$A$8:$H$58,7), VLOOKUP(0,setup!$A$8:$H$58,2),VLOOKUP(0,setup!$A$8:$H$58,5),VLOOKUP(N117,setup!$A$8:$H$58,8))</f>
        <v xml:space="preserve">    tectxtLivreEstagioRT.text = widget.campanhacashbackresgatepix_full['txtLivreEstagioRT'];</v>
      </c>
    </row>
    <row r="118" spans="1:15" x14ac:dyDescent="0.25">
      <c r="A118" s="6" t="s">
        <v>523</v>
      </c>
      <c r="N118">
        <f t="shared" si="3"/>
        <v>13</v>
      </c>
      <c r="O118" s="18" t="e">
        <f>getCodigoBackend(N118,A118,VLOOKUP(N118,setup!$A$8:$H$58,2),VLOOKUP(N118,setup!$A$8:$H$58,3),VLOOKUP(N118,setup!$A$8:$H$58,4),VLOOKUP(N118,setup!$A$8:$H$58,5),VLOOKUP(N118,setup!$A$8:$H$58,6),VLOOKUP(N118,setup!$A$8:$H$58,7), VLOOKUP(0,setup!$A$8:$H$58,2),VLOOKUP(0,setup!$A$8:$H$58,5),VLOOKUP(N118,setup!$A$8:$H$58,8))</f>
        <v>#VALUE!</v>
      </c>
    </row>
    <row r="119" spans="1:15" x14ac:dyDescent="0.25">
      <c r="A119" s="6" t="s">
        <v>523</v>
      </c>
      <c r="N119">
        <f t="shared" si="3"/>
        <v>14</v>
      </c>
      <c r="O119" s="18" t="e">
        <f>getCodigoBackend(N119,A119,VLOOKUP(N119,setup!$A$8:$H$58,2),VLOOKUP(N119,setup!$A$8:$H$58,3),VLOOKUP(N119,setup!$A$8:$H$58,4),VLOOKUP(N119,setup!$A$8:$H$58,5),VLOOKUP(N119,setup!$A$8:$H$58,6),VLOOKUP(N119,setup!$A$8:$H$58,7), VLOOKUP(0,setup!$A$8:$H$58,2),VLOOKUP(0,setup!$A$8:$H$58,5),VLOOKUP(N119,setup!$A$8:$H$58,8))</f>
        <v>#VALUE!</v>
      </c>
    </row>
    <row r="120" spans="1:15" x14ac:dyDescent="0.25">
      <c r="A120" s="6" t="s">
        <v>523</v>
      </c>
      <c r="N120">
        <f t="shared" si="3"/>
        <v>15</v>
      </c>
      <c r="O120" s="18" t="e">
        <f>getCodigoBackend(N120,A120,VLOOKUP(N120,setup!$A$8:$H$58,2),VLOOKUP(N120,setup!$A$8:$H$58,3),VLOOKUP(N120,setup!$A$8:$H$58,4),VLOOKUP(N120,setup!$A$8:$H$58,5),VLOOKUP(N120,setup!$A$8:$H$58,6),VLOOKUP(N120,setup!$A$8:$H$58,7), VLOOKUP(0,setup!$A$8:$H$58,2),VLOOKUP(0,setup!$A$8:$H$58,5),VLOOKUP(N120,setup!$A$8:$H$58,8))</f>
        <v>#VALUE!</v>
      </c>
    </row>
    <row r="121" spans="1:15" x14ac:dyDescent="0.25">
      <c r="A121" s="6" t="s">
        <v>523</v>
      </c>
      <c r="N121">
        <f t="shared" si="3"/>
        <v>16</v>
      </c>
      <c r="O121" s="18" t="e">
        <f>getCodigoBackend(N121,A121,VLOOKUP(N121,setup!$A$8:$H$58,2),VLOOKUP(N121,setup!$A$8:$H$58,3),VLOOKUP(N121,setup!$A$8:$H$58,4),VLOOKUP(N121,setup!$A$8:$H$58,5),VLOOKUP(N121,setup!$A$8:$H$58,6),VLOOKUP(N121,setup!$A$8:$H$58,7), VLOOKUP(0,setup!$A$8:$H$58,2),VLOOKUP(0,setup!$A$8:$H$58,5),VLOOKUP(N121,setup!$A$8:$H$58,8))</f>
        <v>#VALUE!</v>
      </c>
    </row>
    <row r="122" spans="1:15" x14ac:dyDescent="0.25">
      <c r="A122" s="6" t="s">
        <v>523</v>
      </c>
      <c r="N122">
        <f t="shared" si="3"/>
        <v>17</v>
      </c>
      <c r="O122" s="18" t="e">
        <f>getCodigoBackend(N122,A122,VLOOKUP(N122,setup!$A$8:$H$58,2),VLOOKUP(N122,setup!$A$8:$H$58,3),VLOOKUP(N122,setup!$A$8:$H$58,4),VLOOKUP(N122,setup!$A$8:$H$58,5),VLOOKUP(N122,setup!$A$8:$H$58,6),VLOOKUP(N122,setup!$A$8:$H$58,7), VLOOKUP(0,setup!$A$8:$H$58,2),VLOOKUP(0,setup!$A$8:$H$58,5),VLOOKUP(N122,setup!$A$8:$H$58,8))</f>
        <v>#VALUE!</v>
      </c>
    </row>
    <row r="123" spans="1:15" x14ac:dyDescent="0.25">
      <c r="A123" s="6" t="s">
        <v>523</v>
      </c>
      <c r="N123">
        <f t="shared" si="3"/>
        <v>18</v>
      </c>
      <c r="O123" s="18" t="e">
        <f>getCodigoBackend(N123,A123,VLOOKUP(N123,setup!$A$8:$H$58,2),VLOOKUP(N123,setup!$A$8:$H$58,3),VLOOKUP(N123,setup!$A$8:$H$58,4),VLOOKUP(N123,setup!$A$8:$H$58,5),VLOOKUP(N123,setup!$A$8:$H$58,6),VLOOKUP(N123,setup!$A$8:$H$58,7), VLOOKUP(0,setup!$A$8:$H$58,2),VLOOKUP(0,setup!$A$8:$H$58,5),VLOOKUP(N123,setup!$A$8:$H$58,8))</f>
        <v>#VALUE!</v>
      </c>
    </row>
    <row r="124" spans="1:15" x14ac:dyDescent="0.25">
      <c r="A124" s="6" t="s">
        <v>523</v>
      </c>
      <c r="N124">
        <f t="shared" si="3"/>
        <v>19</v>
      </c>
      <c r="O124" s="18" t="e">
        <f>getCodigoBackend(N124,A124,VLOOKUP(N124,setup!$A$8:$H$58,2),VLOOKUP(N124,setup!$A$8:$H$58,3),VLOOKUP(N124,setup!$A$8:$H$58,4),VLOOKUP(N124,setup!$A$8:$H$58,5),VLOOKUP(N124,setup!$A$8:$H$58,6),VLOOKUP(N124,setup!$A$8:$H$58,7), VLOOKUP(0,setup!$A$8:$H$58,2),VLOOKUP(0,setup!$A$8:$H$58,5),VLOOKUP(N124,setup!$A$8:$H$58,8))</f>
        <v>#VALUE!</v>
      </c>
    </row>
    <row r="125" spans="1:15" x14ac:dyDescent="0.25">
      <c r="A125" s="6" t="s">
        <v>523</v>
      </c>
      <c r="N125">
        <f t="shared" si="3"/>
        <v>20</v>
      </c>
      <c r="O125" s="18" t="e">
        <f>getCodigoBackend(N125,A125,VLOOKUP(N125,setup!$A$8:$H$58,2),VLOOKUP(N125,setup!$A$8:$H$58,3),VLOOKUP(N125,setup!$A$8:$H$58,4),VLOOKUP(N125,setup!$A$8:$H$58,5),VLOOKUP(N125,setup!$A$8:$H$58,6),VLOOKUP(N125,setup!$A$8:$H$58,7), VLOOKUP(0,setup!$A$8:$H$58,2),VLOOKUP(0,setup!$A$8:$H$58,5),VLOOKUP(N125,setup!$A$8:$H$58,8))</f>
        <v>#VALUE!</v>
      </c>
    </row>
    <row r="126" spans="1:15" x14ac:dyDescent="0.25">
      <c r="A126" s="6" t="s">
        <v>523</v>
      </c>
      <c r="N126">
        <f t="shared" si="3"/>
        <v>21</v>
      </c>
      <c r="O126" s="18" t="e">
        <f>getCodigoBackend(N126,A126,VLOOKUP(N126,setup!$A$8:$H$58,2),VLOOKUP(N126,setup!$A$8:$H$58,3),VLOOKUP(N126,setup!$A$8:$H$58,4),VLOOKUP(N126,setup!$A$8:$H$58,5),VLOOKUP(N126,setup!$A$8:$H$58,6),VLOOKUP(N126,setup!$A$8:$H$58,7), VLOOKUP(0,setup!$A$8:$H$58,2),VLOOKUP(0,setup!$A$8:$H$58,5),VLOOKUP(N126,setup!$A$8:$H$58,8))</f>
        <v>#VALUE!</v>
      </c>
    </row>
    <row r="127" spans="1:15" x14ac:dyDescent="0.25">
      <c r="A127" s="6" t="s">
        <v>523</v>
      </c>
      <c r="N127">
        <f t="shared" si="3"/>
        <v>22</v>
      </c>
      <c r="O127" s="18" t="e">
        <f>getCodigoBackend(N127,A127,VLOOKUP(N127,setup!$A$8:$H$58,2),VLOOKUP(N127,setup!$A$8:$H$58,3),VLOOKUP(N127,setup!$A$8:$H$58,4),VLOOKUP(N127,setup!$A$8:$H$58,5),VLOOKUP(N127,setup!$A$8:$H$58,6),VLOOKUP(N127,setup!$A$8:$H$58,7), VLOOKUP(0,setup!$A$8:$H$58,2),VLOOKUP(0,setup!$A$8:$H$58,5),VLOOKUP(N127,setup!$A$8:$H$58,8))</f>
        <v>#VALUE!</v>
      </c>
    </row>
    <row r="128" spans="1:15" x14ac:dyDescent="0.25">
      <c r="A128" s="6" t="s">
        <v>523</v>
      </c>
      <c r="N128">
        <f t="shared" si="3"/>
        <v>23</v>
      </c>
      <c r="O128" s="18" t="e">
        <f>getCodigoBackend(N128,A128,VLOOKUP(N128,setup!$A$8:$H$58,2),VLOOKUP(N128,setup!$A$8:$H$58,3),VLOOKUP(N128,setup!$A$8:$H$58,4),VLOOKUP(N128,setup!$A$8:$H$58,5),VLOOKUP(N128,setup!$A$8:$H$58,6),VLOOKUP(N128,setup!$A$8:$H$58,7), VLOOKUP(0,setup!$A$8:$H$58,2),VLOOKUP(0,setup!$A$8:$H$58,5),VLOOKUP(N128,setup!$A$8:$H$58,8))</f>
        <v>#VALUE!</v>
      </c>
    </row>
    <row r="129" spans="1:15" x14ac:dyDescent="0.25">
      <c r="A129" s="6" t="s">
        <v>523</v>
      </c>
      <c r="N129">
        <f t="shared" si="3"/>
        <v>24</v>
      </c>
      <c r="O129" s="18" t="e">
        <f>getCodigoBackend(N129,A129,VLOOKUP(N129,setup!$A$8:$H$58,2),VLOOKUP(N129,setup!$A$8:$H$58,3),VLOOKUP(N129,setup!$A$8:$H$58,4),VLOOKUP(N129,setup!$A$8:$H$58,5),VLOOKUP(N129,setup!$A$8:$H$58,6),VLOOKUP(N129,setup!$A$8:$H$58,7), VLOOKUP(0,setup!$A$8:$H$58,2),VLOOKUP(0,setup!$A$8:$H$58,5),VLOOKUP(N129,setup!$A$8:$H$58,8))</f>
        <v>#VALUE!</v>
      </c>
    </row>
    <row r="130" spans="1:15" x14ac:dyDescent="0.25">
      <c r="A130" s="6" t="s">
        <v>523</v>
      </c>
      <c r="N130">
        <f t="shared" si="3"/>
        <v>25</v>
      </c>
      <c r="O130" s="18" t="e">
        <f>getCodigoBackend(N130,A130,VLOOKUP(N130,setup!$A$8:$H$58,2),VLOOKUP(N130,setup!$A$8:$H$58,3),VLOOKUP(N130,setup!$A$8:$H$58,4),VLOOKUP(N130,setup!$A$8:$H$58,5),VLOOKUP(N130,setup!$A$8:$H$58,6),VLOOKUP(N130,setup!$A$8:$H$58,7), VLOOKUP(0,setup!$A$8:$H$58,2),VLOOKUP(0,setup!$A$8:$H$58,5),VLOOKUP(N130,setup!$A$8:$H$58,8))</f>
        <v>#VALUE!</v>
      </c>
    </row>
    <row r="131" spans="1:15" x14ac:dyDescent="0.25">
      <c r="A131" s="6" t="s">
        <v>523</v>
      </c>
      <c r="N131">
        <f t="shared" si="3"/>
        <v>26</v>
      </c>
      <c r="O131" s="18" t="e">
        <f>getCodigoBackend(N131,A131,VLOOKUP(N131,setup!$A$8:$H$58,2),VLOOKUP(N131,setup!$A$8:$H$58,3),VLOOKUP(N131,setup!$A$8:$H$58,4),VLOOKUP(N131,setup!$A$8:$H$58,5),VLOOKUP(N131,setup!$A$8:$H$58,6),VLOOKUP(N131,setup!$A$8:$H$58,7), VLOOKUP(0,setup!$A$8:$H$58,2),VLOOKUP(0,setup!$A$8:$H$58,5),VLOOKUP(N131,setup!$A$8:$H$58,8))</f>
        <v>#VALUE!</v>
      </c>
    </row>
    <row r="132" spans="1:15" x14ac:dyDescent="0.25">
      <c r="A132" s="6" t="s">
        <v>523</v>
      </c>
      <c r="N132">
        <f t="shared" si="3"/>
        <v>27</v>
      </c>
      <c r="O132" s="18" t="e">
        <f>getCodigoBackend(N132,A132,VLOOKUP(N132,setup!$A$8:$H$58,2),VLOOKUP(N132,setup!$A$8:$H$58,3),VLOOKUP(N132,setup!$A$8:$H$58,4),VLOOKUP(N132,setup!$A$8:$H$58,5),VLOOKUP(N132,setup!$A$8:$H$58,6),VLOOKUP(N132,setup!$A$8:$H$58,7), VLOOKUP(0,setup!$A$8:$H$58,2),VLOOKUP(0,setup!$A$8:$H$58,5),VLOOKUP(N132,setup!$A$8:$H$58,8))</f>
        <v>#VALUE!</v>
      </c>
    </row>
    <row r="133" spans="1:15" x14ac:dyDescent="0.25">
      <c r="A133" s="6" t="s">
        <v>523</v>
      </c>
      <c r="N133">
        <f t="shared" si="3"/>
        <v>28</v>
      </c>
      <c r="O133" s="18" t="e">
        <f>getCodigoBackend(N133,A133,VLOOKUP(N133,setup!$A$8:$H$58,2),VLOOKUP(N133,setup!$A$8:$H$58,3),VLOOKUP(N133,setup!$A$8:$H$58,4),VLOOKUP(N133,setup!$A$8:$H$58,5),VLOOKUP(N133,setup!$A$8:$H$58,6),VLOOKUP(N133,setup!$A$8:$H$58,7), VLOOKUP(0,setup!$A$8:$H$58,2),VLOOKUP(0,setup!$A$8:$H$58,5),VLOOKUP(N133,setup!$A$8:$H$58,8))</f>
        <v>#VALUE!</v>
      </c>
    </row>
    <row r="134" spans="1:15" x14ac:dyDescent="0.25">
      <c r="A134" s="6" t="s">
        <v>523</v>
      </c>
      <c r="N134">
        <f t="shared" si="3"/>
        <v>29</v>
      </c>
      <c r="O134" s="18" t="e">
        <f>getCodigoBackend(N134,A134,VLOOKUP(N134,setup!$A$8:$H$58,2),VLOOKUP(N134,setup!$A$8:$H$58,3),VLOOKUP(N134,setup!$A$8:$H$58,4),VLOOKUP(N134,setup!$A$8:$H$58,5),VLOOKUP(N134,setup!$A$8:$H$58,6),VLOOKUP(N134,setup!$A$8:$H$58,7), VLOOKUP(0,setup!$A$8:$H$58,2),VLOOKUP(0,setup!$A$8:$H$58,5),VLOOKUP(N134,setup!$A$8:$H$58,8))</f>
        <v>#VALUE!</v>
      </c>
    </row>
    <row r="135" spans="1:15" x14ac:dyDescent="0.25">
      <c r="A135" s="6" t="s">
        <v>523</v>
      </c>
      <c r="N135">
        <f t="shared" si="3"/>
        <v>30</v>
      </c>
      <c r="O135" s="18" t="e">
        <f>getCodigoBackend(N135,A135,VLOOKUP(N135,setup!$A$8:$H$58,2),VLOOKUP(N135,setup!$A$8:$H$58,3),VLOOKUP(N135,setup!$A$8:$H$58,4),VLOOKUP(N135,setup!$A$8:$H$58,5),VLOOKUP(N135,setup!$A$8:$H$58,6),VLOOKUP(N135,setup!$A$8:$H$58,7), VLOOKUP(0,setup!$A$8:$H$58,2),VLOOKUP(0,setup!$A$8:$H$58,5),VLOOKUP(N135,setup!$A$8:$H$58,8))</f>
        <v>#VALUE!</v>
      </c>
    </row>
    <row r="136" spans="1:15" x14ac:dyDescent="0.25">
      <c r="A136" s="6" t="s">
        <v>523</v>
      </c>
      <c r="N136">
        <f t="shared" si="3"/>
        <v>31</v>
      </c>
      <c r="O136" s="18" t="e">
        <f>getCodigoBackend(N136,A136,VLOOKUP(N136,setup!$A$8:$H$58,2),VLOOKUP(N136,setup!$A$8:$H$58,3),VLOOKUP(N136,setup!$A$8:$H$58,4),VLOOKUP(N136,setup!$A$8:$H$58,5),VLOOKUP(N136,setup!$A$8:$H$58,6),VLOOKUP(N136,setup!$A$8:$H$58,7), VLOOKUP(0,setup!$A$8:$H$58,2),VLOOKUP(0,setup!$A$8:$H$58,5),VLOOKUP(N136,setup!$A$8:$H$58,8))</f>
        <v>#VALUE!</v>
      </c>
    </row>
    <row r="137" spans="1:15" x14ac:dyDescent="0.25">
      <c r="A137" s="6" t="s">
        <v>523</v>
      </c>
      <c r="N137">
        <f t="shared" si="3"/>
        <v>32</v>
      </c>
      <c r="O137" s="18" t="e">
        <f>getCodigoBackend(N137,A137,VLOOKUP(N137,setup!$A$8:$H$58,2),VLOOKUP(N137,setup!$A$8:$H$58,3),VLOOKUP(N137,setup!$A$8:$H$58,4),VLOOKUP(N137,setup!$A$8:$H$58,5),VLOOKUP(N137,setup!$A$8:$H$58,6),VLOOKUP(N137,setup!$A$8:$H$58,7), VLOOKUP(0,setup!$A$8:$H$58,2),VLOOKUP(0,setup!$A$8:$H$58,5),VLOOKUP(N137,setup!$A$8:$H$58,8))</f>
        <v>#VALUE!</v>
      </c>
    </row>
    <row r="138" spans="1:15" x14ac:dyDescent="0.25">
      <c r="A138" s="6" t="s">
        <v>523</v>
      </c>
      <c r="N138">
        <f t="shared" si="3"/>
        <v>33</v>
      </c>
      <c r="O138" s="18" t="e">
        <f>getCodigoBackend(N138,A138,VLOOKUP(N138,setup!$A$8:$H$58,2),VLOOKUP(N138,setup!$A$8:$H$58,3),VLOOKUP(N138,setup!$A$8:$H$58,4),VLOOKUP(N138,setup!$A$8:$H$58,5),VLOOKUP(N138,setup!$A$8:$H$58,6),VLOOKUP(N138,setup!$A$8:$H$58,7), VLOOKUP(0,setup!$A$8:$H$58,2),VLOOKUP(0,setup!$A$8:$H$58,5),VLOOKUP(N138,setup!$A$8:$H$58,8))</f>
        <v>#VALUE!</v>
      </c>
    </row>
    <row r="139" spans="1:15" x14ac:dyDescent="0.25">
      <c r="A139" s="6" t="s">
        <v>523</v>
      </c>
      <c r="N139">
        <f t="shared" si="3"/>
        <v>34</v>
      </c>
      <c r="O139" s="18" t="e">
        <f>getCodigoBackend(N139,A139,VLOOKUP(N139,setup!$A$8:$H$58,2),VLOOKUP(N139,setup!$A$8:$H$58,3),VLOOKUP(N139,setup!$A$8:$H$58,4),VLOOKUP(N139,setup!$A$8:$H$58,5),VLOOKUP(N139,setup!$A$8:$H$58,6),VLOOKUP(N139,setup!$A$8:$H$58,7), VLOOKUP(0,setup!$A$8:$H$58,2),VLOOKUP(0,setup!$A$8:$H$58,5),VLOOKUP(N139,setup!$A$8:$H$58,8))</f>
        <v>#VALUE!</v>
      </c>
    </row>
    <row r="140" spans="1:15" x14ac:dyDescent="0.25">
      <c r="A140" s="6" t="s">
        <v>523</v>
      </c>
      <c r="N140">
        <f t="shared" si="3"/>
        <v>35</v>
      </c>
      <c r="O140" s="18" t="e">
        <f>getCodigoBackend(N140,A140,VLOOKUP(N140,setup!$A$8:$H$58,2),VLOOKUP(N140,setup!$A$8:$H$58,3),VLOOKUP(N140,setup!$A$8:$H$58,4),VLOOKUP(N140,setup!$A$8:$H$58,5),VLOOKUP(N140,setup!$A$8:$H$58,6),VLOOKUP(N140,setup!$A$8:$H$58,7), VLOOKUP(0,setup!$A$8:$H$58,2),VLOOKUP(0,setup!$A$8:$H$58,5),VLOOKUP(N140,setup!$A$8:$H$58,8))</f>
        <v>#VALUE!</v>
      </c>
    </row>
    <row r="141" spans="1:15" x14ac:dyDescent="0.25">
      <c r="A141" s="6" t="s">
        <v>523</v>
      </c>
      <c r="N141">
        <f t="shared" si="3"/>
        <v>36</v>
      </c>
      <c r="O141" s="18" t="e">
        <f>getCodigoBackend(N141,A141,VLOOKUP(N141,setup!$A$8:$H$58,2),VLOOKUP(N141,setup!$A$8:$H$58,3),VLOOKUP(N141,setup!$A$8:$H$58,4),VLOOKUP(N141,setup!$A$8:$H$58,5),VLOOKUP(N141,setup!$A$8:$H$58,6),VLOOKUP(N141,setup!$A$8:$H$58,7), VLOOKUP(0,setup!$A$8:$H$58,2),VLOOKUP(0,setup!$A$8:$H$58,5),VLOOKUP(N141,setup!$A$8:$H$58,8))</f>
        <v>#VALUE!</v>
      </c>
    </row>
    <row r="142" spans="1:15" x14ac:dyDescent="0.25">
      <c r="A142" s="6" t="s">
        <v>523</v>
      </c>
      <c r="N142">
        <f t="shared" si="3"/>
        <v>37</v>
      </c>
      <c r="O142" s="18" t="e">
        <f>getCodigoBackend(N142,A142,VLOOKUP(N142,setup!$A$8:$H$58,2),VLOOKUP(N142,setup!$A$8:$H$58,3),VLOOKUP(N142,setup!$A$8:$H$58,4),VLOOKUP(N142,setup!$A$8:$H$58,5),VLOOKUP(N142,setup!$A$8:$H$58,6),VLOOKUP(N142,setup!$A$8:$H$58,7), VLOOKUP(0,setup!$A$8:$H$58,2),VLOOKUP(0,setup!$A$8:$H$58,5),VLOOKUP(N142,setup!$A$8:$H$58,8))</f>
        <v>#VALUE!</v>
      </c>
    </row>
    <row r="143" spans="1:15" x14ac:dyDescent="0.25">
      <c r="A143" s="6" t="s">
        <v>523</v>
      </c>
      <c r="N143">
        <f t="shared" ref="N143:N155" si="4">N142+1</f>
        <v>38</v>
      </c>
      <c r="O143" s="18" t="e">
        <f>getCodigoBackend(N143,A143,VLOOKUP(N143,setup!$A$8:$H$58,2),VLOOKUP(N143,setup!$A$8:$H$58,3),VLOOKUP(N143,setup!$A$8:$H$58,4),VLOOKUP(N143,setup!$A$8:$H$58,5),VLOOKUP(N143,setup!$A$8:$H$58,6),VLOOKUP(N143,setup!$A$8:$H$58,7), VLOOKUP(0,setup!$A$8:$H$58,2),VLOOKUP(0,setup!$A$8:$H$58,5),VLOOKUP(N143,setup!$A$8:$H$58,8))</f>
        <v>#VALUE!</v>
      </c>
    </row>
    <row r="144" spans="1:15" x14ac:dyDescent="0.25">
      <c r="A144" s="6" t="s">
        <v>523</v>
      </c>
      <c r="N144">
        <f t="shared" si="4"/>
        <v>39</v>
      </c>
      <c r="O144" s="18" t="e">
        <f>getCodigoBackend(N144,A144,VLOOKUP(N144,setup!$A$8:$H$58,2),VLOOKUP(N144,setup!$A$8:$H$58,3),VLOOKUP(N144,setup!$A$8:$H$58,4),VLOOKUP(N144,setup!$A$8:$H$58,5),VLOOKUP(N144,setup!$A$8:$H$58,6),VLOOKUP(N144,setup!$A$8:$H$58,7), VLOOKUP(0,setup!$A$8:$H$58,2),VLOOKUP(0,setup!$A$8:$H$58,5),VLOOKUP(N144,setup!$A$8:$H$58,8))</f>
        <v>#VALUE!</v>
      </c>
    </row>
    <row r="145" spans="1:15" x14ac:dyDescent="0.25">
      <c r="A145" s="6" t="s">
        <v>523</v>
      </c>
      <c r="N145">
        <f t="shared" si="4"/>
        <v>40</v>
      </c>
      <c r="O145" s="18" t="e">
        <f>getCodigoBackend(N145,A145,VLOOKUP(N145,setup!$A$8:$H$58,2),VLOOKUP(N145,setup!$A$8:$H$58,3),VLOOKUP(N145,setup!$A$8:$H$58,4),VLOOKUP(N145,setup!$A$8:$H$58,5),VLOOKUP(N145,setup!$A$8:$H$58,6),VLOOKUP(N145,setup!$A$8:$H$58,7), VLOOKUP(0,setup!$A$8:$H$58,2),VLOOKUP(0,setup!$A$8:$H$58,5),VLOOKUP(N145,setup!$A$8:$H$58,8))</f>
        <v>#VALUE!</v>
      </c>
    </row>
    <row r="146" spans="1:15" x14ac:dyDescent="0.25">
      <c r="A146" s="6" t="s">
        <v>523</v>
      </c>
      <c r="N146">
        <f t="shared" si="4"/>
        <v>41</v>
      </c>
      <c r="O146" s="18" t="e">
        <f>getCodigoBackend(N146,A146,VLOOKUP(N146,setup!$A$8:$H$58,2),VLOOKUP(N146,setup!$A$8:$H$58,3),VLOOKUP(N146,setup!$A$8:$H$58,4),VLOOKUP(N146,setup!$A$8:$H$58,5),VLOOKUP(N146,setup!$A$8:$H$58,6),VLOOKUP(N146,setup!$A$8:$H$58,7), VLOOKUP(0,setup!$A$8:$H$58,2),VLOOKUP(0,setup!$A$8:$H$58,5),VLOOKUP(N146,setup!$A$8:$H$58,8))</f>
        <v>#VALUE!</v>
      </c>
    </row>
    <row r="147" spans="1:15" x14ac:dyDescent="0.25">
      <c r="A147" s="6" t="s">
        <v>523</v>
      </c>
      <c r="N147">
        <f t="shared" si="4"/>
        <v>42</v>
      </c>
      <c r="O147" s="18" t="e">
        <f>getCodigoBackend(N147,A147,VLOOKUP(N147,setup!$A$8:$H$58,2),VLOOKUP(N147,setup!$A$8:$H$58,3),VLOOKUP(N147,setup!$A$8:$H$58,4),VLOOKUP(N147,setup!$A$8:$H$58,5),VLOOKUP(N147,setup!$A$8:$H$58,6),VLOOKUP(N147,setup!$A$8:$H$58,7), VLOOKUP(0,setup!$A$8:$H$58,2),VLOOKUP(0,setup!$A$8:$H$58,5),VLOOKUP(N147,setup!$A$8:$H$58,8))</f>
        <v>#VALUE!</v>
      </c>
    </row>
    <row r="148" spans="1:15" x14ac:dyDescent="0.25">
      <c r="A148" s="6" t="s">
        <v>523</v>
      </c>
      <c r="N148">
        <f t="shared" si="4"/>
        <v>43</v>
      </c>
      <c r="O148" s="18" t="e">
        <f>getCodigoBackend(N148,A148,VLOOKUP(N148,setup!$A$8:$H$58,2),VLOOKUP(N148,setup!$A$8:$H$58,3),VLOOKUP(N148,setup!$A$8:$H$58,4),VLOOKUP(N148,setup!$A$8:$H$58,5),VLOOKUP(N148,setup!$A$8:$H$58,6),VLOOKUP(N148,setup!$A$8:$H$58,7), VLOOKUP(0,setup!$A$8:$H$58,2),VLOOKUP(0,setup!$A$8:$H$58,5),VLOOKUP(N148,setup!$A$8:$H$58,8))</f>
        <v>#VALUE!</v>
      </c>
    </row>
    <row r="149" spans="1:15" x14ac:dyDescent="0.25">
      <c r="A149" s="6" t="s">
        <v>523</v>
      </c>
      <c r="N149">
        <f t="shared" si="4"/>
        <v>44</v>
      </c>
      <c r="O149" s="18" t="e">
        <f>getCodigoBackend(N149,A149,VLOOKUP(N149,setup!$A$8:$H$58,2),VLOOKUP(N149,setup!$A$8:$H$58,3),VLOOKUP(N149,setup!$A$8:$H$58,4),VLOOKUP(N149,setup!$A$8:$H$58,5),VLOOKUP(N149,setup!$A$8:$H$58,6),VLOOKUP(N149,setup!$A$8:$H$58,7), VLOOKUP(0,setup!$A$8:$H$58,2),VLOOKUP(0,setup!$A$8:$H$58,5),VLOOKUP(N149,setup!$A$8:$H$58,8))</f>
        <v>#VALUE!</v>
      </c>
    </row>
    <row r="150" spans="1:15" x14ac:dyDescent="0.25">
      <c r="A150" s="6" t="s">
        <v>523</v>
      </c>
      <c r="N150">
        <f t="shared" si="4"/>
        <v>45</v>
      </c>
      <c r="O150" s="18" t="e">
        <f>getCodigoBackend(N150,A150,VLOOKUP(N150,setup!$A$8:$H$58,2),VLOOKUP(N150,setup!$A$8:$H$58,3),VLOOKUP(N150,setup!$A$8:$H$58,4),VLOOKUP(N150,setup!$A$8:$H$58,5),VLOOKUP(N150,setup!$A$8:$H$58,6),VLOOKUP(N150,setup!$A$8:$H$58,7), VLOOKUP(0,setup!$A$8:$H$58,2),VLOOKUP(0,setup!$A$8:$H$58,5),VLOOKUP(N150,setup!$A$8:$H$58,8))</f>
        <v>#VALUE!</v>
      </c>
    </row>
    <row r="151" spans="1:15" x14ac:dyDescent="0.25">
      <c r="A151" s="6" t="s">
        <v>523</v>
      </c>
      <c r="N151">
        <f t="shared" si="4"/>
        <v>46</v>
      </c>
      <c r="O151" s="18" t="e">
        <f>getCodigoBackend(N151,A151,VLOOKUP(N151,setup!$A$8:$H$58,2),VLOOKUP(N151,setup!$A$8:$H$58,3),VLOOKUP(N151,setup!$A$8:$H$58,4),VLOOKUP(N151,setup!$A$8:$H$58,5),VLOOKUP(N151,setup!$A$8:$H$58,6),VLOOKUP(N151,setup!$A$8:$H$58,7), VLOOKUP(0,setup!$A$8:$H$58,2),VLOOKUP(0,setup!$A$8:$H$58,5),VLOOKUP(N151,setup!$A$8:$H$58,8))</f>
        <v>#VALUE!</v>
      </c>
    </row>
    <row r="152" spans="1:15" x14ac:dyDescent="0.25">
      <c r="A152" s="6" t="s">
        <v>523</v>
      </c>
      <c r="N152">
        <f t="shared" si="4"/>
        <v>47</v>
      </c>
      <c r="O152" s="18" t="e">
        <f>getCodigoBackend(N152,A152,VLOOKUP(N152,setup!$A$8:$H$58,2),VLOOKUP(N152,setup!$A$8:$H$58,3),VLOOKUP(N152,setup!$A$8:$H$58,4),VLOOKUP(N152,setup!$A$8:$H$58,5),VLOOKUP(N152,setup!$A$8:$H$58,6),VLOOKUP(N152,setup!$A$8:$H$58,7), VLOOKUP(0,setup!$A$8:$H$58,2),VLOOKUP(0,setup!$A$8:$H$58,5),VLOOKUP(N152,setup!$A$8:$H$58,8))</f>
        <v>#VALUE!</v>
      </c>
    </row>
    <row r="153" spans="1:15" x14ac:dyDescent="0.25">
      <c r="A153" s="6" t="s">
        <v>523</v>
      </c>
      <c r="N153">
        <f t="shared" si="4"/>
        <v>48</v>
      </c>
      <c r="O153" s="18" t="str">
        <f ca="1">getCodigoBackend(N153,A153,VLOOKUP(N153,setup!$A$8:$H$58,2),VLOOKUP(N153,setup!$A$8:$H$58,3),VLOOKUP(N153,setup!$A$8:$H$58,4),VLOOKUP(N153,setup!$A$8:$H$58,5),VLOOKUP(N153,setup!$A$8:$H$58,6),VLOOKUP(N153,setup!$A$8:$H$58,7), VLOOKUP(0,setup!$A$8:$H$58,2),VLOOKUP(0,setup!$A$8:$H$58,5),VLOOKUP(N153,setup!$A$8:$H$58,8))</f>
        <v xml:space="preserve">    tecstatus.text = widget.campanhacashbackresgatepix_full['status'];</v>
      </c>
    </row>
    <row r="154" spans="1:15" x14ac:dyDescent="0.25">
      <c r="A154" s="6" t="s">
        <v>523</v>
      </c>
      <c r="N154">
        <f t="shared" si="4"/>
        <v>49</v>
      </c>
      <c r="O154" s="18" t="str">
        <f ca="1">getCodigoBackend(N154,A154,VLOOKUP(N154,setup!$A$8:$H$58,2),VLOOKUP(N154,setup!$A$8:$H$58,3),VLOOKUP(N154,setup!$A$8:$H$58,4),VLOOKUP(N154,setup!$A$8:$H$58,5),VLOOKUP(N154,setup!$A$8:$H$58,6),VLOOKUP(N154,setup!$A$8:$H$58,7), VLOOKUP(0,setup!$A$8:$H$58,2),VLOOKUP(0,setup!$A$8:$H$58,5),VLOOKUP(N154,setup!$A$8:$H$58,8))</f>
        <v xml:space="preserve">    tecdataCadastro.text = widget.campanhacashbackresgatepix_full['dataCadastro'];</v>
      </c>
    </row>
    <row r="155" spans="1:15" x14ac:dyDescent="0.25">
      <c r="A155" s="6" t="s">
        <v>523</v>
      </c>
      <c r="N155">
        <f t="shared" si="4"/>
        <v>50</v>
      </c>
      <c r="O155" s="18" t="str">
        <f ca="1">getCodigoBackend(N155,A155,VLOOKUP(N155,setup!$A$8:$H$58,2),VLOOKUP(N155,setup!$A$8:$H$58,3),VLOOKUP(N155,setup!$A$8:$H$58,4),VLOOKUP(N155,setup!$A$8:$H$58,5),VLOOKUP(N155,setup!$A$8:$H$58,6),VLOOKUP(N155,setup!$A$8:$H$58,7), VLOOKUP(0,setup!$A$8:$H$58,2),VLOOKUP(0,setup!$A$8:$H$58,5),VLOOKUP(N155,setup!$A$8:$H$58,8))</f>
        <v xml:space="preserve">    tecdataAtualizacao.text = widget.campanhacashbackresgatepix_full['dataAtualizacao'];</v>
      </c>
    </row>
    <row r="156" spans="1:15" x14ac:dyDescent="0.25">
      <c r="A156" s="6" t="s">
        <v>456</v>
      </c>
      <c r="O156" s="18" t="str">
        <f ca="1">getCodigoBackend(N156,A156,VLOOKUP(N156,setup!$A$8:$H$58,2),VLOOKUP(N156,setup!$A$8:$H$58,3),VLOOKUP(N156,setup!$A$8:$H$58,4),VLOOKUP(N156,setup!$A$8:$H$58,5),VLOOKUP(N156,setup!$A$8:$H$58,6),VLOOKUP(N156,setup!$A$8:$H$58,7), VLOOKUP(0,setup!$A$8:$H$58,2),VLOOKUP(0,setup!$A$8:$H$58,5),VLOOKUP(N156,setup!$A$8:$H$58,8))</f>
        <v xml:space="preserve">  }</v>
      </c>
    </row>
    <row r="157" spans="1:15" x14ac:dyDescent="0.25">
      <c r="A157" s="6" t="s">
        <v>536</v>
      </c>
      <c r="O157" s="18" t="str">
        <f ca="1">getCodigoBackend(N157,A157,VLOOKUP(N157,setup!$A$8:$H$58,2),VLOOKUP(N157,setup!$A$8:$H$58,3),VLOOKUP(N157,setup!$A$8:$H$58,4),VLOOKUP(N157,setup!$A$8:$H$58,5),VLOOKUP(N157,setup!$A$8:$H$58,6),VLOOKUP(N157,setup!$A$8:$H$58,7), VLOOKUP(0,setup!$A$8:$H$58,2),VLOOKUP(0,setup!$A$8:$H$58,5),VLOOKUP(N157,setup!$A$8:$H$58,8))</f>
        <v xml:space="preserve">   */</v>
      </c>
    </row>
    <row r="158" spans="1:15" x14ac:dyDescent="0.25">
      <c r="A158" s="6"/>
      <c r="O158" s="18" t="str">
        <f ca="1">getCodigoBackend(N158,A158,VLOOKUP(N158,setup!$A$8:$H$58,2),VLOOKUP(N158,setup!$A$8:$H$58,3),VLOOKUP(N158,setup!$A$8:$H$58,4),VLOOKUP(N158,setup!$A$8:$H$58,5),VLOOKUP(N158,setup!$A$8:$H$58,6),VLOOKUP(N158,setup!$A$8:$H$58,7), VLOOKUP(0,setup!$A$8:$H$58,2),VLOOKUP(0,setup!$A$8:$H$58,5),VLOOKUP(N158,setup!$A$8:$H$58,8))</f>
        <v/>
      </c>
    </row>
    <row r="159" spans="1:15" x14ac:dyDescent="0.25">
      <c r="A159" s="6" t="s">
        <v>479</v>
      </c>
      <c r="O159" s="18" t="str">
        <f ca="1">getCodigoBackend(N159,A159,VLOOKUP(N159,setup!$A$8:$H$58,2),VLOOKUP(N159,setup!$A$8:$H$58,3),VLOOKUP(N159,setup!$A$8:$H$58,4),VLOOKUP(N159,setup!$A$8:$H$58,5),VLOOKUP(N159,setup!$A$8:$H$58,6),VLOOKUP(N159,setup!$A$8:$H$58,7), VLOOKUP(0,setup!$A$8:$H$58,2),VLOOKUP(0,setup!$A$8:$H$58,5),VLOOKUP(N159,setup!$A$8:$H$58,8))</f>
        <v xml:space="preserve">  @override</v>
      </c>
    </row>
    <row r="160" spans="1:15" x14ac:dyDescent="0.25">
      <c r="A160" s="6" t="s">
        <v>483</v>
      </c>
      <c r="O160" s="18" t="str">
        <f ca="1">getCodigoBackend(N160,A160,VLOOKUP(N160,setup!$A$8:$H$58,2),VLOOKUP(N160,setup!$A$8:$H$58,3),VLOOKUP(N160,setup!$A$8:$H$58,4),VLOOKUP(N160,setup!$A$8:$H$58,5),VLOOKUP(N160,setup!$A$8:$H$58,6),VLOOKUP(N160,setup!$A$8:$H$58,7), VLOOKUP(0,setup!$A$8:$H$58,2),VLOOKUP(0,setup!$A$8:$H$58,5),VLOOKUP(N160,setup!$A$8:$H$58,8))</f>
        <v xml:space="preserve">  void initState(){</v>
      </c>
    </row>
    <row r="161" spans="1:15" x14ac:dyDescent="0.25">
      <c r="A161" s="6" t="s">
        <v>484</v>
      </c>
      <c r="O161" s="18" t="str">
        <f ca="1">getCodigoBackend(N161,A161,VLOOKUP(N161,setup!$A$8:$H$58,2),VLOOKUP(N161,setup!$A$8:$H$58,3),VLOOKUP(N161,setup!$A$8:$H$58,4),VLOOKUP(N161,setup!$A$8:$H$58,5),VLOOKUP(N161,setup!$A$8:$H$58,6),VLOOKUP(N161,setup!$A$8:$H$58,7), VLOOKUP(0,setup!$A$8:$H$58,2),VLOOKUP(0,setup!$A$8:$H$58,5),VLOOKUP(N161,setup!$A$8:$H$58,8))</f>
        <v xml:space="preserve">    _token = CacheSession().getSession()['tokenid'];</v>
      </c>
    </row>
    <row r="162" spans="1:15" x14ac:dyDescent="0.25">
      <c r="A162" s="6" t="s">
        <v>485</v>
      </c>
      <c r="O162" s="18" t="str">
        <f ca="1">getCodigoBackend(N162,A162,VLOOKUP(N162,setup!$A$8:$H$58,2),VLOOKUP(N162,setup!$A$8:$H$58,3),VLOOKUP(N162,setup!$A$8:$H$58,4),VLOOKUP(N162,setup!$A$8:$H$58,5),VLOOKUP(N162,setup!$A$8:$H$58,6),VLOOKUP(N162,setup!$A$8:$H$58,7), VLOOKUP(0,setup!$A$8:$H$58,2),VLOOKUP(0,setup!$A$8:$H$58,5),VLOOKUP(N162,setup!$A$8:$H$58,8))</f>
        <v xml:space="preserve">    _urlControlador = CacheSession().getSession()['urlControlador'];</v>
      </c>
    </row>
    <row r="163" spans="1:15" x14ac:dyDescent="0.25">
      <c r="A163" s="17" t="s">
        <v>575</v>
      </c>
      <c r="O163" s="18" t="str">
        <f ca="1">getCodigoBackend(N163,A163,VLOOKUP(N163,setup!$A$8:$H$58,2),VLOOKUP(N163,setup!$A$8:$H$58,3),VLOOKUP(N163,setup!$A$8:$H$58,4),VLOOKUP(N163,setup!$A$8:$H$58,5),VLOOKUP(N163,setup!$A$8:$H$58,6),VLOOKUP(N163,setup!$A$8:$H$58,7), VLOOKUP(0,setup!$A$8:$H$58,2),VLOOKUP(0,setup!$A$8:$H$58,5),VLOOKUP(N163,setup!$A$8:$H$58,8))</f>
        <v xml:space="preserve">    _iscadastro = (widget.campanhacashbackresgatepixVO == null);</v>
      </c>
    </row>
    <row r="164" spans="1:15" x14ac:dyDescent="0.25">
      <c r="A164" s="17"/>
      <c r="O164" s="18" t="str">
        <f ca="1">getCodigoBackend(N164,A164,VLOOKUP(N164,setup!$A$8:$H$58,2),VLOOKUP(N164,setup!$A$8:$H$58,3),VLOOKUP(N164,setup!$A$8:$H$58,4),VLOOKUP(N164,setup!$A$8:$H$58,5),VLOOKUP(N164,setup!$A$8:$H$58,6),VLOOKUP(N164,setup!$A$8:$H$58,7), VLOOKUP(0,setup!$A$8:$H$58,2),VLOOKUP(0,setup!$A$8:$H$58,5),VLOOKUP(N164,setup!$A$8:$H$58,8))</f>
        <v/>
      </c>
    </row>
    <row r="165" spans="1:15" x14ac:dyDescent="0.25">
      <c r="A165" s="6" t="s">
        <v>533</v>
      </c>
      <c r="O165" s="18" t="str">
        <f ca="1">getCodigoBackend(N165,A165,VLOOKUP(N165,setup!$A$8:$H$58,2),VLOOKUP(N165,setup!$A$8:$H$58,3),VLOOKUP(N165,setup!$A$8:$H$58,4),VLOOKUP(N165,setup!$A$8:$H$58,5),VLOOKUP(N165,setup!$A$8:$H$58,6),VLOOKUP(N165,setup!$A$8:$H$58,7), VLOOKUP(0,setup!$A$8:$H$58,2),VLOOKUP(0,setup!$A$8:$H$58,5),VLOOKUP(N165,setup!$A$8:$H$58,8))</f>
        <v xml:space="preserve">    // ============================================================================</v>
      </c>
    </row>
    <row r="166" spans="1:15" x14ac:dyDescent="0.25">
      <c r="A166" s="6" t="s">
        <v>537</v>
      </c>
      <c r="O166" s="18" t="str">
        <f ca="1">getCodigoBackend(N166,A166,VLOOKUP(N166,setup!$A$8:$H$58,2),VLOOKUP(N166,setup!$A$8:$H$58,3),VLOOKUP(N166,setup!$A$8:$H$58,4),VLOOKUP(N166,setup!$A$8:$H$58,5),VLOOKUP(N166,setup!$A$8:$H$58,6),VLOOKUP(N166,setup!$A$8:$H$58,7), VLOOKUP(0,setup!$A$8:$H$58,2),VLOOKUP(0,setup!$A$8:$H$58,5),VLOOKUP(N166,setup!$A$8:$H$58,8))</f>
        <v xml:space="preserve">    // inicializa os controladores de campos com os respectivos atributos</v>
      </c>
    </row>
    <row r="167" spans="1:15" x14ac:dyDescent="0.25">
      <c r="A167" s="6" t="s">
        <v>533</v>
      </c>
      <c r="O167" s="18" t="str">
        <f ca="1">getCodigoBackend(N167,A167,VLOOKUP(N167,setup!$A$8:$H$58,2),VLOOKUP(N167,setup!$A$8:$H$58,3),VLOOKUP(N167,setup!$A$8:$H$58,4),VLOOKUP(N167,setup!$A$8:$H$58,5),VLOOKUP(N167,setup!$A$8:$H$58,6),VLOOKUP(N167,setup!$A$8:$H$58,7), VLOOKUP(0,setup!$A$8:$H$58,2),VLOOKUP(0,setup!$A$8:$H$58,5),VLOOKUP(N167,setup!$A$8:$H$58,8))</f>
        <v xml:space="preserve">    // ============================================================================</v>
      </c>
    </row>
    <row r="168" spans="1:15" x14ac:dyDescent="0.25">
      <c r="A168" s="17" t="s">
        <v>542</v>
      </c>
      <c r="N168">
        <v>0</v>
      </c>
      <c r="O168" s="18" t="str">
        <f ca="1">getCodigoBackend(N168,A168,VLOOKUP(N168,setup!$A$8:$H$58,2),VLOOKUP(N168,setup!$A$8:$H$58,3),VLOOKUP(N168,setup!$A$8:$H$58,4),VLOOKUP(N168,setup!$A$8:$H$58,5),VLOOKUP(N168,setup!$A$8:$H$58,6),VLOOKUP(N168,setup!$A$8:$H$58,7), VLOOKUP(0,setup!$A$8:$H$58,2),VLOOKUP(0,setup!$A$8:$H$58,5),VLOOKUP(N168,setup!$A$8:$H$58,8))</f>
        <v xml:space="preserve">    tecid.text = _iscadastro ? '' : widget.campanhacashbackresgatepixVO.id;</v>
      </c>
    </row>
    <row r="169" spans="1:15" x14ac:dyDescent="0.25">
      <c r="A169" s="17" t="s">
        <v>542</v>
      </c>
      <c r="N169">
        <f>N168+1</f>
        <v>1</v>
      </c>
      <c r="O169" s="18" t="str">
        <f ca="1">getCodigoBackend(N169,A169,VLOOKUP(N169,setup!$A$8:$H$58,2),VLOOKUP(N169,setup!$A$8:$H$58,3),VLOOKUP(N169,setup!$A$8:$H$58,4),VLOOKUP(N169,setup!$A$8:$H$58,5),VLOOKUP(N169,setup!$A$8:$H$58,6),VLOOKUP(N169,setup!$A$8:$H$58,7), VLOOKUP(0,setup!$A$8:$H$58,2),VLOOKUP(0,setup!$A$8:$H$58,5),VLOOKUP(N169,setup!$A$8:$H$58,8))</f>
        <v xml:space="preserve">    tecidCampanhaCashback.text = _iscadastro ? '' : widget.campanhacashbackresgatepixVO.idCampanhaCashback;</v>
      </c>
    </row>
    <row r="170" spans="1:15" x14ac:dyDescent="0.25">
      <c r="A170" s="17" t="s">
        <v>542</v>
      </c>
      <c r="N170">
        <f t="shared" ref="N170:N209" si="5">N169+1</f>
        <v>2</v>
      </c>
      <c r="O170" s="18" t="str">
        <f ca="1">getCodigoBackend(N170,A170,VLOOKUP(N170,setup!$A$8:$H$58,2),VLOOKUP(N170,setup!$A$8:$H$58,3),VLOOKUP(N170,setup!$A$8:$H$58,4),VLOOKUP(N170,setup!$A$8:$H$58,5),VLOOKUP(N170,setup!$A$8:$H$58,6),VLOOKUP(N170,setup!$A$8:$H$58,7), VLOOKUP(0,setup!$A$8:$H$58,2),VLOOKUP(0,setup!$A$8:$H$58,5),VLOOKUP(N170,setup!$A$8:$H$58,8))</f>
        <v xml:space="preserve">    tecidUsuarioSolicitante.text = _iscadastro ? '' : widget.campanhacashbackresgatepixVO.idUsuarioSolicitante;</v>
      </c>
    </row>
    <row r="171" spans="1:15" x14ac:dyDescent="0.25">
      <c r="A171" s="17" t="s">
        <v>542</v>
      </c>
      <c r="N171">
        <f t="shared" si="5"/>
        <v>3</v>
      </c>
      <c r="O171" s="18" t="str">
        <f ca="1">getCodigoBackend(N171,A171,VLOOKUP(N171,setup!$A$8:$H$58,2),VLOOKUP(N171,setup!$A$8:$H$58,3),VLOOKUP(N171,setup!$A$8:$H$58,4),VLOOKUP(N171,setup!$A$8:$H$58,5),VLOOKUP(N171,setup!$A$8:$H$58,6),VLOOKUP(N171,setup!$A$8:$H$58,7), VLOOKUP(0,setup!$A$8:$H$58,2),VLOOKUP(0,setup!$A$8:$H$58,5),VLOOKUP(N171,setup!$A$8:$H$58,8))</f>
        <v xml:space="preserve">    tectipoChavePix.text = _iscadastro ? '' : widget.campanhacashbackresgatepixVO.tipoChavePix;</v>
      </c>
    </row>
    <row r="172" spans="1:15" x14ac:dyDescent="0.25">
      <c r="A172" s="17" t="s">
        <v>542</v>
      </c>
      <c r="N172">
        <f t="shared" si="5"/>
        <v>4</v>
      </c>
      <c r="O172" s="18" t="str">
        <f ca="1">getCodigoBackend(N172,A172,VLOOKUP(N172,setup!$A$8:$H$58,2),VLOOKUP(N172,setup!$A$8:$H$58,3),VLOOKUP(N172,setup!$A$8:$H$58,4),VLOOKUP(N172,setup!$A$8:$H$58,5),VLOOKUP(N172,setup!$A$8:$H$58,6),VLOOKUP(N172,setup!$A$8:$H$58,7), VLOOKUP(0,setup!$A$8:$H$58,2),VLOOKUP(0,setup!$A$8:$H$58,5),VLOOKUP(N172,setup!$A$8:$H$58,8))</f>
        <v xml:space="preserve">    tecchavePix.text = _iscadastro ? '' : widget.campanhacashbackresgatepixVO.chavePix;</v>
      </c>
    </row>
    <row r="173" spans="1:15" x14ac:dyDescent="0.25">
      <c r="A173" s="17" t="s">
        <v>542</v>
      </c>
      <c r="N173">
        <f t="shared" si="5"/>
        <v>5</v>
      </c>
      <c r="O173" s="18" t="str">
        <f ca="1">getCodigoBackend(N173,A173,VLOOKUP(N173,setup!$A$8:$H$58,2),VLOOKUP(N173,setup!$A$8:$H$58,3),VLOOKUP(N173,setup!$A$8:$H$58,4),VLOOKUP(N173,setup!$A$8:$H$58,5),VLOOKUP(N173,setup!$A$8:$H$58,6),VLOOKUP(N173,setup!$A$8:$H$58,7), VLOOKUP(0,setup!$A$8:$H$58,2),VLOOKUP(0,setup!$A$8:$H$58,5),VLOOKUP(N173,setup!$A$8:$H$58,8))</f>
        <v xml:space="preserve">    tecvalorResgate.text = _iscadastro ? '' : widget.campanhacashbackresgatepixVO.valorResgate;</v>
      </c>
    </row>
    <row r="174" spans="1:15" x14ac:dyDescent="0.25">
      <c r="A174" s="17" t="s">
        <v>542</v>
      </c>
      <c r="N174">
        <f t="shared" si="5"/>
        <v>6</v>
      </c>
      <c r="O174" s="18" t="str">
        <f ca="1">getCodigoBackend(N174,A174,VLOOKUP(N174,setup!$A$8:$H$58,2),VLOOKUP(N174,setup!$A$8:$H$58,3),VLOOKUP(N174,setup!$A$8:$H$58,4),VLOOKUP(N174,setup!$A$8:$H$58,5),VLOOKUP(N174,setup!$A$8:$H$58,6),VLOOKUP(N174,setup!$A$8:$H$58,7), VLOOKUP(0,setup!$A$8:$H$58,2),VLOOKUP(0,setup!$A$8:$H$58,5),VLOOKUP(N174,setup!$A$8:$H$58,8))</f>
        <v xml:space="preserve">    tecautenticacaoBco.text = _iscadastro ? '' : widget.campanhacashbackresgatepixVO.autenticacaoBco;</v>
      </c>
    </row>
    <row r="175" spans="1:15" x14ac:dyDescent="0.25">
      <c r="A175" s="17" t="s">
        <v>542</v>
      </c>
      <c r="N175">
        <f t="shared" si="5"/>
        <v>7</v>
      </c>
      <c r="O175" s="18" t="str">
        <f ca="1">getCodigoBackend(N175,A175,VLOOKUP(N175,setup!$A$8:$H$58,2),VLOOKUP(N175,setup!$A$8:$H$58,3),VLOOKUP(N175,setup!$A$8:$H$58,4),VLOOKUP(N175,setup!$A$8:$H$58,5),VLOOKUP(N175,setup!$A$8:$H$58,6),VLOOKUP(N175,setup!$A$8:$H$58,7), VLOOKUP(0,setup!$A$8:$H$58,2),VLOOKUP(0,setup!$A$8:$H$58,5),VLOOKUP(N175,setup!$A$8:$H$58,8))</f>
        <v xml:space="preserve">    tecestagioRealTime.text = _iscadastro ? '' : widget.campanhacashbackresgatepixVO.estagioRealTime;</v>
      </c>
    </row>
    <row r="176" spans="1:15" x14ac:dyDescent="0.25">
      <c r="A176" s="17" t="s">
        <v>542</v>
      </c>
      <c r="N176">
        <f t="shared" si="5"/>
        <v>8</v>
      </c>
      <c r="O176" s="18" t="str">
        <f ca="1">getCodigoBackend(N176,A176,VLOOKUP(N176,setup!$A$8:$H$58,2),VLOOKUP(N176,setup!$A$8:$H$58,3),VLOOKUP(N176,setup!$A$8:$H$58,4),VLOOKUP(N176,setup!$A$8:$H$58,5),VLOOKUP(N176,setup!$A$8:$H$58,6),VLOOKUP(N176,setup!$A$8:$H$58,7), VLOOKUP(0,setup!$A$8:$H$58,2),VLOOKUP(0,setup!$A$8:$H$58,5),VLOOKUP(N176,setup!$A$8:$H$58,8))</f>
        <v xml:space="preserve">    tecdtEstagioAnalise.text = _iscadastro ? '' : widget.campanhacashbackresgatepixVO.dtEstagioAnalise;</v>
      </c>
    </row>
    <row r="177" spans="1:15" x14ac:dyDescent="0.25">
      <c r="A177" s="17" t="s">
        <v>542</v>
      </c>
      <c r="N177">
        <f t="shared" si="5"/>
        <v>9</v>
      </c>
      <c r="O177" s="18" t="str">
        <f ca="1">getCodigoBackend(N177,A177,VLOOKUP(N177,setup!$A$8:$H$58,2),VLOOKUP(N177,setup!$A$8:$H$58,3),VLOOKUP(N177,setup!$A$8:$H$58,4),VLOOKUP(N177,setup!$A$8:$H$58,5),VLOOKUP(N177,setup!$A$8:$H$58,6),VLOOKUP(N177,setup!$A$8:$H$58,7), VLOOKUP(0,setup!$A$8:$H$58,2),VLOOKUP(0,setup!$A$8:$H$58,5),VLOOKUP(N177,setup!$A$8:$H$58,8))</f>
        <v xml:space="preserve">    tecdtEstagioFinanceiro.text = _iscadastro ? '' : widget.campanhacashbackresgatepixVO.dtEstagioFinanceiro;</v>
      </c>
    </row>
    <row r="178" spans="1:15" x14ac:dyDescent="0.25">
      <c r="A178" s="17" t="s">
        <v>542</v>
      </c>
      <c r="N178">
        <f t="shared" si="5"/>
        <v>10</v>
      </c>
      <c r="O178" s="18" t="str">
        <f ca="1">getCodigoBackend(N178,A178,VLOOKUP(N178,setup!$A$8:$H$58,2),VLOOKUP(N178,setup!$A$8:$H$58,3),VLOOKUP(N178,setup!$A$8:$H$58,4),VLOOKUP(N178,setup!$A$8:$H$58,5),VLOOKUP(N178,setup!$A$8:$H$58,6),VLOOKUP(N178,setup!$A$8:$H$58,7), VLOOKUP(0,setup!$A$8:$H$58,2),VLOOKUP(0,setup!$A$8:$H$58,5),VLOOKUP(N178,setup!$A$8:$H$58,8))</f>
        <v xml:space="preserve">    tecdtEstagioErro.text = _iscadastro ? '' : widget.campanhacashbackresgatepixVO.dtEstagioErro;</v>
      </c>
    </row>
    <row r="179" spans="1:15" x14ac:dyDescent="0.25">
      <c r="A179" s="17" t="s">
        <v>542</v>
      </c>
      <c r="N179">
        <f t="shared" si="5"/>
        <v>11</v>
      </c>
      <c r="O179" s="18" t="str">
        <f ca="1">getCodigoBackend(N179,A179,VLOOKUP(N179,setup!$A$8:$H$58,2),VLOOKUP(N179,setup!$A$8:$H$58,3),VLOOKUP(N179,setup!$A$8:$H$58,4),VLOOKUP(N179,setup!$A$8:$H$58,5),VLOOKUP(N179,setup!$A$8:$H$58,6),VLOOKUP(N179,setup!$A$8:$H$58,7), VLOOKUP(0,setup!$A$8:$H$58,2),VLOOKUP(0,setup!$A$8:$H$58,5),VLOOKUP(N179,setup!$A$8:$H$58,8))</f>
        <v xml:space="preserve">    tecdtEstagioTranfBco.text = _iscadastro ? '' : widget.campanhacashbackresgatepixVO.dtEstagioTranfBco;</v>
      </c>
    </row>
    <row r="180" spans="1:15" x14ac:dyDescent="0.25">
      <c r="A180" s="17" t="s">
        <v>542</v>
      </c>
      <c r="N180">
        <f t="shared" si="5"/>
        <v>12</v>
      </c>
      <c r="O180" s="18" t="str">
        <f ca="1">getCodigoBackend(N180,A180,VLOOKUP(N180,setup!$A$8:$H$58,2),VLOOKUP(N180,setup!$A$8:$H$58,3),VLOOKUP(N180,setup!$A$8:$H$58,4),VLOOKUP(N180,setup!$A$8:$H$58,5),VLOOKUP(N180,setup!$A$8:$H$58,6),VLOOKUP(N180,setup!$A$8:$H$58,7), VLOOKUP(0,setup!$A$8:$H$58,2),VLOOKUP(0,setup!$A$8:$H$58,5),VLOOKUP(N180,setup!$A$8:$H$58,8))</f>
        <v xml:space="preserve">    tectxtLivreEstagioRT.text = _iscadastro ? '' : widget.campanhacashbackresgatepixVO.txtLivreEstagioRT;</v>
      </c>
    </row>
    <row r="181" spans="1:15" x14ac:dyDescent="0.25">
      <c r="A181" s="17" t="s">
        <v>542</v>
      </c>
      <c r="N181">
        <f t="shared" si="5"/>
        <v>13</v>
      </c>
      <c r="O181" s="18" t="e">
        <f>getCodigoBackend(N181,A181,VLOOKUP(N181,setup!$A$8:$H$58,2),VLOOKUP(N181,setup!$A$8:$H$58,3),VLOOKUP(N181,setup!$A$8:$H$58,4),VLOOKUP(N181,setup!$A$8:$H$58,5),VLOOKUP(N181,setup!$A$8:$H$58,6),VLOOKUP(N181,setup!$A$8:$H$58,7), VLOOKUP(0,setup!$A$8:$H$58,2),VLOOKUP(0,setup!$A$8:$H$58,5),VLOOKUP(N181,setup!$A$8:$H$58,8))</f>
        <v>#VALUE!</v>
      </c>
    </row>
    <row r="182" spans="1:15" x14ac:dyDescent="0.25">
      <c r="A182" s="17" t="s">
        <v>542</v>
      </c>
      <c r="N182">
        <f t="shared" si="5"/>
        <v>14</v>
      </c>
      <c r="O182" s="18" t="e">
        <f>getCodigoBackend(N182,A182,VLOOKUP(N182,setup!$A$8:$H$58,2),VLOOKUP(N182,setup!$A$8:$H$58,3),VLOOKUP(N182,setup!$A$8:$H$58,4),VLOOKUP(N182,setup!$A$8:$H$58,5),VLOOKUP(N182,setup!$A$8:$H$58,6),VLOOKUP(N182,setup!$A$8:$H$58,7), VLOOKUP(0,setup!$A$8:$H$58,2),VLOOKUP(0,setup!$A$8:$H$58,5),VLOOKUP(N182,setup!$A$8:$H$58,8))</f>
        <v>#VALUE!</v>
      </c>
    </row>
    <row r="183" spans="1:15" x14ac:dyDescent="0.25">
      <c r="A183" s="17" t="s">
        <v>542</v>
      </c>
      <c r="N183">
        <f t="shared" si="5"/>
        <v>15</v>
      </c>
      <c r="O183" s="18" t="e">
        <f>getCodigoBackend(N183,A183,VLOOKUP(N183,setup!$A$8:$H$58,2),VLOOKUP(N183,setup!$A$8:$H$58,3),VLOOKUP(N183,setup!$A$8:$H$58,4),VLOOKUP(N183,setup!$A$8:$H$58,5),VLOOKUP(N183,setup!$A$8:$H$58,6),VLOOKUP(N183,setup!$A$8:$H$58,7), VLOOKUP(0,setup!$A$8:$H$58,2),VLOOKUP(0,setup!$A$8:$H$58,5),VLOOKUP(N183,setup!$A$8:$H$58,8))</f>
        <v>#VALUE!</v>
      </c>
    </row>
    <row r="184" spans="1:15" x14ac:dyDescent="0.25">
      <c r="A184" s="17" t="s">
        <v>542</v>
      </c>
      <c r="N184">
        <f t="shared" si="5"/>
        <v>16</v>
      </c>
      <c r="O184" s="18" t="e">
        <f>getCodigoBackend(N184,A184,VLOOKUP(N184,setup!$A$8:$H$58,2),VLOOKUP(N184,setup!$A$8:$H$58,3),VLOOKUP(N184,setup!$A$8:$H$58,4),VLOOKUP(N184,setup!$A$8:$H$58,5),VLOOKUP(N184,setup!$A$8:$H$58,6),VLOOKUP(N184,setup!$A$8:$H$58,7), VLOOKUP(0,setup!$A$8:$H$58,2),VLOOKUP(0,setup!$A$8:$H$58,5),VLOOKUP(N184,setup!$A$8:$H$58,8))</f>
        <v>#VALUE!</v>
      </c>
    </row>
    <row r="185" spans="1:15" x14ac:dyDescent="0.25">
      <c r="A185" s="17" t="s">
        <v>542</v>
      </c>
      <c r="N185">
        <f t="shared" si="5"/>
        <v>17</v>
      </c>
      <c r="O185" s="18" t="e">
        <f>getCodigoBackend(N185,A185,VLOOKUP(N185,setup!$A$8:$H$58,2),VLOOKUP(N185,setup!$A$8:$H$58,3),VLOOKUP(N185,setup!$A$8:$H$58,4),VLOOKUP(N185,setup!$A$8:$H$58,5),VLOOKUP(N185,setup!$A$8:$H$58,6),VLOOKUP(N185,setup!$A$8:$H$58,7), VLOOKUP(0,setup!$A$8:$H$58,2),VLOOKUP(0,setup!$A$8:$H$58,5),VLOOKUP(N185,setup!$A$8:$H$58,8))</f>
        <v>#VALUE!</v>
      </c>
    </row>
    <row r="186" spans="1:15" x14ac:dyDescent="0.25">
      <c r="A186" s="17" t="s">
        <v>542</v>
      </c>
      <c r="N186">
        <f t="shared" si="5"/>
        <v>18</v>
      </c>
      <c r="O186" s="18" t="e">
        <f>getCodigoBackend(N186,A186,VLOOKUP(N186,setup!$A$8:$H$58,2),VLOOKUP(N186,setup!$A$8:$H$58,3),VLOOKUP(N186,setup!$A$8:$H$58,4),VLOOKUP(N186,setup!$A$8:$H$58,5),VLOOKUP(N186,setup!$A$8:$H$58,6),VLOOKUP(N186,setup!$A$8:$H$58,7), VLOOKUP(0,setup!$A$8:$H$58,2),VLOOKUP(0,setup!$A$8:$H$58,5),VLOOKUP(N186,setup!$A$8:$H$58,8))</f>
        <v>#VALUE!</v>
      </c>
    </row>
    <row r="187" spans="1:15" x14ac:dyDescent="0.25">
      <c r="A187" s="17" t="s">
        <v>542</v>
      </c>
      <c r="N187">
        <f t="shared" si="5"/>
        <v>19</v>
      </c>
      <c r="O187" s="18" t="e">
        <f>getCodigoBackend(N187,A187,VLOOKUP(N187,setup!$A$8:$H$58,2),VLOOKUP(N187,setup!$A$8:$H$58,3),VLOOKUP(N187,setup!$A$8:$H$58,4),VLOOKUP(N187,setup!$A$8:$H$58,5),VLOOKUP(N187,setup!$A$8:$H$58,6),VLOOKUP(N187,setup!$A$8:$H$58,7), VLOOKUP(0,setup!$A$8:$H$58,2),VLOOKUP(0,setup!$A$8:$H$58,5),VLOOKUP(N187,setup!$A$8:$H$58,8))</f>
        <v>#VALUE!</v>
      </c>
    </row>
    <row r="188" spans="1:15" x14ac:dyDescent="0.25">
      <c r="A188" s="17" t="s">
        <v>542</v>
      </c>
      <c r="N188">
        <f t="shared" si="5"/>
        <v>20</v>
      </c>
      <c r="O188" s="18" t="e">
        <f>getCodigoBackend(N188,A188,VLOOKUP(N188,setup!$A$8:$H$58,2),VLOOKUP(N188,setup!$A$8:$H$58,3),VLOOKUP(N188,setup!$A$8:$H$58,4),VLOOKUP(N188,setup!$A$8:$H$58,5),VLOOKUP(N188,setup!$A$8:$H$58,6),VLOOKUP(N188,setup!$A$8:$H$58,7), VLOOKUP(0,setup!$A$8:$H$58,2),VLOOKUP(0,setup!$A$8:$H$58,5),VLOOKUP(N188,setup!$A$8:$H$58,8))</f>
        <v>#VALUE!</v>
      </c>
    </row>
    <row r="189" spans="1:15" x14ac:dyDescent="0.25">
      <c r="A189" s="17" t="s">
        <v>542</v>
      </c>
      <c r="N189">
        <f t="shared" si="5"/>
        <v>21</v>
      </c>
      <c r="O189" s="18" t="e">
        <f>getCodigoBackend(N189,A189,VLOOKUP(N189,setup!$A$8:$H$58,2),VLOOKUP(N189,setup!$A$8:$H$58,3),VLOOKUP(N189,setup!$A$8:$H$58,4),VLOOKUP(N189,setup!$A$8:$H$58,5),VLOOKUP(N189,setup!$A$8:$H$58,6),VLOOKUP(N189,setup!$A$8:$H$58,7), VLOOKUP(0,setup!$A$8:$H$58,2),VLOOKUP(0,setup!$A$8:$H$58,5),VLOOKUP(N189,setup!$A$8:$H$58,8))</f>
        <v>#VALUE!</v>
      </c>
    </row>
    <row r="190" spans="1:15" x14ac:dyDescent="0.25">
      <c r="A190" s="17" t="s">
        <v>542</v>
      </c>
      <c r="N190">
        <f t="shared" si="5"/>
        <v>22</v>
      </c>
      <c r="O190" s="18" t="e">
        <f>getCodigoBackend(N190,A190,VLOOKUP(N190,setup!$A$8:$H$58,2),VLOOKUP(N190,setup!$A$8:$H$58,3),VLOOKUP(N190,setup!$A$8:$H$58,4),VLOOKUP(N190,setup!$A$8:$H$58,5),VLOOKUP(N190,setup!$A$8:$H$58,6),VLOOKUP(N190,setup!$A$8:$H$58,7), VLOOKUP(0,setup!$A$8:$H$58,2),VLOOKUP(0,setup!$A$8:$H$58,5),VLOOKUP(N190,setup!$A$8:$H$58,8))</f>
        <v>#VALUE!</v>
      </c>
    </row>
    <row r="191" spans="1:15" x14ac:dyDescent="0.25">
      <c r="A191" s="17" t="s">
        <v>542</v>
      </c>
      <c r="N191">
        <f t="shared" si="5"/>
        <v>23</v>
      </c>
      <c r="O191" s="18" t="e">
        <f>getCodigoBackend(N191,A191,VLOOKUP(N191,setup!$A$8:$H$58,2),VLOOKUP(N191,setup!$A$8:$H$58,3),VLOOKUP(N191,setup!$A$8:$H$58,4),VLOOKUP(N191,setup!$A$8:$H$58,5),VLOOKUP(N191,setup!$A$8:$H$58,6),VLOOKUP(N191,setup!$A$8:$H$58,7), VLOOKUP(0,setup!$A$8:$H$58,2),VLOOKUP(0,setup!$A$8:$H$58,5),VLOOKUP(N191,setup!$A$8:$H$58,8))</f>
        <v>#VALUE!</v>
      </c>
    </row>
    <row r="192" spans="1:15" x14ac:dyDescent="0.25">
      <c r="A192" s="17" t="s">
        <v>542</v>
      </c>
      <c r="N192">
        <f t="shared" si="5"/>
        <v>24</v>
      </c>
      <c r="O192" s="18" t="e">
        <f>getCodigoBackend(N192,A192,VLOOKUP(N192,setup!$A$8:$H$58,2),VLOOKUP(N192,setup!$A$8:$H$58,3),VLOOKUP(N192,setup!$A$8:$H$58,4),VLOOKUP(N192,setup!$A$8:$H$58,5),VLOOKUP(N192,setup!$A$8:$H$58,6),VLOOKUP(N192,setup!$A$8:$H$58,7), VLOOKUP(0,setup!$A$8:$H$58,2),VLOOKUP(0,setup!$A$8:$H$58,5),VLOOKUP(N192,setup!$A$8:$H$58,8))</f>
        <v>#VALUE!</v>
      </c>
    </row>
    <row r="193" spans="1:15" x14ac:dyDescent="0.25">
      <c r="A193" s="17" t="s">
        <v>542</v>
      </c>
      <c r="N193">
        <f t="shared" si="5"/>
        <v>25</v>
      </c>
      <c r="O193" s="18" t="e">
        <f>getCodigoBackend(N193,A193,VLOOKUP(N193,setup!$A$8:$H$58,2),VLOOKUP(N193,setup!$A$8:$H$58,3),VLOOKUP(N193,setup!$A$8:$H$58,4),VLOOKUP(N193,setup!$A$8:$H$58,5),VLOOKUP(N193,setup!$A$8:$H$58,6),VLOOKUP(N193,setup!$A$8:$H$58,7), VLOOKUP(0,setup!$A$8:$H$58,2),VLOOKUP(0,setup!$A$8:$H$58,5),VLOOKUP(N193,setup!$A$8:$H$58,8))</f>
        <v>#VALUE!</v>
      </c>
    </row>
    <row r="194" spans="1:15" x14ac:dyDescent="0.25">
      <c r="A194" s="17" t="s">
        <v>542</v>
      </c>
      <c r="N194">
        <f t="shared" si="5"/>
        <v>26</v>
      </c>
      <c r="O194" s="18" t="e">
        <f>getCodigoBackend(N194,A194,VLOOKUP(N194,setup!$A$8:$H$58,2),VLOOKUP(N194,setup!$A$8:$H$58,3),VLOOKUP(N194,setup!$A$8:$H$58,4),VLOOKUP(N194,setup!$A$8:$H$58,5),VLOOKUP(N194,setup!$A$8:$H$58,6),VLOOKUP(N194,setup!$A$8:$H$58,7), VLOOKUP(0,setup!$A$8:$H$58,2),VLOOKUP(0,setup!$A$8:$H$58,5),VLOOKUP(N194,setup!$A$8:$H$58,8))</f>
        <v>#VALUE!</v>
      </c>
    </row>
    <row r="195" spans="1:15" x14ac:dyDescent="0.25">
      <c r="A195" s="17" t="s">
        <v>542</v>
      </c>
      <c r="N195">
        <f t="shared" si="5"/>
        <v>27</v>
      </c>
      <c r="O195" s="18" t="e">
        <f>getCodigoBackend(N195,A195,VLOOKUP(N195,setup!$A$8:$H$58,2),VLOOKUP(N195,setup!$A$8:$H$58,3),VLOOKUP(N195,setup!$A$8:$H$58,4),VLOOKUP(N195,setup!$A$8:$H$58,5),VLOOKUP(N195,setup!$A$8:$H$58,6),VLOOKUP(N195,setup!$A$8:$H$58,7), VLOOKUP(0,setup!$A$8:$H$58,2),VLOOKUP(0,setup!$A$8:$H$58,5),VLOOKUP(N195,setup!$A$8:$H$58,8))</f>
        <v>#VALUE!</v>
      </c>
    </row>
    <row r="196" spans="1:15" x14ac:dyDescent="0.25">
      <c r="A196" s="17" t="s">
        <v>542</v>
      </c>
      <c r="N196">
        <f t="shared" si="5"/>
        <v>28</v>
      </c>
      <c r="O196" s="18" t="e">
        <f>getCodigoBackend(N196,A196,VLOOKUP(N196,setup!$A$8:$H$58,2),VLOOKUP(N196,setup!$A$8:$H$58,3),VLOOKUP(N196,setup!$A$8:$H$58,4),VLOOKUP(N196,setup!$A$8:$H$58,5),VLOOKUP(N196,setup!$A$8:$H$58,6),VLOOKUP(N196,setup!$A$8:$H$58,7), VLOOKUP(0,setup!$A$8:$H$58,2),VLOOKUP(0,setup!$A$8:$H$58,5),VLOOKUP(N196,setup!$A$8:$H$58,8))</f>
        <v>#VALUE!</v>
      </c>
    </row>
    <row r="197" spans="1:15" x14ac:dyDescent="0.25">
      <c r="A197" s="17" t="s">
        <v>542</v>
      </c>
      <c r="N197">
        <f t="shared" si="5"/>
        <v>29</v>
      </c>
      <c r="O197" s="18" t="e">
        <f>getCodigoBackend(N197,A197,VLOOKUP(N197,setup!$A$8:$H$58,2),VLOOKUP(N197,setup!$A$8:$H$58,3),VLOOKUP(N197,setup!$A$8:$H$58,4),VLOOKUP(N197,setup!$A$8:$H$58,5),VLOOKUP(N197,setup!$A$8:$H$58,6),VLOOKUP(N197,setup!$A$8:$H$58,7), VLOOKUP(0,setup!$A$8:$H$58,2),VLOOKUP(0,setup!$A$8:$H$58,5),VLOOKUP(N197,setup!$A$8:$H$58,8))</f>
        <v>#VALUE!</v>
      </c>
    </row>
    <row r="198" spans="1:15" x14ac:dyDescent="0.25">
      <c r="A198" s="17" t="s">
        <v>542</v>
      </c>
      <c r="N198">
        <f t="shared" si="5"/>
        <v>30</v>
      </c>
      <c r="O198" s="18" t="e">
        <f>getCodigoBackend(N198,A198,VLOOKUP(N198,setup!$A$8:$H$58,2),VLOOKUP(N198,setup!$A$8:$H$58,3),VLOOKUP(N198,setup!$A$8:$H$58,4),VLOOKUP(N198,setup!$A$8:$H$58,5),VLOOKUP(N198,setup!$A$8:$H$58,6),VLOOKUP(N198,setup!$A$8:$H$58,7), VLOOKUP(0,setup!$A$8:$H$58,2),VLOOKUP(0,setup!$A$8:$H$58,5),VLOOKUP(N198,setup!$A$8:$H$58,8))</f>
        <v>#VALUE!</v>
      </c>
    </row>
    <row r="199" spans="1:15" x14ac:dyDescent="0.25">
      <c r="A199" s="17" t="s">
        <v>542</v>
      </c>
      <c r="N199">
        <f t="shared" si="5"/>
        <v>31</v>
      </c>
      <c r="O199" s="18" t="e">
        <f>getCodigoBackend(N199,A199,VLOOKUP(N199,setup!$A$8:$H$58,2),VLOOKUP(N199,setup!$A$8:$H$58,3),VLOOKUP(N199,setup!$A$8:$H$58,4),VLOOKUP(N199,setup!$A$8:$H$58,5),VLOOKUP(N199,setup!$A$8:$H$58,6),VLOOKUP(N199,setup!$A$8:$H$58,7), VLOOKUP(0,setup!$A$8:$H$58,2),VLOOKUP(0,setup!$A$8:$H$58,5),VLOOKUP(N199,setup!$A$8:$H$58,8))</f>
        <v>#VALUE!</v>
      </c>
    </row>
    <row r="200" spans="1:15" x14ac:dyDescent="0.25">
      <c r="A200" s="17" t="s">
        <v>542</v>
      </c>
      <c r="N200">
        <f t="shared" si="5"/>
        <v>32</v>
      </c>
      <c r="O200" s="18" t="e">
        <f>getCodigoBackend(N200,A200,VLOOKUP(N200,setup!$A$8:$H$58,2),VLOOKUP(N200,setup!$A$8:$H$58,3),VLOOKUP(N200,setup!$A$8:$H$58,4),VLOOKUP(N200,setup!$A$8:$H$58,5),VLOOKUP(N200,setup!$A$8:$H$58,6),VLOOKUP(N200,setup!$A$8:$H$58,7), VLOOKUP(0,setup!$A$8:$H$58,2),VLOOKUP(0,setup!$A$8:$H$58,5),VLOOKUP(N200,setup!$A$8:$H$58,8))</f>
        <v>#VALUE!</v>
      </c>
    </row>
    <row r="201" spans="1:15" x14ac:dyDescent="0.25">
      <c r="A201" s="17" t="s">
        <v>542</v>
      </c>
      <c r="N201">
        <f t="shared" si="5"/>
        <v>33</v>
      </c>
      <c r="O201" s="18" t="e">
        <f>getCodigoBackend(N201,A201,VLOOKUP(N201,setup!$A$8:$H$58,2),VLOOKUP(N201,setup!$A$8:$H$58,3),VLOOKUP(N201,setup!$A$8:$H$58,4),VLOOKUP(N201,setup!$A$8:$H$58,5),VLOOKUP(N201,setup!$A$8:$H$58,6),VLOOKUP(N201,setup!$A$8:$H$58,7), VLOOKUP(0,setup!$A$8:$H$58,2),VLOOKUP(0,setup!$A$8:$H$58,5),VLOOKUP(N201,setup!$A$8:$H$58,8))</f>
        <v>#VALUE!</v>
      </c>
    </row>
    <row r="202" spans="1:15" x14ac:dyDescent="0.25">
      <c r="A202" s="17" t="s">
        <v>542</v>
      </c>
      <c r="N202">
        <f t="shared" si="5"/>
        <v>34</v>
      </c>
      <c r="O202" s="18" t="e">
        <f>getCodigoBackend(N202,A202,VLOOKUP(N202,setup!$A$8:$H$58,2),VLOOKUP(N202,setup!$A$8:$H$58,3),VLOOKUP(N202,setup!$A$8:$H$58,4),VLOOKUP(N202,setup!$A$8:$H$58,5),VLOOKUP(N202,setup!$A$8:$H$58,6),VLOOKUP(N202,setup!$A$8:$H$58,7), VLOOKUP(0,setup!$A$8:$H$58,2),VLOOKUP(0,setup!$A$8:$H$58,5),VLOOKUP(N202,setup!$A$8:$H$58,8))</f>
        <v>#VALUE!</v>
      </c>
    </row>
    <row r="203" spans="1:15" x14ac:dyDescent="0.25">
      <c r="A203" s="17" t="s">
        <v>542</v>
      </c>
      <c r="N203">
        <f t="shared" si="5"/>
        <v>35</v>
      </c>
      <c r="O203" s="18" t="e">
        <f>getCodigoBackend(N203,A203,VLOOKUP(N203,setup!$A$8:$H$58,2),VLOOKUP(N203,setup!$A$8:$H$58,3),VLOOKUP(N203,setup!$A$8:$H$58,4),VLOOKUP(N203,setup!$A$8:$H$58,5),VLOOKUP(N203,setup!$A$8:$H$58,6),VLOOKUP(N203,setup!$A$8:$H$58,7), VLOOKUP(0,setup!$A$8:$H$58,2),VLOOKUP(0,setup!$A$8:$H$58,5),VLOOKUP(N203,setup!$A$8:$H$58,8))</f>
        <v>#VALUE!</v>
      </c>
    </row>
    <row r="204" spans="1:15" x14ac:dyDescent="0.25">
      <c r="A204" s="17" t="s">
        <v>542</v>
      </c>
      <c r="N204">
        <f t="shared" si="5"/>
        <v>36</v>
      </c>
      <c r="O204" s="18" t="e">
        <f>getCodigoBackend(N204,A204,VLOOKUP(N204,setup!$A$8:$H$58,2),VLOOKUP(N204,setup!$A$8:$H$58,3),VLOOKUP(N204,setup!$A$8:$H$58,4),VLOOKUP(N204,setup!$A$8:$H$58,5),VLOOKUP(N204,setup!$A$8:$H$58,6),VLOOKUP(N204,setup!$A$8:$H$58,7), VLOOKUP(0,setup!$A$8:$H$58,2),VLOOKUP(0,setup!$A$8:$H$58,5),VLOOKUP(N204,setup!$A$8:$H$58,8))</f>
        <v>#VALUE!</v>
      </c>
    </row>
    <row r="205" spans="1:15" x14ac:dyDescent="0.25">
      <c r="A205" s="17" t="s">
        <v>542</v>
      </c>
      <c r="N205">
        <f t="shared" si="5"/>
        <v>37</v>
      </c>
      <c r="O205" s="18" t="e">
        <f>getCodigoBackend(N205,A205,VLOOKUP(N205,setup!$A$8:$H$58,2),VLOOKUP(N205,setup!$A$8:$H$58,3),VLOOKUP(N205,setup!$A$8:$H$58,4),VLOOKUP(N205,setup!$A$8:$H$58,5),VLOOKUP(N205,setup!$A$8:$H$58,6),VLOOKUP(N205,setup!$A$8:$H$58,7), VLOOKUP(0,setup!$A$8:$H$58,2),VLOOKUP(0,setup!$A$8:$H$58,5),VLOOKUP(N205,setup!$A$8:$H$58,8))</f>
        <v>#VALUE!</v>
      </c>
    </row>
    <row r="206" spans="1:15" x14ac:dyDescent="0.25">
      <c r="A206" s="17" t="s">
        <v>542</v>
      </c>
      <c r="N206">
        <f t="shared" si="5"/>
        <v>38</v>
      </c>
      <c r="O206" s="18" t="e">
        <f>getCodigoBackend(N206,A206,VLOOKUP(N206,setup!$A$8:$H$58,2),VLOOKUP(N206,setup!$A$8:$H$58,3),VLOOKUP(N206,setup!$A$8:$H$58,4),VLOOKUP(N206,setup!$A$8:$H$58,5),VLOOKUP(N206,setup!$A$8:$H$58,6),VLOOKUP(N206,setup!$A$8:$H$58,7), VLOOKUP(0,setup!$A$8:$H$58,2),VLOOKUP(0,setup!$A$8:$H$58,5),VLOOKUP(N206,setup!$A$8:$H$58,8))</f>
        <v>#VALUE!</v>
      </c>
    </row>
    <row r="207" spans="1:15" x14ac:dyDescent="0.25">
      <c r="A207" s="17" t="s">
        <v>542</v>
      </c>
      <c r="N207">
        <f t="shared" si="5"/>
        <v>39</v>
      </c>
      <c r="O207" s="18" t="e">
        <f>getCodigoBackend(N207,A207,VLOOKUP(N207,setup!$A$8:$H$58,2),VLOOKUP(N207,setup!$A$8:$H$58,3),VLOOKUP(N207,setup!$A$8:$H$58,4),VLOOKUP(N207,setup!$A$8:$H$58,5),VLOOKUP(N207,setup!$A$8:$H$58,6),VLOOKUP(N207,setup!$A$8:$H$58,7), VLOOKUP(0,setup!$A$8:$H$58,2),VLOOKUP(0,setup!$A$8:$H$58,5),VLOOKUP(N207,setup!$A$8:$H$58,8))</f>
        <v>#VALUE!</v>
      </c>
    </row>
    <row r="208" spans="1:15" x14ac:dyDescent="0.25">
      <c r="A208" s="17" t="s">
        <v>542</v>
      </c>
      <c r="N208">
        <f t="shared" si="5"/>
        <v>40</v>
      </c>
      <c r="O208" s="18" t="e">
        <f>getCodigoBackend(N208,A208,VLOOKUP(N208,setup!$A$8:$H$58,2),VLOOKUP(N208,setup!$A$8:$H$58,3),VLOOKUP(N208,setup!$A$8:$H$58,4),VLOOKUP(N208,setup!$A$8:$H$58,5),VLOOKUP(N208,setup!$A$8:$H$58,6),VLOOKUP(N208,setup!$A$8:$H$58,7), VLOOKUP(0,setup!$A$8:$H$58,2),VLOOKUP(0,setup!$A$8:$H$58,5),VLOOKUP(N208,setup!$A$8:$H$58,8))</f>
        <v>#VALUE!</v>
      </c>
    </row>
    <row r="209" spans="1:15" x14ac:dyDescent="0.25">
      <c r="A209" s="17" t="s">
        <v>542</v>
      </c>
      <c r="N209">
        <f t="shared" si="5"/>
        <v>41</v>
      </c>
      <c r="O209" s="18" t="e">
        <f>getCodigoBackend(N209,A209,VLOOKUP(N209,setup!$A$8:$H$58,2),VLOOKUP(N209,setup!$A$8:$H$58,3),VLOOKUP(N209,setup!$A$8:$H$58,4),VLOOKUP(N209,setup!$A$8:$H$58,5),VLOOKUP(N209,setup!$A$8:$H$58,6),VLOOKUP(N209,setup!$A$8:$H$58,7), VLOOKUP(0,setup!$A$8:$H$58,2),VLOOKUP(0,setup!$A$8:$H$58,5),VLOOKUP(N209,setup!$A$8:$H$58,8))</f>
        <v>#VALUE!</v>
      </c>
    </row>
    <row r="210" spans="1:15" x14ac:dyDescent="0.25">
      <c r="A210" s="17" t="s">
        <v>542</v>
      </c>
      <c r="N210">
        <f t="shared" ref="N210:N218" si="6">N209+1</f>
        <v>42</v>
      </c>
      <c r="O210" s="18" t="e">
        <f>getCodigoBackend(N210,A210,VLOOKUP(N210,setup!$A$8:$H$58,2),VLOOKUP(N210,setup!$A$8:$H$58,3),VLOOKUP(N210,setup!$A$8:$H$58,4),VLOOKUP(N210,setup!$A$8:$H$58,5),VLOOKUP(N210,setup!$A$8:$H$58,6),VLOOKUP(N210,setup!$A$8:$H$58,7), VLOOKUP(0,setup!$A$8:$H$58,2),VLOOKUP(0,setup!$A$8:$H$58,5),VLOOKUP(N210,setup!$A$8:$H$58,8))</f>
        <v>#VALUE!</v>
      </c>
    </row>
    <row r="211" spans="1:15" x14ac:dyDescent="0.25">
      <c r="A211" s="17" t="s">
        <v>542</v>
      </c>
      <c r="N211">
        <f t="shared" si="6"/>
        <v>43</v>
      </c>
      <c r="O211" s="18" t="e">
        <f>getCodigoBackend(N211,A211,VLOOKUP(N211,setup!$A$8:$H$58,2),VLOOKUP(N211,setup!$A$8:$H$58,3),VLOOKUP(N211,setup!$A$8:$H$58,4),VLOOKUP(N211,setup!$A$8:$H$58,5),VLOOKUP(N211,setup!$A$8:$H$58,6),VLOOKUP(N211,setup!$A$8:$H$58,7), VLOOKUP(0,setup!$A$8:$H$58,2),VLOOKUP(0,setup!$A$8:$H$58,5),VLOOKUP(N211,setup!$A$8:$H$58,8))</f>
        <v>#VALUE!</v>
      </c>
    </row>
    <row r="212" spans="1:15" x14ac:dyDescent="0.25">
      <c r="A212" s="17" t="s">
        <v>542</v>
      </c>
      <c r="N212">
        <f t="shared" si="6"/>
        <v>44</v>
      </c>
      <c r="O212" s="18" t="e">
        <f>getCodigoBackend(N212,A212,VLOOKUP(N212,setup!$A$8:$H$58,2),VLOOKUP(N212,setup!$A$8:$H$58,3),VLOOKUP(N212,setup!$A$8:$H$58,4),VLOOKUP(N212,setup!$A$8:$H$58,5),VLOOKUP(N212,setup!$A$8:$H$58,6),VLOOKUP(N212,setup!$A$8:$H$58,7), VLOOKUP(0,setup!$A$8:$H$58,2),VLOOKUP(0,setup!$A$8:$H$58,5),VLOOKUP(N212,setup!$A$8:$H$58,8))</f>
        <v>#VALUE!</v>
      </c>
    </row>
    <row r="213" spans="1:15" x14ac:dyDescent="0.25">
      <c r="A213" s="17" t="s">
        <v>542</v>
      </c>
      <c r="N213">
        <f t="shared" si="6"/>
        <v>45</v>
      </c>
      <c r="O213" s="18" t="e">
        <f>getCodigoBackend(N213,A213,VLOOKUP(N213,setup!$A$8:$H$58,2),VLOOKUP(N213,setup!$A$8:$H$58,3),VLOOKUP(N213,setup!$A$8:$H$58,4),VLOOKUP(N213,setup!$A$8:$H$58,5),VLOOKUP(N213,setup!$A$8:$H$58,6),VLOOKUP(N213,setup!$A$8:$H$58,7), VLOOKUP(0,setup!$A$8:$H$58,2),VLOOKUP(0,setup!$A$8:$H$58,5),VLOOKUP(N213,setup!$A$8:$H$58,8))</f>
        <v>#VALUE!</v>
      </c>
    </row>
    <row r="214" spans="1:15" x14ac:dyDescent="0.25">
      <c r="A214" s="17" t="s">
        <v>542</v>
      </c>
      <c r="N214">
        <f t="shared" si="6"/>
        <v>46</v>
      </c>
      <c r="O214" s="18" t="e">
        <f>getCodigoBackend(N214,A214,VLOOKUP(N214,setup!$A$8:$H$58,2),VLOOKUP(N214,setup!$A$8:$H$58,3),VLOOKUP(N214,setup!$A$8:$H$58,4),VLOOKUP(N214,setup!$A$8:$H$58,5),VLOOKUP(N214,setup!$A$8:$H$58,6),VLOOKUP(N214,setup!$A$8:$H$58,7), VLOOKUP(0,setup!$A$8:$H$58,2),VLOOKUP(0,setup!$A$8:$H$58,5),VLOOKUP(N214,setup!$A$8:$H$58,8))</f>
        <v>#VALUE!</v>
      </c>
    </row>
    <row r="215" spans="1:15" x14ac:dyDescent="0.25">
      <c r="A215" s="17" t="s">
        <v>542</v>
      </c>
      <c r="N215">
        <f t="shared" si="6"/>
        <v>47</v>
      </c>
      <c r="O215" s="18" t="e">
        <f>getCodigoBackend(N215,A215,VLOOKUP(N215,setup!$A$8:$H$58,2),VLOOKUP(N215,setup!$A$8:$H$58,3),VLOOKUP(N215,setup!$A$8:$H$58,4),VLOOKUP(N215,setup!$A$8:$H$58,5),VLOOKUP(N215,setup!$A$8:$H$58,6),VLOOKUP(N215,setup!$A$8:$H$58,7), VLOOKUP(0,setup!$A$8:$H$58,2),VLOOKUP(0,setup!$A$8:$H$58,5),VLOOKUP(N215,setup!$A$8:$H$58,8))</f>
        <v>#VALUE!</v>
      </c>
    </row>
    <row r="216" spans="1:15" x14ac:dyDescent="0.25">
      <c r="A216" s="17" t="s">
        <v>542</v>
      </c>
      <c r="N216">
        <f t="shared" si="6"/>
        <v>48</v>
      </c>
      <c r="O216" s="18" t="str">
        <f ca="1">getCodigoBackend(N216,A216,VLOOKUP(N216,setup!$A$8:$H$58,2),VLOOKUP(N216,setup!$A$8:$H$58,3),VLOOKUP(N216,setup!$A$8:$H$58,4),VLOOKUP(N216,setup!$A$8:$H$58,5),VLOOKUP(N216,setup!$A$8:$H$58,6),VLOOKUP(N216,setup!$A$8:$H$58,7), VLOOKUP(0,setup!$A$8:$H$58,2),VLOOKUP(0,setup!$A$8:$H$58,5),VLOOKUP(N216,setup!$A$8:$H$58,8))</f>
        <v xml:space="preserve">    tecstatus.text = _iscadastro ? '' : widget.campanhacashbackresgatepixVO.status;</v>
      </c>
    </row>
    <row r="217" spans="1:15" x14ac:dyDescent="0.25">
      <c r="A217" s="17" t="s">
        <v>542</v>
      </c>
      <c r="N217">
        <f t="shared" si="6"/>
        <v>49</v>
      </c>
      <c r="O217" s="18" t="str">
        <f ca="1">getCodigoBackend(N217,A217,VLOOKUP(N217,setup!$A$8:$H$58,2),VLOOKUP(N217,setup!$A$8:$H$58,3),VLOOKUP(N217,setup!$A$8:$H$58,4),VLOOKUP(N217,setup!$A$8:$H$58,5),VLOOKUP(N217,setup!$A$8:$H$58,6),VLOOKUP(N217,setup!$A$8:$H$58,7), VLOOKUP(0,setup!$A$8:$H$58,2),VLOOKUP(0,setup!$A$8:$H$58,5),VLOOKUP(N217,setup!$A$8:$H$58,8))</f>
        <v xml:space="preserve">    tecdataCadastro.text = _iscadastro ? '' : widget.campanhacashbackresgatepixVO.dataCadastro;</v>
      </c>
    </row>
    <row r="218" spans="1:15" x14ac:dyDescent="0.25">
      <c r="A218" s="17" t="s">
        <v>542</v>
      </c>
      <c r="N218">
        <f t="shared" si="6"/>
        <v>50</v>
      </c>
      <c r="O218" s="18" t="str">
        <f ca="1">getCodigoBackend(N218,A218,VLOOKUP(N218,setup!$A$8:$H$58,2),VLOOKUP(N218,setup!$A$8:$H$58,3),VLOOKUP(N218,setup!$A$8:$H$58,4),VLOOKUP(N218,setup!$A$8:$H$58,5),VLOOKUP(N218,setup!$A$8:$H$58,6),VLOOKUP(N218,setup!$A$8:$H$58,7), VLOOKUP(0,setup!$A$8:$H$58,2),VLOOKUP(0,setup!$A$8:$H$58,5),VLOOKUP(N218,setup!$A$8:$H$58,8))</f>
        <v xml:space="preserve">    tecdataAtualizacao.text = _iscadastro ? '' : widget.campanhacashbackresgatepixVO.dataAtualizacao;</v>
      </c>
    </row>
    <row r="219" spans="1:15" x14ac:dyDescent="0.25">
      <c r="A219" s="6"/>
      <c r="O219" s="18" t="str">
        <f ca="1">getCodigoBackend(N219,A219,VLOOKUP(N219,setup!$A$8:$H$58,2),VLOOKUP(N219,setup!$A$8:$H$58,3),VLOOKUP(N219,setup!$A$8:$H$58,4),VLOOKUP(N219,setup!$A$8:$H$58,5),VLOOKUP(N219,setup!$A$8:$H$58,6),VLOOKUP(N219,setup!$A$8:$H$58,7), VLOOKUP(0,setup!$A$8:$H$58,2),VLOOKUP(0,setup!$A$8:$H$58,5),VLOOKUP(N219,setup!$A$8:$H$58,8))</f>
        <v/>
      </c>
    </row>
    <row r="220" spans="1:15" x14ac:dyDescent="0.25">
      <c r="A220" s="17" t="s">
        <v>456</v>
      </c>
      <c r="O220" s="18" t="str">
        <f ca="1">getCodigoBackend(N220,A220,VLOOKUP(N220,setup!$A$8:$H$58,2),VLOOKUP(N220,setup!$A$8:$H$58,3),VLOOKUP(N220,setup!$A$8:$H$58,4),VLOOKUP(N220,setup!$A$8:$H$58,5),VLOOKUP(N220,setup!$A$8:$H$58,6),VLOOKUP(N220,setup!$A$8:$H$58,7), VLOOKUP(0,setup!$A$8:$H$58,2),VLOOKUP(0,setup!$A$8:$H$58,5),VLOOKUP(N220,setup!$A$8:$H$58,8))</f>
        <v xml:space="preserve">  }</v>
      </c>
    </row>
    <row r="221" spans="1:15" x14ac:dyDescent="0.25">
      <c r="A221" s="17"/>
      <c r="O221" s="18" t="str">
        <f ca="1">getCodigoBackend(N221,A221,VLOOKUP(N221,setup!$A$8:$H$58,2),VLOOKUP(N221,setup!$A$8:$H$58,3),VLOOKUP(N221,setup!$A$8:$H$58,4),VLOOKUP(N221,setup!$A$8:$H$58,5),VLOOKUP(N221,setup!$A$8:$H$58,6),VLOOKUP(N221,setup!$A$8:$H$58,7), VLOOKUP(0,setup!$A$8:$H$58,2),VLOOKUP(0,setup!$A$8:$H$58,5),VLOOKUP(N221,setup!$A$8:$H$58,8))</f>
        <v/>
      </c>
    </row>
    <row r="222" spans="1:15" x14ac:dyDescent="0.25">
      <c r="A222" s="6" t="s">
        <v>822</v>
      </c>
      <c r="O222" s="18" t="str">
        <f ca="1">getCodigoBackend(N222,A222,VLOOKUP(N222,setup!$A$8:$H$58,2),VLOOKUP(N222,setup!$A$8:$H$58,3),VLOOKUP(N222,setup!$A$8:$H$58,4),VLOOKUP(N222,setup!$A$8:$H$58,5),VLOOKUP(N222,setup!$A$8:$H$58,6),VLOOKUP(N222,setup!$A$8:$H$58,7), VLOOKUP(0,setup!$A$8:$H$58,2),VLOOKUP(0,setup!$A$8:$H$58,5),VLOOKUP(N222,setup!$A$8:$H$58,8))</f>
        <v>  // ===============================================</v>
      </c>
    </row>
    <row r="223" spans="1:15" x14ac:dyDescent="0.25">
      <c r="A223" s="6" t="s">
        <v>823</v>
      </c>
      <c r="O223" s="18" t="str">
        <f ca="1">getCodigoBackend(N223,A223,VLOOKUP(N223,setup!$A$8:$H$58,2),VLOOKUP(N223,setup!$A$8:$H$58,3),VLOOKUP(N223,setup!$A$8:$H$58,4),VLOOKUP(N223,setup!$A$8:$H$58,5),VLOOKUP(N223,setup!$A$8:$H$58,6),VLOOKUP(N223,setup!$A$8:$H$58,7), VLOOKUP(0,setup!$A$8:$H$58,2),VLOOKUP(0,setup!$A$8:$H$58,5),VLOOKUP(N223,setup!$A$8:$H$58,8))</f>
        <v>  // função que cria o widget  base entrada de dados</v>
      </c>
    </row>
    <row r="224" spans="1:15" x14ac:dyDescent="0.25">
      <c r="A224" s="6" t="s">
        <v>822</v>
      </c>
      <c r="O224" s="18" t="str">
        <f ca="1">getCodigoBackend(N224,A224,VLOOKUP(N224,setup!$A$8:$H$58,2),VLOOKUP(N224,setup!$A$8:$H$58,3),VLOOKUP(N224,setup!$A$8:$H$58,4),VLOOKUP(N224,setup!$A$8:$H$58,5),VLOOKUP(N224,setup!$A$8:$H$58,6),VLOOKUP(N224,setup!$A$8:$H$58,7), VLOOKUP(0,setup!$A$8:$H$58,2),VLOOKUP(0,setup!$A$8:$H$58,5),VLOOKUP(N224,setup!$A$8:$H$58,8))</f>
        <v>  // ===============================================</v>
      </c>
    </row>
    <row r="225" spans="1:15" x14ac:dyDescent="0.25">
      <c r="A225" s="6" t="s">
        <v>824</v>
      </c>
      <c r="O225" s="18" t="str">
        <f ca="1">getCodigoBackend(N225,A225,VLOOKUP(N225,setup!$A$8:$H$58,2),VLOOKUP(N225,setup!$A$8:$H$58,3),VLOOKUP(N225,setup!$A$8:$H$58,4),VLOOKUP(N225,setup!$A$8:$H$58,5),VLOOKUP(N225,setup!$A$8:$H$58,6),VLOOKUP(N225,setup!$A$8:$H$58,7), VLOOKUP(0,setup!$A$8:$H$58,2),VLOOKUP(0,setup!$A$8:$H$58,5),VLOOKUP(N225,setup!$A$8:$H$58,8))</f>
        <v>  Widget criarWidgetEntry({TextEditingController tec, TextInputType tit, String label}) =&gt; Padding(</v>
      </c>
    </row>
    <row r="226" spans="1:15" x14ac:dyDescent="0.25">
      <c r="A226" s="6" t="s">
        <v>825</v>
      </c>
      <c r="O226" s="18" t="str">
        <f ca="1">getCodigoBackend(N226,A226,VLOOKUP(N226,setup!$A$8:$H$58,2),VLOOKUP(N226,setup!$A$8:$H$58,3),VLOOKUP(N226,setup!$A$8:$H$58,4),VLOOKUP(N226,setup!$A$8:$H$58,5),VLOOKUP(N226,setup!$A$8:$H$58,6),VLOOKUP(N226,setup!$A$8:$H$58,7), VLOOKUP(0,setup!$A$8:$H$58,2),VLOOKUP(0,setup!$A$8:$H$58,5),VLOOKUP(N226,setup!$A$8:$H$58,8))</f>
        <v>      padding: EdgeInsets.only(top: 8.0),</v>
      </c>
    </row>
    <row r="227" spans="1:15" x14ac:dyDescent="0.25">
      <c r="A227" s="6" t="s">
        <v>826</v>
      </c>
      <c r="O227" s="18" t="str">
        <f ca="1">getCodigoBackend(N227,A227,VLOOKUP(N227,setup!$A$8:$H$58,2),VLOOKUP(N227,setup!$A$8:$H$58,3),VLOOKUP(N227,setup!$A$8:$H$58,4),VLOOKUP(N227,setup!$A$8:$H$58,5),VLOOKUP(N227,setup!$A$8:$H$58,6),VLOOKUP(N227,setup!$A$8:$H$58,7), VLOOKUP(0,setup!$A$8:$H$58,2),VLOOKUP(0,setup!$A$8:$H$58,5),VLOOKUP(N227,setup!$A$8:$H$58,8))</f>
        <v>      child: TextField(</v>
      </c>
    </row>
    <row r="228" spans="1:15" x14ac:dyDescent="0.25">
      <c r="A228" s="6" t="s">
        <v>827</v>
      </c>
      <c r="O228" s="18" t="str">
        <f ca="1">getCodigoBackend(N228,A228,VLOOKUP(N228,setup!$A$8:$H$58,2),VLOOKUP(N228,setup!$A$8:$H$58,3),VLOOKUP(N228,setup!$A$8:$H$58,4),VLOOKUP(N228,setup!$A$8:$H$58,5),VLOOKUP(N228,setup!$A$8:$H$58,6),VLOOKUP(N228,setup!$A$8:$H$58,7), VLOOKUP(0,setup!$A$8:$H$58,2),VLOOKUP(0,setup!$A$8:$H$58,5),VLOOKUP(N228,setup!$A$8:$H$58,8))</f>
        <v>          controller: tec,</v>
      </c>
    </row>
    <row r="229" spans="1:15" x14ac:dyDescent="0.25">
      <c r="A229" s="6" t="s">
        <v>828</v>
      </c>
      <c r="O229" s="18" t="str">
        <f ca="1">getCodigoBackend(N229,A229,VLOOKUP(N229,setup!$A$8:$H$58,2),VLOOKUP(N229,setup!$A$8:$H$58,3),VLOOKUP(N229,setup!$A$8:$H$58,4),VLOOKUP(N229,setup!$A$8:$H$58,5),VLOOKUP(N229,setup!$A$8:$H$58,6),VLOOKUP(N229,setup!$A$8:$H$58,7), VLOOKUP(0,setup!$A$8:$H$58,2),VLOOKUP(0,setup!$A$8:$H$58,5),VLOOKUP(N229,setup!$A$8:$H$58,8))</f>
        <v>          keyboardType: tit,</v>
      </c>
    </row>
    <row r="230" spans="1:15" x14ac:dyDescent="0.25">
      <c r="A230" s="6" t="s">
        <v>829</v>
      </c>
      <c r="O230" s="18" t="str">
        <f ca="1">getCodigoBackend(N230,A230,VLOOKUP(N230,setup!$A$8:$H$58,2),VLOOKUP(N230,setup!$A$8:$H$58,3),VLOOKUP(N230,setup!$A$8:$H$58,4),VLOOKUP(N230,setup!$A$8:$H$58,5),VLOOKUP(N230,setup!$A$8:$H$58,6),VLOOKUP(N230,setup!$A$8:$H$58,7), VLOOKUP(0,setup!$A$8:$H$58,2),VLOOKUP(0,setup!$A$8:$H$58,5),VLOOKUP(N230,setup!$A$8:$H$58,8))</f>
        <v>          decoration: InputDecoration(</v>
      </c>
    </row>
    <row r="231" spans="1:15" x14ac:dyDescent="0.25">
      <c r="A231" s="6" t="s">
        <v>830</v>
      </c>
      <c r="O231" s="18" t="str">
        <f ca="1">getCodigoBackend(N231,A231,VLOOKUP(N231,setup!$A$8:$H$58,2),VLOOKUP(N231,setup!$A$8:$H$58,3),VLOOKUP(N231,setup!$A$8:$H$58,4),VLOOKUP(N231,setup!$A$8:$H$58,5),VLOOKUP(N231,setup!$A$8:$H$58,6),VLOOKUP(N231,setup!$A$8:$H$58,7), VLOOKUP(0,setup!$A$8:$H$58,2),VLOOKUP(0,setup!$A$8:$H$58,5),VLOOKUP(N231,setup!$A$8:$H$58,8))</f>
        <v>                labelText: label,</v>
      </c>
    </row>
    <row r="232" spans="1:15" x14ac:dyDescent="0.25">
      <c r="A232" s="6" t="s">
        <v>831</v>
      </c>
      <c r="O232" s="18" t="str">
        <f ca="1">getCodigoBackend(N232,A232,VLOOKUP(N232,setup!$A$8:$H$58,2),VLOOKUP(N232,setup!$A$8:$H$58,3),VLOOKUP(N232,setup!$A$8:$H$58,4),VLOOKUP(N232,setup!$A$8:$H$58,5),VLOOKUP(N232,setup!$A$8:$H$58,6),VLOOKUP(N232,setup!$A$8:$H$58,7), VLOOKUP(0,setup!$A$8:$H$58,2),VLOOKUP(0,setup!$A$8:$H$58,5),VLOOKUP(N232,setup!$A$8:$H$58,8))</f>
        <v>                labelStyle: TextStyle(color: Colors.black),</v>
      </c>
    </row>
    <row r="233" spans="1:15" x14ac:dyDescent="0.25">
      <c r="A233" s="6" t="s">
        <v>832</v>
      </c>
      <c r="O233" s="18" t="str">
        <f ca="1">getCodigoBackend(N233,A233,VLOOKUP(N233,setup!$A$8:$H$58,2),VLOOKUP(N233,setup!$A$8:$H$58,3),VLOOKUP(N233,setup!$A$8:$H$58,4),VLOOKUP(N233,setup!$A$8:$H$58,5),VLOOKUP(N233,setup!$A$8:$H$58,6),VLOOKUP(N233,setup!$A$8:$H$58,7), VLOOKUP(0,setup!$A$8:$H$58,2),VLOOKUP(0,setup!$A$8:$H$58,5),VLOOKUP(N233,setup!$A$8:$H$58,8))</f>
        <v>                border: OutlineInputBorder()</v>
      </c>
    </row>
    <row r="234" spans="1:15" x14ac:dyDescent="0.25">
      <c r="A234" s="6" t="s">
        <v>833</v>
      </c>
      <c r="O234" s="18" t="str">
        <f ca="1">getCodigoBackend(N234,A234,VLOOKUP(N234,setup!$A$8:$H$58,2),VLOOKUP(N234,setup!$A$8:$H$58,3),VLOOKUP(N234,setup!$A$8:$H$58,4),VLOOKUP(N234,setup!$A$8:$H$58,5),VLOOKUP(N234,setup!$A$8:$H$58,6),VLOOKUP(N234,setup!$A$8:$H$58,7), VLOOKUP(0,setup!$A$8:$H$58,2),VLOOKUP(0,setup!$A$8:$H$58,5),VLOOKUP(N234,setup!$A$8:$H$58,8))</f>
        <v>            ),</v>
      </c>
    </row>
    <row r="235" spans="1:15" x14ac:dyDescent="0.25">
      <c r="A235" s="6" t="s">
        <v>834</v>
      </c>
      <c r="O235" s="18" t="str">
        <f ca="1">getCodigoBackend(N235,A235,VLOOKUP(N235,setup!$A$8:$H$58,2),VLOOKUP(N235,setup!$A$8:$H$58,3),VLOOKUP(N235,setup!$A$8:$H$58,4),VLOOKUP(N235,setup!$A$8:$H$58,5),VLOOKUP(N235,setup!$A$8:$H$58,6),VLOOKUP(N235,setup!$A$8:$H$58,7), VLOOKUP(0,setup!$A$8:$H$58,2),VLOOKUP(0,setup!$A$8:$H$58,5),VLOOKUP(N235,setup!$A$8:$H$58,8))</f>
        <v>          style: TextStyle(</v>
      </c>
    </row>
    <row r="236" spans="1:15" x14ac:dyDescent="0.25">
      <c r="A236" s="6" t="s">
        <v>835</v>
      </c>
      <c r="O236" s="18" t="str">
        <f ca="1">getCodigoBackend(N236,A236,VLOOKUP(N236,setup!$A$8:$H$58,2),VLOOKUP(N236,setup!$A$8:$H$58,3),VLOOKUP(N236,setup!$A$8:$H$58,4),VLOOKUP(N236,setup!$A$8:$H$58,5),VLOOKUP(N236,setup!$A$8:$H$58,6),VLOOKUP(N236,setup!$A$8:$H$58,7), VLOOKUP(0,setup!$A$8:$H$58,2),VLOOKUP(0,setup!$A$8:$H$58,5),VLOOKUP(N236,setup!$A$8:$H$58,8))</f>
        <v>            color: Colors.black,</v>
      </c>
    </row>
    <row r="237" spans="1:15" x14ac:dyDescent="0.25">
      <c r="A237" s="6" t="s">
        <v>836</v>
      </c>
      <c r="O237" s="18" t="str">
        <f ca="1">getCodigoBackend(N237,A237,VLOOKUP(N237,setup!$A$8:$H$58,2),VLOOKUP(N237,setup!$A$8:$H$58,3),VLOOKUP(N237,setup!$A$8:$H$58,4),VLOOKUP(N237,setup!$A$8:$H$58,5),VLOOKUP(N237,setup!$A$8:$H$58,6),VLOOKUP(N237,setup!$A$8:$H$58,7), VLOOKUP(0,setup!$A$8:$H$58,2),VLOOKUP(0,setup!$A$8:$H$58,5),VLOOKUP(N237,setup!$A$8:$H$58,8))</f>
        <v>            fontSize: 15.0</v>
      </c>
    </row>
    <row r="238" spans="1:15" x14ac:dyDescent="0.25">
      <c r="A238" s="6" t="s">
        <v>837</v>
      </c>
      <c r="O238" s="18" t="str">
        <f ca="1">getCodigoBackend(N238,A238,VLOOKUP(N238,setup!$A$8:$H$58,2),VLOOKUP(N238,setup!$A$8:$H$58,3),VLOOKUP(N238,setup!$A$8:$H$58,4),VLOOKUP(N238,setup!$A$8:$H$58,5),VLOOKUP(N238,setup!$A$8:$H$58,6),VLOOKUP(N238,setup!$A$8:$H$58,7), VLOOKUP(0,setup!$A$8:$H$58,2),VLOOKUP(0,setup!$A$8:$H$58,5),VLOOKUP(N238,setup!$A$8:$H$58,8))</f>
        <v>        ),</v>
      </c>
    </row>
    <row r="239" spans="1:15" x14ac:dyDescent="0.25">
      <c r="A239" s="6" t="s">
        <v>838</v>
      </c>
      <c r="O239" s="18" t="str">
        <f ca="1">getCodigoBackend(N239,A239,VLOOKUP(N239,setup!$A$8:$H$58,2),VLOOKUP(N239,setup!$A$8:$H$58,3),VLOOKUP(N239,setup!$A$8:$H$58,4),VLOOKUP(N239,setup!$A$8:$H$58,5),VLOOKUP(N239,setup!$A$8:$H$58,6),VLOOKUP(N239,setup!$A$8:$H$58,7), VLOOKUP(0,setup!$A$8:$H$58,2),VLOOKUP(0,setup!$A$8:$H$58,5),VLOOKUP(N239,setup!$A$8:$H$58,8))</f>
        <v>      ),</v>
      </c>
    </row>
    <row r="240" spans="1:15" x14ac:dyDescent="0.25">
      <c r="A240" s="6" t="s">
        <v>839</v>
      </c>
      <c r="O240" s="18" t="str">
        <f ca="1">getCodigoBackend(N240,A240,VLOOKUP(N240,setup!$A$8:$H$58,2),VLOOKUP(N240,setup!$A$8:$H$58,3),VLOOKUP(N240,setup!$A$8:$H$58,4),VLOOKUP(N240,setup!$A$8:$H$58,5),VLOOKUP(N240,setup!$A$8:$H$58,6),VLOOKUP(N240,setup!$A$8:$H$58,7), VLOOKUP(0,setup!$A$8:$H$58,2),VLOOKUP(0,setup!$A$8:$H$58,5),VLOOKUP(N240,setup!$A$8:$H$58,8))</f>
        <v>    );</v>
      </c>
    </row>
    <row r="241" spans="1:15" x14ac:dyDescent="0.25">
      <c r="A241" s="6" t="s">
        <v>840</v>
      </c>
      <c r="O241" s="18" t="str">
        <f ca="1">getCodigoBackend(N241,A241,VLOOKUP(N241,setup!$A$8:$H$58,2),VLOOKUP(N241,setup!$A$8:$H$58,3),VLOOKUP(N241,setup!$A$8:$H$58,4),VLOOKUP(N241,setup!$A$8:$H$58,5),VLOOKUP(N241,setup!$A$8:$H$58,6),VLOOKUP(N241,setup!$A$8:$H$58,7), VLOOKUP(0,setup!$A$8:$H$58,2),VLOOKUP(0,setup!$A$8:$H$58,5),VLOOKUP(N241,setup!$A$8:$H$58,8))</f>
        <v>  </v>
      </c>
    </row>
    <row r="242" spans="1:15" x14ac:dyDescent="0.25">
      <c r="A242" s="17"/>
      <c r="O242" s="18"/>
    </row>
    <row r="243" spans="1:15" x14ac:dyDescent="0.25">
      <c r="A243" s="6"/>
      <c r="O243" s="18" t="str">
        <f ca="1">getCodigoBackend(N243,A243,VLOOKUP(N243,setup!$A$8:$H$58,2),VLOOKUP(N243,setup!$A$8:$H$58,3),VLOOKUP(N243,setup!$A$8:$H$58,4),VLOOKUP(N243,setup!$A$8:$H$58,5),VLOOKUP(N243,setup!$A$8:$H$58,6),VLOOKUP(N243,setup!$A$8:$H$58,7), VLOOKUP(0,setup!$A$8:$H$58,2),VLOOKUP(0,setup!$A$8:$H$58,5),VLOOKUP(N243,setup!$A$8:$H$58,8))</f>
        <v/>
      </c>
    </row>
    <row r="244" spans="1:15" x14ac:dyDescent="0.25">
      <c r="A244" s="6" t="s">
        <v>479</v>
      </c>
      <c r="O244" s="18" t="str">
        <f ca="1">getCodigoBackend(N244,A244,VLOOKUP(N244,setup!$A$8:$H$58,2),VLOOKUP(N244,setup!$A$8:$H$58,3),VLOOKUP(N244,setup!$A$8:$H$58,4),VLOOKUP(N244,setup!$A$8:$H$58,5),VLOOKUP(N244,setup!$A$8:$H$58,6),VLOOKUP(N244,setup!$A$8:$H$58,7), VLOOKUP(0,setup!$A$8:$H$58,2),VLOOKUP(0,setup!$A$8:$H$58,5),VLOOKUP(N244,setup!$A$8:$H$58,8))</f>
        <v xml:space="preserve">  @override</v>
      </c>
    </row>
    <row r="245" spans="1:15" x14ac:dyDescent="0.25">
      <c r="A245" s="6" t="s">
        <v>486</v>
      </c>
      <c r="O245" s="18" t="str">
        <f ca="1">getCodigoBackend(N245,A245,VLOOKUP(N245,setup!$A$8:$H$58,2),VLOOKUP(N245,setup!$A$8:$H$58,3),VLOOKUP(N245,setup!$A$8:$H$58,4),VLOOKUP(N245,setup!$A$8:$H$58,5),VLOOKUP(N245,setup!$A$8:$H$58,6),VLOOKUP(N245,setup!$A$8:$H$58,7), VLOOKUP(0,setup!$A$8:$H$58,2),VLOOKUP(0,setup!$A$8:$H$58,5),VLOOKUP(N245,setup!$A$8:$H$58,8))</f>
        <v xml:space="preserve">  Widget build(BuildContext context) {</v>
      </c>
    </row>
    <row r="246" spans="1:15" x14ac:dyDescent="0.25">
      <c r="A246" s="6"/>
      <c r="O246" s="18" t="str">
        <f ca="1">getCodigoBackend(N246,A246,VLOOKUP(N246,setup!$A$8:$H$58,2),VLOOKUP(N246,setup!$A$8:$H$58,3),VLOOKUP(N246,setup!$A$8:$H$58,4),VLOOKUP(N246,setup!$A$8:$H$58,5),VLOOKUP(N246,setup!$A$8:$H$58,6),VLOOKUP(N246,setup!$A$8:$H$58,7), VLOOKUP(0,setup!$A$8:$H$58,2),VLOOKUP(0,setup!$A$8:$H$58,5),VLOOKUP(N246,setup!$A$8:$H$58,8))</f>
        <v/>
      </c>
    </row>
    <row r="247" spans="1:15" x14ac:dyDescent="0.25">
      <c r="A247" s="6" t="s">
        <v>524</v>
      </c>
      <c r="O247" s="18" t="str">
        <f ca="1">getCodigoBackend(N247,A247,VLOOKUP(N247,setup!$A$8:$H$58,2),VLOOKUP(N247,setup!$A$8:$H$58,3),VLOOKUP(N247,setup!$A$8:$H$58,4),VLOOKUP(N247,setup!$A$8:$H$58,5),VLOOKUP(N247,setup!$A$8:$H$58,6),VLOOKUP(N247,setup!$A$8:$H$58,7), VLOOKUP(0,setup!$A$8:$H$58,2),VLOOKUP(0,setup!$A$8:$H$58,5),VLOOKUP(N247,setup!$A$8:$H$58,8))</f>
        <v xml:space="preserve">    List&lt;Widget&gt; _lstCamposCampanhaCashbackResgatePix = [];</v>
      </c>
    </row>
    <row r="248" spans="1:15" x14ac:dyDescent="0.25">
      <c r="A248" s="6"/>
      <c r="O248" s="18" t="str">
        <f ca="1">getCodigoBackend(N248,A248,VLOOKUP(N248,setup!$A$8:$H$58,2),VLOOKUP(N248,setup!$A$8:$H$58,3),VLOOKUP(N248,setup!$A$8:$H$58,4),VLOOKUP(N248,setup!$A$8:$H$58,5),VLOOKUP(N248,setup!$A$8:$H$58,6),VLOOKUP(N248,setup!$A$8:$H$58,7), VLOOKUP(0,setup!$A$8:$H$58,2),VLOOKUP(0,setup!$A$8:$H$58,5),VLOOKUP(N248,setup!$A$8:$H$58,8))</f>
        <v/>
      </c>
    </row>
    <row r="249" spans="1:15" x14ac:dyDescent="0.25">
      <c r="A249" s="6" t="s">
        <v>533</v>
      </c>
      <c r="O249" s="18" t="str">
        <f ca="1">getCodigoBackend(N249,A249,VLOOKUP(N249,setup!$A$8:$H$58,2),VLOOKUP(N249,setup!$A$8:$H$58,3),VLOOKUP(N249,setup!$A$8:$H$58,4),VLOOKUP(N249,setup!$A$8:$H$58,5),VLOOKUP(N249,setup!$A$8:$H$58,6),VLOOKUP(N249,setup!$A$8:$H$58,7), VLOOKUP(0,setup!$A$8:$H$58,2),VLOOKUP(0,setup!$A$8:$H$58,5),VLOOKUP(N249,setup!$A$8:$H$58,8))</f>
        <v xml:space="preserve">    // ============================================================================</v>
      </c>
    </row>
    <row r="250" spans="1:15" x14ac:dyDescent="0.25">
      <c r="A250" s="6" t="s">
        <v>842</v>
      </c>
      <c r="O250" s="18" t="str">
        <f ca="1">getCodigoBackend(N250,A250,VLOOKUP(N250,setup!$A$8:$H$58,2),VLOOKUP(N250,setup!$A$8:$H$58,3),VLOOKUP(N250,setup!$A$8:$H$58,4),VLOOKUP(N250,setup!$A$8:$H$58,5),VLOOKUP(N250,setup!$A$8:$H$58,6),VLOOKUP(N250,setup!$A$8:$H$58,7), VLOOKUP(0,setup!$A$8:$H$58,2),VLOOKUP(0,setup!$A$8:$H$58,5),VLOOKUP(N250,setup!$A$8:$H$58,8))</f>
        <v xml:space="preserve">    // Criação dos campos que irão permitir a entrada de dados</v>
      </c>
    </row>
    <row r="251" spans="1:15" x14ac:dyDescent="0.25">
      <c r="A251" s="6" t="s">
        <v>533</v>
      </c>
      <c r="O251" s="18" t="str">
        <f ca="1">getCodigoBackend(N251,A251,VLOOKUP(N251,setup!$A$8:$H$58,2),VLOOKUP(N251,setup!$A$8:$H$58,3),VLOOKUP(N251,setup!$A$8:$H$58,4),VLOOKUP(N251,setup!$A$8:$H$58,5),VLOOKUP(N251,setup!$A$8:$H$58,6),VLOOKUP(N251,setup!$A$8:$H$58,7), VLOOKUP(0,setup!$A$8:$H$58,2),VLOOKUP(0,setup!$A$8:$H$58,5),VLOOKUP(N251,setup!$A$8:$H$58,8))</f>
        <v xml:space="preserve">    // ============================================================================</v>
      </c>
    </row>
    <row r="252" spans="1:15" x14ac:dyDescent="0.25">
      <c r="A252" s="6" t="s">
        <v>841</v>
      </c>
      <c r="N252">
        <v>0</v>
      </c>
      <c r="O252" s="18" t="str">
        <f ca="1">getCodigoBackend(N252,A252,VLOOKUP(N252,setup!$A$8:$H$58,2),VLOOKUP(N252,setup!$A$8:$H$58,3),VLOOKUP(N252,setup!$A$8:$H$58,4),VLOOKUP(N252,setup!$A$8:$H$58,5),VLOOKUP(N252,setup!$A$8:$H$58,6),VLOOKUP(N252,setup!$A$8:$H$58,7), VLOOKUP(0,setup!$A$8:$H$58,2),VLOOKUP(0,setup!$A$8:$H$58,5),VLOOKUP(N252,setup!$A$8:$H$58,8))</f>
        <v>    _lstCamposCampanhaCashbackResgatePix.add(criarWidgetEntry(tec: tecid, tit: TextInputType.text, label: "ID Resgate Cashback"));</v>
      </c>
    </row>
    <row r="253" spans="1:15" x14ac:dyDescent="0.25">
      <c r="A253" s="6" t="s">
        <v>841</v>
      </c>
      <c r="N253">
        <f t="shared" ref="N253:N284" si="7">N252+1</f>
        <v>1</v>
      </c>
      <c r="O253" s="18" t="str">
        <f ca="1">getCodigoBackend(N253,A253,VLOOKUP(N253,setup!$A$8:$H$58,2),VLOOKUP(N253,setup!$A$8:$H$58,3),VLOOKUP(N253,setup!$A$8:$H$58,4),VLOOKUP(N253,setup!$A$8:$H$58,5),VLOOKUP(N253,setup!$A$8:$H$58,6),VLOOKUP(N253,setup!$A$8:$H$58,7), VLOOKUP(0,setup!$A$8:$H$58,2),VLOOKUP(0,setup!$A$8:$H$58,5),VLOOKUP(N253,setup!$A$8:$H$58,8))</f>
        <v>    _lstCamposCampanhaCashbackResgatePix.add(criarWidgetEntry(tec: tecidCampanhaCashback, tit: TextInputType.text, label: "ID Campanha x Cashback"));</v>
      </c>
    </row>
    <row r="254" spans="1:15" x14ac:dyDescent="0.25">
      <c r="A254" s="6" t="s">
        <v>841</v>
      </c>
      <c r="N254">
        <f t="shared" si="7"/>
        <v>2</v>
      </c>
      <c r="O254" s="18" t="str">
        <f ca="1">getCodigoBackend(N254,A254,VLOOKUP(N254,setup!$A$8:$H$58,2),VLOOKUP(N254,setup!$A$8:$H$58,3),VLOOKUP(N254,setup!$A$8:$H$58,4),VLOOKUP(N254,setup!$A$8:$H$58,5),VLOOKUP(N254,setup!$A$8:$H$58,6),VLOOKUP(N254,setup!$A$8:$H$58,7), VLOOKUP(0,setup!$A$8:$H$58,2),VLOOKUP(0,setup!$A$8:$H$58,5),VLOOKUP(N254,setup!$A$8:$H$58,8))</f>
        <v>    _lstCamposCampanhaCashbackResgatePix.add(criarWidgetEntry(tec: tecidUsuarioSolicitante, tit: TextInputType.text, label: "ID do usuário solicitante"));</v>
      </c>
    </row>
    <row r="255" spans="1:15" x14ac:dyDescent="0.25">
      <c r="A255" s="6" t="s">
        <v>841</v>
      </c>
      <c r="N255">
        <f t="shared" si="7"/>
        <v>3</v>
      </c>
      <c r="O255" s="18" t="str">
        <f ca="1">getCodigoBackend(N255,A255,VLOOKUP(N255,setup!$A$8:$H$58,2),VLOOKUP(N255,setup!$A$8:$H$58,3),VLOOKUP(N255,setup!$A$8:$H$58,4),VLOOKUP(N255,setup!$A$8:$H$58,5),VLOOKUP(N255,setup!$A$8:$H$58,6),VLOOKUP(N255,setup!$A$8:$H$58,7), VLOOKUP(0,setup!$A$8:$H$58,2),VLOOKUP(0,setup!$A$8:$H$58,5),VLOOKUP(N255,setup!$A$8:$H$58,8))</f>
        <v>    _lstCamposCampanhaCashbackResgatePix.add(criarWidgetEntry(tec: tectipoChavePix, tit: TextInputType.text, label: "Tipo da Chave PIX"));</v>
      </c>
    </row>
    <row r="256" spans="1:15" x14ac:dyDescent="0.25">
      <c r="A256" s="6" t="s">
        <v>841</v>
      </c>
      <c r="N256">
        <f t="shared" si="7"/>
        <v>4</v>
      </c>
      <c r="O256" s="18" t="str">
        <f ca="1">getCodigoBackend(N256,A256,VLOOKUP(N256,setup!$A$8:$H$58,2),VLOOKUP(N256,setup!$A$8:$H$58,3),VLOOKUP(N256,setup!$A$8:$H$58,4),VLOOKUP(N256,setup!$A$8:$H$58,5),VLOOKUP(N256,setup!$A$8:$H$58,6),VLOOKUP(N256,setup!$A$8:$H$58,7), VLOOKUP(0,setup!$A$8:$H$58,2),VLOOKUP(0,setup!$A$8:$H$58,5),VLOOKUP(N256,setup!$A$8:$H$58,8))</f>
        <v>    _lstCamposCampanhaCashbackResgatePix.add(criarWidgetEntry(tec: tecchavePix, tit: TextInputType.text, label: "Chave PIX"));</v>
      </c>
    </row>
    <row r="257" spans="1:15" x14ac:dyDescent="0.25">
      <c r="A257" s="6" t="s">
        <v>841</v>
      </c>
      <c r="N257">
        <f t="shared" si="7"/>
        <v>5</v>
      </c>
      <c r="O257" s="18" t="str">
        <f ca="1">getCodigoBackend(N257,A257,VLOOKUP(N257,setup!$A$8:$H$58,2),VLOOKUP(N257,setup!$A$8:$H$58,3),VLOOKUP(N257,setup!$A$8:$H$58,4),VLOOKUP(N257,setup!$A$8:$H$58,5),VLOOKUP(N257,setup!$A$8:$H$58,6),VLOOKUP(N257,setup!$A$8:$H$58,7), VLOOKUP(0,setup!$A$8:$H$58,2),VLOOKUP(0,setup!$A$8:$H$58,5),VLOOKUP(N257,setup!$A$8:$H$58,8))</f>
        <v>    _lstCamposCampanhaCashbackResgatePix.add(criarWidgetEntry(tec: tecvalorResgate, tit: TextInputType.text, label: "Valor Pretendido a Resgatar"));</v>
      </c>
    </row>
    <row r="258" spans="1:15" x14ac:dyDescent="0.25">
      <c r="A258" s="6" t="s">
        <v>841</v>
      </c>
      <c r="N258">
        <f t="shared" si="7"/>
        <v>6</v>
      </c>
      <c r="O258" s="18" t="str">
        <f ca="1">getCodigoBackend(N258,A258,VLOOKUP(N258,setup!$A$8:$H$58,2),VLOOKUP(N258,setup!$A$8:$H$58,3),VLOOKUP(N258,setup!$A$8:$H$58,4),VLOOKUP(N258,setup!$A$8:$H$58,5),VLOOKUP(N258,setup!$A$8:$H$58,6),VLOOKUP(N258,setup!$A$8:$H$58,7), VLOOKUP(0,setup!$A$8:$H$58,2),VLOOKUP(0,setup!$A$8:$H$58,5),VLOOKUP(N258,setup!$A$8:$H$58,8))</f>
        <v>    _lstCamposCampanhaCashbackResgatePix.add(criarWidgetEntry(tec: tecautenticacaoBco, tit: TextInputType.text, label: "Autenticação do Banco"));</v>
      </c>
    </row>
    <row r="259" spans="1:15" x14ac:dyDescent="0.25">
      <c r="A259" s="6" t="s">
        <v>841</v>
      </c>
      <c r="N259">
        <f t="shared" si="7"/>
        <v>7</v>
      </c>
      <c r="O259" s="18" t="str">
        <f ca="1">getCodigoBackend(N259,A259,VLOOKUP(N259,setup!$A$8:$H$58,2),VLOOKUP(N259,setup!$A$8:$H$58,3),VLOOKUP(N259,setup!$A$8:$H$58,4),VLOOKUP(N259,setup!$A$8:$H$58,5),VLOOKUP(N259,setup!$A$8:$H$58,6),VLOOKUP(N259,setup!$A$8:$H$58,7), VLOOKUP(0,setup!$A$8:$H$58,2),VLOOKUP(0,setup!$A$8:$H$58,5),VLOOKUP(N259,setup!$A$8:$H$58,8))</f>
        <v>    _lstCamposCampanhaCashbackResgatePix.add(criarWidgetEntry(tec: tecestagioRealTime, tit: TextInputType.text, label: "Estágio Real Time"));</v>
      </c>
    </row>
    <row r="260" spans="1:15" x14ac:dyDescent="0.25">
      <c r="A260" s="6" t="s">
        <v>841</v>
      </c>
      <c r="N260">
        <f t="shared" si="7"/>
        <v>8</v>
      </c>
      <c r="O260" s="18" t="str">
        <f ca="1">getCodigoBackend(N260,A260,VLOOKUP(N260,setup!$A$8:$H$58,2),VLOOKUP(N260,setup!$A$8:$H$58,3),VLOOKUP(N260,setup!$A$8:$H$58,4),VLOOKUP(N260,setup!$A$8:$H$58,5),VLOOKUP(N260,setup!$A$8:$H$58,6),VLOOKUP(N260,setup!$A$8:$H$58,7), VLOOKUP(0,setup!$A$8:$H$58,2),VLOOKUP(0,setup!$A$8:$H$58,5),VLOOKUP(N260,setup!$A$8:$H$58,8))</f>
        <v>    _lstCamposCampanhaCashbackResgatePix.add(criarWidgetEntry(tec: tecdtEstagioAnalise, tit: TextInputType.text, label: "Data Registro Estágio Análise"));</v>
      </c>
    </row>
    <row r="261" spans="1:15" x14ac:dyDescent="0.25">
      <c r="A261" s="6" t="s">
        <v>841</v>
      </c>
      <c r="N261">
        <f t="shared" si="7"/>
        <v>9</v>
      </c>
      <c r="O261" s="18" t="str">
        <f ca="1">getCodigoBackend(N261,A261,VLOOKUP(N261,setup!$A$8:$H$58,2),VLOOKUP(N261,setup!$A$8:$H$58,3),VLOOKUP(N261,setup!$A$8:$H$58,4),VLOOKUP(N261,setup!$A$8:$H$58,5),VLOOKUP(N261,setup!$A$8:$H$58,6),VLOOKUP(N261,setup!$A$8:$H$58,7), VLOOKUP(0,setup!$A$8:$H$58,2),VLOOKUP(0,setup!$A$8:$H$58,5),VLOOKUP(N261,setup!$A$8:$H$58,8))</f>
        <v>    _lstCamposCampanhaCashbackResgatePix.add(criarWidgetEntry(tec: tecdtEstagioFinanceiro, tit: TextInputType.text, label: "Data Registro Estágio Financeiro"));</v>
      </c>
    </row>
    <row r="262" spans="1:15" x14ac:dyDescent="0.25">
      <c r="A262" s="6" t="s">
        <v>841</v>
      </c>
      <c r="N262">
        <f t="shared" si="7"/>
        <v>10</v>
      </c>
      <c r="O262" s="18" t="str">
        <f ca="1">getCodigoBackend(N262,A262,VLOOKUP(N262,setup!$A$8:$H$58,2),VLOOKUP(N262,setup!$A$8:$H$58,3),VLOOKUP(N262,setup!$A$8:$H$58,4),VLOOKUP(N262,setup!$A$8:$H$58,5),VLOOKUP(N262,setup!$A$8:$H$58,6),VLOOKUP(N262,setup!$A$8:$H$58,7), VLOOKUP(0,setup!$A$8:$H$58,2),VLOOKUP(0,setup!$A$8:$H$58,5),VLOOKUP(N262,setup!$A$8:$H$58,8))</f>
        <v>    _lstCamposCampanhaCashbackResgatePix.add(criarWidgetEntry(tec: tecdtEstagioErro, tit: TextInputType.text, label: "Data Registro Estágio Erro"));</v>
      </c>
    </row>
    <row r="263" spans="1:15" x14ac:dyDescent="0.25">
      <c r="A263" s="6" t="s">
        <v>841</v>
      </c>
      <c r="N263">
        <f t="shared" si="7"/>
        <v>11</v>
      </c>
      <c r="O263" s="18" t="str">
        <f ca="1">getCodigoBackend(N263,A263,VLOOKUP(N263,setup!$A$8:$H$58,2),VLOOKUP(N263,setup!$A$8:$H$58,3),VLOOKUP(N263,setup!$A$8:$H$58,4),VLOOKUP(N263,setup!$A$8:$H$58,5),VLOOKUP(N263,setup!$A$8:$H$58,6),VLOOKUP(N263,setup!$A$8:$H$58,7), VLOOKUP(0,setup!$A$8:$H$58,2),VLOOKUP(0,setup!$A$8:$H$58,5),VLOOKUP(N263,setup!$A$8:$H$58,8))</f>
        <v>    _lstCamposCampanhaCashbackResgatePix.add(criarWidgetEntry(tec: tecdtEstagioTranfBco, tit: TextInputType.text, label: "Data Registro Estágio Transferido Bco"));</v>
      </c>
    </row>
    <row r="264" spans="1:15" x14ac:dyDescent="0.25">
      <c r="A264" s="6" t="s">
        <v>841</v>
      </c>
      <c r="N264">
        <f t="shared" si="7"/>
        <v>12</v>
      </c>
      <c r="O264" s="18" t="str">
        <f ca="1">getCodigoBackend(N264,A264,VLOOKUP(N264,setup!$A$8:$H$58,2),VLOOKUP(N264,setup!$A$8:$H$58,3),VLOOKUP(N264,setup!$A$8:$H$58,4),VLOOKUP(N264,setup!$A$8:$H$58,5),VLOOKUP(N264,setup!$A$8:$H$58,6),VLOOKUP(N264,setup!$A$8:$H$58,7), VLOOKUP(0,setup!$A$8:$H$58,2),VLOOKUP(0,setup!$A$8:$H$58,5),VLOOKUP(N264,setup!$A$8:$H$58,8))</f>
        <v>    _lstCamposCampanhaCashbackResgatePix.add(criarWidgetEntry(tec: tectxtLivreEstagioRT, tit: TextInputType.text, label: "Texto Livre do Estagio RT"));</v>
      </c>
    </row>
    <row r="265" spans="1:15" x14ac:dyDescent="0.25">
      <c r="A265" s="6" t="s">
        <v>841</v>
      </c>
      <c r="N265">
        <f t="shared" si="7"/>
        <v>13</v>
      </c>
      <c r="O265" s="18" t="e">
        <f>getCodigoBackend(N265,A265,VLOOKUP(N265,setup!$A$8:$H$58,2),VLOOKUP(N265,setup!$A$8:$H$58,3),VLOOKUP(N265,setup!$A$8:$H$58,4),VLOOKUP(N265,setup!$A$8:$H$58,5),VLOOKUP(N265,setup!$A$8:$H$58,6),VLOOKUP(N265,setup!$A$8:$H$58,7), VLOOKUP(0,setup!$A$8:$H$58,2),VLOOKUP(0,setup!$A$8:$H$58,5),VLOOKUP(N265,setup!$A$8:$H$58,8))</f>
        <v>#VALUE!</v>
      </c>
    </row>
    <row r="266" spans="1:15" x14ac:dyDescent="0.25">
      <c r="A266" s="6" t="s">
        <v>841</v>
      </c>
      <c r="N266">
        <f t="shared" si="7"/>
        <v>14</v>
      </c>
      <c r="O266" s="18" t="e">
        <f>getCodigoBackend(N266,A266,VLOOKUP(N266,setup!$A$8:$H$58,2),VLOOKUP(N266,setup!$A$8:$H$58,3),VLOOKUP(N266,setup!$A$8:$H$58,4),VLOOKUP(N266,setup!$A$8:$H$58,5),VLOOKUP(N266,setup!$A$8:$H$58,6),VLOOKUP(N266,setup!$A$8:$H$58,7), VLOOKUP(0,setup!$A$8:$H$58,2),VLOOKUP(0,setup!$A$8:$H$58,5),VLOOKUP(N266,setup!$A$8:$H$58,8))</f>
        <v>#VALUE!</v>
      </c>
    </row>
    <row r="267" spans="1:15" x14ac:dyDescent="0.25">
      <c r="A267" s="6" t="s">
        <v>841</v>
      </c>
      <c r="N267">
        <f t="shared" si="7"/>
        <v>15</v>
      </c>
      <c r="O267" s="18" t="e">
        <f>getCodigoBackend(N267,A267,VLOOKUP(N267,setup!$A$8:$H$58,2),VLOOKUP(N267,setup!$A$8:$H$58,3),VLOOKUP(N267,setup!$A$8:$H$58,4),VLOOKUP(N267,setup!$A$8:$H$58,5),VLOOKUP(N267,setup!$A$8:$H$58,6),VLOOKUP(N267,setup!$A$8:$H$58,7), VLOOKUP(0,setup!$A$8:$H$58,2),VLOOKUP(0,setup!$A$8:$H$58,5),VLOOKUP(N267,setup!$A$8:$H$58,8))</f>
        <v>#VALUE!</v>
      </c>
    </row>
    <row r="268" spans="1:15" x14ac:dyDescent="0.25">
      <c r="A268" s="6" t="s">
        <v>841</v>
      </c>
      <c r="N268">
        <f t="shared" si="7"/>
        <v>16</v>
      </c>
      <c r="O268" s="18" t="e">
        <f>getCodigoBackend(N268,A268,VLOOKUP(N268,setup!$A$8:$H$58,2),VLOOKUP(N268,setup!$A$8:$H$58,3),VLOOKUP(N268,setup!$A$8:$H$58,4),VLOOKUP(N268,setup!$A$8:$H$58,5),VLOOKUP(N268,setup!$A$8:$H$58,6),VLOOKUP(N268,setup!$A$8:$H$58,7), VLOOKUP(0,setup!$A$8:$H$58,2),VLOOKUP(0,setup!$A$8:$H$58,5),VLOOKUP(N268,setup!$A$8:$H$58,8))</f>
        <v>#VALUE!</v>
      </c>
    </row>
    <row r="269" spans="1:15" x14ac:dyDescent="0.25">
      <c r="A269" s="6" t="s">
        <v>841</v>
      </c>
      <c r="N269">
        <f t="shared" si="7"/>
        <v>17</v>
      </c>
      <c r="O269" s="18" t="e">
        <f>getCodigoBackend(N269,A269,VLOOKUP(N269,setup!$A$8:$H$58,2),VLOOKUP(N269,setup!$A$8:$H$58,3),VLOOKUP(N269,setup!$A$8:$H$58,4),VLOOKUP(N269,setup!$A$8:$H$58,5),VLOOKUP(N269,setup!$A$8:$H$58,6),VLOOKUP(N269,setup!$A$8:$H$58,7), VLOOKUP(0,setup!$A$8:$H$58,2),VLOOKUP(0,setup!$A$8:$H$58,5),VLOOKUP(N269,setup!$A$8:$H$58,8))</f>
        <v>#VALUE!</v>
      </c>
    </row>
    <row r="270" spans="1:15" x14ac:dyDescent="0.25">
      <c r="A270" s="6" t="s">
        <v>841</v>
      </c>
      <c r="N270">
        <f t="shared" si="7"/>
        <v>18</v>
      </c>
      <c r="O270" s="18" t="e">
        <f>getCodigoBackend(N270,A270,VLOOKUP(N270,setup!$A$8:$H$58,2),VLOOKUP(N270,setup!$A$8:$H$58,3),VLOOKUP(N270,setup!$A$8:$H$58,4),VLOOKUP(N270,setup!$A$8:$H$58,5),VLOOKUP(N270,setup!$A$8:$H$58,6),VLOOKUP(N270,setup!$A$8:$H$58,7), VLOOKUP(0,setup!$A$8:$H$58,2),VLOOKUP(0,setup!$A$8:$H$58,5),VLOOKUP(N270,setup!$A$8:$H$58,8))</f>
        <v>#VALUE!</v>
      </c>
    </row>
    <row r="271" spans="1:15" x14ac:dyDescent="0.25">
      <c r="A271" s="6" t="s">
        <v>841</v>
      </c>
      <c r="N271">
        <f t="shared" si="7"/>
        <v>19</v>
      </c>
      <c r="O271" s="18" t="e">
        <f>getCodigoBackend(N271,A271,VLOOKUP(N271,setup!$A$8:$H$58,2),VLOOKUP(N271,setup!$A$8:$H$58,3),VLOOKUP(N271,setup!$A$8:$H$58,4),VLOOKUP(N271,setup!$A$8:$H$58,5),VLOOKUP(N271,setup!$A$8:$H$58,6),VLOOKUP(N271,setup!$A$8:$H$58,7), VLOOKUP(0,setup!$A$8:$H$58,2),VLOOKUP(0,setup!$A$8:$H$58,5),VLOOKUP(N271,setup!$A$8:$H$58,8))</f>
        <v>#VALUE!</v>
      </c>
    </row>
    <row r="272" spans="1:15" x14ac:dyDescent="0.25">
      <c r="A272" s="6" t="s">
        <v>841</v>
      </c>
      <c r="N272">
        <f t="shared" si="7"/>
        <v>20</v>
      </c>
      <c r="O272" s="18" t="e">
        <f>getCodigoBackend(N272,A272,VLOOKUP(N272,setup!$A$8:$H$58,2),VLOOKUP(N272,setup!$A$8:$H$58,3),VLOOKUP(N272,setup!$A$8:$H$58,4),VLOOKUP(N272,setup!$A$8:$H$58,5),VLOOKUP(N272,setup!$A$8:$H$58,6),VLOOKUP(N272,setup!$A$8:$H$58,7), VLOOKUP(0,setup!$A$8:$H$58,2),VLOOKUP(0,setup!$A$8:$H$58,5),VLOOKUP(N272,setup!$A$8:$H$58,8))</f>
        <v>#VALUE!</v>
      </c>
    </row>
    <row r="273" spans="1:15" x14ac:dyDescent="0.25">
      <c r="A273" s="6" t="s">
        <v>841</v>
      </c>
      <c r="N273">
        <f t="shared" si="7"/>
        <v>21</v>
      </c>
      <c r="O273" s="18" t="e">
        <f>getCodigoBackend(N273,A273,VLOOKUP(N273,setup!$A$8:$H$58,2),VLOOKUP(N273,setup!$A$8:$H$58,3),VLOOKUP(N273,setup!$A$8:$H$58,4),VLOOKUP(N273,setup!$A$8:$H$58,5),VLOOKUP(N273,setup!$A$8:$H$58,6),VLOOKUP(N273,setup!$A$8:$H$58,7), VLOOKUP(0,setup!$A$8:$H$58,2),VLOOKUP(0,setup!$A$8:$H$58,5),VLOOKUP(N273,setup!$A$8:$H$58,8))</f>
        <v>#VALUE!</v>
      </c>
    </row>
    <row r="274" spans="1:15" x14ac:dyDescent="0.25">
      <c r="A274" s="6" t="s">
        <v>841</v>
      </c>
      <c r="N274">
        <f t="shared" si="7"/>
        <v>22</v>
      </c>
      <c r="O274" s="18" t="e">
        <f>getCodigoBackend(N274,A274,VLOOKUP(N274,setup!$A$8:$H$58,2),VLOOKUP(N274,setup!$A$8:$H$58,3),VLOOKUP(N274,setup!$A$8:$H$58,4),VLOOKUP(N274,setup!$A$8:$H$58,5),VLOOKUP(N274,setup!$A$8:$H$58,6),VLOOKUP(N274,setup!$A$8:$H$58,7), VLOOKUP(0,setup!$A$8:$H$58,2),VLOOKUP(0,setup!$A$8:$H$58,5),VLOOKUP(N274,setup!$A$8:$H$58,8))</f>
        <v>#VALUE!</v>
      </c>
    </row>
    <row r="275" spans="1:15" x14ac:dyDescent="0.25">
      <c r="A275" s="6" t="s">
        <v>841</v>
      </c>
      <c r="N275">
        <f t="shared" si="7"/>
        <v>23</v>
      </c>
      <c r="O275" s="18" t="e">
        <f>getCodigoBackend(N275,A275,VLOOKUP(N275,setup!$A$8:$H$58,2),VLOOKUP(N275,setup!$A$8:$H$58,3),VLOOKUP(N275,setup!$A$8:$H$58,4),VLOOKUP(N275,setup!$A$8:$H$58,5),VLOOKUP(N275,setup!$A$8:$H$58,6),VLOOKUP(N275,setup!$A$8:$H$58,7), VLOOKUP(0,setup!$A$8:$H$58,2),VLOOKUP(0,setup!$A$8:$H$58,5),VLOOKUP(N275,setup!$A$8:$H$58,8))</f>
        <v>#VALUE!</v>
      </c>
    </row>
    <row r="276" spans="1:15" x14ac:dyDescent="0.25">
      <c r="A276" s="6" t="s">
        <v>841</v>
      </c>
      <c r="N276">
        <f t="shared" si="7"/>
        <v>24</v>
      </c>
      <c r="O276" s="18" t="e">
        <f>getCodigoBackend(N276,A276,VLOOKUP(N276,setup!$A$8:$H$58,2),VLOOKUP(N276,setup!$A$8:$H$58,3),VLOOKUP(N276,setup!$A$8:$H$58,4),VLOOKUP(N276,setup!$A$8:$H$58,5),VLOOKUP(N276,setup!$A$8:$H$58,6),VLOOKUP(N276,setup!$A$8:$H$58,7), VLOOKUP(0,setup!$A$8:$H$58,2),VLOOKUP(0,setup!$A$8:$H$58,5),VLOOKUP(N276,setup!$A$8:$H$58,8))</f>
        <v>#VALUE!</v>
      </c>
    </row>
    <row r="277" spans="1:15" x14ac:dyDescent="0.25">
      <c r="A277" s="6" t="s">
        <v>841</v>
      </c>
      <c r="N277">
        <f t="shared" si="7"/>
        <v>25</v>
      </c>
      <c r="O277" s="18" t="e">
        <f>getCodigoBackend(N277,A277,VLOOKUP(N277,setup!$A$8:$H$58,2),VLOOKUP(N277,setup!$A$8:$H$58,3),VLOOKUP(N277,setup!$A$8:$H$58,4),VLOOKUP(N277,setup!$A$8:$H$58,5),VLOOKUP(N277,setup!$A$8:$H$58,6),VLOOKUP(N277,setup!$A$8:$H$58,7), VLOOKUP(0,setup!$A$8:$H$58,2),VLOOKUP(0,setup!$A$8:$H$58,5),VLOOKUP(N277,setup!$A$8:$H$58,8))</f>
        <v>#VALUE!</v>
      </c>
    </row>
    <row r="278" spans="1:15" x14ac:dyDescent="0.25">
      <c r="A278" s="6" t="s">
        <v>841</v>
      </c>
      <c r="N278">
        <f t="shared" si="7"/>
        <v>26</v>
      </c>
      <c r="O278" s="18" t="e">
        <f>getCodigoBackend(N278,A278,VLOOKUP(N278,setup!$A$8:$H$58,2),VLOOKUP(N278,setup!$A$8:$H$58,3),VLOOKUP(N278,setup!$A$8:$H$58,4),VLOOKUP(N278,setup!$A$8:$H$58,5),VLOOKUP(N278,setup!$A$8:$H$58,6),VLOOKUP(N278,setup!$A$8:$H$58,7), VLOOKUP(0,setup!$A$8:$H$58,2),VLOOKUP(0,setup!$A$8:$H$58,5),VLOOKUP(N278,setup!$A$8:$H$58,8))</f>
        <v>#VALUE!</v>
      </c>
    </row>
    <row r="279" spans="1:15" x14ac:dyDescent="0.25">
      <c r="A279" s="6" t="s">
        <v>841</v>
      </c>
      <c r="N279">
        <f t="shared" si="7"/>
        <v>27</v>
      </c>
      <c r="O279" s="18" t="e">
        <f>getCodigoBackend(N279,A279,VLOOKUP(N279,setup!$A$8:$H$58,2),VLOOKUP(N279,setup!$A$8:$H$58,3),VLOOKUP(N279,setup!$A$8:$H$58,4),VLOOKUP(N279,setup!$A$8:$H$58,5),VLOOKUP(N279,setup!$A$8:$H$58,6),VLOOKUP(N279,setup!$A$8:$H$58,7), VLOOKUP(0,setup!$A$8:$H$58,2),VLOOKUP(0,setup!$A$8:$H$58,5),VLOOKUP(N279,setup!$A$8:$H$58,8))</f>
        <v>#VALUE!</v>
      </c>
    </row>
    <row r="280" spans="1:15" x14ac:dyDescent="0.25">
      <c r="A280" s="6" t="s">
        <v>841</v>
      </c>
      <c r="N280">
        <f t="shared" si="7"/>
        <v>28</v>
      </c>
      <c r="O280" s="18" t="e">
        <f>getCodigoBackend(N280,A280,VLOOKUP(N280,setup!$A$8:$H$58,2),VLOOKUP(N280,setup!$A$8:$H$58,3),VLOOKUP(N280,setup!$A$8:$H$58,4),VLOOKUP(N280,setup!$A$8:$H$58,5),VLOOKUP(N280,setup!$A$8:$H$58,6),VLOOKUP(N280,setup!$A$8:$H$58,7), VLOOKUP(0,setup!$A$8:$H$58,2),VLOOKUP(0,setup!$A$8:$H$58,5),VLOOKUP(N280,setup!$A$8:$H$58,8))</f>
        <v>#VALUE!</v>
      </c>
    </row>
    <row r="281" spans="1:15" x14ac:dyDescent="0.25">
      <c r="A281" s="6" t="s">
        <v>841</v>
      </c>
      <c r="N281">
        <f t="shared" si="7"/>
        <v>29</v>
      </c>
      <c r="O281" s="18" t="e">
        <f>getCodigoBackend(N281,A281,VLOOKUP(N281,setup!$A$8:$H$58,2),VLOOKUP(N281,setup!$A$8:$H$58,3),VLOOKUP(N281,setup!$A$8:$H$58,4),VLOOKUP(N281,setup!$A$8:$H$58,5),VLOOKUP(N281,setup!$A$8:$H$58,6),VLOOKUP(N281,setup!$A$8:$H$58,7), VLOOKUP(0,setup!$A$8:$H$58,2),VLOOKUP(0,setup!$A$8:$H$58,5),VLOOKUP(N281,setup!$A$8:$H$58,8))</f>
        <v>#VALUE!</v>
      </c>
    </row>
    <row r="282" spans="1:15" x14ac:dyDescent="0.25">
      <c r="A282" s="6" t="s">
        <v>841</v>
      </c>
      <c r="N282">
        <f t="shared" si="7"/>
        <v>30</v>
      </c>
      <c r="O282" s="18" t="e">
        <f>getCodigoBackend(N282,A282,VLOOKUP(N282,setup!$A$8:$H$58,2),VLOOKUP(N282,setup!$A$8:$H$58,3),VLOOKUP(N282,setup!$A$8:$H$58,4),VLOOKUP(N282,setup!$A$8:$H$58,5),VLOOKUP(N282,setup!$A$8:$H$58,6),VLOOKUP(N282,setup!$A$8:$H$58,7), VLOOKUP(0,setup!$A$8:$H$58,2),VLOOKUP(0,setup!$A$8:$H$58,5),VLOOKUP(N282,setup!$A$8:$H$58,8))</f>
        <v>#VALUE!</v>
      </c>
    </row>
    <row r="283" spans="1:15" x14ac:dyDescent="0.25">
      <c r="A283" s="6" t="s">
        <v>841</v>
      </c>
      <c r="N283">
        <f t="shared" si="7"/>
        <v>31</v>
      </c>
      <c r="O283" s="18" t="e">
        <f>getCodigoBackend(N283,A283,VLOOKUP(N283,setup!$A$8:$H$58,2),VLOOKUP(N283,setup!$A$8:$H$58,3),VLOOKUP(N283,setup!$A$8:$H$58,4),VLOOKUP(N283,setup!$A$8:$H$58,5),VLOOKUP(N283,setup!$A$8:$H$58,6),VLOOKUP(N283,setup!$A$8:$H$58,7), VLOOKUP(0,setup!$A$8:$H$58,2),VLOOKUP(0,setup!$A$8:$H$58,5),VLOOKUP(N283,setup!$A$8:$H$58,8))</f>
        <v>#VALUE!</v>
      </c>
    </row>
    <row r="284" spans="1:15" x14ac:dyDescent="0.25">
      <c r="A284" s="6" t="s">
        <v>841</v>
      </c>
      <c r="N284">
        <f t="shared" si="7"/>
        <v>32</v>
      </c>
      <c r="O284" s="18" t="e">
        <f>getCodigoBackend(N284,A284,VLOOKUP(N284,setup!$A$8:$H$58,2),VLOOKUP(N284,setup!$A$8:$H$58,3),VLOOKUP(N284,setup!$A$8:$H$58,4),VLOOKUP(N284,setup!$A$8:$H$58,5),VLOOKUP(N284,setup!$A$8:$H$58,6),VLOOKUP(N284,setup!$A$8:$H$58,7), VLOOKUP(0,setup!$A$8:$H$58,2),VLOOKUP(0,setup!$A$8:$H$58,5),VLOOKUP(N284,setup!$A$8:$H$58,8))</f>
        <v>#VALUE!</v>
      </c>
    </row>
    <row r="285" spans="1:15" x14ac:dyDescent="0.25">
      <c r="A285" s="6" t="s">
        <v>841</v>
      </c>
      <c r="N285">
        <f t="shared" ref="N285:N302" si="8">N284+1</f>
        <v>33</v>
      </c>
      <c r="O285" s="18" t="e">
        <f>getCodigoBackend(N285,A285,VLOOKUP(N285,setup!$A$8:$H$58,2),VLOOKUP(N285,setup!$A$8:$H$58,3),VLOOKUP(N285,setup!$A$8:$H$58,4),VLOOKUP(N285,setup!$A$8:$H$58,5),VLOOKUP(N285,setup!$A$8:$H$58,6),VLOOKUP(N285,setup!$A$8:$H$58,7), VLOOKUP(0,setup!$A$8:$H$58,2),VLOOKUP(0,setup!$A$8:$H$58,5),VLOOKUP(N285,setup!$A$8:$H$58,8))</f>
        <v>#VALUE!</v>
      </c>
    </row>
    <row r="286" spans="1:15" x14ac:dyDescent="0.25">
      <c r="A286" s="6" t="s">
        <v>841</v>
      </c>
      <c r="N286">
        <f t="shared" si="8"/>
        <v>34</v>
      </c>
      <c r="O286" s="18" t="e">
        <f>getCodigoBackend(N286,A286,VLOOKUP(N286,setup!$A$8:$H$58,2),VLOOKUP(N286,setup!$A$8:$H$58,3),VLOOKUP(N286,setup!$A$8:$H$58,4),VLOOKUP(N286,setup!$A$8:$H$58,5),VLOOKUP(N286,setup!$A$8:$H$58,6),VLOOKUP(N286,setup!$A$8:$H$58,7), VLOOKUP(0,setup!$A$8:$H$58,2),VLOOKUP(0,setup!$A$8:$H$58,5),VLOOKUP(N286,setup!$A$8:$H$58,8))</f>
        <v>#VALUE!</v>
      </c>
    </row>
    <row r="287" spans="1:15" x14ac:dyDescent="0.25">
      <c r="A287" s="6" t="s">
        <v>841</v>
      </c>
      <c r="N287">
        <f t="shared" si="8"/>
        <v>35</v>
      </c>
      <c r="O287" s="18" t="e">
        <f>getCodigoBackend(N287,A287,VLOOKUP(N287,setup!$A$8:$H$58,2),VLOOKUP(N287,setup!$A$8:$H$58,3),VLOOKUP(N287,setup!$A$8:$H$58,4),VLOOKUP(N287,setup!$A$8:$H$58,5),VLOOKUP(N287,setup!$A$8:$H$58,6),VLOOKUP(N287,setup!$A$8:$H$58,7), VLOOKUP(0,setup!$A$8:$H$58,2),VLOOKUP(0,setup!$A$8:$H$58,5),VLOOKUP(N287,setup!$A$8:$H$58,8))</f>
        <v>#VALUE!</v>
      </c>
    </row>
    <row r="288" spans="1:15" x14ac:dyDescent="0.25">
      <c r="A288" s="6" t="s">
        <v>841</v>
      </c>
      <c r="N288">
        <f t="shared" si="8"/>
        <v>36</v>
      </c>
      <c r="O288" s="18" t="e">
        <f>getCodigoBackend(N288,A288,VLOOKUP(N288,setup!$A$8:$H$58,2),VLOOKUP(N288,setup!$A$8:$H$58,3),VLOOKUP(N288,setup!$A$8:$H$58,4),VLOOKUP(N288,setup!$A$8:$H$58,5),VLOOKUP(N288,setup!$A$8:$H$58,6),VLOOKUP(N288,setup!$A$8:$H$58,7), VLOOKUP(0,setup!$A$8:$H$58,2),VLOOKUP(0,setup!$A$8:$H$58,5),VLOOKUP(N288,setup!$A$8:$H$58,8))</f>
        <v>#VALUE!</v>
      </c>
    </row>
    <row r="289" spans="1:15" x14ac:dyDescent="0.25">
      <c r="A289" s="6" t="s">
        <v>841</v>
      </c>
      <c r="N289">
        <f t="shared" si="8"/>
        <v>37</v>
      </c>
      <c r="O289" s="18" t="e">
        <f>getCodigoBackend(N289,A289,VLOOKUP(N289,setup!$A$8:$H$58,2),VLOOKUP(N289,setup!$A$8:$H$58,3),VLOOKUP(N289,setup!$A$8:$H$58,4),VLOOKUP(N289,setup!$A$8:$H$58,5),VLOOKUP(N289,setup!$A$8:$H$58,6),VLOOKUP(N289,setup!$A$8:$H$58,7), VLOOKUP(0,setup!$A$8:$H$58,2),VLOOKUP(0,setup!$A$8:$H$58,5),VLOOKUP(N289,setup!$A$8:$H$58,8))</f>
        <v>#VALUE!</v>
      </c>
    </row>
    <row r="290" spans="1:15" x14ac:dyDescent="0.25">
      <c r="A290" s="6" t="s">
        <v>841</v>
      </c>
      <c r="N290">
        <f t="shared" si="8"/>
        <v>38</v>
      </c>
      <c r="O290" s="18" t="e">
        <f>getCodigoBackend(N290,A290,VLOOKUP(N290,setup!$A$8:$H$58,2),VLOOKUP(N290,setup!$A$8:$H$58,3),VLOOKUP(N290,setup!$A$8:$H$58,4),VLOOKUP(N290,setup!$A$8:$H$58,5),VLOOKUP(N290,setup!$A$8:$H$58,6),VLOOKUP(N290,setup!$A$8:$H$58,7), VLOOKUP(0,setup!$A$8:$H$58,2),VLOOKUP(0,setup!$A$8:$H$58,5),VLOOKUP(N290,setup!$A$8:$H$58,8))</f>
        <v>#VALUE!</v>
      </c>
    </row>
    <row r="291" spans="1:15" x14ac:dyDescent="0.25">
      <c r="A291" s="6" t="s">
        <v>841</v>
      </c>
      <c r="N291">
        <f t="shared" si="8"/>
        <v>39</v>
      </c>
      <c r="O291" s="18" t="e">
        <f>getCodigoBackend(N291,A291,VLOOKUP(N291,setup!$A$8:$H$58,2),VLOOKUP(N291,setup!$A$8:$H$58,3),VLOOKUP(N291,setup!$A$8:$H$58,4),VLOOKUP(N291,setup!$A$8:$H$58,5),VLOOKUP(N291,setup!$A$8:$H$58,6),VLOOKUP(N291,setup!$A$8:$H$58,7), VLOOKUP(0,setup!$A$8:$H$58,2),VLOOKUP(0,setup!$A$8:$H$58,5),VLOOKUP(N291,setup!$A$8:$H$58,8))</f>
        <v>#VALUE!</v>
      </c>
    </row>
    <row r="292" spans="1:15" x14ac:dyDescent="0.25">
      <c r="A292" s="6" t="s">
        <v>841</v>
      </c>
      <c r="N292">
        <f t="shared" si="8"/>
        <v>40</v>
      </c>
      <c r="O292" s="18" t="e">
        <f>getCodigoBackend(N292,A292,VLOOKUP(N292,setup!$A$8:$H$58,2),VLOOKUP(N292,setup!$A$8:$H$58,3),VLOOKUP(N292,setup!$A$8:$H$58,4),VLOOKUP(N292,setup!$A$8:$H$58,5),VLOOKUP(N292,setup!$A$8:$H$58,6),VLOOKUP(N292,setup!$A$8:$H$58,7), VLOOKUP(0,setup!$A$8:$H$58,2),VLOOKUP(0,setup!$A$8:$H$58,5),VLOOKUP(N292,setup!$A$8:$H$58,8))</f>
        <v>#VALUE!</v>
      </c>
    </row>
    <row r="293" spans="1:15" x14ac:dyDescent="0.25">
      <c r="A293" s="6" t="s">
        <v>841</v>
      </c>
      <c r="N293">
        <f t="shared" si="8"/>
        <v>41</v>
      </c>
      <c r="O293" s="18" t="e">
        <f>getCodigoBackend(N293,A293,VLOOKUP(N293,setup!$A$8:$H$58,2),VLOOKUP(N293,setup!$A$8:$H$58,3),VLOOKUP(N293,setup!$A$8:$H$58,4),VLOOKUP(N293,setup!$A$8:$H$58,5),VLOOKUP(N293,setup!$A$8:$H$58,6),VLOOKUP(N293,setup!$A$8:$H$58,7), VLOOKUP(0,setup!$A$8:$H$58,2),VLOOKUP(0,setup!$A$8:$H$58,5),VLOOKUP(N293,setup!$A$8:$H$58,8))</f>
        <v>#VALUE!</v>
      </c>
    </row>
    <row r="294" spans="1:15" x14ac:dyDescent="0.25">
      <c r="A294" s="6" t="s">
        <v>841</v>
      </c>
      <c r="N294">
        <f t="shared" si="8"/>
        <v>42</v>
      </c>
      <c r="O294" s="18" t="e">
        <f>getCodigoBackend(N294,A294,VLOOKUP(N294,setup!$A$8:$H$58,2),VLOOKUP(N294,setup!$A$8:$H$58,3),VLOOKUP(N294,setup!$A$8:$H$58,4),VLOOKUP(N294,setup!$A$8:$H$58,5),VLOOKUP(N294,setup!$A$8:$H$58,6),VLOOKUP(N294,setup!$A$8:$H$58,7), VLOOKUP(0,setup!$A$8:$H$58,2),VLOOKUP(0,setup!$A$8:$H$58,5),VLOOKUP(N294,setup!$A$8:$H$58,8))</f>
        <v>#VALUE!</v>
      </c>
    </row>
    <row r="295" spans="1:15" x14ac:dyDescent="0.25">
      <c r="A295" s="6" t="s">
        <v>841</v>
      </c>
      <c r="N295">
        <f t="shared" si="8"/>
        <v>43</v>
      </c>
      <c r="O295" s="18" t="e">
        <f>getCodigoBackend(N295,A295,VLOOKUP(N295,setup!$A$8:$H$58,2),VLOOKUP(N295,setup!$A$8:$H$58,3),VLOOKUP(N295,setup!$A$8:$H$58,4),VLOOKUP(N295,setup!$A$8:$H$58,5),VLOOKUP(N295,setup!$A$8:$H$58,6),VLOOKUP(N295,setup!$A$8:$H$58,7), VLOOKUP(0,setup!$A$8:$H$58,2),VLOOKUP(0,setup!$A$8:$H$58,5),VLOOKUP(N295,setup!$A$8:$H$58,8))</f>
        <v>#VALUE!</v>
      </c>
    </row>
    <row r="296" spans="1:15" x14ac:dyDescent="0.25">
      <c r="A296" s="6" t="s">
        <v>841</v>
      </c>
      <c r="N296">
        <f t="shared" si="8"/>
        <v>44</v>
      </c>
      <c r="O296" s="18" t="e">
        <f>getCodigoBackend(N296,A296,VLOOKUP(N296,setup!$A$8:$H$58,2),VLOOKUP(N296,setup!$A$8:$H$58,3),VLOOKUP(N296,setup!$A$8:$H$58,4),VLOOKUP(N296,setup!$A$8:$H$58,5),VLOOKUP(N296,setup!$A$8:$H$58,6),VLOOKUP(N296,setup!$A$8:$H$58,7), VLOOKUP(0,setup!$A$8:$H$58,2),VLOOKUP(0,setup!$A$8:$H$58,5),VLOOKUP(N296,setup!$A$8:$H$58,8))</f>
        <v>#VALUE!</v>
      </c>
    </row>
    <row r="297" spans="1:15" x14ac:dyDescent="0.25">
      <c r="A297" s="6" t="s">
        <v>841</v>
      </c>
      <c r="N297">
        <f t="shared" si="8"/>
        <v>45</v>
      </c>
      <c r="O297" s="18" t="e">
        <f>getCodigoBackend(N297,A297,VLOOKUP(N297,setup!$A$8:$H$58,2),VLOOKUP(N297,setup!$A$8:$H$58,3),VLOOKUP(N297,setup!$A$8:$H$58,4),VLOOKUP(N297,setup!$A$8:$H$58,5),VLOOKUP(N297,setup!$A$8:$H$58,6),VLOOKUP(N297,setup!$A$8:$H$58,7), VLOOKUP(0,setup!$A$8:$H$58,2),VLOOKUP(0,setup!$A$8:$H$58,5),VLOOKUP(N297,setup!$A$8:$H$58,8))</f>
        <v>#VALUE!</v>
      </c>
    </row>
    <row r="298" spans="1:15" x14ac:dyDescent="0.25">
      <c r="A298" s="6" t="s">
        <v>841</v>
      </c>
      <c r="N298">
        <f t="shared" si="8"/>
        <v>46</v>
      </c>
      <c r="O298" s="18" t="e">
        <f>getCodigoBackend(N298,A298,VLOOKUP(N298,setup!$A$8:$H$58,2),VLOOKUP(N298,setup!$A$8:$H$58,3),VLOOKUP(N298,setup!$A$8:$H$58,4),VLOOKUP(N298,setup!$A$8:$H$58,5),VLOOKUP(N298,setup!$A$8:$H$58,6),VLOOKUP(N298,setup!$A$8:$H$58,7), VLOOKUP(0,setup!$A$8:$H$58,2),VLOOKUP(0,setup!$A$8:$H$58,5),VLOOKUP(N298,setup!$A$8:$H$58,8))</f>
        <v>#VALUE!</v>
      </c>
    </row>
    <row r="299" spans="1:15" x14ac:dyDescent="0.25">
      <c r="A299" s="6" t="s">
        <v>841</v>
      </c>
      <c r="N299">
        <f t="shared" si="8"/>
        <v>47</v>
      </c>
      <c r="O299" s="18" t="e">
        <f>getCodigoBackend(N299,A299,VLOOKUP(N299,setup!$A$8:$H$58,2),VLOOKUP(N299,setup!$A$8:$H$58,3),VLOOKUP(N299,setup!$A$8:$H$58,4),VLOOKUP(N299,setup!$A$8:$H$58,5),VLOOKUP(N299,setup!$A$8:$H$58,6),VLOOKUP(N299,setup!$A$8:$H$58,7), VLOOKUP(0,setup!$A$8:$H$58,2),VLOOKUP(0,setup!$A$8:$H$58,5),VLOOKUP(N299,setup!$A$8:$H$58,8))</f>
        <v>#VALUE!</v>
      </c>
    </row>
    <row r="300" spans="1:15" x14ac:dyDescent="0.25">
      <c r="A300" s="6" t="s">
        <v>841</v>
      </c>
      <c r="N300">
        <f t="shared" si="8"/>
        <v>48</v>
      </c>
      <c r="O300" s="18" t="str">
        <f ca="1">getCodigoBackend(N300,A300,VLOOKUP(N300,setup!$A$8:$H$58,2),VLOOKUP(N300,setup!$A$8:$H$58,3),VLOOKUP(N300,setup!$A$8:$H$58,4),VLOOKUP(N300,setup!$A$8:$H$58,5),VLOOKUP(N300,setup!$A$8:$H$58,6),VLOOKUP(N300,setup!$A$8:$H$58,7), VLOOKUP(0,setup!$A$8:$H$58,2),VLOOKUP(0,setup!$A$8:$H$58,5),VLOOKUP(N300,setup!$A$8:$H$58,8))</f>
        <v>    _lstCamposCampanhaCashbackResgatePix.add(criarWidgetEntry(tec: tecstatus, tit: TextInputType.text, label: "Status"));</v>
      </c>
    </row>
    <row r="301" spans="1:15" x14ac:dyDescent="0.25">
      <c r="A301" s="6" t="s">
        <v>841</v>
      </c>
      <c r="N301">
        <f t="shared" si="8"/>
        <v>49</v>
      </c>
      <c r="O301" s="18" t="str">
        <f ca="1">getCodigoBackend(N301,A301,VLOOKUP(N301,setup!$A$8:$H$58,2),VLOOKUP(N301,setup!$A$8:$H$58,3),VLOOKUP(N301,setup!$A$8:$H$58,4),VLOOKUP(N301,setup!$A$8:$H$58,5),VLOOKUP(N301,setup!$A$8:$H$58,6),VLOOKUP(N301,setup!$A$8:$H$58,7), VLOOKUP(0,setup!$A$8:$H$58,2),VLOOKUP(0,setup!$A$8:$H$58,5),VLOOKUP(N301,setup!$A$8:$H$58,8))</f>
        <v>    _lstCamposCampanhaCashbackResgatePix.add(criarWidgetEntry(tec: tecdataCadastro, tit: TextInputType.text, label: "Data de Cadastro"));</v>
      </c>
    </row>
    <row r="302" spans="1:15" x14ac:dyDescent="0.25">
      <c r="A302" s="6" t="s">
        <v>841</v>
      </c>
      <c r="N302">
        <f t="shared" si="8"/>
        <v>50</v>
      </c>
      <c r="O302" s="18" t="str">
        <f ca="1">getCodigoBackend(N302,A302,VLOOKUP(N302,setup!$A$8:$H$58,2),VLOOKUP(N302,setup!$A$8:$H$58,3),VLOOKUP(N302,setup!$A$8:$H$58,4),VLOOKUP(N302,setup!$A$8:$H$58,5),VLOOKUP(N302,setup!$A$8:$H$58,6),VLOOKUP(N302,setup!$A$8:$H$58,7), VLOOKUP(0,setup!$A$8:$H$58,2),VLOOKUP(0,setup!$A$8:$H$58,5),VLOOKUP(N302,setup!$A$8:$H$58,8))</f>
        <v>    _lstCamposCampanhaCashbackResgatePix.add(criarWidgetEntry(tec: tecdataAtualizacao, tit: TextInputType.text, label: "Data de Atualização"));</v>
      </c>
    </row>
    <row r="303" spans="1:15" x14ac:dyDescent="0.25">
      <c r="A303" s="6"/>
      <c r="O303" s="18" t="str">
        <f ca="1">getCodigoBackend(N303,A303,VLOOKUP(N303,setup!$A$8:$H$58,2),VLOOKUP(N303,setup!$A$8:$H$58,3),VLOOKUP(N303,setup!$A$8:$H$58,4),VLOOKUP(N303,setup!$A$8:$H$58,5),VLOOKUP(N303,setup!$A$8:$H$58,6),VLOOKUP(N303,setup!$A$8:$H$58,7), VLOOKUP(0,setup!$A$8:$H$58,2),VLOOKUP(0,setup!$A$8:$H$58,5),VLOOKUP(N303,setup!$A$8:$H$58,8))</f>
        <v/>
      </c>
    </row>
    <row r="304" spans="1:15" x14ac:dyDescent="0.25">
      <c r="A304" s="6" t="s">
        <v>540</v>
      </c>
      <c r="O304" s="18" t="str">
        <f ca="1">getCodigoBackend(N304,A304,VLOOKUP(N304,setup!$A$8:$H$58,2),VLOOKUP(N304,setup!$A$8:$H$58,3),VLOOKUP(N304,setup!$A$8:$H$58,4),VLOOKUP(N304,setup!$A$8:$H$58,5),VLOOKUP(N304,setup!$A$8:$H$58,6),VLOOKUP(N304,setup!$A$8:$H$58,7), VLOOKUP(0,setup!$A$8:$H$58,2),VLOOKUP(0,setup!$A$8:$H$58,5),VLOOKUP(N304,setup!$A$8:$H$58,8))</f>
        <v xml:space="preserve">    // ==================================================================================</v>
      </c>
    </row>
    <row r="305" spans="1:15" x14ac:dyDescent="0.25">
      <c r="A305" s="6" t="s">
        <v>539</v>
      </c>
      <c r="O305" s="18" t="str">
        <f ca="1">getCodigoBackend(N305,A305,VLOOKUP(N305,setup!$A$8:$H$58,2),VLOOKUP(N305,setup!$A$8:$H$58,3),VLOOKUP(N305,setup!$A$8:$H$58,4),VLOOKUP(N305,setup!$A$8:$H$58,5),VLOOKUP(N305,setup!$A$8:$H$58,6),VLOOKUP(N305,setup!$A$8:$H$58,7), VLOOKUP(0,setup!$A$8:$H$58,2),VLOOKUP(0,setup!$A$8:$H$58,5),VLOOKUP(N305,setup!$A$8:$H$58,8))</f>
        <v xml:space="preserve">    // Move os conteúdos dos controladores para um VO para enviar um Mapa JSON ao backend</v>
      </c>
    </row>
    <row r="306" spans="1:15" x14ac:dyDescent="0.25">
      <c r="A306" s="6" t="s">
        <v>540</v>
      </c>
      <c r="O306" s="18" t="str">
        <f ca="1">getCodigoBackend(N306,A306,VLOOKUP(N306,setup!$A$8:$H$58,2),VLOOKUP(N306,setup!$A$8:$H$58,3),VLOOKUP(N306,setup!$A$8:$H$58,4),VLOOKUP(N306,setup!$A$8:$H$58,5),VLOOKUP(N306,setup!$A$8:$H$58,6),VLOOKUP(N306,setup!$A$8:$H$58,7), VLOOKUP(0,setup!$A$8:$H$58,2),VLOOKUP(0,setup!$A$8:$H$58,5),VLOOKUP(N306,setup!$A$8:$H$58,8))</f>
        <v xml:space="preserve">    // ==================================================================================</v>
      </c>
    </row>
    <row r="307" spans="1:15" x14ac:dyDescent="0.25">
      <c r="A307" t="s">
        <v>525</v>
      </c>
      <c r="O307" s="18" t="str">
        <f ca="1">getCodigoBackend(N307,A307,VLOOKUP(N307,setup!$A$8:$H$58,2),VLOOKUP(N307,setup!$A$8:$H$58,3),VLOOKUP(N307,setup!$A$8:$H$58,4),VLOOKUP(N307,setup!$A$8:$H$58,5),VLOOKUP(N307,setup!$A$8:$H$58,6),VLOOKUP(N307,setup!$A$8:$H$58,7), VLOOKUP(0,setup!$A$8:$H$58,2),VLOOKUP(0,setup!$A$8:$H$58,5),VLOOKUP(N307,setup!$A$8:$H$58,8))</f>
        <v xml:space="preserve">    _lstCamposCampanhaCashbackResgatePix.add( </v>
      </c>
    </row>
    <row r="308" spans="1:15" x14ac:dyDescent="0.25">
      <c r="A308" t="s">
        <v>543</v>
      </c>
      <c r="O308" s="18" t="str">
        <f ca="1">getCodigoBackend(N308,A308,VLOOKUP(N308,setup!$A$8:$H$58,2),VLOOKUP(N308,setup!$A$8:$H$58,3),VLOOKUP(N308,setup!$A$8:$H$58,4),VLOOKUP(N308,setup!$A$8:$H$58,5),VLOOKUP(N308,setup!$A$8:$H$58,6),VLOOKUP(N308,setup!$A$8:$H$58,7), VLOOKUP(0,setup!$A$8:$H$58,2),VLOOKUP(0,setup!$A$8:$H$58,5),VLOOKUP(N308,setup!$A$8:$H$58,8))</f>
        <v xml:space="preserve">      new CommomActionButton(titulo: _iscadastro ? 'Salvar' : 'Enviar Modificações', </v>
      </c>
    </row>
    <row r="309" spans="1:15" x14ac:dyDescent="0.25">
      <c r="A309" t="s">
        <v>491</v>
      </c>
      <c r="O309" s="18" t="str">
        <f ca="1">getCodigoBackend(N309,A309,VLOOKUP(N309,setup!$A$8:$H$58,2),VLOOKUP(N309,setup!$A$8:$H$58,3),VLOOKUP(N309,setup!$A$8:$H$58,4),VLOOKUP(N309,setup!$A$8:$H$58,5),VLOOKUP(N309,setup!$A$8:$H$58,6),VLOOKUP(N309,setup!$A$8:$H$58,7), VLOOKUP(0,setup!$A$8:$H$58,2),VLOOKUP(0,setup!$A$8:$H$58,5),VLOOKUP(N309,setup!$A$8:$H$58,8))</f>
        <v xml:space="preserve">          onpressed: () async {</v>
      </c>
    </row>
    <row r="310" spans="1:15" x14ac:dyDescent="0.25">
      <c r="A310" t="s">
        <v>526</v>
      </c>
      <c r="O310" s="18" t="str">
        <f ca="1">getCodigoBackend(N310,A310,VLOOKUP(N310,setup!$A$8:$H$58,2),VLOOKUP(N310,setup!$A$8:$H$58,3),VLOOKUP(N310,setup!$A$8:$H$58,4),VLOOKUP(N310,setup!$A$8:$H$58,5),VLOOKUP(N310,setup!$A$8:$H$58,6),VLOOKUP(N310,setup!$A$8:$H$58,7), VLOOKUP(0,setup!$A$8:$H$58,2),VLOOKUP(0,setup!$A$8:$H$58,5),VLOOKUP(N310,setup!$A$8:$H$58,8))</f>
        <v xml:space="preserve">          CampanhaCashbackResgatePixVOPost newPost = new CampanhaCashbackResgatePixVOPost(</v>
      </c>
    </row>
    <row r="311" spans="1:15" x14ac:dyDescent="0.25">
      <c r="A311" t="s">
        <v>492</v>
      </c>
      <c r="O311" s="18" t="str">
        <f ca="1">getCodigoBackend(N311,A311,VLOOKUP(N311,setup!$A$8:$H$58,2),VLOOKUP(N311,setup!$A$8:$H$58,3),VLOOKUP(N311,setup!$A$8:$H$58,4),VLOOKUP(N311,setup!$A$8:$H$58,5),VLOOKUP(N311,setup!$A$8:$H$58,6),VLOOKUP(N311,setup!$A$8:$H$58,7), VLOOKUP(0,setup!$A$8:$H$58,2),VLOOKUP(0,setup!$A$8:$H$58,5),VLOOKUP(N311,setup!$A$8:$H$58,8))</f>
        <v xml:space="preserve">              tokenid: _token,</v>
      </c>
    </row>
    <row r="312" spans="1:15" x14ac:dyDescent="0.25">
      <c r="A312" t="s">
        <v>577</v>
      </c>
      <c r="N312">
        <v>0</v>
      </c>
      <c r="O312" s="18" t="str">
        <f ca="1">getCodigoBackend(N312,A312,VLOOKUP(N312,setup!$A$8:$H$58,2),VLOOKUP(N312,setup!$A$8:$H$58,3),VLOOKUP(N312,setup!$A$8:$H$58,4),VLOOKUP(N312,setup!$A$8:$H$58,5),VLOOKUP(N312,setup!$A$8:$H$58,6),VLOOKUP(N312,setup!$A$8:$H$58,7), VLOOKUP(0,setup!$A$8:$H$58,2),VLOOKUP(0,setup!$A$8:$H$58,5),VLOOKUP(N312,setup!$A$8:$H$58,8))</f>
        <v xml:space="preserve">              id: widget.campanhacashbackresgatepixVO == null ? 0: widget.campanhacashbackresgatepixVO.id,</v>
      </c>
    </row>
    <row r="313" spans="1:15" x14ac:dyDescent="0.25">
      <c r="A313" t="s">
        <v>527</v>
      </c>
      <c r="N313">
        <f>N312+1</f>
        <v>1</v>
      </c>
      <c r="O313" s="18" t="str">
        <f ca="1">getCodigoBackend(N313,A313,VLOOKUP(N313,setup!$A$8:$H$58,2),VLOOKUP(N313,setup!$A$8:$H$58,3),VLOOKUP(N313,setup!$A$8:$H$58,4),VLOOKUP(N313,setup!$A$8:$H$58,5),VLOOKUP(N313,setup!$A$8:$H$58,6),VLOOKUP(N313,setup!$A$8:$H$58,7), VLOOKUP(0,setup!$A$8:$H$58,2),VLOOKUP(0,setup!$A$8:$H$58,5),VLOOKUP(N313,setup!$A$8:$H$58,8))</f>
        <v xml:space="preserve">              idCampanhaCashback: tecidCampanhaCashback.text, </v>
      </c>
    </row>
    <row r="314" spans="1:15" x14ac:dyDescent="0.25">
      <c r="A314" t="s">
        <v>527</v>
      </c>
      <c r="N314">
        <f t="shared" ref="N314:N348" si="9">N313+1</f>
        <v>2</v>
      </c>
      <c r="O314" s="18" t="str">
        <f ca="1">getCodigoBackend(N314,A314,VLOOKUP(N314,setup!$A$8:$H$58,2),VLOOKUP(N314,setup!$A$8:$H$58,3),VLOOKUP(N314,setup!$A$8:$H$58,4),VLOOKUP(N314,setup!$A$8:$H$58,5),VLOOKUP(N314,setup!$A$8:$H$58,6),VLOOKUP(N314,setup!$A$8:$H$58,7), VLOOKUP(0,setup!$A$8:$H$58,2),VLOOKUP(0,setup!$A$8:$H$58,5),VLOOKUP(N314,setup!$A$8:$H$58,8))</f>
        <v xml:space="preserve">              idUsuarioSolicitante: tecidUsuarioSolicitante.text, </v>
      </c>
    </row>
    <row r="315" spans="1:15" x14ac:dyDescent="0.25">
      <c r="A315" t="s">
        <v>527</v>
      </c>
      <c r="N315">
        <f t="shared" si="9"/>
        <v>3</v>
      </c>
      <c r="O315" s="18" t="str">
        <f ca="1">getCodigoBackend(N315,A315,VLOOKUP(N315,setup!$A$8:$H$58,2),VLOOKUP(N315,setup!$A$8:$H$58,3),VLOOKUP(N315,setup!$A$8:$H$58,4),VLOOKUP(N315,setup!$A$8:$H$58,5),VLOOKUP(N315,setup!$A$8:$H$58,6),VLOOKUP(N315,setup!$A$8:$H$58,7), VLOOKUP(0,setup!$A$8:$H$58,2),VLOOKUP(0,setup!$A$8:$H$58,5),VLOOKUP(N315,setup!$A$8:$H$58,8))</f>
        <v xml:space="preserve">              tipoChavePix: tectipoChavePix.text, </v>
      </c>
    </row>
    <row r="316" spans="1:15" x14ac:dyDescent="0.25">
      <c r="A316" t="s">
        <v>527</v>
      </c>
      <c r="N316">
        <f t="shared" si="9"/>
        <v>4</v>
      </c>
      <c r="O316" s="18" t="str">
        <f ca="1">getCodigoBackend(N316,A316,VLOOKUP(N316,setup!$A$8:$H$58,2),VLOOKUP(N316,setup!$A$8:$H$58,3),VLOOKUP(N316,setup!$A$8:$H$58,4),VLOOKUP(N316,setup!$A$8:$H$58,5),VLOOKUP(N316,setup!$A$8:$H$58,6),VLOOKUP(N316,setup!$A$8:$H$58,7), VLOOKUP(0,setup!$A$8:$H$58,2),VLOOKUP(0,setup!$A$8:$H$58,5),VLOOKUP(N316,setup!$A$8:$H$58,8))</f>
        <v xml:space="preserve">              chavePix: tecchavePix.text, </v>
      </c>
    </row>
    <row r="317" spans="1:15" x14ac:dyDescent="0.25">
      <c r="A317" t="s">
        <v>527</v>
      </c>
      <c r="N317">
        <f t="shared" si="9"/>
        <v>5</v>
      </c>
      <c r="O317" s="18" t="str">
        <f ca="1">getCodigoBackend(N317,A317,VLOOKUP(N317,setup!$A$8:$H$58,2),VLOOKUP(N317,setup!$A$8:$H$58,3),VLOOKUP(N317,setup!$A$8:$H$58,4),VLOOKUP(N317,setup!$A$8:$H$58,5),VLOOKUP(N317,setup!$A$8:$H$58,6),VLOOKUP(N317,setup!$A$8:$H$58,7), VLOOKUP(0,setup!$A$8:$H$58,2),VLOOKUP(0,setup!$A$8:$H$58,5),VLOOKUP(N317,setup!$A$8:$H$58,8))</f>
        <v xml:space="preserve">              valorResgate: tecvalorResgate.text, </v>
      </c>
    </row>
    <row r="318" spans="1:15" x14ac:dyDescent="0.25">
      <c r="A318" t="s">
        <v>527</v>
      </c>
      <c r="N318">
        <f t="shared" si="9"/>
        <v>6</v>
      </c>
      <c r="O318" s="18" t="str">
        <f ca="1">getCodigoBackend(N318,A318,VLOOKUP(N318,setup!$A$8:$H$58,2),VLOOKUP(N318,setup!$A$8:$H$58,3),VLOOKUP(N318,setup!$A$8:$H$58,4),VLOOKUP(N318,setup!$A$8:$H$58,5),VLOOKUP(N318,setup!$A$8:$H$58,6),VLOOKUP(N318,setup!$A$8:$H$58,7), VLOOKUP(0,setup!$A$8:$H$58,2),VLOOKUP(0,setup!$A$8:$H$58,5),VLOOKUP(N318,setup!$A$8:$H$58,8))</f>
        <v xml:space="preserve">              autenticacaoBco: tecautenticacaoBco.text, </v>
      </c>
    </row>
    <row r="319" spans="1:15" x14ac:dyDescent="0.25">
      <c r="A319" t="s">
        <v>527</v>
      </c>
      <c r="N319">
        <f t="shared" si="9"/>
        <v>7</v>
      </c>
      <c r="O319" s="18" t="str">
        <f ca="1">getCodigoBackend(N319,A319,VLOOKUP(N319,setup!$A$8:$H$58,2),VLOOKUP(N319,setup!$A$8:$H$58,3),VLOOKUP(N319,setup!$A$8:$H$58,4),VLOOKUP(N319,setup!$A$8:$H$58,5),VLOOKUP(N319,setup!$A$8:$H$58,6),VLOOKUP(N319,setup!$A$8:$H$58,7), VLOOKUP(0,setup!$A$8:$H$58,2),VLOOKUP(0,setup!$A$8:$H$58,5),VLOOKUP(N319,setup!$A$8:$H$58,8))</f>
        <v xml:space="preserve">              estagioRealTime: tecestagioRealTime.text, </v>
      </c>
    </row>
    <row r="320" spans="1:15" x14ac:dyDescent="0.25">
      <c r="A320" t="s">
        <v>527</v>
      </c>
      <c r="N320">
        <f t="shared" si="9"/>
        <v>8</v>
      </c>
      <c r="O320" s="18" t="str">
        <f ca="1">getCodigoBackend(N320,A320,VLOOKUP(N320,setup!$A$8:$H$58,2),VLOOKUP(N320,setup!$A$8:$H$58,3),VLOOKUP(N320,setup!$A$8:$H$58,4),VLOOKUP(N320,setup!$A$8:$H$58,5),VLOOKUP(N320,setup!$A$8:$H$58,6),VLOOKUP(N320,setup!$A$8:$H$58,7), VLOOKUP(0,setup!$A$8:$H$58,2),VLOOKUP(0,setup!$A$8:$H$58,5),VLOOKUP(N320,setup!$A$8:$H$58,8))</f>
        <v xml:space="preserve">              dtEstagioAnalise: tecdtEstagioAnalise.text, </v>
      </c>
    </row>
    <row r="321" spans="1:15" x14ac:dyDescent="0.25">
      <c r="A321" t="s">
        <v>527</v>
      </c>
      <c r="N321">
        <f t="shared" si="9"/>
        <v>9</v>
      </c>
      <c r="O321" s="18" t="str">
        <f ca="1">getCodigoBackend(N321,A321,VLOOKUP(N321,setup!$A$8:$H$58,2),VLOOKUP(N321,setup!$A$8:$H$58,3),VLOOKUP(N321,setup!$A$8:$H$58,4),VLOOKUP(N321,setup!$A$8:$H$58,5),VLOOKUP(N321,setup!$A$8:$H$58,6),VLOOKUP(N321,setup!$A$8:$H$58,7), VLOOKUP(0,setup!$A$8:$H$58,2),VLOOKUP(0,setup!$A$8:$H$58,5),VLOOKUP(N321,setup!$A$8:$H$58,8))</f>
        <v xml:space="preserve">              dtEstagioFinanceiro: tecdtEstagioFinanceiro.text, </v>
      </c>
    </row>
    <row r="322" spans="1:15" x14ac:dyDescent="0.25">
      <c r="A322" t="s">
        <v>527</v>
      </c>
      <c r="N322">
        <f t="shared" si="9"/>
        <v>10</v>
      </c>
      <c r="O322" s="18" t="str">
        <f ca="1">getCodigoBackend(N322,A322,VLOOKUP(N322,setup!$A$8:$H$58,2),VLOOKUP(N322,setup!$A$8:$H$58,3),VLOOKUP(N322,setup!$A$8:$H$58,4),VLOOKUP(N322,setup!$A$8:$H$58,5),VLOOKUP(N322,setup!$A$8:$H$58,6),VLOOKUP(N322,setup!$A$8:$H$58,7), VLOOKUP(0,setup!$A$8:$H$58,2),VLOOKUP(0,setup!$A$8:$H$58,5),VLOOKUP(N322,setup!$A$8:$H$58,8))</f>
        <v xml:space="preserve">              dtEstagioErro: tecdtEstagioErro.text, </v>
      </c>
    </row>
    <row r="323" spans="1:15" x14ac:dyDescent="0.25">
      <c r="A323" t="s">
        <v>527</v>
      </c>
      <c r="N323">
        <f t="shared" si="9"/>
        <v>11</v>
      </c>
      <c r="O323" s="18" t="str">
        <f ca="1">getCodigoBackend(N323,A323,VLOOKUP(N323,setup!$A$8:$H$58,2),VLOOKUP(N323,setup!$A$8:$H$58,3),VLOOKUP(N323,setup!$A$8:$H$58,4),VLOOKUP(N323,setup!$A$8:$H$58,5),VLOOKUP(N323,setup!$A$8:$H$58,6),VLOOKUP(N323,setup!$A$8:$H$58,7), VLOOKUP(0,setup!$A$8:$H$58,2),VLOOKUP(0,setup!$A$8:$H$58,5),VLOOKUP(N323,setup!$A$8:$H$58,8))</f>
        <v xml:space="preserve">              dtEstagioTranfBco: tecdtEstagioTranfBco.text, </v>
      </c>
    </row>
    <row r="324" spans="1:15" x14ac:dyDescent="0.25">
      <c r="A324" t="s">
        <v>527</v>
      </c>
      <c r="N324">
        <f t="shared" si="9"/>
        <v>12</v>
      </c>
      <c r="O324" s="18" t="str">
        <f ca="1">getCodigoBackend(N324,A324,VLOOKUP(N324,setup!$A$8:$H$58,2),VLOOKUP(N324,setup!$A$8:$H$58,3),VLOOKUP(N324,setup!$A$8:$H$58,4),VLOOKUP(N324,setup!$A$8:$H$58,5),VLOOKUP(N324,setup!$A$8:$H$58,6),VLOOKUP(N324,setup!$A$8:$H$58,7), VLOOKUP(0,setup!$A$8:$H$58,2),VLOOKUP(0,setup!$A$8:$H$58,5),VLOOKUP(N324,setup!$A$8:$H$58,8))</f>
        <v xml:space="preserve">              txtLivreEstagioRT: tectxtLivreEstagioRT.text, </v>
      </c>
    </row>
    <row r="325" spans="1:15" x14ac:dyDescent="0.25">
      <c r="A325" t="s">
        <v>527</v>
      </c>
      <c r="N325">
        <f t="shared" si="9"/>
        <v>13</v>
      </c>
      <c r="O325" s="18" t="e">
        <f>getCodigoBackend(N325,A325,VLOOKUP(N325,setup!$A$8:$H$58,2),VLOOKUP(N325,setup!$A$8:$H$58,3),VLOOKUP(N325,setup!$A$8:$H$58,4),VLOOKUP(N325,setup!$A$8:$H$58,5),VLOOKUP(N325,setup!$A$8:$H$58,6),VLOOKUP(N325,setup!$A$8:$H$58,7), VLOOKUP(0,setup!$A$8:$H$58,2),VLOOKUP(0,setup!$A$8:$H$58,5),VLOOKUP(N325,setup!$A$8:$H$58,8))</f>
        <v>#VALUE!</v>
      </c>
    </row>
    <row r="326" spans="1:15" x14ac:dyDescent="0.25">
      <c r="A326" t="s">
        <v>527</v>
      </c>
      <c r="N326">
        <f t="shared" si="9"/>
        <v>14</v>
      </c>
      <c r="O326" s="18" t="e">
        <f>getCodigoBackend(N326,A326,VLOOKUP(N326,setup!$A$8:$H$58,2),VLOOKUP(N326,setup!$A$8:$H$58,3),VLOOKUP(N326,setup!$A$8:$H$58,4),VLOOKUP(N326,setup!$A$8:$H$58,5),VLOOKUP(N326,setup!$A$8:$H$58,6),VLOOKUP(N326,setup!$A$8:$H$58,7), VLOOKUP(0,setup!$A$8:$H$58,2),VLOOKUP(0,setup!$A$8:$H$58,5),VLOOKUP(N326,setup!$A$8:$H$58,8))</f>
        <v>#VALUE!</v>
      </c>
    </row>
    <row r="327" spans="1:15" x14ac:dyDescent="0.25">
      <c r="A327" t="s">
        <v>527</v>
      </c>
      <c r="N327">
        <f t="shared" si="9"/>
        <v>15</v>
      </c>
      <c r="O327" s="18" t="e">
        <f>getCodigoBackend(N327,A327,VLOOKUP(N327,setup!$A$8:$H$58,2),VLOOKUP(N327,setup!$A$8:$H$58,3),VLOOKUP(N327,setup!$A$8:$H$58,4),VLOOKUP(N327,setup!$A$8:$H$58,5),VLOOKUP(N327,setup!$A$8:$H$58,6),VLOOKUP(N327,setup!$A$8:$H$58,7), VLOOKUP(0,setup!$A$8:$H$58,2),VLOOKUP(0,setup!$A$8:$H$58,5),VLOOKUP(N327,setup!$A$8:$H$58,8))</f>
        <v>#VALUE!</v>
      </c>
    </row>
    <row r="328" spans="1:15" x14ac:dyDescent="0.25">
      <c r="A328" t="s">
        <v>527</v>
      </c>
      <c r="N328">
        <f t="shared" si="9"/>
        <v>16</v>
      </c>
      <c r="O328" s="18" t="e">
        <f>getCodigoBackend(N328,A328,VLOOKUP(N328,setup!$A$8:$H$58,2),VLOOKUP(N328,setup!$A$8:$H$58,3),VLOOKUP(N328,setup!$A$8:$H$58,4),VLOOKUP(N328,setup!$A$8:$H$58,5),VLOOKUP(N328,setup!$A$8:$H$58,6),VLOOKUP(N328,setup!$A$8:$H$58,7), VLOOKUP(0,setup!$A$8:$H$58,2),VLOOKUP(0,setup!$A$8:$H$58,5),VLOOKUP(N328,setup!$A$8:$H$58,8))</f>
        <v>#VALUE!</v>
      </c>
    </row>
    <row r="329" spans="1:15" x14ac:dyDescent="0.25">
      <c r="A329" t="s">
        <v>527</v>
      </c>
      <c r="N329">
        <f t="shared" si="9"/>
        <v>17</v>
      </c>
      <c r="O329" s="18" t="e">
        <f>getCodigoBackend(N329,A329,VLOOKUP(N329,setup!$A$8:$H$58,2),VLOOKUP(N329,setup!$A$8:$H$58,3),VLOOKUP(N329,setup!$A$8:$H$58,4),VLOOKUP(N329,setup!$A$8:$H$58,5),VLOOKUP(N329,setup!$A$8:$H$58,6),VLOOKUP(N329,setup!$A$8:$H$58,7), VLOOKUP(0,setup!$A$8:$H$58,2),VLOOKUP(0,setup!$A$8:$H$58,5),VLOOKUP(N329,setup!$A$8:$H$58,8))</f>
        <v>#VALUE!</v>
      </c>
    </row>
    <row r="330" spans="1:15" x14ac:dyDescent="0.25">
      <c r="A330" t="s">
        <v>527</v>
      </c>
      <c r="N330">
        <f t="shared" si="9"/>
        <v>18</v>
      </c>
      <c r="O330" s="18" t="e">
        <f>getCodigoBackend(N330,A330,VLOOKUP(N330,setup!$A$8:$H$58,2),VLOOKUP(N330,setup!$A$8:$H$58,3),VLOOKUP(N330,setup!$A$8:$H$58,4),VLOOKUP(N330,setup!$A$8:$H$58,5),VLOOKUP(N330,setup!$A$8:$H$58,6),VLOOKUP(N330,setup!$A$8:$H$58,7), VLOOKUP(0,setup!$A$8:$H$58,2),VLOOKUP(0,setup!$A$8:$H$58,5),VLOOKUP(N330,setup!$A$8:$H$58,8))</f>
        <v>#VALUE!</v>
      </c>
    </row>
    <row r="331" spans="1:15" x14ac:dyDescent="0.25">
      <c r="A331" t="s">
        <v>527</v>
      </c>
      <c r="N331">
        <f t="shared" si="9"/>
        <v>19</v>
      </c>
      <c r="O331" s="18" t="e">
        <f>getCodigoBackend(N331,A331,VLOOKUP(N331,setup!$A$8:$H$58,2),VLOOKUP(N331,setup!$A$8:$H$58,3),VLOOKUP(N331,setup!$A$8:$H$58,4),VLOOKUP(N331,setup!$A$8:$H$58,5),VLOOKUP(N331,setup!$A$8:$H$58,6),VLOOKUP(N331,setup!$A$8:$H$58,7), VLOOKUP(0,setup!$A$8:$H$58,2),VLOOKUP(0,setup!$A$8:$H$58,5),VLOOKUP(N331,setup!$A$8:$H$58,8))</f>
        <v>#VALUE!</v>
      </c>
    </row>
    <row r="332" spans="1:15" x14ac:dyDescent="0.25">
      <c r="A332" t="s">
        <v>527</v>
      </c>
      <c r="N332">
        <f t="shared" si="9"/>
        <v>20</v>
      </c>
      <c r="O332" s="18" t="e">
        <f>getCodigoBackend(N332,A332,VLOOKUP(N332,setup!$A$8:$H$58,2),VLOOKUP(N332,setup!$A$8:$H$58,3),VLOOKUP(N332,setup!$A$8:$H$58,4),VLOOKUP(N332,setup!$A$8:$H$58,5),VLOOKUP(N332,setup!$A$8:$H$58,6),VLOOKUP(N332,setup!$A$8:$H$58,7), VLOOKUP(0,setup!$A$8:$H$58,2),VLOOKUP(0,setup!$A$8:$H$58,5),VLOOKUP(N332,setup!$A$8:$H$58,8))</f>
        <v>#VALUE!</v>
      </c>
    </row>
    <row r="333" spans="1:15" x14ac:dyDescent="0.25">
      <c r="A333" t="s">
        <v>527</v>
      </c>
      <c r="N333">
        <f t="shared" si="9"/>
        <v>21</v>
      </c>
      <c r="O333" s="18" t="e">
        <f>getCodigoBackend(N333,A333,VLOOKUP(N333,setup!$A$8:$H$58,2),VLOOKUP(N333,setup!$A$8:$H$58,3),VLOOKUP(N333,setup!$A$8:$H$58,4),VLOOKUP(N333,setup!$A$8:$H$58,5),VLOOKUP(N333,setup!$A$8:$H$58,6),VLOOKUP(N333,setup!$A$8:$H$58,7), VLOOKUP(0,setup!$A$8:$H$58,2),VLOOKUP(0,setup!$A$8:$H$58,5),VLOOKUP(N333,setup!$A$8:$H$58,8))</f>
        <v>#VALUE!</v>
      </c>
    </row>
    <row r="334" spans="1:15" x14ac:dyDescent="0.25">
      <c r="A334" t="s">
        <v>527</v>
      </c>
      <c r="N334">
        <f t="shared" si="9"/>
        <v>22</v>
      </c>
      <c r="O334" s="18" t="e">
        <f>getCodigoBackend(N334,A334,VLOOKUP(N334,setup!$A$8:$H$58,2),VLOOKUP(N334,setup!$A$8:$H$58,3),VLOOKUP(N334,setup!$A$8:$H$58,4),VLOOKUP(N334,setup!$A$8:$H$58,5),VLOOKUP(N334,setup!$A$8:$H$58,6),VLOOKUP(N334,setup!$A$8:$H$58,7), VLOOKUP(0,setup!$A$8:$H$58,2),VLOOKUP(0,setup!$A$8:$H$58,5),VLOOKUP(N334,setup!$A$8:$H$58,8))</f>
        <v>#VALUE!</v>
      </c>
    </row>
    <row r="335" spans="1:15" x14ac:dyDescent="0.25">
      <c r="A335" t="s">
        <v>527</v>
      </c>
      <c r="N335">
        <f t="shared" si="9"/>
        <v>23</v>
      </c>
      <c r="O335" s="18" t="e">
        <f>getCodigoBackend(N335,A335,VLOOKUP(N335,setup!$A$8:$H$58,2),VLOOKUP(N335,setup!$A$8:$H$58,3),VLOOKUP(N335,setup!$A$8:$H$58,4),VLOOKUP(N335,setup!$A$8:$H$58,5),VLOOKUP(N335,setup!$A$8:$H$58,6),VLOOKUP(N335,setup!$A$8:$H$58,7), VLOOKUP(0,setup!$A$8:$H$58,2),VLOOKUP(0,setup!$A$8:$H$58,5),VLOOKUP(N335,setup!$A$8:$H$58,8))</f>
        <v>#VALUE!</v>
      </c>
    </row>
    <row r="336" spans="1:15" x14ac:dyDescent="0.25">
      <c r="A336" t="s">
        <v>527</v>
      </c>
      <c r="N336">
        <f t="shared" si="9"/>
        <v>24</v>
      </c>
      <c r="O336" s="18" t="e">
        <f>getCodigoBackend(N336,A336,VLOOKUP(N336,setup!$A$8:$H$58,2),VLOOKUP(N336,setup!$A$8:$H$58,3),VLOOKUP(N336,setup!$A$8:$H$58,4),VLOOKUP(N336,setup!$A$8:$H$58,5),VLOOKUP(N336,setup!$A$8:$H$58,6),VLOOKUP(N336,setup!$A$8:$H$58,7), VLOOKUP(0,setup!$A$8:$H$58,2),VLOOKUP(0,setup!$A$8:$H$58,5),VLOOKUP(N336,setup!$A$8:$H$58,8))</f>
        <v>#VALUE!</v>
      </c>
    </row>
    <row r="337" spans="1:15" x14ac:dyDescent="0.25">
      <c r="A337" t="s">
        <v>527</v>
      </c>
      <c r="N337">
        <f t="shared" si="9"/>
        <v>25</v>
      </c>
      <c r="O337" s="18" t="e">
        <f>getCodigoBackend(N337,A337,VLOOKUP(N337,setup!$A$8:$H$58,2),VLOOKUP(N337,setup!$A$8:$H$58,3),VLOOKUP(N337,setup!$A$8:$H$58,4),VLOOKUP(N337,setup!$A$8:$H$58,5),VLOOKUP(N337,setup!$A$8:$H$58,6),VLOOKUP(N337,setup!$A$8:$H$58,7), VLOOKUP(0,setup!$A$8:$H$58,2),VLOOKUP(0,setup!$A$8:$H$58,5),VLOOKUP(N337,setup!$A$8:$H$58,8))</f>
        <v>#VALUE!</v>
      </c>
    </row>
    <row r="338" spans="1:15" x14ac:dyDescent="0.25">
      <c r="A338" t="s">
        <v>527</v>
      </c>
      <c r="N338">
        <f t="shared" si="9"/>
        <v>26</v>
      </c>
      <c r="O338" s="18" t="e">
        <f>getCodigoBackend(N338,A338,VLOOKUP(N338,setup!$A$8:$H$58,2),VLOOKUP(N338,setup!$A$8:$H$58,3),VLOOKUP(N338,setup!$A$8:$H$58,4),VLOOKUP(N338,setup!$A$8:$H$58,5),VLOOKUP(N338,setup!$A$8:$H$58,6),VLOOKUP(N338,setup!$A$8:$H$58,7), VLOOKUP(0,setup!$A$8:$H$58,2),VLOOKUP(0,setup!$A$8:$H$58,5),VLOOKUP(N338,setup!$A$8:$H$58,8))</f>
        <v>#VALUE!</v>
      </c>
    </row>
    <row r="339" spans="1:15" x14ac:dyDescent="0.25">
      <c r="A339" t="s">
        <v>527</v>
      </c>
      <c r="N339">
        <f t="shared" si="9"/>
        <v>27</v>
      </c>
      <c r="O339" s="18" t="e">
        <f>getCodigoBackend(N339,A339,VLOOKUP(N339,setup!$A$8:$H$58,2),VLOOKUP(N339,setup!$A$8:$H$58,3),VLOOKUP(N339,setup!$A$8:$H$58,4),VLOOKUP(N339,setup!$A$8:$H$58,5),VLOOKUP(N339,setup!$A$8:$H$58,6),VLOOKUP(N339,setup!$A$8:$H$58,7), VLOOKUP(0,setup!$A$8:$H$58,2),VLOOKUP(0,setup!$A$8:$H$58,5),VLOOKUP(N339,setup!$A$8:$H$58,8))</f>
        <v>#VALUE!</v>
      </c>
    </row>
    <row r="340" spans="1:15" x14ac:dyDescent="0.25">
      <c r="A340" t="s">
        <v>527</v>
      </c>
      <c r="N340">
        <f t="shared" si="9"/>
        <v>28</v>
      </c>
      <c r="O340" s="18" t="e">
        <f>getCodigoBackend(N340,A340,VLOOKUP(N340,setup!$A$8:$H$58,2),VLOOKUP(N340,setup!$A$8:$H$58,3),VLOOKUP(N340,setup!$A$8:$H$58,4),VLOOKUP(N340,setup!$A$8:$H$58,5),VLOOKUP(N340,setup!$A$8:$H$58,6),VLOOKUP(N340,setup!$A$8:$H$58,7), VLOOKUP(0,setup!$A$8:$H$58,2),VLOOKUP(0,setup!$A$8:$H$58,5),VLOOKUP(N340,setup!$A$8:$H$58,8))</f>
        <v>#VALUE!</v>
      </c>
    </row>
    <row r="341" spans="1:15" x14ac:dyDescent="0.25">
      <c r="A341" t="s">
        <v>527</v>
      </c>
      <c r="N341">
        <f t="shared" si="9"/>
        <v>29</v>
      </c>
      <c r="O341" s="18" t="e">
        <f>getCodigoBackend(N341,A341,VLOOKUP(N341,setup!$A$8:$H$58,2),VLOOKUP(N341,setup!$A$8:$H$58,3),VLOOKUP(N341,setup!$A$8:$H$58,4),VLOOKUP(N341,setup!$A$8:$H$58,5),VLOOKUP(N341,setup!$A$8:$H$58,6),VLOOKUP(N341,setup!$A$8:$H$58,7), VLOOKUP(0,setup!$A$8:$H$58,2),VLOOKUP(0,setup!$A$8:$H$58,5),VLOOKUP(N341,setup!$A$8:$H$58,8))</f>
        <v>#VALUE!</v>
      </c>
    </row>
    <row r="342" spans="1:15" x14ac:dyDescent="0.25">
      <c r="A342" t="s">
        <v>527</v>
      </c>
      <c r="N342">
        <f t="shared" si="9"/>
        <v>30</v>
      </c>
      <c r="O342" s="18" t="e">
        <f>getCodigoBackend(N342,A342,VLOOKUP(N342,setup!$A$8:$H$58,2),VLOOKUP(N342,setup!$A$8:$H$58,3),VLOOKUP(N342,setup!$A$8:$H$58,4),VLOOKUP(N342,setup!$A$8:$H$58,5),VLOOKUP(N342,setup!$A$8:$H$58,6),VLOOKUP(N342,setup!$A$8:$H$58,7), VLOOKUP(0,setup!$A$8:$H$58,2),VLOOKUP(0,setup!$A$8:$H$58,5),VLOOKUP(N342,setup!$A$8:$H$58,8))</f>
        <v>#VALUE!</v>
      </c>
    </row>
    <row r="343" spans="1:15" x14ac:dyDescent="0.25">
      <c r="A343" t="s">
        <v>527</v>
      </c>
      <c r="N343">
        <f t="shared" si="9"/>
        <v>31</v>
      </c>
      <c r="O343" s="18" t="e">
        <f>getCodigoBackend(N343,A343,VLOOKUP(N343,setup!$A$8:$H$58,2),VLOOKUP(N343,setup!$A$8:$H$58,3),VLOOKUP(N343,setup!$A$8:$H$58,4),VLOOKUP(N343,setup!$A$8:$H$58,5),VLOOKUP(N343,setup!$A$8:$H$58,6),VLOOKUP(N343,setup!$A$8:$H$58,7), VLOOKUP(0,setup!$A$8:$H$58,2),VLOOKUP(0,setup!$A$8:$H$58,5),VLOOKUP(N343,setup!$A$8:$H$58,8))</f>
        <v>#VALUE!</v>
      </c>
    </row>
    <row r="344" spans="1:15" x14ac:dyDescent="0.25">
      <c r="A344" t="s">
        <v>527</v>
      </c>
      <c r="N344">
        <f t="shared" si="9"/>
        <v>32</v>
      </c>
      <c r="O344" s="18" t="e">
        <f>getCodigoBackend(N344,A344,VLOOKUP(N344,setup!$A$8:$H$58,2),VLOOKUP(N344,setup!$A$8:$H$58,3),VLOOKUP(N344,setup!$A$8:$H$58,4),VLOOKUP(N344,setup!$A$8:$H$58,5),VLOOKUP(N344,setup!$A$8:$H$58,6),VLOOKUP(N344,setup!$A$8:$H$58,7), VLOOKUP(0,setup!$A$8:$H$58,2),VLOOKUP(0,setup!$A$8:$H$58,5),VLOOKUP(N344,setup!$A$8:$H$58,8))</f>
        <v>#VALUE!</v>
      </c>
    </row>
    <row r="345" spans="1:15" x14ac:dyDescent="0.25">
      <c r="A345" t="s">
        <v>527</v>
      </c>
      <c r="N345">
        <f t="shared" si="9"/>
        <v>33</v>
      </c>
      <c r="O345" s="18" t="e">
        <f>getCodigoBackend(N345,A345,VLOOKUP(N345,setup!$A$8:$H$58,2),VLOOKUP(N345,setup!$A$8:$H$58,3),VLOOKUP(N345,setup!$A$8:$H$58,4),VLOOKUP(N345,setup!$A$8:$H$58,5),VLOOKUP(N345,setup!$A$8:$H$58,6),VLOOKUP(N345,setup!$A$8:$H$58,7), VLOOKUP(0,setup!$A$8:$H$58,2),VLOOKUP(0,setup!$A$8:$H$58,5),VLOOKUP(N345,setup!$A$8:$H$58,8))</f>
        <v>#VALUE!</v>
      </c>
    </row>
    <row r="346" spans="1:15" x14ac:dyDescent="0.25">
      <c r="A346" t="s">
        <v>527</v>
      </c>
      <c r="N346">
        <f t="shared" si="9"/>
        <v>34</v>
      </c>
      <c r="O346" s="18" t="e">
        <f>getCodigoBackend(N346,A346,VLOOKUP(N346,setup!$A$8:$H$58,2),VLOOKUP(N346,setup!$A$8:$H$58,3),VLOOKUP(N346,setup!$A$8:$H$58,4),VLOOKUP(N346,setup!$A$8:$H$58,5),VLOOKUP(N346,setup!$A$8:$H$58,6),VLOOKUP(N346,setup!$A$8:$H$58,7), VLOOKUP(0,setup!$A$8:$H$58,2),VLOOKUP(0,setup!$A$8:$H$58,5),VLOOKUP(N346,setup!$A$8:$H$58,8))</f>
        <v>#VALUE!</v>
      </c>
    </row>
    <row r="347" spans="1:15" x14ac:dyDescent="0.25">
      <c r="A347" t="s">
        <v>527</v>
      </c>
      <c r="N347">
        <f t="shared" si="9"/>
        <v>35</v>
      </c>
      <c r="O347" s="18" t="e">
        <f>getCodigoBackend(N347,A347,VLOOKUP(N347,setup!$A$8:$H$58,2),VLOOKUP(N347,setup!$A$8:$H$58,3),VLOOKUP(N347,setup!$A$8:$H$58,4),VLOOKUP(N347,setup!$A$8:$H$58,5),VLOOKUP(N347,setup!$A$8:$H$58,6),VLOOKUP(N347,setup!$A$8:$H$58,7), VLOOKUP(0,setup!$A$8:$H$58,2),VLOOKUP(0,setup!$A$8:$H$58,5),VLOOKUP(N347,setup!$A$8:$H$58,8))</f>
        <v>#VALUE!</v>
      </c>
    </row>
    <row r="348" spans="1:15" x14ac:dyDescent="0.25">
      <c r="A348" t="s">
        <v>527</v>
      </c>
      <c r="N348">
        <f t="shared" si="9"/>
        <v>36</v>
      </c>
      <c r="O348" s="18" t="e">
        <f>getCodigoBackend(N348,A348,VLOOKUP(N348,setup!$A$8:$H$58,2),VLOOKUP(N348,setup!$A$8:$H$58,3),VLOOKUP(N348,setup!$A$8:$H$58,4),VLOOKUP(N348,setup!$A$8:$H$58,5),VLOOKUP(N348,setup!$A$8:$H$58,6),VLOOKUP(N348,setup!$A$8:$H$58,7), VLOOKUP(0,setup!$A$8:$H$58,2),VLOOKUP(0,setup!$A$8:$H$58,5),VLOOKUP(N348,setup!$A$8:$H$58,8))</f>
        <v>#VALUE!</v>
      </c>
    </row>
    <row r="349" spans="1:15" x14ac:dyDescent="0.25">
      <c r="A349" t="s">
        <v>527</v>
      </c>
      <c r="N349">
        <f t="shared" ref="N349:N362" si="10">N348+1</f>
        <v>37</v>
      </c>
      <c r="O349" s="18" t="e">
        <f>getCodigoBackend(N349,A349,VLOOKUP(N349,setup!$A$8:$H$58,2),VLOOKUP(N349,setup!$A$8:$H$58,3),VLOOKUP(N349,setup!$A$8:$H$58,4),VLOOKUP(N349,setup!$A$8:$H$58,5),VLOOKUP(N349,setup!$A$8:$H$58,6),VLOOKUP(N349,setup!$A$8:$H$58,7), VLOOKUP(0,setup!$A$8:$H$58,2),VLOOKUP(0,setup!$A$8:$H$58,5),VLOOKUP(N349,setup!$A$8:$H$58,8))</f>
        <v>#VALUE!</v>
      </c>
    </row>
    <row r="350" spans="1:15" x14ac:dyDescent="0.25">
      <c r="A350" t="s">
        <v>527</v>
      </c>
      <c r="N350">
        <f t="shared" si="10"/>
        <v>38</v>
      </c>
      <c r="O350" s="18" t="e">
        <f>getCodigoBackend(N350,A350,VLOOKUP(N350,setup!$A$8:$H$58,2),VLOOKUP(N350,setup!$A$8:$H$58,3),VLOOKUP(N350,setup!$A$8:$H$58,4),VLOOKUP(N350,setup!$A$8:$H$58,5),VLOOKUP(N350,setup!$A$8:$H$58,6),VLOOKUP(N350,setup!$A$8:$H$58,7), VLOOKUP(0,setup!$A$8:$H$58,2),VLOOKUP(0,setup!$A$8:$H$58,5),VLOOKUP(N350,setup!$A$8:$H$58,8))</f>
        <v>#VALUE!</v>
      </c>
    </row>
    <row r="351" spans="1:15" x14ac:dyDescent="0.25">
      <c r="A351" t="s">
        <v>527</v>
      </c>
      <c r="N351">
        <f t="shared" si="10"/>
        <v>39</v>
      </c>
      <c r="O351" s="18" t="e">
        <f>getCodigoBackend(N351,A351,VLOOKUP(N351,setup!$A$8:$H$58,2),VLOOKUP(N351,setup!$A$8:$H$58,3),VLOOKUP(N351,setup!$A$8:$H$58,4),VLOOKUP(N351,setup!$A$8:$H$58,5),VLOOKUP(N351,setup!$A$8:$H$58,6),VLOOKUP(N351,setup!$A$8:$H$58,7), VLOOKUP(0,setup!$A$8:$H$58,2),VLOOKUP(0,setup!$A$8:$H$58,5),VLOOKUP(N351,setup!$A$8:$H$58,8))</f>
        <v>#VALUE!</v>
      </c>
    </row>
    <row r="352" spans="1:15" x14ac:dyDescent="0.25">
      <c r="A352" t="s">
        <v>527</v>
      </c>
      <c r="N352">
        <f t="shared" si="10"/>
        <v>40</v>
      </c>
      <c r="O352" s="18" t="e">
        <f>getCodigoBackend(N352,A352,VLOOKUP(N352,setup!$A$8:$H$58,2),VLOOKUP(N352,setup!$A$8:$H$58,3),VLOOKUP(N352,setup!$A$8:$H$58,4),VLOOKUP(N352,setup!$A$8:$H$58,5),VLOOKUP(N352,setup!$A$8:$H$58,6),VLOOKUP(N352,setup!$A$8:$H$58,7), VLOOKUP(0,setup!$A$8:$H$58,2),VLOOKUP(0,setup!$A$8:$H$58,5),VLOOKUP(N352,setup!$A$8:$H$58,8))</f>
        <v>#VALUE!</v>
      </c>
    </row>
    <row r="353" spans="1:15" x14ac:dyDescent="0.25">
      <c r="A353" t="s">
        <v>527</v>
      </c>
      <c r="N353">
        <f t="shared" si="10"/>
        <v>41</v>
      </c>
      <c r="O353" s="18" t="e">
        <f>getCodigoBackend(N353,A353,VLOOKUP(N353,setup!$A$8:$H$58,2),VLOOKUP(N353,setup!$A$8:$H$58,3),VLOOKUP(N353,setup!$A$8:$H$58,4),VLOOKUP(N353,setup!$A$8:$H$58,5),VLOOKUP(N353,setup!$A$8:$H$58,6),VLOOKUP(N353,setup!$A$8:$H$58,7), VLOOKUP(0,setup!$A$8:$H$58,2),VLOOKUP(0,setup!$A$8:$H$58,5),VLOOKUP(N353,setup!$A$8:$H$58,8))</f>
        <v>#VALUE!</v>
      </c>
    </row>
    <row r="354" spans="1:15" x14ac:dyDescent="0.25">
      <c r="A354" t="s">
        <v>527</v>
      </c>
      <c r="N354">
        <f t="shared" si="10"/>
        <v>42</v>
      </c>
      <c r="O354" s="18" t="e">
        <f>getCodigoBackend(N354,A354,VLOOKUP(N354,setup!$A$8:$H$58,2),VLOOKUP(N354,setup!$A$8:$H$58,3),VLOOKUP(N354,setup!$A$8:$H$58,4),VLOOKUP(N354,setup!$A$8:$H$58,5),VLOOKUP(N354,setup!$A$8:$H$58,6),VLOOKUP(N354,setup!$A$8:$H$58,7), VLOOKUP(0,setup!$A$8:$H$58,2),VLOOKUP(0,setup!$A$8:$H$58,5),VLOOKUP(N354,setup!$A$8:$H$58,8))</f>
        <v>#VALUE!</v>
      </c>
    </row>
    <row r="355" spans="1:15" x14ac:dyDescent="0.25">
      <c r="A355" t="s">
        <v>527</v>
      </c>
      <c r="N355">
        <f t="shared" si="10"/>
        <v>43</v>
      </c>
      <c r="O355" s="18" t="e">
        <f>getCodigoBackend(N355,A355,VLOOKUP(N355,setup!$A$8:$H$58,2),VLOOKUP(N355,setup!$A$8:$H$58,3),VLOOKUP(N355,setup!$A$8:$H$58,4),VLOOKUP(N355,setup!$A$8:$H$58,5),VLOOKUP(N355,setup!$A$8:$H$58,6),VLOOKUP(N355,setup!$A$8:$H$58,7), VLOOKUP(0,setup!$A$8:$H$58,2),VLOOKUP(0,setup!$A$8:$H$58,5),VLOOKUP(N355,setup!$A$8:$H$58,8))</f>
        <v>#VALUE!</v>
      </c>
    </row>
    <row r="356" spans="1:15" x14ac:dyDescent="0.25">
      <c r="A356" t="s">
        <v>527</v>
      </c>
      <c r="N356">
        <f t="shared" si="10"/>
        <v>44</v>
      </c>
      <c r="O356" s="18" t="e">
        <f>getCodigoBackend(N356,A356,VLOOKUP(N356,setup!$A$8:$H$58,2),VLOOKUP(N356,setup!$A$8:$H$58,3),VLOOKUP(N356,setup!$A$8:$H$58,4),VLOOKUP(N356,setup!$A$8:$H$58,5),VLOOKUP(N356,setup!$A$8:$H$58,6),VLOOKUP(N356,setup!$A$8:$H$58,7), VLOOKUP(0,setup!$A$8:$H$58,2),VLOOKUP(0,setup!$A$8:$H$58,5),VLOOKUP(N356,setup!$A$8:$H$58,8))</f>
        <v>#VALUE!</v>
      </c>
    </row>
    <row r="357" spans="1:15" x14ac:dyDescent="0.25">
      <c r="A357" t="s">
        <v>527</v>
      </c>
      <c r="N357">
        <f t="shared" si="10"/>
        <v>45</v>
      </c>
      <c r="O357" s="18" t="e">
        <f>getCodigoBackend(N357,A357,VLOOKUP(N357,setup!$A$8:$H$58,2),VLOOKUP(N357,setup!$A$8:$H$58,3),VLOOKUP(N357,setup!$A$8:$H$58,4),VLOOKUP(N357,setup!$A$8:$H$58,5),VLOOKUP(N357,setup!$A$8:$H$58,6),VLOOKUP(N357,setup!$A$8:$H$58,7), VLOOKUP(0,setup!$A$8:$H$58,2),VLOOKUP(0,setup!$A$8:$H$58,5),VLOOKUP(N357,setup!$A$8:$H$58,8))</f>
        <v>#VALUE!</v>
      </c>
    </row>
    <row r="358" spans="1:15" x14ac:dyDescent="0.25">
      <c r="A358" t="s">
        <v>527</v>
      </c>
      <c r="N358">
        <f t="shared" si="10"/>
        <v>46</v>
      </c>
      <c r="O358" s="18" t="e">
        <f>getCodigoBackend(N358,A358,VLOOKUP(N358,setup!$A$8:$H$58,2),VLOOKUP(N358,setup!$A$8:$H$58,3),VLOOKUP(N358,setup!$A$8:$H$58,4),VLOOKUP(N358,setup!$A$8:$H$58,5),VLOOKUP(N358,setup!$A$8:$H$58,6),VLOOKUP(N358,setup!$A$8:$H$58,7), VLOOKUP(0,setup!$A$8:$H$58,2),VLOOKUP(0,setup!$A$8:$H$58,5),VLOOKUP(N358,setup!$A$8:$H$58,8))</f>
        <v>#VALUE!</v>
      </c>
    </row>
    <row r="359" spans="1:15" x14ac:dyDescent="0.25">
      <c r="A359" t="s">
        <v>527</v>
      </c>
      <c r="N359">
        <f t="shared" si="10"/>
        <v>47</v>
      </c>
      <c r="O359" s="18" t="e">
        <f>getCodigoBackend(N359,A359,VLOOKUP(N359,setup!$A$8:$H$58,2),VLOOKUP(N359,setup!$A$8:$H$58,3),VLOOKUP(N359,setup!$A$8:$H$58,4),VLOOKUP(N359,setup!$A$8:$H$58,5),VLOOKUP(N359,setup!$A$8:$H$58,6),VLOOKUP(N359,setup!$A$8:$H$58,7), VLOOKUP(0,setup!$A$8:$H$58,2),VLOOKUP(0,setup!$A$8:$H$58,5),VLOOKUP(N359,setup!$A$8:$H$58,8))</f>
        <v>#VALUE!</v>
      </c>
    </row>
    <row r="360" spans="1:15" x14ac:dyDescent="0.25">
      <c r="A360" t="s">
        <v>527</v>
      </c>
      <c r="N360">
        <f t="shared" si="10"/>
        <v>48</v>
      </c>
      <c r="O360" s="18" t="str">
        <f ca="1">getCodigoBackend(N360,A360,VLOOKUP(N360,setup!$A$8:$H$58,2),VLOOKUP(N360,setup!$A$8:$H$58,3),VLOOKUP(N360,setup!$A$8:$H$58,4),VLOOKUP(N360,setup!$A$8:$H$58,5),VLOOKUP(N360,setup!$A$8:$H$58,6),VLOOKUP(N360,setup!$A$8:$H$58,7), VLOOKUP(0,setup!$A$8:$H$58,2),VLOOKUP(0,setup!$A$8:$H$58,5),VLOOKUP(N360,setup!$A$8:$H$58,8))</f>
        <v xml:space="preserve">              status: tecstatus.text, </v>
      </c>
    </row>
    <row r="361" spans="1:15" x14ac:dyDescent="0.25">
      <c r="A361" t="s">
        <v>527</v>
      </c>
      <c r="N361">
        <f t="shared" si="10"/>
        <v>49</v>
      </c>
      <c r="O361" s="18" t="str">
        <f ca="1">getCodigoBackend(N361,A361,VLOOKUP(N361,setup!$A$8:$H$58,2),VLOOKUP(N361,setup!$A$8:$H$58,3),VLOOKUP(N361,setup!$A$8:$H$58,4),VLOOKUP(N361,setup!$A$8:$H$58,5),VLOOKUP(N361,setup!$A$8:$H$58,6),VLOOKUP(N361,setup!$A$8:$H$58,7), VLOOKUP(0,setup!$A$8:$H$58,2),VLOOKUP(0,setup!$A$8:$H$58,5),VLOOKUP(N361,setup!$A$8:$H$58,8))</f>
        <v xml:space="preserve">              dataCadastro: tecdataCadastro.text, </v>
      </c>
    </row>
    <row r="362" spans="1:15" x14ac:dyDescent="0.25">
      <c r="A362" t="s">
        <v>527</v>
      </c>
      <c r="N362">
        <f t="shared" si="10"/>
        <v>50</v>
      </c>
      <c r="O362" s="18" t="str">
        <f ca="1">getCodigoBackend(N362,A362,VLOOKUP(N362,setup!$A$8:$H$58,2),VLOOKUP(N362,setup!$A$8:$H$58,3),VLOOKUP(N362,setup!$A$8:$H$58,4),VLOOKUP(N362,setup!$A$8:$H$58,5),VLOOKUP(N362,setup!$A$8:$H$58,6),VLOOKUP(N362,setup!$A$8:$H$58,7), VLOOKUP(0,setup!$A$8:$H$58,2),VLOOKUP(0,setup!$A$8:$H$58,5),VLOOKUP(N362,setup!$A$8:$H$58,8))</f>
        <v xml:space="preserve">              dataAtualizacao: tecdataAtualizacao.text, </v>
      </c>
    </row>
    <row r="363" spans="1:15" x14ac:dyDescent="0.25">
      <c r="A363" t="s">
        <v>493</v>
      </c>
      <c r="O363" s="18" t="str">
        <f ca="1">getCodigoBackend(N363,A363,VLOOKUP(N363,setup!$A$8:$H$58,2),VLOOKUP(N363,setup!$A$8:$H$58,3),VLOOKUP(N363,setup!$A$8:$H$58,4),VLOOKUP(N363,setup!$A$8:$H$58,5),VLOOKUP(N363,setup!$A$8:$H$58,6),VLOOKUP(N363,setup!$A$8:$H$58,7), VLOOKUP(0,setup!$A$8:$H$58,2),VLOOKUP(0,setup!$A$8:$H$58,5),VLOOKUP(N363,setup!$A$8:$H$58,8))</f>
        <v xml:space="preserve">          );</v>
      </c>
    </row>
    <row r="364" spans="1:15" x14ac:dyDescent="0.25">
      <c r="A364" s="18" t="s">
        <v>576</v>
      </c>
      <c r="O364" s="18" t="str">
        <f ca="1">getCodigoBackend(N364,A364,VLOOKUP(N364,setup!$A$8:$H$58,2),VLOOKUP(N364,setup!$A$8:$H$58,3),VLOOKUP(N364,setup!$A$8:$H$58,4),VLOOKUP(N364,setup!$A$8:$H$58,5),VLOOKUP(N364,setup!$A$8:$H$58,6),VLOOKUP(N364,setup!$A$8:$H$58,7), VLOOKUP(0,setup!$A$8:$H$58,2),VLOOKUP(0,setup!$A$8:$H$58,5),VLOOKUP(N364,setup!$A$8:$H$58,8))</f>
        <v xml:space="preserve">    String _urlcrud = _iscadastro ? '${_urlControlador}appInserirCampanhaCashbackResgatePix.php' : '${_urlControlador}appAtualizarCampanhaCashbackResgatePix.php';</v>
      </c>
    </row>
    <row r="365" spans="1:15" x14ac:dyDescent="0.25">
      <c r="A365" s="18" t="s">
        <v>544</v>
      </c>
      <c r="O365" s="18" t="str">
        <f ca="1">getCodigoBackend(N365,A365,VLOOKUP(N365,setup!$A$8:$H$58,2),VLOOKUP(N365,setup!$A$8:$H$58,3),VLOOKUP(N365,setup!$A$8:$H$58,4),VLOOKUP(N365,setup!$A$8:$H$58,5),VLOOKUP(N365,setup!$A$8:$H$58,6),VLOOKUP(N365,setup!$A$8:$H$58,7), VLOOKUP(0,setup!$A$8:$H$58,2),VLOOKUP(0,setup!$A$8:$H$58,5),VLOOKUP(N365,setup!$A$8:$H$58,8))</f>
        <v xml:space="preserve">    CampanhaCashbackResgatePixVOPost p = await createPost('${_urlcrud}', body: newPost.toMap());</v>
      </c>
    </row>
    <row r="366" spans="1:15" x14ac:dyDescent="0.25">
      <c r="A366" s="18" t="s">
        <v>494</v>
      </c>
      <c r="O366" s="18" t="str">
        <f ca="1">getCodigoBackend(N366,A366,VLOOKUP(N366,setup!$A$8:$H$58,2),VLOOKUP(N366,setup!$A$8:$H$58,3),VLOOKUP(N366,setup!$A$8:$H$58,4),VLOOKUP(N366,setup!$A$8:$H$58,5),VLOOKUP(N366,setup!$A$8:$H$58,6),VLOOKUP(N366,setup!$A$8:$H$58,7), VLOOKUP(0,setup!$A$8:$H$58,2),VLOOKUP(0,setup!$A$8:$H$58,5),VLOOKUP(N366,setup!$A$8:$H$58,8))</f>
        <v xml:space="preserve">          Icon _icon = p.msgcode == 'MSG-0001' </v>
      </c>
    </row>
    <row r="367" spans="1:15" x14ac:dyDescent="0.25">
      <c r="A367" s="18" t="s">
        <v>495</v>
      </c>
      <c r="O367" s="18" t="str">
        <f ca="1">getCodigoBackend(N367,A367,VLOOKUP(N367,setup!$A$8:$H$58,2),VLOOKUP(N367,setup!$A$8:$H$58,3),VLOOKUP(N367,setup!$A$8:$H$58,4),VLOOKUP(N367,setup!$A$8:$H$58,5),VLOOKUP(N367,setup!$A$8:$H$58,6),VLOOKUP(N367,setup!$A$8:$H$58,7), VLOOKUP(0,setup!$A$8:$H$58,2),VLOOKUP(0,setup!$A$8:$H$58,5),VLOOKUP(N367,setup!$A$8:$H$58,8))</f>
        <v xml:space="preserve">          ? Icon(Icons.check_circle_outline, size: 120.0, color: Colors.green,)</v>
      </c>
    </row>
    <row r="368" spans="1:15" x14ac:dyDescent="0.25">
      <c r="A368" s="18" t="s">
        <v>496</v>
      </c>
      <c r="O368" s="18" t="str">
        <f ca="1">getCodigoBackend(N368,A368,VLOOKUP(N368,setup!$A$8:$H$58,2),VLOOKUP(N368,setup!$A$8:$H$58,3),VLOOKUP(N368,setup!$A$8:$H$58,4),VLOOKUP(N368,setup!$A$8:$H$58,5),VLOOKUP(N368,setup!$A$8:$H$58,6),VLOOKUP(N368,setup!$A$8:$H$58,7), VLOOKUP(0,setup!$A$8:$H$58,2),VLOOKUP(0,setup!$A$8:$H$58,5),VLOOKUP(N368,setup!$A$8:$H$58,8))</f>
        <v xml:space="preserve">          : Icon(Icons.error, size: 120.0, color: Colors.red,);</v>
      </c>
    </row>
    <row r="369" spans="1:15" x14ac:dyDescent="0.25">
      <c r="A369" s="18"/>
      <c r="O369" s="18" t="str">
        <f ca="1">getCodigoBackend(N369,A369,VLOOKUP(N369,setup!$A$8:$H$58,2),VLOOKUP(N369,setup!$A$8:$H$58,3),VLOOKUP(N369,setup!$A$8:$H$58,4),VLOOKUP(N369,setup!$A$8:$H$58,5),VLOOKUP(N369,setup!$A$8:$H$58,6),VLOOKUP(N369,setup!$A$8:$H$58,7), VLOOKUP(0,setup!$A$8:$H$58,2),VLOOKUP(0,setup!$A$8:$H$58,5),VLOOKUP(N369,setup!$A$8:$H$58,8))</f>
        <v/>
      </c>
    </row>
    <row r="370" spans="1:15" x14ac:dyDescent="0.25">
      <c r="A370" s="18" t="s">
        <v>497</v>
      </c>
      <c r="O370" s="18" t="str">
        <f ca="1">getCodigoBackend(N370,A370,VLOOKUP(N370,setup!$A$8:$H$58,2),VLOOKUP(N370,setup!$A$8:$H$58,3),VLOOKUP(N370,setup!$A$8:$H$58,4),VLOOKUP(N370,setup!$A$8:$H$58,5),VLOOKUP(N370,setup!$A$8:$H$58,6),VLOOKUP(N370,setup!$A$8:$H$58,7), VLOOKUP(0,setup!$A$8:$H$58,2),VLOOKUP(0,setup!$A$8:$H$58,5),VLOOKUP(N370,setup!$A$8:$H$58,8))</f>
        <v xml:space="preserve">          CommonShowDialogYesNo retorno = new CommonShowDialogYesNo(</v>
      </c>
    </row>
    <row r="371" spans="1:15" x14ac:dyDescent="0.25">
      <c r="A371" s="18" t="s">
        <v>498</v>
      </c>
      <c r="O371" s="18" t="str">
        <f ca="1">getCodigoBackend(N371,A371,VLOOKUP(N371,setup!$A$8:$H$58,2),VLOOKUP(N371,setup!$A$8:$H$58,3),VLOOKUP(N371,setup!$A$8:$H$58,4),VLOOKUP(N371,setup!$A$8:$H$58,5),VLOOKUP(N371,setup!$A$8:$H$58,6),VLOOKUP(N371,setup!$A$8:$H$58,7), VLOOKUP(0,setup!$A$8:$H$58,2),VLOOKUP(0,setup!$A$8:$H$58,5),VLOOKUP(N371,setup!$A$8:$H$58,8))</f>
        <v xml:space="preserve">            context: context,</v>
      </c>
    </row>
    <row r="372" spans="1:15" x14ac:dyDescent="0.25">
      <c r="A372" s="18" t="s">
        <v>499</v>
      </c>
      <c r="O372" s="18" t="str">
        <f ca="1">getCodigoBackend(N372,A372,VLOOKUP(N372,setup!$A$8:$H$58,2),VLOOKUP(N372,setup!$A$8:$H$58,3),VLOOKUP(N372,setup!$A$8:$H$58,4),VLOOKUP(N372,setup!$A$8:$H$58,5),VLOOKUP(N372,setup!$A$8:$H$58,6),VLOOKUP(N372,setup!$A$8:$H$58,7), VLOOKUP(0,setup!$A$8:$H$58,2),VLOOKUP(0,setup!$A$8:$H$58,5),VLOOKUP(N372,setup!$A$8:$H$58,8))</f>
        <v xml:space="preserve">            icon: _icon,</v>
      </c>
    </row>
    <row r="373" spans="1:15" x14ac:dyDescent="0.25">
      <c r="A373" s="18" t="s">
        <v>500</v>
      </c>
      <c r="O373" s="18" t="str">
        <f ca="1">getCodigoBackend(N373,A373,VLOOKUP(N373,setup!$A$8:$H$58,2),VLOOKUP(N373,setup!$A$8:$H$58,3),VLOOKUP(N373,setup!$A$8:$H$58,4),VLOOKUP(N373,setup!$A$8:$H$58,5),VLOOKUP(N373,setup!$A$8:$H$58,6),VLOOKUP(N373,setup!$A$8:$H$58,7), VLOOKUP(0,setup!$A$8:$H$58,2),VLOOKUP(0,setup!$A$8:$H$58,5),VLOOKUP(N373,setup!$A$8:$H$58,8))</f>
        <v xml:space="preserve">            msg: p.msgcodeString,</v>
      </c>
    </row>
    <row r="374" spans="1:15" x14ac:dyDescent="0.25">
      <c r="A374" s="18" t="s">
        <v>493</v>
      </c>
      <c r="O374" s="18" t="str">
        <f ca="1">getCodigoBackend(N374,A374,VLOOKUP(N374,setup!$A$8:$H$58,2),VLOOKUP(N374,setup!$A$8:$H$58,3),VLOOKUP(N374,setup!$A$8:$H$58,4),VLOOKUP(N374,setup!$A$8:$H$58,5),VLOOKUP(N374,setup!$A$8:$H$58,6),VLOOKUP(N374,setup!$A$8:$H$58,7), VLOOKUP(0,setup!$A$8:$H$58,2),VLOOKUP(0,setup!$A$8:$H$58,5),VLOOKUP(N374,setup!$A$8:$H$58,8))</f>
        <v xml:space="preserve">          );</v>
      </c>
    </row>
    <row r="375" spans="1:15" x14ac:dyDescent="0.25">
      <c r="O375" s="18" t="str">
        <f ca="1">getCodigoBackend(N375,A375,VLOOKUP(N375,setup!$A$8:$H$58,2),VLOOKUP(N375,setup!$A$8:$H$58,3),VLOOKUP(N375,setup!$A$8:$H$58,4),VLOOKUP(N375,setup!$A$8:$H$58,5),VLOOKUP(N375,setup!$A$8:$H$58,6),VLOOKUP(N375,setup!$A$8:$H$58,7), VLOOKUP(0,setup!$A$8:$H$58,2),VLOOKUP(0,setup!$A$8:$H$58,5),VLOOKUP(N375,setup!$A$8:$H$58,8))</f>
        <v/>
      </c>
    </row>
    <row r="376" spans="1:15" x14ac:dyDescent="0.25">
      <c r="A376" s="18" t="s">
        <v>501</v>
      </c>
      <c r="O376" s="18" t="str">
        <f ca="1">getCodigoBackend(N376,A376,VLOOKUP(N376,setup!$A$8:$H$58,2),VLOOKUP(N376,setup!$A$8:$H$58,3),VLOOKUP(N376,setup!$A$8:$H$58,4),VLOOKUP(N376,setup!$A$8:$H$58,5),VLOOKUP(N376,setup!$A$8:$H$58,6),VLOOKUP(N376,setup!$A$8:$H$58,7), VLOOKUP(0,setup!$A$8:$H$58,2),VLOOKUP(0,setup!$A$8:$H$58,5),VLOOKUP(N376,setup!$A$8:$H$58,8))</f>
        <v xml:space="preserve">          retorno.showDialogYesNo().then((onValue){</v>
      </c>
    </row>
    <row r="377" spans="1:15" x14ac:dyDescent="0.25">
      <c r="A377" s="18" t="s">
        <v>502</v>
      </c>
      <c r="O377" s="18" t="str">
        <f ca="1">getCodigoBackend(N377,A377,VLOOKUP(N377,setup!$A$8:$H$58,2),VLOOKUP(N377,setup!$A$8:$H$58,3),VLOOKUP(N377,setup!$A$8:$H$58,4),VLOOKUP(N377,setup!$A$8:$H$58,5),VLOOKUP(N377,setup!$A$8:$H$58,6),VLOOKUP(N377,setup!$A$8:$H$58,7), VLOOKUP(0,setup!$A$8:$H$58,2),VLOOKUP(0,setup!$A$8:$H$58,5),VLOOKUP(N377,setup!$A$8:$H$58,8))</f>
        <v xml:space="preserve">              if(retorno.getChoice() == 'Y'){</v>
      </c>
    </row>
    <row r="378" spans="1:15" x14ac:dyDescent="0.25">
      <c r="A378" s="18" t="s">
        <v>503</v>
      </c>
      <c r="O378" s="18" t="str">
        <f ca="1">getCodigoBackend(N378,A378,VLOOKUP(N378,setup!$A$8:$H$58,2),VLOOKUP(N378,setup!$A$8:$H$58,3),VLOOKUP(N378,setup!$A$8:$H$58,4),VLOOKUP(N378,setup!$A$8:$H$58,5),VLOOKUP(N378,setup!$A$8:$H$58,6),VLOOKUP(N378,setup!$A$8:$H$58,7), VLOOKUP(0,setup!$A$8:$H$58,2),VLOOKUP(0,setup!$A$8:$H$58,5),VLOOKUP(N378,setup!$A$8:$H$58,8))</f>
        <v xml:space="preserve">                Navigator.pop(context);</v>
      </c>
    </row>
    <row r="379" spans="1:15" x14ac:dyDescent="0.25">
      <c r="A379" s="18" t="s">
        <v>504</v>
      </c>
      <c r="O379" s="18" t="str">
        <f ca="1">getCodigoBackend(N379,A379,VLOOKUP(N379,setup!$A$8:$H$58,2),VLOOKUP(N379,setup!$A$8:$H$58,3),VLOOKUP(N379,setup!$A$8:$H$58,4),VLOOKUP(N379,setup!$A$8:$H$58,5),VLOOKUP(N379,setup!$A$8:$H$58,6),VLOOKUP(N379,setup!$A$8:$H$58,7), VLOOKUP(0,setup!$A$8:$H$58,2),VLOOKUP(0,setup!$A$8:$H$58,5),VLOOKUP(N379,setup!$A$8:$H$58,8))</f>
        <v xml:space="preserve">              }</v>
      </c>
    </row>
    <row r="380" spans="1:15" x14ac:dyDescent="0.25">
      <c r="A380" s="18" t="s">
        <v>505</v>
      </c>
      <c r="O380" s="18" t="str">
        <f ca="1">getCodigoBackend(N380,A380,VLOOKUP(N380,setup!$A$8:$H$58,2),VLOOKUP(N380,setup!$A$8:$H$58,3),VLOOKUP(N380,setup!$A$8:$H$58,4),VLOOKUP(N380,setup!$A$8:$H$58,5),VLOOKUP(N380,setup!$A$8:$H$58,6),VLOOKUP(N380,setup!$A$8:$H$58,7), VLOOKUP(0,setup!$A$8:$H$58,2),VLOOKUP(0,setup!$A$8:$H$58,5),VLOOKUP(N380,setup!$A$8:$H$58,8))</f>
        <v xml:space="preserve">            }</v>
      </c>
    </row>
    <row r="381" spans="1:15" x14ac:dyDescent="0.25">
      <c r="A381" s="18" t="s">
        <v>493</v>
      </c>
      <c r="O381" s="18" t="str">
        <f ca="1">getCodigoBackend(N381,A381,VLOOKUP(N381,setup!$A$8:$H$58,2),VLOOKUP(N381,setup!$A$8:$H$58,3),VLOOKUP(N381,setup!$A$8:$H$58,4),VLOOKUP(N381,setup!$A$8:$H$58,5),VLOOKUP(N381,setup!$A$8:$H$58,6),VLOOKUP(N381,setup!$A$8:$H$58,7), VLOOKUP(0,setup!$A$8:$H$58,2),VLOOKUP(0,setup!$A$8:$H$58,5),VLOOKUP(N381,setup!$A$8:$H$58,8))</f>
        <v xml:space="preserve">          );</v>
      </c>
    </row>
    <row r="382" spans="1:15" x14ac:dyDescent="0.25">
      <c r="A382" s="18" t="s">
        <v>506</v>
      </c>
      <c r="O382" s="18" t="str">
        <f ca="1">getCodigoBackend(N382,A382,VLOOKUP(N382,setup!$A$8:$H$58,2),VLOOKUP(N382,setup!$A$8:$H$58,3),VLOOKUP(N382,setup!$A$8:$H$58,4),VLOOKUP(N382,setup!$A$8:$H$58,5),VLOOKUP(N382,setup!$A$8:$H$58,6),VLOOKUP(N382,setup!$A$8:$H$58,7), VLOOKUP(0,setup!$A$8:$H$58,2),VLOOKUP(0,setup!$A$8:$H$58,5),VLOOKUP(N382,setup!$A$8:$H$58,8))</f>
        <v xml:space="preserve">        })      </v>
      </c>
    </row>
    <row r="383" spans="1:15" x14ac:dyDescent="0.25">
      <c r="A383" s="18" t="s">
        <v>455</v>
      </c>
      <c r="O383" s="18" t="str">
        <f ca="1">getCodigoBackend(N383,A383,VLOOKUP(N383,setup!$A$8:$H$58,2),VLOOKUP(N383,setup!$A$8:$H$58,3),VLOOKUP(N383,setup!$A$8:$H$58,4),VLOOKUP(N383,setup!$A$8:$H$58,5),VLOOKUP(N383,setup!$A$8:$H$58,6),VLOOKUP(N383,setup!$A$8:$H$58,7), VLOOKUP(0,setup!$A$8:$H$58,2),VLOOKUP(0,setup!$A$8:$H$58,5),VLOOKUP(N383,setup!$A$8:$H$58,8))</f>
        <v xml:space="preserve">    );</v>
      </c>
    </row>
    <row r="384" spans="1:15" x14ac:dyDescent="0.25">
      <c r="A384" s="18"/>
      <c r="O384" s="18" t="str">
        <f ca="1">getCodigoBackend(N384,A384,VLOOKUP(N384,setup!$A$8:$H$58,2),VLOOKUP(N384,setup!$A$8:$H$58,3),VLOOKUP(N384,setup!$A$8:$H$58,4),VLOOKUP(N384,setup!$A$8:$H$58,5),VLOOKUP(N384,setup!$A$8:$H$58,6),VLOOKUP(N384,setup!$A$8:$H$58,7), VLOOKUP(0,setup!$A$8:$H$58,2),VLOOKUP(0,setup!$A$8:$H$58,5),VLOOKUP(N384,setup!$A$8:$H$58,8))</f>
        <v/>
      </c>
    </row>
    <row r="385" spans="1:15" x14ac:dyDescent="0.25">
      <c r="A385" s="18" t="s">
        <v>507</v>
      </c>
      <c r="O385" s="18" t="str">
        <f ca="1">getCodigoBackend(N385,A385,VLOOKUP(N385,setup!$A$8:$H$58,2),VLOOKUP(N385,setup!$A$8:$H$58,3),VLOOKUP(N385,setup!$A$8:$H$58,4),VLOOKUP(N385,setup!$A$8:$H$58,5),VLOOKUP(N385,setup!$A$8:$H$58,6),VLOOKUP(N385,setup!$A$8:$H$58,7), VLOOKUP(0,setup!$A$8:$H$58,2),VLOOKUP(0,setup!$A$8:$H$58,5),VLOOKUP(N385,setup!$A$8:$H$58,8))</f>
        <v xml:space="preserve">    SingleChildScrollView _sceditview = SingleChildScrollView(</v>
      </c>
    </row>
    <row r="386" spans="1:15" x14ac:dyDescent="0.25">
      <c r="A386" s="18" t="s">
        <v>508</v>
      </c>
      <c r="O386" s="18" t="str">
        <f ca="1">getCodigoBackend(N386,A386,VLOOKUP(N386,setup!$A$8:$H$58,2),VLOOKUP(N386,setup!$A$8:$H$58,3),VLOOKUP(N386,setup!$A$8:$H$58,4),VLOOKUP(N386,setup!$A$8:$H$58,5),VLOOKUP(N386,setup!$A$8:$H$58,6),VLOOKUP(N386,setup!$A$8:$H$58,7), VLOOKUP(0,setup!$A$8:$H$58,2),VLOOKUP(0,setup!$A$8:$H$58,5),VLOOKUP(N386,setup!$A$8:$H$58,8))</f>
        <v xml:space="preserve">      child: Column(</v>
      </c>
    </row>
    <row r="387" spans="1:15" x14ac:dyDescent="0.25">
      <c r="A387" s="18" t="s">
        <v>509</v>
      </c>
      <c r="O387" s="18" t="str">
        <f ca="1">getCodigoBackend(N387,A387,VLOOKUP(N387,setup!$A$8:$H$58,2),VLOOKUP(N387,setup!$A$8:$H$58,3),VLOOKUP(N387,setup!$A$8:$H$58,4),VLOOKUP(N387,setup!$A$8:$H$58,5),VLOOKUP(N387,setup!$A$8:$H$58,6),VLOOKUP(N387,setup!$A$8:$H$58,7), VLOOKUP(0,setup!$A$8:$H$58,2),VLOOKUP(0,setup!$A$8:$H$58,5),VLOOKUP(N387,setup!$A$8:$H$58,8))</f>
        <v xml:space="preserve">          crossAxisAlignment: CrossAxisAlignment.center,</v>
      </c>
    </row>
    <row r="388" spans="1:15" x14ac:dyDescent="0.25">
      <c r="A388" s="18" t="s">
        <v>510</v>
      </c>
      <c r="O388" s="18" t="str">
        <f ca="1">getCodigoBackend(N388,A388,VLOOKUP(N388,setup!$A$8:$H$58,2),VLOOKUP(N388,setup!$A$8:$H$58,3),VLOOKUP(N388,setup!$A$8:$H$58,4),VLOOKUP(N388,setup!$A$8:$H$58,5),VLOOKUP(N388,setup!$A$8:$H$58,6),VLOOKUP(N388,setup!$A$8:$H$58,7), VLOOKUP(0,setup!$A$8:$H$58,2),VLOOKUP(0,setup!$A$8:$H$58,5),VLOOKUP(N388,setup!$A$8:$H$58,8))</f>
        <v xml:space="preserve">          children: &lt;Widget&gt;[</v>
      </c>
    </row>
    <row r="389" spans="1:15" x14ac:dyDescent="0.25">
      <c r="A389" s="18" t="s">
        <v>511</v>
      </c>
      <c r="O389" s="18" t="str">
        <f ca="1">getCodigoBackend(N389,A389,VLOOKUP(N389,setup!$A$8:$H$58,2),VLOOKUP(N389,setup!$A$8:$H$58,3),VLOOKUP(N389,setup!$A$8:$H$58,4),VLOOKUP(N389,setup!$A$8:$H$58,5),VLOOKUP(N389,setup!$A$8:$H$58,6),VLOOKUP(N389,setup!$A$8:$H$58,7), VLOOKUP(0,setup!$A$8:$H$58,2),VLOOKUP(0,setup!$A$8:$H$58,5),VLOOKUP(N389,setup!$A$8:$H$58,8))</f>
        <v xml:space="preserve">            Padding(</v>
      </c>
    </row>
    <row r="390" spans="1:15" x14ac:dyDescent="0.25">
      <c r="A390" s="18" t="s">
        <v>512</v>
      </c>
      <c r="O390" s="18" t="str">
        <f ca="1">getCodigoBackend(N390,A390,VLOOKUP(N390,setup!$A$8:$H$58,2),VLOOKUP(N390,setup!$A$8:$H$58,3),VLOOKUP(N390,setup!$A$8:$H$58,4),VLOOKUP(N390,setup!$A$8:$H$58,5),VLOOKUP(N390,setup!$A$8:$H$58,6),VLOOKUP(N390,setup!$A$8:$H$58,7), VLOOKUP(0,setup!$A$8:$H$58,2),VLOOKUP(0,setup!$A$8:$H$58,5),VLOOKUP(N390,setup!$A$8:$H$58,8))</f>
        <v xml:space="preserve">              padding: EdgeInsets.all(10.0),</v>
      </c>
    </row>
    <row r="391" spans="1:15" x14ac:dyDescent="0.25">
      <c r="A391" s="18" t="s">
        <v>513</v>
      </c>
      <c r="O391" s="18" t="str">
        <f ca="1">getCodigoBackend(N391,A391,VLOOKUP(N391,setup!$A$8:$H$58,2),VLOOKUP(N391,setup!$A$8:$H$58,3),VLOOKUP(N391,setup!$A$8:$H$58,4),VLOOKUP(N391,setup!$A$8:$H$58,5),VLOOKUP(N391,setup!$A$8:$H$58,6),VLOOKUP(N391,setup!$A$8:$H$58,7), VLOOKUP(0,setup!$A$8:$H$58,2),VLOOKUP(0,setup!$A$8:$H$58,5),VLOOKUP(N391,setup!$A$8:$H$58,8))</f>
        <v xml:space="preserve">              child: Column(</v>
      </c>
    </row>
    <row r="392" spans="1:15" x14ac:dyDescent="0.25">
      <c r="A392" s="18" t="s">
        <v>528</v>
      </c>
      <c r="O392" s="18" t="str">
        <f ca="1">getCodigoBackend(N392,A392,VLOOKUP(N392,setup!$A$8:$H$58,2),VLOOKUP(N392,setup!$A$8:$H$58,3),VLOOKUP(N392,setup!$A$8:$H$58,4),VLOOKUP(N392,setup!$A$8:$H$58,5),VLOOKUP(N392,setup!$A$8:$H$58,6),VLOOKUP(N392,setup!$A$8:$H$58,7), VLOOKUP(0,setup!$A$8:$H$58,2),VLOOKUP(0,setup!$A$8:$H$58,5),VLOOKUP(N392,setup!$A$8:$H$58,8))</f>
        <v xml:space="preserve">                children: _lstCamposCampanhaCashbackResgatePix</v>
      </c>
    </row>
    <row r="393" spans="1:15" x14ac:dyDescent="0.25">
      <c r="A393" s="18" t="s">
        <v>514</v>
      </c>
      <c r="O393" s="18" t="str">
        <f ca="1">getCodigoBackend(N393,A393,VLOOKUP(N393,setup!$A$8:$H$58,2),VLOOKUP(N393,setup!$A$8:$H$58,3),VLOOKUP(N393,setup!$A$8:$H$58,4),VLOOKUP(N393,setup!$A$8:$H$58,5),VLOOKUP(N393,setup!$A$8:$H$58,6),VLOOKUP(N393,setup!$A$8:$H$58,7), VLOOKUP(0,setup!$A$8:$H$58,2),VLOOKUP(0,setup!$A$8:$H$58,5),VLOOKUP(N393,setup!$A$8:$H$58,8))</f>
        <v xml:space="preserve">              ),</v>
      </c>
    </row>
    <row r="394" spans="1:15" x14ac:dyDescent="0.25">
      <c r="A394" s="18" t="s">
        <v>488</v>
      </c>
      <c r="O394" s="18" t="str">
        <f ca="1">getCodigoBackend(N394,A394,VLOOKUP(N394,setup!$A$8:$H$58,2),VLOOKUP(N394,setup!$A$8:$H$58,3),VLOOKUP(N394,setup!$A$8:$H$58,4),VLOOKUP(N394,setup!$A$8:$H$58,5),VLOOKUP(N394,setup!$A$8:$H$58,6),VLOOKUP(N394,setup!$A$8:$H$58,7), VLOOKUP(0,setup!$A$8:$H$58,2),VLOOKUP(0,setup!$A$8:$H$58,5),VLOOKUP(N394,setup!$A$8:$H$58,8))</f>
        <v xml:space="preserve">            ),</v>
      </c>
    </row>
    <row r="395" spans="1:15" x14ac:dyDescent="0.25">
      <c r="A395" s="18" t="s">
        <v>515</v>
      </c>
      <c r="O395" s="18" t="str">
        <f ca="1">getCodigoBackend(N395,A395,VLOOKUP(N395,setup!$A$8:$H$58,2),VLOOKUP(N395,setup!$A$8:$H$58,3),VLOOKUP(N395,setup!$A$8:$H$58,4),VLOOKUP(N395,setup!$A$8:$H$58,5),VLOOKUP(N395,setup!$A$8:$H$58,6),VLOOKUP(N395,setup!$A$8:$H$58,7), VLOOKUP(0,setup!$A$8:$H$58,2),VLOOKUP(0,setup!$A$8:$H$58,5),VLOOKUP(N395,setup!$A$8:$H$58,8))</f>
        <v xml:space="preserve">          ],</v>
      </c>
    </row>
    <row r="396" spans="1:15" x14ac:dyDescent="0.25">
      <c r="A396" s="18" t="s">
        <v>487</v>
      </c>
      <c r="O396" s="18" t="str">
        <f ca="1">getCodigoBackend(N396,A396,VLOOKUP(N396,setup!$A$8:$H$58,2),VLOOKUP(N396,setup!$A$8:$H$58,3),VLOOKUP(N396,setup!$A$8:$H$58,4),VLOOKUP(N396,setup!$A$8:$H$58,5),VLOOKUP(N396,setup!$A$8:$H$58,6),VLOOKUP(N396,setup!$A$8:$H$58,7), VLOOKUP(0,setup!$A$8:$H$58,2),VLOOKUP(0,setup!$A$8:$H$58,5),VLOOKUP(N396,setup!$A$8:$H$58,8))</f>
        <v xml:space="preserve">        ),</v>
      </c>
    </row>
    <row r="397" spans="1:15" x14ac:dyDescent="0.25">
      <c r="A397" s="18" t="s">
        <v>455</v>
      </c>
      <c r="O397" s="18" t="str">
        <f ca="1">getCodigoBackend(N397,A397,VLOOKUP(N397,setup!$A$8:$H$58,2),VLOOKUP(N397,setup!$A$8:$H$58,3),VLOOKUP(N397,setup!$A$8:$H$58,4),VLOOKUP(N397,setup!$A$8:$H$58,5),VLOOKUP(N397,setup!$A$8:$H$58,6),VLOOKUP(N397,setup!$A$8:$H$58,7), VLOOKUP(0,setup!$A$8:$H$58,2),VLOOKUP(0,setup!$A$8:$H$58,5),VLOOKUP(N397,setup!$A$8:$H$58,8))</f>
        <v xml:space="preserve">    );</v>
      </c>
    </row>
    <row r="398" spans="1:15" x14ac:dyDescent="0.25">
      <c r="A398" s="18"/>
      <c r="O398" s="18" t="str">
        <f ca="1">getCodigoBackend(N398,A398,VLOOKUP(N398,setup!$A$8:$H$58,2),VLOOKUP(N398,setup!$A$8:$H$58,3),VLOOKUP(N398,setup!$A$8:$H$58,4),VLOOKUP(N398,setup!$A$8:$H$58,5),VLOOKUP(N398,setup!$A$8:$H$58,6),VLOOKUP(N398,setup!$A$8:$H$58,7), VLOOKUP(0,setup!$A$8:$H$58,2),VLOOKUP(0,setup!$A$8:$H$58,5),VLOOKUP(N398,setup!$A$8:$H$58,8))</f>
        <v/>
      </c>
    </row>
    <row r="399" spans="1:15" x14ac:dyDescent="0.25">
      <c r="A399" s="18" t="s">
        <v>516</v>
      </c>
      <c r="O399" s="18" t="str">
        <f ca="1">getCodigoBackend(N399,A399,VLOOKUP(N399,setup!$A$8:$H$58,2),VLOOKUP(N399,setup!$A$8:$H$58,3),VLOOKUP(N399,setup!$A$8:$H$58,4),VLOOKUP(N399,setup!$A$8:$H$58,5),VLOOKUP(N399,setup!$A$8:$H$58,6),VLOOKUP(N399,setup!$A$8:$H$58,7), VLOOKUP(0,setup!$A$8:$H$58,2),VLOOKUP(0,setup!$A$8:$H$58,5),VLOOKUP(N399,setup!$A$8:$H$58,8))</f>
        <v xml:space="preserve">    return new Scaffold(</v>
      </c>
    </row>
    <row r="400" spans="1:15" x14ac:dyDescent="0.25">
      <c r="A400" s="18" t="s">
        <v>517</v>
      </c>
      <c r="O400" s="18" t="str">
        <f ca="1">getCodigoBackend(N400,A400,VLOOKUP(N400,setup!$A$8:$H$58,2),VLOOKUP(N400,setup!$A$8:$H$58,3),VLOOKUP(N400,setup!$A$8:$H$58,4),VLOOKUP(N400,setup!$A$8:$H$58,5),VLOOKUP(N400,setup!$A$8:$H$58,6),VLOOKUP(N400,setup!$A$8:$H$58,7), VLOOKUP(0,setup!$A$8:$H$58,2),VLOOKUP(0,setup!$A$8:$H$58,5),VLOOKUP(N400,setup!$A$8:$H$58,8))</f>
        <v xml:space="preserve">      appBar: new AppBar(</v>
      </c>
    </row>
    <row r="401" spans="1:15" x14ac:dyDescent="0.25">
      <c r="A401" s="18" t="s">
        <v>545</v>
      </c>
      <c r="O401" s="18" t="str">
        <f ca="1">getCodigoBackend(N401,A401,VLOOKUP(N401,setup!$A$8:$H$58,2),VLOOKUP(N401,setup!$A$8:$H$58,3),VLOOKUP(N401,setup!$A$8:$H$58,4),VLOOKUP(N401,setup!$A$8:$H$58,5),VLOOKUP(N401,setup!$A$8:$H$58,6),VLOOKUP(N401,setup!$A$8:$H$58,7), VLOOKUP(0,setup!$A$8:$H$58,2),VLOOKUP(0,setup!$A$8:$H$58,5),VLOOKUP(N401,setup!$A$8:$H$58,8))</f>
        <v xml:space="preserve">        title: Text(_iscadastro? "Adicionar" : "Editar"),</v>
      </c>
    </row>
    <row r="402" spans="1:15" x14ac:dyDescent="0.25">
      <c r="A402" s="18" t="s">
        <v>518</v>
      </c>
      <c r="O402" s="18" t="str">
        <f ca="1">getCodigoBackend(N402,A402,VLOOKUP(N402,setup!$A$8:$H$58,2),VLOOKUP(N402,setup!$A$8:$H$58,3),VLOOKUP(N402,setup!$A$8:$H$58,4),VLOOKUP(N402,setup!$A$8:$H$58,5),VLOOKUP(N402,setup!$A$8:$H$58,6),VLOOKUP(N402,setup!$A$8:$H$58,7), VLOOKUP(0,setup!$A$8:$H$58,2),VLOOKUP(0,setup!$A$8:$H$58,5),VLOOKUP(N402,setup!$A$8:$H$58,8))</f>
        <v xml:space="preserve">      ),</v>
      </c>
    </row>
    <row r="403" spans="1:15" x14ac:dyDescent="0.25">
      <c r="A403" s="18" t="s">
        <v>519</v>
      </c>
      <c r="O403" s="18" t="str">
        <f ca="1">getCodigoBackend(N403,A403,VLOOKUP(N403,setup!$A$8:$H$58,2),VLOOKUP(N403,setup!$A$8:$H$58,3),VLOOKUP(N403,setup!$A$8:$H$58,4),VLOOKUP(N403,setup!$A$8:$H$58,5),VLOOKUP(N403,setup!$A$8:$H$58,6),VLOOKUP(N403,setup!$A$8:$H$58,7), VLOOKUP(0,setup!$A$8:$H$58,2),VLOOKUP(0,setup!$A$8:$H$58,5),VLOOKUP(N403,setup!$A$8:$H$58,8))</f>
        <v xml:space="preserve">      body: _sceditview,</v>
      </c>
    </row>
    <row r="404" spans="1:15" x14ac:dyDescent="0.25">
      <c r="A404" s="18" t="s">
        <v>455</v>
      </c>
      <c r="O404" s="18" t="str">
        <f ca="1">getCodigoBackend(N404,A404,VLOOKUP(N404,setup!$A$8:$H$58,2),VLOOKUP(N404,setup!$A$8:$H$58,3),VLOOKUP(N404,setup!$A$8:$H$58,4),VLOOKUP(N404,setup!$A$8:$H$58,5),VLOOKUP(N404,setup!$A$8:$H$58,6),VLOOKUP(N404,setup!$A$8:$H$58,7), VLOOKUP(0,setup!$A$8:$H$58,2),VLOOKUP(0,setup!$A$8:$H$58,5),VLOOKUP(N404,setup!$A$8:$H$58,8))</f>
        <v xml:space="preserve">    );</v>
      </c>
    </row>
    <row r="405" spans="1:15" x14ac:dyDescent="0.25">
      <c r="A405" s="18" t="s">
        <v>456</v>
      </c>
      <c r="O405" s="18" t="str">
        <f ca="1">getCodigoBackend(N405,A405,VLOOKUP(N405,setup!$A$8:$H$58,2),VLOOKUP(N405,setup!$A$8:$H$58,3),VLOOKUP(N405,setup!$A$8:$H$58,4),VLOOKUP(N405,setup!$A$8:$H$58,5),VLOOKUP(N405,setup!$A$8:$H$58,6),VLOOKUP(N405,setup!$A$8:$H$58,7), VLOOKUP(0,setup!$A$8:$H$58,2),VLOOKUP(0,setup!$A$8:$H$58,5),VLOOKUP(N405,setup!$A$8:$H$58,8))</f>
        <v xml:space="preserve">  }</v>
      </c>
    </row>
    <row r="406" spans="1:15" x14ac:dyDescent="0.25">
      <c r="A406" s="18" t="s">
        <v>28</v>
      </c>
      <c r="O406" s="18" t="str">
        <f ca="1">getCodigoBackend(N406,A406,VLOOKUP(N406,setup!$A$8:$H$58,2),VLOOKUP(N406,setup!$A$8:$H$58,3),VLOOKUP(N406,setup!$A$8:$H$58,4),VLOOKUP(N406,setup!$A$8:$H$58,5),VLOOKUP(N406,setup!$A$8:$H$58,6),VLOOKUP(N406,setup!$A$8:$H$58,7), VLOOKUP(0,setup!$A$8:$H$58,2),VLOOKUP(0,setup!$A$8:$H$58,5),VLOOKUP(N406,setup!$A$8:$H$58,8))</f>
        <v>}</v>
      </c>
    </row>
    <row r="407" spans="1:15" x14ac:dyDescent="0.25">
      <c r="O407" s="18" t="str">
        <f ca="1">getCodigoBackend(N407,A407,VLOOKUP(N407,setup!$A$8:$H$58,2),VLOOKUP(N407,setup!$A$8:$H$58,3),VLOOKUP(N407,setup!$A$8:$H$58,4),VLOOKUP(N407,setup!$A$8:$H$58,5),VLOOKUP(N407,setup!$A$8:$H$58,6),VLOOKUP(N407,setup!$A$8:$H$58,7), VLOOKUP(0,setup!$A$8:$H$58,2),VLOOKUP(0,setup!$A$8:$H$58,5),VLOOKUP(N407,setup!$A$8:$H$58,8))</f>
        <v/>
      </c>
    </row>
    <row r="408" spans="1:15" x14ac:dyDescent="0.25">
      <c r="O408" s="18" t="str">
        <f ca="1">getCodigoBackend(N408,A408,VLOOKUP(N408,setup!$A$8:$H$58,2),VLOOKUP(N408,setup!$A$8:$H$58,3),VLOOKUP(N408,setup!$A$8:$H$58,4),VLOOKUP(N408,setup!$A$8:$H$58,5),VLOOKUP(N408,setup!$A$8:$H$58,6),VLOOKUP(N408,setup!$A$8:$H$58,7), VLOOKUP(0,setup!$A$8:$H$58,2),VLOOKUP(0,setup!$A$8:$H$58,5),VLOOKUP(N408,setup!$A$8:$H$58,8))</f>
        <v/>
      </c>
    </row>
    <row r="409" spans="1:15" x14ac:dyDescent="0.25">
      <c r="O409" s="18" t="str">
        <f ca="1">getCodigoBackend(N409,A409,VLOOKUP(N409,setup!$A$8:$H$58,2),VLOOKUP(N409,setup!$A$8:$H$58,3),VLOOKUP(N409,setup!$A$8:$H$58,4),VLOOKUP(N409,setup!$A$8:$H$58,5),VLOOKUP(N409,setup!$A$8:$H$58,6),VLOOKUP(N409,setup!$A$8:$H$58,7), VLOOKUP(0,setup!$A$8:$H$58,2),VLOOKUP(0,setup!$A$8:$H$58,5),VLOOKUP(N409,setup!$A$8:$H$58,8))</f>
        <v/>
      </c>
    </row>
  </sheetData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21</vt:i4>
      </vt:variant>
    </vt:vector>
  </HeadingPairs>
  <TitlesOfParts>
    <vt:vector size="21" baseType="lpstr">
      <vt:lpstr>setup</vt:lpstr>
      <vt:lpstr>dto</vt:lpstr>
      <vt:lpstr>helper</vt:lpstr>
      <vt:lpstr>constantes</vt:lpstr>
      <vt:lpstr>service</vt:lpstr>
      <vt:lpstr>serviceImpl</vt:lpstr>
      <vt:lpstr>business</vt:lpstr>
      <vt:lpstr>businessImpl</vt:lpstr>
      <vt:lpstr>dao</vt:lpstr>
      <vt:lpstr>DmlSql</vt:lpstr>
      <vt:lpstr>MySQL</vt:lpstr>
      <vt:lpstr>DAOFactory</vt:lpstr>
      <vt:lpstr>MySQLDAOFactory</vt:lpstr>
      <vt:lpstr>appController</vt:lpstr>
      <vt:lpstr>clientListarPorStatus</vt:lpstr>
      <vt:lpstr>clientInserir</vt:lpstr>
      <vt:lpstr>dartVOpost</vt:lpstr>
      <vt:lpstr>dartPageLV</vt:lpstr>
      <vt:lpstr>dartLVBuilder</vt:lpstr>
      <vt:lpstr>dartUI</vt:lpstr>
      <vt:lpstr>dartCRUD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Julio</dc:creator>
  <cp:lastModifiedBy>Julio Cesar Vitorino</cp:lastModifiedBy>
  <cp:lastPrinted>2019-10-06T19:14:48Z</cp:lastPrinted>
  <dcterms:created xsi:type="dcterms:W3CDTF">2019-08-19T12:41:59Z</dcterms:created>
  <dcterms:modified xsi:type="dcterms:W3CDTF">2021-07-26T18:53:09Z</dcterms:modified>
</cp:coreProperties>
</file>