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ulio\Programas\wamp64-3.1.9\www\cfdi\docs\"/>
    </mc:Choice>
  </mc:AlternateContent>
  <xr:revisionPtr revIDLastSave="0" documentId="13_ncr:1_{1C140CBE-8621-4514-A954-882F1312A20D}" xr6:coauthVersionLast="44" xr6:coauthVersionMax="44" xr10:uidLastSave="{00000000-0000-0000-0000-000000000000}"/>
  <bookViews>
    <workbookView xWindow="-120" yWindow="-120" windowWidth="29040" windowHeight="15840" tabRatio="758" activeTab="5" xr2:uid="{E534E200-0C40-41E9-9B6E-924007D90FB7}"/>
  </bookViews>
  <sheets>
    <sheet name="setup" sheetId="1" r:id="rId1"/>
    <sheet name="dartVOpost" sheetId="18" r:id="rId2"/>
    <sheet name="dartPageLV" sheetId="21" r:id="rId3"/>
    <sheet name="dartLVBuilder" sheetId="22" r:id="rId4"/>
    <sheet name="dartUI" sheetId="23" r:id="rId5"/>
    <sheet name="dartCRUD" sheetId="19" r:id="rId6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N80" i="23" l="1"/>
  <c r="N81" i="23" s="1"/>
  <c r="N82" i="23" l="1"/>
  <c r="D17" i="1"/>
  <c r="D16" i="1"/>
  <c r="D15" i="1"/>
  <c r="D14" i="1"/>
  <c r="D13" i="1"/>
  <c r="D12" i="1"/>
  <c r="N83" i="23" l="1"/>
  <c r="D21" i="1"/>
  <c r="D22" i="1"/>
  <c r="N84" i="23" l="1"/>
  <c r="N210" i="23"/>
  <c r="N211" i="23" s="1"/>
  <c r="N85" i="23" l="1"/>
  <c r="N212" i="23"/>
  <c r="N86" i="23" l="1"/>
  <c r="N213" i="23"/>
  <c r="N87" i="23" l="1"/>
  <c r="N214" i="23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F21" i="1"/>
  <c r="F20" i="1"/>
  <c r="F19" i="1"/>
  <c r="F18" i="1"/>
  <c r="F17" i="1"/>
  <c r="F16" i="1"/>
  <c r="F15" i="1"/>
  <c r="F14" i="1"/>
  <c r="F13" i="1"/>
  <c r="F12" i="1"/>
  <c r="F11" i="1"/>
  <c r="F10" i="1"/>
  <c r="F9" i="1"/>
  <c r="N88" i="23" l="1"/>
  <c r="N215" i="23"/>
  <c r="N253" i="19"/>
  <c r="N254" i="19" s="1"/>
  <c r="N255" i="19" s="1"/>
  <c r="N256" i="19" s="1"/>
  <c r="N89" i="23" l="1"/>
  <c r="N216" i="23"/>
  <c r="N257" i="19"/>
  <c r="N90" i="23" l="1"/>
  <c r="N217" i="23"/>
  <c r="N258" i="19"/>
  <c r="N259" i="19" s="1"/>
  <c r="N260" i="19" s="1"/>
  <c r="N261" i="19" s="1"/>
  <c r="N262" i="19" s="1"/>
  <c r="N263" i="19" s="1"/>
  <c r="F8" i="1"/>
  <c r="O89" i="23"/>
  <c r="N91" i="23" l="1"/>
  <c r="N218" i="23"/>
  <c r="N264" i="19"/>
  <c r="O90" i="23"/>
  <c r="N92" i="23" l="1"/>
  <c r="N219" i="23"/>
  <c r="N265" i="19"/>
  <c r="O91" i="23"/>
  <c r="N93" i="23" l="1"/>
  <c r="N220" i="23"/>
  <c r="N266" i="19"/>
  <c r="O431" i="23"/>
  <c r="O430" i="23"/>
  <c r="O429" i="23"/>
  <c r="O428" i="23"/>
  <c r="O427" i="23"/>
  <c r="O426" i="23"/>
  <c r="O425" i="23"/>
  <c r="O424" i="23"/>
  <c r="O423" i="23"/>
  <c r="O422" i="23"/>
  <c r="O421" i="23"/>
  <c r="O321" i="22"/>
  <c r="O320" i="22"/>
  <c r="O319" i="22"/>
  <c r="O318" i="22"/>
  <c r="O317" i="22"/>
  <c r="O316" i="22"/>
  <c r="O315" i="22"/>
  <c r="O314" i="22"/>
  <c r="O313" i="22"/>
  <c r="O312" i="22"/>
  <c r="O311" i="22"/>
  <c r="O329" i="21"/>
  <c r="O328" i="21"/>
  <c r="O327" i="21"/>
  <c r="O326" i="21"/>
  <c r="O325" i="21"/>
  <c r="O324" i="21"/>
  <c r="O323" i="21"/>
  <c r="O322" i="21"/>
  <c r="O321" i="21"/>
  <c r="O320" i="21"/>
  <c r="O319" i="21"/>
  <c r="O92" i="23"/>
  <c r="N94" i="23" l="1"/>
  <c r="N221" i="23"/>
  <c r="N267" i="19"/>
  <c r="N169" i="19"/>
  <c r="N170" i="19" s="1"/>
  <c r="N171" i="19" s="1"/>
  <c r="N172" i="19" s="1"/>
  <c r="N313" i="19"/>
  <c r="N314" i="19" s="1"/>
  <c r="N315" i="19" s="1"/>
  <c r="N316" i="19" s="1"/>
  <c r="N317" i="19" s="1"/>
  <c r="N318" i="19" s="1"/>
  <c r="N319" i="19" s="1"/>
  <c r="N320" i="19" s="1"/>
  <c r="N321" i="19" s="1"/>
  <c r="N322" i="19" s="1"/>
  <c r="N323" i="19" s="1"/>
  <c r="N324" i="19" s="1"/>
  <c r="N325" i="19" s="1"/>
  <c r="N326" i="19" s="1"/>
  <c r="N327" i="19" s="1"/>
  <c r="N328" i="19" s="1"/>
  <c r="N329" i="19" s="1"/>
  <c r="N330" i="19" s="1"/>
  <c r="N331" i="19" s="1"/>
  <c r="N332" i="19" s="1"/>
  <c r="N333" i="19" s="1"/>
  <c r="N334" i="19" s="1"/>
  <c r="N335" i="19" s="1"/>
  <c r="N336" i="19" s="1"/>
  <c r="N337" i="19" s="1"/>
  <c r="N338" i="19" s="1"/>
  <c r="N339" i="19" s="1"/>
  <c r="N340" i="19" s="1"/>
  <c r="N341" i="19" s="1"/>
  <c r="N342" i="19" s="1"/>
  <c r="N343" i="19" s="1"/>
  <c r="N344" i="19" s="1"/>
  <c r="N345" i="19" s="1"/>
  <c r="N346" i="19" s="1"/>
  <c r="N347" i="19" s="1"/>
  <c r="N348" i="19" s="1"/>
  <c r="N349" i="19" s="1"/>
  <c r="N350" i="19" s="1"/>
  <c r="N351" i="19" s="1"/>
  <c r="N106" i="19"/>
  <c r="N107" i="19" s="1"/>
  <c r="N108" i="19" s="1"/>
  <c r="N109" i="19" s="1"/>
  <c r="N110" i="19" s="1"/>
  <c r="N111" i="19" s="1"/>
  <c r="N112" i="19" s="1"/>
  <c r="N113" i="19" s="1"/>
  <c r="N114" i="19" s="1"/>
  <c r="N115" i="19" s="1"/>
  <c r="N116" i="19" s="1"/>
  <c r="N117" i="19" s="1"/>
  <c r="N118" i="19" s="1"/>
  <c r="N119" i="19" s="1"/>
  <c r="N120" i="19" s="1"/>
  <c r="N121" i="19" s="1"/>
  <c r="N122" i="19" s="1"/>
  <c r="N123" i="19" s="1"/>
  <c r="N124" i="19" s="1"/>
  <c r="N125" i="19" s="1"/>
  <c r="N126" i="19" s="1"/>
  <c r="N127" i="19" s="1"/>
  <c r="N128" i="19" s="1"/>
  <c r="N129" i="19" s="1"/>
  <c r="N130" i="19" s="1"/>
  <c r="N131" i="19" s="1"/>
  <c r="N132" i="19" s="1"/>
  <c r="N133" i="19" s="1"/>
  <c r="N134" i="19" s="1"/>
  <c r="N135" i="19" s="1"/>
  <c r="N136" i="19" s="1"/>
  <c r="N137" i="19" s="1"/>
  <c r="N138" i="19" s="1"/>
  <c r="N139" i="19" s="1"/>
  <c r="N140" i="19" s="1"/>
  <c r="N141" i="19" s="1"/>
  <c r="N142" i="19" s="1"/>
  <c r="N143" i="19" s="1"/>
  <c r="N144" i="19" s="1"/>
  <c r="N145" i="19" s="1"/>
  <c r="N49" i="19"/>
  <c r="N50" i="19" s="1"/>
  <c r="N51" i="19" s="1"/>
  <c r="N52" i="19" s="1"/>
  <c r="N53" i="19" s="1"/>
  <c r="N54" i="19" s="1"/>
  <c r="N55" i="19" s="1"/>
  <c r="N56" i="19" s="1"/>
  <c r="N57" i="19" s="1"/>
  <c r="N58" i="19" s="1"/>
  <c r="N59" i="19" s="1"/>
  <c r="N60" i="19" s="1"/>
  <c r="N61" i="19" s="1"/>
  <c r="N62" i="19" s="1"/>
  <c r="N63" i="19" s="1"/>
  <c r="N64" i="19" s="1"/>
  <c r="N65" i="19" s="1"/>
  <c r="N66" i="19" s="1"/>
  <c r="N67" i="19" s="1"/>
  <c r="N68" i="19" s="1"/>
  <c r="N69" i="19" s="1"/>
  <c r="N70" i="19" s="1"/>
  <c r="N71" i="19" s="1"/>
  <c r="O93" i="23"/>
  <c r="N95" i="23" l="1"/>
  <c r="N222" i="23"/>
  <c r="N268" i="19"/>
  <c r="N173" i="19"/>
  <c r="N352" i="19"/>
  <c r="N146" i="19"/>
  <c r="N72" i="19"/>
  <c r="N190" i="18"/>
  <c r="N191" i="18" s="1"/>
  <c r="N192" i="18" s="1"/>
  <c r="N193" i="18" s="1"/>
  <c r="N194" i="18" s="1"/>
  <c r="N195" i="18" s="1"/>
  <c r="N196" i="18" s="1"/>
  <c r="N197" i="18" s="1"/>
  <c r="N198" i="18" s="1"/>
  <c r="N199" i="18" s="1"/>
  <c r="N200" i="18" s="1"/>
  <c r="N201" i="18" s="1"/>
  <c r="N202" i="18" s="1"/>
  <c r="N203" i="18" s="1"/>
  <c r="N204" i="18" s="1"/>
  <c r="N205" i="18" s="1"/>
  <c r="N206" i="18" s="1"/>
  <c r="N207" i="18" s="1"/>
  <c r="N208" i="18" s="1"/>
  <c r="N209" i="18" s="1"/>
  <c r="N210" i="18" s="1"/>
  <c r="N211" i="18" s="1"/>
  <c r="N212" i="18" s="1"/>
  <c r="N213" i="18" s="1"/>
  <c r="N214" i="18" s="1"/>
  <c r="N215" i="18" s="1"/>
  <c r="N216" i="18" s="1"/>
  <c r="N217" i="18" s="1"/>
  <c r="N218" i="18" s="1"/>
  <c r="N219" i="18" s="1"/>
  <c r="N220" i="18" s="1"/>
  <c r="N221" i="18" s="1"/>
  <c r="N222" i="18" s="1"/>
  <c r="N223" i="18" s="1"/>
  <c r="N224" i="18" s="1"/>
  <c r="N225" i="18" s="1"/>
  <c r="N226" i="18" s="1"/>
  <c r="N227" i="18" s="1"/>
  <c r="N228" i="18" s="1"/>
  <c r="N229" i="18" s="1"/>
  <c r="N230" i="18" s="1"/>
  <c r="N231" i="18" s="1"/>
  <c r="N232" i="18" s="1"/>
  <c r="N233" i="18" s="1"/>
  <c r="N234" i="18" s="1"/>
  <c r="N235" i="18" s="1"/>
  <c r="N236" i="18" s="1"/>
  <c r="N237" i="18" s="1"/>
  <c r="N238" i="18" s="1"/>
  <c r="N239" i="18" s="1"/>
  <c r="N130" i="18"/>
  <c r="N131" i="18" s="1"/>
  <c r="N132" i="18" s="1"/>
  <c r="N133" i="18" s="1"/>
  <c r="N134" i="18" s="1"/>
  <c r="N135" i="18" s="1"/>
  <c r="N136" i="18" s="1"/>
  <c r="N137" i="18" s="1"/>
  <c r="N138" i="18" s="1"/>
  <c r="N139" i="18" s="1"/>
  <c r="N140" i="18" s="1"/>
  <c r="N141" i="18" s="1"/>
  <c r="N142" i="18" s="1"/>
  <c r="N143" i="18" s="1"/>
  <c r="N144" i="18" s="1"/>
  <c r="N145" i="18" s="1"/>
  <c r="N146" i="18" s="1"/>
  <c r="N147" i="18" s="1"/>
  <c r="N148" i="18" s="1"/>
  <c r="N149" i="18" s="1"/>
  <c r="N150" i="18" s="1"/>
  <c r="N151" i="18" s="1"/>
  <c r="N152" i="18" s="1"/>
  <c r="N153" i="18" s="1"/>
  <c r="N154" i="18" s="1"/>
  <c r="N155" i="18" s="1"/>
  <c r="N156" i="18" s="1"/>
  <c r="N157" i="18" s="1"/>
  <c r="N158" i="18" s="1"/>
  <c r="N159" i="18" s="1"/>
  <c r="N160" i="18" s="1"/>
  <c r="N161" i="18" s="1"/>
  <c r="N162" i="18" s="1"/>
  <c r="N163" i="18" s="1"/>
  <c r="N164" i="18" s="1"/>
  <c r="N165" i="18" s="1"/>
  <c r="N166" i="18" s="1"/>
  <c r="N167" i="18" s="1"/>
  <c r="N168" i="18" s="1"/>
  <c r="N169" i="18" s="1"/>
  <c r="N170" i="18" s="1"/>
  <c r="N171" i="18" s="1"/>
  <c r="N172" i="18" s="1"/>
  <c r="N173" i="18" s="1"/>
  <c r="N174" i="18" s="1"/>
  <c r="N175" i="18" s="1"/>
  <c r="N176" i="18" s="1"/>
  <c r="N177" i="18" s="1"/>
  <c r="N178" i="18" s="1"/>
  <c r="N179" i="18" s="1"/>
  <c r="N72" i="18"/>
  <c r="N73" i="18" s="1"/>
  <c r="N74" i="18" s="1"/>
  <c r="N75" i="18" s="1"/>
  <c r="N76" i="18" s="1"/>
  <c r="N77" i="18" s="1"/>
  <c r="N78" i="18" s="1"/>
  <c r="N79" i="18" s="1"/>
  <c r="N80" i="18" s="1"/>
  <c r="N81" i="18" s="1"/>
  <c r="N82" i="18" s="1"/>
  <c r="N83" i="18" s="1"/>
  <c r="N84" i="18" s="1"/>
  <c r="N85" i="18" s="1"/>
  <c r="N86" i="18" s="1"/>
  <c r="N87" i="18" s="1"/>
  <c r="N88" i="18" s="1"/>
  <c r="N89" i="18" s="1"/>
  <c r="N90" i="18" s="1"/>
  <c r="N91" i="18" s="1"/>
  <c r="N92" i="18" s="1"/>
  <c r="N93" i="18" s="1"/>
  <c r="N94" i="18" s="1"/>
  <c r="N95" i="18" s="1"/>
  <c r="N96" i="18" s="1"/>
  <c r="N97" i="18" s="1"/>
  <c r="N98" i="18" s="1"/>
  <c r="N99" i="18" s="1"/>
  <c r="N100" i="18" s="1"/>
  <c r="N101" i="18" s="1"/>
  <c r="N102" i="18" s="1"/>
  <c r="N103" i="18" s="1"/>
  <c r="N104" i="18" s="1"/>
  <c r="N105" i="18" s="1"/>
  <c r="N106" i="18" s="1"/>
  <c r="N107" i="18" s="1"/>
  <c r="N108" i="18" s="1"/>
  <c r="N109" i="18" s="1"/>
  <c r="N110" i="18" s="1"/>
  <c r="N111" i="18" s="1"/>
  <c r="N112" i="18" s="1"/>
  <c r="N113" i="18" s="1"/>
  <c r="N114" i="18" s="1"/>
  <c r="N115" i="18" s="1"/>
  <c r="N116" i="18" s="1"/>
  <c r="N117" i="18" s="1"/>
  <c r="N118" i="18" s="1"/>
  <c r="N119" i="18" s="1"/>
  <c r="N120" i="18" s="1"/>
  <c r="N121" i="18" s="1"/>
  <c r="H8" i="1"/>
  <c r="N16" i="18"/>
  <c r="N17" i="18" s="1"/>
  <c r="N18" i="18" s="1"/>
  <c r="N19" i="18" s="1"/>
  <c r="N20" i="18" s="1"/>
  <c r="N21" i="18" s="1"/>
  <c r="N22" i="18" s="1"/>
  <c r="N23" i="18" s="1"/>
  <c r="N24" i="18" s="1"/>
  <c r="N25" i="18" s="1"/>
  <c r="N26" i="18" s="1"/>
  <c r="N27" i="18" s="1"/>
  <c r="N28" i="18" s="1"/>
  <c r="N29" i="18" s="1"/>
  <c r="N30" i="18" s="1"/>
  <c r="N31" i="18" s="1"/>
  <c r="N32" i="18" s="1"/>
  <c r="N33" i="18" s="1"/>
  <c r="N34" i="18" s="1"/>
  <c r="N35" i="18" s="1"/>
  <c r="N36" i="18" s="1"/>
  <c r="N37" i="18" s="1"/>
  <c r="N38" i="18" s="1"/>
  <c r="N39" i="18" s="1"/>
  <c r="N40" i="18" s="1"/>
  <c r="N41" i="18" s="1"/>
  <c r="N42" i="18" s="1"/>
  <c r="N43" i="18" s="1"/>
  <c r="N44" i="18" s="1"/>
  <c r="N45" i="18" s="1"/>
  <c r="N46" i="18" s="1"/>
  <c r="N47" i="18" s="1"/>
  <c r="N48" i="18" s="1"/>
  <c r="N49" i="18" s="1"/>
  <c r="N50" i="18" s="1"/>
  <c r="N51" i="18" s="1"/>
  <c r="N52" i="18" s="1"/>
  <c r="N53" i="18" s="1"/>
  <c r="N54" i="18" s="1"/>
  <c r="N55" i="18" s="1"/>
  <c r="N56" i="18" s="1"/>
  <c r="N57" i="18" s="1"/>
  <c r="N58" i="18" s="1"/>
  <c r="N59" i="18" s="1"/>
  <c r="N60" i="18" s="1"/>
  <c r="N61" i="18" s="1"/>
  <c r="N62" i="18" s="1"/>
  <c r="N63" i="18" s="1"/>
  <c r="N64" i="18" s="1"/>
  <c r="N65" i="18" s="1"/>
  <c r="O94" i="23"/>
  <c r="N96" i="23" l="1"/>
  <c r="N223" i="23"/>
  <c r="N269" i="19"/>
  <c r="N174" i="19"/>
  <c r="N353" i="19"/>
  <c r="N147" i="19"/>
  <c r="N73" i="19"/>
  <c r="O95" i="23"/>
  <c r="N97" i="23" l="1"/>
  <c r="N224" i="23"/>
  <c r="N270" i="19"/>
  <c r="N175" i="19"/>
  <c r="N354" i="19"/>
  <c r="N148" i="19"/>
  <c r="N74" i="19"/>
  <c r="V9" i="1"/>
  <c r="W9" i="1" s="1"/>
  <c r="V10" i="1"/>
  <c r="W10" i="1" s="1"/>
  <c r="V11" i="1"/>
  <c r="W11" i="1" s="1"/>
  <c r="G11" i="1" s="1"/>
  <c r="V12" i="1"/>
  <c r="W12" i="1" s="1"/>
  <c r="V13" i="1"/>
  <c r="W13" i="1" s="1"/>
  <c r="V14" i="1"/>
  <c r="W14" i="1" s="1"/>
  <c r="V15" i="1"/>
  <c r="W15" i="1" s="1"/>
  <c r="G15" i="1" s="1"/>
  <c r="V16" i="1"/>
  <c r="W16" i="1" s="1"/>
  <c r="V17" i="1"/>
  <c r="W17" i="1" s="1"/>
  <c r="V18" i="1"/>
  <c r="W18" i="1" s="1"/>
  <c r="V19" i="1"/>
  <c r="W19" i="1" s="1"/>
  <c r="G19" i="1" s="1"/>
  <c r="V20" i="1"/>
  <c r="W20" i="1" s="1"/>
  <c r="V21" i="1"/>
  <c r="W21" i="1" s="1"/>
  <c r="V22" i="1"/>
  <c r="W22" i="1" s="1"/>
  <c r="V23" i="1"/>
  <c r="W23" i="1" s="1"/>
  <c r="V24" i="1"/>
  <c r="W24" i="1" s="1"/>
  <c r="V25" i="1"/>
  <c r="W25" i="1" s="1"/>
  <c r="V26" i="1"/>
  <c r="W26" i="1" s="1"/>
  <c r="V27" i="1"/>
  <c r="W27" i="1" s="1"/>
  <c r="V28" i="1"/>
  <c r="W28" i="1" s="1"/>
  <c r="V29" i="1"/>
  <c r="W29" i="1" s="1"/>
  <c r="V30" i="1"/>
  <c r="W30" i="1" s="1"/>
  <c r="V31" i="1"/>
  <c r="W31" i="1" s="1"/>
  <c r="V32" i="1"/>
  <c r="W32" i="1" s="1"/>
  <c r="V33" i="1"/>
  <c r="W33" i="1" s="1"/>
  <c r="V34" i="1"/>
  <c r="W34" i="1" s="1"/>
  <c r="V35" i="1"/>
  <c r="W35" i="1" s="1"/>
  <c r="V36" i="1"/>
  <c r="W36" i="1" s="1"/>
  <c r="O96" i="23"/>
  <c r="N98" i="23" l="1"/>
  <c r="N225" i="23"/>
  <c r="N271" i="19"/>
  <c r="N176" i="19"/>
  <c r="N355" i="19"/>
  <c r="N149" i="19"/>
  <c r="N75" i="19"/>
  <c r="G21" i="1"/>
  <c r="G13" i="1"/>
  <c r="G17" i="1"/>
  <c r="G9" i="1"/>
  <c r="G20" i="1"/>
  <c r="G16" i="1"/>
  <c r="G12" i="1"/>
  <c r="G18" i="1"/>
  <c r="G14" i="1"/>
  <c r="G10" i="1"/>
  <c r="C5" i="1"/>
  <c r="O97" i="23"/>
  <c r="O31" i="21"/>
  <c r="O30" i="21"/>
  <c r="O58" i="23"/>
  <c r="O54" i="23"/>
  <c r="O53" i="23"/>
  <c r="O52" i="23"/>
  <c r="O51" i="23"/>
  <c r="O71" i="23"/>
  <c r="O67" i="23"/>
  <c r="O167" i="23"/>
  <c r="O170" i="23"/>
  <c r="O177" i="23"/>
  <c r="O180" i="23"/>
  <c r="O164" i="23"/>
  <c r="O148" i="23"/>
  <c r="O155" i="23"/>
  <c r="O139" i="23"/>
  <c r="O146" i="23"/>
  <c r="O157" i="23"/>
  <c r="O141" i="23"/>
  <c r="O43" i="23"/>
  <c r="O41" i="23"/>
  <c r="O37" i="23"/>
  <c r="O20" i="23"/>
  <c r="O14" i="23"/>
  <c r="O85" i="23"/>
  <c r="O81" i="23"/>
  <c r="O136" i="23"/>
  <c r="O134" i="23"/>
  <c r="O288" i="23"/>
  <c r="O284" i="23"/>
  <c r="O277" i="23"/>
  <c r="O273" i="23"/>
  <c r="O292" i="23"/>
  <c r="O275" i="23"/>
  <c r="O289" i="23"/>
  <c r="O281" i="23"/>
  <c r="O66" i="23"/>
  <c r="O65" i="23"/>
  <c r="O64" i="23"/>
  <c r="O63" i="23"/>
  <c r="O74" i="23"/>
  <c r="O70" i="23"/>
  <c r="O179" i="23"/>
  <c r="O163" i="23"/>
  <c r="O166" i="23"/>
  <c r="O173" i="23"/>
  <c r="O176" i="23"/>
  <c r="O160" i="23"/>
  <c r="O144" i="23"/>
  <c r="O151" i="23"/>
  <c r="O158" i="23"/>
  <c r="O142" i="23"/>
  <c r="O153" i="23"/>
  <c r="O137" i="23"/>
  <c r="O46" i="23"/>
  <c r="O50" i="23"/>
  <c r="O36" i="23"/>
  <c r="O16" i="23"/>
  <c r="O132" i="23"/>
  <c r="O88" i="23"/>
  <c r="O84" i="23"/>
  <c r="O80" i="23"/>
  <c r="O78" i="23"/>
  <c r="O196" i="23"/>
  <c r="O287" i="23"/>
  <c r="O279" i="23"/>
  <c r="O270" i="23"/>
  <c r="O285" i="23"/>
  <c r="O195" i="23"/>
  <c r="O276" i="23"/>
  <c r="O271" i="23"/>
  <c r="O266" i="23"/>
  <c r="O62" i="23"/>
  <c r="O61" i="23"/>
  <c r="O60" i="23"/>
  <c r="O59" i="23"/>
  <c r="O73" i="23"/>
  <c r="O69" i="23"/>
  <c r="O175" i="23"/>
  <c r="O178" i="23"/>
  <c r="O162" i="23"/>
  <c r="O169" i="23"/>
  <c r="O172" i="23"/>
  <c r="O156" i="23"/>
  <c r="O140" i="23"/>
  <c r="O147" i="23"/>
  <c r="O154" i="23"/>
  <c r="O138" i="23"/>
  <c r="O149" i="23"/>
  <c r="O44" i="23"/>
  <c r="O42" i="23"/>
  <c r="O49" i="23"/>
  <c r="O35" i="23"/>
  <c r="O19" i="23"/>
  <c r="O131" i="23"/>
  <c r="O87" i="23"/>
  <c r="O83" i="23"/>
  <c r="O133" i="23"/>
  <c r="O135" i="23"/>
  <c r="O268" i="23"/>
  <c r="O272" i="23"/>
  <c r="O267" i="23"/>
  <c r="O262" i="23"/>
  <c r="O274" i="23"/>
  <c r="O265" i="23"/>
  <c r="O290" i="23"/>
  <c r="O264" i="23"/>
  <c r="O291" i="23"/>
  <c r="O57" i="23"/>
  <c r="O56" i="23"/>
  <c r="O55" i="23"/>
  <c r="O72" i="23"/>
  <c r="O68" i="23"/>
  <c r="O171" i="23"/>
  <c r="O174" i="23"/>
  <c r="O181" i="23"/>
  <c r="O165" i="23"/>
  <c r="O168" i="23"/>
  <c r="O152" i="23"/>
  <c r="O159" i="23"/>
  <c r="O143" i="23"/>
  <c r="O150" i="23"/>
  <c r="O161" i="23"/>
  <c r="O145" i="23"/>
  <c r="O47" i="23"/>
  <c r="O45" i="23"/>
  <c r="O48" i="23"/>
  <c r="O17" i="23"/>
  <c r="O18" i="23"/>
  <c r="O130" i="23"/>
  <c r="O79" i="23"/>
  <c r="O280" i="23"/>
  <c r="O282" i="23"/>
  <c r="O86" i="23"/>
  <c r="O269" i="23"/>
  <c r="O286" i="23"/>
  <c r="O182" i="23"/>
  <c r="O283" i="23"/>
  <c r="O261" i="23"/>
  <c r="O278" i="23"/>
  <c r="O260" i="23"/>
  <c r="O82" i="23"/>
  <c r="O263" i="23"/>
  <c r="N99" i="23" l="1"/>
  <c r="N226" i="23"/>
  <c r="N272" i="19"/>
  <c r="N177" i="19"/>
  <c r="N356" i="19"/>
  <c r="N150" i="19"/>
  <c r="N76" i="19"/>
  <c r="V8" i="1"/>
  <c r="W8" i="1" s="1"/>
  <c r="T8" i="1"/>
  <c r="O98" i="23"/>
  <c r="N100" i="23" l="1"/>
  <c r="N227" i="23"/>
  <c r="N273" i="19"/>
  <c r="N178" i="19"/>
  <c r="N357" i="19"/>
  <c r="N151" i="19"/>
  <c r="N77" i="19"/>
  <c r="G8" i="1"/>
  <c r="O99" i="23"/>
  <c r="N101" i="23" l="1"/>
  <c r="N228" i="23"/>
  <c r="N274" i="19"/>
  <c r="N179" i="19"/>
  <c r="N358" i="19"/>
  <c r="N152" i="19"/>
  <c r="N78" i="19"/>
  <c r="I57" i="1"/>
  <c r="T57" i="1" s="1"/>
  <c r="U57" i="1" s="1"/>
  <c r="I58" i="1"/>
  <c r="T58" i="1" s="1"/>
  <c r="U58" i="1" s="1"/>
  <c r="I56" i="1"/>
  <c r="O100" i="23"/>
  <c r="N102" i="23" l="1"/>
  <c r="N229" i="23"/>
  <c r="N275" i="19"/>
  <c r="N180" i="19"/>
  <c r="N359" i="19"/>
  <c r="N153" i="19"/>
  <c r="N79" i="19"/>
  <c r="O101" i="23"/>
  <c r="N103" i="23" l="1"/>
  <c r="N230" i="23"/>
  <c r="N276" i="19"/>
  <c r="N181" i="19"/>
  <c r="N360" i="19"/>
  <c r="N154" i="19"/>
  <c r="N80" i="19"/>
  <c r="P19" i="1"/>
  <c r="Q19" i="1"/>
  <c r="T19" i="1"/>
  <c r="P20" i="1"/>
  <c r="Q20" i="1"/>
  <c r="T20" i="1"/>
  <c r="P21" i="1"/>
  <c r="Q21" i="1"/>
  <c r="T21" i="1"/>
  <c r="P22" i="1"/>
  <c r="Q22" i="1"/>
  <c r="T22" i="1"/>
  <c r="U22" i="1" s="1"/>
  <c r="P23" i="1"/>
  <c r="Q23" i="1"/>
  <c r="T23" i="1"/>
  <c r="U23" i="1" s="1"/>
  <c r="P24" i="1"/>
  <c r="Q24" i="1"/>
  <c r="T24" i="1"/>
  <c r="U24" i="1" s="1"/>
  <c r="P25" i="1"/>
  <c r="Q25" i="1"/>
  <c r="T25" i="1"/>
  <c r="U25" i="1" s="1"/>
  <c r="P26" i="1"/>
  <c r="Q26" i="1"/>
  <c r="T26" i="1"/>
  <c r="U26" i="1" s="1"/>
  <c r="P27" i="1"/>
  <c r="Q27" i="1"/>
  <c r="T27" i="1"/>
  <c r="U27" i="1" s="1"/>
  <c r="P28" i="1"/>
  <c r="Q28" i="1"/>
  <c r="T28" i="1"/>
  <c r="U28" i="1" s="1"/>
  <c r="P29" i="1"/>
  <c r="Q29" i="1"/>
  <c r="T29" i="1"/>
  <c r="U29" i="1" s="1"/>
  <c r="P30" i="1"/>
  <c r="Q30" i="1"/>
  <c r="T30" i="1"/>
  <c r="U30" i="1" s="1"/>
  <c r="P31" i="1"/>
  <c r="Q31" i="1"/>
  <c r="T31" i="1"/>
  <c r="U31" i="1" s="1"/>
  <c r="P32" i="1"/>
  <c r="Q32" i="1"/>
  <c r="T32" i="1"/>
  <c r="U32" i="1" s="1"/>
  <c r="P33" i="1"/>
  <c r="Q33" i="1"/>
  <c r="T33" i="1"/>
  <c r="U33" i="1" s="1"/>
  <c r="P34" i="1"/>
  <c r="Q34" i="1"/>
  <c r="T34" i="1"/>
  <c r="U34" i="1" s="1"/>
  <c r="P35" i="1"/>
  <c r="Q35" i="1"/>
  <c r="T35" i="1"/>
  <c r="U35" i="1" s="1"/>
  <c r="P36" i="1"/>
  <c r="Q36" i="1"/>
  <c r="T36" i="1"/>
  <c r="U36" i="1" s="1"/>
  <c r="P37" i="1"/>
  <c r="Q37" i="1"/>
  <c r="T37" i="1"/>
  <c r="U37" i="1" s="1"/>
  <c r="P38" i="1"/>
  <c r="Q38" i="1"/>
  <c r="T38" i="1"/>
  <c r="U38" i="1" s="1"/>
  <c r="P39" i="1"/>
  <c r="Q39" i="1"/>
  <c r="T39" i="1"/>
  <c r="U39" i="1" s="1"/>
  <c r="P40" i="1"/>
  <c r="Q40" i="1"/>
  <c r="T40" i="1"/>
  <c r="U40" i="1" s="1"/>
  <c r="P41" i="1"/>
  <c r="Q41" i="1"/>
  <c r="T41" i="1"/>
  <c r="U41" i="1" s="1"/>
  <c r="P42" i="1"/>
  <c r="Q42" i="1"/>
  <c r="T42" i="1"/>
  <c r="U42" i="1" s="1"/>
  <c r="P43" i="1"/>
  <c r="Q43" i="1"/>
  <c r="T43" i="1"/>
  <c r="U43" i="1" s="1"/>
  <c r="P44" i="1"/>
  <c r="Q44" i="1"/>
  <c r="T44" i="1"/>
  <c r="U44" i="1" s="1"/>
  <c r="P45" i="1"/>
  <c r="Q45" i="1"/>
  <c r="T45" i="1"/>
  <c r="U45" i="1" s="1"/>
  <c r="P46" i="1"/>
  <c r="Q46" i="1"/>
  <c r="T46" i="1"/>
  <c r="U46" i="1" s="1"/>
  <c r="P47" i="1"/>
  <c r="Q47" i="1"/>
  <c r="T47" i="1"/>
  <c r="U47" i="1" s="1"/>
  <c r="P48" i="1"/>
  <c r="Q48" i="1"/>
  <c r="T48" i="1"/>
  <c r="U48" i="1" s="1"/>
  <c r="P49" i="1"/>
  <c r="Q49" i="1"/>
  <c r="T49" i="1"/>
  <c r="U49" i="1" s="1"/>
  <c r="P50" i="1"/>
  <c r="Q50" i="1"/>
  <c r="T50" i="1"/>
  <c r="U50" i="1" s="1"/>
  <c r="P51" i="1"/>
  <c r="Q51" i="1"/>
  <c r="T51" i="1"/>
  <c r="U51" i="1" s="1"/>
  <c r="P52" i="1"/>
  <c r="Q52" i="1"/>
  <c r="T52" i="1"/>
  <c r="U52" i="1" s="1"/>
  <c r="P53" i="1"/>
  <c r="Q53" i="1"/>
  <c r="T53" i="1"/>
  <c r="U53" i="1" s="1"/>
  <c r="P54" i="1"/>
  <c r="Q54" i="1"/>
  <c r="T54" i="1"/>
  <c r="U54" i="1" s="1"/>
  <c r="P55" i="1"/>
  <c r="Q55" i="1"/>
  <c r="T55" i="1"/>
  <c r="U55" i="1" s="1"/>
  <c r="P56" i="1"/>
  <c r="Q56" i="1"/>
  <c r="T56" i="1"/>
  <c r="P57" i="1"/>
  <c r="Q57" i="1"/>
  <c r="P58" i="1"/>
  <c r="Q58" i="1"/>
  <c r="A20" i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T9" i="1"/>
  <c r="T10" i="1"/>
  <c r="T11" i="1"/>
  <c r="T12" i="1"/>
  <c r="T13" i="1"/>
  <c r="T14" i="1"/>
  <c r="T15" i="1"/>
  <c r="T16" i="1"/>
  <c r="T17" i="1"/>
  <c r="T18" i="1"/>
  <c r="P9" i="1"/>
  <c r="Q9" i="1"/>
  <c r="P10" i="1"/>
  <c r="Q10" i="1"/>
  <c r="P11" i="1"/>
  <c r="Q11" i="1"/>
  <c r="P12" i="1"/>
  <c r="Q12" i="1"/>
  <c r="P13" i="1"/>
  <c r="Q13" i="1"/>
  <c r="P14" i="1"/>
  <c r="Q14" i="1"/>
  <c r="P15" i="1"/>
  <c r="Q15" i="1"/>
  <c r="P16" i="1"/>
  <c r="Q16" i="1"/>
  <c r="P17" i="1"/>
  <c r="Q17" i="1"/>
  <c r="P18" i="1"/>
  <c r="Q18" i="1"/>
  <c r="Q8" i="1"/>
  <c r="P8" i="1"/>
  <c r="O102" i="23"/>
  <c r="N104" i="23" l="1"/>
  <c r="N231" i="23"/>
  <c r="N277" i="19"/>
  <c r="B17" i="1"/>
  <c r="B15" i="1"/>
  <c r="B13" i="1"/>
  <c r="B11" i="1"/>
  <c r="B9" i="1"/>
  <c r="B19" i="1"/>
  <c r="B18" i="1"/>
  <c r="B16" i="1"/>
  <c r="B14" i="1"/>
  <c r="B12" i="1"/>
  <c r="B10" i="1"/>
  <c r="B20" i="1"/>
  <c r="O319" i="18"/>
  <c r="O315" i="18"/>
  <c r="O311" i="18"/>
  <c r="O318" i="18"/>
  <c r="O314" i="18"/>
  <c r="O321" i="18"/>
  <c r="O317" i="18"/>
  <c r="O313" i="18"/>
  <c r="O320" i="18"/>
  <c r="O316" i="18"/>
  <c r="O312" i="18"/>
  <c r="B21" i="1"/>
  <c r="N182" i="19"/>
  <c r="N361" i="19"/>
  <c r="N155" i="19"/>
  <c r="N81" i="19"/>
  <c r="B46" i="1"/>
  <c r="U21" i="1"/>
  <c r="B52" i="1"/>
  <c r="B36" i="1"/>
  <c r="B30" i="1"/>
  <c r="U20" i="1"/>
  <c r="D20" i="1" s="1"/>
  <c r="B25" i="1"/>
  <c r="U19" i="1"/>
  <c r="D19" i="1" s="1"/>
  <c r="B41" i="1"/>
  <c r="U14" i="1"/>
  <c r="U17" i="1"/>
  <c r="U9" i="1"/>
  <c r="D9" i="1" s="1"/>
  <c r="B54" i="1"/>
  <c r="B53" i="1"/>
  <c r="B50" i="1"/>
  <c r="B49" i="1"/>
  <c r="B48" i="1"/>
  <c r="B45" i="1"/>
  <c r="B44" i="1"/>
  <c r="B42" i="1"/>
  <c r="B40" i="1"/>
  <c r="B38" i="1"/>
  <c r="B37" i="1"/>
  <c r="B34" i="1"/>
  <c r="B33" i="1"/>
  <c r="B32" i="1"/>
  <c r="B29" i="1"/>
  <c r="B28" i="1"/>
  <c r="B26" i="1"/>
  <c r="B24" i="1"/>
  <c r="B22" i="1"/>
  <c r="U16" i="1"/>
  <c r="U12" i="1"/>
  <c r="U8" i="1"/>
  <c r="D8" i="1" s="1"/>
  <c r="U15" i="1"/>
  <c r="U11" i="1"/>
  <c r="D11" i="1" s="1"/>
  <c r="U10" i="1"/>
  <c r="D10" i="1" s="1"/>
  <c r="B58" i="1"/>
  <c r="B57" i="1"/>
  <c r="B56" i="1"/>
  <c r="U56" i="1"/>
  <c r="U13" i="1"/>
  <c r="B8" i="1"/>
  <c r="B55" i="1"/>
  <c r="B51" i="1"/>
  <c r="B47" i="1"/>
  <c r="B43" i="1"/>
  <c r="B39" i="1"/>
  <c r="B35" i="1"/>
  <c r="B31" i="1"/>
  <c r="B27" i="1"/>
  <c r="B23" i="1"/>
  <c r="U18" i="1"/>
  <c r="D18" i="1" s="1"/>
  <c r="A34" i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O103" i="23"/>
  <c r="O213" i="23"/>
  <c r="O11" i="23"/>
  <c r="O209" i="23"/>
  <c r="O204" i="23"/>
  <c r="O198" i="23"/>
  <c r="O208" i="23"/>
  <c r="O186" i="23"/>
  <c r="O194" i="23"/>
  <c r="O77" i="23"/>
  <c r="O200" i="23"/>
  <c r="O192" i="23"/>
  <c r="O193" i="23"/>
  <c r="O210" i="23"/>
  <c r="O202" i="23"/>
  <c r="O75" i="23"/>
  <c r="O211" i="23"/>
  <c r="O187" i="23"/>
  <c r="O197" i="23"/>
  <c r="O203" i="23"/>
  <c r="O188" i="23"/>
  <c r="O206" i="23"/>
  <c r="O76" i="23"/>
  <c r="O207" i="23"/>
  <c r="O191" i="23"/>
  <c r="O217" i="23"/>
  <c r="O183" i="23"/>
  <c r="O212" i="23"/>
  <c r="O190" i="23"/>
  <c r="O184" i="23"/>
  <c r="O201" i="23"/>
  <c r="O205" i="23"/>
  <c r="O185" i="23"/>
  <c r="O216" i="23"/>
  <c r="O215" i="23"/>
  <c r="O199" i="23"/>
  <c r="O12" i="23"/>
  <c r="O189" i="23"/>
  <c r="O13" i="23"/>
  <c r="N105" i="23" l="1"/>
  <c r="N232" i="23"/>
  <c r="N278" i="19"/>
  <c r="N183" i="19"/>
  <c r="N362" i="19"/>
  <c r="N82" i="19"/>
  <c r="O277" i="19"/>
  <c r="O262" i="19"/>
  <c r="O104" i="23"/>
  <c r="O226" i="23"/>
  <c r="O219" i="23"/>
  <c r="O227" i="23"/>
  <c r="O222" i="23"/>
  <c r="O230" i="23"/>
  <c r="O221" i="23"/>
  <c r="O220" i="23"/>
  <c r="O228" i="23"/>
  <c r="O231" i="23"/>
  <c r="O225" i="23"/>
  <c r="O224" i="23"/>
  <c r="O223" i="23"/>
  <c r="O229" i="23"/>
  <c r="O214" i="23"/>
  <c r="O235" i="19"/>
  <c r="O233" i="19"/>
  <c r="O240" i="19"/>
  <c r="O260" i="19"/>
  <c r="O256" i="19"/>
  <c r="O221" i="19"/>
  <c r="O241" i="19"/>
  <c r="O251" i="19"/>
  <c r="O227" i="19"/>
  <c r="O255" i="19"/>
  <c r="O259" i="19"/>
  <c r="O303" i="19"/>
  <c r="O228" i="19"/>
  <c r="O237" i="19"/>
  <c r="O229" i="19"/>
  <c r="O236" i="19"/>
  <c r="O257" i="19"/>
  <c r="O218" i="23"/>
  <c r="O225" i="19"/>
  <c r="O250" i="19"/>
  <c r="O234" i="19"/>
  <c r="O248" i="19"/>
  <c r="O238" i="19"/>
  <c r="O249" i="19"/>
  <c r="O230" i="19"/>
  <c r="O219" i="19"/>
  <c r="O239" i="19"/>
  <c r="O220" i="19"/>
  <c r="O252" i="19"/>
  <c r="O231" i="19"/>
  <c r="O254" i="19"/>
  <c r="O223" i="19"/>
  <c r="O226" i="19"/>
  <c r="O224" i="19"/>
  <c r="O258" i="19"/>
  <c r="O261" i="19"/>
  <c r="O253" i="19"/>
  <c r="O232" i="19"/>
  <c r="O222" i="19"/>
  <c r="N106" i="23" l="1"/>
  <c r="N233" i="23"/>
  <c r="N279" i="19"/>
  <c r="N184" i="19"/>
  <c r="N83" i="19"/>
  <c r="O105" i="23"/>
  <c r="N107" i="23" l="1"/>
  <c r="N234" i="23"/>
  <c r="N280" i="19"/>
  <c r="N185" i="19"/>
  <c r="N84" i="19"/>
  <c r="O106" i="23"/>
  <c r="N108" i="23" l="1"/>
  <c r="N235" i="23"/>
  <c r="N281" i="19"/>
  <c r="N186" i="19"/>
  <c r="N85" i="19"/>
  <c r="O169" i="18"/>
  <c r="O151" i="19"/>
  <c r="O216" i="18"/>
  <c r="O113" i="18"/>
  <c r="O172" i="18"/>
  <c r="O232" i="18"/>
  <c r="O275" i="19"/>
  <c r="O168" i="18"/>
  <c r="O212" i="18"/>
  <c r="O135" i="19"/>
  <c r="O352" i="19"/>
  <c r="O146" i="19"/>
  <c r="O160" i="18"/>
  <c r="O63" i="19"/>
  <c r="O218" i="18"/>
  <c r="O129" i="19"/>
  <c r="O71" i="19"/>
  <c r="O146" i="18"/>
  <c r="O81" i="19"/>
  <c r="O109" i="18"/>
  <c r="O108" i="18"/>
  <c r="O349" i="19"/>
  <c r="O220" i="18"/>
  <c r="O343" i="19"/>
  <c r="O203" i="18"/>
  <c r="O61" i="19"/>
  <c r="O341" i="19"/>
  <c r="O356" i="19"/>
  <c r="O330" i="19"/>
  <c r="O154" i="18"/>
  <c r="O87" i="18"/>
  <c r="O228" i="18"/>
  <c r="O357" i="19"/>
  <c r="O273" i="19"/>
  <c r="O149" i="19"/>
  <c r="O118" i="19"/>
  <c r="O210" i="18"/>
  <c r="O106" i="18"/>
  <c r="O234" i="18"/>
  <c r="O112" i="18"/>
  <c r="O75" i="19"/>
  <c r="O171" i="18"/>
  <c r="O211" i="18"/>
  <c r="O336" i="19"/>
  <c r="O111" i="18"/>
  <c r="O150" i="19"/>
  <c r="O231" i="18"/>
  <c r="O166" i="18"/>
  <c r="O332" i="19"/>
  <c r="O217" i="18"/>
  <c r="O167" i="18"/>
  <c r="O173" i="18"/>
  <c r="O279" i="19"/>
  <c r="O96" i="18"/>
  <c r="O150" i="18"/>
  <c r="O90" i="18"/>
  <c r="O122" i="19"/>
  <c r="O353" i="19"/>
  <c r="O120" i="19"/>
  <c r="O143" i="18"/>
  <c r="O335" i="19"/>
  <c r="O162" i="18"/>
  <c r="O214" i="18"/>
  <c r="O128" i="19"/>
  <c r="O202" i="18"/>
  <c r="O93" i="18"/>
  <c r="O230" i="18"/>
  <c r="O95" i="18"/>
  <c r="O222" i="18"/>
  <c r="O144" i="19"/>
  <c r="O358" i="19"/>
  <c r="O131" i="19"/>
  <c r="O208" i="18"/>
  <c r="O263" i="19"/>
  <c r="O164" i="18"/>
  <c r="O151" i="18"/>
  <c r="O338" i="19"/>
  <c r="O80" i="19"/>
  <c r="O344" i="19"/>
  <c r="O130" i="19"/>
  <c r="O207" i="18"/>
  <c r="O229" i="18"/>
  <c r="O148" i="18"/>
  <c r="O209" i="18"/>
  <c r="O62" i="19"/>
  <c r="O161" i="18"/>
  <c r="O104" i="18"/>
  <c r="O136" i="19"/>
  <c r="O333" i="19"/>
  <c r="O156" i="18"/>
  <c r="O102" i="18"/>
  <c r="O221" i="18"/>
  <c r="O337" i="19"/>
  <c r="O74" i="19"/>
  <c r="O142" i="18"/>
  <c r="O278" i="19"/>
  <c r="O334" i="19"/>
  <c r="O348" i="19"/>
  <c r="O98" i="18"/>
  <c r="O152" i="18"/>
  <c r="O235" i="18"/>
  <c r="O67" i="19"/>
  <c r="O163" i="18"/>
  <c r="O68" i="19"/>
  <c r="O134" i="19"/>
  <c r="O265" i="19"/>
  <c r="O225" i="18"/>
  <c r="O142" i="19"/>
  <c r="O223" i="18"/>
  <c r="O69" i="19"/>
  <c r="O85" i="18"/>
  <c r="O126" i="19"/>
  <c r="O345" i="19"/>
  <c r="O145" i="19"/>
  <c r="O233" i="18"/>
  <c r="O205" i="18"/>
  <c r="O276" i="19"/>
  <c r="O346" i="19"/>
  <c r="O326" i="19"/>
  <c r="O184" i="19"/>
  <c r="O91" i="18"/>
  <c r="O137" i="19"/>
  <c r="O328" i="19"/>
  <c r="O79" i="19"/>
  <c r="O224" i="18"/>
  <c r="O88" i="18"/>
  <c r="O132" i="19"/>
  <c r="O115" i="18"/>
  <c r="O213" i="18"/>
  <c r="O204" i="18"/>
  <c r="O141" i="19"/>
  <c r="O226" i="18"/>
  <c r="O359" i="19"/>
  <c r="O159" i="18"/>
  <c r="O354" i="19"/>
  <c r="O116" i="18"/>
  <c r="O155" i="18"/>
  <c r="O121" i="19"/>
  <c r="O355" i="19"/>
  <c r="O174" i="18"/>
  <c r="O86" i="18"/>
  <c r="O339" i="19"/>
  <c r="O165" i="18"/>
  <c r="O157" i="18"/>
  <c r="O183" i="19"/>
  <c r="O350" i="19"/>
  <c r="O125" i="19"/>
  <c r="O351" i="19"/>
  <c r="O114" i="18"/>
  <c r="O269" i="19"/>
  <c r="O70" i="19"/>
  <c r="O347" i="19"/>
  <c r="O105" i="18"/>
  <c r="O127" i="19"/>
  <c r="O147" i="18"/>
  <c r="O100" i="18"/>
  <c r="O325" i="19"/>
  <c r="O99" i="18"/>
  <c r="O101" i="18"/>
  <c r="O145" i="18"/>
  <c r="O65" i="19"/>
  <c r="O270" i="19"/>
  <c r="O148" i="19"/>
  <c r="O274" i="19"/>
  <c r="O272" i="19"/>
  <c r="O340" i="19"/>
  <c r="O268" i="19"/>
  <c r="O82" i="19"/>
  <c r="O181" i="19"/>
  <c r="O94" i="18"/>
  <c r="O267" i="19"/>
  <c r="O342" i="19"/>
  <c r="O77" i="19"/>
  <c r="O124" i="19"/>
  <c r="O152" i="19"/>
  <c r="O119" i="19"/>
  <c r="O264" i="19"/>
  <c r="O182" i="19"/>
  <c r="O76" i="19"/>
  <c r="O327" i="19"/>
  <c r="O176" i="18"/>
  <c r="O147" i="19"/>
  <c r="O215" i="18"/>
  <c r="O227" i="18"/>
  <c r="O117" i="18"/>
  <c r="O103" i="18"/>
  <c r="O139" i="19"/>
  <c r="O123" i="19"/>
  <c r="O144" i="18"/>
  <c r="O149" i="18"/>
  <c r="O158" i="18"/>
  <c r="O170" i="18"/>
  <c r="O66" i="19"/>
  <c r="O73" i="19"/>
  <c r="O271" i="19"/>
  <c r="O64" i="19"/>
  <c r="O219" i="18"/>
  <c r="O266" i="19"/>
  <c r="O97" i="18"/>
  <c r="O138" i="19"/>
  <c r="O329" i="19"/>
  <c r="O84" i="18"/>
  <c r="O89" i="18"/>
  <c r="O110" i="18"/>
  <c r="O153" i="18"/>
  <c r="O175" i="18"/>
  <c r="O236" i="18"/>
  <c r="O206" i="18"/>
  <c r="O140" i="19"/>
  <c r="O92" i="18"/>
  <c r="O331" i="19"/>
  <c r="O107" i="18"/>
  <c r="O72" i="19"/>
  <c r="O133" i="19"/>
  <c r="O118" i="18"/>
  <c r="O83" i="19"/>
  <c r="O280" i="19"/>
  <c r="O78" i="19"/>
  <c r="O143" i="19"/>
  <c r="O281" i="19"/>
  <c r="O185" i="19"/>
  <c r="O84" i="19"/>
  <c r="O107" i="23"/>
  <c r="O232" i="23"/>
  <c r="O234" i="23"/>
  <c r="O233" i="23"/>
  <c r="O62" i="18"/>
  <c r="O61" i="18"/>
  <c r="O60" i="18"/>
  <c r="O59" i="18"/>
  <c r="O58" i="18"/>
  <c r="O57" i="18"/>
  <c r="O56" i="18"/>
  <c r="O55" i="18"/>
  <c r="O54" i="18"/>
  <c r="O53" i="18"/>
  <c r="O52" i="18"/>
  <c r="O51" i="18"/>
  <c r="O50" i="18"/>
  <c r="O49" i="18"/>
  <c r="O48" i="18"/>
  <c r="O47" i="18"/>
  <c r="O46" i="18"/>
  <c r="O45" i="18"/>
  <c r="O44" i="18"/>
  <c r="O43" i="18"/>
  <c r="O42" i="18"/>
  <c r="O41" i="18"/>
  <c r="O39" i="18"/>
  <c r="O40" i="18"/>
  <c r="O38" i="18"/>
  <c r="O37" i="18"/>
  <c r="O36" i="18"/>
  <c r="O35" i="18"/>
  <c r="O34" i="18"/>
  <c r="O33" i="18"/>
  <c r="O32" i="18"/>
  <c r="O31" i="18"/>
  <c r="O30" i="18"/>
  <c r="O29" i="18"/>
  <c r="O28" i="18"/>
  <c r="O23" i="18"/>
  <c r="N109" i="23" l="1"/>
  <c r="N236" i="23"/>
  <c r="N282" i="19"/>
  <c r="N187" i="19"/>
  <c r="N86" i="19"/>
  <c r="O324" i="19"/>
  <c r="O282" i="19"/>
  <c r="O179" i="19"/>
  <c r="O82" i="18"/>
  <c r="O140" i="18"/>
  <c r="O323" i="19"/>
  <c r="O60" i="19"/>
  <c r="O116" i="19"/>
  <c r="O186" i="19"/>
  <c r="O180" i="19"/>
  <c r="O200" i="18"/>
  <c r="O117" i="19"/>
  <c r="O141" i="18"/>
  <c r="O59" i="19"/>
  <c r="O201" i="18"/>
  <c r="O83" i="18"/>
  <c r="O85" i="19"/>
  <c r="O108" i="23"/>
  <c r="O235" i="23"/>
  <c r="O27" i="18"/>
  <c r="O26" i="18"/>
  <c r="N110" i="23" l="1"/>
  <c r="N237" i="23"/>
  <c r="N283" i="19"/>
  <c r="N188" i="19"/>
  <c r="N87" i="19"/>
  <c r="O86" i="19"/>
  <c r="O187" i="19"/>
  <c r="O283" i="19"/>
  <c r="O109" i="23"/>
  <c r="O236" i="23"/>
  <c r="N111" i="23" l="1"/>
  <c r="N238" i="23"/>
  <c r="N284" i="19"/>
  <c r="N189" i="19"/>
  <c r="N88" i="19"/>
  <c r="O199" i="18"/>
  <c r="O58" i="19"/>
  <c r="O115" i="19"/>
  <c r="O81" i="18"/>
  <c r="O87" i="19"/>
  <c r="O188" i="19"/>
  <c r="O139" i="18"/>
  <c r="O322" i="19"/>
  <c r="O178" i="19"/>
  <c r="O284" i="19"/>
  <c r="O110" i="23"/>
  <c r="O237" i="23"/>
  <c r="O25" i="18"/>
  <c r="O114" i="19"/>
  <c r="O321" i="19"/>
  <c r="O198" i="18"/>
  <c r="O57" i="19"/>
  <c r="O320" i="19"/>
  <c r="O177" i="19"/>
  <c r="O197" i="18"/>
  <c r="O56" i="19"/>
  <c r="O79" i="18"/>
  <c r="O80" i="18"/>
  <c r="O138" i="18"/>
  <c r="O176" i="19"/>
  <c r="O24" i="18"/>
  <c r="O113" i="19"/>
  <c r="O137" i="18"/>
  <c r="N112" i="23" l="1"/>
  <c r="N239" i="23"/>
  <c r="N285" i="19"/>
  <c r="N190" i="19"/>
  <c r="N89" i="19"/>
  <c r="O285" i="19"/>
  <c r="O189" i="19"/>
  <c r="O88" i="19"/>
  <c r="O111" i="23"/>
  <c r="O238" i="23"/>
  <c r="N113" i="23" l="1"/>
  <c r="N240" i="23"/>
  <c r="N286" i="19"/>
  <c r="N191" i="19"/>
  <c r="N90" i="19"/>
  <c r="O89" i="19"/>
  <c r="O286" i="19"/>
  <c r="O190" i="19"/>
  <c r="O112" i="23"/>
  <c r="O239" i="23"/>
  <c r="N114" i="23" l="1"/>
  <c r="N241" i="23"/>
  <c r="N287" i="19"/>
  <c r="N192" i="19"/>
  <c r="N91" i="19"/>
  <c r="N92" i="19" s="1"/>
  <c r="O191" i="19"/>
  <c r="O90" i="19"/>
  <c r="O92" i="19"/>
  <c r="O287" i="19"/>
  <c r="O113" i="23"/>
  <c r="O240" i="23"/>
  <c r="N115" i="23" l="1"/>
  <c r="N242" i="23"/>
  <c r="N288" i="19"/>
  <c r="N193" i="19"/>
  <c r="N93" i="19"/>
  <c r="O93" i="19"/>
  <c r="O91" i="19"/>
  <c r="O192" i="19"/>
  <c r="O288" i="19"/>
  <c r="O114" i="23"/>
  <c r="O241" i="23"/>
  <c r="N116" i="23" l="1"/>
  <c r="N243" i="23"/>
  <c r="N289" i="19"/>
  <c r="N194" i="19"/>
  <c r="N94" i="19"/>
  <c r="O193" i="19"/>
  <c r="O289" i="19"/>
  <c r="O94" i="19"/>
  <c r="O115" i="23"/>
  <c r="O242" i="23"/>
  <c r="O136" i="18"/>
  <c r="O317" i="19"/>
  <c r="O21" i="18"/>
  <c r="O196" i="18"/>
  <c r="O111" i="19"/>
  <c r="O110" i="19"/>
  <c r="O134" i="18"/>
  <c r="O54" i="19"/>
  <c r="O175" i="19"/>
  <c r="O174" i="19"/>
  <c r="O318" i="19"/>
  <c r="O55" i="19"/>
  <c r="O173" i="19"/>
  <c r="O76" i="18"/>
  <c r="O135" i="18"/>
  <c r="O22" i="18"/>
  <c r="O78" i="18"/>
  <c r="O112" i="19"/>
  <c r="O20" i="18"/>
  <c r="O319" i="19"/>
  <c r="O77" i="18"/>
  <c r="O195" i="18"/>
  <c r="O194" i="18"/>
  <c r="N117" i="23" l="1"/>
  <c r="N244" i="23"/>
  <c r="N290" i="19"/>
  <c r="N195" i="19"/>
  <c r="N95" i="19"/>
  <c r="O116" i="23"/>
  <c r="N118" i="23" l="1"/>
  <c r="N245" i="23"/>
  <c r="N291" i="19"/>
  <c r="N196" i="19"/>
  <c r="N96" i="19"/>
  <c r="O95" i="19"/>
  <c r="O194" i="19"/>
  <c r="O290" i="19"/>
  <c r="O195" i="19"/>
  <c r="O291" i="19"/>
  <c r="O117" i="23"/>
  <c r="O244" i="23"/>
  <c r="O243" i="23"/>
  <c r="N119" i="23" l="1"/>
  <c r="N246" i="23"/>
  <c r="N292" i="19"/>
  <c r="N197" i="19"/>
  <c r="N97" i="19"/>
  <c r="O196" i="19"/>
  <c r="O292" i="19"/>
  <c r="O118" i="23"/>
  <c r="O245" i="23"/>
  <c r="N120" i="23" l="1"/>
  <c r="N121" i="23" s="1"/>
  <c r="N247" i="23"/>
  <c r="N293" i="19"/>
  <c r="N98" i="19"/>
  <c r="N198" i="19"/>
  <c r="O293" i="19"/>
  <c r="O197" i="19"/>
  <c r="O121" i="23"/>
  <c r="O120" i="23"/>
  <c r="O119" i="23"/>
  <c r="O246" i="23"/>
  <c r="N122" i="23" l="1"/>
  <c r="N248" i="23"/>
  <c r="N294" i="19"/>
  <c r="N199" i="19"/>
  <c r="O294" i="19"/>
  <c r="O198" i="19"/>
  <c r="O122" i="23"/>
  <c r="O247" i="23"/>
  <c r="O316" i="19"/>
  <c r="O172" i="19"/>
  <c r="O75" i="18"/>
  <c r="O193" i="18"/>
  <c r="O133" i="18"/>
  <c r="O19" i="18"/>
  <c r="O109" i="19"/>
  <c r="N123" i="23" l="1"/>
  <c r="N249" i="23"/>
  <c r="N295" i="19"/>
  <c r="N200" i="19"/>
  <c r="O123" i="23"/>
  <c r="N124" i="23" l="1"/>
  <c r="N250" i="23"/>
  <c r="N296" i="19"/>
  <c r="N201" i="19"/>
  <c r="O199" i="19"/>
  <c r="O295" i="19"/>
  <c r="O296" i="19"/>
  <c r="O200" i="19"/>
  <c r="O124" i="23"/>
  <c r="O248" i="23"/>
  <c r="O249" i="23"/>
  <c r="N125" i="23" l="1"/>
  <c r="N251" i="23"/>
  <c r="N297" i="19"/>
  <c r="N202" i="19"/>
  <c r="O297" i="19"/>
  <c r="O201" i="19"/>
  <c r="O125" i="23"/>
  <c r="O250" i="23"/>
  <c r="O289" i="22"/>
  <c r="O70" i="18"/>
  <c r="O24" i="21"/>
  <c r="O414" i="23"/>
  <c r="O126" i="22"/>
  <c r="O74" i="18"/>
  <c r="O307" i="22"/>
  <c r="O398" i="23"/>
  <c r="O247" i="19"/>
  <c r="O196" i="22"/>
  <c r="O11" i="22"/>
  <c r="O345" i="23"/>
  <c r="O120" i="22"/>
  <c r="O190" i="21"/>
  <c r="O55" i="21"/>
  <c r="O237" i="18"/>
  <c r="O417" i="23"/>
  <c r="O33" i="23"/>
  <c r="O193" i="22"/>
  <c r="O187" i="18"/>
  <c r="O162" i="19"/>
  <c r="O284" i="22"/>
  <c r="O165" i="21"/>
  <c r="O212" i="21"/>
  <c r="O353" i="23"/>
  <c r="O150" i="22"/>
  <c r="O221" i="21"/>
  <c r="O94" i="21"/>
  <c r="O294" i="21"/>
  <c r="O188" i="21"/>
  <c r="O192" i="22"/>
  <c r="O373" i="23"/>
  <c r="O79" i="21"/>
  <c r="O305" i="19"/>
  <c r="O135" i="21"/>
  <c r="O85" i="22"/>
  <c r="O307" i="18"/>
  <c r="O195" i="21"/>
  <c r="O249" i="21"/>
  <c r="O83" i="21"/>
  <c r="O165" i="19"/>
  <c r="O26" i="19"/>
  <c r="O84" i="22"/>
  <c r="O287" i="21"/>
  <c r="O269" i="18"/>
  <c r="O108" i="22"/>
  <c r="O158" i="22"/>
  <c r="O44" i="19"/>
  <c r="O177" i="22"/>
  <c r="O109" i="22"/>
  <c r="O269" i="21"/>
  <c r="O403" i="19"/>
  <c r="O215" i="22"/>
  <c r="O212" i="22"/>
  <c r="O239" i="18"/>
  <c r="O98" i="19"/>
  <c r="O17" i="22"/>
  <c r="O174" i="22"/>
  <c r="O103" i="22"/>
  <c r="O70" i="22"/>
  <c r="O346" i="23"/>
  <c r="O372" i="23"/>
  <c r="O382" i="23"/>
  <c r="O91" i="21"/>
  <c r="O288" i="22"/>
  <c r="O59" i="22"/>
  <c r="O407" i="19"/>
  <c r="O302" i="18"/>
  <c r="O368" i="23"/>
  <c r="O349" i="23"/>
  <c r="O8" i="21"/>
  <c r="O99" i="22"/>
  <c r="O312" i="23"/>
  <c r="O20" i="22"/>
  <c r="O78" i="22"/>
  <c r="O21" i="22"/>
  <c r="O279" i="22"/>
  <c r="O103" i="19"/>
  <c r="O391" i="19"/>
  <c r="O364" i="19"/>
  <c r="O285" i="21"/>
  <c r="O178" i="18"/>
  <c r="O314" i="23"/>
  <c r="O111" i="22"/>
  <c r="O209" i="21"/>
  <c r="O98" i="21"/>
  <c r="O73" i="18"/>
  <c r="O78" i="21"/>
  <c r="O383" i="19"/>
  <c r="O310" i="21"/>
  <c r="O64" i="22"/>
  <c r="O411" i="23"/>
  <c r="O416" i="23"/>
  <c r="O115" i="22"/>
  <c r="O144" i="22"/>
  <c r="O127" i="22"/>
  <c r="O97" i="21"/>
  <c r="O164" i="21"/>
  <c r="O156" i="19"/>
  <c r="O303" i="18"/>
  <c r="O36" i="21"/>
  <c r="O241" i="18"/>
  <c r="O205" i="22"/>
  <c r="O82" i="21"/>
  <c r="O122" i="22"/>
  <c r="O244" i="22"/>
  <c r="O189" i="18"/>
  <c r="O365" i="23"/>
  <c r="O363" i="19"/>
  <c r="O169" i="19"/>
  <c r="O308" i="19"/>
  <c r="O214" i="21"/>
  <c r="O362" i="23"/>
  <c r="O46" i="22"/>
  <c r="O100" i="21"/>
  <c r="O206" i="21"/>
  <c r="O378" i="19"/>
  <c r="O130" i="22"/>
  <c r="O18" i="22"/>
  <c r="O255" i="22"/>
  <c r="O365" i="19"/>
  <c r="O252" i="21"/>
  <c r="O135" i="22"/>
  <c r="O366" i="23"/>
  <c r="O179" i="18"/>
  <c r="O139" i="21"/>
  <c r="O18" i="21"/>
  <c r="O251" i="21"/>
  <c r="O13" i="22"/>
  <c r="O286" i="21"/>
  <c r="O367" i="19"/>
  <c r="O299" i="23"/>
  <c r="O218" i="22"/>
  <c r="O304" i="19"/>
  <c r="O290" i="18"/>
  <c r="O275" i="18"/>
  <c r="O136" i="22"/>
  <c r="O290" i="22"/>
  <c r="O62" i="22"/>
  <c r="O26" i="21"/>
  <c r="O314" i="21"/>
  <c r="O294" i="18"/>
  <c r="O263" i="18"/>
  <c r="O52" i="22"/>
  <c r="O331" i="23"/>
  <c r="O170" i="22"/>
  <c r="O75" i="22"/>
  <c r="O143" i="21"/>
  <c r="O270" i="22"/>
  <c r="O51" i="22"/>
  <c r="O38" i="22"/>
  <c r="O186" i="18"/>
  <c r="O395" i="23"/>
  <c r="O159" i="22"/>
  <c r="O397" i="19"/>
  <c r="O188" i="18"/>
  <c r="O364" i="23"/>
  <c r="O97" i="22"/>
  <c r="O158" i="21"/>
  <c r="O20" i="19"/>
  <c r="O104" i="22"/>
  <c r="O12" i="18"/>
  <c r="O36" i="19"/>
  <c r="O194" i="21"/>
  <c r="O263" i="21"/>
  <c r="O261" i="18"/>
  <c r="O317" i="23"/>
  <c r="O100" i="19"/>
  <c r="O255" i="18"/>
  <c r="O268" i="21"/>
  <c r="O154" i="19"/>
  <c r="O88" i="22"/>
  <c r="O110" i="22"/>
  <c r="O7" i="23"/>
  <c r="O106" i="19"/>
  <c r="O73" i="22"/>
  <c r="O227" i="22"/>
  <c r="O22" i="19"/>
  <c r="O113" i="22"/>
  <c r="O46" i="19"/>
  <c r="O315" i="19"/>
  <c r="O153" i="19"/>
  <c r="O93" i="22"/>
  <c r="O338" i="23"/>
  <c r="O314" i="19"/>
  <c r="O17" i="19"/>
  <c r="O191" i="21"/>
  <c r="O11" i="18"/>
  <c r="O10" i="21"/>
  <c r="O79" i="22"/>
  <c r="O27" i="19"/>
  <c r="O100" i="22"/>
  <c r="O315" i="21"/>
  <c r="O74" i="21"/>
  <c r="O260" i="21"/>
  <c r="O93" i="21"/>
  <c r="O370" i="23"/>
  <c r="O322" i="23"/>
  <c r="O99" i="21"/>
  <c r="O394" i="23"/>
  <c r="O419" i="23"/>
  <c r="O148" i="22"/>
  <c r="O397" i="23"/>
  <c r="O43" i="19"/>
  <c r="O244" i="18"/>
  <c r="O404" i="19"/>
  <c r="O204" i="21"/>
  <c r="O244" i="19"/>
  <c r="O82" i="22"/>
  <c r="O398" i="19"/>
  <c r="O307" i="19"/>
  <c r="O262" i="22"/>
  <c r="O323" i="23"/>
  <c r="O369" i="23"/>
  <c r="O308" i="21"/>
  <c r="O223" i="21"/>
  <c r="O68" i="18"/>
  <c r="O77" i="21"/>
  <c r="O371" i="23"/>
  <c r="O355" i="23"/>
  <c r="O190" i="22"/>
  <c r="O56" i="21"/>
  <c r="O162" i="22"/>
  <c r="O332" i="23"/>
  <c r="O392" i="19"/>
  <c r="O275" i="21"/>
  <c r="O64" i="18"/>
  <c r="O360" i="23"/>
  <c r="O342" i="23"/>
  <c r="O258" i="18"/>
  <c r="O66" i="18"/>
  <c r="O28" i="21"/>
  <c r="O363" i="23"/>
  <c r="O221" i="22"/>
  <c r="O341" i="23"/>
  <c r="O259" i="21"/>
  <c r="O324" i="23"/>
  <c r="O152" i="21"/>
  <c r="O40" i="23"/>
  <c r="O389" i="19"/>
  <c r="O80" i="22"/>
  <c r="O316" i="21"/>
  <c r="O92" i="21"/>
  <c r="O134" i="21"/>
  <c r="O400" i="19"/>
  <c r="O21" i="19"/>
  <c r="O214" i="22"/>
  <c r="O336" i="23"/>
  <c r="O228" i="22"/>
  <c r="O47" i="19"/>
  <c r="O409" i="23"/>
  <c r="O31" i="23"/>
  <c r="O84" i="21"/>
  <c r="O29" i="23"/>
  <c r="O286" i="18"/>
  <c r="O203" i="22"/>
  <c r="O58" i="22"/>
  <c r="O22" i="22"/>
  <c r="O16" i="18"/>
  <c r="O280" i="18"/>
  <c r="O30" i="19"/>
  <c r="O197" i="21"/>
  <c r="O240" i="18"/>
  <c r="O373" i="19"/>
  <c r="O65" i="22"/>
  <c r="O399" i="19"/>
  <c r="O131" i="22"/>
  <c r="O146" i="22"/>
  <c r="O274" i="21"/>
  <c r="O94" i="22"/>
  <c r="O409" i="19"/>
  <c r="O405" i="23"/>
  <c r="O15" i="18"/>
  <c r="O247" i="18"/>
  <c r="O302" i="23"/>
  <c r="O243" i="19"/>
  <c r="O404" i="23"/>
  <c r="O257" i="22"/>
  <c r="O50" i="19"/>
  <c r="O234" i="22"/>
  <c r="O241" i="22"/>
  <c r="O197" i="22"/>
  <c r="O220" i="21"/>
  <c r="O136" i="21"/>
  <c r="O381" i="19"/>
  <c r="O105" i="19"/>
  <c r="O270" i="21"/>
  <c r="O410" i="23"/>
  <c r="O282" i="21"/>
  <c r="O242" i="18"/>
  <c r="O12" i="22"/>
  <c r="O311" i="23"/>
  <c r="O39" i="22"/>
  <c r="O240" i="22"/>
  <c r="O15" i="23"/>
  <c r="O306" i="22"/>
  <c r="O30" i="22"/>
  <c r="O140" i="21"/>
  <c r="O87" i="22"/>
  <c r="O309" i="23"/>
  <c r="O328" i="23"/>
  <c r="O96" i="21"/>
  <c r="O270" i="18"/>
  <c r="O359" i="23"/>
  <c r="O251" i="22"/>
  <c r="O141" i="21"/>
  <c r="O418" i="23"/>
  <c r="O305" i="18"/>
  <c r="O59" i="21"/>
  <c r="O29" i="22"/>
  <c r="O26" i="23"/>
  <c r="O278" i="18"/>
  <c r="O152" i="22"/>
  <c r="O375" i="19"/>
  <c r="O156" i="22"/>
  <c r="O295" i="22"/>
  <c r="O377" i="19"/>
  <c r="O185" i="18"/>
  <c r="O58" i="21"/>
  <c r="O285" i="22"/>
  <c r="O202" i="21"/>
  <c r="O347" i="23"/>
  <c r="O175" i="22"/>
  <c r="O76" i="21"/>
  <c r="O155" i="22"/>
  <c r="O33" i="19"/>
  <c r="O54" i="22"/>
  <c r="O145" i="22"/>
  <c r="O67" i="22"/>
  <c r="O256" i="21"/>
  <c r="O85" i="21"/>
  <c r="O380" i="23"/>
  <c r="O257" i="18"/>
  <c r="O166" i="19"/>
  <c r="O37" i="21"/>
  <c r="O287" i="18"/>
  <c r="O159" i="21"/>
  <c r="O76" i="22"/>
  <c r="O396" i="19"/>
  <c r="O9" i="23"/>
  <c r="O391" i="23"/>
  <c r="O66" i="22"/>
  <c r="O168" i="22"/>
  <c r="O125" i="18"/>
  <c r="O265" i="18"/>
  <c r="O112" i="22"/>
  <c r="O86" i="22"/>
  <c r="O19" i="22"/>
  <c r="O48" i="19"/>
  <c r="O21" i="23"/>
  <c r="O292" i="21"/>
  <c r="O25" i="23"/>
  <c r="O245" i="19"/>
  <c r="O297" i="18"/>
  <c r="O326" i="23"/>
  <c r="O227" i="21"/>
  <c r="O356" i="23"/>
  <c r="O302" i="22"/>
  <c r="O91" i="22"/>
  <c r="O229" i="22"/>
  <c r="O7" i="21"/>
  <c r="O40" i="19"/>
  <c r="O142" i="21"/>
  <c r="O63" i="21"/>
  <c r="O34" i="19"/>
  <c r="O225" i="22"/>
  <c r="O34" i="23"/>
  <c r="O327" i="23"/>
  <c r="O282" i="18"/>
  <c r="O29" i="21"/>
  <c r="O86" i="21"/>
  <c r="O201" i="22"/>
  <c r="O246" i="22"/>
  <c r="O186" i="22"/>
  <c r="O48" i="22"/>
  <c r="O273" i="21"/>
  <c r="O231" i="22"/>
  <c r="O184" i="22"/>
  <c r="O250" i="18"/>
  <c r="O54" i="21"/>
  <c r="O125" i="22"/>
  <c r="O22" i="23"/>
  <c r="O196" i="21"/>
  <c r="O236" i="22"/>
  <c r="O72" i="18"/>
  <c r="O281" i="18"/>
  <c r="O190" i="18"/>
  <c r="O263" i="22"/>
  <c r="O393" i="19"/>
  <c r="O296" i="18"/>
  <c r="O401" i="23"/>
  <c r="O291" i="18"/>
  <c r="O374" i="23"/>
  <c r="O387" i="23"/>
  <c r="O246" i="19"/>
  <c r="O111" i="21"/>
  <c r="O166" i="21"/>
  <c r="O138" i="22"/>
  <c r="O392" i="23"/>
  <c r="O350" i="23"/>
  <c r="O200" i="22"/>
  <c r="O137" i="21"/>
  <c r="O163" i="19"/>
  <c r="O166" i="22"/>
  <c r="O208" i="22"/>
  <c r="O41" i="21"/>
  <c r="O382" i="19"/>
  <c r="O14" i="18"/>
  <c r="O299" i="22"/>
  <c r="O246" i="18"/>
  <c r="O271" i="22"/>
  <c r="O339" i="23"/>
  <c r="O124" i="22"/>
  <c r="O321" i="23"/>
  <c r="O16" i="22"/>
  <c r="O292" i="22"/>
  <c r="O132" i="21"/>
  <c r="O138" i="21"/>
  <c r="O33" i="22"/>
  <c r="O57" i="22"/>
  <c r="O8" i="18"/>
  <c r="O262" i="21"/>
  <c r="O122" i="18"/>
  <c r="O310" i="19"/>
  <c r="O245" i="22"/>
  <c r="O381" i="23"/>
  <c r="O304" i="18"/>
  <c r="O13" i="18"/>
  <c r="O141" i="22"/>
  <c r="O311" i="19"/>
  <c r="O273" i="22"/>
  <c r="O296" i="22"/>
  <c r="O17" i="18"/>
  <c r="O261" i="21"/>
  <c r="O309" i="22"/>
  <c r="O163" i="21"/>
  <c r="O287" i="22"/>
  <c r="O393" i="23"/>
  <c r="O32" i="21"/>
  <c r="O313" i="21"/>
  <c r="O344" i="23"/>
  <c r="O39" i="23"/>
  <c r="O150" i="21"/>
  <c r="O304" i="22"/>
  <c r="O7" i="22"/>
  <c r="O50" i="22"/>
  <c r="O155" i="21"/>
  <c r="O161" i="21"/>
  <c r="O210" i="21"/>
  <c r="O16" i="21"/>
  <c r="O120" i="18"/>
  <c r="O286" i="22"/>
  <c r="O310" i="22"/>
  <c r="O269" i="22"/>
  <c r="O61" i="21"/>
  <c r="O126" i="18"/>
  <c r="O301" i="18"/>
  <c r="O61" i="22"/>
  <c r="O406" i="19"/>
  <c r="O119" i="22"/>
  <c r="O39" i="21"/>
  <c r="O264" i="21"/>
  <c r="O13" i="19"/>
  <c r="O258" i="22"/>
  <c r="O205" i="21"/>
  <c r="O49" i="19"/>
  <c r="O222" i="21"/>
  <c r="O169" i="21"/>
  <c r="O292" i="18"/>
  <c r="O97" i="19"/>
  <c r="O271" i="21"/>
  <c r="O386" i="19"/>
  <c r="O254" i="21"/>
  <c r="O33" i="21"/>
  <c r="O294" i="23"/>
  <c r="O295" i="18"/>
  <c r="O89" i="22"/>
  <c r="O192" i="21"/>
  <c r="O316" i="23"/>
  <c r="O18" i="19"/>
  <c r="O80" i="21"/>
  <c r="O101" i="22"/>
  <c r="O319" i="23"/>
  <c r="O74" i="22"/>
  <c r="O168" i="19"/>
  <c r="O375" i="23"/>
  <c r="O132" i="22"/>
  <c r="O21" i="21"/>
  <c r="O151" i="22"/>
  <c r="O320" i="23"/>
  <c r="O165" i="22"/>
  <c r="O107" i="21"/>
  <c r="O108" i="21"/>
  <c r="O283" i="18"/>
  <c r="O41" i="19"/>
  <c r="O280" i="21"/>
  <c r="O298" i="21"/>
  <c r="O276" i="18"/>
  <c r="O15" i="21"/>
  <c r="O303" i="21"/>
  <c r="O15" i="19"/>
  <c r="O312" i="21"/>
  <c r="O268" i="22"/>
  <c r="O302" i="21"/>
  <c r="O11" i="19"/>
  <c r="O273" i="18"/>
  <c r="O131" i="18"/>
  <c r="O109" i="21"/>
  <c r="O259" i="22"/>
  <c r="O400" i="23"/>
  <c r="O103" i="21"/>
  <c r="O26" i="22"/>
  <c r="O193" i="21"/>
  <c r="O160" i="21"/>
  <c r="O300" i="18"/>
  <c r="O45" i="21"/>
  <c r="O151" i="21"/>
  <c r="O158" i="19"/>
  <c r="O90" i="22"/>
  <c r="O139" i="22"/>
  <c r="O379" i="23"/>
  <c r="O124" i="18"/>
  <c r="O260" i="22"/>
  <c r="O19" i="21"/>
  <c r="O289" i="21"/>
  <c r="O250" i="21"/>
  <c r="O42" i="19"/>
  <c r="O334" i="23"/>
  <c r="O159" i="19"/>
  <c r="O40" i="22"/>
  <c r="O128" i="22"/>
  <c r="O20" i="21"/>
  <c r="O296" i="23"/>
  <c r="O37" i="22"/>
  <c r="O383" i="23"/>
  <c r="O237" i="22"/>
  <c r="O313" i="23"/>
  <c r="O9" i="21"/>
  <c r="O272" i="21"/>
  <c r="O132" i="18"/>
  <c r="O128" i="18"/>
  <c r="O23" i="22"/>
  <c r="O164" i="22"/>
  <c r="O105" i="21"/>
  <c r="O14" i="19"/>
  <c r="O281" i="22"/>
  <c r="O388" i="23"/>
  <c r="O133" i="22"/>
  <c r="O7" i="18"/>
  <c r="O213" i="22"/>
  <c r="O14" i="22"/>
  <c r="O248" i="22"/>
  <c r="O65" i="18"/>
  <c r="O250" i="22"/>
  <c r="O310" i="23"/>
  <c r="O35" i="22"/>
  <c r="O51" i="21"/>
  <c r="O291" i="22"/>
  <c r="O298" i="22"/>
  <c r="O7" i="19"/>
  <c r="O27" i="22"/>
  <c r="O294" i="22"/>
  <c r="O379" i="19"/>
  <c r="O266" i="22"/>
  <c r="O9" i="19"/>
  <c r="O317" i="21"/>
  <c r="O271" i="18"/>
  <c r="O99" i="19"/>
  <c r="O52" i="21"/>
  <c r="O390" i="19"/>
  <c r="O305" i="23"/>
  <c r="O189" i="21"/>
  <c r="O389" i="23"/>
  <c r="O202" i="22"/>
  <c r="O87" i="21"/>
  <c r="O209" i="22"/>
  <c r="O25" i="21"/>
  <c r="O45" i="22"/>
  <c r="O130" i="18"/>
  <c r="O106" i="21"/>
  <c r="O161" i="19"/>
  <c r="O171" i="22"/>
  <c r="O394" i="19"/>
  <c r="O301" i="23"/>
  <c r="O11" i="21"/>
  <c r="O216" i="22"/>
  <c r="O252" i="22"/>
  <c r="O147" i="22"/>
  <c r="O147" i="21"/>
  <c r="O10" i="22"/>
  <c r="O43" i="22"/>
  <c r="O309" i="18"/>
  <c r="O164" i="19"/>
  <c r="O299" i="18"/>
  <c r="O38" i="21"/>
  <c r="O23" i="19"/>
  <c r="O282" i="22"/>
  <c r="O149" i="22"/>
  <c r="O39" i="19"/>
  <c r="O304" i="21"/>
  <c r="O387" i="19"/>
  <c r="O176" i="22"/>
  <c r="O306" i="21"/>
  <c r="O401" i="19"/>
  <c r="O57" i="21"/>
  <c r="O238" i="18"/>
  <c r="O220" i="22"/>
  <c r="O63" i="22"/>
  <c r="O253" i="21"/>
  <c r="O148" i="21"/>
  <c r="O256" i="22"/>
  <c r="O23" i="23"/>
  <c r="O305" i="22"/>
  <c r="O300" i="23"/>
  <c r="O300" i="22"/>
  <c r="O288" i="21"/>
  <c r="O101" i="21"/>
  <c r="O301" i="21"/>
  <c r="O329" i="23"/>
  <c r="O267" i="18"/>
  <c r="O123" i="22"/>
  <c r="O47" i="22"/>
  <c r="O67" i="18"/>
  <c r="O182" i="22"/>
  <c r="O140" i="22"/>
  <c r="O116" i="22"/>
  <c r="O372" i="19"/>
  <c r="O309" i="19"/>
  <c r="O157" i="19"/>
  <c r="O117" i="22"/>
  <c r="O179" i="22"/>
  <c r="O223" i="22"/>
  <c r="O376" i="19"/>
  <c r="O297" i="23"/>
  <c r="O32" i="22"/>
  <c r="O170" i="19"/>
  <c r="O239" i="22"/>
  <c r="O194" i="22"/>
  <c r="O262" i="18"/>
  <c r="O278" i="22"/>
  <c r="O167" i="21"/>
  <c r="O69" i="18"/>
  <c r="O180" i="22"/>
  <c r="O420" i="23"/>
  <c r="O160" i="22"/>
  <c r="O276" i="22"/>
  <c r="O198" i="21"/>
  <c r="O62" i="21"/>
  <c r="O181" i="18"/>
  <c r="O233" i="22"/>
  <c r="O386" i="23"/>
  <c r="O318" i="21"/>
  <c r="O215" i="21"/>
  <c r="O366" i="19"/>
  <c r="O376" i="23"/>
  <c r="O406" i="23"/>
  <c r="O154" i="21"/>
  <c r="O42" i="22"/>
  <c r="O32" i="23"/>
  <c r="O118" i="22"/>
  <c r="O72" i="22"/>
  <c r="O257" i="21"/>
  <c r="O95" i="22"/>
  <c r="O310" i="18"/>
  <c r="O200" i="21"/>
  <c r="O315" i="23"/>
  <c r="O49" i="22"/>
  <c r="O154" i="22"/>
  <c r="O285" i="18"/>
  <c r="O81" i="22"/>
  <c r="O25" i="22"/>
  <c r="O146" i="21"/>
  <c r="O235" i="22"/>
  <c r="O34" i="22"/>
  <c r="O295" i="21"/>
  <c r="O180" i="18"/>
  <c r="O361" i="23"/>
  <c r="O35" i="21"/>
  <c r="O101" i="19"/>
  <c r="O68" i="22"/>
  <c r="O102" i="22"/>
  <c r="O153" i="21"/>
  <c r="O232" i="22"/>
  <c r="O37" i="19"/>
  <c r="O42" i="21"/>
  <c r="O266" i="21"/>
  <c r="O32" i="19"/>
  <c r="O249" i="18"/>
  <c r="O254" i="18"/>
  <c r="O313" i="19"/>
  <c r="O297" i="21"/>
  <c r="O306" i="18"/>
  <c r="O224" i="21"/>
  <c r="O92" i="22"/>
  <c r="O303" i="22"/>
  <c r="O123" i="18"/>
  <c r="O189" i="22"/>
  <c r="O352" i="23"/>
  <c r="O167" i="19"/>
  <c r="O211" i="21"/>
  <c r="O252" i="18"/>
  <c r="O195" i="22"/>
  <c r="O351" i="23"/>
  <c r="O284" i="21"/>
  <c r="O289" i="18"/>
  <c r="O264" i="18"/>
  <c r="O297" i="22"/>
  <c r="O45" i="19"/>
  <c r="O143" i="22"/>
  <c r="O272" i="22"/>
  <c r="O170" i="21"/>
  <c r="O47" i="21"/>
  <c r="O304" i="23"/>
  <c r="O121" i="18"/>
  <c r="O247" i="22"/>
  <c r="O24" i="22"/>
  <c r="O283" i="21"/>
  <c r="O208" i="21"/>
  <c r="O245" i="18"/>
  <c r="O88" i="21"/>
  <c r="O396" i="23"/>
  <c r="O69" i="22"/>
  <c r="O162" i="21"/>
  <c r="O242" i="22"/>
  <c r="O403" i="23"/>
  <c r="O104" i="19"/>
  <c r="O156" i="21"/>
  <c r="O367" i="23"/>
  <c r="O112" i="21"/>
  <c r="O217" i="21"/>
  <c r="O34" i="21"/>
  <c r="O24" i="23"/>
  <c r="O298" i="23"/>
  <c r="O267" i="22"/>
  <c r="O199" i="22"/>
  <c r="O201" i="21"/>
  <c r="O10" i="18"/>
  <c r="O53" i="22"/>
  <c r="O127" i="18"/>
  <c r="O360" i="19"/>
  <c r="O290" i="21"/>
  <c r="O119" i="18"/>
  <c r="O199" i="21"/>
  <c r="O333" i="23"/>
  <c r="O301" i="22"/>
  <c r="O296" i="21"/>
  <c r="O277" i="22"/>
  <c r="O102" i="19"/>
  <c r="O308" i="23"/>
  <c r="O222" i="22"/>
  <c r="O102" i="21"/>
  <c r="O291" i="21"/>
  <c r="O178" i="22"/>
  <c r="O8" i="23"/>
  <c r="O22" i="21"/>
  <c r="O137" i="22"/>
  <c r="O43" i="21"/>
  <c r="O228" i="21"/>
  <c r="O402" i="23"/>
  <c r="O155" i="19"/>
  <c r="O105" i="22"/>
  <c r="O183" i="18"/>
  <c r="O251" i="18"/>
  <c r="O35" i="19"/>
  <c r="O278" i="21"/>
  <c r="O17" i="21"/>
  <c r="O357" i="23"/>
  <c r="O255" i="21"/>
  <c r="O89" i="21"/>
  <c r="O29" i="19"/>
  <c r="O274" i="22"/>
  <c r="O308" i="18"/>
  <c r="O295" i="23"/>
  <c r="O171" i="19"/>
  <c r="O27" i="21"/>
  <c r="O402" i="19"/>
  <c r="O243" i="18"/>
  <c r="O253" i="22"/>
  <c r="O281" i="21"/>
  <c r="O211" i="22"/>
  <c r="O8" i="22"/>
  <c r="O10" i="19"/>
  <c r="O325" i="23"/>
  <c r="O198" i="22"/>
  <c r="O369" i="19"/>
  <c r="O267" i="21"/>
  <c r="O306" i="19"/>
  <c r="O279" i="18"/>
  <c r="O60" i="21"/>
  <c r="O204" i="22"/>
  <c r="O218" i="21"/>
  <c r="O377" i="23"/>
  <c r="O335" i="23"/>
  <c r="O225" i="21"/>
  <c r="O280" i="22"/>
  <c r="O24" i="19"/>
  <c r="O243" i="22"/>
  <c r="O390" i="23"/>
  <c r="O110" i="21"/>
  <c r="O107" i="19"/>
  <c r="O348" i="23"/>
  <c r="O161" i="22"/>
  <c r="O279" i="21"/>
  <c r="O384" i="23"/>
  <c r="O63" i="18"/>
  <c r="O219" i="21"/>
  <c r="O203" i="21"/>
  <c r="O44" i="22"/>
  <c r="O311" i="21"/>
  <c r="O395" i="19"/>
  <c r="O188" i="22"/>
  <c r="O168" i="21"/>
  <c r="O191" i="22"/>
  <c r="O133" i="21"/>
  <c r="O8" i="19"/>
  <c r="O358" i="23"/>
  <c r="O412" i="23"/>
  <c r="O337" i="23"/>
  <c r="O96" i="19"/>
  <c r="O399" i="23"/>
  <c r="O14" i="21"/>
  <c r="O309" i="21"/>
  <c r="O308" i="22"/>
  <c r="O249" i="22"/>
  <c r="O183" i="22"/>
  <c r="O307" i="21"/>
  <c r="O144" i="21"/>
  <c r="O253" i="18"/>
  <c r="O330" i="23"/>
  <c r="O283" i="22"/>
  <c r="O36" i="22"/>
  <c r="O306" i="23"/>
  <c r="O10" i="23"/>
  <c r="O238" i="22"/>
  <c r="O261" i="22"/>
  <c r="O408" i="23"/>
  <c r="O300" i="21"/>
  <c r="O312" i="19"/>
  <c r="O30" i="23"/>
  <c r="O268" i="18"/>
  <c r="O293" i="22"/>
  <c r="O114" i="22"/>
  <c r="O258" i="21"/>
  <c r="O384" i="19"/>
  <c r="O276" i="21"/>
  <c r="O305" i="21"/>
  <c r="O343" i="23"/>
  <c r="O371" i="19"/>
  <c r="O28" i="19"/>
  <c r="O173" i="22"/>
  <c r="O44" i="21"/>
  <c r="O361" i="19"/>
  <c r="O149" i="21"/>
  <c r="O293" i="21"/>
  <c r="O16" i="19"/>
  <c r="O216" i="21"/>
  <c r="O96" i="22"/>
  <c r="O298" i="18"/>
  <c r="O217" i="22"/>
  <c r="O75" i="21"/>
  <c r="O288" i="18"/>
  <c r="O260" i="18"/>
  <c r="O265" i="22"/>
  <c r="O378" i="23"/>
  <c r="O293" i="23"/>
  <c r="O385" i="19"/>
  <c r="O25" i="19"/>
  <c r="O213" i="21"/>
  <c r="O277" i="21"/>
  <c r="O256" i="18"/>
  <c r="O28" i="23"/>
  <c r="O163" i="22"/>
  <c r="O113" i="21"/>
  <c r="O167" i="22"/>
  <c r="O177" i="18"/>
  <c r="O27" i="23"/>
  <c r="O9" i="18"/>
  <c r="O307" i="23"/>
  <c r="O380" i="19"/>
  <c r="O226" i="22"/>
  <c r="O38" i="23"/>
  <c r="O95" i="21"/>
  <c r="O254" i="22"/>
  <c r="O284" i="18"/>
  <c r="O259" i="18"/>
  <c r="O172" i="22"/>
  <c r="O41" i="22"/>
  <c r="O415" i="23"/>
  <c r="O31" i="22"/>
  <c r="O131" i="21"/>
  <c r="O264" i="22"/>
  <c r="O187" i="22"/>
  <c r="O413" i="23"/>
  <c r="O145" i="21"/>
  <c r="O226" i="21"/>
  <c r="O388" i="19"/>
  <c r="O272" i="18"/>
  <c r="O23" i="21"/>
  <c r="O182" i="18"/>
  <c r="O266" i="18"/>
  <c r="O56" i="22"/>
  <c r="O77" i="22"/>
  <c r="O130" i="21"/>
  <c r="O374" i="19"/>
  <c r="O121" i="22"/>
  <c r="O90" i="21"/>
  <c r="O38" i="19"/>
  <c r="O98" i="22"/>
  <c r="O408" i="19"/>
  <c r="O299" i="21"/>
  <c r="O71" i="22"/>
  <c r="O185" i="22"/>
  <c r="O129" i="22"/>
  <c r="O274" i="18"/>
  <c r="O340" i="23"/>
  <c r="O108" i="19"/>
  <c r="O106" i="22"/>
  <c r="O104" i="21"/>
  <c r="O142" i="22"/>
  <c r="O153" i="22"/>
  <c r="O248" i="18"/>
  <c r="O405" i="19"/>
  <c r="O184" i="18"/>
  <c r="O13" i="21"/>
  <c r="O51" i="19"/>
  <c r="O71" i="18"/>
  <c r="O40" i="21"/>
  <c r="O18" i="18"/>
  <c r="O134" i="22"/>
  <c r="O12" i="19"/>
  <c r="O362" i="19"/>
  <c r="O277" i="18"/>
  <c r="O370" i="19"/>
  <c r="O210" i="22"/>
  <c r="O169" i="22"/>
  <c r="O9" i="22"/>
  <c r="O354" i="23"/>
  <c r="O157" i="21"/>
  <c r="O318" i="23"/>
  <c r="O207" i="22"/>
  <c r="O83" i="22"/>
  <c r="O192" i="18"/>
  <c r="O407" i="23"/>
  <c r="O129" i="18"/>
  <c r="O160" i="19"/>
  <c r="O181" i="22"/>
  <c r="O15" i="22"/>
  <c r="O385" i="23"/>
  <c r="O293" i="18"/>
  <c r="O107" i="22"/>
  <c r="O230" i="22"/>
  <c r="O303" i="23"/>
  <c r="O12" i="21"/>
  <c r="O28" i="22"/>
  <c r="O206" i="22"/>
  <c r="O265" i="21"/>
  <c r="O275" i="22"/>
  <c r="O368" i="19"/>
  <c r="O207" i="21"/>
  <c r="O55" i="22"/>
  <c r="O46" i="21"/>
  <c r="O60" i="22"/>
  <c r="O157" i="22"/>
  <c r="O224" i="22"/>
  <c r="O53" i="21"/>
  <c r="O81" i="21"/>
  <c r="O248" i="21"/>
  <c r="O19" i="19"/>
  <c r="O191" i="18"/>
  <c r="O219" i="22"/>
  <c r="N126" i="23" l="1"/>
  <c r="N252" i="23"/>
  <c r="N298" i="19"/>
  <c r="N203" i="19"/>
  <c r="O202" i="19"/>
  <c r="O298" i="19"/>
  <c r="O126" i="23"/>
  <c r="O251" i="23"/>
  <c r="O229" i="21"/>
  <c r="O48" i="21"/>
  <c r="O52" i="19"/>
  <c r="O114" i="21"/>
  <c r="O171" i="21"/>
  <c r="N127" i="23" l="1"/>
  <c r="N253" i="23"/>
  <c r="N299" i="19"/>
  <c r="N204" i="19"/>
  <c r="O299" i="19"/>
  <c r="O203" i="19"/>
  <c r="O252" i="23"/>
  <c r="O230" i="21"/>
  <c r="O53" i="19"/>
  <c r="O49" i="21"/>
  <c r="O115" i="21"/>
  <c r="O172" i="21"/>
  <c r="O127" i="23"/>
  <c r="N128" i="23" l="1"/>
  <c r="N254" i="23"/>
  <c r="N300" i="19"/>
  <c r="N205" i="19"/>
  <c r="O204" i="19"/>
  <c r="O253" i="23"/>
  <c r="O231" i="21"/>
  <c r="O116" i="21"/>
  <c r="O128" i="23"/>
  <c r="O50" i="21"/>
  <c r="O173" i="21"/>
  <c r="O300" i="19"/>
  <c r="N129" i="23" l="1"/>
  <c r="N255" i="23"/>
  <c r="N301" i="19"/>
  <c r="N206" i="19"/>
  <c r="O205" i="19"/>
  <c r="O254" i="23"/>
  <c r="O174" i="21"/>
  <c r="O117" i="21"/>
  <c r="O301" i="19"/>
  <c r="O232" i="21"/>
  <c r="O129" i="23"/>
  <c r="N256" i="23" l="1"/>
  <c r="N302" i="19"/>
  <c r="N207" i="19"/>
  <c r="O206" i="19"/>
  <c r="O255" i="23"/>
  <c r="O118" i="21"/>
  <c r="O302" i="19"/>
  <c r="O175" i="21"/>
  <c r="O233" i="21"/>
  <c r="N257" i="23" l="1"/>
  <c r="N208" i="19"/>
  <c r="O207" i="19"/>
  <c r="O256" i="23"/>
  <c r="O64" i="21"/>
  <c r="O119" i="21"/>
  <c r="O176" i="21"/>
  <c r="O234" i="21"/>
  <c r="N258" i="23" l="1"/>
  <c r="N209" i="19"/>
  <c r="N210" i="19" s="1"/>
  <c r="O210" i="19"/>
  <c r="O208" i="19"/>
  <c r="O120" i="21"/>
  <c r="O177" i="21"/>
  <c r="O65" i="21"/>
  <c r="O235" i="21"/>
  <c r="O257" i="23"/>
  <c r="N259" i="23" l="1"/>
  <c r="N211" i="19"/>
  <c r="O211" i="19"/>
  <c r="O209" i="19"/>
  <c r="O236" i="21"/>
  <c r="O258" i="23"/>
  <c r="O121" i="21"/>
  <c r="O178" i="21"/>
  <c r="O66" i="21"/>
  <c r="N212" i="19" l="1"/>
  <c r="O212" i="19"/>
  <c r="O179" i="21"/>
  <c r="O67" i="21"/>
  <c r="O259" i="23"/>
  <c r="O237" i="21"/>
  <c r="O122" i="21"/>
  <c r="N213" i="19" l="1"/>
  <c r="O213" i="19"/>
  <c r="O68" i="21"/>
  <c r="O123" i="21"/>
  <c r="O238" i="21"/>
  <c r="O180" i="21"/>
  <c r="N214" i="19" l="1"/>
  <c r="O214" i="19"/>
  <c r="O124" i="21"/>
  <c r="O181" i="21"/>
  <c r="O69" i="21"/>
  <c r="O239" i="21"/>
  <c r="N215" i="19" l="1"/>
  <c r="O215" i="19"/>
  <c r="O182" i="21"/>
  <c r="O240" i="21"/>
  <c r="O70" i="21"/>
  <c r="O125" i="21"/>
  <c r="N216" i="19" l="1"/>
  <c r="O71" i="21"/>
  <c r="O183" i="21"/>
  <c r="O241" i="21"/>
  <c r="O126" i="21"/>
  <c r="O216" i="19"/>
  <c r="N217" i="19" l="1"/>
  <c r="O217" i="19"/>
  <c r="O127" i="21"/>
  <c r="O242" i="21"/>
  <c r="O73" i="21"/>
  <c r="O184" i="21"/>
  <c r="O72" i="21"/>
  <c r="N218" i="19" l="1"/>
  <c r="O129" i="21"/>
  <c r="O243" i="21"/>
  <c r="O218" i="19"/>
  <c r="O247" i="21"/>
  <c r="O244" i="21"/>
  <c r="O245" i="21"/>
  <c r="O186" i="21"/>
  <c r="O187" i="21"/>
  <c r="O128" i="21"/>
  <c r="O246" i="21"/>
  <c r="O185" i="21"/>
</calcChain>
</file>

<file path=xl/sharedStrings.xml><?xml version="1.0" encoding="utf-8"?>
<sst xmlns="http://schemas.openxmlformats.org/spreadsheetml/2006/main" count="1024" uniqueCount="374">
  <si>
    <t>Tabela</t>
  </si>
  <si>
    <t>Classe Base</t>
  </si>
  <si>
    <t>DDL</t>
  </si>
  <si>
    <t>posi</t>
  </si>
  <si>
    <t>posi2</t>
  </si>
  <si>
    <t>CAMPO</t>
  </si>
  <si>
    <t>TIPO</t>
  </si>
  <si>
    <t>TAMANHO</t>
  </si>
  <si>
    <t>campo</t>
  </si>
  <si>
    <t>tipo</t>
  </si>
  <si>
    <t>tamanho</t>
  </si>
  <si>
    <t>DTO</t>
  </si>
  <si>
    <t>id</t>
  </si>
  <si>
    <t>status</t>
  </si>
  <si>
    <t>dataCadastro</t>
  </si>
  <si>
    <t>dataAtualizacao</t>
  </si>
  <si>
    <t>}</t>
  </si>
  <si>
    <t>Template</t>
  </si>
  <si>
    <t>Mnemônico</t>
  </si>
  <si>
    <t>ORDEM</t>
  </si>
  <si>
    <t>INT</t>
  </si>
  <si>
    <t>VARCHAR</t>
  </si>
  <si>
    <t>TIMESTAMP</t>
  </si>
  <si>
    <t>MYSQL</t>
  </si>
  <si>
    <t>STRING_TYPE</t>
  </si>
  <si>
    <t>COMMENT</t>
  </si>
  <si>
    <t>comentário</t>
  </si>
  <si>
    <t>Status</t>
  </si>
  <si>
    <t>Data de Cadastro</t>
  </si>
  <si>
    <t>Data de Atualização</t>
  </si>
  <si>
    <t>Autor</t>
  </si>
  <si>
    <t>Julio Cesar Vitorino</t>
  </si>
  <si>
    <t>Hoje</t>
  </si>
  <si>
    <t xml:space="preserve">    }</t>
  </si>
  <si>
    <t>import 'package:flutter/material.dart';</t>
  </si>
  <si>
    <t xml:space="preserve">  this.msgcode='', </t>
  </si>
  <si>
    <t xml:space="preserve">  this.msgcodeString=''});</t>
  </si>
  <si>
    <t xml:space="preserve">      tokenid: json['tokenid'],</t>
  </si>
  <si>
    <t xml:space="preserve">      msgcode: json['msgcode'],</t>
  </si>
  <si>
    <t xml:space="preserve">      msgcodeString: json['msgcodeString'],</t>
  </si>
  <si>
    <t xml:space="preserve">    );</t>
  </si>
  <si>
    <t xml:space="preserve">  }</t>
  </si>
  <si>
    <t xml:space="preserve">  Map toMap() {</t>
  </si>
  <si>
    <t xml:space="preserve">    var map = new Map&lt;String, dynamic&gt;();</t>
  </si>
  <si>
    <t xml:space="preserve">    map["tokenid"] = tokenid;</t>
  </si>
  <si>
    <t xml:space="preserve">    return map;</t>
  </si>
  <si>
    <t>DART</t>
  </si>
  <si>
    <t>String</t>
  </si>
  <si>
    <t xml:space="preserve">  this.${dto},</t>
  </si>
  <si>
    <t xml:space="preserve">      ${dto}: json['${dto}'],</t>
  </si>
  <si>
    <t>/// Retorno do Backend devolvendo um JSON na estrutura de campos abaixo</t>
  </si>
  <si>
    <t>/// Cria um mapa para ser enviado pelo método post da classe Http</t>
  </si>
  <si>
    <t>// Copyright (c) 2019 Julio Vitorino. Todos os direitos reservados.</t>
  </si>
  <si>
    <t>class ${classebase}VOPost {</t>
  </si>
  <si>
    <t>import 'package:http/http.dart' as http;</t>
  </si>
  <si>
    <t>import 'dart:convert';</t>
  </si>
  <si>
    <t>import 'package:junta10/br/com/jcv/linker/classes/storages/cacheSession.dart';</t>
  </si>
  <si>
    <t>import 'package:junta10/br/com/jcv/linker/classes/ui/common/common-actionbutton.dart';</t>
  </si>
  <si>
    <t>import 'package:junta10/br/com/jcv/linker/classes/ui/common/common-showdialog.dart';</t>
  </si>
  <si>
    <t xml:space="preserve">  return http.post(url, body: body).then((http.Response response) {</t>
  </si>
  <si>
    <t xml:space="preserve">    final int statusCode = response.statusCode;</t>
  </si>
  <si>
    <t xml:space="preserve"> </t>
  </si>
  <si>
    <t xml:space="preserve">    if (statusCode &lt; 200 || statusCode &gt; 400 || json == null) {</t>
  </si>
  <si>
    <t xml:space="preserve">      throw new Exception("Erro ao submeter dados ao servidor.");</t>
  </si>
  <si>
    <t xml:space="preserve">  });</t>
  </si>
  <si>
    <t xml:space="preserve">  @override</t>
  </si>
  <si>
    <t xml:space="preserve">  int _value;</t>
  </si>
  <si>
    <t xml:space="preserve">  String _token;</t>
  </si>
  <si>
    <t xml:space="preserve">  String _urlControlador;</t>
  </si>
  <si>
    <t xml:space="preserve">  void initState(){</t>
  </si>
  <si>
    <t xml:space="preserve">    _token = CacheSession().getSession()['tokenid'];</t>
  </si>
  <si>
    <t xml:space="preserve">    _urlControlador = CacheSession().getSession()['urlControlador'];</t>
  </si>
  <si>
    <t xml:space="preserve">  Widget build(BuildContext context) {</t>
  </si>
  <si>
    <t xml:space="preserve">        ),</t>
  </si>
  <si>
    <t xml:space="preserve">            ),</t>
  </si>
  <si>
    <t xml:space="preserve">          ),</t>
  </si>
  <si>
    <t xml:space="preserve">        )</t>
  </si>
  <si>
    <t xml:space="preserve">          onpressed: () async {</t>
  </si>
  <si>
    <t xml:space="preserve">              tokenid: _token,</t>
  </si>
  <si>
    <t xml:space="preserve">          );</t>
  </si>
  <si>
    <t xml:space="preserve">          Icon _icon = p.msgcode == 'MSG-0001' </t>
  </si>
  <si>
    <t xml:space="preserve">          ? Icon(Icons.check_circle_outline, size: 120.0, color: Colors.green,)</t>
  </si>
  <si>
    <t xml:space="preserve">          : Icon(Icons.error, size: 120.0, color: Colors.red,);</t>
  </si>
  <si>
    <t xml:space="preserve">          CommonShowDialogYesNo retorno = new CommonShowDialogYesNo(</t>
  </si>
  <si>
    <t xml:space="preserve">            context: context,</t>
  </si>
  <si>
    <t xml:space="preserve">            icon: _icon,</t>
  </si>
  <si>
    <t xml:space="preserve">            msg: p.msgcodeString,</t>
  </si>
  <si>
    <t xml:space="preserve">          retorno.showDialogYesNo().then((onValue){</t>
  </si>
  <si>
    <t xml:space="preserve">              if(retorno.getChoice() == 'Y'){</t>
  </si>
  <si>
    <t xml:space="preserve">                Navigator.pop(context);</t>
  </si>
  <si>
    <t xml:space="preserve">              }</t>
  </si>
  <si>
    <t xml:space="preserve">            }</t>
  </si>
  <si>
    <t xml:space="preserve">        })      </t>
  </si>
  <si>
    <t xml:space="preserve">    SingleChildScrollView _sceditview = SingleChildScrollView(</t>
  </si>
  <si>
    <t xml:space="preserve">      child: Column(</t>
  </si>
  <si>
    <t xml:space="preserve">          crossAxisAlignment: CrossAxisAlignment.center,</t>
  </si>
  <si>
    <t xml:space="preserve">          children: &lt;Widget&gt;[</t>
  </si>
  <si>
    <t xml:space="preserve">            Padding(</t>
  </si>
  <si>
    <t xml:space="preserve">              padding: EdgeInsets.all(10.0),</t>
  </si>
  <si>
    <t xml:space="preserve">              child: Column(</t>
  </si>
  <si>
    <t xml:space="preserve">              ),</t>
  </si>
  <si>
    <t xml:space="preserve">          ],</t>
  </si>
  <si>
    <t xml:space="preserve">    return new Scaffold(</t>
  </si>
  <si>
    <t xml:space="preserve">      appBar: new AppBar(</t>
  </si>
  <si>
    <t xml:space="preserve">      ),</t>
  </si>
  <si>
    <t xml:space="preserve">      body: _sceditview,</t>
  </si>
  <si>
    <t>Future&lt;${classebase}VOPost&gt; createPost(String url, {Map body}) async {</t>
  </si>
  <si>
    <t xml:space="preserve">    return ${classebase}VOPost.fromJson(json.decode(response.body));</t>
  </si>
  <si>
    <t xml:space="preserve">  TextEditingController tec${dto} = new TextEditingController();</t>
  </si>
  <si>
    <t xml:space="preserve">    tec${dto}.text = widget.${lower_classebase}_full['${dto}'];</t>
  </si>
  <si>
    <t xml:space="preserve">    List&lt;Widget&gt; _lstCampos${classebase} = [];</t>
  </si>
  <si>
    <t xml:space="preserve">    _lstCampos${classebase}.add( </t>
  </si>
  <si>
    <t xml:space="preserve">          ${classebase}VOPost newPost = new ${classebase}VOPost(</t>
  </si>
  <si>
    <t xml:space="preserve">              ${dto}: tec${dto}.text, </t>
  </si>
  <si>
    <t xml:space="preserve">                children: _lstCampos${classebase}</t>
  </si>
  <si>
    <t>/// Construtor da classe ${classebase}VOPost</t>
  </si>
  <si>
    <t xml:space="preserve">  ${classebase}VOPost({this.tokenid, </t>
  </si>
  <si>
    <t xml:space="preserve">  factory ${classebase}VOPost.fromJson(Map&lt;String, dynamic&gt; json) {</t>
  </si>
  <si>
    <t xml:space="preserve">    return ${classebase}VOPost(</t>
  </si>
  <si>
    <t xml:space="preserve">    // ============================================================================</t>
  </si>
  <si>
    <t xml:space="preserve">  ${classebase}VOPost ${lower_classebase}VO;</t>
  </si>
  <si>
    <t xml:space="preserve">  /*</t>
  </si>
  <si>
    <t xml:space="preserve">   */</t>
  </si>
  <si>
    <t xml:space="preserve">    // inicializa os controladores de campos com os respectivos atributos</t>
  </si>
  <si>
    <t xml:space="preserve">  @deprecated</t>
  </si>
  <si>
    <t xml:space="preserve">    // Move os conteúdos dos controladores para um VO para enviar um Mapa JSON ao backend</t>
  </si>
  <si>
    <t xml:space="preserve">    // ==================================================================================</t>
  </si>
  <si>
    <r>
      <t xml:space="preserve">  bool </t>
    </r>
    <r>
      <rPr>
        <b/>
        <sz val="10"/>
        <color rgb="FF660E7A"/>
        <rFont val="Courier New"/>
        <family val="3"/>
      </rPr>
      <t xml:space="preserve">_iscadastro </t>
    </r>
    <r>
      <rPr>
        <sz val="10"/>
        <color rgb="FF000000"/>
        <rFont val="Courier New"/>
        <family val="3"/>
      </rPr>
      <t xml:space="preserve">= </t>
    </r>
    <r>
      <rPr>
        <b/>
        <sz val="10"/>
        <color rgb="FF000080"/>
        <rFont val="Courier New"/>
        <family val="3"/>
      </rPr>
      <t>true</t>
    </r>
    <r>
      <rPr>
        <sz val="10"/>
        <color rgb="FF000000"/>
        <rFont val="Courier New"/>
        <family val="3"/>
      </rPr>
      <t>;</t>
    </r>
  </si>
  <si>
    <r>
      <t xml:space="preserve">    tec${dto}</t>
    </r>
    <r>
      <rPr>
        <sz val="10"/>
        <color rgb="FF000000"/>
        <rFont val="Courier New"/>
        <family val="3"/>
      </rPr>
      <t>.</t>
    </r>
    <r>
      <rPr>
        <b/>
        <sz val="10"/>
        <color rgb="FF660E7A"/>
        <rFont val="Courier New"/>
        <family val="3"/>
      </rPr>
      <t xml:space="preserve">text </t>
    </r>
    <r>
      <rPr>
        <sz val="10"/>
        <color rgb="FF000000"/>
        <rFont val="Courier New"/>
        <family val="3"/>
      </rPr>
      <t xml:space="preserve">= </t>
    </r>
    <r>
      <rPr>
        <b/>
        <sz val="10"/>
        <color rgb="FF660E7A"/>
        <rFont val="Courier New"/>
        <family val="3"/>
      </rPr>
      <t>_iscadastro ? '' : widget</t>
    </r>
    <r>
      <rPr>
        <sz val="10"/>
        <color rgb="FF000000"/>
        <rFont val="Courier New"/>
        <family val="3"/>
      </rPr>
      <t>.${lower_classebase}VO.</t>
    </r>
    <r>
      <rPr>
        <b/>
        <sz val="10"/>
        <color rgb="FF660E7A"/>
        <rFont val="Courier New"/>
        <family val="3"/>
      </rPr>
      <t>${dto};</t>
    </r>
  </si>
  <si>
    <t xml:space="preserve">      new CommomActionButton(titulo: _iscadastro ? 'Salvar' : 'Enviar Modificações', </t>
  </si>
  <si>
    <r>
      <t xml:space="preserve">    ${classebase}VOPost p = </t>
    </r>
    <r>
      <rPr>
        <b/>
        <sz val="10"/>
        <color rgb="FF000080"/>
        <rFont val="Courier New"/>
        <family val="3"/>
      </rPr>
      <t xml:space="preserve">await </t>
    </r>
    <r>
      <rPr>
        <sz val="10"/>
        <color rgb="FF000000"/>
        <rFont val="Courier New"/>
        <family val="3"/>
      </rPr>
      <t>createPost(</t>
    </r>
    <r>
      <rPr>
        <b/>
        <sz val="10"/>
        <color rgb="FF008000"/>
        <rFont val="Courier New"/>
        <family val="3"/>
      </rPr>
      <t>'</t>
    </r>
    <r>
      <rPr>
        <sz val="10"/>
        <color rgb="FF000000"/>
        <rFont val="Courier New"/>
        <family val="3"/>
      </rPr>
      <t>${_urlcrud}</t>
    </r>
    <r>
      <rPr>
        <b/>
        <sz val="10"/>
        <color rgb="FF008000"/>
        <rFont val="Courier New"/>
        <family val="3"/>
      </rPr>
      <t>'</t>
    </r>
    <r>
      <rPr>
        <sz val="10"/>
        <color rgb="FF000000"/>
        <rFont val="Courier New"/>
        <family val="3"/>
      </rPr>
      <t>, body: newPost.toMap());</t>
    </r>
  </si>
  <si>
    <t xml:space="preserve">        title: Text(_iscadastro? "Adicionar" : "Editar"),</t>
  </si>
  <si>
    <t>class ${classebase}PageCRUD extends StatefulWidget {</t>
  </si>
  <si>
    <t xml:space="preserve">  ${classebase}PageCRUD({this.${lower_classebase}VO});</t>
  </si>
  <si>
    <t xml:space="preserve">  _${classebase}PageCRUDState createState() =&gt; _${classebase}PageCRUDState();</t>
  </si>
  <si>
    <t>class _${classebase}PageCRUDState extends State&lt;${classebase}PageCRUD&gt; {</t>
  </si>
  <si>
    <r>
      <t xml:space="preserve">    _iscadastro </t>
    </r>
    <r>
      <rPr>
        <sz val="10"/>
        <color rgb="FF000000"/>
        <rFont val="Courier New"/>
        <family val="3"/>
      </rPr>
      <t>= (</t>
    </r>
    <r>
      <rPr>
        <b/>
        <sz val="10"/>
        <color rgb="FF660E7A"/>
        <rFont val="Courier New"/>
        <family val="3"/>
      </rPr>
      <t>widget</t>
    </r>
    <r>
      <rPr>
        <sz val="10"/>
        <color rgb="FF000000"/>
        <rFont val="Courier New"/>
        <family val="3"/>
      </rPr>
      <t>.${lclassebase}</t>
    </r>
    <r>
      <rPr>
        <b/>
        <sz val="10"/>
        <color rgb="FF660E7A"/>
        <rFont val="Courier New"/>
        <family val="3"/>
      </rPr>
      <t xml:space="preserve">VO </t>
    </r>
    <r>
      <rPr>
        <sz val="10"/>
        <color rgb="FF000000"/>
        <rFont val="Courier New"/>
        <family val="3"/>
      </rPr>
      <t xml:space="preserve">== </t>
    </r>
    <r>
      <rPr>
        <b/>
        <sz val="10"/>
        <color rgb="FF000080"/>
        <rFont val="Courier New"/>
        <family val="3"/>
      </rPr>
      <t>null</t>
    </r>
    <r>
      <rPr>
        <sz val="10"/>
        <color rgb="FF000000"/>
        <rFont val="Courier New"/>
        <family val="3"/>
      </rPr>
      <t>);</t>
    </r>
  </si>
  <si>
    <r>
      <t xml:space="preserve">    String _urlcrud = </t>
    </r>
    <r>
      <rPr>
        <b/>
        <sz val="10"/>
        <color rgb="FF660E7A"/>
        <rFont val="Courier New"/>
        <family val="3"/>
      </rPr>
      <t xml:space="preserve">_iscadastro </t>
    </r>
    <r>
      <rPr>
        <sz val="10"/>
        <color rgb="FF000000"/>
        <rFont val="Courier New"/>
        <family val="3"/>
      </rPr>
      <t xml:space="preserve">? </t>
    </r>
    <r>
      <rPr>
        <b/>
        <sz val="10"/>
        <color rgb="FF008000"/>
        <rFont val="Courier New"/>
        <family val="3"/>
      </rPr>
      <t>'</t>
    </r>
    <r>
      <rPr>
        <sz val="10"/>
        <color rgb="FF000000"/>
        <rFont val="Courier New"/>
        <family val="3"/>
      </rPr>
      <t>${</t>
    </r>
    <r>
      <rPr>
        <b/>
        <sz val="10"/>
        <color rgb="FF660E7A"/>
        <rFont val="Courier New"/>
        <family val="3"/>
      </rPr>
      <t>_urlControlador</t>
    </r>
    <r>
      <rPr>
        <sz val="10"/>
        <color rgb="FF000000"/>
        <rFont val="Courier New"/>
        <family val="3"/>
      </rPr>
      <t>}</t>
    </r>
    <r>
      <rPr>
        <b/>
        <sz val="10"/>
        <color rgb="FF008000"/>
        <rFont val="Courier New"/>
        <family val="3"/>
      </rPr>
      <t xml:space="preserve">appInserir${classebase}.php' </t>
    </r>
    <r>
      <rPr>
        <sz val="10"/>
        <color rgb="FF000000"/>
        <rFont val="Courier New"/>
        <family val="3"/>
      </rPr>
      <t xml:space="preserve">: </t>
    </r>
    <r>
      <rPr>
        <b/>
        <sz val="10"/>
        <color rgb="FF008000"/>
        <rFont val="Courier New"/>
        <family val="3"/>
      </rPr>
      <t>'</t>
    </r>
    <r>
      <rPr>
        <sz val="10"/>
        <color rgb="FF000000"/>
        <rFont val="Courier New"/>
        <family val="3"/>
      </rPr>
      <t>${</t>
    </r>
    <r>
      <rPr>
        <b/>
        <sz val="10"/>
        <color rgb="FF660E7A"/>
        <rFont val="Courier New"/>
        <family val="3"/>
      </rPr>
      <t>_urlControlador</t>
    </r>
    <r>
      <rPr>
        <sz val="10"/>
        <color rgb="FF000000"/>
        <rFont val="Courier New"/>
        <family val="3"/>
      </rPr>
      <t>}</t>
    </r>
    <r>
      <rPr>
        <b/>
        <sz val="10"/>
        <color rgb="FF008000"/>
        <rFont val="Courier New"/>
        <family val="3"/>
      </rPr>
      <t>appAtualizar${classebase}.php'</t>
    </r>
    <r>
      <rPr>
        <sz val="10"/>
        <color rgb="FF000000"/>
        <rFont val="Courier New"/>
        <family val="3"/>
      </rPr>
      <t>;</t>
    </r>
  </si>
  <si>
    <t xml:space="preserve">              ${dto}: widget.${lower_classebase}VO == null ? 0: widget.${lower_classebase}VO.${dto},</t>
  </si>
  <si>
    <t xml:space="preserve">    map["${dto}"] = ${dto} == null ? '' : ${dto};</t>
  </si>
  <si>
    <r>
      <t xml:space="preserve">import </t>
    </r>
    <r>
      <rPr>
        <b/>
        <sz val="10"/>
        <color rgb="FF008000"/>
        <rFont val="Courier New"/>
        <family val="3"/>
      </rPr>
      <t>'package:flutter/material.dart'</t>
    </r>
    <r>
      <rPr>
        <sz val="10"/>
        <color rgb="FF000000"/>
        <rFont val="Courier New"/>
        <family val="3"/>
      </rPr>
      <t>;</t>
    </r>
  </si>
  <si>
    <r>
      <t xml:space="preserve">import </t>
    </r>
    <r>
      <rPr>
        <b/>
        <sz val="10"/>
        <color rgb="FF008000"/>
        <rFont val="Courier New"/>
        <family val="3"/>
      </rPr>
      <t xml:space="preserve">'package:http/http.dart' </t>
    </r>
    <r>
      <rPr>
        <b/>
        <sz val="10"/>
        <color rgb="FF000080"/>
        <rFont val="Courier New"/>
        <family val="3"/>
      </rPr>
      <t xml:space="preserve">as </t>
    </r>
    <r>
      <rPr>
        <sz val="10"/>
        <color rgb="FF000000"/>
        <rFont val="Courier New"/>
        <family val="3"/>
      </rPr>
      <t>http;</t>
    </r>
  </si>
  <si>
    <r>
      <t xml:space="preserve">import </t>
    </r>
    <r>
      <rPr>
        <b/>
        <sz val="10"/>
        <color rgb="FF008000"/>
        <rFont val="Courier New"/>
        <family val="3"/>
      </rPr>
      <t>'dart:convert'</t>
    </r>
    <r>
      <rPr>
        <sz val="10"/>
        <color rgb="FF000000"/>
        <rFont val="Courier New"/>
        <family val="3"/>
      </rPr>
      <t>;</t>
    </r>
  </si>
  <si>
    <r>
      <t xml:space="preserve">import </t>
    </r>
    <r>
      <rPr>
        <b/>
        <sz val="10"/>
        <color rgb="FF008000"/>
        <rFont val="Courier New"/>
        <family val="3"/>
      </rPr>
      <t>'package:junta10/br/com/jcv/linker/classes/ui/common/common-loading.dart'</t>
    </r>
    <r>
      <rPr>
        <sz val="10"/>
        <color rgb="FF000000"/>
        <rFont val="Courier New"/>
        <family val="3"/>
      </rPr>
      <t>;</t>
    </r>
  </si>
  <si>
    <r>
      <t xml:space="preserve">import </t>
    </r>
    <r>
      <rPr>
        <b/>
        <sz val="10"/>
        <color rgb="FF008000"/>
        <rFont val="Courier New"/>
        <family val="3"/>
      </rPr>
      <t>'package:junta10/br/com/jcv/linker/classes/storages/cacheSession.dart'</t>
    </r>
    <r>
      <rPr>
        <sz val="10"/>
        <color rgb="FF000000"/>
        <rFont val="Courier New"/>
        <family val="3"/>
      </rPr>
      <t>;</t>
    </r>
  </si>
  <si>
    <r>
      <t xml:space="preserve">  </t>
    </r>
    <r>
      <rPr>
        <sz val="10"/>
        <color rgb="FF808000"/>
        <rFont val="Courier New"/>
        <family val="3"/>
      </rPr>
      <t>@override</t>
    </r>
  </si>
  <si>
    <r>
      <t xml:space="preserve">  String </t>
    </r>
    <r>
      <rPr>
        <b/>
        <sz val="10"/>
        <color rgb="FF660E7A"/>
        <rFont val="Courier New"/>
        <family val="3"/>
      </rPr>
      <t>_token</t>
    </r>
    <r>
      <rPr>
        <sz val="10"/>
        <color rgb="FF000000"/>
        <rFont val="Courier New"/>
        <family val="3"/>
      </rPr>
      <t>;</t>
    </r>
  </si>
  <si>
    <r>
      <t xml:space="preserve">  String </t>
    </r>
    <r>
      <rPr>
        <b/>
        <sz val="10"/>
        <color rgb="FF660E7A"/>
        <rFont val="Courier New"/>
        <family val="3"/>
      </rPr>
      <t>_urlControlador</t>
    </r>
    <r>
      <rPr>
        <sz val="10"/>
        <color rgb="FF000000"/>
        <rFont val="Courier New"/>
        <family val="3"/>
      </rPr>
      <t>;</t>
    </r>
  </si>
  <si>
    <r>
      <t xml:space="preserve">  int </t>
    </r>
    <r>
      <rPr>
        <b/>
        <sz val="10"/>
        <color rgb="FF660E7A"/>
        <rFont val="Courier New"/>
        <family val="3"/>
      </rPr>
      <t xml:space="preserve">_pag </t>
    </r>
    <r>
      <rPr>
        <sz val="10"/>
        <color rgb="FF000000"/>
        <rFont val="Courier New"/>
        <family val="3"/>
      </rPr>
      <t xml:space="preserve">= </t>
    </r>
    <r>
      <rPr>
        <sz val="10"/>
        <color rgb="FF0000FF"/>
        <rFont val="Courier New"/>
        <family val="3"/>
      </rPr>
      <t>1</t>
    </r>
    <r>
      <rPr>
        <sz val="10"/>
        <color rgb="FF000000"/>
        <rFont val="Courier New"/>
        <family val="3"/>
      </rPr>
      <t>;</t>
    </r>
  </si>
  <si>
    <r>
      <t xml:space="preserve">    </t>
    </r>
    <r>
      <rPr>
        <b/>
        <sz val="10"/>
        <color rgb="FF660E7A"/>
        <rFont val="Courier New"/>
        <family val="3"/>
      </rPr>
      <t xml:space="preserve">_token </t>
    </r>
    <r>
      <rPr>
        <sz val="10"/>
        <color rgb="FF000000"/>
        <rFont val="Courier New"/>
        <family val="3"/>
      </rPr>
      <t xml:space="preserve">= </t>
    </r>
    <r>
      <rPr>
        <sz val="10"/>
        <color rgb="FF2196F3"/>
        <rFont val="Courier New"/>
        <family val="3"/>
      </rPr>
      <t>CacheSession</t>
    </r>
    <r>
      <rPr>
        <sz val="10"/>
        <color rgb="FF000000"/>
        <rFont val="Courier New"/>
        <family val="3"/>
      </rPr>
      <t>().getSession()[</t>
    </r>
    <r>
      <rPr>
        <b/>
        <sz val="10"/>
        <color rgb="FF008000"/>
        <rFont val="Courier New"/>
        <family val="3"/>
      </rPr>
      <t>'tokenid'</t>
    </r>
    <r>
      <rPr>
        <sz val="10"/>
        <color rgb="FF000000"/>
        <rFont val="Courier New"/>
        <family val="3"/>
      </rPr>
      <t>];</t>
    </r>
  </si>
  <si>
    <r>
      <t xml:space="preserve">    </t>
    </r>
    <r>
      <rPr>
        <b/>
        <sz val="10"/>
        <color rgb="FF660E7A"/>
        <rFont val="Courier New"/>
        <family val="3"/>
      </rPr>
      <t xml:space="preserve">_urlControlador </t>
    </r>
    <r>
      <rPr>
        <sz val="10"/>
        <color rgb="FF000000"/>
        <rFont val="Courier New"/>
        <family val="3"/>
      </rPr>
      <t xml:space="preserve">= </t>
    </r>
    <r>
      <rPr>
        <sz val="10"/>
        <color rgb="FF2196F3"/>
        <rFont val="Courier New"/>
        <family val="3"/>
      </rPr>
      <t>CacheSession</t>
    </r>
    <r>
      <rPr>
        <sz val="10"/>
        <color rgb="FF000000"/>
        <rFont val="Courier New"/>
        <family val="3"/>
      </rPr>
      <t>().getSession()[</t>
    </r>
    <r>
      <rPr>
        <b/>
        <sz val="10"/>
        <color rgb="FF008000"/>
        <rFont val="Courier New"/>
        <family val="3"/>
      </rPr>
      <t>'urlControlador'</t>
    </r>
    <r>
      <rPr>
        <sz val="10"/>
        <color rgb="FF000000"/>
        <rFont val="Courier New"/>
        <family val="3"/>
      </rPr>
      <t>];</t>
    </r>
  </si>
  <si>
    <t xml:space="preserve">    http.Response response;</t>
  </si>
  <si>
    <t xml:space="preserve">    debugPrint(_url);</t>
  </si>
  <si>
    <r>
      <t xml:space="preserve">    response = </t>
    </r>
    <r>
      <rPr>
        <b/>
        <sz val="10"/>
        <color rgb="FF000080"/>
        <rFont val="Courier New"/>
        <family val="3"/>
      </rPr>
      <t xml:space="preserve">await </t>
    </r>
    <r>
      <rPr>
        <sz val="10"/>
        <color rgb="FF000000"/>
        <rFont val="Courier New"/>
        <family val="3"/>
      </rPr>
      <t>http.get(_url);</t>
    </r>
  </si>
  <si>
    <r>
      <t xml:space="preserve">    </t>
    </r>
    <r>
      <rPr>
        <b/>
        <sz val="10"/>
        <color rgb="FF000080"/>
        <rFont val="Courier New"/>
        <family val="3"/>
      </rPr>
      <t xml:space="preserve">return </t>
    </r>
    <r>
      <rPr>
        <sz val="10"/>
        <color rgb="FF000000"/>
        <rFont val="Courier New"/>
        <family val="3"/>
      </rPr>
      <t>(json.decode(response.</t>
    </r>
    <r>
      <rPr>
        <b/>
        <sz val="10"/>
        <color rgb="FF660E7A"/>
        <rFont val="Courier New"/>
        <family val="3"/>
      </rPr>
      <t>body</t>
    </r>
    <r>
      <rPr>
        <sz val="10"/>
        <color rgb="FF000000"/>
        <rFont val="Courier New"/>
        <family val="3"/>
      </rPr>
      <t>));</t>
    </r>
  </si>
  <si>
    <r>
      <t xml:space="preserve">  </t>
    </r>
    <r>
      <rPr>
        <sz val="10"/>
        <color rgb="FF000000"/>
        <rFont val="Courier New"/>
        <family val="3"/>
      </rPr>
      <t>Widget build(BuildContext context) {</t>
    </r>
  </si>
  <si>
    <r>
      <t xml:space="preserve">    </t>
    </r>
    <r>
      <rPr>
        <b/>
        <sz val="10"/>
        <color rgb="FF000080"/>
        <rFont val="Courier New"/>
        <family val="3"/>
      </rPr>
      <t xml:space="preserve">return new </t>
    </r>
    <r>
      <rPr>
        <sz val="10"/>
        <color rgb="FF2196F3"/>
        <rFont val="Courier New"/>
        <family val="3"/>
      </rPr>
      <t>Scaffold</t>
    </r>
    <r>
      <rPr>
        <sz val="10"/>
        <color rgb="FF000000"/>
        <rFont val="Courier New"/>
        <family val="3"/>
      </rPr>
      <t>(</t>
    </r>
  </si>
  <si>
    <r>
      <t xml:space="preserve">      appBar: </t>
    </r>
    <r>
      <rPr>
        <b/>
        <sz val="10"/>
        <color rgb="FF000080"/>
        <rFont val="Courier New"/>
        <family val="3"/>
      </rPr>
      <t xml:space="preserve">new </t>
    </r>
    <r>
      <rPr>
        <sz val="10"/>
        <color rgb="FF2196F3"/>
        <rFont val="Courier New"/>
        <family val="3"/>
      </rPr>
      <t>AppBar</t>
    </r>
    <r>
      <rPr>
        <sz val="10"/>
        <color rgb="FF000000"/>
        <rFont val="Courier New"/>
        <family val="3"/>
      </rPr>
      <t>(</t>
    </r>
  </si>
  <si>
    <r>
      <t xml:space="preserve">      body: </t>
    </r>
    <r>
      <rPr>
        <sz val="10"/>
        <color rgb="FF2196F3"/>
        <rFont val="Courier New"/>
        <family val="3"/>
      </rPr>
      <t>FutureBuilder</t>
    </r>
    <r>
      <rPr>
        <sz val="10"/>
        <color rgb="FF000000"/>
        <rFont val="Courier New"/>
        <family val="3"/>
      </rPr>
      <t>(</t>
    </r>
  </si>
  <si>
    <t xml:space="preserve">        builder: (BuildContext context, AsyncSnapshot&lt;Map&gt; snapshot){</t>
  </si>
  <si>
    <r>
      <t xml:space="preserve">          </t>
    </r>
    <r>
      <rPr>
        <b/>
        <sz val="10"/>
        <color rgb="FF000080"/>
        <rFont val="Courier New"/>
        <family val="3"/>
      </rPr>
      <t xml:space="preserve">switch </t>
    </r>
    <r>
      <rPr>
        <sz val="10"/>
        <color rgb="FF000000"/>
        <rFont val="Courier New"/>
        <family val="3"/>
      </rPr>
      <t>(snapshot.</t>
    </r>
    <r>
      <rPr>
        <b/>
        <sz val="10"/>
        <color rgb="FF660E7A"/>
        <rFont val="Courier New"/>
        <family val="3"/>
      </rPr>
      <t>connectionState</t>
    </r>
    <r>
      <rPr>
        <sz val="10"/>
        <color rgb="FF000000"/>
        <rFont val="Courier New"/>
        <family val="3"/>
      </rPr>
      <t>) {</t>
    </r>
  </si>
  <si>
    <r>
      <t xml:space="preserve">            </t>
    </r>
    <r>
      <rPr>
        <b/>
        <sz val="10"/>
        <color rgb="FF000080"/>
        <rFont val="Courier New"/>
        <family val="3"/>
      </rPr>
      <t xml:space="preserve">case </t>
    </r>
    <r>
      <rPr>
        <sz val="10"/>
        <color rgb="FF000000"/>
        <rFont val="Courier New"/>
        <family val="3"/>
      </rPr>
      <t>ConnectionState.</t>
    </r>
    <r>
      <rPr>
        <b/>
        <sz val="10"/>
        <color rgb="FF660E7A"/>
        <rFont val="Courier New"/>
        <family val="3"/>
      </rPr>
      <t>none</t>
    </r>
    <r>
      <rPr>
        <sz val="10"/>
        <color rgb="FF000000"/>
        <rFont val="Courier New"/>
        <family val="3"/>
      </rPr>
      <t>:</t>
    </r>
  </si>
  <si>
    <r>
      <t xml:space="preserve">              </t>
    </r>
    <r>
      <rPr>
        <b/>
        <sz val="10"/>
        <color rgb="FF000080"/>
        <rFont val="Courier New"/>
        <family val="3"/>
      </rPr>
      <t>break</t>
    </r>
    <r>
      <rPr>
        <sz val="10"/>
        <color rgb="FF000000"/>
        <rFont val="Courier New"/>
        <family val="3"/>
      </rPr>
      <t>;</t>
    </r>
  </si>
  <si>
    <r>
      <t xml:space="preserve">            </t>
    </r>
    <r>
      <rPr>
        <b/>
        <sz val="10"/>
        <color rgb="FF000080"/>
        <rFont val="Courier New"/>
        <family val="3"/>
      </rPr>
      <t xml:space="preserve">case </t>
    </r>
    <r>
      <rPr>
        <sz val="10"/>
        <color rgb="FF000000"/>
        <rFont val="Courier New"/>
        <family val="3"/>
      </rPr>
      <t>ConnectionState.</t>
    </r>
    <r>
      <rPr>
        <b/>
        <sz val="10"/>
        <color rgb="FF660E7A"/>
        <rFont val="Courier New"/>
        <family val="3"/>
      </rPr>
      <t>active</t>
    </r>
    <r>
      <rPr>
        <sz val="10"/>
        <color rgb="FF000000"/>
        <rFont val="Courier New"/>
        <family val="3"/>
      </rPr>
      <t>:</t>
    </r>
  </si>
  <si>
    <r>
      <t xml:space="preserve">            </t>
    </r>
    <r>
      <rPr>
        <b/>
        <sz val="10"/>
        <color rgb="FF000080"/>
        <rFont val="Courier New"/>
        <family val="3"/>
      </rPr>
      <t xml:space="preserve">case </t>
    </r>
    <r>
      <rPr>
        <sz val="10"/>
        <color rgb="FF000000"/>
        <rFont val="Courier New"/>
        <family val="3"/>
      </rPr>
      <t>ConnectionState.</t>
    </r>
    <r>
      <rPr>
        <b/>
        <sz val="10"/>
        <color rgb="FF660E7A"/>
        <rFont val="Courier New"/>
        <family val="3"/>
      </rPr>
      <t>waiting</t>
    </r>
    <r>
      <rPr>
        <sz val="10"/>
        <color rgb="FF000000"/>
        <rFont val="Courier New"/>
        <family val="3"/>
      </rPr>
      <t>:</t>
    </r>
  </si>
  <si>
    <r>
      <t xml:space="preserve">              </t>
    </r>
    <r>
      <rPr>
        <b/>
        <sz val="10"/>
        <color rgb="FF000080"/>
        <rFont val="Courier New"/>
        <family val="3"/>
      </rPr>
      <t xml:space="preserve">return new </t>
    </r>
    <r>
      <rPr>
        <sz val="10"/>
        <color rgb="FF2196F3"/>
        <rFont val="Courier New"/>
        <family val="3"/>
      </rPr>
      <t>CommonLoading</t>
    </r>
    <r>
      <rPr>
        <sz val="10"/>
        <color rgb="FF000000"/>
        <rFont val="Courier New"/>
        <family val="3"/>
      </rPr>
      <t>();</t>
    </r>
  </si>
  <si>
    <r>
      <t xml:space="preserve">            </t>
    </r>
    <r>
      <rPr>
        <b/>
        <sz val="10"/>
        <color rgb="FF000080"/>
        <rFont val="Courier New"/>
        <family val="3"/>
      </rPr>
      <t xml:space="preserve">case </t>
    </r>
    <r>
      <rPr>
        <sz val="10"/>
        <color rgb="FF000000"/>
        <rFont val="Courier New"/>
        <family val="3"/>
      </rPr>
      <t>ConnectionState.</t>
    </r>
    <r>
      <rPr>
        <b/>
        <sz val="10"/>
        <color rgb="FF660E7A"/>
        <rFont val="Courier New"/>
        <family val="3"/>
      </rPr>
      <t>done</t>
    </r>
    <r>
      <rPr>
        <sz val="10"/>
        <color rgb="FF000000"/>
        <rFont val="Courier New"/>
        <family val="3"/>
      </rPr>
      <t>:</t>
    </r>
  </si>
  <si>
    <r>
      <t xml:space="preserve">              </t>
    </r>
    <r>
      <rPr>
        <b/>
        <sz val="10"/>
        <color rgb="FF000080"/>
        <rFont val="Courier New"/>
        <family val="3"/>
      </rPr>
      <t>if</t>
    </r>
    <r>
      <rPr>
        <sz val="10"/>
        <color rgb="FF000000"/>
        <rFont val="Courier New"/>
        <family val="3"/>
      </rPr>
      <t>(snapshot.</t>
    </r>
    <r>
      <rPr>
        <b/>
        <sz val="10"/>
        <color rgb="FF660E7A"/>
        <rFont val="Courier New"/>
        <family val="3"/>
      </rPr>
      <t>hasError</t>
    </r>
    <r>
      <rPr>
        <sz val="10"/>
        <color rgb="FF000000"/>
        <rFont val="Courier New"/>
        <family val="3"/>
      </rPr>
      <t>) {</t>
    </r>
  </si>
  <si>
    <r>
      <t xml:space="preserve">              </t>
    </r>
    <r>
      <rPr>
        <b/>
        <sz val="10"/>
        <color rgb="FF000080"/>
        <rFont val="Courier New"/>
        <family val="3"/>
      </rPr>
      <t>if</t>
    </r>
    <r>
      <rPr>
        <sz val="10"/>
        <color rgb="FF000000"/>
        <rFont val="Courier New"/>
        <family val="3"/>
      </rPr>
      <t>(snapshot.</t>
    </r>
    <r>
      <rPr>
        <b/>
        <sz val="10"/>
        <color rgb="FF660E7A"/>
        <rFont val="Courier New"/>
        <family val="3"/>
      </rPr>
      <t>hasData</t>
    </r>
    <r>
      <rPr>
        <sz val="10"/>
        <color rgb="FF000000"/>
        <rFont val="Courier New"/>
        <family val="3"/>
      </rPr>
      <t>){</t>
    </r>
  </si>
  <si>
    <r>
      <t xml:space="preserve">            </t>
    </r>
    <r>
      <rPr>
        <b/>
        <sz val="10"/>
        <color rgb="FF000080"/>
        <rFont val="Courier New"/>
        <family val="3"/>
      </rPr>
      <t>default</t>
    </r>
    <r>
      <rPr>
        <sz val="10"/>
        <color rgb="FF000000"/>
        <rFont val="Courier New"/>
        <family val="3"/>
      </rPr>
      <t>:</t>
    </r>
  </si>
  <si>
    <r>
      <t xml:space="preserve">              </t>
    </r>
    <r>
      <rPr>
        <b/>
        <sz val="10"/>
        <color rgb="FF000080"/>
        <rFont val="Courier New"/>
        <family val="3"/>
      </rPr>
      <t xml:space="preserve">return new </t>
    </r>
    <r>
      <rPr>
        <sz val="10"/>
        <color rgb="FF2196F3"/>
        <rFont val="Courier New"/>
        <family val="3"/>
      </rPr>
      <t>Container</t>
    </r>
    <r>
      <rPr>
        <sz val="10"/>
        <color rgb="FF000000"/>
        <rFont val="Courier New"/>
        <family val="3"/>
      </rPr>
      <t>(</t>
    </r>
  </si>
  <si>
    <r>
      <t xml:space="preserve">                height: </t>
    </r>
    <r>
      <rPr>
        <sz val="10"/>
        <color rgb="FF0000FF"/>
        <rFont val="Courier New"/>
        <family val="3"/>
      </rPr>
      <t>0.0</t>
    </r>
    <r>
      <rPr>
        <sz val="10"/>
        <color rgb="FF000000"/>
        <rFont val="Courier New"/>
        <family val="3"/>
      </rPr>
      <t>,</t>
    </r>
  </si>
  <si>
    <r>
      <t xml:space="preserve">                width: </t>
    </r>
    <r>
      <rPr>
        <sz val="10"/>
        <color rgb="FF0000FF"/>
        <rFont val="Courier New"/>
        <family val="3"/>
      </rPr>
      <t>0.0</t>
    </r>
    <r>
      <rPr>
        <sz val="10"/>
        <color rgb="FF000000"/>
        <rFont val="Courier New"/>
        <family val="3"/>
      </rPr>
      <t>,</t>
    </r>
  </si>
  <si>
    <t xml:space="preserve">              );</t>
  </si>
  <si>
    <t xml:space="preserve">          }</t>
  </si>
  <si>
    <t xml:space="preserve">        },</t>
  </si>
  <si>
    <r>
      <t xml:space="preserve">import </t>
    </r>
    <r>
      <rPr>
        <b/>
        <sz val="10"/>
        <color rgb="FF008000"/>
        <rFont val="Courier New"/>
        <family val="3"/>
      </rPr>
      <t>'${classebase}LV.dart'</t>
    </r>
    <r>
      <rPr>
        <sz val="10"/>
        <color rgb="FF000000"/>
        <rFont val="Courier New"/>
        <family val="3"/>
      </rPr>
      <t>;</t>
    </r>
  </si>
  <si>
    <r>
      <t>class ${classebase}</t>
    </r>
    <r>
      <rPr>
        <sz val="10"/>
        <color rgb="FF000000"/>
        <rFont val="Courier New"/>
        <family val="3"/>
      </rPr>
      <t xml:space="preserve">Page </t>
    </r>
    <r>
      <rPr>
        <b/>
        <sz val="10"/>
        <color rgb="FF000080"/>
        <rFont val="Courier New"/>
        <family val="3"/>
      </rPr>
      <t xml:space="preserve">extends </t>
    </r>
    <r>
      <rPr>
        <sz val="10"/>
        <color rgb="FF000000"/>
        <rFont val="Courier New"/>
        <family val="3"/>
      </rPr>
      <t>StatefulWidget {</t>
    </r>
  </si>
  <si>
    <r>
      <t xml:space="preserve">  </t>
    </r>
    <r>
      <rPr>
        <sz val="10"/>
        <color rgb="FF000000"/>
        <rFont val="Courier New"/>
        <family val="3"/>
      </rPr>
      <t xml:space="preserve">_${classebase}PageState createState() =&gt; </t>
    </r>
    <r>
      <rPr>
        <sz val="10"/>
        <color rgb="FF2196F3"/>
        <rFont val="Courier New"/>
        <family val="3"/>
      </rPr>
      <t>_${classebase}PageState</t>
    </r>
    <r>
      <rPr>
        <sz val="10"/>
        <color rgb="FF000000"/>
        <rFont val="Courier New"/>
        <family val="3"/>
      </rPr>
      <t>();</t>
    </r>
  </si>
  <si>
    <r>
      <t xml:space="preserve">class </t>
    </r>
    <r>
      <rPr>
        <sz val="10"/>
        <color rgb="FF000000"/>
        <rFont val="Courier New"/>
        <family val="3"/>
      </rPr>
      <t xml:space="preserve">_${classebase}PageState </t>
    </r>
    <r>
      <rPr>
        <b/>
        <sz val="10"/>
        <color rgb="FF000080"/>
        <rFont val="Courier New"/>
        <family val="3"/>
      </rPr>
      <t xml:space="preserve">extends </t>
    </r>
    <r>
      <rPr>
        <sz val="10"/>
        <color rgb="FF000000"/>
        <rFont val="Courier New"/>
        <family val="3"/>
      </rPr>
      <t>State&lt;${classebase}Page&gt; {</t>
    </r>
  </si>
  <si>
    <r>
      <t xml:space="preserve">  Future&lt;Map&gt; _list${classebase}() </t>
    </r>
    <r>
      <rPr>
        <b/>
        <sz val="10"/>
        <color rgb="FF000080"/>
        <rFont val="Courier New"/>
        <family val="3"/>
      </rPr>
      <t xml:space="preserve">async </t>
    </r>
    <r>
      <rPr>
        <sz val="10"/>
        <color rgb="FF000000"/>
        <rFont val="Courier New"/>
        <family val="3"/>
      </rPr>
      <t>{</t>
    </r>
  </si>
  <si>
    <r>
      <t xml:space="preserve">        title: </t>
    </r>
    <r>
      <rPr>
        <b/>
        <sz val="10"/>
        <color rgb="FF000080"/>
        <rFont val="Courier New"/>
        <family val="3"/>
      </rPr>
      <t xml:space="preserve">new </t>
    </r>
    <r>
      <rPr>
        <sz val="10"/>
        <color rgb="FF2196F3"/>
        <rFont val="Courier New"/>
        <family val="3"/>
      </rPr>
      <t>Text</t>
    </r>
    <r>
      <rPr>
        <sz val="10"/>
        <color rgb="FF000000"/>
        <rFont val="Courier New"/>
        <family val="3"/>
      </rPr>
      <t>(</t>
    </r>
    <r>
      <rPr>
        <b/>
        <sz val="10"/>
        <color rgb="FF008000"/>
        <rFont val="Courier New"/>
        <family val="3"/>
      </rPr>
      <t>"${classebase}"</t>
    </r>
    <r>
      <rPr>
        <sz val="10"/>
        <color rgb="FF000000"/>
        <rFont val="Courier New"/>
        <family val="3"/>
      </rPr>
      <t>),</t>
    </r>
  </si>
  <si>
    <t xml:space="preserve">        future: _list${classebase}(),</t>
  </si>
  <si>
    <r>
      <t xml:space="preserve">                </t>
    </r>
    <r>
      <rPr>
        <b/>
        <sz val="10"/>
        <color rgb="FF000080"/>
        <rFont val="Courier New"/>
        <family val="3"/>
      </rPr>
      <t xml:space="preserve">return </t>
    </r>
    <r>
      <rPr>
        <sz val="10"/>
        <color rgb="FF2196F3"/>
        <rFont val="Courier New"/>
        <family val="3"/>
      </rPr>
      <t>${classebase}LV</t>
    </r>
    <r>
      <rPr>
        <sz val="10"/>
        <color rgb="FF000000"/>
        <rFont val="Courier New"/>
        <family val="3"/>
      </rPr>
      <t>(snapshot.</t>
    </r>
    <r>
      <rPr>
        <b/>
        <sz val="10"/>
        <color rgb="FF660E7A"/>
        <rFont val="Courier New"/>
        <family val="3"/>
      </rPr>
      <t>data</t>
    </r>
    <r>
      <rPr>
        <sz val="10"/>
        <color rgb="FF000000"/>
        <rFont val="Courier New"/>
        <family val="3"/>
      </rPr>
      <t>);</t>
    </r>
  </si>
  <si>
    <r>
      <t xml:space="preserve">import </t>
    </r>
    <r>
      <rPr>
        <b/>
        <sz val="10"/>
        <color rgb="FF008000"/>
        <rFont val="Courier New"/>
        <family val="3"/>
      </rPr>
      <t>'package:junta10/br/com/jcv/linker/classes/ui/common/common-msgcode.dart'</t>
    </r>
    <r>
      <rPr>
        <sz val="10"/>
        <color rgb="FF000000"/>
        <rFont val="Courier New"/>
        <family val="3"/>
      </rPr>
      <t>;</t>
    </r>
  </si>
  <si>
    <r>
      <t xml:space="preserve">  </t>
    </r>
    <r>
      <rPr>
        <b/>
        <sz val="10"/>
        <color rgb="FF000080"/>
        <rFont val="Courier New"/>
        <family val="3"/>
      </rPr>
      <t xml:space="preserve">dynamic </t>
    </r>
    <r>
      <rPr>
        <b/>
        <sz val="10"/>
        <color rgb="FF660E7A"/>
        <rFont val="Courier New"/>
        <family val="3"/>
      </rPr>
      <t>_pagina</t>
    </r>
    <r>
      <rPr>
        <sz val="10"/>
        <color rgb="FF000000"/>
        <rFont val="Courier New"/>
        <family val="3"/>
      </rPr>
      <t>;</t>
    </r>
  </si>
  <si>
    <r>
      <t xml:space="preserve">    debugPrint(</t>
    </r>
    <r>
      <rPr>
        <b/>
        <sz val="10"/>
        <color rgb="FF660E7A"/>
        <rFont val="Courier New"/>
        <family val="3"/>
      </rPr>
      <t>widget</t>
    </r>
    <r>
      <rPr>
        <sz val="10"/>
        <color rgb="FF000000"/>
        <rFont val="Courier New"/>
        <family val="3"/>
      </rPr>
      <t>.</t>
    </r>
    <r>
      <rPr>
        <b/>
        <sz val="10"/>
        <color rgb="FF660E7A"/>
        <rFont val="Courier New"/>
        <family val="3"/>
      </rPr>
      <t>_pagina</t>
    </r>
    <r>
      <rPr>
        <sz val="10"/>
        <color rgb="FF000000"/>
        <rFont val="Courier New"/>
        <family val="3"/>
      </rPr>
      <t>[</t>
    </r>
    <r>
      <rPr>
        <b/>
        <sz val="10"/>
        <color rgb="FF008000"/>
        <rFont val="Courier New"/>
        <family val="3"/>
      </rPr>
      <t>'lst'</t>
    </r>
    <r>
      <rPr>
        <sz val="10"/>
        <color rgb="FF000000"/>
        <rFont val="Courier New"/>
        <family val="3"/>
      </rPr>
      <t>].length.toString());</t>
    </r>
  </si>
  <si>
    <r>
      <t xml:space="preserve">    </t>
    </r>
    <r>
      <rPr>
        <b/>
        <sz val="10"/>
        <color rgb="FF000080"/>
        <rFont val="Courier New"/>
        <family val="3"/>
      </rPr>
      <t xml:space="preserve">return </t>
    </r>
    <r>
      <rPr>
        <b/>
        <sz val="10"/>
        <color rgb="FF660E7A"/>
        <rFont val="Courier New"/>
        <family val="3"/>
      </rPr>
      <t>widget</t>
    </r>
    <r>
      <rPr>
        <sz val="10"/>
        <color rgb="FF000000"/>
        <rFont val="Courier New"/>
        <family val="3"/>
      </rPr>
      <t>.</t>
    </r>
    <r>
      <rPr>
        <b/>
        <sz val="10"/>
        <color rgb="FF660E7A"/>
        <rFont val="Courier New"/>
        <family val="3"/>
      </rPr>
      <t>_pagina</t>
    </r>
    <r>
      <rPr>
        <sz val="10"/>
        <color rgb="FF000000"/>
        <rFont val="Courier New"/>
        <family val="3"/>
      </rPr>
      <t>[</t>
    </r>
    <r>
      <rPr>
        <b/>
        <sz val="10"/>
        <color rgb="FF008000"/>
        <rFont val="Courier New"/>
        <family val="3"/>
      </rPr>
      <t>'lst'</t>
    </r>
    <r>
      <rPr>
        <sz val="10"/>
        <color rgb="FF000000"/>
        <rFont val="Courier New"/>
        <family val="3"/>
      </rPr>
      <t xml:space="preserve">].length == </t>
    </r>
    <r>
      <rPr>
        <sz val="10"/>
        <color rgb="FF0000FF"/>
        <rFont val="Courier New"/>
        <family val="3"/>
      </rPr>
      <t>0</t>
    </r>
  </si>
  <si>
    <r>
      <t xml:space="preserve">        </t>
    </r>
    <r>
      <rPr>
        <sz val="10"/>
        <color rgb="FF000000"/>
        <rFont val="Courier New"/>
        <family val="3"/>
      </rPr>
      <t xml:space="preserve">? </t>
    </r>
    <r>
      <rPr>
        <b/>
        <sz val="10"/>
        <color rgb="FF000080"/>
        <rFont val="Courier New"/>
        <family val="3"/>
      </rPr>
      <t xml:space="preserve">new </t>
    </r>
    <r>
      <rPr>
        <sz val="10"/>
        <color rgb="FF2196F3"/>
        <rFont val="Courier New"/>
        <family val="3"/>
      </rPr>
      <t>CommonMsgCode</t>
    </r>
    <r>
      <rPr>
        <sz val="10"/>
        <color rgb="FF000000"/>
        <rFont val="Courier New"/>
        <family val="3"/>
      </rPr>
      <t xml:space="preserve">(msgcode: </t>
    </r>
    <r>
      <rPr>
        <b/>
        <sz val="10"/>
        <color rgb="FF008000"/>
        <rFont val="Courier New"/>
        <family val="3"/>
      </rPr>
      <t>"LNK-0042"</t>
    </r>
    <r>
      <rPr>
        <sz val="10"/>
        <color rgb="FF000000"/>
        <rFont val="Courier New"/>
        <family val="3"/>
      </rPr>
      <t xml:space="preserve">, msgcodeString: </t>
    </r>
    <r>
      <rPr>
        <b/>
        <sz val="10"/>
        <color rgb="FF008000"/>
        <rFont val="Courier New"/>
        <family val="3"/>
      </rPr>
      <t>"Nenhum cartão encontrado."</t>
    </r>
    <r>
      <rPr>
        <sz val="10"/>
        <color rgb="FF000000"/>
        <rFont val="Courier New"/>
        <family val="3"/>
      </rPr>
      <t>)</t>
    </r>
  </si>
  <si>
    <r>
      <t xml:space="preserve">        : </t>
    </r>
    <r>
      <rPr>
        <b/>
        <sz val="10"/>
        <color rgb="FF000080"/>
        <rFont val="Courier New"/>
        <family val="3"/>
      </rPr>
      <t xml:space="preserve">new </t>
    </r>
    <r>
      <rPr>
        <sz val="10"/>
        <color rgb="FF2196F3"/>
        <rFont val="Courier New"/>
        <family val="3"/>
      </rPr>
      <t>ListView</t>
    </r>
    <r>
      <rPr>
        <sz val="10"/>
        <color rgb="FF000000"/>
        <rFont val="Courier New"/>
        <family val="3"/>
      </rPr>
      <t>.</t>
    </r>
    <r>
      <rPr>
        <sz val="10"/>
        <color rgb="FF2196F3"/>
        <rFont val="Courier New"/>
        <family val="3"/>
      </rPr>
      <t>builder</t>
    </r>
    <r>
      <rPr>
        <sz val="10"/>
        <color rgb="FF000000"/>
        <rFont val="Courier New"/>
        <family val="3"/>
      </rPr>
      <t>(</t>
    </r>
  </si>
  <si>
    <r>
      <t xml:space="preserve">      itemCount: </t>
    </r>
    <r>
      <rPr>
        <b/>
        <sz val="10"/>
        <color rgb="FF660E7A"/>
        <rFont val="Courier New"/>
        <family val="3"/>
      </rPr>
      <t>widget</t>
    </r>
    <r>
      <rPr>
        <sz val="10"/>
        <color rgb="FF000000"/>
        <rFont val="Courier New"/>
        <family val="3"/>
      </rPr>
      <t>.</t>
    </r>
    <r>
      <rPr>
        <b/>
        <sz val="10"/>
        <color rgb="FF660E7A"/>
        <rFont val="Courier New"/>
        <family val="3"/>
      </rPr>
      <t>_pagina</t>
    </r>
    <r>
      <rPr>
        <sz val="10"/>
        <color rgb="FF000000"/>
        <rFont val="Courier New"/>
        <family val="3"/>
      </rPr>
      <t>[</t>
    </r>
    <r>
      <rPr>
        <b/>
        <sz val="10"/>
        <color rgb="FF008000"/>
        <rFont val="Courier New"/>
        <family val="3"/>
      </rPr>
      <t>'lst'</t>
    </r>
    <r>
      <rPr>
        <sz val="10"/>
        <color rgb="FF000000"/>
        <rFont val="Courier New"/>
        <family val="3"/>
      </rPr>
      <t>].length,</t>
    </r>
  </si>
  <si>
    <t xml:space="preserve">      itemBuilder: (BuildContext context, int index){</t>
  </si>
  <si>
    <t xml:space="preserve">      },</t>
  </si>
  <si>
    <r>
      <t xml:space="preserve">import </t>
    </r>
    <r>
      <rPr>
        <b/>
        <sz val="10"/>
        <color rgb="FF008000"/>
        <rFont val="Courier New"/>
        <family val="3"/>
      </rPr>
      <t>'package:junta10/br/com/jcv/linker/classes/${lclassebase}/${classebase}UI.dart'</t>
    </r>
    <r>
      <rPr>
        <sz val="10"/>
        <color rgb="FF000000"/>
        <rFont val="Courier New"/>
        <family val="3"/>
      </rPr>
      <t>;</t>
    </r>
  </si>
  <si>
    <r>
      <t xml:space="preserve">import </t>
    </r>
    <r>
      <rPr>
        <b/>
        <sz val="10"/>
        <color rgb="FF008000"/>
        <rFont val="Courier New"/>
        <family val="3"/>
      </rPr>
      <t>'${classebase}UI.dart'</t>
    </r>
    <r>
      <rPr>
        <sz val="10"/>
        <color rgb="FF000000"/>
        <rFont val="Courier New"/>
        <family val="3"/>
      </rPr>
      <t>;</t>
    </r>
  </si>
  <si>
    <r>
      <t xml:space="preserve">class </t>
    </r>
    <r>
      <rPr>
        <sz val="10"/>
        <color rgb="FF000000"/>
        <rFont val="Courier New"/>
        <family val="3"/>
      </rPr>
      <t xml:space="preserve">${classebase}LV </t>
    </r>
    <r>
      <rPr>
        <b/>
        <sz val="10"/>
        <color rgb="FF000080"/>
        <rFont val="Courier New"/>
        <family val="3"/>
      </rPr>
      <t xml:space="preserve">extends </t>
    </r>
    <r>
      <rPr>
        <sz val="10"/>
        <color rgb="FF000000"/>
        <rFont val="Courier New"/>
        <family val="3"/>
      </rPr>
      <t>StatefulWidget {</t>
    </r>
  </si>
  <si>
    <r>
      <t xml:space="preserve">  ${classebase}LV(</t>
    </r>
    <r>
      <rPr>
        <b/>
        <sz val="10"/>
        <color rgb="FF000080"/>
        <rFont val="Courier New"/>
        <family val="3"/>
      </rPr>
      <t>this</t>
    </r>
    <r>
      <rPr>
        <sz val="10"/>
        <color rgb="FF000000"/>
        <rFont val="Courier New"/>
        <family val="3"/>
      </rPr>
      <t>.</t>
    </r>
    <r>
      <rPr>
        <b/>
        <sz val="10"/>
        <color rgb="FF660E7A"/>
        <rFont val="Courier New"/>
        <family val="3"/>
      </rPr>
      <t>_pagina</t>
    </r>
    <r>
      <rPr>
        <sz val="10"/>
        <color rgb="FF000000"/>
        <rFont val="Courier New"/>
        <family val="3"/>
      </rPr>
      <t>);</t>
    </r>
  </si>
  <si>
    <t xml:space="preserve">  _${classebase}LVState createState() =&gt; _${classebase}LVState();</t>
  </si>
  <si>
    <t>class _${classebase}LVState extends State&lt;${classebase}LV&gt; {</t>
  </si>
  <si>
    <r>
      <t xml:space="preserve">        </t>
    </r>
    <r>
      <rPr>
        <b/>
        <sz val="10"/>
        <color rgb="FF000080"/>
        <rFont val="Courier New"/>
        <family val="3"/>
      </rPr>
      <t xml:space="preserve">return </t>
    </r>
    <r>
      <rPr>
        <sz val="10"/>
        <color rgb="FF2196F3"/>
        <rFont val="Courier New"/>
        <family val="3"/>
      </rPr>
      <t>${classebase}UI</t>
    </r>
    <r>
      <rPr>
        <sz val="10"/>
        <color rgb="FF000000"/>
        <rFont val="Courier New"/>
        <family val="3"/>
      </rPr>
      <t>(</t>
    </r>
    <r>
      <rPr>
        <b/>
        <sz val="10"/>
        <color rgb="FF660E7A"/>
        <rFont val="Courier New"/>
        <family val="3"/>
      </rPr>
      <t>widget</t>
    </r>
    <r>
      <rPr>
        <sz val="10"/>
        <color rgb="FF000000"/>
        <rFont val="Courier New"/>
        <family val="3"/>
      </rPr>
      <t>.</t>
    </r>
    <r>
      <rPr>
        <b/>
        <sz val="10"/>
        <color rgb="FF660E7A"/>
        <rFont val="Courier New"/>
        <family val="3"/>
      </rPr>
      <t>_pagina</t>
    </r>
    <r>
      <rPr>
        <sz val="10"/>
        <color rgb="FF000000"/>
        <rFont val="Courier New"/>
        <family val="3"/>
      </rPr>
      <t>[</t>
    </r>
    <r>
      <rPr>
        <b/>
        <sz val="10"/>
        <color rgb="FF008000"/>
        <rFont val="Courier New"/>
        <family val="3"/>
      </rPr>
      <t>'lst'</t>
    </r>
    <r>
      <rPr>
        <sz val="10"/>
        <color rgb="FF000000"/>
        <rFont val="Courier New"/>
        <family val="3"/>
      </rPr>
      <t>][index]);</t>
    </r>
  </si>
  <si>
    <r>
      <t xml:space="preserve">import </t>
    </r>
    <r>
      <rPr>
        <b/>
        <sz val="10"/>
        <color rgb="FF008000"/>
        <rFont val="Courier New"/>
        <family val="3"/>
      </rPr>
      <t>'package:flutter/cupertino.dart'</t>
    </r>
    <r>
      <rPr>
        <sz val="10"/>
        <color rgb="FF000000"/>
        <rFont val="Courier New"/>
        <family val="3"/>
      </rPr>
      <t>;</t>
    </r>
  </si>
  <si>
    <r>
      <t xml:space="preserve">import </t>
    </r>
    <r>
      <rPr>
        <b/>
        <sz val="10"/>
        <color rgb="FF008000"/>
        <rFont val="Courier New"/>
        <family val="3"/>
      </rPr>
      <t>'package:flutter/rendering.dart'</t>
    </r>
    <r>
      <rPr>
        <sz val="10"/>
        <color rgb="FF000000"/>
        <rFont val="Courier New"/>
        <family val="3"/>
      </rPr>
      <t>;</t>
    </r>
  </si>
  <si>
    <r>
      <t xml:space="preserve">import </t>
    </r>
    <r>
      <rPr>
        <b/>
        <sz val="10"/>
        <color rgb="FF008000"/>
        <rFont val="Courier New"/>
        <family val="3"/>
      </rPr>
      <t>'package:flutter/widgets.dart'</t>
    </r>
    <r>
      <rPr>
        <sz val="10"/>
        <color rgb="FF000000"/>
        <rFont val="Courier New"/>
        <family val="3"/>
      </rPr>
      <t>;</t>
    </r>
  </si>
  <si>
    <t xml:space="preserve">              children: &lt;Widget&gt;[</t>
  </si>
  <si>
    <t xml:space="preserve">              ],</t>
  </si>
  <si>
    <t xml:space="preserve">  _${classebase}UIState createState() =&gt; _${classebase}UIState();</t>
  </si>
  <si>
    <r>
      <t xml:space="preserve">    String _url = </t>
    </r>
    <r>
      <rPr>
        <b/>
        <sz val="10"/>
        <color rgb="FF008000"/>
        <rFont val="Courier New"/>
        <family val="3"/>
      </rPr>
      <t>'</t>
    </r>
    <r>
      <rPr>
        <sz val="10"/>
        <color rgb="FF000000"/>
        <rFont val="Courier New"/>
        <family val="3"/>
      </rPr>
      <t>${</t>
    </r>
    <r>
      <rPr>
        <b/>
        <sz val="10"/>
        <color rgb="FF660E7A"/>
        <rFont val="Courier New"/>
        <family val="3"/>
      </rPr>
      <t>_urlControlador</t>
    </r>
    <r>
      <rPr>
        <sz val="10"/>
        <color rgb="FF000000"/>
        <rFont val="Courier New"/>
        <family val="3"/>
      </rPr>
      <t>}</t>
    </r>
    <r>
      <rPr>
        <b/>
        <sz val="10"/>
        <color rgb="FF008000"/>
        <rFont val="Courier New"/>
        <family val="3"/>
      </rPr>
      <t>appListar${classebase}PorUsuaIdStatus.php?tokenid=</t>
    </r>
    <r>
      <rPr>
        <sz val="10"/>
        <color rgb="FF000000"/>
        <rFont val="Courier New"/>
        <family val="3"/>
      </rPr>
      <t>${</t>
    </r>
    <r>
      <rPr>
        <b/>
        <sz val="10"/>
        <color rgb="FF660E7A"/>
        <rFont val="Courier New"/>
        <family val="3"/>
      </rPr>
      <t>_token</t>
    </r>
    <r>
      <rPr>
        <sz val="10"/>
        <color rgb="FF000000"/>
        <rFont val="Courier New"/>
        <family val="3"/>
      </rPr>
      <t>}</t>
    </r>
    <r>
      <rPr>
        <b/>
        <sz val="10"/>
        <color rgb="FF008000"/>
        <rFont val="Courier New"/>
        <family val="3"/>
      </rPr>
      <t>&amp;pag=</t>
    </r>
    <r>
      <rPr>
        <sz val="10"/>
        <color rgb="FF000000"/>
        <rFont val="Courier New"/>
        <family val="3"/>
      </rPr>
      <t>${</t>
    </r>
    <r>
      <rPr>
        <b/>
        <sz val="10"/>
        <color rgb="FF660E7A"/>
        <rFont val="Courier New"/>
        <family val="3"/>
      </rPr>
      <t>_pag</t>
    </r>
    <r>
      <rPr>
        <sz val="10"/>
        <color rgb="FF000000"/>
        <rFont val="Courier New"/>
        <family val="3"/>
      </rPr>
      <t>}</t>
    </r>
    <r>
      <rPr>
        <b/>
        <sz val="10"/>
        <color rgb="FF008000"/>
        <rFont val="Courier New"/>
        <family val="3"/>
      </rPr>
      <t>'</t>
    </r>
    <r>
      <rPr>
        <sz val="10"/>
        <color rgb="FF000000"/>
        <rFont val="Courier New"/>
        <family val="3"/>
      </rPr>
      <t>;</t>
    </r>
  </si>
  <si>
    <r>
      <t xml:space="preserve">    _token = CacheSession().getSession()[</t>
    </r>
    <r>
      <rPr>
        <b/>
        <sz val="10"/>
        <color rgb="FF008000"/>
        <rFont val="Courier New"/>
        <family val="3"/>
      </rPr>
      <t>'tokenid'</t>
    </r>
    <r>
      <rPr>
        <sz val="10"/>
        <color rgb="FF000000"/>
        <rFont val="Courier New"/>
        <family val="3"/>
      </rPr>
      <t>];</t>
    </r>
  </si>
  <si>
    <r>
      <t xml:space="preserve">    _urlControlador = CacheSession().getSession()[</t>
    </r>
    <r>
      <rPr>
        <b/>
        <sz val="10"/>
        <color rgb="FF008000"/>
        <rFont val="Courier New"/>
        <family val="3"/>
      </rPr>
      <t>'urlControlador'</t>
    </r>
    <r>
      <rPr>
        <sz val="10"/>
        <color rgb="FF000000"/>
        <rFont val="Courier New"/>
        <family val="3"/>
      </rPr>
      <t>];</t>
    </r>
  </si>
  <si>
    <t xml:space="preserve">        child: Card(</t>
  </si>
  <si>
    <t xml:space="preserve">          child: Padding(</t>
  </si>
  <si>
    <t xml:space="preserve">            child: Column(</t>
  </si>
  <si>
    <t xml:space="preserve">              mainAxisAlignment: MainAxisAlignment.start,</t>
  </si>
  <si>
    <t xml:space="preserve">              crossAxisAlignment: CrossAxisAlignment.start,</t>
  </si>
  <si>
    <r>
      <t>class ${classebase}</t>
    </r>
    <r>
      <rPr>
        <sz val="10"/>
        <color rgb="FF000000"/>
        <rFont val="Courier New"/>
        <family val="3"/>
      </rPr>
      <t xml:space="preserve">UI </t>
    </r>
    <r>
      <rPr>
        <b/>
        <sz val="10"/>
        <color rgb="FF000080"/>
        <rFont val="Courier New"/>
        <family val="3"/>
      </rPr>
      <t xml:space="preserve">extends </t>
    </r>
    <r>
      <rPr>
        <sz val="10"/>
        <color rgb="FF000000"/>
        <rFont val="Courier New"/>
        <family val="3"/>
      </rPr>
      <t>StatefulWidget {</t>
    </r>
  </si>
  <si>
    <r>
      <t xml:space="preserve">class </t>
    </r>
    <r>
      <rPr>
        <sz val="10"/>
        <color rgb="FF000000"/>
        <rFont val="Courier New"/>
        <family val="3"/>
      </rPr>
      <t xml:space="preserve">_${classebase}UIState </t>
    </r>
    <r>
      <rPr>
        <b/>
        <sz val="10"/>
        <color rgb="FF000080"/>
        <rFont val="Courier New"/>
        <family val="3"/>
      </rPr>
      <t xml:space="preserve">extends </t>
    </r>
    <r>
      <rPr>
        <sz val="10"/>
        <color rgb="FF000000"/>
        <rFont val="Courier New"/>
        <family val="3"/>
      </rPr>
      <t>State&lt;${classebase}UI&gt; {</t>
    </r>
  </si>
  <si>
    <t xml:space="preserve">  dynamic _${lclassebase}VO;</t>
  </si>
  <si>
    <r>
      <t xml:space="preserve">  ${classebase}UI(</t>
    </r>
    <r>
      <rPr>
        <b/>
        <sz val="10"/>
        <color rgb="FF000080"/>
        <rFont val="Courier New"/>
        <family val="3"/>
      </rPr>
      <t>this</t>
    </r>
    <r>
      <rPr>
        <sz val="10"/>
        <color rgb="FF000000"/>
        <rFont val="Courier New"/>
        <family val="3"/>
      </rPr>
      <t>._${lclassebase}VO);</t>
    </r>
  </si>
  <si>
    <r>
      <t xml:space="preserve">floatingActionButton: </t>
    </r>
    <r>
      <rPr>
        <b/>
        <sz val="10"/>
        <color rgb="FF000080"/>
        <rFont val="Courier New"/>
        <family val="3"/>
      </rPr>
      <t xml:space="preserve">new </t>
    </r>
    <r>
      <rPr>
        <sz val="10"/>
        <color rgb="FF2196F3"/>
        <rFont val="Courier New"/>
        <family val="3"/>
      </rPr>
      <t>FloatingActionButton</t>
    </r>
    <r>
      <rPr>
        <sz val="10"/>
        <color rgb="FF000000"/>
        <rFont val="Courier New"/>
        <family val="3"/>
      </rPr>
      <t>(</t>
    </r>
  </si>
  <si>
    <t xml:space="preserve">  onPressed: () {</t>
  </si>
  <si>
    <r>
      <t xml:space="preserve">    Navigator.</t>
    </r>
    <r>
      <rPr>
        <i/>
        <sz val="10"/>
        <color rgb="FF000000"/>
        <rFont val="Courier New"/>
        <family val="3"/>
      </rPr>
      <t>push</t>
    </r>
    <r>
      <rPr>
        <sz val="10"/>
        <color rgb="FF000000"/>
        <rFont val="Courier New"/>
        <family val="3"/>
      </rPr>
      <t>(</t>
    </r>
  </si>
  <si>
    <t xml:space="preserve">      context,</t>
  </si>
  <si>
    <t xml:space="preserve">  },</t>
  </si>
  <si>
    <r>
      <t xml:space="preserve">  child: </t>
    </r>
    <r>
      <rPr>
        <sz val="10"/>
        <color rgb="FF2196F3"/>
        <rFont val="Courier New"/>
        <family val="3"/>
      </rPr>
      <t>Icon</t>
    </r>
    <r>
      <rPr>
        <sz val="10"/>
        <color rgb="FF000000"/>
        <rFont val="Courier New"/>
        <family val="3"/>
      </rPr>
      <t>(Icons.</t>
    </r>
    <r>
      <rPr>
        <i/>
        <sz val="10"/>
        <color rgb="FF660E7A"/>
        <rFont val="Courier New"/>
        <family val="3"/>
      </rPr>
      <t>add_circle_outline</t>
    </r>
    <r>
      <rPr>
        <sz val="10"/>
        <color rgb="FF000000"/>
        <rFont val="Courier New"/>
        <family val="3"/>
      </rPr>
      <t>),</t>
    </r>
  </si>
  <si>
    <t>),</t>
  </si>
  <si>
    <r>
      <t xml:space="preserve">import </t>
    </r>
    <r>
      <rPr>
        <b/>
        <sz val="10"/>
        <color rgb="FF008000"/>
        <rFont val="Courier New"/>
        <family val="3"/>
      </rPr>
      <t>'${classebase}PageCRUD.dart'</t>
    </r>
    <r>
      <rPr>
        <sz val="10"/>
        <color rgb="FF000000"/>
        <rFont val="Courier New"/>
        <family val="3"/>
      </rPr>
      <t>;</t>
    </r>
  </si>
  <si>
    <r>
      <t xml:space="preserve">      </t>
    </r>
    <r>
      <rPr>
        <sz val="10"/>
        <color rgb="FF2196F3"/>
        <rFont val="Courier New"/>
        <family val="3"/>
      </rPr>
      <t>MaterialPageRoute</t>
    </r>
    <r>
      <rPr>
        <sz val="10"/>
        <color rgb="FF000000"/>
        <rFont val="Courier New"/>
        <family val="3"/>
      </rPr>
      <t xml:space="preserve">(builder: (context) =&gt; </t>
    </r>
    <r>
      <rPr>
        <b/>
        <sz val="10"/>
        <color rgb="FF000080"/>
        <rFont val="Courier New"/>
        <family val="3"/>
      </rPr>
      <t xml:space="preserve">new </t>
    </r>
    <r>
      <rPr>
        <sz val="10"/>
        <color rgb="FF2196F3"/>
        <rFont val="Courier New"/>
        <family val="3"/>
      </rPr>
      <t>${classebase}PageCRUD</t>
    </r>
    <r>
      <rPr>
        <sz val="10"/>
        <color rgb="FF000000"/>
        <rFont val="Courier New"/>
        <family val="3"/>
      </rPr>
      <t>() ),</t>
    </r>
  </si>
  <si>
    <t>import 'package:junta10/br/com/jcv/linker/classes/${lclassebase}/${classebase}VOPost.dart';</t>
  </si>
  <si>
    <r>
      <t>  </t>
    </r>
    <r>
      <rPr>
        <sz val="11"/>
        <color rgb="FF6A9955"/>
        <rFont val="Consolas"/>
        <family val="3"/>
      </rPr>
      <t>// ===============================================</t>
    </r>
  </si>
  <si>
    <r>
      <t>  </t>
    </r>
    <r>
      <rPr>
        <sz val="11"/>
        <color rgb="FF6A9955"/>
        <rFont val="Consolas"/>
        <family val="3"/>
      </rPr>
      <t>// função que cria o widget  base entrada de dados</t>
    </r>
  </si>
  <si>
    <r>
      <t>  </t>
    </r>
    <r>
      <rPr>
        <sz val="11"/>
        <color rgb="FF4EC9B0"/>
        <rFont val="Consolas"/>
        <family val="3"/>
      </rPr>
      <t>Widget</t>
    </r>
    <r>
      <rPr>
        <sz val="11"/>
        <color rgb="FFD4D4D4"/>
        <rFont val="Consolas"/>
        <family val="3"/>
      </rPr>
      <t> </t>
    </r>
    <r>
      <rPr>
        <sz val="11"/>
        <color rgb="FFDCDCAA"/>
        <rFont val="Consolas"/>
        <family val="3"/>
      </rPr>
      <t>criarWidgetEntry</t>
    </r>
    <r>
      <rPr>
        <sz val="11"/>
        <color rgb="FFD4D4D4"/>
        <rFont val="Consolas"/>
        <family val="3"/>
      </rPr>
      <t>({</t>
    </r>
    <r>
      <rPr>
        <sz val="11"/>
        <color rgb="FF4EC9B0"/>
        <rFont val="Consolas"/>
        <family val="3"/>
      </rPr>
      <t>TextEditingController</t>
    </r>
    <r>
      <rPr>
        <sz val="11"/>
        <color rgb="FFD4D4D4"/>
        <rFont val="Consolas"/>
        <family val="3"/>
      </rPr>
      <t> tec, </t>
    </r>
    <r>
      <rPr>
        <sz val="11"/>
        <color rgb="FF4EC9B0"/>
        <rFont val="Consolas"/>
        <family val="3"/>
      </rPr>
      <t>TextInputType</t>
    </r>
    <r>
      <rPr>
        <sz val="11"/>
        <color rgb="FFD4D4D4"/>
        <rFont val="Consolas"/>
        <family val="3"/>
      </rPr>
      <t> tit, </t>
    </r>
    <r>
      <rPr>
        <sz val="11"/>
        <color rgb="FF4EC9B0"/>
        <rFont val="Consolas"/>
        <family val="3"/>
      </rPr>
      <t>String</t>
    </r>
    <r>
      <rPr>
        <sz val="11"/>
        <color rgb="FFD4D4D4"/>
        <rFont val="Consolas"/>
        <family val="3"/>
      </rPr>
      <t> label}) =&gt; </t>
    </r>
    <r>
      <rPr>
        <sz val="11"/>
        <color rgb="FF4EC9B0"/>
        <rFont val="Consolas"/>
        <family val="3"/>
      </rPr>
      <t>Padding</t>
    </r>
    <r>
      <rPr>
        <sz val="11"/>
        <color rgb="FFD4D4D4"/>
        <rFont val="Consolas"/>
        <family val="3"/>
      </rPr>
      <t>(</t>
    </r>
  </si>
  <si>
    <r>
      <t>      padding: </t>
    </r>
    <r>
      <rPr>
        <sz val="11"/>
        <color rgb="FF4EC9B0"/>
        <rFont val="Consolas"/>
        <family val="3"/>
      </rPr>
      <t>EdgeInsets</t>
    </r>
    <r>
      <rPr>
        <sz val="11"/>
        <color rgb="FFD4D4D4"/>
        <rFont val="Consolas"/>
        <family val="3"/>
      </rPr>
      <t>.</t>
    </r>
    <r>
      <rPr>
        <sz val="11"/>
        <color rgb="FFDCDCAA"/>
        <rFont val="Consolas"/>
        <family val="3"/>
      </rPr>
      <t>only</t>
    </r>
    <r>
      <rPr>
        <sz val="11"/>
        <color rgb="FFD4D4D4"/>
        <rFont val="Consolas"/>
        <family val="3"/>
      </rPr>
      <t>(top: </t>
    </r>
    <r>
      <rPr>
        <sz val="11"/>
        <color rgb="FFB5CEA8"/>
        <rFont val="Consolas"/>
        <family val="3"/>
      </rPr>
      <t>8.0</t>
    </r>
    <r>
      <rPr>
        <sz val="11"/>
        <color rgb="FFD4D4D4"/>
        <rFont val="Consolas"/>
        <family val="3"/>
      </rPr>
      <t>),</t>
    </r>
  </si>
  <si>
    <r>
      <t>      child: </t>
    </r>
    <r>
      <rPr>
        <sz val="11"/>
        <color rgb="FF4EC9B0"/>
        <rFont val="Consolas"/>
        <family val="3"/>
      </rPr>
      <t>TextField</t>
    </r>
    <r>
      <rPr>
        <sz val="11"/>
        <color rgb="FFD4D4D4"/>
        <rFont val="Consolas"/>
        <family val="3"/>
      </rPr>
      <t>(</t>
    </r>
  </si>
  <si>
    <t>          controller: tec,</t>
  </si>
  <si>
    <t>          keyboardType: tit,</t>
  </si>
  <si>
    <r>
      <t>          decoration: </t>
    </r>
    <r>
      <rPr>
        <sz val="11"/>
        <color rgb="FF4EC9B0"/>
        <rFont val="Consolas"/>
        <family val="3"/>
      </rPr>
      <t>InputDecoration</t>
    </r>
    <r>
      <rPr>
        <sz val="11"/>
        <color rgb="FFD4D4D4"/>
        <rFont val="Consolas"/>
        <family val="3"/>
      </rPr>
      <t>(</t>
    </r>
  </si>
  <si>
    <t>                labelText: label,</t>
  </si>
  <si>
    <r>
      <t>                labelStyle: </t>
    </r>
    <r>
      <rPr>
        <sz val="11"/>
        <color rgb="FF4EC9B0"/>
        <rFont val="Consolas"/>
        <family val="3"/>
      </rPr>
      <t>TextStyle</t>
    </r>
    <r>
      <rPr>
        <sz val="11"/>
        <color rgb="FFD4D4D4"/>
        <rFont val="Consolas"/>
        <family val="3"/>
      </rPr>
      <t>(color: </t>
    </r>
    <r>
      <rPr>
        <sz val="11"/>
        <color rgb="FF4EC9B0"/>
        <rFont val="Consolas"/>
        <family val="3"/>
      </rPr>
      <t>Colors</t>
    </r>
    <r>
      <rPr>
        <sz val="11"/>
        <color rgb="FFD4D4D4"/>
        <rFont val="Consolas"/>
        <family val="3"/>
      </rPr>
      <t>.black),</t>
    </r>
  </si>
  <si>
    <r>
      <t>                border: </t>
    </r>
    <r>
      <rPr>
        <sz val="11"/>
        <color rgb="FF4EC9B0"/>
        <rFont val="Consolas"/>
        <family val="3"/>
      </rPr>
      <t>OutlineInputBorder</t>
    </r>
    <r>
      <rPr>
        <sz val="11"/>
        <color rgb="FFD4D4D4"/>
        <rFont val="Consolas"/>
        <family val="3"/>
      </rPr>
      <t>()</t>
    </r>
  </si>
  <si>
    <t>            ),</t>
  </si>
  <si>
    <r>
      <t>          style: </t>
    </r>
    <r>
      <rPr>
        <sz val="11"/>
        <color rgb="FF4EC9B0"/>
        <rFont val="Consolas"/>
        <family val="3"/>
      </rPr>
      <t>TextStyle</t>
    </r>
    <r>
      <rPr>
        <sz val="11"/>
        <color rgb="FFD4D4D4"/>
        <rFont val="Consolas"/>
        <family val="3"/>
      </rPr>
      <t>(</t>
    </r>
  </si>
  <si>
    <r>
      <t>            color: </t>
    </r>
    <r>
      <rPr>
        <sz val="11"/>
        <color rgb="FF4EC9B0"/>
        <rFont val="Consolas"/>
        <family val="3"/>
      </rPr>
      <t>Colors</t>
    </r>
    <r>
      <rPr>
        <sz val="11"/>
        <color rgb="FFD4D4D4"/>
        <rFont val="Consolas"/>
        <family val="3"/>
      </rPr>
      <t>.black,</t>
    </r>
  </si>
  <si>
    <r>
      <t>            fontSize: </t>
    </r>
    <r>
      <rPr>
        <sz val="11"/>
        <color rgb="FFB5CEA8"/>
        <rFont val="Consolas"/>
        <family val="3"/>
      </rPr>
      <t>15.0</t>
    </r>
  </si>
  <si>
    <t>        ),</t>
  </si>
  <si>
    <t>      ),</t>
  </si>
  <si>
    <t>    );</t>
  </si>
  <si>
    <t>  </t>
  </si>
  <si>
    <r>
      <t>    _lstCampos${classebase}.</t>
    </r>
    <r>
      <rPr>
        <sz val="11"/>
        <color rgb="FFDCDCAA"/>
        <rFont val="Consolas"/>
        <family val="3"/>
      </rPr>
      <t>add</t>
    </r>
    <r>
      <rPr>
        <sz val="11"/>
        <color rgb="FFD4D4D4"/>
        <rFont val="Consolas"/>
        <family val="3"/>
      </rPr>
      <t>(</t>
    </r>
    <r>
      <rPr>
        <sz val="11"/>
        <color rgb="FFDCDCAA"/>
        <rFont val="Consolas"/>
        <family val="3"/>
      </rPr>
      <t>criarWidgetEntry</t>
    </r>
    <r>
      <rPr>
        <sz val="11"/>
        <color rgb="FFD4D4D4"/>
        <rFont val="Consolas"/>
        <family val="3"/>
      </rPr>
      <t>(tec: tec${dto}, tit: </t>
    </r>
    <r>
      <rPr>
        <sz val="11"/>
        <color rgb="FF4EC9B0"/>
        <rFont val="Consolas"/>
        <family val="3"/>
      </rPr>
      <t>TextInputType</t>
    </r>
    <r>
      <rPr>
        <sz val="11"/>
        <color rgb="FFD4D4D4"/>
        <rFont val="Consolas"/>
        <family val="3"/>
      </rPr>
      <t>.</t>
    </r>
    <r>
      <rPr>
        <sz val="11"/>
        <color rgb="FFDCDCAA"/>
        <rFont val="Consolas"/>
        <family val="3"/>
      </rPr>
      <t>text</t>
    </r>
    <r>
      <rPr>
        <sz val="11"/>
        <color rgb="FFD4D4D4"/>
        <rFont val="Consolas"/>
        <family val="3"/>
      </rPr>
      <t>, label: </t>
    </r>
    <r>
      <rPr>
        <sz val="11"/>
        <color rgb="FFCE9178"/>
        <rFont val="Consolas"/>
        <family val="3"/>
      </rPr>
      <t>"${comentario}"</t>
    </r>
    <r>
      <rPr>
        <sz val="11"/>
        <color rgb="FFD4D4D4"/>
        <rFont val="Consolas"/>
        <family val="3"/>
      </rPr>
      <t>));</t>
    </r>
  </si>
  <si>
    <t xml:space="preserve">    // Criação dos campos que irão permitir a entrada de dados</t>
  </si>
  <si>
    <t xml:space="preserve">                Row(</t>
  </si>
  <si>
    <t xml:space="preserve">                  children: &lt;Widget&gt;[</t>
  </si>
  <si>
    <t xml:space="preserve">                    new CommonImageCircle("no-user.png"</t>
  </si>
  <si>
    <t xml:space="preserve">                        ,heightcic: 64</t>
  </si>
  <si>
    <t xml:space="preserve">                        ,widthcic: 64</t>
  </si>
  <si>
    <t xml:space="preserve">                        ,bordercolorcic: Colors.transparent),</t>
  </si>
  <si>
    <t xml:space="preserve">                    SizedBox(width: 8,),</t>
  </si>
  <si>
    <t xml:space="preserve">                    Column(</t>
  </si>
  <si>
    <t xml:space="preserve">                      crossAxisAlignment: CrossAxisAlignment.start,</t>
  </si>
  <si>
    <t xml:space="preserve">                      children: &lt;Widget&gt;[</t>
  </si>
  <si>
    <t xml:space="preserve">                      ],</t>
  </si>
  <si>
    <t xml:space="preserve">                    ),</t>
  </si>
  <si>
    <t xml:space="preserve">                  ],</t>
  </si>
  <si>
    <t xml:space="preserve">                ),</t>
  </si>
  <si>
    <t>DECIMAL</t>
  </si>
  <si>
    <r>
      <t>import</t>
    </r>
    <r>
      <rPr>
        <sz val="11"/>
        <color rgb="FFD4D4D4"/>
        <rFont val="Consolas"/>
        <family val="3"/>
      </rPr>
      <t> </t>
    </r>
    <r>
      <rPr>
        <sz val="11"/>
        <color rgb="FFCE9178"/>
        <rFont val="Consolas"/>
        <family val="3"/>
      </rPr>
      <t>'package:junta10/br/com/jcv/linker/classes/ui/common/common-flatbutton-function.dart'</t>
    </r>
    <r>
      <rPr>
        <sz val="11"/>
        <color rgb="FFD4D4D4"/>
        <rFont val="Consolas"/>
        <family val="3"/>
      </rPr>
      <t>;</t>
    </r>
  </si>
  <si>
    <r>
      <t>import</t>
    </r>
    <r>
      <rPr>
        <sz val="11"/>
        <color rgb="FFD4D4D4"/>
        <rFont val="Consolas"/>
        <family val="3"/>
      </rPr>
      <t> </t>
    </r>
    <r>
      <rPr>
        <sz val="11"/>
        <color rgb="FFCE9178"/>
        <rFont val="Consolas"/>
        <family val="3"/>
      </rPr>
      <t>'package:junta10/br/com/jcv/linker/classes/ui/common/common-image-circle.dart'</t>
    </r>
    <r>
      <rPr>
        <sz val="11"/>
        <color rgb="FFD4D4D4"/>
        <rFont val="Consolas"/>
        <family val="3"/>
      </rPr>
      <t>;</t>
    </r>
  </si>
  <si>
    <r>
      <t xml:space="preserve">   bool</t>
    </r>
    <r>
      <rPr>
        <sz val="11"/>
        <color rgb="FFD4D4D4"/>
        <rFont val="Consolas"/>
        <family val="3"/>
      </rPr>
      <t> _isVisibleActionBtn = </t>
    </r>
    <r>
      <rPr>
        <sz val="11"/>
        <color rgb="FF569CD6"/>
        <rFont val="Consolas"/>
        <family val="3"/>
      </rPr>
      <t>false</t>
    </r>
    <r>
      <rPr>
        <sz val="11"/>
        <color rgb="FFD4D4D4"/>
        <rFont val="Consolas"/>
        <family val="3"/>
      </rPr>
      <t>;</t>
    </r>
  </si>
  <si>
    <r>
      <t>    </t>
    </r>
    <r>
      <rPr>
        <sz val="11"/>
        <color rgb="FF6A9955"/>
        <rFont val="Consolas"/>
        <family val="3"/>
      </rPr>
      <t>// Toolbar com botões de ação</t>
    </r>
  </si>
  <si>
    <r>
      <t>    </t>
    </r>
    <r>
      <rPr>
        <sz val="11"/>
        <color rgb="FF4EC9B0"/>
        <rFont val="Consolas"/>
        <family val="3"/>
      </rPr>
      <t>Widget</t>
    </r>
    <r>
      <rPr>
        <sz val="11"/>
        <color rgb="FFD4D4D4"/>
        <rFont val="Consolas"/>
        <family val="3"/>
      </rPr>
      <t> _widActionBtn = </t>
    </r>
    <r>
      <rPr>
        <sz val="11"/>
        <color rgb="FF4EC9B0"/>
        <rFont val="Consolas"/>
        <family val="3"/>
      </rPr>
      <t>Row</t>
    </r>
    <r>
      <rPr>
        <sz val="11"/>
        <color rgb="FFD4D4D4"/>
        <rFont val="Consolas"/>
        <family val="3"/>
      </rPr>
      <t>(</t>
    </r>
  </si>
  <si>
    <r>
      <t>      mainAxisAlignment: </t>
    </r>
    <r>
      <rPr>
        <sz val="11"/>
        <color rgb="FF4EC9B0"/>
        <rFont val="Consolas"/>
        <family val="3"/>
      </rPr>
      <t>MainAxisAlignment</t>
    </r>
    <r>
      <rPr>
        <sz val="11"/>
        <color rgb="FFD4D4D4"/>
        <rFont val="Consolas"/>
        <family val="3"/>
      </rPr>
      <t>.spaceBetween,</t>
    </r>
  </si>
  <si>
    <r>
      <t>      children: &lt;</t>
    </r>
    <r>
      <rPr>
        <sz val="11"/>
        <color rgb="FF4EC9B0"/>
        <rFont val="Consolas"/>
        <family val="3"/>
      </rPr>
      <t>Widget</t>
    </r>
    <r>
      <rPr>
        <sz val="11"/>
        <color rgb="FFD4D4D4"/>
        <rFont val="Consolas"/>
        <family val="3"/>
      </rPr>
      <t>&gt;[</t>
    </r>
  </si>
  <si>
    <t>      ],</t>
  </si>
  <si>
    <t xml:space="preserve">    return Container(</t>
  </si>
  <si>
    <t xml:space="preserve">        padding: EdgeInsets.symmetric(horizontal: 4, vertical: 2),</t>
  </si>
  <si>
    <t xml:space="preserve">            padding: EdgeInsets.symmetric(horizontal:8.0, vertical: 10.0),</t>
  </si>
  <si>
    <t xml:space="preserve">                        Text("Titulo principal" ,</t>
  </si>
  <si>
    <t xml:space="preserve">                            style: TextStyle(fontStyle: FontStyle.italic, color: Colors.black45)),</t>
  </si>
  <si>
    <t xml:space="preserve">                            style: TextStyle(fontSize: 16, color: Colors.red)),</t>
  </si>
  <si>
    <t xml:space="preserve">                    IconButton(icon: Icon(Icons.arrow_drop_down), onPressed: (){</t>
  </si>
  <si>
    <t xml:space="preserve">                      setState(() {</t>
  </si>
  <si>
    <t xml:space="preserve">                         _isVisibleActionBtn = !_isVisibleActionBtn;</t>
  </si>
  <si>
    <t xml:space="preserve">                      });</t>
  </si>
  <si>
    <t xml:space="preserve">                    },)</t>
  </si>
  <si>
    <t xml:space="preserve">                SizedBox(height: 10,),</t>
  </si>
  <si>
    <t xml:space="preserve">                _isVisibleActionBtn ? _widActionBtn : Container(height: 0, width: 0,)</t>
  </si>
  <si>
    <t xml:space="preserve">                        Text(widget._${lclassebase}VO['statusdesc'].toUpperCase(),</t>
  </si>
  <si>
    <t>id_usuario</t>
  </si>
  <si>
    <t>`USPU_ID` int(11) NOT NULL AUTO_INCREMENT COMMENT 'ID Usuário x Publicidade',</t>
  </si>
  <si>
    <t>`USUA_ID` int(11) NOT NULL COMMENT 'ID do usuário',</t>
  </si>
  <si>
    <t>`USPU_TX_TITULO` varchar(500) NOT NULL COMMENT 'Título da publicidade',</t>
  </si>
  <si>
    <t>`USPU_TX_DESCRICAO` varchar(2000) NOT NULL COMMENT 'Descrição geral',</t>
  </si>
  <si>
    <t>`USPU_DT_INICIO` timestamp COMMENT 'Data de início',</t>
  </si>
  <si>
    <t>`USPU_DT_TERMINO` timestamp COMMENT 'Data de término',</t>
  </si>
  <si>
    <t>`USPU_VL_NORMAL` DECIMAL(10,2) NOT NULL DEFAULT 0 COMMENT 'Valor do produto/serviço',</t>
  </si>
  <si>
    <t>`USPU_VL_PROMO` DECIMAL(10,2) NOT NULL DEFAULT 0 COMMENT 'Valor promocional produto/serviço',</t>
  </si>
  <si>
    <t>`USPU_TX_OBS` varchar(2000) NOT NULL COMMENT 'Observação',</t>
  </si>
  <si>
    <t>`USPU_DT_APAGAR` timestamp COMMENT 'Data para apagar',</t>
  </si>
  <si>
    <t>titulo</t>
  </si>
  <si>
    <t>descricao</t>
  </si>
  <si>
    <t>dataInicio</t>
  </si>
  <si>
    <t>dataTermino</t>
  </si>
  <si>
    <t>vlNormal</t>
  </si>
  <si>
    <t>vlPromo</t>
  </si>
  <si>
    <t>observacao</t>
  </si>
  <si>
    <t>dataRemover</t>
  </si>
  <si>
    <t>USUARIO_PUBLICIDADE</t>
  </si>
  <si>
    <t>UsuarioPublicidade</t>
  </si>
  <si>
    <t>USPU</t>
  </si>
  <si>
    <t>Classe de negócio com métodos para apoiar a integridade de informações sobre publicidades de usuarios gerenciado pela plataforma</t>
  </si>
  <si>
    <r>
      <t>                  crossAxisAlignment: </t>
    </r>
    <r>
      <rPr>
        <sz val="11"/>
        <color rgb="FF4EC9B0"/>
        <rFont val="Consolas"/>
        <family val="3"/>
      </rPr>
      <t>CrossAxisAlignment</t>
    </r>
    <r>
      <rPr>
        <sz val="11"/>
        <color rgb="FFD4D4D4"/>
        <rFont val="Consolas"/>
        <family val="3"/>
      </rPr>
      <t>.start,</t>
    </r>
  </si>
  <si>
    <r>
      <t>    </t>
    </r>
    <r>
      <rPr>
        <sz val="11"/>
        <color rgb="FF4EC9B0"/>
        <rFont val="Consolas"/>
        <family val="3"/>
      </rPr>
      <t>Size</t>
    </r>
    <r>
      <rPr>
        <sz val="11"/>
        <color rgb="FFD4D4D4"/>
        <rFont val="Consolas"/>
        <family val="3"/>
      </rPr>
      <t> size= </t>
    </r>
    <r>
      <rPr>
        <sz val="11"/>
        <color rgb="FF4EC9B0"/>
        <rFont val="Consolas"/>
        <family val="3"/>
      </rPr>
      <t>MediaQuery</t>
    </r>
    <r>
      <rPr>
        <sz val="11"/>
        <color rgb="FFD4D4D4"/>
        <rFont val="Consolas"/>
        <family val="3"/>
      </rPr>
      <t>.</t>
    </r>
    <r>
      <rPr>
        <sz val="11"/>
        <color rgb="FFDCDCAA"/>
        <rFont val="Consolas"/>
        <family val="3"/>
      </rPr>
      <t>of</t>
    </r>
    <r>
      <rPr>
        <sz val="11"/>
        <color rgb="FFD4D4D4"/>
        <rFont val="Consolas"/>
        <family val="3"/>
      </rPr>
      <t>(context).size;</t>
    </r>
  </si>
  <si>
    <r>
      <t>    </t>
    </r>
    <r>
      <rPr>
        <sz val="11"/>
        <color rgb="FF4EC9B0"/>
        <rFont val="Consolas"/>
        <family val="3"/>
      </rPr>
      <t>double</t>
    </r>
    <r>
      <rPr>
        <sz val="11"/>
        <color rgb="FFD4D4D4"/>
        <rFont val="Consolas"/>
        <family val="3"/>
      </rPr>
      <t> screenWidth = size.width;</t>
    </r>
  </si>
  <si>
    <r>
      <t>    </t>
    </r>
    <r>
      <rPr>
        <sz val="11"/>
        <color rgb="FF4EC9B0"/>
        <rFont val="Consolas"/>
        <family val="3"/>
      </rPr>
      <t>double</t>
    </r>
    <r>
      <rPr>
        <sz val="11"/>
        <color rgb="FFD4D4D4"/>
        <rFont val="Consolas"/>
        <family val="3"/>
      </rPr>
      <t> screenHeight = size.height;</t>
    </r>
  </si>
  <si>
    <r>
      <t>    </t>
    </r>
    <r>
      <rPr>
        <sz val="11"/>
        <color rgb="FF6A9955"/>
        <rFont val="Consolas"/>
        <family val="3"/>
      </rPr>
      <t>// Armazena predefinições da telado dispositivo</t>
    </r>
  </si>
  <si>
    <r>
      <t>import</t>
    </r>
    <r>
      <rPr>
        <sz val="11"/>
        <color rgb="FFD4D4D4"/>
        <rFont val="Consolas"/>
        <family val="3"/>
      </rPr>
      <t> </t>
    </r>
    <r>
      <rPr>
        <sz val="11"/>
        <color rgb="FFCE9178"/>
        <rFont val="Consolas"/>
        <family val="3"/>
      </rPr>
      <t>'../style/text_styles.dart'</t>
    </r>
    <r>
      <rPr>
        <sz val="11"/>
        <color rgb="FFD4D4D4"/>
        <rFont val="Consolas"/>
        <family val="3"/>
      </rPr>
      <t>;</t>
    </r>
  </si>
  <si>
    <t xml:space="preserve">                        Container(width: screenWidth * 0.55,Text(widget._${lclassebase}VO['${dto}'] ,style: uiTextStylePadrao)),</t>
  </si>
  <si>
    <t xml:space="preserve">  String tokenid;</t>
  </si>
  <si>
    <t xml:space="preserve">  String ${dto};</t>
  </si>
  <si>
    <t xml:space="preserve">  String msgcode;</t>
  </si>
  <si>
    <t xml:space="preserve">  String msgcodeString;</t>
  </si>
  <si>
    <t xml:space="preserve">        }),</t>
  </si>
  <si>
    <r>
      <t>        </t>
    </r>
    <r>
      <rPr>
        <sz val="11"/>
        <color rgb="FF4EC9B0"/>
        <rFont val="Consolas"/>
        <family val="3"/>
      </rPr>
      <t>CommonFlatButtonFunction</t>
    </r>
    <r>
      <rPr>
        <sz val="11"/>
        <color rgb="FFD4D4D4"/>
        <rFont val="Consolas"/>
        <family val="3"/>
      </rPr>
      <t>(</t>
    </r>
    <r>
      <rPr>
        <sz val="11"/>
        <color rgb="FF4EC9B0"/>
        <rFont val="Consolas"/>
        <family val="3"/>
      </rPr>
      <t>Icon</t>
    </r>
    <r>
      <rPr>
        <sz val="11"/>
        <color rgb="FFD4D4D4"/>
        <rFont val="Consolas"/>
        <family val="3"/>
      </rPr>
      <t>(</t>
    </r>
    <r>
      <rPr>
        <sz val="11"/>
        <color rgb="FF4EC9B0"/>
        <rFont val="Consolas"/>
        <family val="3"/>
      </rPr>
      <t>Icons</t>
    </r>
    <r>
      <rPr>
        <sz val="11"/>
        <color rgb="FFD4D4D4"/>
        <rFont val="Consolas"/>
        <family val="3"/>
      </rPr>
      <t>.edit, color: </t>
    </r>
    <r>
      <rPr>
        <sz val="11"/>
        <color rgb="FF4EC9B0"/>
        <rFont val="Consolas"/>
        <family val="3"/>
      </rPr>
      <t>Colors</t>
    </r>
    <r>
      <rPr>
        <sz val="11"/>
        <color rgb="FFD4D4D4"/>
        <rFont val="Consolas"/>
        <family val="3"/>
      </rPr>
      <t>.white), </t>
    </r>
    <r>
      <rPr>
        <sz val="11"/>
        <color rgb="FFCE9178"/>
        <rFont val="Consolas"/>
        <family val="3"/>
      </rPr>
      <t>"Editar"</t>
    </r>
    <r>
      <rPr>
        <sz val="11"/>
        <color rgb="FFD4D4D4"/>
        <rFont val="Consolas"/>
        <family val="3"/>
      </rPr>
      <t>, (){</t>
    </r>
  </si>
  <si>
    <t xml:space="preserve">        Navigator.push(</t>
  </si>
  <si>
    <t xml:space="preserve">        );</t>
  </si>
  <si>
    <t xml:space="preserve">           context,</t>
  </si>
  <si>
    <t xml:space="preserve">           )</t>
  </si>
  <si>
    <t xml:space="preserve">        ${lmnemonico}vopost.${dto} = widget._${lclassebase}VO['${dto}'];</t>
  </si>
  <si>
    <t xml:space="preserve">           MaterialPageRoute(builder: (context) =&gt; new ${classebase}PageCRUD(${lclassebase}VO: ${lmnemonico}vopost),</t>
  </si>
  <si>
    <t xml:space="preserve">        // Navega para a pagina ${classebase}PageCRUD Solicitada ao clicar no botão Editar</t>
  </si>
  <si>
    <t xml:space="preserve">        ${classebase}VOPost ${lmnemonico}vopost = new ${classebase}VOPost();</t>
  </si>
  <si>
    <r>
      <t>import</t>
    </r>
    <r>
      <rPr>
        <sz val="11"/>
        <color rgb="FFD4D4D4"/>
        <rFont val="Consolas"/>
        <family val="3"/>
      </rPr>
      <t> </t>
    </r>
    <r>
      <rPr>
        <sz val="11"/>
        <color rgb="FFCE9178"/>
        <rFont val="Consolas"/>
        <family val="3"/>
      </rPr>
      <t>'../style/icons.dart'</t>
    </r>
    <r>
      <rPr>
        <sz val="11"/>
        <color rgb="FFD4D4D4"/>
        <rFont val="Consolas"/>
        <family val="3"/>
      </rPr>
      <t>;</t>
    </r>
  </si>
  <si>
    <r>
      <t>import</t>
    </r>
    <r>
      <rPr>
        <sz val="11"/>
        <color rgb="FFD4D4D4"/>
        <rFont val="Consolas"/>
        <family val="3"/>
      </rPr>
      <t> </t>
    </r>
    <r>
      <rPr>
        <sz val="11"/>
        <color rgb="FFCE9178"/>
        <rFont val="Consolas"/>
        <family val="3"/>
      </rPr>
      <t>'package:http/http.dart'</t>
    </r>
    <r>
      <rPr>
        <sz val="11"/>
        <color rgb="FFD4D4D4"/>
        <rFont val="Consolas"/>
        <family val="3"/>
      </rPr>
      <t> </t>
    </r>
    <r>
      <rPr>
        <sz val="11"/>
        <color rgb="FF569CD6"/>
        <rFont val="Consolas"/>
        <family val="3"/>
      </rPr>
      <t>as</t>
    </r>
    <r>
      <rPr>
        <sz val="11"/>
        <color rgb="FFD4D4D4"/>
        <rFont val="Consolas"/>
        <family val="3"/>
      </rPr>
      <t> http;</t>
    </r>
  </si>
  <si>
    <r>
      <t>import</t>
    </r>
    <r>
      <rPr>
        <sz val="11"/>
        <color rgb="FFD4D4D4"/>
        <rFont val="Consolas"/>
        <family val="3"/>
      </rPr>
      <t> </t>
    </r>
    <r>
      <rPr>
        <sz val="11"/>
        <color rgb="FFCE9178"/>
        <rFont val="Consolas"/>
        <family val="3"/>
      </rPr>
      <t>'dart:async'</t>
    </r>
    <r>
      <rPr>
        <sz val="11"/>
        <color rgb="FFD4D4D4"/>
        <rFont val="Consolas"/>
        <family val="3"/>
      </rPr>
      <t>;</t>
    </r>
  </si>
  <si>
    <r>
      <t>import</t>
    </r>
    <r>
      <rPr>
        <sz val="11"/>
        <color rgb="FFD4D4D4"/>
        <rFont val="Consolas"/>
        <family val="3"/>
      </rPr>
      <t> </t>
    </r>
    <r>
      <rPr>
        <sz val="11"/>
        <color rgb="FFCE9178"/>
        <rFont val="Consolas"/>
        <family val="3"/>
      </rPr>
      <t>'dart:convert'</t>
    </r>
    <r>
      <rPr>
        <sz val="11"/>
        <color rgb="FFD4D4D4"/>
        <rFont val="Consolas"/>
        <family val="3"/>
      </rPr>
      <t>;</t>
    </r>
  </si>
  <si>
    <r>
      <t>  </t>
    </r>
    <r>
      <rPr>
        <sz val="11"/>
        <color rgb="FF4EC9B0"/>
        <rFont val="Consolas"/>
        <family val="3"/>
      </rPr>
      <t>String</t>
    </r>
    <r>
      <rPr>
        <sz val="11"/>
        <color rgb="FFD4D4D4"/>
        <rFont val="Consolas"/>
        <family val="3"/>
      </rPr>
      <t> _${lpk};</t>
    </r>
  </si>
  <si>
    <r>
      <t>  </t>
    </r>
    <r>
      <rPr>
        <sz val="11"/>
        <color rgb="FF4EC9B0"/>
        <rFont val="Consolas"/>
        <family val="3"/>
      </rPr>
      <t>Future</t>
    </r>
    <r>
      <rPr>
        <sz val="11"/>
        <color rgb="FFD4D4D4"/>
        <rFont val="Consolas"/>
        <family val="3"/>
      </rPr>
      <t>&lt;</t>
    </r>
    <r>
      <rPr>
        <sz val="11"/>
        <color rgb="FF4EC9B0"/>
        <rFont val="Consolas"/>
        <family val="3"/>
      </rPr>
      <t>Map</t>
    </r>
    <r>
      <rPr>
        <sz val="11"/>
        <color rgb="FFD4D4D4"/>
        <rFont val="Consolas"/>
        <family val="3"/>
      </rPr>
      <t>&gt; </t>
    </r>
    <r>
      <rPr>
        <sz val="11"/>
        <color rgb="FFDCDCAA"/>
        <rFont val="Consolas"/>
        <family val="3"/>
      </rPr>
      <t>_realizarCancelarClick</t>
    </r>
    <r>
      <rPr>
        <sz val="11"/>
        <color rgb="FFD4D4D4"/>
        <rFont val="Consolas"/>
        <family val="3"/>
      </rPr>
      <t>() </t>
    </r>
    <r>
      <rPr>
        <sz val="11"/>
        <color rgb="FFC586C0"/>
        <rFont val="Consolas"/>
        <family val="3"/>
      </rPr>
      <t>async</t>
    </r>
    <r>
      <rPr>
        <sz val="11"/>
        <color rgb="FFD4D4D4"/>
        <rFont val="Consolas"/>
        <family val="3"/>
      </rPr>
      <t> {</t>
    </r>
  </si>
  <si>
    <r>
      <t>    http.</t>
    </r>
    <r>
      <rPr>
        <sz val="11"/>
        <color rgb="FF4EC9B0"/>
        <rFont val="Consolas"/>
        <family val="3"/>
      </rPr>
      <t>Response</t>
    </r>
    <r>
      <rPr>
        <sz val="11"/>
        <color rgb="FFD4D4D4"/>
        <rFont val="Consolas"/>
        <family val="3"/>
      </rPr>
      <t> response;</t>
    </r>
  </si>
  <si>
    <r>
      <t>    </t>
    </r>
    <r>
      <rPr>
        <sz val="11"/>
        <color rgb="FF6A9955"/>
        <rFont val="Consolas"/>
        <family val="3"/>
      </rPr>
      <t>// Solicita a requisição na URL por enquanto sem callback</t>
    </r>
  </si>
  <si>
    <r>
      <t>    response = </t>
    </r>
    <r>
      <rPr>
        <sz val="11"/>
        <color rgb="FFC586C0"/>
        <rFont val="Consolas"/>
        <family val="3"/>
      </rPr>
      <t>await</t>
    </r>
    <r>
      <rPr>
        <sz val="11"/>
        <color rgb="FFD4D4D4"/>
        <rFont val="Consolas"/>
        <family val="3"/>
      </rPr>
      <t> http.</t>
    </r>
    <r>
      <rPr>
        <sz val="11"/>
        <color rgb="FF569CD6"/>
        <rFont val="Consolas"/>
        <family val="3"/>
      </rPr>
      <t>get</t>
    </r>
    <r>
      <rPr>
        <sz val="11"/>
        <color rgb="FFD4D4D4"/>
        <rFont val="Consolas"/>
        <family val="3"/>
      </rPr>
      <t>(</t>
    </r>
    <r>
      <rPr>
        <sz val="11"/>
        <color rgb="FFCE9178"/>
        <rFont val="Consolas"/>
        <family val="3"/>
      </rPr>
      <t>'$</t>
    </r>
    <r>
      <rPr>
        <sz val="11"/>
        <color rgb="FF9CDCFE"/>
        <rFont val="Consolas"/>
        <family val="3"/>
      </rPr>
      <t>url</t>
    </r>
    <r>
      <rPr>
        <sz val="11"/>
        <color rgb="FFCE9178"/>
        <rFont val="Consolas"/>
        <family val="3"/>
      </rPr>
      <t>'</t>
    </r>
    <r>
      <rPr>
        <sz val="11"/>
        <color rgb="FFD4D4D4"/>
        <rFont val="Consolas"/>
        <family val="3"/>
      </rPr>
      <t>);</t>
    </r>
  </si>
  <si>
    <r>
      <t>    </t>
    </r>
    <r>
      <rPr>
        <sz val="11"/>
        <color rgb="FFC586C0"/>
        <rFont val="Consolas"/>
        <family val="3"/>
      </rPr>
      <t>return</t>
    </r>
    <r>
      <rPr>
        <sz val="11"/>
        <color rgb="FFD4D4D4"/>
        <rFont val="Consolas"/>
        <family val="3"/>
      </rPr>
      <t> json.</t>
    </r>
    <r>
      <rPr>
        <sz val="11"/>
        <color rgb="FFDCDCAA"/>
        <rFont val="Consolas"/>
        <family val="3"/>
      </rPr>
      <t>decode</t>
    </r>
    <r>
      <rPr>
        <sz val="11"/>
        <color rgb="FFD4D4D4"/>
        <rFont val="Consolas"/>
        <family val="3"/>
      </rPr>
      <t>(response.body);</t>
    </r>
  </si>
  <si>
    <t>  }</t>
  </si>
  <si>
    <t xml:space="preserve">  // Realizar a execução no backend do botão cancelar na CRUD</t>
  </si>
  <si>
    <t xml:space="preserve">        // Botão Cancelar / Habilitar</t>
  </si>
  <si>
    <r>
      <t>            ? </t>
    </r>
    <r>
      <rPr>
        <sz val="11"/>
        <color rgb="FF4EC9B0"/>
        <rFont val="Consolas"/>
        <family val="3"/>
      </rPr>
      <t>CommonFlatButtonFunction</t>
    </r>
    <r>
      <rPr>
        <sz val="11"/>
        <color rgb="FFD4D4D4"/>
        <rFont val="Consolas"/>
        <family val="3"/>
      </rPr>
      <t>(</t>
    </r>
    <r>
      <rPr>
        <sz val="11"/>
        <color rgb="FF4EC9B0"/>
        <rFont val="Consolas"/>
        <family val="3"/>
      </rPr>
      <t>Icon</t>
    </r>
    <r>
      <rPr>
        <sz val="11"/>
        <color rgb="FFD4D4D4"/>
        <rFont val="Consolas"/>
        <family val="3"/>
      </rPr>
      <t>(</t>
    </r>
    <r>
      <rPr>
        <sz val="11"/>
        <color rgb="FF4EC9B0"/>
        <rFont val="Consolas"/>
        <family val="3"/>
      </rPr>
      <t>Icons</t>
    </r>
    <r>
      <rPr>
        <sz val="11"/>
        <color rgb="FFD4D4D4"/>
        <rFont val="Consolas"/>
        <family val="3"/>
      </rPr>
      <t>.cancel, color: </t>
    </r>
    <r>
      <rPr>
        <sz val="11"/>
        <color rgb="FF4EC9B0"/>
        <rFont val="Consolas"/>
        <family val="3"/>
      </rPr>
      <t>Colors</t>
    </r>
    <r>
      <rPr>
        <sz val="11"/>
        <color rgb="FFD4D4D4"/>
        <rFont val="Consolas"/>
        <family val="3"/>
      </rPr>
      <t>.white), </t>
    </r>
    <r>
      <rPr>
        <sz val="11"/>
        <color rgb="FFCE9178"/>
        <rFont val="Consolas"/>
        <family val="3"/>
      </rPr>
      <t>"Cancelar"</t>
    </r>
    <r>
      <rPr>
        <sz val="11"/>
        <color rgb="FFD4D4D4"/>
        <rFont val="Consolas"/>
        <family val="3"/>
      </rPr>
      <t>, ()  {</t>
    </r>
  </si>
  <si>
    <r>
      <t>              </t>
    </r>
    <r>
      <rPr>
        <sz val="11"/>
        <color rgb="FF4EC9B0"/>
        <rFont val="Consolas"/>
        <family val="3"/>
      </rPr>
      <t>CommonShowDialogYesNo</t>
    </r>
    <r>
      <rPr>
        <sz val="11"/>
        <color rgb="FFD4D4D4"/>
        <rFont val="Consolas"/>
        <family val="3"/>
      </rPr>
      <t> csdyn = </t>
    </r>
    <r>
      <rPr>
        <sz val="11"/>
        <color rgb="FFC586C0"/>
        <rFont val="Consolas"/>
        <family val="3"/>
      </rPr>
      <t>new</t>
    </r>
    <r>
      <rPr>
        <sz val="11"/>
        <color rgb="FFD4D4D4"/>
        <rFont val="Consolas"/>
        <family val="3"/>
      </rPr>
      <t> </t>
    </r>
    <r>
      <rPr>
        <sz val="11"/>
        <color rgb="FF4EC9B0"/>
        <rFont val="Consolas"/>
        <family val="3"/>
      </rPr>
      <t>CommonShowDialogYesNo</t>
    </r>
    <r>
      <rPr>
        <sz val="11"/>
        <color rgb="FFD4D4D4"/>
        <rFont val="Consolas"/>
        <family val="3"/>
      </rPr>
      <t>(</t>
    </r>
  </si>
  <si>
    <t>                context: context,</t>
  </si>
  <si>
    <t>                icon: iconDialogQuestion,</t>
  </si>
  <si>
    <r>
      <t>                textYes: </t>
    </r>
    <r>
      <rPr>
        <sz val="11"/>
        <color rgb="FFCE9178"/>
        <rFont val="Consolas"/>
        <family val="3"/>
      </rPr>
      <t>"Sim"</t>
    </r>
    <r>
      <rPr>
        <sz val="11"/>
        <color rgb="FFD4D4D4"/>
        <rFont val="Consolas"/>
        <family val="3"/>
      </rPr>
      <t>,</t>
    </r>
  </si>
  <si>
    <r>
      <t>                textNo: </t>
    </r>
    <r>
      <rPr>
        <sz val="11"/>
        <color rgb="FFCE9178"/>
        <rFont val="Consolas"/>
        <family val="3"/>
      </rPr>
      <t>"Não"</t>
    </r>
    <r>
      <rPr>
        <sz val="11"/>
        <color rgb="FFD4D4D4"/>
        <rFont val="Consolas"/>
        <family val="3"/>
      </rPr>
      <t>,</t>
    </r>
  </si>
  <si>
    <t>              );</t>
  </si>
  <si>
    <r>
      <t>              csdyn.</t>
    </r>
    <r>
      <rPr>
        <sz val="11"/>
        <color rgb="FFDCDCAA"/>
        <rFont val="Consolas"/>
        <family val="3"/>
      </rPr>
      <t>showDialogYesNo</t>
    </r>
    <r>
      <rPr>
        <sz val="11"/>
        <color rgb="FFD4D4D4"/>
        <rFont val="Consolas"/>
        <family val="3"/>
      </rPr>
      <t>().</t>
    </r>
    <r>
      <rPr>
        <sz val="11"/>
        <color rgb="FFDCDCAA"/>
        <rFont val="Consolas"/>
        <family val="3"/>
      </rPr>
      <t>then</t>
    </r>
    <r>
      <rPr>
        <sz val="11"/>
        <color rgb="FFD4D4D4"/>
        <rFont val="Consolas"/>
        <family val="3"/>
      </rPr>
      <t>((mapa) </t>
    </r>
    <r>
      <rPr>
        <sz val="11"/>
        <color rgb="FFC586C0"/>
        <rFont val="Consolas"/>
        <family val="3"/>
      </rPr>
      <t>async</t>
    </r>
    <r>
      <rPr>
        <sz val="11"/>
        <color rgb="FFD4D4D4"/>
        <rFont val="Consolas"/>
        <family val="3"/>
      </rPr>
      <t> {</t>
    </r>
  </si>
  <si>
    <r>
      <t>              </t>
    </r>
    <r>
      <rPr>
        <sz val="11"/>
        <color rgb="FFC586C0"/>
        <rFont val="Consolas"/>
        <family val="3"/>
      </rPr>
      <t>if</t>
    </r>
    <r>
      <rPr>
        <sz val="11"/>
        <color rgb="FFD4D4D4"/>
        <rFont val="Consolas"/>
        <family val="3"/>
      </rPr>
      <t>(csdyn.</t>
    </r>
    <r>
      <rPr>
        <sz val="11"/>
        <color rgb="FFDCDCAA"/>
        <rFont val="Consolas"/>
        <family val="3"/>
      </rPr>
      <t>getChoice</t>
    </r>
    <r>
      <rPr>
        <sz val="11"/>
        <color rgb="FFD4D4D4"/>
        <rFont val="Consolas"/>
        <family val="3"/>
      </rPr>
      <t>() == </t>
    </r>
    <r>
      <rPr>
        <sz val="11"/>
        <color rgb="FFCE9178"/>
        <rFont val="Consolas"/>
        <family val="3"/>
      </rPr>
      <t>'Y'</t>
    </r>
    <r>
      <rPr>
        <sz val="11"/>
        <color rgb="FFD4D4D4"/>
        <rFont val="Consolas"/>
        <family val="3"/>
      </rPr>
      <t>){</t>
    </r>
  </si>
  <si>
    <r>
      <t>                  </t>
    </r>
    <r>
      <rPr>
        <sz val="11"/>
        <color rgb="FF4EC9B0"/>
        <rFont val="Consolas"/>
        <family val="3"/>
      </rPr>
      <t>Map</t>
    </r>
    <r>
      <rPr>
        <sz val="11"/>
        <color rgb="FFD4D4D4"/>
        <rFont val="Consolas"/>
        <family val="3"/>
      </rPr>
      <t> mapa  = </t>
    </r>
    <r>
      <rPr>
        <sz val="11"/>
        <color rgb="FFC586C0"/>
        <rFont val="Consolas"/>
        <family val="3"/>
      </rPr>
      <t>await</t>
    </r>
    <r>
      <rPr>
        <sz val="11"/>
        <color rgb="FFD4D4D4"/>
        <rFont val="Consolas"/>
        <family val="3"/>
      </rPr>
      <t> </t>
    </r>
    <r>
      <rPr>
        <sz val="11"/>
        <color rgb="FFDCDCAA"/>
        <rFont val="Consolas"/>
        <family val="3"/>
      </rPr>
      <t>_realizarCancelarClick</t>
    </r>
    <r>
      <rPr>
        <sz val="11"/>
        <color rgb="FFD4D4D4"/>
        <rFont val="Consolas"/>
        <family val="3"/>
      </rPr>
      <t>();</t>
    </r>
  </si>
  <si>
    <r>
      <t>                  </t>
    </r>
    <r>
      <rPr>
        <sz val="11"/>
        <color rgb="FF4EC9B0"/>
        <rFont val="Consolas"/>
        <family val="3"/>
      </rPr>
      <t>CommonShowDialogYesNo</t>
    </r>
    <r>
      <rPr>
        <sz val="11"/>
        <color rgb="FFD4D4D4"/>
        <rFont val="Consolas"/>
        <family val="3"/>
      </rPr>
      <t> retorno = </t>
    </r>
    <r>
      <rPr>
        <sz val="11"/>
        <color rgb="FFC586C0"/>
        <rFont val="Consolas"/>
        <family val="3"/>
      </rPr>
      <t>await</t>
    </r>
    <r>
      <rPr>
        <sz val="11"/>
        <color rgb="FFD4D4D4"/>
        <rFont val="Consolas"/>
        <family val="3"/>
      </rPr>
      <t> </t>
    </r>
    <r>
      <rPr>
        <sz val="11"/>
        <color rgb="FFC586C0"/>
        <rFont val="Consolas"/>
        <family val="3"/>
      </rPr>
      <t>new</t>
    </r>
    <r>
      <rPr>
        <sz val="11"/>
        <color rgb="FFD4D4D4"/>
        <rFont val="Consolas"/>
        <family val="3"/>
      </rPr>
      <t> </t>
    </r>
    <r>
      <rPr>
        <sz val="11"/>
        <color rgb="FF4EC9B0"/>
        <rFont val="Consolas"/>
        <family val="3"/>
      </rPr>
      <t>CommonShowDialogYesNo</t>
    </r>
    <r>
      <rPr>
        <sz val="11"/>
        <color rgb="FFD4D4D4"/>
        <rFont val="Consolas"/>
        <family val="3"/>
      </rPr>
      <t>(</t>
    </r>
  </si>
  <si>
    <t>                    context: context,</t>
  </si>
  <si>
    <r>
      <t>                    icon: mapa[</t>
    </r>
    <r>
      <rPr>
        <sz val="11"/>
        <color rgb="FFCE9178"/>
        <rFont val="Consolas"/>
        <family val="3"/>
      </rPr>
      <t>'msgcode'</t>
    </r>
    <r>
      <rPr>
        <sz val="11"/>
        <color rgb="FFD4D4D4"/>
        <rFont val="Consolas"/>
        <family val="3"/>
      </rPr>
      <t>] == </t>
    </r>
    <r>
      <rPr>
        <sz val="11"/>
        <color rgb="FFCE9178"/>
        <rFont val="Consolas"/>
        <family val="3"/>
      </rPr>
      <t>'MSG-0001'</t>
    </r>
    <r>
      <rPr>
        <sz val="11"/>
        <color rgb="FFD4D4D4"/>
        <rFont val="Consolas"/>
        <family val="3"/>
      </rPr>
      <t> ? iconReturnBackendSuccess : iconReturnBackendFail,</t>
    </r>
  </si>
  <si>
    <r>
      <t>                    msg: mapa[</t>
    </r>
    <r>
      <rPr>
        <sz val="11"/>
        <color rgb="FFCE9178"/>
        <rFont val="Consolas"/>
        <family val="3"/>
      </rPr>
      <t>'msgcodeString'</t>
    </r>
    <r>
      <rPr>
        <sz val="11"/>
        <color rgb="FFD4D4D4"/>
        <rFont val="Consolas"/>
        <family val="3"/>
      </rPr>
      <t>],</t>
    </r>
  </si>
  <si>
    <r>
      <t>                  ).</t>
    </r>
    <r>
      <rPr>
        <sz val="11"/>
        <color rgb="FFDCDCAA"/>
        <rFont val="Consolas"/>
        <family val="3"/>
      </rPr>
      <t>showDialogYesNo</t>
    </r>
    <r>
      <rPr>
        <sz val="11"/>
        <color rgb="FFD4D4D4"/>
        <rFont val="Consolas"/>
        <family val="3"/>
      </rPr>
      <t>();</t>
    </r>
  </si>
  <si>
    <r>
      <t>                } </t>
    </r>
    <r>
      <rPr>
        <sz val="11"/>
        <color rgb="FF6A9955"/>
        <rFont val="Consolas"/>
        <family val="3"/>
      </rPr>
      <t>/*getChoice() */</t>
    </r>
  </si>
  <si>
    <t>              });</t>
  </si>
  <si>
    <t>            })</t>
  </si>
  <si>
    <r>
      <t>            widget._${lclassebase}VO[</t>
    </r>
    <r>
      <rPr>
        <sz val="11"/>
        <color rgb="FFCE9178"/>
        <rFont val="Consolas"/>
        <family val="3"/>
      </rPr>
      <t>'status'</t>
    </r>
    <r>
      <rPr>
        <sz val="11"/>
        <color rgb="FFD4D4D4"/>
        <rFont val="Consolas"/>
        <family val="3"/>
      </rPr>
      <t>] == </t>
    </r>
    <r>
      <rPr>
        <sz val="11"/>
        <color rgb="FFCE9178"/>
        <rFont val="Consolas"/>
        <family val="3"/>
      </rPr>
      <t>"A"</t>
    </r>
    <r>
      <rPr>
        <sz val="11"/>
        <color rgb="FFD4D4D4"/>
        <rFont val="Consolas"/>
        <family val="3"/>
      </rPr>
      <t> </t>
    </r>
  </si>
  <si>
    <r>
      <t>                  _${lpk} = widget._${lclassebase}VO[</t>
    </r>
    <r>
      <rPr>
        <sz val="11"/>
        <color rgb="FFCE9178"/>
        <rFont val="Consolas"/>
        <family val="3"/>
      </rPr>
      <t>'id'</t>
    </r>
    <r>
      <rPr>
        <sz val="11"/>
        <color rgb="FFD4D4D4"/>
        <rFont val="Consolas"/>
        <family val="3"/>
      </rPr>
      <t>].</t>
    </r>
    <r>
      <rPr>
        <sz val="11"/>
        <color rgb="FFDCDCAA"/>
        <rFont val="Consolas"/>
        <family val="3"/>
      </rPr>
      <t>toString</t>
    </r>
    <r>
      <rPr>
        <sz val="11"/>
        <color rgb="FFD4D4D4"/>
        <rFont val="Consolas"/>
        <family val="3"/>
      </rPr>
      <t>();</t>
    </r>
  </si>
  <si>
    <r>
      <t>                msg: </t>
    </r>
    <r>
      <rPr>
        <sz val="11"/>
        <color rgb="FFCE9178"/>
        <rFont val="Consolas"/>
        <family val="3"/>
      </rPr>
      <t>"Tem certeza de CANCELAR este item?"</t>
    </r>
    <r>
      <rPr>
        <sz val="11"/>
        <color rgb="FFD4D4D4"/>
        <rFont val="Consolas"/>
        <family val="3"/>
      </rPr>
      <t>,</t>
    </r>
  </si>
  <si>
    <r>
      <t>            : </t>
    </r>
    <r>
      <rPr>
        <sz val="11"/>
        <color rgb="FF4EC9B0"/>
        <rFont val="Consolas"/>
        <family val="3"/>
      </rPr>
      <t>CommonFlatButtonFunction</t>
    </r>
    <r>
      <rPr>
        <sz val="11"/>
        <color rgb="FFD4D4D4"/>
        <rFont val="Consolas"/>
        <family val="3"/>
      </rPr>
      <t>(</t>
    </r>
    <r>
      <rPr>
        <sz val="11"/>
        <color rgb="FF4EC9B0"/>
        <rFont val="Consolas"/>
        <family val="3"/>
      </rPr>
      <t>Icon</t>
    </r>
    <r>
      <rPr>
        <sz val="11"/>
        <color rgb="FFD4D4D4"/>
        <rFont val="Consolas"/>
        <family val="3"/>
      </rPr>
      <t>(</t>
    </r>
    <r>
      <rPr>
        <sz val="11"/>
        <color rgb="FF4EC9B0"/>
        <rFont val="Consolas"/>
        <family val="3"/>
      </rPr>
      <t>Icons</t>
    </r>
    <r>
      <rPr>
        <sz val="11"/>
        <color rgb="FFD4D4D4"/>
        <rFont val="Consolas"/>
        <family val="3"/>
      </rPr>
      <t>.check_circle, color: </t>
    </r>
    <r>
      <rPr>
        <sz val="11"/>
        <color rgb="FF4EC9B0"/>
        <rFont val="Consolas"/>
        <family val="3"/>
      </rPr>
      <t>Colors</t>
    </r>
    <r>
      <rPr>
        <sz val="11"/>
        <color rgb="FFD4D4D4"/>
        <rFont val="Consolas"/>
        <family val="3"/>
      </rPr>
      <t>.white), </t>
    </r>
    <r>
      <rPr>
        <sz val="11"/>
        <color rgb="FFCE9178"/>
        <rFont val="Consolas"/>
        <family val="3"/>
      </rPr>
      <t>"Habilitar"</t>
    </r>
    <r>
      <rPr>
        <sz val="11"/>
        <color rgb="FFD4D4D4"/>
        <rFont val="Consolas"/>
        <family val="3"/>
      </rPr>
      <t>, (){</t>
    </r>
  </si>
  <si>
    <r>
      <t>                msg: </t>
    </r>
    <r>
      <rPr>
        <sz val="11"/>
        <color rgb="FFCE9178"/>
        <rFont val="Consolas"/>
        <family val="3"/>
      </rPr>
      <t>"Tem certeza de HABILITAR este item?"</t>
    </r>
    <r>
      <rPr>
        <sz val="11"/>
        <color rgb="FFD4D4D4"/>
        <rFont val="Consolas"/>
        <family val="3"/>
      </rPr>
      <t>,</t>
    </r>
  </si>
  <si>
    <r>
      <t>                  </t>
    </r>
    <r>
      <rPr>
        <sz val="11"/>
        <color rgb="FF4EC9B0"/>
        <rFont val="Consolas"/>
        <family val="3"/>
      </rPr>
      <t>Map</t>
    </r>
    <r>
      <rPr>
        <sz val="11"/>
        <color rgb="FFD4D4D4"/>
        <rFont val="Consolas"/>
        <family val="3"/>
      </rPr>
      <t> mapa  = </t>
    </r>
    <r>
      <rPr>
        <sz val="11"/>
        <color rgb="FFC586C0"/>
        <rFont val="Consolas"/>
        <family val="3"/>
      </rPr>
      <t>await</t>
    </r>
    <r>
      <rPr>
        <sz val="11"/>
        <color rgb="FFD4D4D4"/>
        <rFont val="Consolas"/>
        <family val="3"/>
      </rPr>
      <t> </t>
    </r>
    <r>
      <rPr>
        <sz val="11"/>
        <color rgb="FFDCDCAA"/>
        <rFont val="Consolas"/>
        <family val="3"/>
      </rPr>
      <t>_realizarHabilitarClick</t>
    </r>
    <r>
      <rPr>
        <sz val="11"/>
        <color rgb="FFD4D4D4"/>
        <rFont val="Consolas"/>
        <family val="3"/>
      </rPr>
      <t>();</t>
    </r>
  </si>
  <si>
    <t>              });              </t>
  </si>
  <si>
    <t>            }),</t>
  </si>
  <si>
    <r>
      <t>  </t>
    </r>
    <r>
      <rPr>
        <sz val="11"/>
        <color rgb="FF4EC9B0"/>
        <rFont val="Consolas"/>
        <family val="3"/>
      </rPr>
      <t>Future</t>
    </r>
    <r>
      <rPr>
        <sz val="11"/>
        <color rgb="FFD4D4D4"/>
        <rFont val="Consolas"/>
        <family val="3"/>
      </rPr>
      <t>&lt;</t>
    </r>
    <r>
      <rPr>
        <sz val="11"/>
        <color rgb="FF4EC9B0"/>
        <rFont val="Consolas"/>
        <family val="3"/>
      </rPr>
      <t>Map</t>
    </r>
    <r>
      <rPr>
        <sz val="11"/>
        <color rgb="FFD4D4D4"/>
        <rFont val="Consolas"/>
        <family val="3"/>
      </rPr>
      <t>&gt; </t>
    </r>
    <r>
      <rPr>
        <sz val="11"/>
        <color rgb="FFDCDCAA"/>
        <rFont val="Consolas"/>
        <family val="3"/>
      </rPr>
      <t>_realizarHabilitarClick</t>
    </r>
    <r>
      <rPr>
        <sz val="11"/>
        <color rgb="FFD4D4D4"/>
        <rFont val="Consolas"/>
        <family val="3"/>
      </rPr>
      <t>() </t>
    </r>
    <r>
      <rPr>
        <sz val="11"/>
        <color rgb="FFC586C0"/>
        <rFont val="Consolas"/>
        <family val="3"/>
      </rPr>
      <t>async</t>
    </r>
    <r>
      <rPr>
        <sz val="11"/>
        <color rgb="FFD4D4D4"/>
        <rFont val="Consolas"/>
        <family val="3"/>
      </rPr>
      <t> {</t>
    </r>
  </si>
  <si>
    <t xml:space="preserve">  // Realizar a execução no backend do botão Habilitar na CRUD</t>
  </si>
  <si>
    <r>
      <t>    </t>
    </r>
    <r>
      <rPr>
        <sz val="11"/>
        <color rgb="FF4EC9B0"/>
        <rFont val="Consolas"/>
        <family val="3"/>
      </rPr>
      <t>String</t>
    </r>
    <r>
      <rPr>
        <sz val="11"/>
        <color rgb="FFD4D4D4"/>
        <rFont val="Consolas"/>
        <family val="3"/>
      </rPr>
      <t> url=</t>
    </r>
    <r>
      <rPr>
        <sz val="11"/>
        <color rgb="FFCE9178"/>
        <rFont val="Consolas"/>
        <family val="3"/>
      </rPr>
      <t>'${</t>
    </r>
    <r>
      <rPr>
        <sz val="11"/>
        <color rgb="FF9CDCFE"/>
        <rFont val="Consolas"/>
        <family val="3"/>
      </rPr>
      <t>_urlControlador</t>
    </r>
    <r>
      <rPr>
        <sz val="11"/>
        <color rgb="FFCE9178"/>
        <rFont val="Consolas"/>
        <family val="3"/>
      </rPr>
      <t>}app${classebase}Habilitar.php?tokenid=${</t>
    </r>
    <r>
      <rPr>
        <sz val="11"/>
        <color rgb="FF9CDCFE"/>
        <rFont val="Consolas"/>
        <family val="3"/>
      </rPr>
      <t>_token</t>
    </r>
    <r>
      <rPr>
        <sz val="11"/>
        <color rgb="FFCE9178"/>
        <rFont val="Consolas"/>
        <family val="3"/>
      </rPr>
      <t>}&amp;${lpk}=${</t>
    </r>
    <r>
      <rPr>
        <sz val="11"/>
        <color rgb="FF9CDCFE"/>
        <rFont val="Consolas"/>
        <family val="3"/>
      </rPr>
      <t>_${lpk}</t>
    </r>
    <r>
      <rPr>
        <sz val="11"/>
        <color rgb="FFCE9178"/>
        <rFont val="Consolas"/>
        <family val="3"/>
      </rPr>
      <t>}'</t>
    </r>
    <r>
      <rPr>
        <sz val="11"/>
        <color rgb="FFD4D4D4"/>
        <rFont val="Consolas"/>
        <family val="3"/>
      </rPr>
      <t>;</t>
    </r>
  </si>
  <si>
    <r>
      <t>    </t>
    </r>
    <r>
      <rPr>
        <sz val="11"/>
        <color rgb="FF4EC9B0"/>
        <rFont val="Consolas"/>
        <family val="3"/>
      </rPr>
      <t>String</t>
    </r>
    <r>
      <rPr>
        <sz val="11"/>
        <color rgb="FFD4D4D4"/>
        <rFont val="Consolas"/>
        <family val="3"/>
      </rPr>
      <t> url=</t>
    </r>
    <r>
      <rPr>
        <sz val="11"/>
        <color rgb="FFCE9178"/>
        <rFont val="Consolas"/>
        <family val="3"/>
      </rPr>
      <t>'${</t>
    </r>
    <r>
      <rPr>
        <sz val="11"/>
        <color rgb="FF9CDCFE"/>
        <rFont val="Consolas"/>
        <family val="3"/>
      </rPr>
      <t>_urlControlador</t>
    </r>
    <r>
      <rPr>
        <sz val="11"/>
        <color rgb="FFCE9178"/>
        <rFont val="Consolas"/>
        <family val="3"/>
      </rPr>
      <t>}app${classebase}Cancelar.php?tokenid=${</t>
    </r>
    <r>
      <rPr>
        <sz val="11"/>
        <color rgb="FF9CDCFE"/>
        <rFont val="Consolas"/>
        <family val="3"/>
      </rPr>
      <t>_token</t>
    </r>
    <r>
      <rPr>
        <sz val="11"/>
        <color rgb="FFCE9178"/>
        <rFont val="Consolas"/>
        <family val="3"/>
      </rPr>
      <t>}&amp;${lpk}=${</t>
    </r>
    <r>
      <rPr>
        <sz val="11"/>
        <color rgb="FF9CDCFE"/>
        <rFont val="Consolas"/>
        <family val="3"/>
      </rPr>
      <t>_${lpk}</t>
    </r>
    <r>
      <rPr>
        <sz val="11"/>
        <color rgb="FFCE9178"/>
        <rFont val="Consolas"/>
        <family val="3"/>
      </rPr>
      <t>}'</t>
    </r>
    <r>
      <rPr>
        <sz val="11"/>
        <color rgb="FFD4D4D4"/>
        <rFont val="Consolas"/>
        <family val="3"/>
      </rPr>
      <t>;</t>
    </r>
  </si>
  <si>
    <t xml:space="preserve">    super.initState();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</si>
</sst>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 x14ac:knownFonts="1">
    <font>
      <sz val="11"/>
      <color theme="1"/>
      <name val="Calibri"/>
      <family val="2"/>
      <scheme val="minor"/>
    </font>
    <font>
      <sz val="11"/>
      <color rgb="FFD4D4D4"/>
      <name val="Consolas"/>
      <family val="3"/>
    </font>
    <font>
      <sz val="11"/>
      <color rgb="FFCE9178"/>
      <name val="Consolas"/>
      <family val="3"/>
    </font>
    <font>
      <sz val="11"/>
      <color rgb="FF569CD6"/>
      <name val="Consolas"/>
      <family val="3"/>
    </font>
    <font>
      <sz val="11"/>
      <color rgb="FFB5CEA8"/>
      <name val="Consolas"/>
      <family val="3"/>
    </font>
    <font>
      <sz val="11"/>
      <color rgb="FFDCDCAA"/>
      <name val="Consolas"/>
      <family val="3"/>
    </font>
    <font>
      <sz val="11"/>
      <color rgb="FF6A9955"/>
      <name val="Consolas"/>
      <family val="3"/>
    </font>
    <font>
      <sz val="11"/>
      <color rgb="FFC586C0"/>
      <name val="Consolas"/>
      <family val="3"/>
    </font>
    <font>
      <sz val="11"/>
      <color rgb="FF4EC9B0"/>
      <name val="Consolas"/>
      <family val="3"/>
    </font>
    <font>
      <b/>
      <sz val="11"/>
      <color theme="0"/>
      <name val="Calibri"/>
      <family val="2"/>
      <scheme val="minor"/>
    </font>
    <font>
      <sz val="9"/>
      <color rgb="FF6E6E70"/>
      <name val="Consolas"/>
      <family val="3"/>
    </font>
    <font>
      <sz val="10"/>
      <color rgb="FF000000"/>
      <name val="Courier New"/>
      <family val="3"/>
    </font>
    <font>
      <b/>
      <sz val="10"/>
      <color rgb="FF660E7A"/>
      <name val="Courier New"/>
      <family val="3"/>
    </font>
    <font>
      <b/>
      <sz val="10"/>
      <color rgb="FF000080"/>
      <name val="Courier New"/>
      <family val="3"/>
    </font>
    <font>
      <b/>
      <sz val="10"/>
      <color rgb="FF008000"/>
      <name val="Courier New"/>
      <family val="3"/>
    </font>
    <font>
      <sz val="10"/>
      <color rgb="FF808000"/>
      <name val="Courier New"/>
      <family val="3"/>
    </font>
    <font>
      <sz val="10"/>
      <color rgb="FF2196F3"/>
      <name val="Courier New"/>
      <family val="3"/>
    </font>
    <font>
      <sz val="10"/>
      <color rgb="FF0000FF"/>
      <name val="Courier New"/>
      <family val="3"/>
    </font>
    <font>
      <i/>
      <sz val="10"/>
      <color rgb="FF808080"/>
      <name val="Courier New"/>
      <family val="3"/>
    </font>
    <font>
      <i/>
      <sz val="10"/>
      <color rgb="FF660E7A"/>
      <name val="Courier New"/>
      <family val="3"/>
    </font>
    <font>
      <i/>
      <sz val="10"/>
      <color rgb="FF000000"/>
      <name val="Courier New"/>
      <family val="3"/>
    </font>
    <font>
      <sz val="11"/>
      <color theme="1"/>
      <name val="Consolas"/>
      <family val="3"/>
    </font>
    <font>
      <sz val="8"/>
      <name val="Calibri"/>
      <family val="2"/>
      <scheme val="minor"/>
    </font>
    <font>
      <sz val="11"/>
      <color rgb="FF9CDCFE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1E1E1E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5F5F7"/>
        <bgColor indexed="64"/>
      </patternFill>
    </fill>
    <fill>
      <patternFill patternType="solid">
        <fgColor rgb="FFFFFFFF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8">
    <xf numFmtId="0" fontId="0" fillId="0" borderId="0" xfId="0"/>
    <xf numFmtId="0" fontId="2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0" fillId="2" borderId="0" xfId="0" applyFill="1" applyAlignment="1">
      <alignment vertical="center"/>
    </xf>
    <xf numFmtId="0" fontId="6" fillId="0" borderId="0" xfId="0" applyFont="1" applyAlignment="1">
      <alignment vertical="center"/>
    </xf>
    <xf numFmtId="0" fontId="7" fillId="0" borderId="0" xfId="0" applyFont="1" applyAlignment="1">
      <alignment vertical="center"/>
    </xf>
    <xf numFmtId="0" fontId="1" fillId="0" borderId="0" xfId="0" applyFont="1" applyAlignment="1">
      <alignment vertical="center"/>
    </xf>
    <xf numFmtId="0" fontId="0" fillId="3" borderId="0" xfId="0" applyFill="1"/>
    <xf numFmtId="0" fontId="2" fillId="0" borderId="0" xfId="0" quotePrefix="1" applyFont="1" applyAlignment="1">
      <alignment vertical="center"/>
    </xf>
    <xf numFmtId="0" fontId="0" fillId="0" borderId="0" xfId="0" applyAlignment="1">
      <alignment horizontal="center"/>
    </xf>
    <xf numFmtId="22" fontId="0" fillId="0" borderId="0" xfId="0" applyNumberFormat="1"/>
    <xf numFmtId="0" fontId="9" fillId="4" borderId="0" xfId="0" applyFont="1" applyFill="1"/>
    <xf numFmtId="0" fontId="10" fillId="0" borderId="0" xfId="0" applyFont="1" applyAlignment="1">
      <alignment horizontal="left" vertical="center" indent="3"/>
    </xf>
    <xf numFmtId="0" fontId="10" fillId="5" borderId="0" xfId="0" applyFont="1" applyFill="1" applyAlignment="1">
      <alignment horizontal="left" vertical="center" indent="3"/>
    </xf>
    <xf numFmtId="0" fontId="12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0" fontId="0" fillId="0" borderId="0" xfId="0" applyAlignment="1">
      <alignment vertical="center"/>
    </xf>
    <xf numFmtId="0" fontId="13" fillId="0" borderId="0" xfId="0" applyFont="1" applyAlignment="1">
      <alignment vertical="center"/>
    </xf>
    <xf numFmtId="0" fontId="15" fillId="6" borderId="0" xfId="0" applyFont="1" applyFill="1" applyAlignment="1">
      <alignment vertical="center"/>
    </xf>
    <xf numFmtId="0" fontId="0" fillId="6" borderId="0" xfId="0" applyFill="1" applyAlignment="1">
      <alignment vertical="center"/>
    </xf>
    <xf numFmtId="0" fontId="11" fillId="6" borderId="0" xfId="0" applyFont="1" applyFill="1" applyAlignment="1">
      <alignment vertical="center"/>
    </xf>
    <xf numFmtId="0" fontId="13" fillId="6" borderId="0" xfId="0" applyFont="1" applyFill="1" applyAlignment="1">
      <alignment vertical="center"/>
    </xf>
    <xf numFmtId="0" fontId="17" fillId="6" borderId="0" xfId="0" applyFont="1" applyFill="1" applyAlignment="1">
      <alignment vertical="center"/>
    </xf>
    <xf numFmtId="0" fontId="18" fillId="6" borderId="0" xfId="0" applyFont="1" applyFill="1" applyAlignment="1">
      <alignment vertical="center"/>
    </xf>
    <xf numFmtId="0" fontId="14" fillId="6" borderId="0" xfId="0" applyFont="1" applyFill="1" applyAlignment="1">
      <alignment vertical="center"/>
    </xf>
    <xf numFmtId="0" fontId="16" fillId="0" borderId="0" xfId="0" applyFont="1" applyAlignment="1">
      <alignment vertical="center"/>
    </xf>
    <xf numFmtId="0" fontId="21" fillId="0" borderId="0" xfId="0" applyFont="1" applyAlignment="1">
      <alignment vertic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5F3185-599D-4781-81E2-C4A8F21F8C4B}">
  <sheetPr codeName="Sheet1"/>
  <dimension ref="A1:Y58"/>
  <sheetViews>
    <sheetView workbookViewId="0">
      <selection activeCell="D4" sqref="D4"/>
    </sheetView>
  </sheetViews>
  <sheetFormatPr defaultRowHeight="15" x14ac:dyDescent="0.25"/>
  <cols>
    <col min="2" max="2" width="28" customWidth="1"/>
    <col min="3" max="3" width="23" customWidth="1"/>
    <col min="4" max="4" width="15.85546875" bestFit="1" customWidth="1"/>
    <col min="5" max="5" width="20.85546875" customWidth="1"/>
    <col min="6" max="6" width="15.28515625" customWidth="1"/>
    <col min="7" max="7" width="20" customWidth="1"/>
  </cols>
  <sheetData>
    <row r="1" spans="1:25" x14ac:dyDescent="0.25">
      <c r="B1" s="11" t="s">
        <v>30</v>
      </c>
      <c r="C1" t="s">
        <v>31</v>
      </c>
    </row>
    <row r="2" spans="1:25" x14ac:dyDescent="0.25">
      <c r="B2" s="11" t="s">
        <v>0</v>
      </c>
      <c r="C2" s="1" t="s">
        <v>305</v>
      </c>
    </row>
    <row r="3" spans="1:25" x14ac:dyDescent="0.25">
      <c r="B3" s="11" t="s">
        <v>1</v>
      </c>
      <c r="C3" t="s">
        <v>306</v>
      </c>
      <c r="D3" t="s">
        <v>308</v>
      </c>
    </row>
    <row r="4" spans="1:25" x14ac:dyDescent="0.25">
      <c r="B4" s="11" t="s">
        <v>18</v>
      </c>
      <c r="C4" t="s">
        <v>307</v>
      </c>
    </row>
    <row r="5" spans="1:25" x14ac:dyDescent="0.25">
      <c r="B5" t="s">
        <v>32</v>
      </c>
      <c r="C5" s="10">
        <f ca="1">NOW()</f>
        <v>43735.459007986108</v>
      </c>
    </row>
    <row r="6" spans="1:25" x14ac:dyDescent="0.25">
      <c r="A6">
        <v>1</v>
      </c>
      <c r="B6">
        <v>2</v>
      </c>
      <c r="C6">
        <v>3</v>
      </c>
      <c r="D6">
        <v>4</v>
      </c>
      <c r="E6">
        <v>5</v>
      </c>
      <c r="F6">
        <v>6</v>
      </c>
      <c r="G6">
        <v>7</v>
      </c>
      <c r="P6" t="s">
        <v>8</v>
      </c>
      <c r="R6" t="s">
        <v>9</v>
      </c>
      <c r="T6" t="s">
        <v>10</v>
      </c>
      <c r="V6" t="s">
        <v>26</v>
      </c>
      <c r="W6" s="27"/>
      <c r="X6" s="27"/>
      <c r="Y6" s="9"/>
    </row>
    <row r="7" spans="1:25" x14ac:dyDescent="0.25">
      <c r="A7" t="s">
        <v>19</v>
      </c>
      <c r="B7" t="s">
        <v>5</v>
      </c>
      <c r="C7" t="s">
        <v>6</v>
      </c>
      <c r="D7" t="s">
        <v>7</v>
      </c>
      <c r="E7" s="11" t="s">
        <v>11</v>
      </c>
      <c r="F7" t="s">
        <v>23</v>
      </c>
      <c r="G7" t="s">
        <v>25</v>
      </c>
      <c r="H7" t="s">
        <v>46</v>
      </c>
      <c r="I7" s="11" t="s">
        <v>2</v>
      </c>
      <c r="P7" t="s">
        <v>3</v>
      </c>
      <c r="Q7" t="s">
        <v>4</v>
      </c>
    </row>
    <row r="8" spans="1:25" x14ac:dyDescent="0.25">
      <c r="A8" s="7">
        <v>0</v>
      </c>
      <c r="B8" t="str">
        <f>MID(I8,P8+1,Q8-P8-1)</f>
        <v>USPU_ID</v>
      </c>
      <c r="C8" t="s">
        <v>20</v>
      </c>
      <c r="D8" t="str">
        <f>IF(C8="timestamp",19,MID(I8,T8+1,U8-T8-1))</f>
        <v>11</v>
      </c>
      <c r="E8" s="26" t="s">
        <v>12</v>
      </c>
      <c r="F8" t="str">
        <f>IF(C8="INT","INTEGER_TYPE",IF(C8="DECIMAL","DOUBLE_TYPE","STRING_TYPE"))</f>
        <v>INTEGER_TYPE</v>
      </c>
      <c r="G8" t="str">
        <f>MID(I8,V8,W8-V8)</f>
        <v>ID Usuário x Publicidade</v>
      </c>
      <c r="H8" t="str">
        <f>IF(C8="INT","int","String")</f>
        <v>int</v>
      </c>
      <c r="I8" s="6" t="s">
        <v>287</v>
      </c>
      <c r="P8">
        <f>FIND("`",I8,1)</f>
        <v>1</v>
      </c>
      <c r="Q8">
        <f>FIND("`",I8,2)</f>
        <v>9</v>
      </c>
      <c r="T8">
        <f>FIND("(",I8)</f>
        <v>14</v>
      </c>
      <c r="U8">
        <f>FIND(")",I8,T8+1)</f>
        <v>17</v>
      </c>
      <c r="V8">
        <f>FIND("COMMENT '",I8)+9</f>
        <v>52</v>
      </c>
      <c r="W8">
        <f>FIND("'",I8,V8)</f>
        <v>76</v>
      </c>
    </row>
    <row r="9" spans="1:25" x14ac:dyDescent="0.25">
      <c r="A9">
        <v>1</v>
      </c>
      <c r="B9" t="str">
        <f t="shared" ref="B9:B19" si="0">MID(I9,P9+1,Q9-P9-1)</f>
        <v>USUA_ID</v>
      </c>
      <c r="C9" t="s">
        <v>20</v>
      </c>
      <c r="D9" t="str">
        <f t="shared" ref="D9:D22" si="1">IF(C9="timestamp",19,MID(I9,T9+1,U9-T9-1))</f>
        <v>11</v>
      </c>
      <c r="E9" s="26" t="s">
        <v>286</v>
      </c>
      <c r="F9" t="str">
        <f t="shared" ref="F9:F21" si="2">IF(C9="INT","INTEGER_TYPE",IF(C9="DECIMAL","DOUBLE_TYPE","STRING_TYPE"))</f>
        <v>INTEGER_TYPE</v>
      </c>
      <c r="G9" t="str">
        <f t="shared" ref="G9:G21" si="3">MID(I9,V9,W9-V9)</f>
        <v>ID do usuário</v>
      </c>
      <c r="H9" t="str">
        <f t="shared" ref="H9:H21" si="4">IF(C9="INT","int","String")</f>
        <v>int</v>
      </c>
      <c r="I9" s="6" t="s">
        <v>288</v>
      </c>
      <c r="P9">
        <f t="shared" ref="P9:P18" si="5">FIND("`",I9,1)</f>
        <v>1</v>
      </c>
      <c r="Q9">
        <f t="shared" ref="Q9:Q18" si="6">FIND("`",I9,2)</f>
        <v>9</v>
      </c>
      <c r="T9">
        <f t="shared" ref="T9:T18" si="7">FIND("(",I9)</f>
        <v>14</v>
      </c>
      <c r="U9">
        <f t="shared" ref="U9:U18" si="8">FIND(")",I9,T9+1)</f>
        <v>17</v>
      </c>
      <c r="V9">
        <f t="shared" ref="V9:V36" si="9">FIND("COMMENT '",I9)+9</f>
        <v>37</v>
      </c>
      <c r="W9">
        <f t="shared" ref="W9:W36" si="10">FIND("'",I9,V9)</f>
        <v>50</v>
      </c>
    </row>
    <row r="10" spans="1:25" x14ac:dyDescent="0.25">
      <c r="A10">
        <v>2</v>
      </c>
      <c r="B10" t="str">
        <f t="shared" si="0"/>
        <v>USPU_TX_TITULO</v>
      </c>
      <c r="C10" t="s">
        <v>21</v>
      </c>
      <c r="D10" t="str">
        <f t="shared" si="1"/>
        <v>500</v>
      </c>
      <c r="E10" s="26" t="s">
        <v>297</v>
      </c>
      <c r="F10" t="str">
        <f t="shared" si="2"/>
        <v>STRING_TYPE</v>
      </c>
      <c r="G10" t="str">
        <f t="shared" si="3"/>
        <v>Título da publicidade</v>
      </c>
      <c r="H10" t="str">
        <f t="shared" si="4"/>
        <v>String</v>
      </c>
      <c r="I10" s="6" t="s">
        <v>289</v>
      </c>
      <c r="P10">
        <f t="shared" si="5"/>
        <v>1</v>
      </c>
      <c r="Q10">
        <f t="shared" si="6"/>
        <v>16</v>
      </c>
      <c r="T10">
        <f t="shared" si="7"/>
        <v>25</v>
      </c>
      <c r="U10">
        <f t="shared" si="8"/>
        <v>29</v>
      </c>
      <c r="V10">
        <f t="shared" si="9"/>
        <v>49</v>
      </c>
      <c r="W10">
        <f t="shared" si="10"/>
        <v>70</v>
      </c>
    </row>
    <row r="11" spans="1:25" x14ac:dyDescent="0.25">
      <c r="A11">
        <v>3</v>
      </c>
      <c r="B11" t="str">
        <f t="shared" si="0"/>
        <v>USPU_TX_DESCRICAO</v>
      </c>
      <c r="C11" t="s">
        <v>21</v>
      </c>
      <c r="D11" t="str">
        <f t="shared" si="1"/>
        <v>2000</v>
      </c>
      <c r="E11" s="26" t="s">
        <v>298</v>
      </c>
      <c r="F11" t="str">
        <f t="shared" si="2"/>
        <v>STRING_TYPE</v>
      </c>
      <c r="G11" t="str">
        <f t="shared" si="3"/>
        <v>Descrição geral</v>
      </c>
      <c r="H11" t="str">
        <f t="shared" si="4"/>
        <v>String</v>
      </c>
      <c r="I11" s="6" t="s">
        <v>290</v>
      </c>
      <c r="P11">
        <f t="shared" si="5"/>
        <v>1</v>
      </c>
      <c r="Q11">
        <f t="shared" si="6"/>
        <v>19</v>
      </c>
      <c r="T11">
        <f t="shared" si="7"/>
        <v>28</v>
      </c>
      <c r="U11">
        <f t="shared" si="8"/>
        <v>33</v>
      </c>
      <c r="V11">
        <f t="shared" si="9"/>
        <v>53</v>
      </c>
      <c r="W11">
        <f t="shared" si="10"/>
        <v>68</v>
      </c>
    </row>
    <row r="12" spans="1:25" x14ac:dyDescent="0.25">
      <c r="A12">
        <v>4</v>
      </c>
      <c r="B12" t="str">
        <f t="shared" si="0"/>
        <v>USPU_DT_INICIO</v>
      </c>
      <c r="C12" t="s">
        <v>22</v>
      </c>
      <c r="D12">
        <f t="shared" si="1"/>
        <v>19</v>
      </c>
      <c r="E12" s="26" t="s">
        <v>299</v>
      </c>
      <c r="F12" t="str">
        <f t="shared" si="2"/>
        <v>STRING_TYPE</v>
      </c>
      <c r="G12" t="str">
        <f t="shared" si="3"/>
        <v>Data de início</v>
      </c>
      <c r="H12" t="str">
        <f t="shared" si="4"/>
        <v>String</v>
      </c>
      <c r="I12" s="6" t="s">
        <v>291</v>
      </c>
      <c r="P12">
        <f t="shared" si="5"/>
        <v>1</v>
      </c>
      <c r="Q12">
        <f t="shared" si="6"/>
        <v>16</v>
      </c>
      <c r="T12" t="e">
        <f t="shared" si="7"/>
        <v>#VALUE!</v>
      </c>
      <c r="U12" t="e">
        <f t="shared" si="8"/>
        <v>#VALUE!</v>
      </c>
      <c r="V12">
        <f t="shared" si="9"/>
        <v>37</v>
      </c>
      <c r="W12">
        <f t="shared" si="10"/>
        <v>51</v>
      </c>
    </row>
    <row r="13" spans="1:25" x14ac:dyDescent="0.25">
      <c r="A13">
        <v>5</v>
      </c>
      <c r="B13" t="str">
        <f t="shared" si="0"/>
        <v>USPU_DT_TERMINO</v>
      </c>
      <c r="C13" t="s">
        <v>22</v>
      </c>
      <c r="D13">
        <f t="shared" si="1"/>
        <v>19</v>
      </c>
      <c r="E13" s="26" t="s">
        <v>300</v>
      </c>
      <c r="F13" t="str">
        <f t="shared" si="2"/>
        <v>STRING_TYPE</v>
      </c>
      <c r="G13" t="str">
        <f t="shared" si="3"/>
        <v>Data de término</v>
      </c>
      <c r="H13" t="str">
        <f t="shared" si="4"/>
        <v>String</v>
      </c>
      <c r="I13" s="6" t="s">
        <v>292</v>
      </c>
      <c r="P13">
        <f t="shared" si="5"/>
        <v>1</v>
      </c>
      <c r="Q13">
        <f t="shared" si="6"/>
        <v>17</v>
      </c>
      <c r="T13" t="e">
        <f t="shared" si="7"/>
        <v>#VALUE!</v>
      </c>
      <c r="U13" t="e">
        <f t="shared" si="8"/>
        <v>#VALUE!</v>
      </c>
      <c r="V13">
        <f t="shared" si="9"/>
        <v>38</v>
      </c>
      <c r="W13">
        <f t="shared" si="10"/>
        <v>53</v>
      </c>
    </row>
    <row r="14" spans="1:25" x14ac:dyDescent="0.25">
      <c r="A14">
        <v>6</v>
      </c>
      <c r="B14" t="str">
        <f t="shared" si="0"/>
        <v>USPU_VL_NORMAL</v>
      </c>
      <c r="C14" t="s">
        <v>263</v>
      </c>
      <c r="D14" t="str">
        <f t="shared" si="1"/>
        <v>10,2</v>
      </c>
      <c r="E14" s="26" t="s">
        <v>301</v>
      </c>
      <c r="F14" t="str">
        <f t="shared" si="2"/>
        <v>DOUBLE_TYPE</v>
      </c>
      <c r="G14" t="str">
        <f t="shared" si="3"/>
        <v>Valor do produto/serviço</v>
      </c>
      <c r="H14" t="str">
        <f t="shared" si="4"/>
        <v>String</v>
      </c>
      <c r="I14" s="6" t="s">
        <v>293</v>
      </c>
      <c r="P14">
        <f t="shared" si="5"/>
        <v>1</v>
      </c>
      <c r="Q14">
        <f t="shared" si="6"/>
        <v>16</v>
      </c>
      <c r="T14">
        <f t="shared" si="7"/>
        <v>25</v>
      </c>
      <c r="U14">
        <f t="shared" si="8"/>
        <v>30</v>
      </c>
      <c r="V14">
        <f t="shared" si="9"/>
        <v>60</v>
      </c>
      <c r="W14">
        <f t="shared" si="10"/>
        <v>84</v>
      </c>
    </row>
    <row r="15" spans="1:25" x14ac:dyDescent="0.25">
      <c r="A15">
        <v>7</v>
      </c>
      <c r="B15" t="str">
        <f t="shared" si="0"/>
        <v>USPU_VL_PROMO</v>
      </c>
      <c r="C15" t="s">
        <v>263</v>
      </c>
      <c r="D15" t="str">
        <f t="shared" si="1"/>
        <v>10,2</v>
      </c>
      <c r="E15" s="26" t="s">
        <v>302</v>
      </c>
      <c r="F15" t="str">
        <f t="shared" si="2"/>
        <v>DOUBLE_TYPE</v>
      </c>
      <c r="G15" t="str">
        <f t="shared" si="3"/>
        <v>Valor promocional produto/serviço</v>
      </c>
      <c r="H15" t="str">
        <f t="shared" si="4"/>
        <v>String</v>
      </c>
      <c r="I15" s="6" t="s">
        <v>294</v>
      </c>
      <c r="P15">
        <f t="shared" si="5"/>
        <v>1</v>
      </c>
      <c r="Q15">
        <f t="shared" si="6"/>
        <v>15</v>
      </c>
      <c r="T15">
        <f t="shared" si="7"/>
        <v>24</v>
      </c>
      <c r="U15">
        <f t="shared" si="8"/>
        <v>29</v>
      </c>
      <c r="V15">
        <f t="shared" si="9"/>
        <v>59</v>
      </c>
      <c r="W15">
        <f t="shared" si="10"/>
        <v>92</v>
      </c>
    </row>
    <row r="16" spans="1:25" x14ac:dyDescent="0.25">
      <c r="A16">
        <v>8</v>
      </c>
      <c r="B16" t="str">
        <f t="shared" si="0"/>
        <v>USPU_TX_OBS</v>
      </c>
      <c r="C16" t="s">
        <v>21</v>
      </c>
      <c r="D16" t="str">
        <f t="shared" si="1"/>
        <v>2000</v>
      </c>
      <c r="E16" s="26" t="s">
        <v>303</v>
      </c>
      <c r="F16" t="str">
        <f t="shared" si="2"/>
        <v>STRING_TYPE</v>
      </c>
      <c r="G16" t="str">
        <f t="shared" si="3"/>
        <v>Observação</v>
      </c>
      <c r="H16" t="str">
        <f t="shared" si="4"/>
        <v>String</v>
      </c>
      <c r="I16" s="6" t="s">
        <v>295</v>
      </c>
      <c r="P16">
        <f t="shared" si="5"/>
        <v>1</v>
      </c>
      <c r="Q16">
        <f t="shared" si="6"/>
        <v>13</v>
      </c>
      <c r="T16">
        <f t="shared" si="7"/>
        <v>22</v>
      </c>
      <c r="U16">
        <f t="shared" si="8"/>
        <v>27</v>
      </c>
      <c r="V16">
        <f t="shared" si="9"/>
        <v>47</v>
      </c>
      <c r="W16">
        <f t="shared" si="10"/>
        <v>57</v>
      </c>
    </row>
    <row r="17" spans="1:23" x14ac:dyDescent="0.25">
      <c r="A17">
        <v>9</v>
      </c>
      <c r="B17" t="str">
        <f t="shared" si="0"/>
        <v>USPU_DT_APAGAR</v>
      </c>
      <c r="C17" t="s">
        <v>22</v>
      </c>
      <c r="D17">
        <f t="shared" si="1"/>
        <v>19</v>
      </c>
      <c r="E17" s="26" t="s">
        <v>304</v>
      </c>
      <c r="F17" t="str">
        <f t="shared" si="2"/>
        <v>STRING_TYPE</v>
      </c>
      <c r="G17" t="str">
        <f t="shared" si="3"/>
        <v>Data para apagar</v>
      </c>
      <c r="H17" t="str">
        <f t="shared" si="4"/>
        <v>String</v>
      </c>
      <c r="I17" s="6" t="s">
        <v>296</v>
      </c>
      <c r="P17">
        <f t="shared" si="5"/>
        <v>1</v>
      </c>
      <c r="Q17">
        <f t="shared" si="6"/>
        <v>16</v>
      </c>
      <c r="T17" t="e">
        <f t="shared" si="7"/>
        <v>#VALUE!</v>
      </c>
      <c r="U17" t="e">
        <f t="shared" si="8"/>
        <v>#VALUE!</v>
      </c>
      <c r="V17">
        <f t="shared" si="9"/>
        <v>37</v>
      </c>
      <c r="W17">
        <f t="shared" si="10"/>
        <v>53</v>
      </c>
    </row>
    <row r="18" spans="1:23" x14ac:dyDescent="0.25">
      <c r="A18">
        <v>10</v>
      </c>
      <c r="B18" t="e">
        <f t="shared" si="0"/>
        <v>#VALUE!</v>
      </c>
      <c r="D18" t="e">
        <f t="shared" si="1"/>
        <v>#VALUE!</v>
      </c>
      <c r="E18" s="26"/>
      <c r="F18" t="str">
        <f t="shared" si="2"/>
        <v>STRING_TYPE</v>
      </c>
      <c r="G18" t="e">
        <f t="shared" si="3"/>
        <v>#VALUE!</v>
      </c>
      <c r="H18" t="str">
        <f t="shared" si="4"/>
        <v>String</v>
      </c>
      <c r="I18" s="6"/>
      <c r="P18" t="e">
        <f t="shared" si="5"/>
        <v>#VALUE!</v>
      </c>
      <c r="Q18" t="e">
        <f t="shared" si="6"/>
        <v>#VALUE!</v>
      </c>
      <c r="T18" t="e">
        <f t="shared" si="7"/>
        <v>#VALUE!</v>
      </c>
      <c r="U18" t="e">
        <f t="shared" si="8"/>
        <v>#VALUE!</v>
      </c>
      <c r="V18" t="e">
        <f t="shared" si="9"/>
        <v>#VALUE!</v>
      </c>
      <c r="W18" t="e">
        <f t="shared" si="10"/>
        <v>#VALUE!</v>
      </c>
    </row>
    <row r="19" spans="1:23" x14ac:dyDescent="0.25">
      <c r="A19">
        <v>11</v>
      </c>
      <c r="B19" t="e">
        <f t="shared" si="0"/>
        <v>#VALUE!</v>
      </c>
      <c r="D19" t="e">
        <f t="shared" si="1"/>
        <v>#VALUE!</v>
      </c>
      <c r="F19" t="str">
        <f t="shared" si="2"/>
        <v>STRING_TYPE</v>
      </c>
      <c r="G19" t="e">
        <f t="shared" si="3"/>
        <v>#VALUE!</v>
      </c>
      <c r="H19" t="str">
        <f t="shared" si="4"/>
        <v>String</v>
      </c>
      <c r="I19" s="1"/>
      <c r="P19" t="e">
        <f t="shared" ref="P19:P58" si="11">FIND("`",I19,1)</f>
        <v>#VALUE!</v>
      </c>
      <c r="Q19" t="e">
        <f t="shared" ref="Q19:Q58" si="12">FIND("`",I19,2)</f>
        <v>#VALUE!</v>
      </c>
      <c r="T19" t="e">
        <f t="shared" ref="T19:T56" si="13">FIND("(",I19)</f>
        <v>#VALUE!</v>
      </c>
      <c r="U19" t="e">
        <f t="shared" ref="U19:U56" si="14">FIND(")",I19,T19+1)</f>
        <v>#VALUE!</v>
      </c>
      <c r="V19" t="e">
        <f t="shared" si="9"/>
        <v>#VALUE!</v>
      </c>
      <c r="W19" t="e">
        <f t="shared" si="10"/>
        <v>#VALUE!</v>
      </c>
    </row>
    <row r="20" spans="1:23" x14ac:dyDescent="0.25">
      <c r="A20">
        <f t="shared" ref="A20:A58" si="15">A19+1</f>
        <v>12</v>
      </c>
      <c r="B20" t="e">
        <f t="shared" ref="B20:B21" si="16">MID(I20,P20+1,Q20-P20-1)</f>
        <v>#VALUE!</v>
      </c>
      <c r="D20" t="e">
        <f t="shared" si="1"/>
        <v>#VALUE!</v>
      </c>
      <c r="F20" t="str">
        <f t="shared" si="2"/>
        <v>STRING_TYPE</v>
      </c>
      <c r="G20" t="e">
        <f t="shared" si="3"/>
        <v>#VALUE!</v>
      </c>
      <c r="H20" t="str">
        <f t="shared" si="4"/>
        <v>String</v>
      </c>
      <c r="I20" s="1"/>
      <c r="P20" t="e">
        <f t="shared" si="11"/>
        <v>#VALUE!</v>
      </c>
      <c r="Q20" t="e">
        <f t="shared" si="12"/>
        <v>#VALUE!</v>
      </c>
      <c r="T20" t="e">
        <f t="shared" si="13"/>
        <v>#VALUE!</v>
      </c>
      <c r="U20" t="e">
        <f t="shared" si="14"/>
        <v>#VALUE!</v>
      </c>
      <c r="V20" t="e">
        <f t="shared" si="9"/>
        <v>#VALUE!</v>
      </c>
      <c r="W20" t="e">
        <f t="shared" si="10"/>
        <v>#VALUE!</v>
      </c>
    </row>
    <row r="21" spans="1:23" x14ac:dyDescent="0.25">
      <c r="A21">
        <f t="shared" si="15"/>
        <v>13</v>
      </c>
      <c r="B21" t="e">
        <f t="shared" si="16"/>
        <v>#VALUE!</v>
      </c>
      <c r="D21" t="e">
        <f t="shared" si="1"/>
        <v>#VALUE!</v>
      </c>
      <c r="F21" t="str">
        <f t="shared" si="2"/>
        <v>STRING_TYPE</v>
      </c>
      <c r="G21" t="e">
        <f t="shared" si="3"/>
        <v>#VALUE!</v>
      </c>
      <c r="H21" t="str">
        <f t="shared" si="4"/>
        <v>String</v>
      </c>
      <c r="I21" s="1"/>
      <c r="P21" t="e">
        <f t="shared" si="11"/>
        <v>#VALUE!</v>
      </c>
      <c r="Q21" t="e">
        <f t="shared" si="12"/>
        <v>#VALUE!</v>
      </c>
      <c r="T21" t="e">
        <f t="shared" si="13"/>
        <v>#VALUE!</v>
      </c>
      <c r="U21" t="e">
        <f t="shared" si="14"/>
        <v>#VALUE!</v>
      </c>
      <c r="V21" t="e">
        <f t="shared" si="9"/>
        <v>#VALUE!</v>
      </c>
      <c r="W21" t="e">
        <f t="shared" si="10"/>
        <v>#VALUE!</v>
      </c>
    </row>
    <row r="22" spans="1:23" x14ac:dyDescent="0.25">
      <c r="A22">
        <f t="shared" si="15"/>
        <v>14</v>
      </c>
      <c r="B22" t="e">
        <f t="shared" ref="B22:B58" si="17">MID(I22,P22+1,Q22-P22-1)</f>
        <v>#VALUE!</v>
      </c>
      <c r="D22" t="e">
        <f t="shared" si="1"/>
        <v>#VALUE!</v>
      </c>
      <c r="P22" t="e">
        <f t="shared" si="11"/>
        <v>#VALUE!</v>
      </c>
      <c r="Q22" t="e">
        <f t="shared" si="12"/>
        <v>#VALUE!</v>
      </c>
      <c r="T22" t="e">
        <f t="shared" si="13"/>
        <v>#VALUE!</v>
      </c>
      <c r="U22" t="e">
        <f t="shared" si="14"/>
        <v>#VALUE!</v>
      </c>
      <c r="V22" t="e">
        <f t="shared" si="9"/>
        <v>#VALUE!</v>
      </c>
      <c r="W22" t="e">
        <f t="shared" si="10"/>
        <v>#VALUE!</v>
      </c>
    </row>
    <row r="23" spans="1:23" x14ac:dyDescent="0.25">
      <c r="A23">
        <f t="shared" si="15"/>
        <v>15</v>
      </c>
      <c r="B23" t="e">
        <f t="shared" si="17"/>
        <v>#VALUE!</v>
      </c>
      <c r="P23" t="e">
        <f t="shared" si="11"/>
        <v>#VALUE!</v>
      </c>
      <c r="Q23" t="e">
        <f t="shared" si="12"/>
        <v>#VALUE!</v>
      </c>
      <c r="T23" t="e">
        <f t="shared" si="13"/>
        <v>#VALUE!</v>
      </c>
      <c r="U23" t="e">
        <f t="shared" si="14"/>
        <v>#VALUE!</v>
      </c>
      <c r="V23" t="e">
        <f t="shared" si="9"/>
        <v>#VALUE!</v>
      </c>
      <c r="W23" t="e">
        <f t="shared" si="10"/>
        <v>#VALUE!</v>
      </c>
    </row>
    <row r="24" spans="1:23" x14ac:dyDescent="0.25">
      <c r="A24">
        <f t="shared" si="15"/>
        <v>16</v>
      </c>
      <c r="B24" t="e">
        <f t="shared" si="17"/>
        <v>#VALUE!</v>
      </c>
      <c r="P24" t="e">
        <f t="shared" si="11"/>
        <v>#VALUE!</v>
      </c>
      <c r="Q24" t="e">
        <f t="shared" si="12"/>
        <v>#VALUE!</v>
      </c>
      <c r="T24" t="e">
        <f t="shared" si="13"/>
        <v>#VALUE!</v>
      </c>
      <c r="U24" t="e">
        <f t="shared" si="14"/>
        <v>#VALUE!</v>
      </c>
      <c r="V24" t="e">
        <f t="shared" si="9"/>
        <v>#VALUE!</v>
      </c>
      <c r="W24" t="e">
        <f t="shared" si="10"/>
        <v>#VALUE!</v>
      </c>
    </row>
    <row r="25" spans="1:23" x14ac:dyDescent="0.25">
      <c r="A25">
        <f t="shared" si="15"/>
        <v>17</v>
      </c>
      <c r="B25" t="e">
        <f t="shared" si="17"/>
        <v>#VALUE!</v>
      </c>
      <c r="P25" t="e">
        <f t="shared" si="11"/>
        <v>#VALUE!</v>
      </c>
      <c r="Q25" t="e">
        <f t="shared" si="12"/>
        <v>#VALUE!</v>
      </c>
      <c r="T25" t="e">
        <f t="shared" si="13"/>
        <v>#VALUE!</v>
      </c>
      <c r="U25" t="e">
        <f t="shared" si="14"/>
        <v>#VALUE!</v>
      </c>
      <c r="V25" t="e">
        <f t="shared" si="9"/>
        <v>#VALUE!</v>
      </c>
      <c r="W25" t="e">
        <f t="shared" si="10"/>
        <v>#VALUE!</v>
      </c>
    </row>
    <row r="26" spans="1:23" x14ac:dyDescent="0.25">
      <c r="A26">
        <f t="shared" si="15"/>
        <v>18</v>
      </c>
      <c r="B26" t="e">
        <f t="shared" si="17"/>
        <v>#VALUE!</v>
      </c>
      <c r="P26" t="e">
        <f t="shared" si="11"/>
        <v>#VALUE!</v>
      </c>
      <c r="Q26" t="e">
        <f t="shared" si="12"/>
        <v>#VALUE!</v>
      </c>
      <c r="T26" t="e">
        <f t="shared" si="13"/>
        <v>#VALUE!</v>
      </c>
      <c r="U26" t="e">
        <f t="shared" si="14"/>
        <v>#VALUE!</v>
      </c>
      <c r="V26" t="e">
        <f t="shared" si="9"/>
        <v>#VALUE!</v>
      </c>
      <c r="W26" t="e">
        <f t="shared" si="10"/>
        <v>#VALUE!</v>
      </c>
    </row>
    <row r="27" spans="1:23" x14ac:dyDescent="0.25">
      <c r="A27">
        <f t="shared" si="15"/>
        <v>19</v>
      </c>
      <c r="B27" t="e">
        <f t="shared" si="17"/>
        <v>#VALUE!</v>
      </c>
      <c r="P27" t="e">
        <f t="shared" si="11"/>
        <v>#VALUE!</v>
      </c>
      <c r="Q27" t="e">
        <f t="shared" si="12"/>
        <v>#VALUE!</v>
      </c>
      <c r="T27" t="e">
        <f t="shared" si="13"/>
        <v>#VALUE!</v>
      </c>
      <c r="U27" t="e">
        <f t="shared" si="14"/>
        <v>#VALUE!</v>
      </c>
      <c r="V27" t="e">
        <f t="shared" si="9"/>
        <v>#VALUE!</v>
      </c>
      <c r="W27" t="e">
        <f t="shared" si="10"/>
        <v>#VALUE!</v>
      </c>
    </row>
    <row r="28" spans="1:23" x14ac:dyDescent="0.25">
      <c r="A28">
        <f t="shared" si="15"/>
        <v>20</v>
      </c>
      <c r="B28" t="e">
        <f t="shared" si="17"/>
        <v>#VALUE!</v>
      </c>
      <c r="P28" t="e">
        <f t="shared" si="11"/>
        <v>#VALUE!</v>
      </c>
      <c r="Q28" t="e">
        <f t="shared" si="12"/>
        <v>#VALUE!</v>
      </c>
      <c r="T28" t="e">
        <f t="shared" si="13"/>
        <v>#VALUE!</v>
      </c>
      <c r="U28" t="e">
        <f t="shared" si="14"/>
        <v>#VALUE!</v>
      </c>
      <c r="V28" t="e">
        <f t="shared" si="9"/>
        <v>#VALUE!</v>
      </c>
      <c r="W28" t="e">
        <f t="shared" si="10"/>
        <v>#VALUE!</v>
      </c>
    </row>
    <row r="29" spans="1:23" x14ac:dyDescent="0.25">
      <c r="A29">
        <f t="shared" si="15"/>
        <v>21</v>
      </c>
      <c r="B29" t="e">
        <f t="shared" si="17"/>
        <v>#VALUE!</v>
      </c>
      <c r="E29" t="s">
        <v>61</v>
      </c>
      <c r="P29" t="e">
        <f t="shared" si="11"/>
        <v>#VALUE!</v>
      </c>
      <c r="Q29" t="e">
        <f t="shared" si="12"/>
        <v>#VALUE!</v>
      </c>
      <c r="T29" t="e">
        <f t="shared" si="13"/>
        <v>#VALUE!</v>
      </c>
      <c r="U29" t="e">
        <f t="shared" si="14"/>
        <v>#VALUE!</v>
      </c>
      <c r="V29" t="e">
        <f t="shared" si="9"/>
        <v>#VALUE!</v>
      </c>
      <c r="W29" t="e">
        <f t="shared" si="10"/>
        <v>#VALUE!</v>
      </c>
    </row>
    <row r="30" spans="1:23" x14ac:dyDescent="0.25">
      <c r="A30">
        <f t="shared" si="15"/>
        <v>22</v>
      </c>
      <c r="B30" t="e">
        <f t="shared" si="17"/>
        <v>#VALUE!</v>
      </c>
      <c r="P30" t="e">
        <f t="shared" si="11"/>
        <v>#VALUE!</v>
      </c>
      <c r="Q30" t="e">
        <f t="shared" si="12"/>
        <v>#VALUE!</v>
      </c>
      <c r="T30" t="e">
        <f t="shared" si="13"/>
        <v>#VALUE!</v>
      </c>
      <c r="U30" t="e">
        <f t="shared" si="14"/>
        <v>#VALUE!</v>
      </c>
      <c r="V30" t="e">
        <f t="shared" si="9"/>
        <v>#VALUE!</v>
      </c>
      <c r="W30" t="e">
        <f t="shared" si="10"/>
        <v>#VALUE!</v>
      </c>
    </row>
    <row r="31" spans="1:23" x14ac:dyDescent="0.25">
      <c r="A31">
        <f t="shared" si="15"/>
        <v>23</v>
      </c>
      <c r="B31" t="e">
        <f t="shared" si="17"/>
        <v>#VALUE!</v>
      </c>
      <c r="P31" t="e">
        <f t="shared" si="11"/>
        <v>#VALUE!</v>
      </c>
      <c r="Q31" t="e">
        <f t="shared" si="12"/>
        <v>#VALUE!</v>
      </c>
      <c r="T31" t="e">
        <f t="shared" si="13"/>
        <v>#VALUE!</v>
      </c>
      <c r="U31" t="e">
        <f t="shared" si="14"/>
        <v>#VALUE!</v>
      </c>
      <c r="V31" t="e">
        <f t="shared" si="9"/>
        <v>#VALUE!</v>
      </c>
      <c r="W31" t="e">
        <f t="shared" si="10"/>
        <v>#VALUE!</v>
      </c>
    </row>
    <row r="32" spans="1:23" x14ac:dyDescent="0.25">
      <c r="A32">
        <f t="shared" si="15"/>
        <v>24</v>
      </c>
      <c r="B32" t="e">
        <f t="shared" si="17"/>
        <v>#VALUE!</v>
      </c>
      <c r="P32" t="e">
        <f t="shared" si="11"/>
        <v>#VALUE!</v>
      </c>
      <c r="Q32" t="e">
        <f t="shared" si="12"/>
        <v>#VALUE!</v>
      </c>
      <c r="T32" t="e">
        <f t="shared" si="13"/>
        <v>#VALUE!</v>
      </c>
      <c r="U32" t="e">
        <f t="shared" si="14"/>
        <v>#VALUE!</v>
      </c>
      <c r="V32" t="e">
        <f t="shared" si="9"/>
        <v>#VALUE!</v>
      </c>
      <c r="W32" t="e">
        <f t="shared" si="10"/>
        <v>#VALUE!</v>
      </c>
    </row>
    <row r="33" spans="1:23" x14ac:dyDescent="0.25">
      <c r="A33">
        <f t="shared" si="15"/>
        <v>25</v>
      </c>
      <c r="B33" t="e">
        <f t="shared" si="17"/>
        <v>#VALUE!</v>
      </c>
      <c r="P33" t="e">
        <f t="shared" si="11"/>
        <v>#VALUE!</v>
      </c>
      <c r="Q33" t="e">
        <f t="shared" si="12"/>
        <v>#VALUE!</v>
      </c>
      <c r="T33" t="e">
        <f t="shared" si="13"/>
        <v>#VALUE!</v>
      </c>
      <c r="U33" t="e">
        <f t="shared" si="14"/>
        <v>#VALUE!</v>
      </c>
      <c r="V33" t="e">
        <f t="shared" si="9"/>
        <v>#VALUE!</v>
      </c>
      <c r="W33" t="e">
        <f t="shared" si="10"/>
        <v>#VALUE!</v>
      </c>
    </row>
    <row r="34" spans="1:23" x14ac:dyDescent="0.25">
      <c r="A34">
        <f t="shared" si="15"/>
        <v>26</v>
      </c>
      <c r="B34" t="e">
        <f t="shared" si="17"/>
        <v>#VALUE!</v>
      </c>
      <c r="P34" t="e">
        <f t="shared" si="11"/>
        <v>#VALUE!</v>
      </c>
      <c r="Q34" t="e">
        <f t="shared" si="12"/>
        <v>#VALUE!</v>
      </c>
      <c r="T34" t="e">
        <f t="shared" si="13"/>
        <v>#VALUE!</v>
      </c>
      <c r="U34" t="e">
        <f t="shared" si="14"/>
        <v>#VALUE!</v>
      </c>
      <c r="V34" t="e">
        <f t="shared" si="9"/>
        <v>#VALUE!</v>
      </c>
      <c r="W34" t="e">
        <f t="shared" si="10"/>
        <v>#VALUE!</v>
      </c>
    </row>
    <row r="35" spans="1:23" x14ac:dyDescent="0.25">
      <c r="A35">
        <f t="shared" si="15"/>
        <v>27</v>
      </c>
      <c r="B35" t="e">
        <f t="shared" si="17"/>
        <v>#VALUE!</v>
      </c>
      <c r="P35" t="e">
        <f t="shared" si="11"/>
        <v>#VALUE!</v>
      </c>
      <c r="Q35" t="e">
        <f t="shared" si="12"/>
        <v>#VALUE!</v>
      </c>
      <c r="T35" t="e">
        <f t="shared" si="13"/>
        <v>#VALUE!</v>
      </c>
      <c r="U35" t="e">
        <f t="shared" si="14"/>
        <v>#VALUE!</v>
      </c>
      <c r="V35" t="e">
        <f t="shared" si="9"/>
        <v>#VALUE!</v>
      </c>
      <c r="W35" t="e">
        <f t="shared" si="10"/>
        <v>#VALUE!</v>
      </c>
    </row>
    <row r="36" spans="1:23" x14ac:dyDescent="0.25">
      <c r="A36">
        <f t="shared" si="15"/>
        <v>28</v>
      </c>
      <c r="B36" t="e">
        <f t="shared" si="17"/>
        <v>#VALUE!</v>
      </c>
      <c r="P36" t="e">
        <f t="shared" si="11"/>
        <v>#VALUE!</v>
      </c>
      <c r="Q36" t="e">
        <f t="shared" si="12"/>
        <v>#VALUE!</v>
      </c>
      <c r="T36" t="e">
        <f t="shared" si="13"/>
        <v>#VALUE!</v>
      </c>
      <c r="U36" t="e">
        <f t="shared" si="14"/>
        <v>#VALUE!</v>
      </c>
      <c r="V36" t="e">
        <f t="shared" si="9"/>
        <v>#VALUE!</v>
      </c>
      <c r="W36" t="e">
        <f t="shared" si="10"/>
        <v>#VALUE!</v>
      </c>
    </row>
    <row r="37" spans="1:23" x14ac:dyDescent="0.25">
      <c r="A37">
        <f t="shared" si="15"/>
        <v>29</v>
      </c>
      <c r="B37" t="e">
        <f t="shared" si="17"/>
        <v>#VALUE!</v>
      </c>
      <c r="P37" t="e">
        <f t="shared" si="11"/>
        <v>#VALUE!</v>
      </c>
      <c r="Q37" t="e">
        <f t="shared" si="12"/>
        <v>#VALUE!</v>
      </c>
      <c r="T37" t="e">
        <f t="shared" si="13"/>
        <v>#VALUE!</v>
      </c>
      <c r="U37" t="e">
        <f t="shared" si="14"/>
        <v>#VALUE!</v>
      </c>
    </row>
    <row r="38" spans="1:23" x14ac:dyDescent="0.25">
      <c r="A38">
        <f t="shared" si="15"/>
        <v>30</v>
      </c>
      <c r="B38" t="e">
        <f t="shared" si="17"/>
        <v>#VALUE!</v>
      </c>
      <c r="P38" t="e">
        <f t="shared" si="11"/>
        <v>#VALUE!</v>
      </c>
      <c r="Q38" t="e">
        <f t="shared" si="12"/>
        <v>#VALUE!</v>
      </c>
      <c r="T38" t="e">
        <f t="shared" si="13"/>
        <v>#VALUE!</v>
      </c>
      <c r="U38" t="e">
        <f t="shared" si="14"/>
        <v>#VALUE!</v>
      </c>
    </row>
    <row r="39" spans="1:23" x14ac:dyDescent="0.25">
      <c r="A39">
        <f t="shared" si="15"/>
        <v>31</v>
      </c>
      <c r="B39" t="e">
        <f t="shared" si="17"/>
        <v>#VALUE!</v>
      </c>
      <c r="P39" t="e">
        <f t="shared" si="11"/>
        <v>#VALUE!</v>
      </c>
      <c r="Q39" t="e">
        <f t="shared" si="12"/>
        <v>#VALUE!</v>
      </c>
      <c r="T39" t="e">
        <f t="shared" si="13"/>
        <v>#VALUE!</v>
      </c>
      <c r="U39" t="e">
        <f t="shared" si="14"/>
        <v>#VALUE!</v>
      </c>
    </row>
    <row r="40" spans="1:23" x14ac:dyDescent="0.25">
      <c r="A40">
        <f t="shared" si="15"/>
        <v>32</v>
      </c>
      <c r="B40" t="e">
        <f t="shared" si="17"/>
        <v>#VALUE!</v>
      </c>
      <c r="P40" t="e">
        <f t="shared" si="11"/>
        <v>#VALUE!</v>
      </c>
      <c r="Q40" t="e">
        <f t="shared" si="12"/>
        <v>#VALUE!</v>
      </c>
      <c r="T40" t="e">
        <f t="shared" si="13"/>
        <v>#VALUE!</v>
      </c>
      <c r="U40" t="e">
        <f t="shared" si="14"/>
        <v>#VALUE!</v>
      </c>
    </row>
    <row r="41" spans="1:23" x14ac:dyDescent="0.25">
      <c r="A41">
        <f t="shared" si="15"/>
        <v>33</v>
      </c>
      <c r="B41" t="e">
        <f t="shared" si="17"/>
        <v>#VALUE!</v>
      </c>
      <c r="P41" t="e">
        <f t="shared" si="11"/>
        <v>#VALUE!</v>
      </c>
      <c r="Q41" t="e">
        <f t="shared" si="12"/>
        <v>#VALUE!</v>
      </c>
      <c r="T41" t="e">
        <f t="shared" si="13"/>
        <v>#VALUE!</v>
      </c>
      <c r="U41" t="e">
        <f t="shared" si="14"/>
        <v>#VALUE!</v>
      </c>
    </row>
    <row r="42" spans="1:23" x14ac:dyDescent="0.25">
      <c r="A42">
        <f t="shared" si="15"/>
        <v>34</v>
      </c>
      <c r="B42" t="e">
        <f t="shared" si="17"/>
        <v>#VALUE!</v>
      </c>
      <c r="P42" t="e">
        <f t="shared" si="11"/>
        <v>#VALUE!</v>
      </c>
      <c r="Q42" t="e">
        <f t="shared" si="12"/>
        <v>#VALUE!</v>
      </c>
      <c r="T42" t="e">
        <f t="shared" si="13"/>
        <v>#VALUE!</v>
      </c>
      <c r="U42" t="e">
        <f t="shared" si="14"/>
        <v>#VALUE!</v>
      </c>
    </row>
    <row r="43" spans="1:23" x14ac:dyDescent="0.25">
      <c r="A43">
        <f t="shared" si="15"/>
        <v>35</v>
      </c>
      <c r="B43" t="e">
        <f t="shared" si="17"/>
        <v>#VALUE!</v>
      </c>
      <c r="P43" t="e">
        <f t="shared" si="11"/>
        <v>#VALUE!</v>
      </c>
      <c r="Q43" t="e">
        <f t="shared" si="12"/>
        <v>#VALUE!</v>
      </c>
      <c r="T43" t="e">
        <f t="shared" si="13"/>
        <v>#VALUE!</v>
      </c>
      <c r="U43" t="e">
        <f t="shared" si="14"/>
        <v>#VALUE!</v>
      </c>
    </row>
    <row r="44" spans="1:23" x14ac:dyDescent="0.25">
      <c r="A44">
        <f t="shared" si="15"/>
        <v>36</v>
      </c>
      <c r="B44" t="e">
        <f t="shared" si="17"/>
        <v>#VALUE!</v>
      </c>
      <c r="P44" t="e">
        <f t="shared" si="11"/>
        <v>#VALUE!</v>
      </c>
      <c r="Q44" t="e">
        <f t="shared" si="12"/>
        <v>#VALUE!</v>
      </c>
      <c r="T44" t="e">
        <f t="shared" si="13"/>
        <v>#VALUE!</v>
      </c>
      <c r="U44" t="e">
        <f t="shared" si="14"/>
        <v>#VALUE!</v>
      </c>
    </row>
    <row r="45" spans="1:23" x14ac:dyDescent="0.25">
      <c r="A45">
        <f t="shared" si="15"/>
        <v>37</v>
      </c>
      <c r="B45" t="e">
        <f t="shared" si="17"/>
        <v>#VALUE!</v>
      </c>
      <c r="P45" t="e">
        <f t="shared" si="11"/>
        <v>#VALUE!</v>
      </c>
      <c r="Q45" t="e">
        <f t="shared" si="12"/>
        <v>#VALUE!</v>
      </c>
      <c r="T45" t="e">
        <f t="shared" si="13"/>
        <v>#VALUE!</v>
      </c>
      <c r="U45" t="e">
        <f t="shared" si="14"/>
        <v>#VALUE!</v>
      </c>
    </row>
    <row r="46" spans="1:23" x14ac:dyDescent="0.25">
      <c r="A46">
        <f t="shared" si="15"/>
        <v>38</v>
      </c>
      <c r="B46" t="e">
        <f t="shared" si="17"/>
        <v>#VALUE!</v>
      </c>
      <c r="P46" t="e">
        <f t="shared" si="11"/>
        <v>#VALUE!</v>
      </c>
      <c r="Q46" t="e">
        <f t="shared" si="12"/>
        <v>#VALUE!</v>
      </c>
      <c r="T46" t="e">
        <f t="shared" si="13"/>
        <v>#VALUE!</v>
      </c>
      <c r="U46" t="e">
        <f t="shared" si="14"/>
        <v>#VALUE!</v>
      </c>
    </row>
    <row r="47" spans="1:23" x14ac:dyDescent="0.25">
      <c r="A47">
        <f t="shared" si="15"/>
        <v>39</v>
      </c>
      <c r="B47" t="e">
        <f t="shared" si="17"/>
        <v>#VALUE!</v>
      </c>
      <c r="P47" t="e">
        <f t="shared" si="11"/>
        <v>#VALUE!</v>
      </c>
      <c r="Q47" t="e">
        <f t="shared" si="12"/>
        <v>#VALUE!</v>
      </c>
      <c r="T47" t="e">
        <f t="shared" si="13"/>
        <v>#VALUE!</v>
      </c>
      <c r="U47" t="e">
        <f t="shared" si="14"/>
        <v>#VALUE!</v>
      </c>
    </row>
    <row r="48" spans="1:23" x14ac:dyDescent="0.25">
      <c r="A48">
        <f t="shared" si="15"/>
        <v>40</v>
      </c>
      <c r="B48" t="e">
        <f t="shared" si="17"/>
        <v>#VALUE!</v>
      </c>
      <c r="P48" t="e">
        <f t="shared" si="11"/>
        <v>#VALUE!</v>
      </c>
      <c r="Q48" t="e">
        <f t="shared" si="12"/>
        <v>#VALUE!</v>
      </c>
      <c r="T48" t="e">
        <f t="shared" si="13"/>
        <v>#VALUE!</v>
      </c>
      <c r="U48" t="e">
        <f t="shared" si="14"/>
        <v>#VALUE!</v>
      </c>
    </row>
    <row r="49" spans="1:21" x14ac:dyDescent="0.25">
      <c r="A49">
        <f t="shared" si="15"/>
        <v>41</v>
      </c>
      <c r="B49" t="e">
        <f t="shared" si="17"/>
        <v>#VALUE!</v>
      </c>
      <c r="P49" t="e">
        <f t="shared" si="11"/>
        <v>#VALUE!</v>
      </c>
      <c r="Q49" t="e">
        <f t="shared" si="12"/>
        <v>#VALUE!</v>
      </c>
      <c r="T49" t="e">
        <f t="shared" si="13"/>
        <v>#VALUE!</v>
      </c>
      <c r="U49" t="e">
        <f t="shared" si="14"/>
        <v>#VALUE!</v>
      </c>
    </row>
    <row r="50" spans="1:21" x14ac:dyDescent="0.25">
      <c r="A50">
        <f t="shared" si="15"/>
        <v>42</v>
      </c>
      <c r="B50" t="e">
        <f t="shared" si="17"/>
        <v>#VALUE!</v>
      </c>
      <c r="P50" t="e">
        <f t="shared" si="11"/>
        <v>#VALUE!</v>
      </c>
      <c r="Q50" t="e">
        <f t="shared" si="12"/>
        <v>#VALUE!</v>
      </c>
      <c r="T50" t="e">
        <f t="shared" si="13"/>
        <v>#VALUE!</v>
      </c>
      <c r="U50" t="e">
        <f t="shared" si="14"/>
        <v>#VALUE!</v>
      </c>
    </row>
    <row r="51" spans="1:21" x14ac:dyDescent="0.25">
      <c r="A51">
        <f t="shared" si="15"/>
        <v>43</v>
      </c>
      <c r="B51" t="e">
        <f t="shared" si="17"/>
        <v>#VALUE!</v>
      </c>
      <c r="P51" t="e">
        <f t="shared" si="11"/>
        <v>#VALUE!</v>
      </c>
      <c r="Q51" t="e">
        <f t="shared" si="12"/>
        <v>#VALUE!</v>
      </c>
      <c r="T51" t="e">
        <f t="shared" si="13"/>
        <v>#VALUE!</v>
      </c>
      <c r="U51" t="e">
        <f t="shared" si="14"/>
        <v>#VALUE!</v>
      </c>
    </row>
    <row r="52" spans="1:21" x14ac:dyDescent="0.25">
      <c r="A52">
        <f t="shared" si="15"/>
        <v>44</v>
      </c>
      <c r="B52" t="e">
        <f t="shared" si="17"/>
        <v>#VALUE!</v>
      </c>
      <c r="P52" t="e">
        <f t="shared" si="11"/>
        <v>#VALUE!</v>
      </c>
      <c r="Q52" t="e">
        <f t="shared" si="12"/>
        <v>#VALUE!</v>
      </c>
      <c r="T52" t="e">
        <f t="shared" si="13"/>
        <v>#VALUE!</v>
      </c>
      <c r="U52" t="e">
        <f t="shared" si="14"/>
        <v>#VALUE!</v>
      </c>
    </row>
    <row r="53" spans="1:21" x14ac:dyDescent="0.25">
      <c r="A53">
        <f t="shared" si="15"/>
        <v>45</v>
      </c>
      <c r="B53" t="e">
        <f t="shared" si="17"/>
        <v>#VALUE!</v>
      </c>
      <c r="P53" t="e">
        <f t="shared" si="11"/>
        <v>#VALUE!</v>
      </c>
      <c r="Q53" t="e">
        <f t="shared" si="12"/>
        <v>#VALUE!</v>
      </c>
      <c r="T53" t="e">
        <f t="shared" si="13"/>
        <v>#VALUE!</v>
      </c>
      <c r="U53" t="e">
        <f t="shared" si="14"/>
        <v>#VALUE!</v>
      </c>
    </row>
    <row r="54" spans="1:21" x14ac:dyDescent="0.25">
      <c r="A54">
        <f t="shared" si="15"/>
        <v>46</v>
      </c>
      <c r="B54" t="e">
        <f t="shared" si="17"/>
        <v>#VALUE!</v>
      </c>
      <c r="P54" t="e">
        <f t="shared" si="11"/>
        <v>#VALUE!</v>
      </c>
      <c r="Q54" t="e">
        <f t="shared" si="12"/>
        <v>#VALUE!</v>
      </c>
      <c r="T54" t="e">
        <f t="shared" si="13"/>
        <v>#VALUE!</v>
      </c>
      <c r="U54" t="e">
        <f t="shared" si="14"/>
        <v>#VALUE!</v>
      </c>
    </row>
    <row r="55" spans="1:21" x14ac:dyDescent="0.25">
      <c r="A55">
        <f t="shared" si="15"/>
        <v>47</v>
      </c>
      <c r="B55" t="e">
        <f t="shared" si="17"/>
        <v>#VALUE!</v>
      </c>
      <c r="P55" t="e">
        <f t="shared" si="11"/>
        <v>#VALUE!</v>
      </c>
      <c r="Q55" t="e">
        <f t="shared" si="12"/>
        <v>#VALUE!</v>
      </c>
      <c r="T55" t="e">
        <f t="shared" si="13"/>
        <v>#VALUE!</v>
      </c>
      <c r="U55" t="e">
        <f t="shared" si="14"/>
        <v>#VALUE!</v>
      </c>
    </row>
    <row r="56" spans="1:21" x14ac:dyDescent="0.25">
      <c r="A56" s="7">
        <f t="shared" si="15"/>
        <v>48</v>
      </c>
      <c r="B56" t="str">
        <f t="shared" si="17"/>
        <v>USPU_IN_STATUS</v>
      </c>
      <c r="C56" t="s">
        <v>21</v>
      </c>
      <c r="D56">
        <v>1</v>
      </c>
      <c r="E56" t="s">
        <v>13</v>
      </c>
      <c r="F56" t="s">
        <v>24</v>
      </c>
      <c r="G56" t="s">
        <v>27</v>
      </c>
      <c r="H56" t="s">
        <v>47</v>
      </c>
      <c r="I56" s="1" t="str">
        <f>CONCATENATE("`",$C$4,"_IN_STATUS` varchar(1) NOT NULL DEFAULT 'A',")</f>
        <v>`USPU_IN_STATUS` varchar(1) NOT NULL DEFAULT 'A',</v>
      </c>
      <c r="P56">
        <f t="shared" si="11"/>
        <v>1</v>
      </c>
      <c r="Q56">
        <f t="shared" si="12"/>
        <v>16</v>
      </c>
      <c r="T56">
        <f t="shared" si="13"/>
        <v>25</v>
      </c>
      <c r="U56">
        <f t="shared" si="14"/>
        <v>27</v>
      </c>
    </row>
    <row r="57" spans="1:21" x14ac:dyDescent="0.25">
      <c r="A57" s="7">
        <f t="shared" si="15"/>
        <v>49</v>
      </c>
      <c r="B57" t="str">
        <f t="shared" si="17"/>
        <v>USPU_DT_CADASTRO</v>
      </c>
      <c r="C57" t="s">
        <v>22</v>
      </c>
      <c r="D57">
        <v>19</v>
      </c>
      <c r="E57" t="s">
        <v>14</v>
      </c>
      <c r="F57" t="s">
        <v>24</v>
      </c>
      <c r="G57" t="s">
        <v>28</v>
      </c>
      <c r="H57" t="s">
        <v>47</v>
      </c>
      <c r="I57" s="1" t="str">
        <f>CONCATENATE("`",$C$4,"_DT_CADASTRO` timestamp NOT NULL DEFAULT CURRENT_TIMESTAMP,")</f>
        <v>`USPU_DT_CADASTRO` timestamp NOT NULL DEFAULT CURRENT_TIMESTAMP,</v>
      </c>
      <c r="P57">
        <f t="shared" si="11"/>
        <v>1</v>
      </c>
      <c r="Q57">
        <f t="shared" si="12"/>
        <v>18</v>
      </c>
      <c r="T57" t="e">
        <f t="shared" ref="T57:T58" si="18">FIND("(",I57)</f>
        <v>#VALUE!</v>
      </c>
      <c r="U57" t="e">
        <f t="shared" ref="U57:U58" si="19">FIND(")",I57,T57+1)</f>
        <v>#VALUE!</v>
      </c>
    </row>
    <row r="58" spans="1:21" x14ac:dyDescent="0.25">
      <c r="A58" s="7">
        <f t="shared" si="15"/>
        <v>50</v>
      </c>
      <c r="B58" t="str">
        <f t="shared" si="17"/>
        <v>USPU_DT_UPDATE</v>
      </c>
      <c r="C58" t="s">
        <v>22</v>
      </c>
      <c r="D58">
        <v>19</v>
      </c>
      <c r="E58" t="s">
        <v>15</v>
      </c>
      <c r="F58" t="s">
        <v>24</v>
      </c>
      <c r="G58" t="s">
        <v>29</v>
      </c>
      <c r="H58" t="s">
        <v>47</v>
      </c>
      <c r="I58" s="1" t="str">
        <f>CONCATENATE("`",$C$4,"_DT_UPDATE` timestamp NOT NULL DEFAULT CURRENT_TIMESTAMP ON UPDATE CURRENT_TIMESTAMP,")</f>
        <v>`USPU_DT_UPDATE` timestamp NOT NULL DEFAULT CURRENT_TIMESTAMP ON UPDATE CURRENT_TIMESTAMP,</v>
      </c>
      <c r="P58">
        <f t="shared" si="11"/>
        <v>1</v>
      </c>
      <c r="Q58">
        <f t="shared" si="12"/>
        <v>16</v>
      </c>
      <c r="T58" t="e">
        <f t="shared" si="18"/>
        <v>#VALUE!</v>
      </c>
      <c r="U58" t="e">
        <f t="shared" si="19"/>
        <v>#VALUE!</v>
      </c>
    </row>
  </sheetData>
  <mergeCells count="1">
    <mergeCell ref="W6:X6"/>
  </mergeCells>
  <phoneticPr fontId="22" type="noConversion"/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B54756-4426-4025-9D09-E8124FF0520D}">
  <sheetPr codeName="Sheet12"/>
  <dimension ref="A3:O321"/>
  <sheetViews>
    <sheetView topLeftCell="A79" workbookViewId="0"/>
  </sheetViews>
  <sheetFormatPr defaultRowHeight="15" x14ac:dyDescent="0.25"/>
  <sheetData>
    <row r="3" spans="1:15" x14ac:dyDescent="0.25">
      <c r="A3" t="s">
        <v>17</v>
      </c>
    </row>
    <row r="7" spans="1:15" x14ac:dyDescent="0.25">
      <c r="O7" s="7" t="str">
        <f ca="1">getCodigoBackend(N7,A7,VLOOKUP(N7,setup!$A$8:$H$58,2),VLOOKUP(N7,setup!$A$8:$H$58,3),VLOOKUP(N7,setup!$A$8:$H$58,4),VLOOKUP(N7,setup!$A$8:$H$58,5),VLOOKUP(N7,setup!$A$8:$H$58,6),VLOOKUP(N7,setup!$A$8:$H$58,7), VLOOKUP(0,setup!$A$8:$H$58,2),VLOOKUP(0,setup!$A$8:$H$58,5),VLOOKUP(N7,setup!$A$8:$H$58,8))</f>
        <v/>
      </c>
    </row>
    <row r="8" spans="1:15" x14ac:dyDescent="0.25">
      <c r="A8" t="s">
        <v>52</v>
      </c>
      <c r="O8" s="7" t="str">
        <f ca="1">getCodigoBackend(N8,A8,VLOOKUP(N8,setup!$A$8:$H$58,2),VLOOKUP(N8,setup!$A$8:$H$58,3),VLOOKUP(N8,setup!$A$8:$H$58,4),VLOOKUP(N8,setup!$A$8:$H$58,5),VLOOKUP(N8,setup!$A$8:$H$58,6),VLOOKUP(N8,setup!$A$8:$H$58,7), VLOOKUP(0,setup!$A$8:$H$58,2),VLOOKUP(0,setup!$A$8:$H$58,5),VLOOKUP(N8,setup!$A$8:$H$58,8))</f>
        <v>// Copyright (c) 2019 Julio Vitorino. Todos os direitos reservados.</v>
      </c>
    </row>
    <row r="9" spans="1:15" x14ac:dyDescent="0.25">
      <c r="O9" s="7" t="str">
        <f ca="1">getCodigoBackend(N9,A9,VLOOKUP(N9,setup!$A$8:$H$58,2),VLOOKUP(N9,setup!$A$8:$H$58,3),VLOOKUP(N9,setup!$A$8:$H$58,4),VLOOKUP(N9,setup!$A$8:$H$58,5),VLOOKUP(N9,setup!$A$8:$H$58,6),VLOOKUP(N9,setup!$A$8:$H$58,7), VLOOKUP(0,setup!$A$8:$H$58,2),VLOOKUP(0,setup!$A$8:$H$58,5),VLOOKUP(N9,setup!$A$8:$H$58,8))</f>
        <v/>
      </c>
    </row>
    <row r="10" spans="1:15" x14ac:dyDescent="0.25">
      <c r="O10" s="7" t="str">
        <f ca="1">getCodigoBackend(N10,A10,VLOOKUP(N10,setup!$A$8:$H$58,2),VLOOKUP(N10,setup!$A$8:$H$58,3),VLOOKUP(N10,setup!$A$8:$H$58,4),VLOOKUP(N10,setup!$A$8:$H$58,5),VLOOKUP(N10,setup!$A$8:$H$58,6),VLOOKUP(N10,setup!$A$8:$H$58,7), VLOOKUP(0,setup!$A$8:$H$58,2),VLOOKUP(0,setup!$A$8:$H$58,5),VLOOKUP(N10,setup!$A$8:$H$58,8))</f>
        <v/>
      </c>
    </row>
    <row r="11" spans="1:15" x14ac:dyDescent="0.25">
      <c r="A11" s="2"/>
      <c r="O11" s="7" t="str">
        <f ca="1">getCodigoBackend(N11,A11,VLOOKUP(N11,setup!$A$8:$H$58,2),VLOOKUP(N11,setup!$A$8:$H$58,3),VLOOKUP(N11,setup!$A$8:$H$58,4),VLOOKUP(N11,setup!$A$8:$H$58,5),VLOOKUP(N11,setup!$A$8:$H$58,6),VLOOKUP(N11,setup!$A$8:$H$58,7), VLOOKUP(0,setup!$A$8:$H$58,2),VLOOKUP(0,setup!$A$8:$H$58,5),VLOOKUP(N11,setup!$A$8:$H$58,8))</f>
        <v/>
      </c>
    </row>
    <row r="12" spans="1:15" x14ac:dyDescent="0.25">
      <c r="A12" s="4"/>
      <c r="O12" s="7" t="str">
        <f ca="1">getCodigoBackend(N12,A12,VLOOKUP(N12,setup!$A$8:$H$58,2),VLOOKUP(N12,setup!$A$8:$H$58,3),VLOOKUP(N12,setup!$A$8:$H$58,4),VLOOKUP(N12,setup!$A$8:$H$58,5),VLOOKUP(N12,setup!$A$8:$H$58,6),VLOOKUP(N12,setup!$A$8:$H$58,7), VLOOKUP(0,setup!$A$8:$H$58,2),VLOOKUP(0,setup!$A$8:$H$58,5),VLOOKUP(N12,setup!$A$8:$H$58,8))</f>
        <v/>
      </c>
    </row>
    <row r="13" spans="1:15" x14ac:dyDescent="0.25">
      <c r="A13" s="5" t="s">
        <v>53</v>
      </c>
      <c r="O13" s="7" t="str">
        <f ca="1">getCodigoBackend(N13,A13,VLOOKUP(N13,setup!$A$8:$H$58,2),VLOOKUP(N13,setup!$A$8:$H$58,3),VLOOKUP(N13,setup!$A$8:$H$58,4),VLOOKUP(N13,setup!$A$8:$H$58,5),VLOOKUP(N13,setup!$A$8:$H$58,6),VLOOKUP(N13,setup!$A$8:$H$58,7), VLOOKUP(0,setup!$A$8:$H$58,2),VLOOKUP(0,setup!$A$8:$H$58,5),VLOOKUP(N13,setup!$A$8:$H$58,8))</f>
        <v>class UsuarioPublicidadeVOPost {</v>
      </c>
    </row>
    <row r="14" spans="1:15" x14ac:dyDescent="0.25">
      <c r="A14" s="4" t="s">
        <v>316</v>
      </c>
      <c r="O14" s="7" t="str">
        <f ca="1">getCodigoBackend(N14,A14,VLOOKUP(N14,setup!$A$8:$H$58,2),VLOOKUP(N14,setup!$A$8:$H$58,3),VLOOKUP(N14,setup!$A$8:$H$58,4),VLOOKUP(N14,setup!$A$8:$H$58,5),VLOOKUP(N14,setup!$A$8:$H$58,6),VLOOKUP(N14,setup!$A$8:$H$58,7), VLOOKUP(0,setup!$A$8:$H$58,2),VLOOKUP(0,setup!$A$8:$H$58,5),VLOOKUP(N14,setup!$A$8:$H$58,8))</f>
        <v xml:space="preserve">  String tokenid;</v>
      </c>
    </row>
    <row r="15" spans="1:15" x14ac:dyDescent="0.25">
      <c r="A15" s="4" t="s">
        <v>317</v>
      </c>
      <c r="N15">
        <v>0</v>
      </c>
      <c r="O15" s="7" t="str">
        <f ca="1">getCodigoBackend(N15,A15,VLOOKUP(N15,setup!$A$8:$H$58,2),VLOOKUP(N15,setup!$A$8:$H$58,3),VLOOKUP(N15,setup!$A$8:$H$58,4),VLOOKUP(N15,setup!$A$8:$H$58,5),VLOOKUP(N15,setup!$A$8:$H$58,6),VLOOKUP(N15,setup!$A$8:$H$58,7), VLOOKUP(0,setup!$A$8:$H$58,2),VLOOKUP(0,setup!$A$8:$H$58,5),VLOOKUP(N15,setup!$A$8:$H$58,8))</f>
        <v xml:space="preserve">  String id;</v>
      </c>
    </row>
    <row r="16" spans="1:15" x14ac:dyDescent="0.25">
      <c r="A16" s="4" t="s">
        <v>317</v>
      </c>
      <c r="N16">
        <f>N15+1</f>
        <v>1</v>
      </c>
      <c r="O16" s="7" t="str">
        <f ca="1">getCodigoBackend(N16,A16,VLOOKUP(N16,setup!$A$8:$H$58,2),VLOOKUP(N16,setup!$A$8:$H$58,3),VLOOKUP(N16,setup!$A$8:$H$58,4),VLOOKUP(N16,setup!$A$8:$H$58,5),VLOOKUP(N16,setup!$A$8:$H$58,6),VLOOKUP(N16,setup!$A$8:$H$58,7), VLOOKUP(0,setup!$A$8:$H$58,2),VLOOKUP(0,setup!$A$8:$H$58,5),VLOOKUP(N16,setup!$A$8:$H$58,8))</f>
        <v xml:space="preserve">  String id_usuario;</v>
      </c>
    </row>
    <row r="17" spans="1:15" x14ac:dyDescent="0.25">
      <c r="A17" s="4" t="s">
        <v>317</v>
      </c>
      <c r="N17">
        <f t="shared" ref="N17:N65" si="0">N16+1</f>
        <v>2</v>
      </c>
      <c r="O17" s="7" t="str">
        <f ca="1">getCodigoBackend(N17,A17,VLOOKUP(N17,setup!$A$8:$H$58,2),VLOOKUP(N17,setup!$A$8:$H$58,3),VLOOKUP(N17,setup!$A$8:$H$58,4),VLOOKUP(N17,setup!$A$8:$H$58,5),VLOOKUP(N17,setup!$A$8:$H$58,6),VLOOKUP(N17,setup!$A$8:$H$58,7), VLOOKUP(0,setup!$A$8:$H$58,2),VLOOKUP(0,setup!$A$8:$H$58,5),VLOOKUP(N17,setup!$A$8:$H$58,8))</f>
        <v xml:space="preserve">  String titulo;</v>
      </c>
    </row>
    <row r="18" spans="1:15" x14ac:dyDescent="0.25">
      <c r="A18" s="4" t="s">
        <v>317</v>
      </c>
      <c r="N18">
        <f t="shared" si="0"/>
        <v>3</v>
      </c>
      <c r="O18" s="7" t="str">
        <f ca="1">getCodigoBackend(N18,A18,VLOOKUP(N18,setup!$A$8:$H$58,2),VLOOKUP(N18,setup!$A$8:$H$58,3),VLOOKUP(N18,setup!$A$8:$H$58,4),VLOOKUP(N18,setup!$A$8:$H$58,5),VLOOKUP(N18,setup!$A$8:$H$58,6),VLOOKUP(N18,setup!$A$8:$H$58,7), VLOOKUP(0,setup!$A$8:$H$58,2),VLOOKUP(0,setup!$A$8:$H$58,5),VLOOKUP(N18,setup!$A$8:$H$58,8))</f>
        <v xml:space="preserve">  String descricao;</v>
      </c>
    </row>
    <row r="19" spans="1:15" x14ac:dyDescent="0.25">
      <c r="A19" s="4" t="s">
        <v>317</v>
      </c>
      <c r="N19">
        <f t="shared" si="0"/>
        <v>4</v>
      </c>
      <c r="O19" s="7" t="str">
        <f ca="1">getCodigoBackend(N19,A19,VLOOKUP(N19,setup!$A$8:$H$58,2),VLOOKUP(N19,setup!$A$8:$H$58,3),VLOOKUP(N19,setup!$A$8:$H$58,4),VLOOKUP(N19,setup!$A$8:$H$58,5),VLOOKUP(N19,setup!$A$8:$H$58,6),VLOOKUP(N19,setup!$A$8:$H$58,7), VLOOKUP(0,setup!$A$8:$H$58,2),VLOOKUP(0,setup!$A$8:$H$58,5),VLOOKUP(N19,setup!$A$8:$H$58,8))</f>
        <v xml:space="preserve">  String dataInicio;</v>
      </c>
    </row>
    <row r="20" spans="1:15" x14ac:dyDescent="0.25">
      <c r="A20" s="4" t="s">
        <v>317</v>
      </c>
      <c r="N20">
        <f t="shared" si="0"/>
        <v>5</v>
      </c>
      <c r="O20" s="7" t="str">
        <f ca="1">getCodigoBackend(N20,A20,VLOOKUP(N20,setup!$A$8:$H$58,2),VLOOKUP(N20,setup!$A$8:$H$58,3),VLOOKUP(N20,setup!$A$8:$H$58,4),VLOOKUP(N20,setup!$A$8:$H$58,5),VLOOKUP(N20,setup!$A$8:$H$58,6),VLOOKUP(N20,setup!$A$8:$H$58,7), VLOOKUP(0,setup!$A$8:$H$58,2),VLOOKUP(0,setup!$A$8:$H$58,5),VLOOKUP(N20,setup!$A$8:$H$58,8))</f>
        <v xml:space="preserve">  String dataTermino;</v>
      </c>
    </row>
    <row r="21" spans="1:15" x14ac:dyDescent="0.25">
      <c r="A21" s="4" t="s">
        <v>317</v>
      </c>
      <c r="N21">
        <f t="shared" si="0"/>
        <v>6</v>
      </c>
      <c r="O21" s="7" t="str">
        <f ca="1">getCodigoBackend(N21,A21,VLOOKUP(N21,setup!$A$8:$H$58,2),VLOOKUP(N21,setup!$A$8:$H$58,3),VLOOKUP(N21,setup!$A$8:$H$58,4),VLOOKUP(N21,setup!$A$8:$H$58,5),VLOOKUP(N21,setup!$A$8:$H$58,6),VLOOKUP(N21,setup!$A$8:$H$58,7), VLOOKUP(0,setup!$A$8:$H$58,2),VLOOKUP(0,setup!$A$8:$H$58,5),VLOOKUP(N21,setup!$A$8:$H$58,8))</f>
        <v xml:space="preserve">  String vlNormal;</v>
      </c>
    </row>
    <row r="22" spans="1:15" x14ac:dyDescent="0.25">
      <c r="A22" s="4" t="s">
        <v>317</v>
      </c>
      <c r="N22">
        <f t="shared" si="0"/>
        <v>7</v>
      </c>
      <c r="O22" s="7" t="str">
        <f ca="1">getCodigoBackend(N22,A22,VLOOKUP(N22,setup!$A$8:$H$58,2),VLOOKUP(N22,setup!$A$8:$H$58,3),VLOOKUP(N22,setup!$A$8:$H$58,4),VLOOKUP(N22,setup!$A$8:$H$58,5),VLOOKUP(N22,setup!$A$8:$H$58,6),VLOOKUP(N22,setup!$A$8:$H$58,7), VLOOKUP(0,setup!$A$8:$H$58,2),VLOOKUP(0,setup!$A$8:$H$58,5),VLOOKUP(N22,setup!$A$8:$H$58,8))</f>
        <v xml:space="preserve">  String vlPromo;</v>
      </c>
    </row>
    <row r="23" spans="1:15" x14ac:dyDescent="0.25">
      <c r="A23" s="4" t="s">
        <v>317</v>
      </c>
      <c r="N23">
        <f t="shared" si="0"/>
        <v>8</v>
      </c>
      <c r="O23" s="7" t="str">
        <f ca="1">getCodigoBackend(N23,A23,VLOOKUP(N23,setup!$A$8:$H$58,2),VLOOKUP(N23,setup!$A$8:$H$58,3),VLOOKUP(N23,setup!$A$8:$H$58,4),VLOOKUP(N23,setup!$A$8:$H$58,5),VLOOKUP(N23,setup!$A$8:$H$58,6),VLOOKUP(N23,setup!$A$8:$H$58,7), VLOOKUP(0,setup!$A$8:$H$58,2),VLOOKUP(0,setup!$A$8:$H$58,5),VLOOKUP(N23,setup!$A$8:$H$58,8))</f>
        <v xml:space="preserve">  String observacao;</v>
      </c>
    </row>
    <row r="24" spans="1:15" x14ac:dyDescent="0.25">
      <c r="A24" s="4" t="s">
        <v>317</v>
      </c>
      <c r="N24">
        <f t="shared" si="0"/>
        <v>9</v>
      </c>
      <c r="O24" s="7" t="str">
        <f ca="1">getCodigoBackend(N24,A24,VLOOKUP(N24,setup!$A$8:$H$58,2),VLOOKUP(N24,setup!$A$8:$H$58,3),VLOOKUP(N24,setup!$A$8:$H$58,4),VLOOKUP(N24,setup!$A$8:$H$58,5),VLOOKUP(N24,setup!$A$8:$H$58,6),VLOOKUP(N24,setup!$A$8:$H$58,7), VLOOKUP(0,setup!$A$8:$H$58,2),VLOOKUP(0,setup!$A$8:$H$58,5),VLOOKUP(N24,setup!$A$8:$H$58,8))</f>
        <v xml:space="preserve">  String dataRemover;</v>
      </c>
    </row>
    <row r="25" spans="1:15" x14ac:dyDescent="0.25">
      <c r="A25" s="4" t="s">
        <v>317</v>
      </c>
      <c r="N25">
        <f t="shared" si="0"/>
        <v>10</v>
      </c>
      <c r="O25" s="7" t="e">
        <f>getCodigoBackend(N25,A25,VLOOKUP(N25,setup!$A$8:$H$58,2),VLOOKUP(N25,setup!$A$8:$H$58,3),VLOOKUP(N25,setup!$A$8:$H$58,4),VLOOKUP(N25,setup!$A$8:$H$58,5),VLOOKUP(N25,setup!$A$8:$H$58,6),VLOOKUP(N25,setup!$A$8:$H$58,7), VLOOKUP(0,setup!$A$8:$H$58,2),VLOOKUP(0,setup!$A$8:$H$58,5),VLOOKUP(N25,setup!$A$8:$H$58,8))</f>
        <v>#VALUE!</v>
      </c>
    </row>
    <row r="26" spans="1:15" x14ac:dyDescent="0.25">
      <c r="A26" s="4" t="s">
        <v>317</v>
      </c>
      <c r="N26">
        <f t="shared" si="0"/>
        <v>11</v>
      </c>
      <c r="O26" s="7" t="e">
        <f>getCodigoBackend(N26,A26,VLOOKUP(N26,setup!$A$8:$H$58,2),VLOOKUP(N26,setup!$A$8:$H$58,3),VLOOKUP(N26,setup!$A$8:$H$58,4),VLOOKUP(N26,setup!$A$8:$H$58,5),VLOOKUP(N26,setup!$A$8:$H$58,6),VLOOKUP(N26,setup!$A$8:$H$58,7), VLOOKUP(0,setup!$A$8:$H$58,2),VLOOKUP(0,setup!$A$8:$H$58,5),VLOOKUP(N26,setup!$A$8:$H$58,8))</f>
        <v>#VALUE!</v>
      </c>
    </row>
    <row r="27" spans="1:15" x14ac:dyDescent="0.25">
      <c r="A27" s="4" t="s">
        <v>317</v>
      </c>
      <c r="N27">
        <f t="shared" si="0"/>
        <v>12</v>
      </c>
      <c r="O27" s="7" t="e">
        <f>getCodigoBackend(N27,A27,VLOOKUP(N27,setup!$A$8:$H$58,2),VLOOKUP(N27,setup!$A$8:$H$58,3),VLOOKUP(N27,setup!$A$8:$H$58,4),VLOOKUP(N27,setup!$A$8:$H$58,5),VLOOKUP(N27,setup!$A$8:$H$58,6),VLOOKUP(N27,setup!$A$8:$H$58,7), VLOOKUP(0,setup!$A$8:$H$58,2),VLOOKUP(0,setup!$A$8:$H$58,5),VLOOKUP(N27,setup!$A$8:$H$58,8))</f>
        <v>#VALUE!</v>
      </c>
    </row>
    <row r="28" spans="1:15" x14ac:dyDescent="0.25">
      <c r="A28" s="4" t="s">
        <v>317</v>
      </c>
      <c r="N28">
        <f t="shared" si="0"/>
        <v>13</v>
      </c>
      <c r="O28" s="7" t="e">
        <f>getCodigoBackend(N28,A28,VLOOKUP(N28,setup!$A$8:$H$58,2),VLOOKUP(N28,setup!$A$8:$H$58,3),VLOOKUP(N28,setup!$A$8:$H$58,4),VLOOKUP(N28,setup!$A$8:$H$58,5),VLOOKUP(N28,setup!$A$8:$H$58,6),VLOOKUP(N28,setup!$A$8:$H$58,7), VLOOKUP(0,setup!$A$8:$H$58,2),VLOOKUP(0,setup!$A$8:$H$58,5),VLOOKUP(N28,setup!$A$8:$H$58,8))</f>
        <v>#VALUE!</v>
      </c>
    </row>
    <row r="29" spans="1:15" x14ac:dyDescent="0.25">
      <c r="A29" s="4" t="s">
        <v>317</v>
      </c>
      <c r="N29">
        <f t="shared" si="0"/>
        <v>14</v>
      </c>
      <c r="O29" s="7" t="e">
        <f>getCodigoBackend(N29,A29,VLOOKUP(N29,setup!$A$8:$H$58,2),VLOOKUP(N29,setup!$A$8:$H$58,3),VLOOKUP(N29,setup!$A$8:$H$58,4),VLOOKUP(N29,setup!$A$8:$H$58,5),VLOOKUP(N29,setup!$A$8:$H$58,6),VLOOKUP(N29,setup!$A$8:$H$58,7), VLOOKUP(0,setup!$A$8:$H$58,2),VLOOKUP(0,setup!$A$8:$H$58,5),VLOOKUP(N29,setup!$A$8:$H$58,8))</f>
        <v>#VALUE!</v>
      </c>
    </row>
    <row r="30" spans="1:15" x14ac:dyDescent="0.25">
      <c r="A30" s="4" t="s">
        <v>317</v>
      </c>
      <c r="N30">
        <f t="shared" si="0"/>
        <v>15</v>
      </c>
      <c r="O30" s="7" t="e">
        <f>getCodigoBackend(N30,A30,VLOOKUP(N30,setup!$A$8:$H$58,2),VLOOKUP(N30,setup!$A$8:$H$58,3),VLOOKUP(N30,setup!$A$8:$H$58,4),VLOOKUP(N30,setup!$A$8:$H$58,5),VLOOKUP(N30,setup!$A$8:$H$58,6),VLOOKUP(N30,setup!$A$8:$H$58,7), VLOOKUP(0,setup!$A$8:$H$58,2),VLOOKUP(0,setup!$A$8:$H$58,5),VLOOKUP(N30,setup!$A$8:$H$58,8))</f>
        <v>#VALUE!</v>
      </c>
    </row>
    <row r="31" spans="1:15" x14ac:dyDescent="0.25">
      <c r="A31" s="4" t="s">
        <v>317</v>
      </c>
      <c r="N31">
        <f t="shared" si="0"/>
        <v>16</v>
      </c>
      <c r="O31" s="7" t="e">
        <f>getCodigoBackend(N31,A31,VLOOKUP(N31,setup!$A$8:$H$58,2),VLOOKUP(N31,setup!$A$8:$H$58,3),VLOOKUP(N31,setup!$A$8:$H$58,4),VLOOKUP(N31,setup!$A$8:$H$58,5),VLOOKUP(N31,setup!$A$8:$H$58,6),VLOOKUP(N31,setup!$A$8:$H$58,7), VLOOKUP(0,setup!$A$8:$H$58,2),VLOOKUP(0,setup!$A$8:$H$58,5),VLOOKUP(N31,setup!$A$8:$H$58,8))</f>
        <v>#VALUE!</v>
      </c>
    </row>
    <row r="32" spans="1:15" x14ac:dyDescent="0.25">
      <c r="A32" s="4" t="s">
        <v>317</v>
      </c>
      <c r="N32">
        <f t="shared" si="0"/>
        <v>17</v>
      </c>
      <c r="O32" s="7" t="e">
        <f>getCodigoBackend(N32,A32,VLOOKUP(N32,setup!$A$8:$H$58,2),VLOOKUP(N32,setup!$A$8:$H$58,3),VLOOKUP(N32,setup!$A$8:$H$58,4),VLOOKUP(N32,setup!$A$8:$H$58,5),VLOOKUP(N32,setup!$A$8:$H$58,6),VLOOKUP(N32,setup!$A$8:$H$58,7), VLOOKUP(0,setup!$A$8:$H$58,2),VLOOKUP(0,setup!$A$8:$H$58,5),VLOOKUP(N32,setup!$A$8:$H$58,8))</f>
        <v>#VALUE!</v>
      </c>
    </row>
    <row r="33" spans="1:15" x14ac:dyDescent="0.25">
      <c r="A33" s="4" t="s">
        <v>317</v>
      </c>
      <c r="N33">
        <f t="shared" si="0"/>
        <v>18</v>
      </c>
      <c r="O33" s="7" t="e">
        <f>getCodigoBackend(N33,A33,VLOOKUP(N33,setup!$A$8:$H$58,2),VLOOKUP(N33,setup!$A$8:$H$58,3),VLOOKUP(N33,setup!$A$8:$H$58,4),VLOOKUP(N33,setup!$A$8:$H$58,5),VLOOKUP(N33,setup!$A$8:$H$58,6),VLOOKUP(N33,setup!$A$8:$H$58,7), VLOOKUP(0,setup!$A$8:$H$58,2),VLOOKUP(0,setup!$A$8:$H$58,5),VLOOKUP(N33,setup!$A$8:$H$58,8))</f>
        <v>#VALUE!</v>
      </c>
    </row>
    <row r="34" spans="1:15" x14ac:dyDescent="0.25">
      <c r="A34" s="4" t="s">
        <v>317</v>
      </c>
      <c r="N34">
        <f t="shared" si="0"/>
        <v>19</v>
      </c>
      <c r="O34" s="7" t="e">
        <f>getCodigoBackend(N34,A34,VLOOKUP(N34,setup!$A$8:$H$58,2),VLOOKUP(N34,setup!$A$8:$H$58,3),VLOOKUP(N34,setup!$A$8:$H$58,4),VLOOKUP(N34,setup!$A$8:$H$58,5),VLOOKUP(N34,setup!$A$8:$H$58,6),VLOOKUP(N34,setup!$A$8:$H$58,7), VLOOKUP(0,setup!$A$8:$H$58,2),VLOOKUP(0,setup!$A$8:$H$58,5),VLOOKUP(N34,setup!$A$8:$H$58,8))</f>
        <v>#VALUE!</v>
      </c>
    </row>
    <row r="35" spans="1:15" x14ac:dyDescent="0.25">
      <c r="A35" s="4" t="s">
        <v>317</v>
      </c>
      <c r="N35">
        <f t="shared" si="0"/>
        <v>20</v>
      </c>
      <c r="O35" s="7" t="e">
        <f>getCodigoBackend(N35,A35,VLOOKUP(N35,setup!$A$8:$H$58,2),VLOOKUP(N35,setup!$A$8:$H$58,3),VLOOKUP(N35,setup!$A$8:$H$58,4),VLOOKUP(N35,setup!$A$8:$H$58,5),VLOOKUP(N35,setup!$A$8:$H$58,6),VLOOKUP(N35,setup!$A$8:$H$58,7), VLOOKUP(0,setup!$A$8:$H$58,2),VLOOKUP(0,setup!$A$8:$H$58,5),VLOOKUP(N35,setup!$A$8:$H$58,8))</f>
        <v>#VALUE!</v>
      </c>
    </row>
    <row r="36" spans="1:15" x14ac:dyDescent="0.25">
      <c r="A36" s="4" t="s">
        <v>317</v>
      </c>
      <c r="N36">
        <f t="shared" si="0"/>
        <v>21</v>
      </c>
      <c r="O36" s="7" t="e">
        <f>getCodigoBackend(N36,A36,VLOOKUP(N36,setup!$A$8:$H$58,2),VLOOKUP(N36,setup!$A$8:$H$58,3),VLOOKUP(N36,setup!$A$8:$H$58,4),VLOOKUP(N36,setup!$A$8:$H$58,5),VLOOKUP(N36,setup!$A$8:$H$58,6),VLOOKUP(N36,setup!$A$8:$H$58,7), VLOOKUP(0,setup!$A$8:$H$58,2),VLOOKUP(0,setup!$A$8:$H$58,5),VLOOKUP(N36,setup!$A$8:$H$58,8))</f>
        <v>#VALUE!</v>
      </c>
    </row>
    <row r="37" spans="1:15" x14ac:dyDescent="0.25">
      <c r="A37" s="4" t="s">
        <v>317</v>
      </c>
      <c r="N37">
        <f t="shared" si="0"/>
        <v>22</v>
      </c>
      <c r="O37" s="7" t="e">
        <f>getCodigoBackend(N37,A37,VLOOKUP(N37,setup!$A$8:$H$58,2),VLOOKUP(N37,setup!$A$8:$H$58,3),VLOOKUP(N37,setup!$A$8:$H$58,4),VLOOKUP(N37,setup!$A$8:$H$58,5),VLOOKUP(N37,setup!$A$8:$H$58,6),VLOOKUP(N37,setup!$A$8:$H$58,7), VLOOKUP(0,setup!$A$8:$H$58,2),VLOOKUP(0,setup!$A$8:$H$58,5),VLOOKUP(N37,setup!$A$8:$H$58,8))</f>
        <v>#VALUE!</v>
      </c>
    </row>
    <row r="38" spans="1:15" x14ac:dyDescent="0.25">
      <c r="A38" s="4" t="s">
        <v>317</v>
      </c>
      <c r="N38">
        <f t="shared" si="0"/>
        <v>23</v>
      </c>
      <c r="O38" s="7" t="e">
        <f>getCodigoBackend(N38,A38,VLOOKUP(N38,setup!$A$8:$H$58,2),VLOOKUP(N38,setup!$A$8:$H$58,3),VLOOKUP(N38,setup!$A$8:$H$58,4),VLOOKUP(N38,setup!$A$8:$H$58,5),VLOOKUP(N38,setup!$A$8:$H$58,6),VLOOKUP(N38,setup!$A$8:$H$58,7), VLOOKUP(0,setup!$A$8:$H$58,2),VLOOKUP(0,setup!$A$8:$H$58,5),VLOOKUP(N38,setup!$A$8:$H$58,8))</f>
        <v>#VALUE!</v>
      </c>
    </row>
    <row r="39" spans="1:15" x14ac:dyDescent="0.25">
      <c r="A39" s="4" t="s">
        <v>317</v>
      </c>
      <c r="N39">
        <f t="shared" si="0"/>
        <v>24</v>
      </c>
      <c r="O39" s="7" t="e">
        <f>getCodigoBackend(N39,A39,VLOOKUP(N39,setup!$A$8:$H$58,2),VLOOKUP(N39,setup!$A$8:$H$58,3),VLOOKUP(N39,setup!$A$8:$H$58,4),VLOOKUP(N39,setup!$A$8:$H$58,5),VLOOKUP(N39,setup!$A$8:$H$58,6),VLOOKUP(N39,setup!$A$8:$H$58,7), VLOOKUP(0,setup!$A$8:$H$58,2),VLOOKUP(0,setup!$A$8:$H$58,5),VLOOKUP(N39,setup!$A$8:$H$58,8))</f>
        <v>#VALUE!</v>
      </c>
    </row>
    <row r="40" spans="1:15" x14ac:dyDescent="0.25">
      <c r="A40" s="4" t="s">
        <v>317</v>
      </c>
      <c r="N40">
        <f t="shared" si="0"/>
        <v>25</v>
      </c>
      <c r="O40" s="7" t="e">
        <f>getCodigoBackend(N40,A40,VLOOKUP(N40,setup!$A$8:$H$58,2),VLOOKUP(N40,setup!$A$8:$H$58,3),VLOOKUP(N40,setup!$A$8:$H$58,4),VLOOKUP(N40,setup!$A$8:$H$58,5),VLOOKUP(N40,setup!$A$8:$H$58,6),VLOOKUP(N40,setup!$A$8:$H$58,7), VLOOKUP(0,setup!$A$8:$H$58,2),VLOOKUP(0,setup!$A$8:$H$58,5),VLOOKUP(N40,setup!$A$8:$H$58,8))</f>
        <v>#VALUE!</v>
      </c>
    </row>
    <row r="41" spans="1:15" x14ac:dyDescent="0.25">
      <c r="A41" s="4" t="s">
        <v>317</v>
      </c>
      <c r="N41">
        <f t="shared" si="0"/>
        <v>26</v>
      </c>
      <c r="O41" s="7" t="e">
        <f>getCodigoBackend(N41,A41,VLOOKUP(N41,setup!$A$8:$H$58,2),VLOOKUP(N41,setup!$A$8:$H$58,3),VLOOKUP(N41,setup!$A$8:$H$58,4),VLOOKUP(N41,setup!$A$8:$H$58,5),VLOOKUP(N41,setup!$A$8:$H$58,6),VLOOKUP(N41,setup!$A$8:$H$58,7), VLOOKUP(0,setup!$A$8:$H$58,2),VLOOKUP(0,setup!$A$8:$H$58,5),VLOOKUP(N41,setup!$A$8:$H$58,8))</f>
        <v>#VALUE!</v>
      </c>
    </row>
    <row r="42" spans="1:15" x14ac:dyDescent="0.25">
      <c r="A42" s="4" t="s">
        <v>317</v>
      </c>
      <c r="N42">
        <f t="shared" si="0"/>
        <v>27</v>
      </c>
      <c r="O42" s="7" t="e">
        <f>getCodigoBackend(N42,A42,VLOOKUP(N42,setup!$A$8:$H$58,2),VLOOKUP(N42,setup!$A$8:$H$58,3),VLOOKUP(N42,setup!$A$8:$H$58,4),VLOOKUP(N42,setup!$A$8:$H$58,5),VLOOKUP(N42,setup!$A$8:$H$58,6),VLOOKUP(N42,setup!$A$8:$H$58,7), VLOOKUP(0,setup!$A$8:$H$58,2),VLOOKUP(0,setup!$A$8:$H$58,5),VLOOKUP(N42,setup!$A$8:$H$58,8))</f>
        <v>#VALUE!</v>
      </c>
    </row>
    <row r="43" spans="1:15" x14ac:dyDescent="0.25">
      <c r="A43" s="4" t="s">
        <v>317</v>
      </c>
      <c r="N43">
        <f t="shared" si="0"/>
        <v>28</v>
      </c>
      <c r="O43" s="7" t="e">
        <f>getCodigoBackend(N43,A43,VLOOKUP(N43,setup!$A$8:$H$58,2),VLOOKUP(N43,setup!$A$8:$H$58,3),VLOOKUP(N43,setup!$A$8:$H$58,4),VLOOKUP(N43,setup!$A$8:$H$58,5),VLOOKUP(N43,setup!$A$8:$H$58,6),VLOOKUP(N43,setup!$A$8:$H$58,7), VLOOKUP(0,setup!$A$8:$H$58,2),VLOOKUP(0,setup!$A$8:$H$58,5),VLOOKUP(N43,setup!$A$8:$H$58,8))</f>
        <v>#VALUE!</v>
      </c>
    </row>
    <row r="44" spans="1:15" x14ac:dyDescent="0.25">
      <c r="A44" s="4" t="s">
        <v>317</v>
      </c>
      <c r="N44">
        <f t="shared" si="0"/>
        <v>29</v>
      </c>
      <c r="O44" s="7" t="e">
        <f>getCodigoBackend(N44,A44,VLOOKUP(N44,setup!$A$8:$H$58,2),VLOOKUP(N44,setup!$A$8:$H$58,3),VLOOKUP(N44,setup!$A$8:$H$58,4),VLOOKUP(N44,setup!$A$8:$H$58,5),VLOOKUP(N44,setup!$A$8:$H$58,6),VLOOKUP(N44,setup!$A$8:$H$58,7), VLOOKUP(0,setup!$A$8:$H$58,2),VLOOKUP(0,setup!$A$8:$H$58,5),VLOOKUP(N44,setup!$A$8:$H$58,8))</f>
        <v>#VALUE!</v>
      </c>
    </row>
    <row r="45" spans="1:15" x14ac:dyDescent="0.25">
      <c r="A45" s="4" t="s">
        <v>317</v>
      </c>
      <c r="N45">
        <f t="shared" si="0"/>
        <v>30</v>
      </c>
      <c r="O45" s="7" t="e">
        <f>getCodigoBackend(N45,A45,VLOOKUP(N45,setup!$A$8:$H$58,2),VLOOKUP(N45,setup!$A$8:$H$58,3),VLOOKUP(N45,setup!$A$8:$H$58,4),VLOOKUP(N45,setup!$A$8:$H$58,5),VLOOKUP(N45,setup!$A$8:$H$58,6),VLOOKUP(N45,setup!$A$8:$H$58,7), VLOOKUP(0,setup!$A$8:$H$58,2),VLOOKUP(0,setup!$A$8:$H$58,5),VLOOKUP(N45,setup!$A$8:$H$58,8))</f>
        <v>#VALUE!</v>
      </c>
    </row>
    <row r="46" spans="1:15" x14ac:dyDescent="0.25">
      <c r="A46" s="4" t="s">
        <v>317</v>
      </c>
      <c r="N46">
        <f t="shared" si="0"/>
        <v>31</v>
      </c>
      <c r="O46" s="7" t="e">
        <f>getCodigoBackend(N46,A46,VLOOKUP(N46,setup!$A$8:$H$58,2),VLOOKUP(N46,setup!$A$8:$H$58,3),VLOOKUP(N46,setup!$A$8:$H$58,4),VLOOKUP(N46,setup!$A$8:$H$58,5),VLOOKUP(N46,setup!$A$8:$H$58,6),VLOOKUP(N46,setup!$A$8:$H$58,7), VLOOKUP(0,setup!$A$8:$H$58,2),VLOOKUP(0,setup!$A$8:$H$58,5),VLOOKUP(N46,setup!$A$8:$H$58,8))</f>
        <v>#VALUE!</v>
      </c>
    </row>
    <row r="47" spans="1:15" x14ac:dyDescent="0.25">
      <c r="A47" s="4" t="s">
        <v>317</v>
      </c>
      <c r="N47">
        <f t="shared" si="0"/>
        <v>32</v>
      </c>
      <c r="O47" s="7" t="e">
        <f>getCodigoBackend(N47,A47,VLOOKUP(N47,setup!$A$8:$H$58,2),VLOOKUP(N47,setup!$A$8:$H$58,3),VLOOKUP(N47,setup!$A$8:$H$58,4),VLOOKUP(N47,setup!$A$8:$H$58,5),VLOOKUP(N47,setup!$A$8:$H$58,6),VLOOKUP(N47,setup!$A$8:$H$58,7), VLOOKUP(0,setup!$A$8:$H$58,2),VLOOKUP(0,setup!$A$8:$H$58,5),VLOOKUP(N47,setup!$A$8:$H$58,8))</f>
        <v>#VALUE!</v>
      </c>
    </row>
    <row r="48" spans="1:15" x14ac:dyDescent="0.25">
      <c r="A48" s="4" t="s">
        <v>317</v>
      </c>
      <c r="N48">
        <f t="shared" si="0"/>
        <v>33</v>
      </c>
      <c r="O48" s="7" t="e">
        <f>getCodigoBackend(N48,A48,VLOOKUP(N48,setup!$A$8:$H$58,2),VLOOKUP(N48,setup!$A$8:$H$58,3),VLOOKUP(N48,setup!$A$8:$H$58,4),VLOOKUP(N48,setup!$A$8:$H$58,5),VLOOKUP(N48,setup!$A$8:$H$58,6),VLOOKUP(N48,setup!$A$8:$H$58,7), VLOOKUP(0,setup!$A$8:$H$58,2),VLOOKUP(0,setup!$A$8:$H$58,5),VLOOKUP(N48,setup!$A$8:$H$58,8))</f>
        <v>#VALUE!</v>
      </c>
    </row>
    <row r="49" spans="1:15" x14ac:dyDescent="0.25">
      <c r="A49" s="4" t="s">
        <v>317</v>
      </c>
      <c r="N49">
        <f t="shared" si="0"/>
        <v>34</v>
      </c>
      <c r="O49" s="7" t="e">
        <f>getCodigoBackend(N49,A49,VLOOKUP(N49,setup!$A$8:$H$58,2),VLOOKUP(N49,setup!$A$8:$H$58,3),VLOOKUP(N49,setup!$A$8:$H$58,4),VLOOKUP(N49,setup!$A$8:$H$58,5),VLOOKUP(N49,setup!$A$8:$H$58,6),VLOOKUP(N49,setup!$A$8:$H$58,7), VLOOKUP(0,setup!$A$8:$H$58,2),VLOOKUP(0,setup!$A$8:$H$58,5),VLOOKUP(N49,setup!$A$8:$H$58,8))</f>
        <v>#VALUE!</v>
      </c>
    </row>
    <row r="50" spans="1:15" x14ac:dyDescent="0.25">
      <c r="A50" s="4" t="s">
        <v>317</v>
      </c>
      <c r="N50">
        <f t="shared" si="0"/>
        <v>35</v>
      </c>
      <c r="O50" s="7" t="e">
        <f>getCodigoBackend(N50,A50,VLOOKUP(N50,setup!$A$8:$H$58,2),VLOOKUP(N50,setup!$A$8:$H$58,3),VLOOKUP(N50,setup!$A$8:$H$58,4),VLOOKUP(N50,setup!$A$8:$H$58,5),VLOOKUP(N50,setup!$A$8:$H$58,6),VLOOKUP(N50,setup!$A$8:$H$58,7), VLOOKUP(0,setup!$A$8:$H$58,2),VLOOKUP(0,setup!$A$8:$H$58,5),VLOOKUP(N50,setup!$A$8:$H$58,8))</f>
        <v>#VALUE!</v>
      </c>
    </row>
    <row r="51" spans="1:15" x14ac:dyDescent="0.25">
      <c r="A51" s="4" t="s">
        <v>317</v>
      </c>
      <c r="N51">
        <f t="shared" si="0"/>
        <v>36</v>
      </c>
      <c r="O51" s="7" t="e">
        <f>getCodigoBackend(N51,A51,VLOOKUP(N51,setup!$A$8:$H$58,2),VLOOKUP(N51,setup!$A$8:$H$58,3),VLOOKUP(N51,setup!$A$8:$H$58,4),VLOOKUP(N51,setup!$A$8:$H$58,5),VLOOKUP(N51,setup!$A$8:$H$58,6),VLOOKUP(N51,setup!$A$8:$H$58,7), VLOOKUP(0,setup!$A$8:$H$58,2),VLOOKUP(0,setup!$A$8:$H$58,5),VLOOKUP(N51,setup!$A$8:$H$58,8))</f>
        <v>#VALUE!</v>
      </c>
    </row>
    <row r="52" spans="1:15" x14ac:dyDescent="0.25">
      <c r="A52" s="4" t="s">
        <v>317</v>
      </c>
      <c r="N52">
        <f t="shared" si="0"/>
        <v>37</v>
      </c>
      <c r="O52" s="7" t="e">
        <f>getCodigoBackend(N52,A52,VLOOKUP(N52,setup!$A$8:$H$58,2),VLOOKUP(N52,setup!$A$8:$H$58,3),VLOOKUP(N52,setup!$A$8:$H$58,4),VLOOKUP(N52,setup!$A$8:$H$58,5),VLOOKUP(N52,setup!$A$8:$H$58,6),VLOOKUP(N52,setup!$A$8:$H$58,7), VLOOKUP(0,setup!$A$8:$H$58,2),VLOOKUP(0,setup!$A$8:$H$58,5),VLOOKUP(N52,setup!$A$8:$H$58,8))</f>
        <v>#VALUE!</v>
      </c>
    </row>
    <row r="53" spans="1:15" x14ac:dyDescent="0.25">
      <c r="A53" s="4" t="s">
        <v>317</v>
      </c>
      <c r="N53">
        <f t="shared" si="0"/>
        <v>38</v>
      </c>
      <c r="O53" s="7" t="e">
        <f>getCodigoBackend(N53,A53,VLOOKUP(N53,setup!$A$8:$H$58,2),VLOOKUP(N53,setup!$A$8:$H$58,3),VLOOKUP(N53,setup!$A$8:$H$58,4),VLOOKUP(N53,setup!$A$8:$H$58,5),VLOOKUP(N53,setup!$A$8:$H$58,6),VLOOKUP(N53,setup!$A$8:$H$58,7), VLOOKUP(0,setup!$A$8:$H$58,2),VLOOKUP(0,setup!$A$8:$H$58,5),VLOOKUP(N53,setup!$A$8:$H$58,8))</f>
        <v>#VALUE!</v>
      </c>
    </row>
    <row r="54" spans="1:15" x14ac:dyDescent="0.25">
      <c r="A54" s="4" t="s">
        <v>317</v>
      </c>
      <c r="N54">
        <f t="shared" si="0"/>
        <v>39</v>
      </c>
      <c r="O54" s="7" t="e">
        <f>getCodigoBackend(N54,A54,VLOOKUP(N54,setup!$A$8:$H$58,2),VLOOKUP(N54,setup!$A$8:$H$58,3),VLOOKUP(N54,setup!$A$8:$H$58,4),VLOOKUP(N54,setup!$A$8:$H$58,5),VLOOKUP(N54,setup!$A$8:$H$58,6),VLOOKUP(N54,setup!$A$8:$H$58,7), VLOOKUP(0,setup!$A$8:$H$58,2),VLOOKUP(0,setup!$A$8:$H$58,5),VLOOKUP(N54,setup!$A$8:$H$58,8))</f>
        <v>#VALUE!</v>
      </c>
    </row>
    <row r="55" spans="1:15" x14ac:dyDescent="0.25">
      <c r="A55" s="4" t="s">
        <v>317</v>
      </c>
      <c r="N55">
        <f t="shared" si="0"/>
        <v>40</v>
      </c>
      <c r="O55" s="7" t="e">
        <f>getCodigoBackend(N55,A55,VLOOKUP(N55,setup!$A$8:$H$58,2),VLOOKUP(N55,setup!$A$8:$H$58,3),VLOOKUP(N55,setup!$A$8:$H$58,4),VLOOKUP(N55,setup!$A$8:$H$58,5),VLOOKUP(N55,setup!$A$8:$H$58,6),VLOOKUP(N55,setup!$A$8:$H$58,7), VLOOKUP(0,setup!$A$8:$H$58,2),VLOOKUP(0,setup!$A$8:$H$58,5),VLOOKUP(N55,setup!$A$8:$H$58,8))</f>
        <v>#VALUE!</v>
      </c>
    </row>
    <row r="56" spans="1:15" x14ac:dyDescent="0.25">
      <c r="A56" s="4" t="s">
        <v>317</v>
      </c>
      <c r="N56">
        <f t="shared" si="0"/>
        <v>41</v>
      </c>
      <c r="O56" s="7" t="e">
        <f>getCodigoBackend(N56,A56,VLOOKUP(N56,setup!$A$8:$H$58,2),VLOOKUP(N56,setup!$A$8:$H$58,3),VLOOKUP(N56,setup!$A$8:$H$58,4),VLOOKUP(N56,setup!$A$8:$H$58,5),VLOOKUP(N56,setup!$A$8:$H$58,6),VLOOKUP(N56,setup!$A$8:$H$58,7), VLOOKUP(0,setup!$A$8:$H$58,2),VLOOKUP(0,setup!$A$8:$H$58,5),VLOOKUP(N56,setup!$A$8:$H$58,8))</f>
        <v>#VALUE!</v>
      </c>
    </row>
    <row r="57" spans="1:15" x14ac:dyDescent="0.25">
      <c r="A57" s="4" t="s">
        <v>317</v>
      </c>
      <c r="N57">
        <f t="shared" si="0"/>
        <v>42</v>
      </c>
      <c r="O57" s="7" t="e">
        <f>getCodigoBackend(N57,A57,VLOOKUP(N57,setup!$A$8:$H$58,2),VLOOKUP(N57,setup!$A$8:$H$58,3),VLOOKUP(N57,setup!$A$8:$H$58,4),VLOOKUP(N57,setup!$A$8:$H$58,5),VLOOKUP(N57,setup!$A$8:$H$58,6),VLOOKUP(N57,setup!$A$8:$H$58,7), VLOOKUP(0,setup!$A$8:$H$58,2),VLOOKUP(0,setup!$A$8:$H$58,5),VLOOKUP(N57,setup!$A$8:$H$58,8))</f>
        <v>#VALUE!</v>
      </c>
    </row>
    <row r="58" spans="1:15" x14ac:dyDescent="0.25">
      <c r="A58" s="4" t="s">
        <v>317</v>
      </c>
      <c r="N58">
        <f t="shared" si="0"/>
        <v>43</v>
      </c>
      <c r="O58" s="7" t="e">
        <f>getCodigoBackend(N58,A58,VLOOKUP(N58,setup!$A$8:$H$58,2),VLOOKUP(N58,setup!$A$8:$H$58,3),VLOOKUP(N58,setup!$A$8:$H$58,4),VLOOKUP(N58,setup!$A$8:$H$58,5),VLOOKUP(N58,setup!$A$8:$H$58,6),VLOOKUP(N58,setup!$A$8:$H$58,7), VLOOKUP(0,setup!$A$8:$H$58,2),VLOOKUP(0,setup!$A$8:$H$58,5),VLOOKUP(N58,setup!$A$8:$H$58,8))</f>
        <v>#VALUE!</v>
      </c>
    </row>
    <row r="59" spans="1:15" x14ac:dyDescent="0.25">
      <c r="A59" s="4" t="s">
        <v>317</v>
      </c>
      <c r="N59">
        <f t="shared" si="0"/>
        <v>44</v>
      </c>
      <c r="O59" s="7" t="e">
        <f>getCodigoBackend(N59,A59,VLOOKUP(N59,setup!$A$8:$H$58,2),VLOOKUP(N59,setup!$A$8:$H$58,3),VLOOKUP(N59,setup!$A$8:$H$58,4),VLOOKUP(N59,setup!$A$8:$H$58,5),VLOOKUP(N59,setup!$A$8:$H$58,6),VLOOKUP(N59,setup!$A$8:$H$58,7), VLOOKUP(0,setup!$A$8:$H$58,2),VLOOKUP(0,setup!$A$8:$H$58,5),VLOOKUP(N59,setup!$A$8:$H$58,8))</f>
        <v>#VALUE!</v>
      </c>
    </row>
    <row r="60" spans="1:15" x14ac:dyDescent="0.25">
      <c r="A60" s="4" t="s">
        <v>317</v>
      </c>
      <c r="N60">
        <f t="shared" si="0"/>
        <v>45</v>
      </c>
      <c r="O60" s="7" t="e">
        <f>getCodigoBackend(N60,A60,VLOOKUP(N60,setup!$A$8:$H$58,2),VLOOKUP(N60,setup!$A$8:$H$58,3),VLOOKUP(N60,setup!$A$8:$H$58,4),VLOOKUP(N60,setup!$A$8:$H$58,5),VLOOKUP(N60,setup!$A$8:$H$58,6),VLOOKUP(N60,setup!$A$8:$H$58,7), VLOOKUP(0,setup!$A$8:$H$58,2),VLOOKUP(0,setup!$A$8:$H$58,5),VLOOKUP(N60,setup!$A$8:$H$58,8))</f>
        <v>#VALUE!</v>
      </c>
    </row>
    <row r="61" spans="1:15" x14ac:dyDescent="0.25">
      <c r="A61" s="4" t="s">
        <v>317</v>
      </c>
      <c r="N61">
        <f t="shared" si="0"/>
        <v>46</v>
      </c>
      <c r="O61" s="7" t="e">
        <f>getCodigoBackend(N61,A61,VLOOKUP(N61,setup!$A$8:$H$58,2),VLOOKUP(N61,setup!$A$8:$H$58,3),VLOOKUP(N61,setup!$A$8:$H$58,4),VLOOKUP(N61,setup!$A$8:$H$58,5),VLOOKUP(N61,setup!$A$8:$H$58,6),VLOOKUP(N61,setup!$A$8:$H$58,7), VLOOKUP(0,setup!$A$8:$H$58,2),VLOOKUP(0,setup!$A$8:$H$58,5),VLOOKUP(N61,setup!$A$8:$H$58,8))</f>
        <v>#VALUE!</v>
      </c>
    </row>
    <row r="62" spans="1:15" x14ac:dyDescent="0.25">
      <c r="A62" s="4" t="s">
        <v>317</v>
      </c>
      <c r="N62">
        <f t="shared" si="0"/>
        <v>47</v>
      </c>
      <c r="O62" s="7" t="e">
        <f>getCodigoBackend(N62,A62,VLOOKUP(N62,setup!$A$8:$H$58,2),VLOOKUP(N62,setup!$A$8:$H$58,3),VLOOKUP(N62,setup!$A$8:$H$58,4),VLOOKUP(N62,setup!$A$8:$H$58,5),VLOOKUP(N62,setup!$A$8:$H$58,6),VLOOKUP(N62,setup!$A$8:$H$58,7), VLOOKUP(0,setup!$A$8:$H$58,2),VLOOKUP(0,setup!$A$8:$H$58,5),VLOOKUP(N62,setup!$A$8:$H$58,8))</f>
        <v>#VALUE!</v>
      </c>
    </row>
    <row r="63" spans="1:15" x14ac:dyDescent="0.25">
      <c r="A63" s="4" t="s">
        <v>317</v>
      </c>
      <c r="N63">
        <f t="shared" si="0"/>
        <v>48</v>
      </c>
      <c r="O63" s="7" t="str">
        <f ca="1">getCodigoBackend(N63,A63,VLOOKUP(N63,setup!$A$8:$H$58,2),VLOOKUP(N63,setup!$A$8:$H$58,3),VLOOKUP(N63,setup!$A$8:$H$58,4),VLOOKUP(N63,setup!$A$8:$H$58,5),VLOOKUP(N63,setup!$A$8:$H$58,6),VLOOKUP(N63,setup!$A$8:$H$58,7), VLOOKUP(0,setup!$A$8:$H$58,2),VLOOKUP(0,setup!$A$8:$H$58,5),VLOOKUP(N63,setup!$A$8:$H$58,8))</f>
        <v xml:space="preserve">  String status;</v>
      </c>
    </row>
    <row r="64" spans="1:15" x14ac:dyDescent="0.25">
      <c r="A64" s="4" t="s">
        <v>317</v>
      </c>
      <c r="N64">
        <f t="shared" si="0"/>
        <v>49</v>
      </c>
      <c r="O64" s="7" t="str">
        <f ca="1">getCodigoBackend(N64,A64,VLOOKUP(N64,setup!$A$8:$H$58,2),VLOOKUP(N64,setup!$A$8:$H$58,3),VLOOKUP(N64,setup!$A$8:$H$58,4),VLOOKUP(N64,setup!$A$8:$H$58,5),VLOOKUP(N64,setup!$A$8:$H$58,6),VLOOKUP(N64,setup!$A$8:$H$58,7), VLOOKUP(0,setup!$A$8:$H$58,2),VLOOKUP(0,setup!$A$8:$H$58,5),VLOOKUP(N64,setup!$A$8:$H$58,8))</f>
        <v xml:space="preserve">  String dataCadastro;</v>
      </c>
    </row>
    <row r="65" spans="1:15" x14ac:dyDescent="0.25">
      <c r="A65" s="4" t="s">
        <v>317</v>
      </c>
      <c r="N65">
        <f t="shared" si="0"/>
        <v>50</v>
      </c>
      <c r="O65" s="7" t="str">
        <f ca="1">getCodigoBackend(N65,A65,VLOOKUP(N65,setup!$A$8:$H$58,2),VLOOKUP(N65,setup!$A$8:$H$58,3),VLOOKUP(N65,setup!$A$8:$H$58,4),VLOOKUP(N65,setup!$A$8:$H$58,5),VLOOKUP(N65,setup!$A$8:$H$58,6),VLOOKUP(N65,setup!$A$8:$H$58,7), VLOOKUP(0,setup!$A$8:$H$58,2),VLOOKUP(0,setup!$A$8:$H$58,5),VLOOKUP(N65,setup!$A$8:$H$58,8))</f>
        <v xml:space="preserve">  String dataAtualizacao;</v>
      </c>
    </row>
    <row r="66" spans="1:15" x14ac:dyDescent="0.25">
      <c r="A66" s="4" t="s">
        <v>318</v>
      </c>
      <c r="O66" s="7" t="str">
        <f ca="1">getCodigoBackend(N66,A66,VLOOKUP(N66,setup!$A$8:$H$58,2),VLOOKUP(N66,setup!$A$8:$H$58,3),VLOOKUP(N66,setup!$A$8:$H$58,4),VLOOKUP(N66,setup!$A$8:$H$58,5),VLOOKUP(N66,setup!$A$8:$H$58,6),VLOOKUP(N66,setup!$A$8:$H$58,7), VLOOKUP(0,setup!$A$8:$H$58,2),VLOOKUP(0,setup!$A$8:$H$58,5),VLOOKUP(N66,setup!$A$8:$H$58,8))</f>
        <v xml:space="preserve">  String msgcode;</v>
      </c>
    </row>
    <row r="67" spans="1:15" x14ac:dyDescent="0.25">
      <c r="A67" s="6" t="s">
        <v>319</v>
      </c>
      <c r="O67" s="7" t="str">
        <f ca="1">getCodigoBackend(N67,A67,VLOOKUP(N67,setup!$A$8:$H$58,2),VLOOKUP(N67,setup!$A$8:$H$58,3),VLOOKUP(N67,setup!$A$8:$H$58,4),VLOOKUP(N67,setup!$A$8:$H$58,5),VLOOKUP(N67,setup!$A$8:$H$58,6),VLOOKUP(N67,setup!$A$8:$H$58,7), VLOOKUP(0,setup!$A$8:$H$58,2),VLOOKUP(0,setup!$A$8:$H$58,5),VLOOKUP(N67,setup!$A$8:$H$58,8))</f>
        <v xml:space="preserve">  String msgcodeString;</v>
      </c>
    </row>
    <row r="68" spans="1:15" x14ac:dyDescent="0.25">
      <c r="A68" s="13"/>
      <c r="O68" s="7" t="str">
        <f ca="1">getCodigoBackend(N68,A68,VLOOKUP(N68,setup!$A$8:$H$58,2),VLOOKUP(N68,setup!$A$8:$H$58,3),VLOOKUP(N68,setup!$A$8:$H$58,4),VLOOKUP(N68,setup!$A$8:$H$58,5),VLOOKUP(N68,setup!$A$8:$H$58,6),VLOOKUP(N68,setup!$A$8:$H$58,7), VLOOKUP(0,setup!$A$8:$H$58,2),VLOOKUP(0,setup!$A$8:$H$58,5),VLOOKUP(N68,setup!$A$8:$H$58,8))</f>
        <v/>
      </c>
    </row>
    <row r="69" spans="1:15" x14ac:dyDescent="0.25">
      <c r="A69" s="12" t="s">
        <v>115</v>
      </c>
      <c r="O69" s="7" t="str">
        <f ca="1">getCodigoBackend(N69,A69,VLOOKUP(N69,setup!$A$8:$H$58,2),VLOOKUP(N69,setup!$A$8:$H$58,3),VLOOKUP(N69,setup!$A$8:$H$58,4),VLOOKUP(N69,setup!$A$8:$H$58,5),VLOOKUP(N69,setup!$A$8:$H$58,6),VLOOKUP(N69,setup!$A$8:$H$58,7), VLOOKUP(0,setup!$A$8:$H$58,2),VLOOKUP(0,setup!$A$8:$H$58,5),VLOOKUP(N69,setup!$A$8:$H$58,8))</f>
        <v>/// Construtor da classe UsuarioPublicidadeVOPost</v>
      </c>
    </row>
    <row r="70" spans="1:15" x14ac:dyDescent="0.25">
      <c r="A70" s="6" t="s">
        <v>116</v>
      </c>
      <c r="O70" s="7" t="str">
        <f ca="1">getCodigoBackend(N70,A70,VLOOKUP(N70,setup!$A$8:$H$58,2),VLOOKUP(N70,setup!$A$8:$H$58,3),VLOOKUP(N70,setup!$A$8:$H$58,4),VLOOKUP(N70,setup!$A$8:$H$58,5),VLOOKUP(N70,setup!$A$8:$H$58,6),VLOOKUP(N70,setup!$A$8:$H$58,7), VLOOKUP(0,setup!$A$8:$H$58,2),VLOOKUP(0,setup!$A$8:$H$58,5),VLOOKUP(N70,setup!$A$8:$H$58,8))</f>
        <v xml:space="preserve">  UsuarioPublicidadeVOPost({this.tokenid, </v>
      </c>
    </row>
    <row r="71" spans="1:15" x14ac:dyDescent="0.25">
      <c r="A71" s="6" t="s">
        <v>48</v>
      </c>
      <c r="N71">
        <v>0</v>
      </c>
      <c r="O71" s="7" t="str">
        <f ca="1">getCodigoBackend(N71,A71,VLOOKUP(N71,setup!$A$8:$H$58,2),VLOOKUP(N71,setup!$A$8:$H$58,3),VLOOKUP(N71,setup!$A$8:$H$58,4),VLOOKUP(N71,setup!$A$8:$H$58,5),VLOOKUP(N71,setup!$A$8:$H$58,6),VLOOKUP(N71,setup!$A$8:$H$58,7), VLOOKUP(0,setup!$A$8:$H$58,2),VLOOKUP(0,setup!$A$8:$H$58,5),VLOOKUP(N71,setup!$A$8:$H$58,8))</f>
        <v xml:space="preserve">  this.id,</v>
      </c>
    </row>
    <row r="72" spans="1:15" x14ac:dyDescent="0.25">
      <c r="A72" s="6" t="s">
        <v>48</v>
      </c>
      <c r="N72">
        <f>N71+1</f>
        <v>1</v>
      </c>
      <c r="O72" s="7" t="str">
        <f ca="1">getCodigoBackend(N72,A72,VLOOKUP(N72,setup!$A$8:$H$58,2),VLOOKUP(N72,setup!$A$8:$H$58,3),VLOOKUP(N72,setup!$A$8:$H$58,4),VLOOKUP(N72,setup!$A$8:$H$58,5),VLOOKUP(N72,setup!$A$8:$H$58,6),VLOOKUP(N72,setup!$A$8:$H$58,7), VLOOKUP(0,setup!$A$8:$H$58,2),VLOOKUP(0,setup!$A$8:$H$58,5),VLOOKUP(N72,setup!$A$8:$H$58,8))</f>
        <v xml:space="preserve">  this.id_usuario,</v>
      </c>
    </row>
    <row r="73" spans="1:15" x14ac:dyDescent="0.25">
      <c r="A73" s="6" t="s">
        <v>48</v>
      </c>
      <c r="N73">
        <f t="shared" ref="N73:N120" si="1">N72+1</f>
        <v>2</v>
      </c>
      <c r="O73" s="7" t="str">
        <f ca="1">getCodigoBackend(N73,A73,VLOOKUP(N73,setup!$A$8:$H$58,2),VLOOKUP(N73,setup!$A$8:$H$58,3),VLOOKUP(N73,setup!$A$8:$H$58,4),VLOOKUP(N73,setup!$A$8:$H$58,5),VLOOKUP(N73,setup!$A$8:$H$58,6),VLOOKUP(N73,setup!$A$8:$H$58,7), VLOOKUP(0,setup!$A$8:$H$58,2),VLOOKUP(0,setup!$A$8:$H$58,5),VLOOKUP(N73,setup!$A$8:$H$58,8))</f>
        <v xml:space="preserve">  this.titulo,</v>
      </c>
    </row>
    <row r="74" spans="1:15" x14ac:dyDescent="0.25">
      <c r="A74" s="6" t="s">
        <v>48</v>
      </c>
      <c r="N74">
        <f t="shared" si="1"/>
        <v>3</v>
      </c>
      <c r="O74" s="7" t="str">
        <f ca="1">getCodigoBackend(N74,A74,VLOOKUP(N74,setup!$A$8:$H$58,2),VLOOKUP(N74,setup!$A$8:$H$58,3),VLOOKUP(N74,setup!$A$8:$H$58,4),VLOOKUP(N74,setup!$A$8:$H$58,5),VLOOKUP(N74,setup!$A$8:$H$58,6),VLOOKUP(N74,setup!$A$8:$H$58,7), VLOOKUP(0,setup!$A$8:$H$58,2),VLOOKUP(0,setup!$A$8:$H$58,5),VLOOKUP(N74,setup!$A$8:$H$58,8))</f>
        <v xml:space="preserve">  this.descricao,</v>
      </c>
    </row>
    <row r="75" spans="1:15" x14ac:dyDescent="0.25">
      <c r="A75" s="6" t="s">
        <v>48</v>
      </c>
      <c r="N75">
        <f t="shared" si="1"/>
        <v>4</v>
      </c>
      <c r="O75" s="7" t="str">
        <f ca="1">getCodigoBackend(N75,A75,VLOOKUP(N75,setup!$A$8:$H$58,2),VLOOKUP(N75,setup!$A$8:$H$58,3),VLOOKUP(N75,setup!$A$8:$H$58,4),VLOOKUP(N75,setup!$A$8:$H$58,5),VLOOKUP(N75,setup!$A$8:$H$58,6),VLOOKUP(N75,setup!$A$8:$H$58,7), VLOOKUP(0,setup!$A$8:$H$58,2),VLOOKUP(0,setup!$A$8:$H$58,5),VLOOKUP(N75,setup!$A$8:$H$58,8))</f>
        <v xml:space="preserve">  this.dataInicio,</v>
      </c>
    </row>
    <row r="76" spans="1:15" x14ac:dyDescent="0.25">
      <c r="A76" s="6" t="s">
        <v>48</v>
      </c>
      <c r="N76">
        <f t="shared" si="1"/>
        <v>5</v>
      </c>
      <c r="O76" s="7" t="str">
        <f ca="1">getCodigoBackend(N76,A76,VLOOKUP(N76,setup!$A$8:$H$58,2),VLOOKUP(N76,setup!$A$8:$H$58,3),VLOOKUP(N76,setup!$A$8:$H$58,4),VLOOKUP(N76,setup!$A$8:$H$58,5),VLOOKUP(N76,setup!$A$8:$H$58,6),VLOOKUP(N76,setup!$A$8:$H$58,7), VLOOKUP(0,setup!$A$8:$H$58,2),VLOOKUP(0,setup!$A$8:$H$58,5),VLOOKUP(N76,setup!$A$8:$H$58,8))</f>
        <v xml:space="preserve">  this.dataTermino,</v>
      </c>
    </row>
    <row r="77" spans="1:15" x14ac:dyDescent="0.25">
      <c r="A77" s="6" t="s">
        <v>48</v>
      </c>
      <c r="N77">
        <f t="shared" si="1"/>
        <v>6</v>
      </c>
      <c r="O77" s="7" t="str">
        <f ca="1">getCodigoBackend(N77,A77,VLOOKUP(N77,setup!$A$8:$H$58,2),VLOOKUP(N77,setup!$A$8:$H$58,3),VLOOKUP(N77,setup!$A$8:$H$58,4),VLOOKUP(N77,setup!$A$8:$H$58,5),VLOOKUP(N77,setup!$A$8:$H$58,6),VLOOKUP(N77,setup!$A$8:$H$58,7), VLOOKUP(0,setup!$A$8:$H$58,2),VLOOKUP(0,setup!$A$8:$H$58,5),VLOOKUP(N77,setup!$A$8:$H$58,8))</f>
        <v xml:space="preserve">  this.vlNormal,</v>
      </c>
    </row>
    <row r="78" spans="1:15" x14ac:dyDescent="0.25">
      <c r="A78" s="6" t="s">
        <v>48</v>
      </c>
      <c r="N78">
        <f t="shared" si="1"/>
        <v>7</v>
      </c>
      <c r="O78" s="7" t="str">
        <f ca="1">getCodigoBackend(N78,A78,VLOOKUP(N78,setup!$A$8:$H$58,2),VLOOKUP(N78,setup!$A$8:$H$58,3),VLOOKUP(N78,setup!$A$8:$H$58,4),VLOOKUP(N78,setup!$A$8:$H$58,5),VLOOKUP(N78,setup!$A$8:$H$58,6),VLOOKUP(N78,setup!$A$8:$H$58,7), VLOOKUP(0,setup!$A$8:$H$58,2),VLOOKUP(0,setup!$A$8:$H$58,5),VLOOKUP(N78,setup!$A$8:$H$58,8))</f>
        <v xml:space="preserve">  this.vlPromo,</v>
      </c>
    </row>
    <row r="79" spans="1:15" x14ac:dyDescent="0.25">
      <c r="A79" s="6" t="s">
        <v>48</v>
      </c>
      <c r="N79">
        <f t="shared" si="1"/>
        <v>8</v>
      </c>
      <c r="O79" s="7" t="str">
        <f ca="1">getCodigoBackend(N79,A79,VLOOKUP(N79,setup!$A$8:$H$58,2),VLOOKUP(N79,setup!$A$8:$H$58,3),VLOOKUP(N79,setup!$A$8:$H$58,4),VLOOKUP(N79,setup!$A$8:$H$58,5),VLOOKUP(N79,setup!$A$8:$H$58,6),VLOOKUP(N79,setup!$A$8:$H$58,7), VLOOKUP(0,setup!$A$8:$H$58,2),VLOOKUP(0,setup!$A$8:$H$58,5),VLOOKUP(N79,setup!$A$8:$H$58,8))</f>
        <v xml:space="preserve">  this.observacao,</v>
      </c>
    </row>
    <row r="80" spans="1:15" x14ac:dyDescent="0.25">
      <c r="A80" s="6" t="s">
        <v>48</v>
      </c>
      <c r="N80">
        <f t="shared" si="1"/>
        <v>9</v>
      </c>
      <c r="O80" s="7" t="str">
        <f ca="1">getCodigoBackend(N80,A80,VLOOKUP(N80,setup!$A$8:$H$58,2),VLOOKUP(N80,setup!$A$8:$H$58,3),VLOOKUP(N80,setup!$A$8:$H$58,4),VLOOKUP(N80,setup!$A$8:$H$58,5),VLOOKUP(N80,setup!$A$8:$H$58,6),VLOOKUP(N80,setup!$A$8:$H$58,7), VLOOKUP(0,setup!$A$8:$H$58,2),VLOOKUP(0,setup!$A$8:$H$58,5),VLOOKUP(N80,setup!$A$8:$H$58,8))</f>
        <v xml:space="preserve">  this.dataRemover,</v>
      </c>
    </row>
    <row r="81" spans="1:15" x14ac:dyDescent="0.25">
      <c r="A81" s="6" t="s">
        <v>48</v>
      </c>
      <c r="N81">
        <f t="shared" si="1"/>
        <v>10</v>
      </c>
      <c r="O81" s="7" t="e">
        <f>getCodigoBackend(N81,A81,VLOOKUP(N81,setup!$A$8:$H$58,2),VLOOKUP(N81,setup!$A$8:$H$58,3),VLOOKUP(N81,setup!$A$8:$H$58,4),VLOOKUP(N81,setup!$A$8:$H$58,5),VLOOKUP(N81,setup!$A$8:$H$58,6),VLOOKUP(N81,setup!$A$8:$H$58,7), VLOOKUP(0,setup!$A$8:$H$58,2),VLOOKUP(0,setup!$A$8:$H$58,5),VLOOKUP(N81,setup!$A$8:$H$58,8))</f>
        <v>#VALUE!</v>
      </c>
    </row>
    <row r="82" spans="1:15" x14ac:dyDescent="0.25">
      <c r="A82" s="6" t="s">
        <v>48</v>
      </c>
      <c r="N82">
        <f t="shared" si="1"/>
        <v>11</v>
      </c>
      <c r="O82" s="7" t="e">
        <f>getCodigoBackend(N82,A82,VLOOKUP(N82,setup!$A$8:$H$58,2),VLOOKUP(N82,setup!$A$8:$H$58,3),VLOOKUP(N82,setup!$A$8:$H$58,4),VLOOKUP(N82,setup!$A$8:$H$58,5),VLOOKUP(N82,setup!$A$8:$H$58,6),VLOOKUP(N82,setup!$A$8:$H$58,7), VLOOKUP(0,setup!$A$8:$H$58,2),VLOOKUP(0,setup!$A$8:$H$58,5),VLOOKUP(N82,setup!$A$8:$H$58,8))</f>
        <v>#VALUE!</v>
      </c>
    </row>
    <row r="83" spans="1:15" x14ac:dyDescent="0.25">
      <c r="A83" s="6" t="s">
        <v>48</v>
      </c>
      <c r="N83">
        <f t="shared" si="1"/>
        <v>12</v>
      </c>
      <c r="O83" s="7" t="e">
        <f>getCodigoBackend(N83,A83,VLOOKUP(N83,setup!$A$8:$H$58,2),VLOOKUP(N83,setup!$A$8:$H$58,3),VLOOKUP(N83,setup!$A$8:$H$58,4),VLOOKUP(N83,setup!$A$8:$H$58,5),VLOOKUP(N83,setup!$A$8:$H$58,6),VLOOKUP(N83,setup!$A$8:$H$58,7), VLOOKUP(0,setup!$A$8:$H$58,2),VLOOKUP(0,setup!$A$8:$H$58,5),VLOOKUP(N83,setup!$A$8:$H$58,8))</f>
        <v>#VALUE!</v>
      </c>
    </row>
    <row r="84" spans="1:15" x14ac:dyDescent="0.25">
      <c r="A84" s="6" t="s">
        <v>48</v>
      </c>
      <c r="N84">
        <f t="shared" si="1"/>
        <v>13</v>
      </c>
      <c r="O84" s="7" t="e">
        <f>getCodigoBackend(N84,A84,VLOOKUP(N84,setup!$A$8:$H$58,2),VLOOKUP(N84,setup!$A$8:$H$58,3),VLOOKUP(N84,setup!$A$8:$H$58,4),VLOOKUP(N84,setup!$A$8:$H$58,5),VLOOKUP(N84,setup!$A$8:$H$58,6),VLOOKUP(N84,setup!$A$8:$H$58,7), VLOOKUP(0,setup!$A$8:$H$58,2),VLOOKUP(0,setup!$A$8:$H$58,5),VLOOKUP(N84,setup!$A$8:$H$58,8))</f>
        <v>#VALUE!</v>
      </c>
    </row>
    <row r="85" spans="1:15" x14ac:dyDescent="0.25">
      <c r="A85" s="6" t="s">
        <v>48</v>
      </c>
      <c r="N85">
        <f t="shared" si="1"/>
        <v>14</v>
      </c>
      <c r="O85" s="7" t="e">
        <f>getCodigoBackend(N85,A85,VLOOKUP(N85,setup!$A$8:$H$58,2),VLOOKUP(N85,setup!$A$8:$H$58,3),VLOOKUP(N85,setup!$A$8:$H$58,4),VLOOKUP(N85,setup!$A$8:$H$58,5),VLOOKUP(N85,setup!$A$8:$H$58,6),VLOOKUP(N85,setup!$A$8:$H$58,7), VLOOKUP(0,setup!$A$8:$H$58,2),VLOOKUP(0,setup!$A$8:$H$58,5),VLOOKUP(N85,setup!$A$8:$H$58,8))</f>
        <v>#VALUE!</v>
      </c>
    </row>
    <row r="86" spans="1:15" x14ac:dyDescent="0.25">
      <c r="A86" s="6" t="s">
        <v>48</v>
      </c>
      <c r="N86">
        <f t="shared" si="1"/>
        <v>15</v>
      </c>
      <c r="O86" s="7" t="e">
        <f>getCodigoBackend(N86,A86,VLOOKUP(N86,setup!$A$8:$H$58,2),VLOOKUP(N86,setup!$A$8:$H$58,3),VLOOKUP(N86,setup!$A$8:$H$58,4),VLOOKUP(N86,setup!$A$8:$H$58,5),VLOOKUP(N86,setup!$A$8:$H$58,6),VLOOKUP(N86,setup!$A$8:$H$58,7), VLOOKUP(0,setup!$A$8:$H$58,2),VLOOKUP(0,setup!$A$8:$H$58,5),VLOOKUP(N86,setup!$A$8:$H$58,8))</f>
        <v>#VALUE!</v>
      </c>
    </row>
    <row r="87" spans="1:15" x14ac:dyDescent="0.25">
      <c r="A87" s="6" t="s">
        <v>48</v>
      </c>
      <c r="N87">
        <f t="shared" si="1"/>
        <v>16</v>
      </c>
      <c r="O87" s="7" t="e">
        <f>getCodigoBackend(N87,A87,VLOOKUP(N87,setup!$A$8:$H$58,2),VLOOKUP(N87,setup!$A$8:$H$58,3),VLOOKUP(N87,setup!$A$8:$H$58,4),VLOOKUP(N87,setup!$A$8:$H$58,5),VLOOKUP(N87,setup!$A$8:$H$58,6),VLOOKUP(N87,setup!$A$8:$H$58,7), VLOOKUP(0,setup!$A$8:$H$58,2),VLOOKUP(0,setup!$A$8:$H$58,5),VLOOKUP(N87,setup!$A$8:$H$58,8))</f>
        <v>#VALUE!</v>
      </c>
    </row>
    <row r="88" spans="1:15" x14ac:dyDescent="0.25">
      <c r="A88" s="6" t="s">
        <v>48</v>
      </c>
      <c r="N88">
        <f t="shared" si="1"/>
        <v>17</v>
      </c>
      <c r="O88" s="7" t="e">
        <f>getCodigoBackend(N88,A88,VLOOKUP(N88,setup!$A$8:$H$58,2),VLOOKUP(N88,setup!$A$8:$H$58,3),VLOOKUP(N88,setup!$A$8:$H$58,4),VLOOKUP(N88,setup!$A$8:$H$58,5),VLOOKUP(N88,setup!$A$8:$H$58,6),VLOOKUP(N88,setup!$A$8:$H$58,7), VLOOKUP(0,setup!$A$8:$H$58,2),VLOOKUP(0,setup!$A$8:$H$58,5),VLOOKUP(N88,setup!$A$8:$H$58,8))</f>
        <v>#VALUE!</v>
      </c>
    </row>
    <row r="89" spans="1:15" x14ac:dyDescent="0.25">
      <c r="A89" s="6" t="s">
        <v>48</v>
      </c>
      <c r="N89">
        <f t="shared" si="1"/>
        <v>18</v>
      </c>
      <c r="O89" s="7" t="e">
        <f>getCodigoBackend(N89,A89,VLOOKUP(N89,setup!$A$8:$H$58,2),VLOOKUP(N89,setup!$A$8:$H$58,3),VLOOKUP(N89,setup!$A$8:$H$58,4),VLOOKUP(N89,setup!$A$8:$H$58,5),VLOOKUP(N89,setup!$A$8:$H$58,6),VLOOKUP(N89,setup!$A$8:$H$58,7), VLOOKUP(0,setup!$A$8:$H$58,2),VLOOKUP(0,setup!$A$8:$H$58,5),VLOOKUP(N89,setup!$A$8:$H$58,8))</f>
        <v>#VALUE!</v>
      </c>
    </row>
    <row r="90" spans="1:15" x14ac:dyDescent="0.25">
      <c r="A90" s="6" t="s">
        <v>48</v>
      </c>
      <c r="N90">
        <f t="shared" si="1"/>
        <v>19</v>
      </c>
      <c r="O90" s="7" t="e">
        <f>getCodigoBackend(N90,A90,VLOOKUP(N90,setup!$A$8:$H$58,2),VLOOKUP(N90,setup!$A$8:$H$58,3),VLOOKUP(N90,setup!$A$8:$H$58,4),VLOOKUP(N90,setup!$A$8:$H$58,5),VLOOKUP(N90,setup!$A$8:$H$58,6),VLOOKUP(N90,setup!$A$8:$H$58,7), VLOOKUP(0,setup!$A$8:$H$58,2),VLOOKUP(0,setup!$A$8:$H$58,5),VLOOKUP(N90,setup!$A$8:$H$58,8))</f>
        <v>#VALUE!</v>
      </c>
    </row>
    <row r="91" spans="1:15" x14ac:dyDescent="0.25">
      <c r="A91" s="6" t="s">
        <v>48</v>
      </c>
      <c r="N91">
        <f t="shared" si="1"/>
        <v>20</v>
      </c>
      <c r="O91" s="7" t="e">
        <f>getCodigoBackend(N91,A91,VLOOKUP(N91,setup!$A$8:$H$58,2),VLOOKUP(N91,setup!$A$8:$H$58,3),VLOOKUP(N91,setup!$A$8:$H$58,4),VLOOKUP(N91,setup!$A$8:$H$58,5),VLOOKUP(N91,setup!$A$8:$H$58,6),VLOOKUP(N91,setup!$A$8:$H$58,7), VLOOKUP(0,setup!$A$8:$H$58,2),VLOOKUP(0,setup!$A$8:$H$58,5),VLOOKUP(N91,setup!$A$8:$H$58,8))</f>
        <v>#VALUE!</v>
      </c>
    </row>
    <row r="92" spans="1:15" x14ac:dyDescent="0.25">
      <c r="A92" s="6" t="s">
        <v>48</v>
      </c>
      <c r="N92">
        <f t="shared" si="1"/>
        <v>21</v>
      </c>
      <c r="O92" s="7" t="e">
        <f>getCodigoBackend(N92,A92,VLOOKUP(N92,setup!$A$8:$H$58,2),VLOOKUP(N92,setup!$A$8:$H$58,3),VLOOKUP(N92,setup!$A$8:$H$58,4),VLOOKUP(N92,setup!$A$8:$H$58,5),VLOOKUP(N92,setup!$A$8:$H$58,6),VLOOKUP(N92,setup!$A$8:$H$58,7), VLOOKUP(0,setup!$A$8:$H$58,2),VLOOKUP(0,setup!$A$8:$H$58,5),VLOOKUP(N92,setup!$A$8:$H$58,8))</f>
        <v>#VALUE!</v>
      </c>
    </row>
    <row r="93" spans="1:15" x14ac:dyDescent="0.25">
      <c r="A93" s="6" t="s">
        <v>48</v>
      </c>
      <c r="N93">
        <f t="shared" si="1"/>
        <v>22</v>
      </c>
      <c r="O93" s="7" t="e">
        <f>getCodigoBackend(N93,A93,VLOOKUP(N93,setup!$A$8:$H$58,2),VLOOKUP(N93,setup!$A$8:$H$58,3),VLOOKUP(N93,setup!$A$8:$H$58,4),VLOOKUP(N93,setup!$A$8:$H$58,5),VLOOKUP(N93,setup!$A$8:$H$58,6),VLOOKUP(N93,setup!$A$8:$H$58,7), VLOOKUP(0,setup!$A$8:$H$58,2),VLOOKUP(0,setup!$A$8:$H$58,5),VLOOKUP(N93,setup!$A$8:$H$58,8))</f>
        <v>#VALUE!</v>
      </c>
    </row>
    <row r="94" spans="1:15" x14ac:dyDescent="0.25">
      <c r="A94" s="6" t="s">
        <v>48</v>
      </c>
      <c r="N94">
        <f t="shared" si="1"/>
        <v>23</v>
      </c>
      <c r="O94" s="7" t="e">
        <f>getCodigoBackend(N94,A94,VLOOKUP(N94,setup!$A$8:$H$58,2),VLOOKUP(N94,setup!$A$8:$H$58,3),VLOOKUP(N94,setup!$A$8:$H$58,4),VLOOKUP(N94,setup!$A$8:$H$58,5),VLOOKUP(N94,setup!$A$8:$H$58,6),VLOOKUP(N94,setup!$A$8:$H$58,7), VLOOKUP(0,setup!$A$8:$H$58,2),VLOOKUP(0,setup!$A$8:$H$58,5),VLOOKUP(N94,setup!$A$8:$H$58,8))</f>
        <v>#VALUE!</v>
      </c>
    </row>
    <row r="95" spans="1:15" x14ac:dyDescent="0.25">
      <c r="A95" s="6" t="s">
        <v>48</v>
      </c>
      <c r="N95">
        <f t="shared" si="1"/>
        <v>24</v>
      </c>
      <c r="O95" s="7" t="e">
        <f>getCodigoBackend(N95,A95,VLOOKUP(N95,setup!$A$8:$H$58,2),VLOOKUP(N95,setup!$A$8:$H$58,3),VLOOKUP(N95,setup!$A$8:$H$58,4),VLOOKUP(N95,setup!$A$8:$H$58,5),VLOOKUP(N95,setup!$A$8:$H$58,6),VLOOKUP(N95,setup!$A$8:$H$58,7), VLOOKUP(0,setup!$A$8:$H$58,2),VLOOKUP(0,setup!$A$8:$H$58,5),VLOOKUP(N95,setup!$A$8:$H$58,8))</f>
        <v>#VALUE!</v>
      </c>
    </row>
    <row r="96" spans="1:15" x14ac:dyDescent="0.25">
      <c r="A96" s="6" t="s">
        <v>48</v>
      </c>
      <c r="N96">
        <f t="shared" si="1"/>
        <v>25</v>
      </c>
      <c r="O96" s="7" t="e">
        <f>getCodigoBackend(N96,A96,VLOOKUP(N96,setup!$A$8:$H$58,2),VLOOKUP(N96,setup!$A$8:$H$58,3),VLOOKUP(N96,setup!$A$8:$H$58,4),VLOOKUP(N96,setup!$A$8:$H$58,5),VLOOKUP(N96,setup!$A$8:$H$58,6),VLOOKUP(N96,setup!$A$8:$H$58,7), VLOOKUP(0,setup!$A$8:$H$58,2),VLOOKUP(0,setup!$A$8:$H$58,5),VLOOKUP(N96,setup!$A$8:$H$58,8))</f>
        <v>#VALUE!</v>
      </c>
    </row>
    <row r="97" spans="1:15" x14ac:dyDescent="0.25">
      <c r="A97" s="6" t="s">
        <v>48</v>
      </c>
      <c r="N97">
        <f t="shared" si="1"/>
        <v>26</v>
      </c>
      <c r="O97" s="7" t="e">
        <f>getCodigoBackend(N97,A97,VLOOKUP(N97,setup!$A$8:$H$58,2),VLOOKUP(N97,setup!$A$8:$H$58,3),VLOOKUP(N97,setup!$A$8:$H$58,4),VLOOKUP(N97,setup!$A$8:$H$58,5),VLOOKUP(N97,setup!$A$8:$H$58,6),VLOOKUP(N97,setup!$A$8:$H$58,7), VLOOKUP(0,setup!$A$8:$H$58,2),VLOOKUP(0,setup!$A$8:$H$58,5),VLOOKUP(N97,setup!$A$8:$H$58,8))</f>
        <v>#VALUE!</v>
      </c>
    </row>
    <row r="98" spans="1:15" x14ac:dyDescent="0.25">
      <c r="A98" s="6" t="s">
        <v>48</v>
      </c>
      <c r="N98">
        <f t="shared" si="1"/>
        <v>27</v>
      </c>
      <c r="O98" s="7" t="e">
        <f>getCodigoBackend(N98,A98,VLOOKUP(N98,setup!$A$8:$H$58,2),VLOOKUP(N98,setup!$A$8:$H$58,3),VLOOKUP(N98,setup!$A$8:$H$58,4),VLOOKUP(N98,setup!$A$8:$H$58,5),VLOOKUP(N98,setup!$A$8:$H$58,6),VLOOKUP(N98,setup!$A$8:$H$58,7), VLOOKUP(0,setup!$A$8:$H$58,2),VLOOKUP(0,setup!$A$8:$H$58,5),VLOOKUP(N98,setup!$A$8:$H$58,8))</f>
        <v>#VALUE!</v>
      </c>
    </row>
    <row r="99" spans="1:15" x14ac:dyDescent="0.25">
      <c r="A99" s="6" t="s">
        <v>48</v>
      </c>
      <c r="N99">
        <f t="shared" si="1"/>
        <v>28</v>
      </c>
      <c r="O99" s="7" t="e">
        <f>getCodigoBackend(N99,A99,VLOOKUP(N99,setup!$A$8:$H$58,2),VLOOKUP(N99,setup!$A$8:$H$58,3),VLOOKUP(N99,setup!$A$8:$H$58,4),VLOOKUP(N99,setup!$A$8:$H$58,5),VLOOKUP(N99,setup!$A$8:$H$58,6),VLOOKUP(N99,setup!$A$8:$H$58,7), VLOOKUP(0,setup!$A$8:$H$58,2),VLOOKUP(0,setup!$A$8:$H$58,5),VLOOKUP(N99,setup!$A$8:$H$58,8))</f>
        <v>#VALUE!</v>
      </c>
    </row>
    <row r="100" spans="1:15" x14ac:dyDescent="0.25">
      <c r="A100" s="6" t="s">
        <v>48</v>
      </c>
      <c r="N100">
        <f t="shared" si="1"/>
        <v>29</v>
      </c>
      <c r="O100" s="7" t="e">
        <f>getCodigoBackend(N100,A100,VLOOKUP(N100,setup!$A$8:$H$58,2),VLOOKUP(N100,setup!$A$8:$H$58,3),VLOOKUP(N100,setup!$A$8:$H$58,4),VLOOKUP(N100,setup!$A$8:$H$58,5),VLOOKUP(N100,setup!$A$8:$H$58,6),VLOOKUP(N100,setup!$A$8:$H$58,7), VLOOKUP(0,setup!$A$8:$H$58,2),VLOOKUP(0,setup!$A$8:$H$58,5),VLOOKUP(N100,setup!$A$8:$H$58,8))</f>
        <v>#VALUE!</v>
      </c>
    </row>
    <row r="101" spans="1:15" x14ac:dyDescent="0.25">
      <c r="A101" s="6" t="s">
        <v>48</v>
      </c>
      <c r="N101">
        <f t="shared" si="1"/>
        <v>30</v>
      </c>
      <c r="O101" s="7" t="e">
        <f>getCodigoBackend(N101,A101,VLOOKUP(N101,setup!$A$8:$H$58,2),VLOOKUP(N101,setup!$A$8:$H$58,3),VLOOKUP(N101,setup!$A$8:$H$58,4),VLOOKUP(N101,setup!$A$8:$H$58,5),VLOOKUP(N101,setup!$A$8:$H$58,6),VLOOKUP(N101,setup!$A$8:$H$58,7), VLOOKUP(0,setup!$A$8:$H$58,2),VLOOKUP(0,setup!$A$8:$H$58,5),VLOOKUP(N101,setup!$A$8:$H$58,8))</f>
        <v>#VALUE!</v>
      </c>
    </row>
    <row r="102" spans="1:15" x14ac:dyDescent="0.25">
      <c r="A102" s="6" t="s">
        <v>48</v>
      </c>
      <c r="N102">
        <f t="shared" si="1"/>
        <v>31</v>
      </c>
      <c r="O102" s="7" t="e">
        <f>getCodigoBackend(N102,A102,VLOOKUP(N102,setup!$A$8:$H$58,2),VLOOKUP(N102,setup!$A$8:$H$58,3),VLOOKUP(N102,setup!$A$8:$H$58,4),VLOOKUP(N102,setup!$A$8:$H$58,5),VLOOKUP(N102,setup!$A$8:$H$58,6),VLOOKUP(N102,setup!$A$8:$H$58,7), VLOOKUP(0,setup!$A$8:$H$58,2),VLOOKUP(0,setup!$A$8:$H$58,5),VLOOKUP(N102,setup!$A$8:$H$58,8))</f>
        <v>#VALUE!</v>
      </c>
    </row>
    <row r="103" spans="1:15" x14ac:dyDescent="0.25">
      <c r="A103" s="6" t="s">
        <v>48</v>
      </c>
      <c r="N103">
        <f t="shared" si="1"/>
        <v>32</v>
      </c>
      <c r="O103" s="7" t="e">
        <f>getCodigoBackend(N103,A103,VLOOKUP(N103,setup!$A$8:$H$58,2),VLOOKUP(N103,setup!$A$8:$H$58,3),VLOOKUP(N103,setup!$A$8:$H$58,4),VLOOKUP(N103,setup!$A$8:$H$58,5),VLOOKUP(N103,setup!$A$8:$H$58,6),VLOOKUP(N103,setup!$A$8:$H$58,7), VLOOKUP(0,setup!$A$8:$H$58,2),VLOOKUP(0,setup!$A$8:$H$58,5),VLOOKUP(N103,setup!$A$8:$H$58,8))</f>
        <v>#VALUE!</v>
      </c>
    </row>
    <row r="104" spans="1:15" x14ac:dyDescent="0.25">
      <c r="A104" s="6" t="s">
        <v>48</v>
      </c>
      <c r="N104">
        <f t="shared" si="1"/>
        <v>33</v>
      </c>
      <c r="O104" s="7" t="e">
        <f>getCodigoBackend(N104,A104,VLOOKUP(N104,setup!$A$8:$H$58,2),VLOOKUP(N104,setup!$A$8:$H$58,3),VLOOKUP(N104,setup!$A$8:$H$58,4),VLOOKUP(N104,setup!$A$8:$H$58,5),VLOOKUP(N104,setup!$A$8:$H$58,6),VLOOKUP(N104,setup!$A$8:$H$58,7), VLOOKUP(0,setup!$A$8:$H$58,2),VLOOKUP(0,setup!$A$8:$H$58,5),VLOOKUP(N104,setup!$A$8:$H$58,8))</f>
        <v>#VALUE!</v>
      </c>
    </row>
    <row r="105" spans="1:15" x14ac:dyDescent="0.25">
      <c r="A105" s="6" t="s">
        <v>48</v>
      </c>
      <c r="N105">
        <f t="shared" si="1"/>
        <v>34</v>
      </c>
      <c r="O105" s="7" t="e">
        <f>getCodigoBackend(N105,A105,VLOOKUP(N105,setup!$A$8:$H$58,2),VLOOKUP(N105,setup!$A$8:$H$58,3),VLOOKUP(N105,setup!$A$8:$H$58,4),VLOOKUP(N105,setup!$A$8:$H$58,5),VLOOKUP(N105,setup!$A$8:$H$58,6),VLOOKUP(N105,setup!$A$8:$H$58,7), VLOOKUP(0,setup!$A$8:$H$58,2),VLOOKUP(0,setup!$A$8:$H$58,5),VLOOKUP(N105,setup!$A$8:$H$58,8))</f>
        <v>#VALUE!</v>
      </c>
    </row>
    <row r="106" spans="1:15" x14ac:dyDescent="0.25">
      <c r="A106" s="6" t="s">
        <v>48</v>
      </c>
      <c r="N106">
        <f t="shared" si="1"/>
        <v>35</v>
      </c>
      <c r="O106" s="7" t="e">
        <f>getCodigoBackend(N106,A106,VLOOKUP(N106,setup!$A$8:$H$58,2),VLOOKUP(N106,setup!$A$8:$H$58,3),VLOOKUP(N106,setup!$A$8:$H$58,4),VLOOKUP(N106,setup!$A$8:$H$58,5),VLOOKUP(N106,setup!$A$8:$H$58,6),VLOOKUP(N106,setup!$A$8:$H$58,7), VLOOKUP(0,setup!$A$8:$H$58,2),VLOOKUP(0,setup!$A$8:$H$58,5),VLOOKUP(N106,setup!$A$8:$H$58,8))</f>
        <v>#VALUE!</v>
      </c>
    </row>
    <row r="107" spans="1:15" x14ac:dyDescent="0.25">
      <c r="A107" s="6" t="s">
        <v>48</v>
      </c>
      <c r="N107">
        <f t="shared" si="1"/>
        <v>36</v>
      </c>
      <c r="O107" s="7" t="e">
        <f>getCodigoBackend(N107,A107,VLOOKUP(N107,setup!$A$8:$H$58,2),VLOOKUP(N107,setup!$A$8:$H$58,3),VLOOKUP(N107,setup!$A$8:$H$58,4),VLOOKUP(N107,setup!$A$8:$H$58,5),VLOOKUP(N107,setup!$A$8:$H$58,6),VLOOKUP(N107,setup!$A$8:$H$58,7), VLOOKUP(0,setup!$A$8:$H$58,2),VLOOKUP(0,setup!$A$8:$H$58,5),VLOOKUP(N107,setup!$A$8:$H$58,8))</f>
        <v>#VALUE!</v>
      </c>
    </row>
    <row r="108" spans="1:15" x14ac:dyDescent="0.25">
      <c r="A108" s="6" t="s">
        <v>48</v>
      </c>
      <c r="N108">
        <f t="shared" si="1"/>
        <v>37</v>
      </c>
      <c r="O108" s="7" t="e">
        <f>getCodigoBackend(N108,A108,VLOOKUP(N108,setup!$A$8:$H$58,2),VLOOKUP(N108,setup!$A$8:$H$58,3),VLOOKUP(N108,setup!$A$8:$H$58,4),VLOOKUP(N108,setup!$A$8:$H$58,5),VLOOKUP(N108,setup!$A$8:$H$58,6),VLOOKUP(N108,setup!$A$8:$H$58,7), VLOOKUP(0,setup!$A$8:$H$58,2),VLOOKUP(0,setup!$A$8:$H$58,5),VLOOKUP(N108,setup!$A$8:$H$58,8))</f>
        <v>#VALUE!</v>
      </c>
    </row>
    <row r="109" spans="1:15" x14ac:dyDescent="0.25">
      <c r="A109" s="6" t="s">
        <v>48</v>
      </c>
      <c r="N109">
        <f t="shared" si="1"/>
        <v>38</v>
      </c>
      <c r="O109" s="7" t="e">
        <f>getCodigoBackend(N109,A109,VLOOKUP(N109,setup!$A$8:$H$58,2),VLOOKUP(N109,setup!$A$8:$H$58,3),VLOOKUP(N109,setup!$A$8:$H$58,4),VLOOKUP(N109,setup!$A$8:$H$58,5),VLOOKUP(N109,setup!$A$8:$H$58,6),VLOOKUP(N109,setup!$A$8:$H$58,7), VLOOKUP(0,setup!$A$8:$H$58,2),VLOOKUP(0,setup!$A$8:$H$58,5),VLOOKUP(N109,setup!$A$8:$H$58,8))</f>
        <v>#VALUE!</v>
      </c>
    </row>
    <row r="110" spans="1:15" x14ac:dyDescent="0.25">
      <c r="A110" s="6" t="s">
        <v>48</v>
      </c>
      <c r="N110">
        <f t="shared" si="1"/>
        <v>39</v>
      </c>
      <c r="O110" s="7" t="e">
        <f>getCodigoBackend(N110,A110,VLOOKUP(N110,setup!$A$8:$H$58,2),VLOOKUP(N110,setup!$A$8:$H$58,3),VLOOKUP(N110,setup!$A$8:$H$58,4),VLOOKUP(N110,setup!$A$8:$H$58,5),VLOOKUP(N110,setup!$A$8:$H$58,6),VLOOKUP(N110,setup!$A$8:$H$58,7), VLOOKUP(0,setup!$A$8:$H$58,2),VLOOKUP(0,setup!$A$8:$H$58,5),VLOOKUP(N110,setup!$A$8:$H$58,8))</f>
        <v>#VALUE!</v>
      </c>
    </row>
    <row r="111" spans="1:15" x14ac:dyDescent="0.25">
      <c r="A111" s="6" t="s">
        <v>48</v>
      </c>
      <c r="N111">
        <f t="shared" si="1"/>
        <v>40</v>
      </c>
      <c r="O111" s="7" t="e">
        <f>getCodigoBackend(N111,A111,VLOOKUP(N111,setup!$A$8:$H$58,2),VLOOKUP(N111,setup!$A$8:$H$58,3),VLOOKUP(N111,setup!$A$8:$H$58,4),VLOOKUP(N111,setup!$A$8:$H$58,5),VLOOKUP(N111,setup!$A$8:$H$58,6),VLOOKUP(N111,setup!$A$8:$H$58,7), VLOOKUP(0,setup!$A$8:$H$58,2),VLOOKUP(0,setup!$A$8:$H$58,5),VLOOKUP(N111,setup!$A$8:$H$58,8))</f>
        <v>#VALUE!</v>
      </c>
    </row>
    <row r="112" spans="1:15" x14ac:dyDescent="0.25">
      <c r="A112" s="6" t="s">
        <v>48</v>
      </c>
      <c r="N112">
        <f t="shared" si="1"/>
        <v>41</v>
      </c>
      <c r="O112" s="7" t="e">
        <f>getCodigoBackend(N112,A112,VLOOKUP(N112,setup!$A$8:$H$58,2),VLOOKUP(N112,setup!$A$8:$H$58,3),VLOOKUP(N112,setup!$A$8:$H$58,4),VLOOKUP(N112,setup!$A$8:$H$58,5),VLOOKUP(N112,setup!$A$8:$H$58,6),VLOOKUP(N112,setup!$A$8:$H$58,7), VLOOKUP(0,setup!$A$8:$H$58,2),VLOOKUP(0,setup!$A$8:$H$58,5),VLOOKUP(N112,setup!$A$8:$H$58,8))</f>
        <v>#VALUE!</v>
      </c>
    </row>
    <row r="113" spans="1:15" x14ac:dyDescent="0.25">
      <c r="A113" s="6" t="s">
        <v>48</v>
      </c>
      <c r="N113">
        <f t="shared" si="1"/>
        <v>42</v>
      </c>
      <c r="O113" s="7" t="e">
        <f>getCodigoBackend(N113,A113,VLOOKUP(N113,setup!$A$8:$H$58,2),VLOOKUP(N113,setup!$A$8:$H$58,3),VLOOKUP(N113,setup!$A$8:$H$58,4),VLOOKUP(N113,setup!$A$8:$H$58,5),VLOOKUP(N113,setup!$A$8:$H$58,6),VLOOKUP(N113,setup!$A$8:$H$58,7), VLOOKUP(0,setup!$A$8:$H$58,2),VLOOKUP(0,setup!$A$8:$H$58,5),VLOOKUP(N113,setup!$A$8:$H$58,8))</f>
        <v>#VALUE!</v>
      </c>
    </row>
    <row r="114" spans="1:15" x14ac:dyDescent="0.25">
      <c r="A114" s="6" t="s">
        <v>48</v>
      </c>
      <c r="N114">
        <f t="shared" si="1"/>
        <v>43</v>
      </c>
      <c r="O114" s="7" t="e">
        <f>getCodigoBackend(N114,A114,VLOOKUP(N114,setup!$A$8:$H$58,2),VLOOKUP(N114,setup!$A$8:$H$58,3),VLOOKUP(N114,setup!$A$8:$H$58,4),VLOOKUP(N114,setup!$A$8:$H$58,5),VLOOKUP(N114,setup!$A$8:$H$58,6),VLOOKUP(N114,setup!$A$8:$H$58,7), VLOOKUP(0,setup!$A$8:$H$58,2),VLOOKUP(0,setup!$A$8:$H$58,5),VLOOKUP(N114,setup!$A$8:$H$58,8))</f>
        <v>#VALUE!</v>
      </c>
    </row>
    <row r="115" spans="1:15" x14ac:dyDescent="0.25">
      <c r="A115" s="6" t="s">
        <v>48</v>
      </c>
      <c r="N115">
        <f t="shared" si="1"/>
        <v>44</v>
      </c>
      <c r="O115" s="7" t="e">
        <f>getCodigoBackend(N115,A115,VLOOKUP(N115,setup!$A$8:$H$58,2),VLOOKUP(N115,setup!$A$8:$H$58,3),VLOOKUP(N115,setup!$A$8:$H$58,4),VLOOKUP(N115,setup!$A$8:$H$58,5),VLOOKUP(N115,setup!$A$8:$H$58,6),VLOOKUP(N115,setup!$A$8:$H$58,7), VLOOKUP(0,setup!$A$8:$H$58,2),VLOOKUP(0,setup!$A$8:$H$58,5),VLOOKUP(N115,setup!$A$8:$H$58,8))</f>
        <v>#VALUE!</v>
      </c>
    </row>
    <row r="116" spans="1:15" x14ac:dyDescent="0.25">
      <c r="A116" s="6" t="s">
        <v>48</v>
      </c>
      <c r="N116">
        <f t="shared" si="1"/>
        <v>45</v>
      </c>
      <c r="O116" s="7" t="e">
        <f>getCodigoBackend(N116,A116,VLOOKUP(N116,setup!$A$8:$H$58,2),VLOOKUP(N116,setup!$A$8:$H$58,3),VLOOKUP(N116,setup!$A$8:$H$58,4),VLOOKUP(N116,setup!$A$8:$H$58,5),VLOOKUP(N116,setup!$A$8:$H$58,6),VLOOKUP(N116,setup!$A$8:$H$58,7), VLOOKUP(0,setup!$A$8:$H$58,2),VLOOKUP(0,setup!$A$8:$H$58,5),VLOOKUP(N116,setup!$A$8:$H$58,8))</f>
        <v>#VALUE!</v>
      </c>
    </row>
    <row r="117" spans="1:15" x14ac:dyDescent="0.25">
      <c r="A117" s="6" t="s">
        <v>48</v>
      </c>
      <c r="N117">
        <f t="shared" si="1"/>
        <v>46</v>
      </c>
      <c r="O117" s="7" t="e">
        <f>getCodigoBackend(N117,A117,VLOOKUP(N117,setup!$A$8:$H$58,2),VLOOKUP(N117,setup!$A$8:$H$58,3),VLOOKUP(N117,setup!$A$8:$H$58,4),VLOOKUP(N117,setup!$A$8:$H$58,5),VLOOKUP(N117,setup!$A$8:$H$58,6),VLOOKUP(N117,setup!$A$8:$H$58,7), VLOOKUP(0,setup!$A$8:$H$58,2),VLOOKUP(0,setup!$A$8:$H$58,5),VLOOKUP(N117,setup!$A$8:$H$58,8))</f>
        <v>#VALUE!</v>
      </c>
    </row>
    <row r="118" spans="1:15" x14ac:dyDescent="0.25">
      <c r="A118" s="6" t="s">
        <v>48</v>
      </c>
      <c r="N118">
        <f t="shared" si="1"/>
        <v>47</v>
      </c>
      <c r="O118" s="7" t="e">
        <f>getCodigoBackend(N118,A118,VLOOKUP(N118,setup!$A$8:$H$58,2),VLOOKUP(N118,setup!$A$8:$H$58,3),VLOOKUP(N118,setup!$A$8:$H$58,4),VLOOKUP(N118,setup!$A$8:$H$58,5),VLOOKUP(N118,setup!$A$8:$H$58,6),VLOOKUP(N118,setup!$A$8:$H$58,7), VLOOKUP(0,setup!$A$8:$H$58,2),VLOOKUP(0,setup!$A$8:$H$58,5),VLOOKUP(N118,setup!$A$8:$H$58,8))</f>
        <v>#VALUE!</v>
      </c>
    </row>
    <row r="119" spans="1:15" x14ac:dyDescent="0.25">
      <c r="A119" s="6" t="s">
        <v>48</v>
      </c>
      <c r="N119">
        <f t="shared" si="1"/>
        <v>48</v>
      </c>
      <c r="O119" s="7" t="str">
        <f ca="1">getCodigoBackend(N119,A119,VLOOKUP(N119,setup!$A$8:$H$58,2),VLOOKUP(N119,setup!$A$8:$H$58,3),VLOOKUP(N119,setup!$A$8:$H$58,4),VLOOKUP(N119,setup!$A$8:$H$58,5),VLOOKUP(N119,setup!$A$8:$H$58,6),VLOOKUP(N119,setup!$A$8:$H$58,7), VLOOKUP(0,setup!$A$8:$H$58,2),VLOOKUP(0,setup!$A$8:$H$58,5),VLOOKUP(N119,setup!$A$8:$H$58,8))</f>
        <v xml:space="preserve">  this.status,</v>
      </c>
    </row>
    <row r="120" spans="1:15" x14ac:dyDescent="0.25">
      <c r="A120" s="6" t="s">
        <v>48</v>
      </c>
      <c r="N120">
        <f t="shared" si="1"/>
        <v>49</v>
      </c>
      <c r="O120" s="7" t="str">
        <f ca="1">getCodigoBackend(N120,A120,VLOOKUP(N120,setup!$A$8:$H$58,2),VLOOKUP(N120,setup!$A$8:$H$58,3),VLOOKUP(N120,setup!$A$8:$H$58,4),VLOOKUP(N120,setup!$A$8:$H$58,5),VLOOKUP(N120,setup!$A$8:$H$58,6),VLOOKUP(N120,setup!$A$8:$H$58,7), VLOOKUP(0,setup!$A$8:$H$58,2),VLOOKUP(0,setup!$A$8:$H$58,5),VLOOKUP(N120,setup!$A$8:$H$58,8))</f>
        <v xml:space="preserve">  this.dataCadastro,</v>
      </c>
    </row>
    <row r="121" spans="1:15" x14ac:dyDescent="0.25">
      <c r="A121" s="6" t="s">
        <v>48</v>
      </c>
      <c r="N121">
        <f>N120+1</f>
        <v>50</v>
      </c>
      <c r="O121" s="7" t="str">
        <f ca="1">getCodigoBackend(N121,A121,VLOOKUP(N121,setup!$A$8:$H$58,2),VLOOKUP(N121,setup!$A$8:$H$58,3),VLOOKUP(N121,setup!$A$8:$H$58,4),VLOOKUP(N121,setup!$A$8:$H$58,5),VLOOKUP(N121,setup!$A$8:$H$58,6),VLOOKUP(N121,setup!$A$8:$H$58,7), VLOOKUP(0,setup!$A$8:$H$58,2),VLOOKUP(0,setup!$A$8:$H$58,5),VLOOKUP(N121,setup!$A$8:$H$58,8))</f>
        <v xml:space="preserve">  this.dataAtualizacao,</v>
      </c>
    </row>
    <row r="122" spans="1:15" x14ac:dyDescent="0.25">
      <c r="A122" s="6" t="s">
        <v>35</v>
      </c>
      <c r="O122" s="7" t="str">
        <f ca="1">getCodigoBackend(N122,A122,VLOOKUP(N122,setup!$A$8:$H$58,2),VLOOKUP(N122,setup!$A$8:$H$58,3),VLOOKUP(N122,setup!$A$8:$H$58,4),VLOOKUP(N122,setup!$A$8:$H$58,5),VLOOKUP(N122,setup!$A$8:$H$58,6),VLOOKUP(N122,setup!$A$8:$H$58,7), VLOOKUP(0,setup!$A$8:$H$58,2),VLOOKUP(0,setup!$A$8:$H$58,5),VLOOKUP(N122,setup!$A$8:$H$58,8))</f>
        <v xml:space="preserve">  this.msgcode='', </v>
      </c>
    </row>
    <row r="123" spans="1:15" x14ac:dyDescent="0.25">
      <c r="A123" s="6" t="s">
        <v>36</v>
      </c>
      <c r="O123" s="7" t="str">
        <f ca="1">getCodigoBackend(N123,A123,VLOOKUP(N123,setup!$A$8:$H$58,2),VLOOKUP(N123,setup!$A$8:$H$58,3),VLOOKUP(N123,setup!$A$8:$H$58,4),VLOOKUP(N123,setup!$A$8:$H$58,5),VLOOKUP(N123,setup!$A$8:$H$58,6),VLOOKUP(N123,setup!$A$8:$H$58,7), VLOOKUP(0,setup!$A$8:$H$58,2),VLOOKUP(0,setup!$A$8:$H$58,5),VLOOKUP(N123,setup!$A$8:$H$58,8))</f>
        <v xml:space="preserve">  this.msgcodeString=''});</v>
      </c>
    </row>
    <row r="124" spans="1:15" x14ac:dyDescent="0.25">
      <c r="A124" s="6"/>
      <c r="O124" s="7" t="str">
        <f ca="1">getCodigoBackend(N124,A124,VLOOKUP(N124,setup!$A$8:$H$58,2),VLOOKUP(N124,setup!$A$8:$H$58,3),VLOOKUP(N124,setup!$A$8:$H$58,4),VLOOKUP(N124,setup!$A$8:$H$58,5),VLOOKUP(N124,setup!$A$8:$H$58,6),VLOOKUP(N124,setup!$A$8:$H$58,7), VLOOKUP(0,setup!$A$8:$H$58,2),VLOOKUP(0,setup!$A$8:$H$58,5),VLOOKUP(N124,setup!$A$8:$H$58,8))</f>
        <v/>
      </c>
    </row>
    <row r="125" spans="1:15" x14ac:dyDescent="0.25">
      <c r="A125" s="12" t="s">
        <v>50</v>
      </c>
      <c r="O125" s="7" t="str">
        <f ca="1">getCodigoBackend(N125,A125,VLOOKUP(N125,setup!$A$8:$H$58,2),VLOOKUP(N125,setup!$A$8:$H$58,3),VLOOKUP(N125,setup!$A$8:$H$58,4),VLOOKUP(N125,setup!$A$8:$H$58,5),VLOOKUP(N125,setup!$A$8:$H$58,6),VLOOKUP(N125,setup!$A$8:$H$58,7), VLOOKUP(0,setup!$A$8:$H$58,2),VLOOKUP(0,setup!$A$8:$H$58,5),VLOOKUP(N125,setup!$A$8:$H$58,8))</f>
        <v>/// Retorno do Backend devolvendo um JSON na estrutura de campos abaixo</v>
      </c>
    </row>
    <row r="126" spans="1:15" x14ac:dyDescent="0.25">
      <c r="A126" s="6" t="s">
        <v>117</v>
      </c>
      <c r="O126" s="7" t="str">
        <f ca="1">getCodigoBackend(N126,A126,VLOOKUP(N126,setup!$A$8:$H$58,2),VLOOKUP(N126,setup!$A$8:$H$58,3),VLOOKUP(N126,setup!$A$8:$H$58,4),VLOOKUP(N126,setup!$A$8:$H$58,5),VLOOKUP(N126,setup!$A$8:$H$58,6),VLOOKUP(N126,setup!$A$8:$H$58,7), VLOOKUP(0,setup!$A$8:$H$58,2),VLOOKUP(0,setup!$A$8:$H$58,5),VLOOKUP(N126,setup!$A$8:$H$58,8))</f>
        <v xml:space="preserve">  factory UsuarioPublicidadeVOPost.fromJson(Map&lt;String, dynamic&gt; json) {</v>
      </c>
    </row>
    <row r="127" spans="1:15" x14ac:dyDescent="0.25">
      <c r="A127" s="6" t="s">
        <v>118</v>
      </c>
      <c r="O127" s="7" t="str">
        <f ca="1">getCodigoBackend(N127,A127,VLOOKUP(N127,setup!$A$8:$H$58,2),VLOOKUP(N127,setup!$A$8:$H$58,3),VLOOKUP(N127,setup!$A$8:$H$58,4),VLOOKUP(N127,setup!$A$8:$H$58,5),VLOOKUP(N127,setup!$A$8:$H$58,6),VLOOKUP(N127,setup!$A$8:$H$58,7), VLOOKUP(0,setup!$A$8:$H$58,2),VLOOKUP(0,setup!$A$8:$H$58,5),VLOOKUP(N127,setup!$A$8:$H$58,8))</f>
        <v xml:space="preserve">    return UsuarioPublicidadeVOPost(</v>
      </c>
    </row>
    <row r="128" spans="1:15" x14ac:dyDescent="0.25">
      <c r="A128" s="6" t="s">
        <v>37</v>
      </c>
      <c r="O128" s="7" t="str">
        <f ca="1">getCodigoBackend(N128,A128,VLOOKUP(N128,setup!$A$8:$H$58,2),VLOOKUP(N128,setup!$A$8:$H$58,3),VLOOKUP(N128,setup!$A$8:$H$58,4),VLOOKUP(N128,setup!$A$8:$H$58,5),VLOOKUP(N128,setup!$A$8:$H$58,6),VLOOKUP(N128,setup!$A$8:$H$58,7), VLOOKUP(0,setup!$A$8:$H$58,2),VLOOKUP(0,setup!$A$8:$H$58,5),VLOOKUP(N128,setup!$A$8:$H$58,8))</f>
        <v xml:space="preserve">      tokenid: json['tokenid'],</v>
      </c>
    </row>
    <row r="129" spans="1:15" x14ac:dyDescent="0.25">
      <c r="A129" s="6" t="s">
        <v>49</v>
      </c>
      <c r="N129">
        <v>0</v>
      </c>
      <c r="O129" s="7" t="str">
        <f ca="1">getCodigoBackend(N129,A129,VLOOKUP(N129,setup!$A$8:$H$58,2),VLOOKUP(N129,setup!$A$8:$H$58,3),VLOOKUP(N129,setup!$A$8:$H$58,4),VLOOKUP(N129,setup!$A$8:$H$58,5),VLOOKUP(N129,setup!$A$8:$H$58,6),VLOOKUP(N129,setup!$A$8:$H$58,7), VLOOKUP(0,setup!$A$8:$H$58,2),VLOOKUP(0,setup!$A$8:$H$58,5),VLOOKUP(N129,setup!$A$8:$H$58,8))</f>
        <v xml:space="preserve">      id: json['id'],</v>
      </c>
    </row>
    <row r="130" spans="1:15" x14ac:dyDescent="0.25">
      <c r="A130" s="6" t="s">
        <v>49</v>
      </c>
      <c r="N130">
        <f>N129+1</f>
        <v>1</v>
      </c>
      <c r="O130" s="7" t="str">
        <f ca="1">getCodigoBackend(N130,A130,VLOOKUP(N130,setup!$A$8:$H$58,2),VLOOKUP(N130,setup!$A$8:$H$58,3),VLOOKUP(N130,setup!$A$8:$H$58,4),VLOOKUP(N130,setup!$A$8:$H$58,5),VLOOKUP(N130,setup!$A$8:$H$58,6),VLOOKUP(N130,setup!$A$8:$H$58,7), VLOOKUP(0,setup!$A$8:$H$58,2),VLOOKUP(0,setup!$A$8:$H$58,5),VLOOKUP(N130,setup!$A$8:$H$58,8))</f>
        <v xml:space="preserve">      id_usuario: json['id_usuario'],</v>
      </c>
    </row>
    <row r="131" spans="1:15" x14ac:dyDescent="0.25">
      <c r="A131" s="6" t="s">
        <v>49</v>
      </c>
      <c r="N131">
        <f t="shared" ref="N131:N179" si="2">N130+1</f>
        <v>2</v>
      </c>
      <c r="O131" s="7" t="str">
        <f ca="1">getCodigoBackend(N131,A131,VLOOKUP(N131,setup!$A$8:$H$58,2),VLOOKUP(N131,setup!$A$8:$H$58,3),VLOOKUP(N131,setup!$A$8:$H$58,4),VLOOKUP(N131,setup!$A$8:$H$58,5),VLOOKUP(N131,setup!$A$8:$H$58,6),VLOOKUP(N131,setup!$A$8:$H$58,7), VLOOKUP(0,setup!$A$8:$H$58,2),VLOOKUP(0,setup!$A$8:$H$58,5),VLOOKUP(N131,setup!$A$8:$H$58,8))</f>
        <v xml:space="preserve">      titulo: json['titulo'],</v>
      </c>
    </row>
    <row r="132" spans="1:15" x14ac:dyDescent="0.25">
      <c r="A132" s="6" t="s">
        <v>49</v>
      </c>
      <c r="N132">
        <f t="shared" si="2"/>
        <v>3</v>
      </c>
      <c r="O132" s="7" t="str">
        <f ca="1">getCodigoBackend(N132,A132,VLOOKUP(N132,setup!$A$8:$H$58,2),VLOOKUP(N132,setup!$A$8:$H$58,3),VLOOKUP(N132,setup!$A$8:$H$58,4),VLOOKUP(N132,setup!$A$8:$H$58,5),VLOOKUP(N132,setup!$A$8:$H$58,6),VLOOKUP(N132,setup!$A$8:$H$58,7), VLOOKUP(0,setup!$A$8:$H$58,2),VLOOKUP(0,setup!$A$8:$H$58,5),VLOOKUP(N132,setup!$A$8:$H$58,8))</f>
        <v xml:space="preserve">      descricao: json['descricao'],</v>
      </c>
    </row>
    <row r="133" spans="1:15" x14ac:dyDescent="0.25">
      <c r="A133" s="6" t="s">
        <v>49</v>
      </c>
      <c r="N133">
        <f t="shared" si="2"/>
        <v>4</v>
      </c>
      <c r="O133" s="7" t="str">
        <f ca="1">getCodigoBackend(N133,A133,VLOOKUP(N133,setup!$A$8:$H$58,2),VLOOKUP(N133,setup!$A$8:$H$58,3),VLOOKUP(N133,setup!$A$8:$H$58,4),VLOOKUP(N133,setup!$A$8:$H$58,5),VLOOKUP(N133,setup!$A$8:$H$58,6),VLOOKUP(N133,setup!$A$8:$H$58,7), VLOOKUP(0,setup!$A$8:$H$58,2),VLOOKUP(0,setup!$A$8:$H$58,5),VLOOKUP(N133,setup!$A$8:$H$58,8))</f>
        <v xml:space="preserve">      dataInicio: json['dataInicio'],</v>
      </c>
    </row>
    <row r="134" spans="1:15" x14ac:dyDescent="0.25">
      <c r="A134" s="6" t="s">
        <v>49</v>
      </c>
      <c r="N134">
        <f t="shared" si="2"/>
        <v>5</v>
      </c>
      <c r="O134" s="7" t="str">
        <f ca="1">getCodigoBackend(N134,A134,VLOOKUP(N134,setup!$A$8:$H$58,2),VLOOKUP(N134,setup!$A$8:$H$58,3),VLOOKUP(N134,setup!$A$8:$H$58,4),VLOOKUP(N134,setup!$A$8:$H$58,5),VLOOKUP(N134,setup!$A$8:$H$58,6),VLOOKUP(N134,setup!$A$8:$H$58,7), VLOOKUP(0,setup!$A$8:$H$58,2),VLOOKUP(0,setup!$A$8:$H$58,5),VLOOKUP(N134,setup!$A$8:$H$58,8))</f>
        <v xml:space="preserve">      dataTermino: json['dataTermino'],</v>
      </c>
    </row>
    <row r="135" spans="1:15" x14ac:dyDescent="0.25">
      <c r="A135" s="6" t="s">
        <v>49</v>
      </c>
      <c r="N135">
        <f t="shared" si="2"/>
        <v>6</v>
      </c>
      <c r="O135" s="7" t="str">
        <f ca="1">getCodigoBackend(N135,A135,VLOOKUP(N135,setup!$A$8:$H$58,2),VLOOKUP(N135,setup!$A$8:$H$58,3),VLOOKUP(N135,setup!$A$8:$H$58,4),VLOOKUP(N135,setup!$A$8:$H$58,5),VLOOKUP(N135,setup!$A$8:$H$58,6),VLOOKUP(N135,setup!$A$8:$H$58,7), VLOOKUP(0,setup!$A$8:$H$58,2),VLOOKUP(0,setup!$A$8:$H$58,5),VLOOKUP(N135,setup!$A$8:$H$58,8))</f>
        <v xml:space="preserve">      vlNormal: json['vlNormal'],</v>
      </c>
    </row>
    <row r="136" spans="1:15" x14ac:dyDescent="0.25">
      <c r="A136" s="6" t="s">
        <v>49</v>
      </c>
      <c r="N136">
        <f t="shared" si="2"/>
        <v>7</v>
      </c>
      <c r="O136" s="7" t="str">
        <f ca="1">getCodigoBackend(N136,A136,VLOOKUP(N136,setup!$A$8:$H$58,2),VLOOKUP(N136,setup!$A$8:$H$58,3),VLOOKUP(N136,setup!$A$8:$H$58,4),VLOOKUP(N136,setup!$A$8:$H$58,5),VLOOKUP(N136,setup!$A$8:$H$58,6),VLOOKUP(N136,setup!$A$8:$H$58,7), VLOOKUP(0,setup!$A$8:$H$58,2),VLOOKUP(0,setup!$A$8:$H$58,5),VLOOKUP(N136,setup!$A$8:$H$58,8))</f>
        <v xml:space="preserve">      vlPromo: json['vlPromo'],</v>
      </c>
    </row>
    <row r="137" spans="1:15" x14ac:dyDescent="0.25">
      <c r="A137" s="6" t="s">
        <v>49</v>
      </c>
      <c r="N137">
        <f t="shared" si="2"/>
        <v>8</v>
      </c>
      <c r="O137" s="7" t="str">
        <f ca="1">getCodigoBackend(N137,A137,VLOOKUP(N137,setup!$A$8:$H$58,2),VLOOKUP(N137,setup!$A$8:$H$58,3),VLOOKUP(N137,setup!$A$8:$H$58,4),VLOOKUP(N137,setup!$A$8:$H$58,5),VLOOKUP(N137,setup!$A$8:$H$58,6),VLOOKUP(N137,setup!$A$8:$H$58,7), VLOOKUP(0,setup!$A$8:$H$58,2),VLOOKUP(0,setup!$A$8:$H$58,5),VLOOKUP(N137,setup!$A$8:$H$58,8))</f>
        <v xml:space="preserve">      observacao: json['observacao'],</v>
      </c>
    </row>
    <row r="138" spans="1:15" x14ac:dyDescent="0.25">
      <c r="A138" s="6" t="s">
        <v>49</v>
      </c>
      <c r="N138">
        <f t="shared" si="2"/>
        <v>9</v>
      </c>
      <c r="O138" s="7" t="str">
        <f ca="1">getCodigoBackend(N138,A138,VLOOKUP(N138,setup!$A$8:$H$58,2),VLOOKUP(N138,setup!$A$8:$H$58,3),VLOOKUP(N138,setup!$A$8:$H$58,4),VLOOKUP(N138,setup!$A$8:$H$58,5),VLOOKUP(N138,setup!$A$8:$H$58,6),VLOOKUP(N138,setup!$A$8:$H$58,7), VLOOKUP(0,setup!$A$8:$H$58,2),VLOOKUP(0,setup!$A$8:$H$58,5),VLOOKUP(N138,setup!$A$8:$H$58,8))</f>
        <v xml:space="preserve">      dataRemover: json['dataRemover'],</v>
      </c>
    </row>
    <row r="139" spans="1:15" x14ac:dyDescent="0.25">
      <c r="A139" s="6" t="s">
        <v>49</v>
      </c>
      <c r="N139">
        <f t="shared" si="2"/>
        <v>10</v>
      </c>
      <c r="O139" s="7" t="e">
        <f>getCodigoBackend(N139,A139,VLOOKUP(N139,setup!$A$8:$H$58,2),VLOOKUP(N139,setup!$A$8:$H$58,3),VLOOKUP(N139,setup!$A$8:$H$58,4),VLOOKUP(N139,setup!$A$8:$H$58,5),VLOOKUP(N139,setup!$A$8:$H$58,6),VLOOKUP(N139,setup!$A$8:$H$58,7), VLOOKUP(0,setup!$A$8:$H$58,2),VLOOKUP(0,setup!$A$8:$H$58,5),VLOOKUP(N139,setup!$A$8:$H$58,8))</f>
        <v>#VALUE!</v>
      </c>
    </row>
    <row r="140" spans="1:15" x14ac:dyDescent="0.25">
      <c r="A140" s="6" t="s">
        <v>49</v>
      </c>
      <c r="N140">
        <f t="shared" si="2"/>
        <v>11</v>
      </c>
      <c r="O140" s="7" t="e">
        <f>getCodigoBackend(N140,A140,VLOOKUP(N140,setup!$A$8:$H$58,2),VLOOKUP(N140,setup!$A$8:$H$58,3),VLOOKUP(N140,setup!$A$8:$H$58,4),VLOOKUP(N140,setup!$A$8:$H$58,5),VLOOKUP(N140,setup!$A$8:$H$58,6),VLOOKUP(N140,setup!$A$8:$H$58,7), VLOOKUP(0,setup!$A$8:$H$58,2),VLOOKUP(0,setup!$A$8:$H$58,5),VLOOKUP(N140,setup!$A$8:$H$58,8))</f>
        <v>#VALUE!</v>
      </c>
    </row>
    <row r="141" spans="1:15" x14ac:dyDescent="0.25">
      <c r="A141" s="6" t="s">
        <v>49</v>
      </c>
      <c r="N141">
        <f t="shared" si="2"/>
        <v>12</v>
      </c>
      <c r="O141" s="7" t="e">
        <f>getCodigoBackend(N141,A141,VLOOKUP(N141,setup!$A$8:$H$58,2),VLOOKUP(N141,setup!$A$8:$H$58,3),VLOOKUP(N141,setup!$A$8:$H$58,4),VLOOKUP(N141,setup!$A$8:$H$58,5),VLOOKUP(N141,setup!$A$8:$H$58,6),VLOOKUP(N141,setup!$A$8:$H$58,7), VLOOKUP(0,setup!$A$8:$H$58,2),VLOOKUP(0,setup!$A$8:$H$58,5),VLOOKUP(N141,setup!$A$8:$H$58,8))</f>
        <v>#VALUE!</v>
      </c>
    </row>
    <row r="142" spans="1:15" x14ac:dyDescent="0.25">
      <c r="A142" s="6" t="s">
        <v>49</v>
      </c>
      <c r="N142">
        <f t="shared" si="2"/>
        <v>13</v>
      </c>
      <c r="O142" s="7" t="e">
        <f>getCodigoBackend(N142,A142,VLOOKUP(N142,setup!$A$8:$H$58,2),VLOOKUP(N142,setup!$A$8:$H$58,3),VLOOKUP(N142,setup!$A$8:$H$58,4),VLOOKUP(N142,setup!$A$8:$H$58,5),VLOOKUP(N142,setup!$A$8:$H$58,6),VLOOKUP(N142,setup!$A$8:$H$58,7), VLOOKUP(0,setup!$A$8:$H$58,2),VLOOKUP(0,setup!$A$8:$H$58,5),VLOOKUP(N142,setup!$A$8:$H$58,8))</f>
        <v>#VALUE!</v>
      </c>
    </row>
    <row r="143" spans="1:15" x14ac:dyDescent="0.25">
      <c r="A143" s="6" t="s">
        <v>49</v>
      </c>
      <c r="N143">
        <f t="shared" si="2"/>
        <v>14</v>
      </c>
      <c r="O143" s="7" t="e">
        <f>getCodigoBackend(N143,A143,VLOOKUP(N143,setup!$A$8:$H$58,2),VLOOKUP(N143,setup!$A$8:$H$58,3),VLOOKUP(N143,setup!$A$8:$H$58,4),VLOOKUP(N143,setup!$A$8:$H$58,5),VLOOKUP(N143,setup!$A$8:$H$58,6),VLOOKUP(N143,setup!$A$8:$H$58,7), VLOOKUP(0,setup!$A$8:$H$58,2),VLOOKUP(0,setup!$A$8:$H$58,5),VLOOKUP(N143,setup!$A$8:$H$58,8))</f>
        <v>#VALUE!</v>
      </c>
    </row>
    <row r="144" spans="1:15" x14ac:dyDescent="0.25">
      <c r="A144" s="6" t="s">
        <v>49</v>
      </c>
      <c r="N144">
        <f t="shared" si="2"/>
        <v>15</v>
      </c>
      <c r="O144" s="7" t="e">
        <f>getCodigoBackend(N144,A144,VLOOKUP(N144,setup!$A$8:$H$58,2),VLOOKUP(N144,setup!$A$8:$H$58,3),VLOOKUP(N144,setup!$A$8:$H$58,4),VLOOKUP(N144,setup!$A$8:$H$58,5),VLOOKUP(N144,setup!$A$8:$H$58,6),VLOOKUP(N144,setup!$A$8:$H$58,7), VLOOKUP(0,setup!$A$8:$H$58,2),VLOOKUP(0,setup!$A$8:$H$58,5),VLOOKUP(N144,setup!$A$8:$H$58,8))</f>
        <v>#VALUE!</v>
      </c>
    </row>
    <row r="145" spans="1:15" x14ac:dyDescent="0.25">
      <c r="A145" s="6" t="s">
        <v>49</v>
      </c>
      <c r="N145">
        <f t="shared" si="2"/>
        <v>16</v>
      </c>
      <c r="O145" s="7" t="e">
        <f>getCodigoBackend(N145,A145,VLOOKUP(N145,setup!$A$8:$H$58,2),VLOOKUP(N145,setup!$A$8:$H$58,3),VLOOKUP(N145,setup!$A$8:$H$58,4),VLOOKUP(N145,setup!$A$8:$H$58,5),VLOOKUP(N145,setup!$A$8:$H$58,6),VLOOKUP(N145,setup!$A$8:$H$58,7), VLOOKUP(0,setup!$A$8:$H$58,2),VLOOKUP(0,setup!$A$8:$H$58,5),VLOOKUP(N145,setup!$A$8:$H$58,8))</f>
        <v>#VALUE!</v>
      </c>
    </row>
    <row r="146" spans="1:15" x14ac:dyDescent="0.25">
      <c r="A146" s="6" t="s">
        <v>49</v>
      </c>
      <c r="N146">
        <f t="shared" si="2"/>
        <v>17</v>
      </c>
      <c r="O146" s="7" t="e">
        <f>getCodigoBackend(N146,A146,VLOOKUP(N146,setup!$A$8:$H$58,2),VLOOKUP(N146,setup!$A$8:$H$58,3),VLOOKUP(N146,setup!$A$8:$H$58,4),VLOOKUP(N146,setup!$A$8:$H$58,5),VLOOKUP(N146,setup!$A$8:$H$58,6),VLOOKUP(N146,setup!$A$8:$H$58,7), VLOOKUP(0,setup!$A$8:$H$58,2),VLOOKUP(0,setup!$A$8:$H$58,5),VLOOKUP(N146,setup!$A$8:$H$58,8))</f>
        <v>#VALUE!</v>
      </c>
    </row>
    <row r="147" spans="1:15" x14ac:dyDescent="0.25">
      <c r="A147" s="6" t="s">
        <v>49</v>
      </c>
      <c r="N147">
        <f t="shared" si="2"/>
        <v>18</v>
      </c>
      <c r="O147" s="7" t="e">
        <f>getCodigoBackend(N147,A147,VLOOKUP(N147,setup!$A$8:$H$58,2),VLOOKUP(N147,setup!$A$8:$H$58,3),VLOOKUP(N147,setup!$A$8:$H$58,4),VLOOKUP(N147,setup!$A$8:$H$58,5),VLOOKUP(N147,setup!$A$8:$H$58,6),VLOOKUP(N147,setup!$A$8:$H$58,7), VLOOKUP(0,setup!$A$8:$H$58,2),VLOOKUP(0,setup!$A$8:$H$58,5),VLOOKUP(N147,setup!$A$8:$H$58,8))</f>
        <v>#VALUE!</v>
      </c>
    </row>
    <row r="148" spans="1:15" x14ac:dyDescent="0.25">
      <c r="A148" s="6" t="s">
        <v>49</v>
      </c>
      <c r="N148">
        <f t="shared" si="2"/>
        <v>19</v>
      </c>
      <c r="O148" s="7" t="e">
        <f>getCodigoBackend(N148,A148,VLOOKUP(N148,setup!$A$8:$H$58,2),VLOOKUP(N148,setup!$A$8:$H$58,3),VLOOKUP(N148,setup!$A$8:$H$58,4),VLOOKUP(N148,setup!$A$8:$H$58,5),VLOOKUP(N148,setup!$A$8:$H$58,6),VLOOKUP(N148,setup!$A$8:$H$58,7), VLOOKUP(0,setup!$A$8:$H$58,2),VLOOKUP(0,setup!$A$8:$H$58,5),VLOOKUP(N148,setup!$A$8:$H$58,8))</f>
        <v>#VALUE!</v>
      </c>
    </row>
    <row r="149" spans="1:15" x14ac:dyDescent="0.25">
      <c r="A149" s="6" t="s">
        <v>49</v>
      </c>
      <c r="N149">
        <f t="shared" si="2"/>
        <v>20</v>
      </c>
      <c r="O149" s="7" t="e">
        <f>getCodigoBackend(N149,A149,VLOOKUP(N149,setup!$A$8:$H$58,2),VLOOKUP(N149,setup!$A$8:$H$58,3),VLOOKUP(N149,setup!$A$8:$H$58,4),VLOOKUP(N149,setup!$A$8:$H$58,5),VLOOKUP(N149,setup!$A$8:$H$58,6),VLOOKUP(N149,setup!$A$8:$H$58,7), VLOOKUP(0,setup!$A$8:$H$58,2),VLOOKUP(0,setup!$A$8:$H$58,5),VLOOKUP(N149,setup!$A$8:$H$58,8))</f>
        <v>#VALUE!</v>
      </c>
    </row>
    <row r="150" spans="1:15" x14ac:dyDescent="0.25">
      <c r="A150" s="6" t="s">
        <v>49</v>
      </c>
      <c r="N150">
        <f t="shared" si="2"/>
        <v>21</v>
      </c>
      <c r="O150" s="7" t="e">
        <f>getCodigoBackend(N150,A150,VLOOKUP(N150,setup!$A$8:$H$58,2),VLOOKUP(N150,setup!$A$8:$H$58,3),VLOOKUP(N150,setup!$A$8:$H$58,4),VLOOKUP(N150,setup!$A$8:$H$58,5),VLOOKUP(N150,setup!$A$8:$H$58,6),VLOOKUP(N150,setup!$A$8:$H$58,7), VLOOKUP(0,setup!$A$8:$H$58,2),VLOOKUP(0,setup!$A$8:$H$58,5),VLOOKUP(N150,setup!$A$8:$H$58,8))</f>
        <v>#VALUE!</v>
      </c>
    </row>
    <row r="151" spans="1:15" x14ac:dyDescent="0.25">
      <c r="A151" s="6" t="s">
        <v>49</v>
      </c>
      <c r="N151">
        <f t="shared" si="2"/>
        <v>22</v>
      </c>
      <c r="O151" s="7" t="e">
        <f>getCodigoBackend(N151,A151,VLOOKUP(N151,setup!$A$8:$H$58,2),VLOOKUP(N151,setup!$A$8:$H$58,3),VLOOKUP(N151,setup!$A$8:$H$58,4),VLOOKUP(N151,setup!$A$8:$H$58,5),VLOOKUP(N151,setup!$A$8:$H$58,6),VLOOKUP(N151,setup!$A$8:$H$58,7), VLOOKUP(0,setup!$A$8:$H$58,2),VLOOKUP(0,setup!$A$8:$H$58,5),VLOOKUP(N151,setup!$A$8:$H$58,8))</f>
        <v>#VALUE!</v>
      </c>
    </row>
    <row r="152" spans="1:15" x14ac:dyDescent="0.25">
      <c r="A152" s="6" t="s">
        <v>49</v>
      </c>
      <c r="N152">
        <f t="shared" si="2"/>
        <v>23</v>
      </c>
      <c r="O152" s="7" t="e">
        <f>getCodigoBackend(N152,A152,VLOOKUP(N152,setup!$A$8:$H$58,2),VLOOKUP(N152,setup!$A$8:$H$58,3),VLOOKUP(N152,setup!$A$8:$H$58,4),VLOOKUP(N152,setup!$A$8:$H$58,5),VLOOKUP(N152,setup!$A$8:$H$58,6),VLOOKUP(N152,setup!$A$8:$H$58,7), VLOOKUP(0,setup!$A$8:$H$58,2),VLOOKUP(0,setup!$A$8:$H$58,5),VLOOKUP(N152,setup!$A$8:$H$58,8))</f>
        <v>#VALUE!</v>
      </c>
    </row>
    <row r="153" spans="1:15" x14ac:dyDescent="0.25">
      <c r="A153" s="6" t="s">
        <v>49</v>
      </c>
      <c r="N153">
        <f t="shared" si="2"/>
        <v>24</v>
      </c>
      <c r="O153" s="7" t="e">
        <f>getCodigoBackend(N153,A153,VLOOKUP(N153,setup!$A$8:$H$58,2),VLOOKUP(N153,setup!$A$8:$H$58,3),VLOOKUP(N153,setup!$A$8:$H$58,4),VLOOKUP(N153,setup!$A$8:$H$58,5),VLOOKUP(N153,setup!$A$8:$H$58,6),VLOOKUP(N153,setup!$A$8:$H$58,7), VLOOKUP(0,setup!$A$8:$H$58,2),VLOOKUP(0,setup!$A$8:$H$58,5),VLOOKUP(N153,setup!$A$8:$H$58,8))</f>
        <v>#VALUE!</v>
      </c>
    </row>
    <row r="154" spans="1:15" x14ac:dyDescent="0.25">
      <c r="A154" s="6" t="s">
        <v>49</v>
      </c>
      <c r="N154">
        <f t="shared" si="2"/>
        <v>25</v>
      </c>
      <c r="O154" s="7" t="e">
        <f>getCodigoBackend(N154,A154,VLOOKUP(N154,setup!$A$8:$H$58,2),VLOOKUP(N154,setup!$A$8:$H$58,3),VLOOKUP(N154,setup!$A$8:$H$58,4),VLOOKUP(N154,setup!$A$8:$H$58,5),VLOOKUP(N154,setup!$A$8:$H$58,6),VLOOKUP(N154,setup!$A$8:$H$58,7), VLOOKUP(0,setup!$A$8:$H$58,2),VLOOKUP(0,setup!$A$8:$H$58,5),VLOOKUP(N154,setup!$A$8:$H$58,8))</f>
        <v>#VALUE!</v>
      </c>
    </row>
    <row r="155" spans="1:15" x14ac:dyDescent="0.25">
      <c r="A155" s="6" t="s">
        <v>49</v>
      </c>
      <c r="N155">
        <f t="shared" si="2"/>
        <v>26</v>
      </c>
      <c r="O155" s="7" t="e">
        <f>getCodigoBackend(N155,A155,VLOOKUP(N155,setup!$A$8:$H$58,2),VLOOKUP(N155,setup!$A$8:$H$58,3),VLOOKUP(N155,setup!$A$8:$H$58,4),VLOOKUP(N155,setup!$A$8:$H$58,5),VLOOKUP(N155,setup!$A$8:$H$58,6),VLOOKUP(N155,setup!$A$8:$H$58,7), VLOOKUP(0,setup!$A$8:$H$58,2),VLOOKUP(0,setup!$A$8:$H$58,5),VLOOKUP(N155,setup!$A$8:$H$58,8))</f>
        <v>#VALUE!</v>
      </c>
    </row>
    <row r="156" spans="1:15" x14ac:dyDescent="0.25">
      <c r="A156" s="6" t="s">
        <v>49</v>
      </c>
      <c r="N156">
        <f t="shared" si="2"/>
        <v>27</v>
      </c>
      <c r="O156" s="7" t="e">
        <f>getCodigoBackend(N156,A156,VLOOKUP(N156,setup!$A$8:$H$58,2),VLOOKUP(N156,setup!$A$8:$H$58,3),VLOOKUP(N156,setup!$A$8:$H$58,4),VLOOKUP(N156,setup!$A$8:$H$58,5),VLOOKUP(N156,setup!$A$8:$H$58,6),VLOOKUP(N156,setup!$A$8:$H$58,7), VLOOKUP(0,setup!$A$8:$H$58,2),VLOOKUP(0,setup!$A$8:$H$58,5),VLOOKUP(N156,setup!$A$8:$H$58,8))</f>
        <v>#VALUE!</v>
      </c>
    </row>
    <row r="157" spans="1:15" x14ac:dyDescent="0.25">
      <c r="A157" s="6" t="s">
        <v>49</v>
      </c>
      <c r="N157">
        <f t="shared" si="2"/>
        <v>28</v>
      </c>
      <c r="O157" s="7" t="e">
        <f>getCodigoBackend(N157,A157,VLOOKUP(N157,setup!$A$8:$H$58,2),VLOOKUP(N157,setup!$A$8:$H$58,3),VLOOKUP(N157,setup!$A$8:$H$58,4),VLOOKUP(N157,setup!$A$8:$H$58,5),VLOOKUP(N157,setup!$A$8:$H$58,6),VLOOKUP(N157,setup!$A$8:$H$58,7), VLOOKUP(0,setup!$A$8:$H$58,2),VLOOKUP(0,setup!$A$8:$H$58,5),VLOOKUP(N157,setup!$A$8:$H$58,8))</f>
        <v>#VALUE!</v>
      </c>
    </row>
    <row r="158" spans="1:15" x14ac:dyDescent="0.25">
      <c r="A158" s="6" t="s">
        <v>49</v>
      </c>
      <c r="N158">
        <f t="shared" si="2"/>
        <v>29</v>
      </c>
      <c r="O158" s="7" t="e">
        <f>getCodigoBackend(N158,A158,VLOOKUP(N158,setup!$A$8:$H$58,2),VLOOKUP(N158,setup!$A$8:$H$58,3),VLOOKUP(N158,setup!$A$8:$H$58,4),VLOOKUP(N158,setup!$A$8:$H$58,5),VLOOKUP(N158,setup!$A$8:$H$58,6),VLOOKUP(N158,setup!$A$8:$H$58,7), VLOOKUP(0,setup!$A$8:$H$58,2),VLOOKUP(0,setup!$A$8:$H$58,5),VLOOKUP(N158,setup!$A$8:$H$58,8))</f>
        <v>#VALUE!</v>
      </c>
    </row>
    <row r="159" spans="1:15" x14ac:dyDescent="0.25">
      <c r="A159" s="6" t="s">
        <v>49</v>
      </c>
      <c r="N159">
        <f t="shared" si="2"/>
        <v>30</v>
      </c>
      <c r="O159" s="7" t="e">
        <f>getCodigoBackend(N159,A159,VLOOKUP(N159,setup!$A$8:$H$58,2),VLOOKUP(N159,setup!$A$8:$H$58,3),VLOOKUP(N159,setup!$A$8:$H$58,4),VLOOKUP(N159,setup!$A$8:$H$58,5),VLOOKUP(N159,setup!$A$8:$H$58,6),VLOOKUP(N159,setup!$A$8:$H$58,7), VLOOKUP(0,setup!$A$8:$H$58,2),VLOOKUP(0,setup!$A$8:$H$58,5),VLOOKUP(N159,setup!$A$8:$H$58,8))</f>
        <v>#VALUE!</v>
      </c>
    </row>
    <row r="160" spans="1:15" x14ac:dyDescent="0.25">
      <c r="A160" s="6" t="s">
        <v>49</v>
      </c>
      <c r="N160">
        <f t="shared" si="2"/>
        <v>31</v>
      </c>
      <c r="O160" s="7" t="e">
        <f>getCodigoBackend(N160,A160,VLOOKUP(N160,setup!$A$8:$H$58,2),VLOOKUP(N160,setup!$A$8:$H$58,3),VLOOKUP(N160,setup!$A$8:$H$58,4),VLOOKUP(N160,setup!$A$8:$H$58,5),VLOOKUP(N160,setup!$A$8:$H$58,6),VLOOKUP(N160,setup!$A$8:$H$58,7), VLOOKUP(0,setup!$A$8:$H$58,2),VLOOKUP(0,setup!$A$8:$H$58,5),VLOOKUP(N160,setup!$A$8:$H$58,8))</f>
        <v>#VALUE!</v>
      </c>
    </row>
    <row r="161" spans="1:15" x14ac:dyDescent="0.25">
      <c r="A161" s="6" t="s">
        <v>49</v>
      </c>
      <c r="N161">
        <f t="shared" si="2"/>
        <v>32</v>
      </c>
      <c r="O161" s="7" t="e">
        <f>getCodigoBackend(N161,A161,VLOOKUP(N161,setup!$A$8:$H$58,2),VLOOKUP(N161,setup!$A$8:$H$58,3),VLOOKUP(N161,setup!$A$8:$H$58,4),VLOOKUP(N161,setup!$A$8:$H$58,5),VLOOKUP(N161,setup!$A$8:$H$58,6),VLOOKUP(N161,setup!$A$8:$H$58,7), VLOOKUP(0,setup!$A$8:$H$58,2),VLOOKUP(0,setup!$A$8:$H$58,5),VLOOKUP(N161,setup!$A$8:$H$58,8))</f>
        <v>#VALUE!</v>
      </c>
    </row>
    <row r="162" spans="1:15" x14ac:dyDescent="0.25">
      <c r="A162" s="6" t="s">
        <v>49</v>
      </c>
      <c r="N162">
        <f t="shared" si="2"/>
        <v>33</v>
      </c>
      <c r="O162" s="7" t="e">
        <f>getCodigoBackend(N162,A162,VLOOKUP(N162,setup!$A$8:$H$58,2),VLOOKUP(N162,setup!$A$8:$H$58,3),VLOOKUP(N162,setup!$A$8:$H$58,4),VLOOKUP(N162,setup!$A$8:$H$58,5),VLOOKUP(N162,setup!$A$8:$H$58,6),VLOOKUP(N162,setup!$A$8:$H$58,7), VLOOKUP(0,setup!$A$8:$H$58,2),VLOOKUP(0,setup!$A$8:$H$58,5),VLOOKUP(N162,setup!$A$8:$H$58,8))</f>
        <v>#VALUE!</v>
      </c>
    </row>
    <row r="163" spans="1:15" x14ac:dyDescent="0.25">
      <c r="A163" s="6" t="s">
        <v>49</v>
      </c>
      <c r="N163">
        <f t="shared" si="2"/>
        <v>34</v>
      </c>
      <c r="O163" s="7" t="e">
        <f>getCodigoBackend(N163,A163,VLOOKUP(N163,setup!$A$8:$H$58,2),VLOOKUP(N163,setup!$A$8:$H$58,3),VLOOKUP(N163,setup!$A$8:$H$58,4),VLOOKUP(N163,setup!$A$8:$H$58,5),VLOOKUP(N163,setup!$A$8:$H$58,6),VLOOKUP(N163,setup!$A$8:$H$58,7), VLOOKUP(0,setup!$A$8:$H$58,2),VLOOKUP(0,setup!$A$8:$H$58,5),VLOOKUP(N163,setup!$A$8:$H$58,8))</f>
        <v>#VALUE!</v>
      </c>
    </row>
    <row r="164" spans="1:15" x14ac:dyDescent="0.25">
      <c r="A164" s="6" t="s">
        <v>49</v>
      </c>
      <c r="N164">
        <f t="shared" si="2"/>
        <v>35</v>
      </c>
      <c r="O164" s="7" t="e">
        <f>getCodigoBackend(N164,A164,VLOOKUP(N164,setup!$A$8:$H$58,2),VLOOKUP(N164,setup!$A$8:$H$58,3),VLOOKUP(N164,setup!$A$8:$H$58,4),VLOOKUP(N164,setup!$A$8:$H$58,5),VLOOKUP(N164,setup!$A$8:$H$58,6),VLOOKUP(N164,setup!$A$8:$H$58,7), VLOOKUP(0,setup!$A$8:$H$58,2),VLOOKUP(0,setup!$A$8:$H$58,5),VLOOKUP(N164,setup!$A$8:$H$58,8))</f>
        <v>#VALUE!</v>
      </c>
    </row>
    <row r="165" spans="1:15" x14ac:dyDescent="0.25">
      <c r="A165" s="6" t="s">
        <v>49</v>
      </c>
      <c r="N165">
        <f t="shared" si="2"/>
        <v>36</v>
      </c>
      <c r="O165" s="7" t="e">
        <f>getCodigoBackend(N165,A165,VLOOKUP(N165,setup!$A$8:$H$58,2),VLOOKUP(N165,setup!$A$8:$H$58,3),VLOOKUP(N165,setup!$A$8:$H$58,4),VLOOKUP(N165,setup!$A$8:$H$58,5),VLOOKUP(N165,setup!$A$8:$H$58,6),VLOOKUP(N165,setup!$A$8:$H$58,7), VLOOKUP(0,setup!$A$8:$H$58,2),VLOOKUP(0,setup!$A$8:$H$58,5),VLOOKUP(N165,setup!$A$8:$H$58,8))</f>
        <v>#VALUE!</v>
      </c>
    </row>
    <row r="166" spans="1:15" x14ac:dyDescent="0.25">
      <c r="A166" s="6" t="s">
        <v>49</v>
      </c>
      <c r="N166">
        <f>N165+1</f>
        <v>37</v>
      </c>
      <c r="O166" s="7" t="e">
        <f>getCodigoBackend(N166,A166,VLOOKUP(N166,setup!$A$8:$H$58,2),VLOOKUP(N166,setup!$A$8:$H$58,3),VLOOKUP(N166,setup!$A$8:$H$58,4),VLOOKUP(N166,setup!$A$8:$H$58,5),VLOOKUP(N166,setup!$A$8:$H$58,6),VLOOKUP(N166,setup!$A$8:$H$58,7), VLOOKUP(0,setup!$A$8:$H$58,2),VLOOKUP(0,setup!$A$8:$H$58,5),VLOOKUP(N166,setup!$A$8:$H$58,8))</f>
        <v>#VALUE!</v>
      </c>
    </row>
    <row r="167" spans="1:15" x14ac:dyDescent="0.25">
      <c r="A167" s="6" t="s">
        <v>49</v>
      </c>
      <c r="N167">
        <f t="shared" si="2"/>
        <v>38</v>
      </c>
      <c r="O167" s="7" t="e">
        <f>getCodigoBackend(N167,A167,VLOOKUP(N167,setup!$A$8:$H$58,2),VLOOKUP(N167,setup!$A$8:$H$58,3),VLOOKUP(N167,setup!$A$8:$H$58,4),VLOOKUP(N167,setup!$A$8:$H$58,5),VLOOKUP(N167,setup!$A$8:$H$58,6),VLOOKUP(N167,setup!$A$8:$H$58,7), VLOOKUP(0,setup!$A$8:$H$58,2),VLOOKUP(0,setup!$A$8:$H$58,5),VLOOKUP(N167,setup!$A$8:$H$58,8))</f>
        <v>#VALUE!</v>
      </c>
    </row>
    <row r="168" spans="1:15" x14ac:dyDescent="0.25">
      <c r="A168" s="6" t="s">
        <v>49</v>
      </c>
      <c r="N168">
        <f t="shared" si="2"/>
        <v>39</v>
      </c>
      <c r="O168" s="7" t="e">
        <f>getCodigoBackend(N168,A168,VLOOKUP(N168,setup!$A$8:$H$58,2),VLOOKUP(N168,setup!$A$8:$H$58,3),VLOOKUP(N168,setup!$A$8:$H$58,4),VLOOKUP(N168,setup!$A$8:$H$58,5),VLOOKUP(N168,setup!$A$8:$H$58,6),VLOOKUP(N168,setup!$A$8:$H$58,7), VLOOKUP(0,setup!$A$8:$H$58,2),VLOOKUP(0,setup!$A$8:$H$58,5),VLOOKUP(N168,setup!$A$8:$H$58,8))</f>
        <v>#VALUE!</v>
      </c>
    </row>
    <row r="169" spans="1:15" x14ac:dyDescent="0.25">
      <c r="A169" s="6" t="s">
        <v>49</v>
      </c>
      <c r="N169">
        <f t="shared" si="2"/>
        <v>40</v>
      </c>
      <c r="O169" s="7" t="e">
        <f>getCodigoBackend(N169,A169,VLOOKUP(N169,setup!$A$8:$H$58,2),VLOOKUP(N169,setup!$A$8:$H$58,3),VLOOKUP(N169,setup!$A$8:$H$58,4),VLOOKUP(N169,setup!$A$8:$H$58,5),VLOOKUP(N169,setup!$A$8:$H$58,6),VLOOKUP(N169,setup!$A$8:$H$58,7), VLOOKUP(0,setup!$A$8:$H$58,2),VLOOKUP(0,setup!$A$8:$H$58,5),VLOOKUP(N169,setup!$A$8:$H$58,8))</f>
        <v>#VALUE!</v>
      </c>
    </row>
    <row r="170" spans="1:15" x14ac:dyDescent="0.25">
      <c r="A170" s="6" t="s">
        <v>49</v>
      </c>
      <c r="N170">
        <f t="shared" si="2"/>
        <v>41</v>
      </c>
      <c r="O170" s="7" t="e">
        <f>getCodigoBackend(N170,A170,VLOOKUP(N170,setup!$A$8:$H$58,2),VLOOKUP(N170,setup!$A$8:$H$58,3),VLOOKUP(N170,setup!$A$8:$H$58,4),VLOOKUP(N170,setup!$A$8:$H$58,5),VLOOKUP(N170,setup!$A$8:$H$58,6),VLOOKUP(N170,setup!$A$8:$H$58,7), VLOOKUP(0,setup!$A$8:$H$58,2),VLOOKUP(0,setup!$A$8:$H$58,5),VLOOKUP(N170,setup!$A$8:$H$58,8))</f>
        <v>#VALUE!</v>
      </c>
    </row>
    <row r="171" spans="1:15" x14ac:dyDescent="0.25">
      <c r="A171" s="6" t="s">
        <v>49</v>
      </c>
      <c r="N171">
        <f t="shared" si="2"/>
        <v>42</v>
      </c>
      <c r="O171" s="7" t="e">
        <f>getCodigoBackend(N171,A171,VLOOKUP(N171,setup!$A$8:$H$58,2),VLOOKUP(N171,setup!$A$8:$H$58,3),VLOOKUP(N171,setup!$A$8:$H$58,4),VLOOKUP(N171,setup!$A$8:$H$58,5),VLOOKUP(N171,setup!$A$8:$H$58,6),VLOOKUP(N171,setup!$A$8:$H$58,7), VLOOKUP(0,setup!$A$8:$H$58,2),VLOOKUP(0,setup!$A$8:$H$58,5),VLOOKUP(N171,setup!$A$8:$H$58,8))</f>
        <v>#VALUE!</v>
      </c>
    </row>
    <row r="172" spans="1:15" x14ac:dyDescent="0.25">
      <c r="A172" s="6" t="s">
        <v>49</v>
      </c>
      <c r="N172">
        <f t="shared" si="2"/>
        <v>43</v>
      </c>
      <c r="O172" s="7" t="e">
        <f>getCodigoBackend(N172,A172,VLOOKUP(N172,setup!$A$8:$H$58,2),VLOOKUP(N172,setup!$A$8:$H$58,3),VLOOKUP(N172,setup!$A$8:$H$58,4),VLOOKUP(N172,setup!$A$8:$H$58,5),VLOOKUP(N172,setup!$A$8:$H$58,6),VLOOKUP(N172,setup!$A$8:$H$58,7), VLOOKUP(0,setup!$A$8:$H$58,2),VLOOKUP(0,setup!$A$8:$H$58,5),VLOOKUP(N172,setup!$A$8:$H$58,8))</f>
        <v>#VALUE!</v>
      </c>
    </row>
    <row r="173" spans="1:15" x14ac:dyDescent="0.25">
      <c r="A173" s="6" t="s">
        <v>49</v>
      </c>
      <c r="N173">
        <f t="shared" si="2"/>
        <v>44</v>
      </c>
      <c r="O173" s="7" t="e">
        <f>getCodigoBackend(N173,A173,VLOOKUP(N173,setup!$A$8:$H$58,2),VLOOKUP(N173,setup!$A$8:$H$58,3),VLOOKUP(N173,setup!$A$8:$H$58,4),VLOOKUP(N173,setup!$A$8:$H$58,5),VLOOKUP(N173,setup!$A$8:$H$58,6),VLOOKUP(N173,setup!$A$8:$H$58,7), VLOOKUP(0,setup!$A$8:$H$58,2),VLOOKUP(0,setup!$A$8:$H$58,5),VLOOKUP(N173,setup!$A$8:$H$58,8))</f>
        <v>#VALUE!</v>
      </c>
    </row>
    <row r="174" spans="1:15" x14ac:dyDescent="0.25">
      <c r="A174" s="6" t="s">
        <v>49</v>
      </c>
      <c r="N174">
        <f t="shared" si="2"/>
        <v>45</v>
      </c>
      <c r="O174" s="7" t="e">
        <f>getCodigoBackend(N174,A174,VLOOKUP(N174,setup!$A$8:$H$58,2),VLOOKUP(N174,setup!$A$8:$H$58,3),VLOOKUP(N174,setup!$A$8:$H$58,4),VLOOKUP(N174,setup!$A$8:$H$58,5),VLOOKUP(N174,setup!$A$8:$H$58,6),VLOOKUP(N174,setup!$A$8:$H$58,7), VLOOKUP(0,setup!$A$8:$H$58,2),VLOOKUP(0,setup!$A$8:$H$58,5),VLOOKUP(N174,setup!$A$8:$H$58,8))</f>
        <v>#VALUE!</v>
      </c>
    </row>
    <row r="175" spans="1:15" x14ac:dyDescent="0.25">
      <c r="A175" s="6" t="s">
        <v>49</v>
      </c>
      <c r="N175">
        <f t="shared" si="2"/>
        <v>46</v>
      </c>
      <c r="O175" s="7" t="e">
        <f>getCodigoBackend(N175,A175,VLOOKUP(N175,setup!$A$8:$H$58,2),VLOOKUP(N175,setup!$A$8:$H$58,3),VLOOKUP(N175,setup!$A$8:$H$58,4),VLOOKUP(N175,setup!$A$8:$H$58,5),VLOOKUP(N175,setup!$A$8:$H$58,6),VLOOKUP(N175,setup!$A$8:$H$58,7), VLOOKUP(0,setup!$A$8:$H$58,2),VLOOKUP(0,setup!$A$8:$H$58,5),VLOOKUP(N175,setup!$A$8:$H$58,8))</f>
        <v>#VALUE!</v>
      </c>
    </row>
    <row r="176" spans="1:15" x14ac:dyDescent="0.25">
      <c r="A176" s="6" t="s">
        <v>49</v>
      </c>
      <c r="N176">
        <f>N175+1</f>
        <v>47</v>
      </c>
      <c r="O176" s="7" t="e">
        <f>getCodigoBackend(N176,A176,VLOOKUP(N176,setup!$A$8:$H$58,2),VLOOKUP(N176,setup!$A$8:$H$58,3),VLOOKUP(N176,setup!$A$8:$H$58,4),VLOOKUP(N176,setup!$A$8:$H$58,5),VLOOKUP(N176,setup!$A$8:$H$58,6),VLOOKUP(N176,setup!$A$8:$H$58,7), VLOOKUP(0,setup!$A$8:$H$58,2),VLOOKUP(0,setup!$A$8:$H$58,5),VLOOKUP(N176,setup!$A$8:$H$58,8))</f>
        <v>#VALUE!</v>
      </c>
    </row>
    <row r="177" spans="1:15" x14ac:dyDescent="0.25">
      <c r="A177" s="6" t="s">
        <v>49</v>
      </c>
      <c r="N177">
        <f t="shared" si="2"/>
        <v>48</v>
      </c>
      <c r="O177" s="7" t="str">
        <f ca="1">getCodigoBackend(N177,A177,VLOOKUP(N177,setup!$A$8:$H$58,2),VLOOKUP(N177,setup!$A$8:$H$58,3),VLOOKUP(N177,setup!$A$8:$H$58,4),VLOOKUP(N177,setup!$A$8:$H$58,5),VLOOKUP(N177,setup!$A$8:$H$58,6),VLOOKUP(N177,setup!$A$8:$H$58,7), VLOOKUP(0,setup!$A$8:$H$58,2),VLOOKUP(0,setup!$A$8:$H$58,5),VLOOKUP(N177,setup!$A$8:$H$58,8))</f>
        <v xml:space="preserve">      status: json['status'],</v>
      </c>
    </row>
    <row r="178" spans="1:15" x14ac:dyDescent="0.25">
      <c r="A178" s="6" t="s">
        <v>49</v>
      </c>
      <c r="N178">
        <f t="shared" si="2"/>
        <v>49</v>
      </c>
      <c r="O178" s="7" t="str">
        <f ca="1">getCodigoBackend(N178,A178,VLOOKUP(N178,setup!$A$8:$H$58,2),VLOOKUP(N178,setup!$A$8:$H$58,3),VLOOKUP(N178,setup!$A$8:$H$58,4),VLOOKUP(N178,setup!$A$8:$H$58,5),VLOOKUP(N178,setup!$A$8:$H$58,6),VLOOKUP(N178,setup!$A$8:$H$58,7), VLOOKUP(0,setup!$A$8:$H$58,2),VLOOKUP(0,setup!$A$8:$H$58,5),VLOOKUP(N178,setup!$A$8:$H$58,8))</f>
        <v xml:space="preserve">      dataCadastro: json['dataCadastro'],</v>
      </c>
    </row>
    <row r="179" spans="1:15" x14ac:dyDescent="0.25">
      <c r="A179" s="6" t="s">
        <v>49</v>
      </c>
      <c r="N179">
        <f t="shared" si="2"/>
        <v>50</v>
      </c>
      <c r="O179" s="7" t="str">
        <f ca="1">getCodigoBackend(N179,A179,VLOOKUP(N179,setup!$A$8:$H$58,2),VLOOKUP(N179,setup!$A$8:$H$58,3),VLOOKUP(N179,setup!$A$8:$H$58,4),VLOOKUP(N179,setup!$A$8:$H$58,5),VLOOKUP(N179,setup!$A$8:$H$58,6),VLOOKUP(N179,setup!$A$8:$H$58,7), VLOOKUP(0,setup!$A$8:$H$58,2),VLOOKUP(0,setup!$A$8:$H$58,5),VLOOKUP(N179,setup!$A$8:$H$58,8))</f>
        <v xml:space="preserve">      dataAtualizacao: json['dataAtualizacao'],</v>
      </c>
    </row>
    <row r="180" spans="1:15" x14ac:dyDescent="0.25">
      <c r="A180" s="6"/>
      <c r="O180" s="7" t="str">
        <f ca="1">getCodigoBackend(N180,A180,VLOOKUP(N180,setup!$A$8:$H$58,2),VLOOKUP(N180,setup!$A$8:$H$58,3),VLOOKUP(N180,setup!$A$8:$H$58,4),VLOOKUP(N180,setup!$A$8:$H$58,5),VLOOKUP(N180,setup!$A$8:$H$58,6),VLOOKUP(N180,setup!$A$8:$H$58,7), VLOOKUP(0,setup!$A$8:$H$58,2),VLOOKUP(0,setup!$A$8:$H$58,5),VLOOKUP(N180,setup!$A$8:$H$58,8))</f>
        <v/>
      </c>
    </row>
    <row r="181" spans="1:15" x14ac:dyDescent="0.25">
      <c r="A181" s="6" t="s">
        <v>38</v>
      </c>
      <c r="O181" s="7" t="str">
        <f ca="1">getCodigoBackend(N181,A181,VLOOKUP(N181,setup!$A$8:$H$58,2),VLOOKUP(N181,setup!$A$8:$H$58,3),VLOOKUP(N181,setup!$A$8:$H$58,4),VLOOKUP(N181,setup!$A$8:$H$58,5),VLOOKUP(N181,setup!$A$8:$H$58,6),VLOOKUP(N181,setup!$A$8:$H$58,7), VLOOKUP(0,setup!$A$8:$H$58,2),VLOOKUP(0,setup!$A$8:$H$58,5),VLOOKUP(N181,setup!$A$8:$H$58,8))</f>
        <v xml:space="preserve">      msgcode: json['msgcode'],</v>
      </c>
    </row>
    <row r="182" spans="1:15" x14ac:dyDescent="0.25">
      <c r="A182" s="6" t="s">
        <v>39</v>
      </c>
      <c r="O182" s="7" t="str">
        <f ca="1">getCodigoBackend(N182,A182,VLOOKUP(N182,setup!$A$8:$H$58,2),VLOOKUP(N182,setup!$A$8:$H$58,3),VLOOKUP(N182,setup!$A$8:$H$58,4),VLOOKUP(N182,setup!$A$8:$H$58,5),VLOOKUP(N182,setup!$A$8:$H$58,6),VLOOKUP(N182,setup!$A$8:$H$58,7), VLOOKUP(0,setup!$A$8:$H$58,2),VLOOKUP(0,setup!$A$8:$H$58,5),VLOOKUP(N182,setup!$A$8:$H$58,8))</f>
        <v xml:space="preserve">      msgcodeString: json['msgcodeString'],</v>
      </c>
    </row>
    <row r="183" spans="1:15" x14ac:dyDescent="0.25">
      <c r="A183" s="6" t="s">
        <v>40</v>
      </c>
      <c r="O183" s="7" t="str">
        <f ca="1">getCodigoBackend(N183,A183,VLOOKUP(N183,setup!$A$8:$H$58,2),VLOOKUP(N183,setup!$A$8:$H$58,3),VLOOKUP(N183,setup!$A$8:$H$58,4),VLOOKUP(N183,setup!$A$8:$H$58,5),VLOOKUP(N183,setup!$A$8:$H$58,6),VLOOKUP(N183,setup!$A$8:$H$58,7), VLOOKUP(0,setup!$A$8:$H$58,2),VLOOKUP(0,setup!$A$8:$H$58,5),VLOOKUP(N183,setup!$A$8:$H$58,8))</f>
        <v xml:space="preserve">    );</v>
      </c>
    </row>
    <row r="184" spans="1:15" x14ac:dyDescent="0.25">
      <c r="A184" s="6" t="s">
        <v>41</v>
      </c>
      <c r="O184" s="7" t="str">
        <f ca="1">getCodigoBackend(N184,A184,VLOOKUP(N184,setup!$A$8:$H$58,2),VLOOKUP(N184,setup!$A$8:$H$58,3),VLOOKUP(N184,setup!$A$8:$H$58,4),VLOOKUP(N184,setup!$A$8:$H$58,5),VLOOKUP(N184,setup!$A$8:$H$58,6),VLOOKUP(N184,setup!$A$8:$H$58,7), VLOOKUP(0,setup!$A$8:$H$58,2),VLOOKUP(0,setup!$A$8:$H$58,5),VLOOKUP(N184,setup!$A$8:$H$58,8))</f>
        <v xml:space="preserve">  }</v>
      </c>
    </row>
    <row r="185" spans="1:15" x14ac:dyDescent="0.25">
      <c r="A185" s="12" t="s">
        <v>51</v>
      </c>
      <c r="O185" s="7" t="str">
        <f ca="1">getCodigoBackend(N185,A185,VLOOKUP(N185,setup!$A$8:$H$58,2),VLOOKUP(N185,setup!$A$8:$H$58,3),VLOOKUP(N185,setup!$A$8:$H$58,4),VLOOKUP(N185,setup!$A$8:$H$58,5),VLOOKUP(N185,setup!$A$8:$H$58,6),VLOOKUP(N185,setup!$A$8:$H$58,7), VLOOKUP(0,setup!$A$8:$H$58,2),VLOOKUP(0,setup!$A$8:$H$58,5),VLOOKUP(N185,setup!$A$8:$H$58,8))</f>
        <v>/// Cria um mapa para ser enviado pelo método post da classe Http</v>
      </c>
    </row>
    <row r="186" spans="1:15" x14ac:dyDescent="0.25">
      <c r="A186" s="6" t="s">
        <v>42</v>
      </c>
      <c r="O186" s="7" t="str">
        <f ca="1">getCodigoBackend(N186,A186,VLOOKUP(N186,setup!$A$8:$H$58,2),VLOOKUP(N186,setup!$A$8:$H$58,3),VLOOKUP(N186,setup!$A$8:$H$58,4),VLOOKUP(N186,setup!$A$8:$H$58,5),VLOOKUP(N186,setup!$A$8:$H$58,6),VLOOKUP(N186,setup!$A$8:$H$58,7), VLOOKUP(0,setup!$A$8:$H$58,2),VLOOKUP(0,setup!$A$8:$H$58,5),VLOOKUP(N186,setup!$A$8:$H$58,8))</f>
        <v xml:space="preserve">  Map toMap() {</v>
      </c>
    </row>
    <row r="187" spans="1:15" x14ac:dyDescent="0.25">
      <c r="A187" s="6" t="s">
        <v>43</v>
      </c>
      <c r="O187" s="7" t="str">
        <f ca="1">getCodigoBackend(N187,A187,VLOOKUP(N187,setup!$A$8:$H$58,2),VLOOKUP(N187,setup!$A$8:$H$58,3),VLOOKUP(N187,setup!$A$8:$H$58,4),VLOOKUP(N187,setup!$A$8:$H$58,5),VLOOKUP(N187,setup!$A$8:$H$58,6),VLOOKUP(N187,setup!$A$8:$H$58,7), VLOOKUP(0,setup!$A$8:$H$58,2),VLOOKUP(0,setup!$A$8:$H$58,5),VLOOKUP(N187,setup!$A$8:$H$58,8))</f>
        <v xml:space="preserve">    var map = new Map&lt;String, dynamic&gt;();</v>
      </c>
    </row>
    <row r="188" spans="1:15" x14ac:dyDescent="0.25">
      <c r="A188" s="6" t="s">
        <v>44</v>
      </c>
      <c r="O188" s="7" t="str">
        <f ca="1">getCodigoBackend(N188,A188,VLOOKUP(N188,setup!$A$8:$H$58,2),VLOOKUP(N188,setup!$A$8:$H$58,3),VLOOKUP(N188,setup!$A$8:$H$58,4),VLOOKUP(N188,setup!$A$8:$H$58,5),VLOOKUP(N188,setup!$A$8:$H$58,6),VLOOKUP(N188,setup!$A$8:$H$58,7), VLOOKUP(0,setup!$A$8:$H$58,2),VLOOKUP(0,setup!$A$8:$H$58,5),VLOOKUP(N188,setup!$A$8:$H$58,8))</f>
        <v xml:space="preserve">    map["tokenid"] = tokenid;</v>
      </c>
    </row>
    <row r="189" spans="1:15" x14ac:dyDescent="0.25">
      <c r="A189" s="6" t="s">
        <v>139</v>
      </c>
      <c r="N189">
        <v>0</v>
      </c>
      <c r="O189" s="7" t="str">
        <f ca="1">getCodigoBackend(N189,A189,VLOOKUP(N189,setup!$A$8:$H$58,2),VLOOKUP(N189,setup!$A$8:$H$58,3),VLOOKUP(N189,setup!$A$8:$H$58,4),VLOOKUP(N189,setup!$A$8:$H$58,5),VLOOKUP(N189,setup!$A$8:$H$58,6),VLOOKUP(N189,setup!$A$8:$H$58,7), VLOOKUP(0,setup!$A$8:$H$58,2),VLOOKUP(0,setup!$A$8:$H$58,5),VLOOKUP(N189,setup!$A$8:$H$58,8))</f>
        <v xml:space="preserve">    map["id"] = id == null ? '' : id;</v>
      </c>
    </row>
    <row r="190" spans="1:15" x14ac:dyDescent="0.25">
      <c r="A190" s="6" t="s">
        <v>139</v>
      </c>
      <c r="N190">
        <f>N189+1</f>
        <v>1</v>
      </c>
      <c r="O190" s="7" t="str">
        <f ca="1">getCodigoBackend(N190,A190,VLOOKUP(N190,setup!$A$8:$H$58,2),VLOOKUP(N190,setup!$A$8:$H$58,3),VLOOKUP(N190,setup!$A$8:$H$58,4),VLOOKUP(N190,setup!$A$8:$H$58,5),VLOOKUP(N190,setup!$A$8:$H$58,6),VLOOKUP(N190,setup!$A$8:$H$58,7), VLOOKUP(0,setup!$A$8:$H$58,2),VLOOKUP(0,setup!$A$8:$H$58,5),VLOOKUP(N190,setup!$A$8:$H$58,8))</f>
        <v xml:space="preserve">    map["id_usuario"] = id_usuario == null ? '' : id_usuario;</v>
      </c>
    </row>
    <row r="191" spans="1:15" x14ac:dyDescent="0.25">
      <c r="A191" s="6" t="s">
        <v>139</v>
      </c>
      <c r="N191">
        <f t="shared" ref="N191:N239" si="3">N190+1</f>
        <v>2</v>
      </c>
      <c r="O191" s="7" t="str">
        <f ca="1">getCodigoBackend(N191,A191,VLOOKUP(N191,setup!$A$8:$H$58,2),VLOOKUP(N191,setup!$A$8:$H$58,3),VLOOKUP(N191,setup!$A$8:$H$58,4),VLOOKUP(N191,setup!$A$8:$H$58,5),VLOOKUP(N191,setup!$A$8:$H$58,6),VLOOKUP(N191,setup!$A$8:$H$58,7), VLOOKUP(0,setup!$A$8:$H$58,2),VLOOKUP(0,setup!$A$8:$H$58,5),VLOOKUP(N191,setup!$A$8:$H$58,8))</f>
        <v xml:space="preserve">    map["titulo"] = titulo == null ? '' : titulo;</v>
      </c>
    </row>
    <row r="192" spans="1:15" x14ac:dyDescent="0.25">
      <c r="A192" s="6" t="s">
        <v>139</v>
      </c>
      <c r="N192">
        <f t="shared" si="3"/>
        <v>3</v>
      </c>
      <c r="O192" s="7" t="str">
        <f ca="1">getCodigoBackend(N192,A192,VLOOKUP(N192,setup!$A$8:$H$58,2),VLOOKUP(N192,setup!$A$8:$H$58,3),VLOOKUP(N192,setup!$A$8:$H$58,4),VLOOKUP(N192,setup!$A$8:$H$58,5),VLOOKUP(N192,setup!$A$8:$H$58,6),VLOOKUP(N192,setup!$A$8:$H$58,7), VLOOKUP(0,setup!$A$8:$H$58,2),VLOOKUP(0,setup!$A$8:$H$58,5),VLOOKUP(N192,setup!$A$8:$H$58,8))</f>
        <v xml:space="preserve">    map["descricao"] = descricao == null ? '' : descricao;</v>
      </c>
    </row>
    <row r="193" spans="1:15" x14ac:dyDescent="0.25">
      <c r="A193" s="6" t="s">
        <v>139</v>
      </c>
      <c r="N193">
        <f t="shared" si="3"/>
        <v>4</v>
      </c>
      <c r="O193" s="7" t="str">
        <f ca="1">getCodigoBackend(N193,A193,VLOOKUP(N193,setup!$A$8:$H$58,2),VLOOKUP(N193,setup!$A$8:$H$58,3),VLOOKUP(N193,setup!$A$8:$H$58,4),VLOOKUP(N193,setup!$A$8:$H$58,5),VLOOKUP(N193,setup!$A$8:$H$58,6),VLOOKUP(N193,setup!$A$8:$H$58,7), VLOOKUP(0,setup!$A$8:$H$58,2),VLOOKUP(0,setup!$A$8:$H$58,5),VLOOKUP(N193,setup!$A$8:$H$58,8))</f>
        <v xml:space="preserve">    map["dataInicio"] = dataInicio == null ? '' : dataInicio;</v>
      </c>
    </row>
    <row r="194" spans="1:15" x14ac:dyDescent="0.25">
      <c r="A194" s="6" t="s">
        <v>139</v>
      </c>
      <c r="N194">
        <f t="shared" si="3"/>
        <v>5</v>
      </c>
      <c r="O194" s="7" t="str">
        <f ca="1">getCodigoBackend(N194,A194,VLOOKUP(N194,setup!$A$8:$H$58,2),VLOOKUP(N194,setup!$A$8:$H$58,3),VLOOKUP(N194,setup!$A$8:$H$58,4),VLOOKUP(N194,setup!$A$8:$H$58,5),VLOOKUP(N194,setup!$A$8:$H$58,6),VLOOKUP(N194,setup!$A$8:$H$58,7), VLOOKUP(0,setup!$A$8:$H$58,2),VLOOKUP(0,setup!$A$8:$H$58,5),VLOOKUP(N194,setup!$A$8:$H$58,8))</f>
        <v xml:space="preserve">    map["dataTermino"] = dataTermino == null ? '' : dataTermino;</v>
      </c>
    </row>
    <row r="195" spans="1:15" x14ac:dyDescent="0.25">
      <c r="A195" s="6" t="s">
        <v>139</v>
      </c>
      <c r="N195">
        <f t="shared" si="3"/>
        <v>6</v>
      </c>
      <c r="O195" s="7" t="str">
        <f ca="1">getCodigoBackend(N195,A195,VLOOKUP(N195,setup!$A$8:$H$58,2),VLOOKUP(N195,setup!$A$8:$H$58,3),VLOOKUP(N195,setup!$A$8:$H$58,4),VLOOKUP(N195,setup!$A$8:$H$58,5),VLOOKUP(N195,setup!$A$8:$H$58,6),VLOOKUP(N195,setup!$A$8:$H$58,7), VLOOKUP(0,setup!$A$8:$H$58,2),VLOOKUP(0,setup!$A$8:$H$58,5),VLOOKUP(N195,setup!$A$8:$H$58,8))</f>
        <v xml:space="preserve">    map["vlNormal"] = vlNormal == null ? '' : vlNormal;</v>
      </c>
    </row>
    <row r="196" spans="1:15" x14ac:dyDescent="0.25">
      <c r="A196" s="6" t="s">
        <v>139</v>
      </c>
      <c r="N196">
        <f t="shared" si="3"/>
        <v>7</v>
      </c>
      <c r="O196" s="7" t="str">
        <f ca="1">getCodigoBackend(N196,A196,VLOOKUP(N196,setup!$A$8:$H$58,2),VLOOKUP(N196,setup!$A$8:$H$58,3),VLOOKUP(N196,setup!$A$8:$H$58,4),VLOOKUP(N196,setup!$A$8:$H$58,5),VLOOKUP(N196,setup!$A$8:$H$58,6),VLOOKUP(N196,setup!$A$8:$H$58,7), VLOOKUP(0,setup!$A$8:$H$58,2),VLOOKUP(0,setup!$A$8:$H$58,5),VLOOKUP(N196,setup!$A$8:$H$58,8))</f>
        <v xml:space="preserve">    map["vlPromo"] = vlPromo == null ? '' : vlPromo;</v>
      </c>
    </row>
    <row r="197" spans="1:15" x14ac:dyDescent="0.25">
      <c r="A197" s="6" t="s">
        <v>139</v>
      </c>
      <c r="N197">
        <f t="shared" si="3"/>
        <v>8</v>
      </c>
      <c r="O197" s="7" t="str">
        <f ca="1">getCodigoBackend(N197,A197,VLOOKUP(N197,setup!$A$8:$H$58,2),VLOOKUP(N197,setup!$A$8:$H$58,3),VLOOKUP(N197,setup!$A$8:$H$58,4),VLOOKUP(N197,setup!$A$8:$H$58,5),VLOOKUP(N197,setup!$A$8:$H$58,6),VLOOKUP(N197,setup!$A$8:$H$58,7), VLOOKUP(0,setup!$A$8:$H$58,2),VLOOKUP(0,setup!$A$8:$H$58,5),VLOOKUP(N197,setup!$A$8:$H$58,8))</f>
        <v xml:space="preserve">    map["observacao"] = observacao == null ? '' : observacao;</v>
      </c>
    </row>
    <row r="198" spans="1:15" x14ac:dyDescent="0.25">
      <c r="A198" s="6" t="s">
        <v>139</v>
      </c>
      <c r="N198">
        <f t="shared" si="3"/>
        <v>9</v>
      </c>
      <c r="O198" s="7" t="str">
        <f ca="1">getCodigoBackend(N198,A198,VLOOKUP(N198,setup!$A$8:$H$58,2),VLOOKUP(N198,setup!$A$8:$H$58,3),VLOOKUP(N198,setup!$A$8:$H$58,4),VLOOKUP(N198,setup!$A$8:$H$58,5),VLOOKUP(N198,setup!$A$8:$H$58,6),VLOOKUP(N198,setup!$A$8:$H$58,7), VLOOKUP(0,setup!$A$8:$H$58,2),VLOOKUP(0,setup!$A$8:$H$58,5),VLOOKUP(N198,setup!$A$8:$H$58,8))</f>
        <v xml:space="preserve">    map["dataRemover"] = dataRemover == null ? '' : dataRemover;</v>
      </c>
    </row>
    <row r="199" spans="1:15" x14ac:dyDescent="0.25">
      <c r="A199" s="6" t="s">
        <v>139</v>
      </c>
      <c r="N199">
        <f t="shared" si="3"/>
        <v>10</v>
      </c>
      <c r="O199" s="7" t="e">
        <f>getCodigoBackend(N199,A199,VLOOKUP(N199,setup!$A$8:$H$58,2),VLOOKUP(N199,setup!$A$8:$H$58,3),VLOOKUP(N199,setup!$A$8:$H$58,4),VLOOKUP(N199,setup!$A$8:$H$58,5),VLOOKUP(N199,setup!$A$8:$H$58,6),VLOOKUP(N199,setup!$A$8:$H$58,7), VLOOKUP(0,setup!$A$8:$H$58,2),VLOOKUP(0,setup!$A$8:$H$58,5),VLOOKUP(N199,setup!$A$8:$H$58,8))</f>
        <v>#VALUE!</v>
      </c>
    </row>
    <row r="200" spans="1:15" x14ac:dyDescent="0.25">
      <c r="A200" s="6" t="s">
        <v>139</v>
      </c>
      <c r="N200">
        <f t="shared" si="3"/>
        <v>11</v>
      </c>
      <c r="O200" s="7" t="e">
        <f>getCodigoBackend(N200,A200,VLOOKUP(N200,setup!$A$8:$H$58,2),VLOOKUP(N200,setup!$A$8:$H$58,3),VLOOKUP(N200,setup!$A$8:$H$58,4),VLOOKUP(N200,setup!$A$8:$H$58,5),VLOOKUP(N200,setup!$A$8:$H$58,6),VLOOKUP(N200,setup!$A$8:$H$58,7), VLOOKUP(0,setup!$A$8:$H$58,2),VLOOKUP(0,setup!$A$8:$H$58,5),VLOOKUP(N200,setup!$A$8:$H$58,8))</f>
        <v>#VALUE!</v>
      </c>
    </row>
    <row r="201" spans="1:15" x14ac:dyDescent="0.25">
      <c r="A201" s="6" t="s">
        <v>139</v>
      </c>
      <c r="N201">
        <f t="shared" si="3"/>
        <v>12</v>
      </c>
      <c r="O201" s="7" t="e">
        <f>getCodigoBackend(N201,A201,VLOOKUP(N201,setup!$A$8:$H$58,2),VLOOKUP(N201,setup!$A$8:$H$58,3),VLOOKUP(N201,setup!$A$8:$H$58,4),VLOOKUP(N201,setup!$A$8:$H$58,5),VLOOKUP(N201,setup!$A$8:$H$58,6),VLOOKUP(N201,setup!$A$8:$H$58,7), VLOOKUP(0,setup!$A$8:$H$58,2),VLOOKUP(0,setup!$A$8:$H$58,5),VLOOKUP(N201,setup!$A$8:$H$58,8))</f>
        <v>#VALUE!</v>
      </c>
    </row>
    <row r="202" spans="1:15" x14ac:dyDescent="0.25">
      <c r="A202" s="6" t="s">
        <v>139</v>
      </c>
      <c r="N202">
        <f t="shared" si="3"/>
        <v>13</v>
      </c>
      <c r="O202" s="7" t="e">
        <f>getCodigoBackend(N202,A202,VLOOKUP(N202,setup!$A$8:$H$58,2),VLOOKUP(N202,setup!$A$8:$H$58,3),VLOOKUP(N202,setup!$A$8:$H$58,4),VLOOKUP(N202,setup!$A$8:$H$58,5),VLOOKUP(N202,setup!$A$8:$H$58,6),VLOOKUP(N202,setup!$A$8:$H$58,7), VLOOKUP(0,setup!$A$8:$H$58,2),VLOOKUP(0,setup!$A$8:$H$58,5),VLOOKUP(N202,setup!$A$8:$H$58,8))</f>
        <v>#VALUE!</v>
      </c>
    </row>
    <row r="203" spans="1:15" x14ac:dyDescent="0.25">
      <c r="A203" s="6" t="s">
        <v>139</v>
      </c>
      <c r="N203">
        <f t="shared" si="3"/>
        <v>14</v>
      </c>
      <c r="O203" s="7" t="e">
        <f>getCodigoBackend(N203,A203,VLOOKUP(N203,setup!$A$8:$H$58,2),VLOOKUP(N203,setup!$A$8:$H$58,3),VLOOKUP(N203,setup!$A$8:$H$58,4),VLOOKUP(N203,setup!$A$8:$H$58,5),VLOOKUP(N203,setup!$A$8:$H$58,6),VLOOKUP(N203,setup!$A$8:$H$58,7), VLOOKUP(0,setup!$A$8:$H$58,2),VLOOKUP(0,setup!$A$8:$H$58,5),VLOOKUP(N203,setup!$A$8:$H$58,8))</f>
        <v>#VALUE!</v>
      </c>
    </row>
    <row r="204" spans="1:15" x14ac:dyDescent="0.25">
      <c r="A204" s="6" t="s">
        <v>139</v>
      </c>
      <c r="N204">
        <f t="shared" si="3"/>
        <v>15</v>
      </c>
      <c r="O204" s="7" t="e">
        <f>getCodigoBackend(N204,A204,VLOOKUP(N204,setup!$A$8:$H$58,2),VLOOKUP(N204,setup!$A$8:$H$58,3),VLOOKUP(N204,setup!$A$8:$H$58,4),VLOOKUP(N204,setup!$A$8:$H$58,5),VLOOKUP(N204,setup!$A$8:$H$58,6),VLOOKUP(N204,setup!$A$8:$H$58,7), VLOOKUP(0,setup!$A$8:$H$58,2),VLOOKUP(0,setup!$A$8:$H$58,5),VLOOKUP(N204,setup!$A$8:$H$58,8))</f>
        <v>#VALUE!</v>
      </c>
    </row>
    <row r="205" spans="1:15" x14ac:dyDescent="0.25">
      <c r="A205" s="6" t="s">
        <v>139</v>
      </c>
      <c r="N205">
        <f t="shared" si="3"/>
        <v>16</v>
      </c>
      <c r="O205" s="7" t="e">
        <f>getCodigoBackend(N205,A205,VLOOKUP(N205,setup!$A$8:$H$58,2),VLOOKUP(N205,setup!$A$8:$H$58,3),VLOOKUP(N205,setup!$A$8:$H$58,4),VLOOKUP(N205,setup!$A$8:$H$58,5),VLOOKUP(N205,setup!$A$8:$H$58,6),VLOOKUP(N205,setup!$A$8:$H$58,7), VLOOKUP(0,setup!$A$8:$H$58,2),VLOOKUP(0,setup!$A$8:$H$58,5),VLOOKUP(N205,setup!$A$8:$H$58,8))</f>
        <v>#VALUE!</v>
      </c>
    </row>
    <row r="206" spans="1:15" x14ac:dyDescent="0.25">
      <c r="A206" s="6" t="s">
        <v>139</v>
      </c>
      <c r="N206">
        <f t="shared" si="3"/>
        <v>17</v>
      </c>
      <c r="O206" s="7" t="e">
        <f>getCodigoBackend(N206,A206,VLOOKUP(N206,setup!$A$8:$H$58,2),VLOOKUP(N206,setup!$A$8:$H$58,3),VLOOKUP(N206,setup!$A$8:$H$58,4),VLOOKUP(N206,setup!$A$8:$H$58,5),VLOOKUP(N206,setup!$A$8:$H$58,6),VLOOKUP(N206,setup!$A$8:$H$58,7), VLOOKUP(0,setup!$A$8:$H$58,2),VLOOKUP(0,setup!$A$8:$H$58,5),VLOOKUP(N206,setup!$A$8:$H$58,8))</f>
        <v>#VALUE!</v>
      </c>
    </row>
    <row r="207" spans="1:15" x14ac:dyDescent="0.25">
      <c r="A207" s="6" t="s">
        <v>139</v>
      </c>
      <c r="N207">
        <f t="shared" si="3"/>
        <v>18</v>
      </c>
      <c r="O207" s="7" t="e">
        <f>getCodigoBackend(N207,A207,VLOOKUP(N207,setup!$A$8:$H$58,2),VLOOKUP(N207,setup!$A$8:$H$58,3),VLOOKUP(N207,setup!$A$8:$H$58,4),VLOOKUP(N207,setup!$A$8:$H$58,5),VLOOKUP(N207,setup!$A$8:$H$58,6),VLOOKUP(N207,setup!$A$8:$H$58,7), VLOOKUP(0,setup!$A$8:$H$58,2),VLOOKUP(0,setup!$A$8:$H$58,5),VLOOKUP(N207,setup!$A$8:$H$58,8))</f>
        <v>#VALUE!</v>
      </c>
    </row>
    <row r="208" spans="1:15" x14ac:dyDescent="0.25">
      <c r="A208" s="6" t="s">
        <v>139</v>
      </c>
      <c r="N208">
        <f t="shared" si="3"/>
        <v>19</v>
      </c>
      <c r="O208" s="7" t="e">
        <f>getCodigoBackend(N208,A208,VLOOKUP(N208,setup!$A$8:$H$58,2),VLOOKUP(N208,setup!$A$8:$H$58,3),VLOOKUP(N208,setup!$A$8:$H$58,4),VLOOKUP(N208,setup!$A$8:$H$58,5),VLOOKUP(N208,setup!$A$8:$H$58,6),VLOOKUP(N208,setup!$A$8:$H$58,7), VLOOKUP(0,setup!$A$8:$H$58,2),VLOOKUP(0,setup!$A$8:$H$58,5),VLOOKUP(N208,setup!$A$8:$H$58,8))</f>
        <v>#VALUE!</v>
      </c>
    </row>
    <row r="209" spans="1:15" x14ac:dyDescent="0.25">
      <c r="A209" s="6" t="s">
        <v>139</v>
      </c>
      <c r="N209">
        <f t="shared" si="3"/>
        <v>20</v>
      </c>
      <c r="O209" s="7" t="e">
        <f>getCodigoBackend(N209,A209,VLOOKUP(N209,setup!$A$8:$H$58,2),VLOOKUP(N209,setup!$A$8:$H$58,3),VLOOKUP(N209,setup!$A$8:$H$58,4),VLOOKUP(N209,setup!$A$8:$H$58,5),VLOOKUP(N209,setup!$A$8:$H$58,6),VLOOKUP(N209,setup!$A$8:$H$58,7), VLOOKUP(0,setup!$A$8:$H$58,2),VLOOKUP(0,setup!$A$8:$H$58,5),VLOOKUP(N209,setup!$A$8:$H$58,8))</f>
        <v>#VALUE!</v>
      </c>
    </row>
    <row r="210" spans="1:15" x14ac:dyDescent="0.25">
      <c r="A210" s="6" t="s">
        <v>139</v>
      </c>
      <c r="N210">
        <f t="shared" si="3"/>
        <v>21</v>
      </c>
      <c r="O210" s="7" t="e">
        <f>getCodigoBackend(N210,A210,VLOOKUP(N210,setup!$A$8:$H$58,2),VLOOKUP(N210,setup!$A$8:$H$58,3),VLOOKUP(N210,setup!$A$8:$H$58,4),VLOOKUP(N210,setup!$A$8:$H$58,5),VLOOKUP(N210,setup!$A$8:$H$58,6),VLOOKUP(N210,setup!$A$8:$H$58,7), VLOOKUP(0,setup!$A$8:$H$58,2),VLOOKUP(0,setup!$A$8:$H$58,5),VLOOKUP(N210,setup!$A$8:$H$58,8))</f>
        <v>#VALUE!</v>
      </c>
    </row>
    <row r="211" spans="1:15" x14ac:dyDescent="0.25">
      <c r="A211" s="6" t="s">
        <v>139</v>
      </c>
      <c r="N211">
        <f t="shared" si="3"/>
        <v>22</v>
      </c>
      <c r="O211" s="7" t="e">
        <f>getCodigoBackend(N211,A211,VLOOKUP(N211,setup!$A$8:$H$58,2),VLOOKUP(N211,setup!$A$8:$H$58,3),VLOOKUP(N211,setup!$A$8:$H$58,4),VLOOKUP(N211,setup!$A$8:$H$58,5),VLOOKUP(N211,setup!$A$8:$H$58,6),VLOOKUP(N211,setup!$A$8:$H$58,7), VLOOKUP(0,setup!$A$8:$H$58,2),VLOOKUP(0,setup!$A$8:$H$58,5),VLOOKUP(N211,setup!$A$8:$H$58,8))</f>
        <v>#VALUE!</v>
      </c>
    </row>
    <row r="212" spans="1:15" x14ac:dyDescent="0.25">
      <c r="A212" s="6" t="s">
        <v>139</v>
      </c>
      <c r="N212">
        <f t="shared" si="3"/>
        <v>23</v>
      </c>
      <c r="O212" s="7" t="e">
        <f>getCodigoBackend(N212,A212,VLOOKUP(N212,setup!$A$8:$H$58,2),VLOOKUP(N212,setup!$A$8:$H$58,3),VLOOKUP(N212,setup!$A$8:$H$58,4),VLOOKUP(N212,setup!$A$8:$H$58,5),VLOOKUP(N212,setup!$A$8:$H$58,6),VLOOKUP(N212,setup!$A$8:$H$58,7), VLOOKUP(0,setup!$A$8:$H$58,2),VLOOKUP(0,setup!$A$8:$H$58,5),VLOOKUP(N212,setup!$A$8:$H$58,8))</f>
        <v>#VALUE!</v>
      </c>
    </row>
    <row r="213" spans="1:15" x14ac:dyDescent="0.25">
      <c r="A213" s="6" t="s">
        <v>139</v>
      </c>
      <c r="N213">
        <f t="shared" si="3"/>
        <v>24</v>
      </c>
      <c r="O213" s="7" t="e">
        <f>getCodigoBackend(N213,A213,VLOOKUP(N213,setup!$A$8:$H$58,2),VLOOKUP(N213,setup!$A$8:$H$58,3),VLOOKUP(N213,setup!$A$8:$H$58,4),VLOOKUP(N213,setup!$A$8:$H$58,5),VLOOKUP(N213,setup!$A$8:$H$58,6),VLOOKUP(N213,setup!$A$8:$H$58,7), VLOOKUP(0,setup!$A$8:$H$58,2),VLOOKUP(0,setup!$A$8:$H$58,5),VLOOKUP(N213,setup!$A$8:$H$58,8))</f>
        <v>#VALUE!</v>
      </c>
    </row>
    <row r="214" spans="1:15" x14ac:dyDescent="0.25">
      <c r="A214" s="6" t="s">
        <v>139</v>
      </c>
      <c r="N214">
        <f t="shared" si="3"/>
        <v>25</v>
      </c>
      <c r="O214" s="7" t="e">
        <f>getCodigoBackend(N214,A214,VLOOKUP(N214,setup!$A$8:$H$58,2),VLOOKUP(N214,setup!$A$8:$H$58,3),VLOOKUP(N214,setup!$A$8:$H$58,4),VLOOKUP(N214,setup!$A$8:$H$58,5),VLOOKUP(N214,setup!$A$8:$H$58,6),VLOOKUP(N214,setup!$A$8:$H$58,7), VLOOKUP(0,setup!$A$8:$H$58,2),VLOOKUP(0,setup!$A$8:$H$58,5),VLOOKUP(N214,setup!$A$8:$H$58,8))</f>
        <v>#VALUE!</v>
      </c>
    </row>
    <row r="215" spans="1:15" x14ac:dyDescent="0.25">
      <c r="A215" s="6" t="s">
        <v>139</v>
      </c>
      <c r="N215">
        <f t="shared" si="3"/>
        <v>26</v>
      </c>
      <c r="O215" s="7" t="e">
        <f>getCodigoBackend(N215,A215,VLOOKUP(N215,setup!$A$8:$H$58,2),VLOOKUP(N215,setup!$A$8:$H$58,3),VLOOKUP(N215,setup!$A$8:$H$58,4),VLOOKUP(N215,setup!$A$8:$H$58,5),VLOOKUP(N215,setup!$A$8:$H$58,6),VLOOKUP(N215,setup!$A$8:$H$58,7), VLOOKUP(0,setup!$A$8:$H$58,2),VLOOKUP(0,setup!$A$8:$H$58,5),VLOOKUP(N215,setup!$A$8:$H$58,8))</f>
        <v>#VALUE!</v>
      </c>
    </row>
    <row r="216" spans="1:15" x14ac:dyDescent="0.25">
      <c r="A216" s="6" t="s">
        <v>139</v>
      </c>
      <c r="N216">
        <f t="shared" si="3"/>
        <v>27</v>
      </c>
      <c r="O216" s="7" t="e">
        <f>getCodigoBackend(N216,A216,VLOOKUP(N216,setup!$A$8:$H$58,2),VLOOKUP(N216,setup!$A$8:$H$58,3),VLOOKUP(N216,setup!$A$8:$H$58,4),VLOOKUP(N216,setup!$A$8:$H$58,5),VLOOKUP(N216,setup!$A$8:$H$58,6),VLOOKUP(N216,setup!$A$8:$H$58,7), VLOOKUP(0,setup!$A$8:$H$58,2),VLOOKUP(0,setup!$A$8:$H$58,5),VLOOKUP(N216,setup!$A$8:$H$58,8))</f>
        <v>#VALUE!</v>
      </c>
    </row>
    <row r="217" spans="1:15" x14ac:dyDescent="0.25">
      <c r="A217" s="6" t="s">
        <v>139</v>
      </c>
      <c r="N217">
        <f t="shared" si="3"/>
        <v>28</v>
      </c>
      <c r="O217" s="7" t="e">
        <f>getCodigoBackend(N217,A217,VLOOKUP(N217,setup!$A$8:$H$58,2),VLOOKUP(N217,setup!$A$8:$H$58,3),VLOOKUP(N217,setup!$A$8:$H$58,4),VLOOKUP(N217,setup!$A$8:$H$58,5),VLOOKUP(N217,setup!$A$8:$H$58,6),VLOOKUP(N217,setup!$A$8:$H$58,7), VLOOKUP(0,setup!$A$8:$H$58,2),VLOOKUP(0,setup!$A$8:$H$58,5),VLOOKUP(N217,setup!$A$8:$H$58,8))</f>
        <v>#VALUE!</v>
      </c>
    </row>
    <row r="218" spans="1:15" x14ac:dyDescent="0.25">
      <c r="A218" s="6" t="s">
        <v>139</v>
      </c>
      <c r="N218">
        <f t="shared" si="3"/>
        <v>29</v>
      </c>
      <c r="O218" s="7" t="e">
        <f>getCodigoBackend(N218,A218,VLOOKUP(N218,setup!$A$8:$H$58,2),VLOOKUP(N218,setup!$A$8:$H$58,3),VLOOKUP(N218,setup!$A$8:$H$58,4),VLOOKUP(N218,setup!$A$8:$H$58,5),VLOOKUP(N218,setup!$A$8:$H$58,6),VLOOKUP(N218,setup!$A$8:$H$58,7), VLOOKUP(0,setup!$A$8:$H$58,2),VLOOKUP(0,setup!$A$8:$H$58,5),VLOOKUP(N218,setup!$A$8:$H$58,8))</f>
        <v>#VALUE!</v>
      </c>
    </row>
    <row r="219" spans="1:15" x14ac:dyDescent="0.25">
      <c r="A219" s="6" t="s">
        <v>139</v>
      </c>
      <c r="N219">
        <f t="shared" si="3"/>
        <v>30</v>
      </c>
      <c r="O219" s="7" t="e">
        <f>getCodigoBackend(N219,A219,VLOOKUP(N219,setup!$A$8:$H$58,2),VLOOKUP(N219,setup!$A$8:$H$58,3),VLOOKUP(N219,setup!$A$8:$H$58,4),VLOOKUP(N219,setup!$A$8:$H$58,5),VLOOKUP(N219,setup!$A$8:$H$58,6),VLOOKUP(N219,setup!$A$8:$H$58,7), VLOOKUP(0,setup!$A$8:$H$58,2),VLOOKUP(0,setup!$A$8:$H$58,5),VLOOKUP(N219,setup!$A$8:$H$58,8))</f>
        <v>#VALUE!</v>
      </c>
    </row>
    <row r="220" spans="1:15" x14ac:dyDescent="0.25">
      <c r="A220" s="6" t="s">
        <v>139</v>
      </c>
      <c r="N220">
        <f t="shared" si="3"/>
        <v>31</v>
      </c>
      <c r="O220" s="7" t="e">
        <f>getCodigoBackend(N220,A220,VLOOKUP(N220,setup!$A$8:$H$58,2),VLOOKUP(N220,setup!$A$8:$H$58,3),VLOOKUP(N220,setup!$A$8:$H$58,4),VLOOKUP(N220,setup!$A$8:$H$58,5),VLOOKUP(N220,setup!$A$8:$H$58,6),VLOOKUP(N220,setup!$A$8:$H$58,7), VLOOKUP(0,setup!$A$8:$H$58,2),VLOOKUP(0,setup!$A$8:$H$58,5),VLOOKUP(N220,setup!$A$8:$H$58,8))</f>
        <v>#VALUE!</v>
      </c>
    </row>
    <row r="221" spans="1:15" x14ac:dyDescent="0.25">
      <c r="A221" s="6" t="s">
        <v>139</v>
      </c>
      <c r="N221">
        <f t="shared" si="3"/>
        <v>32</v>
      </c>
      <c r="O221" s="7" t="e">
        <f>getCodigoBackend(N221,A221,VLOOKUP(N221,setup!$A$8:$H$58,2),VLOOKUP(N221,setup!$A$8:$H$58,3),VLOOKUP(N221,setup!$A$8:$H$58,4),VLOOKUP(N221,setup!$A$8:$H$58,5),VLOOKUP(N221,setup!$A$8:$H$58,6),VLOOKUP(N221,setup!$A$8:$H$58,7), VLOOKUP(0,setup!$A$8:$H$58,2),VLOOKUP(0,setup!$A$8:$H$58,5),VLOOKUP(N221,setup!$A$8:$H$58,8))</f>
        <v>#VALUE!</v>
      </c>
    </row>
    <row r="222" spans="1:15" x14ac:dyDescent="0.25">
      <c r="A222" s="6" t="s">
        <v>139</v>
      </c>
      <c r="N222">
        <f t="shared" si="3"/>
        <v>33</v>
      </c>
      <c r="O222" s="7" t="e">
        <f>getCodigoBackend(N222,A222,VLOOKUP(N222,setup!$A$8:$H$58,2),VLOOKUP(N222,setup!$A$8:$H$58,3),VLOOKUP(N222,setup!$A$8:$H$58,4),VLOOKUP(N222,setup!$A$8:$H$58,5),VLOOKUP(N222,setup!$A$8:$H$58,6),VLOOKUP(N222,setup!$A$8:$H$58,7), VLOOKUP(0,setup!$A$8:$H$58,2),VLOOKUP(0,setup!$A$8:$H$58,5),VLOOKUP(N222,setup!$A$8:$H$58,8))</f>
        <v>#VALUE!</v>
      </c>
    </row>
    <row r="223" spans="1:15" x14ac:dyDescent="0.25">
      <c r="A223" s="6" t="s">
        <v>139</v>
      </c>
      <c r="N223">
        <f t="shared" si="3"/>
        <v>34</v>
      </c>
      <c r="O223" s="7" t="e">
        <f>getCodigoBackend(N223,A223,VLOOKUP(N223,setup!$A$8:$H$58,2),VLOOKUP(N223,setup!$A$8:$H$58,3),VLOOKUP(N223,setup!$A$8:$H$58,4),VLOOKUP(N223,setup!$A$8:$H$58,5),VLOOKUP(N223,setup!$A$8:$H$58,6),VLOOKUP(N223,setup!$A$8:$H$58,7), VLOOKUP(0,setup!$A$8:$H$58,2),VLOOKUP(0,setup!$A$8:$H$58,5),VLOOKUP(N223,setup!$A$8:$H$58,8))</f>
        <v>#VALUE!</v>
      </c>
    </row>
    <row r="224" spans="1:15" x14ac:dyDescent="0.25">
      <c r="A224" s="6" t="s">
        <v>139</v>
      </c>
      <c r="N224">
        <f t="shared" si="3"/>
        <v>35</v>
      </c>
      <c r="O224" s="7" t="e">
        <f>getCodigoBackend(N224,A224,VLOOKUP(N224,setup!$A$8:$H$58,2),VLOOKUP(N224,setup!$A$8:$H$58,3),VLOOKUP(N224,setup!$A$8:$H$58,4),VLOOKUP(N224,setup!$A$8:$H$58,5),VLOOKUP(N224,setup!$A$8:$H$58,6),VLOOKUP(N224,setup!$A$8:$H$58,7), VLOOKUP(0,setup!$A$8:$H$58,2),VLOOKUP(0,setup!$A$8:$H$58,5),VLOOKUP(N224,setup!$A$8:$H$58,8))</f>
        <v>#VALUE!</v>
      </c>
    </row>
    <row r="225" spans="1:15" x14ac:dyDescent="0.25">
      <c r="A225" s="6" t="s">
        <v>139</v>
      </c>
      <c r="N225">
        <f t="shared" si="3"/>
        <v>36</v>
      </c>
      <c r="O225" s="7" t="e">
        <f>getCodigoBackend(N225,A225,VLOOKUP(N225,setup!$A$8:$H$58,2),VLOOKUP(N225,setup!$A$8:$H$58,3),VLOOKUP(N225,setup!$A$8:$H$58,4),VLOOKUP(N225,setup!$A$8:$H$58,5),VLOOKUP(N225,setup!$A$8:$H$58,6),VLOOKUP(N225,setup!$A$8:$H$58,7), VLOOKUP(0,setup!$A$8:$H$58,2),VLOOKUP(0,setup!$A$8:$H$58,5),VLOOKUP(N225,setup!$A$8:$H$58,8))</f>
        <v>#VALUE!</v>
      </c>
    </row>
    <row r="226" spans="1:15" x14ac:dyDescent="0.25">
      <c r="A226" s="6" t="s">
        <v>139</v>
      </c>
      <c r="N226">
        <f t="shared" si="3"/>
        <v>37</v>
      </c>
      <c r="O226" s="7" t="e">
        <f>getCodigoBackend(N226,A226,VLOOKUP(N226,setup!$A$8:$H$58,2),VLOOKUP(N226,setup!$A$8:$H$58,3),VLOOKUP(N226,setup!$A$8:$H$58,4),VLOOKUP(N226,setup!$A$8:$H$58,5),VLOOKUP(N226,setup!$A$8:$H$58,6),VLOOKUP(N226,setup!$A$8:$H$58,7), VLOOKUP(0,setup!$A$8:$H$58,2),VLOOKUP(0,setup!$A$8:$H$58,5),VLOOKUP(N226,setup!$A$8:$H$58,8))</f>
        <v>#VALUE!</v>
      </c>
    </row>
    <row r="227" spans="1:15" x14ac:dyDescent="0.25">
      <c r="A227" s="6" t="s">
        <v>139</v>
      </c>
      <c r="N227">
        <f t="shared" si="3"/>
        <v>38</v>
      </c>
      <c r="O227" s="7" t="e">
        <f>getCodigoBackend(N227,A227,VLOOKUP(N227,setup!$A$8:$H$58,2),VLOOKUP(N227,setup!$A$8:$H$58,3),VLOOKUP(N227,setup!$A$8:$H$58,4),VLOOKUP(N227,setup!$A$8:$H$58,5),VLOOKUP(N227,setup!$A$8:$H$58,6),VLOOKUP(N227,setup!$A$8:$H$58,7), VLOOKUP(0,setup!$A$8:$H$58,2),VLOOKUP(0,setup!$A$8:$H$58,5),VLOOKUP(N227,setup!$A$8:$H$58,8))</f>
        <v>#VALUE!</v>
      </c>
    </row>
    <row r="228" spans="1:15" x14ac:dyDescent="0.25">
      <c r="A228" s="6" t="s">
        <v>139</v>
      </c>
      <c r="N228">
        <f t="shared" si="3"/>
        <v>39</v>
      </c>
      <c r="O228" s="7" t="e">
        <f>getCodigoBackend(N228,A228,VLOOKUP(N228,setup!$A$8:$H$58,2),VLOOKUP(N228,setup!$A$8:$H$58,3),VLOOKUP(N228,setup!$A$8:$H$58,4),VLOOKUP(N228,setup!$A$8:$H$58,5),VLOOKUP(N228,setup!$A$8:$H$58,6),VLOOKUP(N228,setup!$A$8:$H$58,7), VLOOKUP(0,setup!$A$8:$H$58,2),VLOOKUP(0,setup!$A$8:$H$58,5),VLOOKUP(N228,setup!$A$8:$H$58,8))</f>
        <v>#VALUE!</v>
      </c>
    </row>
    <row r="229" spans="1:15" x14ac:dyDescent="0.25">
      <c r="A229" s="6" t="s">
        <v>139</v>
      </c>
      <c r="N229">
        <f t="shared" si="3"/>
        <v>40</v>
      </c>
      <c r="O229" s="7" t="e">
        <f>getCodigoBackend(N229,A229,VLOOKUP(N229,setup!$A$8:$H$58,2),VLOOKUP(N229,setup!$A$8:$H$58,3),VLOOKUP(N229,setup!$A$8:$H$58,4),VLOOKUP(N229,setup!$A$8:$H$58,5),VLOOKUP(N229,setup!$A$8:$H$58,6),VLOOKUP(N229,setup!$A$8:$H$58,7), VLOOKUP(0,setup!$A$8:$H$58,2),VLOOKUP(0,setup!$A$8:$H$58,5),VLOOKUP(N229,setup!$A$8:$H$58,8))</f>
        <v>#VALUE!</v>
      </c>
    </row>
    <row r="230" spans="1:15" x14ac:dyDescent="0.25">
      <c r="A230" s="6" t="s">
        <v>139</v>
      </c>
      <c r="N230">
        <f t="shared" si="3"/>
        <v>41</v>
      </c>
      <c r="O230" s="7" t="e">
        <f>getCodigoBackend(N230,A230,VLOOKUP(N230,setup!$A$8:$H$58,2),VLOOKUP(N230,setup!$A$8:$H$58,3),VLOOKUP(N230,setup!$A$8:$H$58,4),VLOOKUP(N230,setup!$A$8:$H$58,5),VLOOKUP(N230,setup!$A$8:$H$58,6),VLOOKUP(N230,setup!$A$8:$H$58,7), VLOOKUP(0,setup!$A$8:$H$58,2),VLOOKUP(0,setup!$A$8:$H$58,5),VLOOKUP(N230,setup!$A$8:$H$58,8))</f>
        <v>#VALUE!</v>
      </c>
    </row>
    <row r="231" spans="1:15" x14ac:dyDescent="0.25">
      <c r="A231" s="6" t="s">
        <v>139</v>
      </c>
      <c r="N231">
        <f t="shared" si="3"/>
        <v>42</v>
      </c>
      <c r="O231" s="7" t="e">
        <f>getCodigoBackend(N231,A231,VLOOKUP(N231,setup!$A$8:$H$58,2),VLOOKUP(N231,setup!$A$8:$H$58,3),VLOOKUP(N231,setup!$A$8:$H$58,4),VLOOKUP(N231,setup!$A$8:$H$58,5),VLOOKUP(N231,setup!$A$8:$H$58,6),VLOOKUP(N231,setup!$A$8:$H$58,7), VLOOKUP(0,setup!$A$8:$H$58,2),VLOOKUP(0,setup!$A$8:$H$58,5),VLOOKUP(N231,setup!$A$8:$H$58,8))</f>
        <v>#VALUE!</v>
      </c>
    </row>
    <row r="232" spans="1:15" x14ac:dyDescent="0.25">
      <c r="A232" s="6" t="s">
        <v>139</v>
      </c>
      <c r="N232">
        <f t="shared" si="3"/>
        <v>43</v>
      </c>
      <c r="O232" s="7" t="e">
        <f>getCodigoBackend(N232,A232,VLOOKUP(N232,setup!$A$8:$H$58,2),VLOOKUP(N232,setup!$A$8:$H$58,3),VLOOKUP(N232,setup!$A$8:$H$58,4),VLOOKUP(N232,setup!$A$8:$H$58,5),VLOOKUP(N232,setup!$A$8:$H$58,6),VLOOKUP(N232,setup!$A$8:$H$58,7), VLOOKUP(0,setup!$A$8:$H$58,2),VLOOKUP(0,setup!$A$8:$H$58,5),VLOOKUP(N232,setup!$A$8:$H$58,8))</f>
        <v>#VALUE!</v>
      </c>
    </row>
    <row r="233" spans="1:15" x14ac:dyDescent="0.25">
      <c r="A233" s="6" t="s">
        <v>139</v>
      </c>
      <c r="N233">
        <f t="shared" si="3"/>
        <v>44</v>
      </c>
      <c r="O233" s="7" t="e">
        <f>getCodigoBackend(N233,A233,VLOOKUP(N233,setup!$A$8:$H$58,2),VLOOKUP(N233,setup!$A$8:$H$58,3),VLOOKUP(N233,setup!$A$8:$H$58,4),VLOOKUP(N233,setup!$A$8:$H$58,5),VLOOKUP(N233,setup!$A$8:$H$58,6),VLOOKUP(N233,setup!$A$8:$H$58,7), VLOOKUP(0,setup!$A$8:$H$58,2),VLOOKUP(0,setup!$A$8:$H$58,5),VLOOKUP(N233,setup!$A$8:$H$58,8))</f>
        <v>#VALUE!</v>
      </c>
    </row>
    <row r="234" spans="1:15" x14ac:dyDescent="0.25">
      <c r="A234" s="6" t="s">
        <v>139</v>
      </c>
      <c r="N234">
        <f t="shared" si="3"/>
        <v>45</v>
      </c>
      <c r="O234" s="7" t="e">
        <f>getCodigoBackend(N234,A234,VLOOKUP(N234,setup!$A$8:$H$58,2),VLOOKUP(N234,setup!$A$8:$H$58,3),VLOOKUP(N234,setup!$A$8:$H$58,4),VLOOKUP(N234,setup!$A$8:$H$58,5),VLOOKUP(N234,setup!$A$8:$H$58,6),VLOOKUP(N234,setup!$A$8:$H$58,7), VLOOKUP(0,setup!$A$8:$H$58,2),VLOOKUP(0,setup!$A$8:$H$58,5),VLOOKUP(N234,setup!$A$8:$H$58,8))</f>
        <v>#VALUE!</v>
      </c>
    </row>
    <row r="235" spans="1:15" x14ac:dyDescent="0.25">
      <c r="A235" s="6" t="s">
        <v>139</v>
      </c>
      <c r="N235">
        <f t="shared" si="3"/>
        <v>46</v>
      </c>
      <c r="O235" s="7" t="e">
        <f>getCodigoBackend(N235,A235,VLOOKUP(N235,setup!$A$8:$H$58,2),VLOOKUP(N235,setup!$A$8:$H$58,3),VLOOKUP(N235,setup!$A$8:$H$58,4),VLOOKUP(N235,setup!$A$8:$H$58,5),VLOOKUP(N235,setup!$A$8:$H$58,6),VLOOKUP(N235,setup!$A$8:$H$58,7), VLOOKUP(0,setup!$A$8:$H$58,2),VLOOKUP(0,setup!$A$8:$H$58,5),VLOOKUP(N235,setup!$A$8:$H$58,8))</f>
        <v>#VALUE!</v>
      </c>
    </row>
    <row r="236" spans="1:15" x14ac:dyDescent="0.25">
      <c r="A236" s="6" t="s">
        <v>139</v>
      </c>
      <c r="N236">
        <f t="shared" si="3"/>
        <v>47</v>
      </c>
      <c r="O236" s="7" t="e">
        <f>getCodigoBackend(N236,A236,VLOOKUP(N236,setup!$A$8:$H$58,2),VLOOKUP(N236,setup!$A$8:$H$58,3),VLOOKUP(N236,setup!$A$8:$H$58,4),VLOOKUP(N236,setup!$A$8:$H$58,5),VLOOKUP(N236,setup!$A$8:$H$58,6),VLOOKUP(N236,setup!$A$8:$H$58,7), VLOOKUP(0,setup!$A$8:$H$58,2),VLOOKUP(0,setup!$A$8:$H$58,5),VLOOKUP(N236,setup!$A$8:$H$58,8))</f>
        <v>#VALUE!</v>
      </c>
    </row>
    <row r="237" spans="1:15" x14ac:dyDescent="0.25">
      <c r="A237" s="6" t="s">
        <v>139</v>
      </c>
      <c r="N237">
        <f t="shared" si="3"/>
        <v>48</v>
      </c>
      <c r="O237" s="7" t="str">
        <f ca="1">getCodigoBackend(N237,A237,VLOOKUP(N237,setup!$A$8:$H$58,2),VLOOKUP(N237,setup!$A$8:$H$58,3),VLOOKUP(N237,setup!$A$8:$H$58,4),VLOOKUP(N237,setup!$A$8:$H$58,5),VLOOKUP(N237,setup!$A$8:$H$58,6),VLOOKUP(N237,setup!$A$8:$H$58,7), VLOOKUP(0,setup!$A$8:$H$58,2),VLOOKUP(0,setup!$A$8:$H$58,5),VLOOKUP(N237,setup!$A$8:$H$58,8))</f>
        <v xml:space="preserve">    map["status"] = status == null ? '' : status;</v>
      </c>
    </row>
    <row r="238" spans="1:15" x14ac:dyDescent="0.25">
      <c r="A238" s="6" t="s">
        <v>139</v>
      </c>
      <c r="N238">
        <f t="shared" si="3"/>
        <v>49</v>
      </c>
      <c r="O238" s="7" t="str">
        <f ca="1">getCodigoBackend(N238,A238,VLOOKUP(N238,setup!$A$8:$H$58,2),VLOOKUP(N238,setup!$A$8:$H$58,3),VLOOKUP(N238,setup!$A$8:$H$58,4),VLOOKUP(N238,setup!$A$8:$H$58,5),VLOOKUP(N238,setup!$A$8:$H$58,6),VLOOKUP(N238,setup!$A$8:$H$58,7), VLOOKUP(0,setup!$A$8:$H$58,2),VLOOKUP(0,setup!$A$8:$H$58,5),VLOOKUP(N238,setup!$A$8:$H$58,8))</f>
        <v xml:space="preserve">    map["dataCadastro"] = dataCadastro == null ? '' : dataCadastro;</v>
      </c>
    </row>
    <row r="239" spans="1:15" x14ac:dyDescent="0.25">
      <c r="A239" s="6" t="s">
        <v>139</v>
      </c>
      <c r="N239">
        <f t="shared" si="3"/>
        <v>50</v>
      </c>
      <c r="O239" s="7" t="str">
        <f ca="1">getCodigoBackend(N239,A239,VLOOKUP(N239,setup!$A$8:$H$58,2),VLOOKUP(N239,setup!$A$8:$H$58,3),VLOOKUP(N239,setup!$A$8:$H$58,4),VLOOKUP(N239,setup!$A$8:$H$58,5),VLOOKUP(N239,setup!$A$8:$H$58,6),VLOOKUP(N239,setup!$A$8:$H$58,7), VLOOKUP(0,setup!$A$8:$H$58,2),VLOOKUP(0,setup!$A$8:$H$58,5),VLOOKUP(N239,setup!$A$8:$H$58,8))</f>
        <v xml:space="preserve">    map["dataAtualizacao"] = dataAtualizacao == null ? '' : dataAtualizacao;</v>
      </c>
    </row>
    <row r="240" spans="1:15" x14ac:dyDescent="0.25">
      <c r="A240" s="6"/>
      <c r="O240" s="7" t="str">
        <f ca="1">getCodigoBackend(N240,A240,VLOOKUP(N240,setup!$A$8:$H$58,2),VLOOKUP(N240,setup!$A$8:$H$58,3),VLOOKUP(N240,setup!$A$8:$H$58,4),VLOOKUP(N240,setup!$A$8:$H$58,5),VLOOKUP(N240,setup!$A$8:$H$58,6),VLOOKUP(N240,setup!$A$8:$H$58,7), VLOOKUP(0,setup!$A$8:$H$58,2),VLOOKUP(0,setup!$A$8:$H$58,5),VLOOKUP(N240,setup!$A$8:$H$58,8))</f>
        <v/>
      </c>
    </row>
    <row r="241" spans="1:15" x14ac:dyDescent="0.25">
      <c r="A241" s="6" t="s">
        <v>45</v>
      </c>
      <c r="O241" s="7" t="str">
        <f ca="1">getCodigoBackend(N241,A241,VLOOKUP(N241,setup!$A$8:$H$58,2),VLOOKUP(N241,setup!$A$8:$H$58,3),VLOOKUP(N241,setup!$A$8:$H$58,4),VLOOKUP(N241,setup!$A$8:$H$58,5),VLOOKUP(N241,setup!$A$8:$H$58,6),VLOOKUP(N241,setup!$A$8:$H$58,7), VLOOKUP(0,setup!$A$8:$H$58,2),VLOOKUP(0,setup!$A$8:$H$58,5),VLOOKUP(N241,setup!$A$8:$H$58,8))</f>
        <v xml:space="preserve">    return map;</v>
      </c>
    </row>
    <row r="242" spans="1:15" x14ac:dyDescent="0.25">
      <c r="A242" s="6" t="s">
        <v>41</v>
      </c>
      <c r="O242" s="7" t="str">
        <f ca="1">getCodigoBackend(N242,A242,VLOOKUP(N242,setup!$A$8:$H$58,2),VLOOKUP(N242,setup!$A$8:$H$58,3),VLOOKUP(N242,setup!$A$8:$H$58,4),VLOOKUP(N242,setup!$A$8:$H$58,5),VLOOKUP(N242,setup!$A$8:$H$58,6),VLOOKUP(N242,setup!$A$8:$H$58,7), VLOOKUP(0,setup!$A$8:$H$58,2),VLOOKUP(0,setup!$A$8:$H$58,5),VLOOKUP(N242,setup!$A$8:$H$58,8))</f>
        <v xml:space="preserve">  }</v>
      </c>
    </row>
    <row r="243" spans="1:15" x14ac:dyDescent="0.25">
      <c r="A243" s="2" t="s">
        <v>16</v>
      </c>
      <c r="O243" s="7" t="str">
        <f ca="1">getCodigoBackend(N243,A243,VLOOKUP(N243,setup!$A$8:$H$58,2),VLOOKUP(N243,setup!$A$8:$H$58,3),VLOOKUP(N243,setup!$A$8:$H$58,4),VLOOKUP(N243,setup!$A$8:$H$58,5),VLOOKUP(N243,setup!$A$8:$H$58,6),VLOOKUP(N243,setup!$A$8:$H$58,7), VLOOKUP(0,setup!$A$8:$H$58,2),VLOOKUP(0,setup!$A$8:$H$58,5),VLOOKUP(N243,setup!$A$8:$H$58,8))</f>
        <v>}</v>
      </c>
    </row>
    <row r="244" spans="1:15" x14ac:dyDescent="0.25">
      <c r="A244" s="2"/>
      <c r="O244" s="7" t="str">
        <f ca="1">getCodigoBackend(N244,A244,VLOOKUP(N244,setup!$A$8:$H$58,2),VLOOKUP(N244,setup!$A$8:$H$58,3),VLOOKUP(N244,setup!$A$8:$H$58,4),VLOOKUP(N244,setup!$A$8:$H$58,5),VLOOKUP(N244,setup!$A$8:$H$58,6),VLOOKUP(N244,setup!$A$8:$H$58,7), VLOOKUP(0,setup!$A$8:$H$58,2),VLOOKUP(0,setup!$A$8:$H$58,5),VLOOKUP(N244,setup!$A$8:$H$58,8))</f>
        <v/>
      </c>
    </row>
    <row r="245" spans="1:15" x14ac:dyDescent="0.25">
      <c r="A245" s="3"/>
      <c r="O245" s="7" t="str">
        <f ca="1">getCodigoBackend(N245,A245,VLOOKUP(N245,setup!$A$8:$H$58,2),VLOOKUP(N245,setup!$A$8:$H$58,3),VLOOKUP(N245,setup!$A$8:$H$58,4),VLOOKUP(N245,setup!$A$8:$H$58,5),VLOOKUP(N245,setup!$A$8:$H$58,6),VLOOKUP(N245,setup!$A$8:$H$58,7), VLOOKUP(0,setup!$A$8:$H$58,2),VLOOKUP(0,setup!$A$8:$H$58,5),VLOOKUP(N245,setup!$A$8:$H$58,8))</f>
        <v/>
      </c>
    </row>
    <row r="246" spans="1:15" x14ac:dyDescent="0.25">
      <c r="A246" s="2"/>
      <c r="O246" s="7" t="str">
        <f ca="1">getCodigoBackend(N246,A246,VLOOKUP(N246,setup!$A$8:$H$58,2),VLOOKUP(N246,setup!$A$8:$H$58,3),VLOOKUP(N246,setup!$A$8:$H$58,4),VLOOKUP(N246,setup!$A$8:$H$58,5),VLOOKUP(N246,setup!$A$8:$H$58,6),VLOOKUP(N246,setup!$A$8:$H$58,7), VLOOKUP(0,setup!$A$8:$H$58,2),VLOOKUP(0,setup!$A$8:$H$58,5),VLOOKUP(N246,setup!$A$8:$H$58,8))</f>
        <v/>
      </c>
    </row>
    <row r="247" spans="1:15" x14ac:dyDescent="0.25">
      <c r="A247" s="6"/>
      <c r="O247" s="7" t="str">
        <f ca="1">getCodigoBackend(N247,A247,VLOOKUP(N247,setup!$A$8:$H$58,2),VLOOKUP(N247,setup!$A$8:$H$58,3),VLOOKUP(N247,setup!$A$8:$H$58,4),VLOOKUP(N247,setup!$A$8:$H$58,5),VLOOKUP(N247,setup!$A$8:$H$58,6),VLOOKUP(N247,setup!$A$8:$H$58,7), VLOOKUP(0,setup!$A$8:$H$58,2),VLOOKUP(0,setup!$A$8:$H$58,5),VLOOKUP(N247,setup!$A$8:$H$58,8))</f>
        <v/>
      </c>
    </row>
    <row r="248" spans="1:15" x14ac:dyDescent="0.25">
      <c r="A248" s="5"/>
      <c r="O248" s="7" t="str">
        <f ca="1">getCodigoBackend(N248,A248,VLOOKUP(N248,setup!$A$8:$H$58,2),VLOOKUP(N248,setup!$A$8:$H$58,3),VLOOKUP(N248,setup!$A$8:$H$58,4),VLOOKUP(N248,setup!$A$8:$H$58,5),VLOOKUP(N248,setup!$A$8:$H$58,6),VLOOKUP(N248,setup!$A$8:$H$58,7), VLOOKUP(0,setup!$A$8:$H$58,2),VLOOKUP(0,setup!$A$8:$H$58,5),VLOOKUP(N248,setup!$A$8:$H$58,8))</f>
        <v/>
      </c>
    </row>
    <row r="249" spans="1:15" x14ac:dyDescent="0.25">
      <c r="A249" s="6"/>
      <c r="O249" s="7" t="str">
        <f ca="1">getCodigoBackend(N249,A249,VLOOKUP(N249,setup!$A$8:$H$58,2),VLOOKUP(N249,setup!$A$8:$H$58,3),VLOOKUP(N249,setup!$A$8:$H$58,4),VLOOKUP(N249,setup!$A$8:$H$58,5),VLOOKUP(N249,setup!$A$8:$H$58,6),VLOOKUP(N249,setup!$A$8:$H$58,7), VLOOKUP(0,setup!$A$8:$H$58,2),VLOOKUP(0,setup!$A$8:$H$58,5),VLOOKUP(N249,setup!$A$8:$H$58,8))</f>
        <v/>
      </c>
    </row>
    <row r="250" spans="1:15" x14ac:dyDescent="0.25">
      <c r="A250" s="8"/>
      <c r="O250" s="7" t="str">
        <f ca="1">getCodigoBackend(N250,A250,VLOOKUP(N250,setup!$A$8:$H$58,2),VLOOKUP(N250,setup!$A$8:$H$58,3),VLOOKUP(N250,setup!$A$8:$H$58,4),VLOOKUP(N250,setup!$A$8:$H$58,5),VLOOKUP(N250,setup!$A$8:$H$58,6),VLOOKUP(N250,setup!$A$8:$H$58,7), VLOOKUP(0,setup!$A$8:$H$58,2),VLOOKUP(0,setup!$A$8:$H$58,5),VLOOKUP(N250,setup!$A$8:$H$58,8))</f>
        <v/>
      </c>
    </row>
    <row r="251" spans="1:15" x14ac:dyDescent="0.25">
      <c r="A251" s="8"/>
      <c r="O251" s="7" t="str">
        <f ca="1">getCodigoBackend(N251,A251,VLOOKUP(N251,setup!$A$8:$H$58,2),VLOOKUP(N251,setup!$A$8:$H$58,3),VLOOKUP(N251,setup!$A$8:$H$58,4),VLOOKUP(N251,setup!$A$8:$H$58,5),VLOOKUP(N251,setup!$A$8:$H$58,6),VLOOKUP(N251,setup!$A$8:$H$58,7), VLOOKUP(0,setup!$A$8:$H$58,2),VLOOKUP(0,setup!$A$8:$H$58,5),VLOOKUP(N251,setup!$A$8:$H$58,8))</f>
        <v/>
      </c>
    </row>
    <row r="252" spans="1:15" x14ac:dyDescent="0.25">
      <c r="A252" s="8"/>
      <c r="O252" s="7" t="str">
        <f ca="1">getCodigoBackend(N252,A252,VLOOKUP(N252,setup!$A$8:$H$58,2),VLOOKUP(N252,setup!$A$8:$H$58,3),VLOOKUP(N252,setup!$A$8:$H$58,4),VLOOKUP(N252,setup!$A$8:$H$58,5),VLOOKUP(N252,setup!$A$8:$H$58,6),VLOOKUP(N252,setup!$A$8:$H$58,7), VLOOKUP(0,setup!$A$8:$H$58,2),VLOOKUP(0,setup!$A$8:$H$58,5),VLOOKUP(N252,setup!$A$8:$H$58,8))</f>
        <v/>
      </c>
    </row>
    <row r="253" spans="1:15" x14ac:dyDescent="0.25">
      <c r="A253" s="8"/>
      <c r="O253" s="7" t="str">
        <f ca="1">getCodigoBackend(N253,A253,VLOOKUP(N253,setup!$A$8:$H$58,2),VLOOKUP(N253,setup!$A$8:$H$58,3),VLOOKUP(N253,setup!$A$8:$H$58,4),VLOOKUP(N253,setup!$A$8:$H$58,5),VLOOKUP(N253,setup!$A$8:$H$58,6),VLOOKUP(N253,setup!$A$8:$H$58,7), VLOOKUP(0,setup!$A$8:$H$58,2),VLOOKUP(0,setup!$A$8:$H$58,5),VLOOKUP(N253,setup!$A$8:$H$58,8))</f>
        <v/>
      </c>
    </row>
    <row r="254" spans="1:15" x14ac:dyDescent="0.25">
      <c r="A254" s="8"/>
      <c r="O254" s="7" t="str">
        <f ca="1">getCodigoBackend(N254,A254,VLOOKUP(N254,setup!$A$8:$H$58,2),VLOOKUP(N254,setup!$A$8:$H$58,3),VLOOKUP(N254,setup!$A$8:$H$58,4),VLOOKUP(N254,setup!$A$8:$H$58,5),VLOOKUP(N254,setup!$A$8:$H$58,6),VLOOKUP(N254,setup!$A$8:$H$58,7), VLOOKUP(0,setup!$A$8:$H$58,2),VLOOKUP(0,setup!$A$8:$H$58,5),VLOOKUP(N254,setup!$A$8:$H$58,8))</f>
        <v/>
      </c>
    </row>
    <row r="255" spans="1:15" x14ac:dyDescent="0.25">
      <c r="A255" s="8"/>
      <c r="O255" s="7" t="str">
        <f ca="1">getCodigoBackend(N255,A255,VLOOKUP(N255,setup!$A$8:$H$58,2),VLOOKUP(N255,setup!$A$8:$H$58,3),VLOOKUP(N255,setup!$A$8:$H$58,4),VLOOKUP(N255,setup!$A$8:$H$58,5),VLOOKUP(N255,setup!$A$8:$H$58,6),VLOOKUP(N255,setup!$A$8:$H$58,7), VLOOKUP(0,setup!$A$8:$H$58,2),VLOOKUP(0,setup!$A$8:$H$58,5),VLOOKUP(N255,setup!$A$8:$H$58,8))</f>
        <v/>
      </c>
    </row>
    <row r="256" spans="1:15" x14ac:dyDescent="0.25">
      <c r="A256" s="8"/>
      <c r="O256" s="7" t="str">
        <f ca="1">getCodigoBackend(N256,A256,VLOOKUP(N256,setup!$A$8:$H$58,2),VLOOKUP(N256,setup!$A$8:$H$58,3),VLOOKUP(N256,setup!$A$8:$H$58,4),VLOOKUP(N256,setup!$A$8:$H$58,5),VLOOKUP(N256,setup!$A$8:$H$58,6),VLOOKUP(N256,setup!$A$8:$H$58,7), VLOOKUP(0,setup!$A$8:$H$58,2),VLOOKUP(0,setup!$A$8:$H$58,5),VLOOKUP(N256,setup!$A$8:$H$58,8))</f>
        <v/>
      </c>
    </row>
    <row r="257" spans="1:15" x14ac:dyDescent="0.25">
      <c r="A257" s="8"/>
      <c r="O257" s="7" t="str">
        <f ca="1">getCodigoBackend(N257,A257,VLOOKUP(N257,setup!$A$8:$H$58,2),VLOOKUP(N257,setup!$A$8:$H$58,3),VLOOKUP(N257,setup!$A$8:$H$58,4),VLOOKUP(N257,setup!$A$8:$H$58,5),VLOOKUP(N257,setup!$A$8:$H$58,6),VLOOKUP(N257,setup!$A$8:$H$58,7), VLOOKUP(0,setup!$A$8:$H$58,2),VLOOKUP(0,setup!$A$8:$H$58,5),VLOOKUP(N257,setup!$A$8:$H$58,8))</f>
        <v/>
      </c>
    </row>
    <row r="258" spans="1:15" x14ac:dyDescent="0.25">
      <c r="A258" s="8"/>
      <c r="O258" s="7" t="str">
        <f ca="1">getCodigoBackend(N258,A258,VLOOKUP(N258,setup!$A$8:$H$58,2),VLOOKUP(N258,setup!$A$8:$H$58,3),VLOOKUP(N258,setup!$A$8:$H$58,4),VLOOKUP(N258,setup!$A$8:$H$58,5),VLOOKUP(N258,setup!$A$8:$H$58,6),VLOOKUP(N258,setup!$A$8:$H$58,7), VLOOKUP(0,setup!$A$8:$H$58,2),VLOOKUP(0,setup!$A$8:$H$58,5),VLOOKUP(N258,setup!$A$8:$H$58,8))</f>
        <v/>
      </c>
    </row>
    <row r="259" spans="1:15" x14ac:dyDescent="0.25">
      <c r="A259" s="8"/>
      <c r="O259" s="7" t="str">
        <f ca="1">getCodigoBackend(N259,A259,VLOOKUP(N259,setup!$A$8:$H$58,2),VLOOKUP(N259,setup!$A$8:$H$58,3),VLOOKUP(N259,setup!$A$8:$H$58,4),VLOOKUP(N259,setup!$A$8:$H$58,5),VLOOKUP(N259,setup!$A$8:$H$58,6),VLOOKUP(N259,setup!$A$8:$H$58,7), VLOOKUP(0,setup!$A$8:$H$58,2),VLOOKUP(0,setup!$A$8:$H$58,5),VLOOKUP(N259,setup!$A$8:$H$58,8))</f>
        <v/>
      </c>
    </row>
    <row r="260" spans="1:15" x14ac:dyDescent="0.25">
      <c r="A260" s="8"/>
      <c r="O260" s="7" t="str">
        <f ca="1">getCodigoBackend(N260,A260,VLOOKUP(N260,setup!$A$8:$H$58,2),VLOOKUP(N260,setup!$A$8:$H$58,3),VLOOKUP(N260,setup!$A$8:$H$58,4),VLOOKUP(N260,setup!$A$8:$H$58,5),VLOOKUP(N260,setup!$A$8:$H$58,6),VLOOKUP(N260,setup!$A$8:$H$58,7), VLOOKUP(0,setup!$A$8:$H$58,2),VLOOKUP(0,setup!$A$8:$H$58,5),VLOOKUP(N260,setup!$A$8:$H$58,8))</f>
        <v/>
      </c>
    </row>
    <row r="261" spans="1:15" x14ac:dyDescent="0.25">
      <c r="A261" s="8"/>
      <c r="O261" s="7" t="str">
        <f ca="1">getCodigoBackend(N261,A261,VLOOKUP(N261,setup!$A$8:$H$58,2),VLOOKUP(N261,setup!$A$8:$H$58,3),VLOOKUP(N261,setup!$A$8:$H$58,4),VLOOKUP(N261,setup!$A$8:$H$58,5),VLOOKUP(N261,setup!$A$8:$H$58,6),VLOOKUP(N261,setup!$A$8:$H$58,7), VLOOKUP(0,setup!$A$8:$H$58,2),VLOOKUP(0,setup!$A$8:$H$58,5),VLOOKUP(N261,setup!$A$8:$H$58,8))</f>
        <v/>
      </c>
    </row>
    <row r="262" spans="1:15" x14ac:dyDescent="0.25">
      <c r="A262" s="8"/>
      <c r="O262" s="7" t="str">
        <f ca="1">getCodigoBackend(N262,A262,VLOOKUP(N262,setup!$A$8:$H$58,2),VLOOKUP(N262,setup!$A$8:$H$58,3),VLOOKUP(N262,setup!$A$8:$H$58,4),VLOOKUP(N262,setup!$A$8:$H$58,5),VLOOKUP(N262,setup!$A$8:$H$58,6),VLOOKUP(N262,setup!$A$8:$H$58,7), VLOOKUP(0,setup!$A$8:$H$58,2),VLOOKUP(0,setup!$A$8:$H$58,5),VLOOKUP(N262,setup!$A$8:$H$58,8))</f>
        <v/>
      </c>
    </row>
    <row r="263" spans="1:15" x14ac:dyDescent="0.25">
      <c r="A263" s="8"/>
      <c r="O263" s="7" t="str">
        <f ca="1">getCodigoBackend(N263,A263,VLOOKUP(N263,setup!$A$8:$H$58,2),VLOOKUP(N263,setup!$A$8:$H$58,3),VLOOKUP(N263,setup!$A$8:$H$58,4),VLOOKUP(N263,setup!$A$8:$H$58,5),VLOOKUP(N263,setup!$A$8:$H$58,6),VLOOKUP(N263,setup!$A$8:$H$58,7), VLOOKUP(0,setup!$A$8:$H$58,2),VLOOKUP(0,setup!$A$8:$H$58,5),VLOOKUP(N263,setup!$A$8:$H$58,8))</f>
        <v/>
      </c>
    </row>
    <row r="264" spans="1:15" x14ac:dyDescent="0.25">
      <c r="A264" s="8"/>
      <c r="O264" s="7" t="str">
        <f ca="1">getCodigoBackend(N264,A264,VLOOKUP(N264,setup!$A$8:$H$58,2),VLOOKUP(N264,setup!$A$8:$H$58,3),VLOOKUP(N264,setup!$A$8:$H$58,4),VLOOKUP(N264,setup!$A$8:$H$58,5),VLOOKUP(N264,setup!$A$8:$H$58,6),VLOOKUP(N264,setup!$A$8:$H$58,7), VLOOKUP(0,setup!$A$8:$H$58,2),VLOOKUP(0,setup!$A$8:$H$58,5),VLOOKUP(N264,setup!$A$8:$H$58,8))</f>
        <v/>
      </c>
    </row>
    <row r="265" spans="1:15" x14ac:dyDescent="0.25">
      <c r="A265" s="8"/>
      <c r="O265" s="7" t="str">
        <f ca="1">getCodigoBackend(N265,A265,VLOOKUP(N265,setup!$A$8:$H$58,2),VLOOKUP(N265,setup!$A$8:$H$58,3),VLOOKUP(N265,setup!$A$8:$H$58,4),VLOOKUP(N265,setup!$A$8:$H$58,5),VLOOKUP(N265,setup!$A$8:$H$58,6),VLOOKUP(N265,setup!$A$8:$H$58,7), VLOOKUP(0,setup!$A$8:$H$58,2),VLOOKUP(0,setup!$A$8:$H$58,5),VLOOKUP(N265,setup!$A$8:$H$58,8))</f>
        <v/>
      </c>
    </row>
    <row r="266" spans="1:15" x14ac:dyDescent="0.25">
      <c r="A266" s="8"/>
      <c r="O266" s="7" t="str">
        <f ca="1">getCodigoBackend(N266,A266,VLOOKUP(N266,setup!$A$8:$H$58,2),VLOOKUP(N266,setup!$A$8:$H$58,3),VLOOKUP(N266,setup!$A$8:$H$58,4),VLOOKUP(N266,setup!$A$8:$H$58,5),VLOOKUP(N266,setup!$A$8:$H$58,6),VLOOKUP(N266,setup!$A$8:$H$58,7), VLOOKUP(0,setup!$A$8:$H$58,2),VLOOKUP(0,setup!$A$8:$H$58,5),VLOOKUP(N266,setup!$A$8:$H$58,8))</f>
        <v/>
      </c>
    </row>
    <row r="267" spans="1:15" x14ac:dyDescent="0.25">
      <c r="A267" s="8"/>
      <c r="O267" s="7" t="str">
        <f ca="1">getCodigoBackend(N267,A267,VLOOKUP(N267,setup!$A$8:$H$58,2),VLOOKUP(N267,setup!$A$8:$H$58,3),VLOOKUP(N267,setup!$A$8:$H$58,4),VLOOKUP(N267,setup!$A$8:$H$58,5),VLOOKUP(N267,setup!$A$8:$H$58,6),VLOOKUP(N267,setup!$A$8:$H$58,7), VLOOKUP(0,setup!$A$8:$H$58,2),VLOOKUP(0,setup!$A$8:$H$58,5),VLOOKUP(N267,setup!$A$8:$H$58,8))</f>
        <v/>
      </c>
    </row>
    <row r="268" spans="1:15" x14ac:dyDescent="0.25">
      <c r="A268" s="8"/>
      <c r="O268" s="7" t="str">
        <f ca="1">getCodigoBackend(N268,A268,VLOOKUP(N268,setup!$A$8:$H$58,2),VLOOKUP(N268,setup!$A$8:$H$58,3),VLOOKUP(N268,setup!$A$8:$H$58,4),VLOOKUP(N268,setup!$A$8:$H$58,5),VLOOKUP(N268,setup!$A$8:$H$58,6),VLOOKUP(N268,setup!$A$8:$H$58,7), VLOOKUP(0,setup!$A$8:$H$58,2),VLOOKUP(0,setup!$A$8:$H$58,5),VLOOKUP(N268,setup!$A$8:$H$58,8))</f>
        <v/>
      </c>
    </row>
    <row r="269" spans="1:15" x14ac:dyDescent="0.25">
      <c r="A269" s="8"/>
      <c r="O269" s="7" t="str">
        <f ca="1">getCodigoBackend(N269,A269,VLOOKUP(N269,setup!$A$8:$H$58,2),VLOOKUP(N269,setup!$A$8:$H$58,3),VLOOKUP(N269,setup!$A$8:$H$58,4),VLOOKUP(N269,setup!$A$8:$H$58,5),VLOOKUP(N269,setup!$A$8:$H$58,6),VLOOKUP(N269,setup!$A$8:$H$58,7), VLOOKUP(0,setup!$A$8:$H$58,2),VLOOKUP(0,setup!$A$8:$H$58,5),VLOOKUP(N269,setup!$A$8:$H$58,8))</f>
        <v/>
      </c>
    </row>
    <row r="270" spans="1:15" x14ac:dyDescent="0.25">
      <c r="A270" s="8"/>
      <c r="O270" s="7" t="str">
        <f ca="1">getCodigoBackend(N270,A270,VLOOKUP(N270,setup!$A$8:$H$58,2),VLOOKUP(N270,setup!$A$8:$H$58,3),VLOOKUP(N270,setup!$A$8:$H$58,4),VLOOKUP(N270,setup!$A$8:$H$58,5),VLOOKUP(N270,setup!$A$8:$H$58,6),VLOOKUP(N270,setup!$A$8:$H$58,7), VLOOKUP(0,setup!$A$8:$H$58,2),VLOOKUP(0,setup!$A$8:$H$58,5),VLOOKUP(N270,setup!$A$8:$H$58,8))</f>
        <v/>
      </c>
    </row>
    <row r="271" spans="1:15" x14ac:dyDescent="0.25">
      <c r="A271" s="8"/>
      <c r="O271" s="7" t="str">
        <f ca="1">getCodigoBackend(N271,A271,VLOOKUP(N271,setup!$A$8:$H$58,2),VLOOKUP(N271,setup!$A$8:$H$58,3),VLOOKUP(N271,setup!$A$8:$H$58,4),VLOOKUP(N271,setup!$A$8:$H$58,5),VLOOKUP(N271,setup!$A$8:$H$58,6),VLOOKUP(N271,setup!$A$8:$H$58,7), VLOOKUP(0,setup!$A$8:$H$58,2),VLOOKUP(0,setup!$A$8:$H$58,5),VLOOKUP(N271,setup!$A$8:$H$58,8))</f>
        <v/>
      </c>
    </row>
    <row r="272" spans="1:15" x14ac:dyDescent="0.25">
      <c r="A272" s="8"/>
      <c r="O272" s="7" t="str">
        <f ca="1">getCodigoBackend(N272,A272,VLOOKUP(N272,setup!$A$8:$H$58,2),VLOOKUP(N272,setup!$A$8:$H$58,3),VLOOKUP(N272,setup!$A$8:$H$58,4),VLOOKUP(N272,setup!$A$8:$H$58,5),VLOOKUP(N272,setup!$A$8:$H$58,6),VLOOKUP(N272,setup!$A$8:$H$58,7), VLOOKUP(0,setup!$A$8:$H$58,2),VLOOKUP(0,setup!$A$8:$H$58,5),VLOOKUP(N272,setup!$A$8:$H$58,8))</f>
        <v/>
      </c>
    </row>
    <row r="273" spans="1:15" x14ac:dyDescent="0.25">
      <c r="A273" s="8"/>
      <c r="O273" s="7" t="str">
        <f ca="1">getCodigoBackend(N273,A273,VLOOKUP(N273,setup!$A$8:$H$58,2),VLOOKUP(N273,setup!$A$8:$H$58,3),VLOOKUP(N273,setup!$A$8:$H$58,4),VLOOKUP(N273,setup!$A$8:$H$58,5),VLOOKUP(N273,setup!$A$8:$H$58,6),VLOOKUP(N273,setup!$A$8:$H$58,7), VLOOKUP(0,setup!$A$8:$H$58,2),VLOOKUP(0,setup!$A$8:$H$58,5),VLOOKUP(N273,setup!$A$8:$H$58,8))</f>
        <v/>
      </c>
    </row>
    <row r="274" spans="1:15" x14ac:dyDescent="0.25">
      <c r="A274" s="8"/>
      <c r="O274" s="7" t="str">
        <f ca="1">getCodigoBackend(N274,A274,VLOOKUP(N274,setup!$A$8:$H$58,2),VLOOKUP(N274,setup!$A$8:$H$58,3),VLOOKUP(N274,setup!$A$8:$H$58,4),VLOOKUP(N274,setup!$A$8:$H$58,5),VLOOKUP(N274,setup!$A$8:$H$58,6),VLOOKUP(N274,setup!$A$8:$H$58,7), VLOOKUP(0,setup!$A$8:$H$58,2),VLOOKUP(0,setup!$A$8:$H$58,5),VLOOKUP(N274,setup!$A$8:$H$58,8))</f>
        <v/>
      </c>
    </row>
    <row r="275" spans="1:15" x14ac:dyDescent="0.25">
      <c r="A275" s="8"/>
      <c r="O275" s="7" t="str">
        <f ca="1">getCodigoBackend(N275,A275,VLOOKUP(N275,setup!$A$8:$H$58,2),VLOOKUP(N275,setup!$A$8:$H$58,3),VLOOKUP(N275,setup!$A$8:$H$58,4),VLOOKUP(N275,setup!$A$8:$H$58,5),VLOOKUP(N275,setup!$A$8:$H$58,6),VLOOKUP(N275,setup!$A$8:$H$58,7), VLOOKUP(0,setup!$A$8:$H$58,2),VLOOKUP(0,setup!$A$8:$H$58,5),VLOOKUP(N275,setup!$A$8:$H$58,8))</f>
        <v/>
      </c>
    </row>
    <row r="276" spans="1:15" x14ac:dyDescent="0.25">
      <c r="A276" s="8"/>
      <c r="O276" s="7" t="str">
        <f ca="1">getCodigoBackend(N276,A276,VLOOKUP(N276,setup!$A$8:$H$58,2),VLOOKUP(N276,setup!$A$8:$H$58,3),VLOOKUP(N276,setup!$A$8:$H$58,4),VLOOKUP(N276,setup!$A$8:$H$58,5),VLOOKUP(N276,setup!$A$8:$H$58,6),VLOOKUP(N276,setup!$A$8:$H$58,7), VLOOKUP(0,setup!$A$8:$H$58,2),VLOOKUP(0,setup!$A$8:$H$58,5),VLOOKUP(N276,setup!$A$8:$H$58,8))</f>
        <v/>
      </c>
    </row>
    <row r="277" spans="1:15" x14ac:dyDescent="0.25">
      <c r="A277" s="8"/>
      <c r="O277" s="7" t="str">
        <f ca="1">getCodigoBackend(N277,A277,VLOOKUP(N277,setup!$A$8:$H$58,2),VLOOKUP(N277,setup!$A$8:$H$58,3),VLOOKUP(N277,setup!$A$8:$H$58,4),VLOOKUP(N277,setup!$A$8:$H$58,5),VLOOKUP(N277,setup!$A$8:$H$58,6),VLOOKUP(N277,setup!$A$8:$H$58,7), VLOOKUP(0,setup!$A$8:$H$58,2),VLOOKUP(0,setup!$A$8:$H$58,5),VLOOKUP(N277,setup!$A$8:$H$58,8))</f>
        <v/>
      </c>
    </row>
    <row r="278" spans="1:15" x14ac:dyDescent="0.25">
      <c r="A278" s="8"/>
      <c r="O278" s="7" t="str">
        <f ca="1">getCodigoBackend(N278,A278,VLOOKUP(N278,setup!$A$8:$H$58,2),VLOOKUP(N278,setup!$A$8:$H$58,3),VLOOKUP(N278,setup!$A$8:$H$58,4),VLOOKUP(N278,setup!$A$8:$H$58,5),VLOOKUP(N278,setup!$A$8:$H$58,6),VLOOKUP(N278,setup!$A$8:$H$58,7), VLOOKUP(0,setup!$A$8:$H$58,2),VLOOKUP(0,setup!$A$8:$H$58,5),VLOOKUP(N278,setup!$A$8:$H$58,8))</f>
        <v/>
      </c>
    </row>
    <row r="279" spans="1:15" x14ac:dyDescent="0.25">
      <c r="A279" s="8"/>
      <c r="O279" s="7" t="str">
        <f ca="1">getCodigoBackend(N279,A279,VLOOKUP(N279,setup!$A$8:$H$58,2),VLOOKUP(N279,setup!$A$8:$H$58,3),VLOOKUP(N279,setup!$A$8:$H$58,4),VLOOKUP(N279,setup!$A$8:$H$58,5),VLOOKUP(N279,setup!$A$8:$H$58,6),VLOOKUP(N279,setup!$A$8:$H$58,7), VLOOKUP(0,setup!$A$8:$H$58,2),VLOOKUP(0,setup!$A$8:$H$58,5),VLOOKUP(N279,setup!$A$8:$H$58,8))</f>
        <v/>
      </c>
    </row>
    <row r="280" spans="1:15" x14ac:dyDescent="0.25">
      <c r="A280" s="8"/>
      <c r="O280" s="7" t="str">
        <f ca="1">getCodigoBackend(N280,A280,VLOOKUP(N280,setup!$A$8:$H$58,2),VLOOKUP(N280,setup!$A$8:$H$58,3),VLOOKUP(N280,setup!$A$8:$H$58,4),VLOOKUP(N280,setup!$A$8:$H$58,5),VLOOKUP(N280,setup!$A$8:$H$58,6),VLOOKUP(N280,setup!$A$8:$H$58,7), VLOOKUP(0,setup!$A$8:$H$58,2),VLOOKUP(0,setup!$A$8:$H$58,5),VLOOKUP(N280,setup!$A$8:$H$58,8))</f>
        <v/>
      </c>
    </row>
    <row r="281" spans="1:15" x14ac:dyDescent="0.25">
      <c r="A281" s="8"/>
      <c r="O281" s="7" t="str">
        <f ca="1">getCodigoBackend(N281,A281,VLOOKUP(N281,setup!$A$8:$H$58,2),VLOOKUP(N281,setup!$A$8:$H$58,3),VLOOKUP(N281,setup!$A$8:$H$58,4),VLOOKUP(N281,setup!$A$8:$H$58,5),VLOOKUP(N281,setup!$A$8:$H$58,6),VLOOKUP(N281,setup!$A$8:$H$58,7), VLOOKUP(0,setup!$A$8:$H$58,2),VLOOKUP(0,setup!$A$8:$H$58,5),VLOOKUP(N281,setup!$A$8:$H$58,8))</f>
        <v/>
      </c>
    </row>
    <row r="282" spans="1:15" x14ac:dyDescent="0.25">
      <c r="A282" s="8"/>
      <c r="O282" s="7" t="str">
        <f ca="1">getCodigoBackend(N282,A282,VLOOKUP(N282,setup!$A$8:$H$58,2),VLOOKUP(N282,setup!$A$8:$H$58,3),VLOOKUP(N282,setup!$A$8:$H$58,4),VLOOKUP(N282,setup!$A$8:$H$58,5),VLOOKUP(N282,setup!$A$8:$H$58,6),VLOOKUP(N282,setup!$A$8:$H$58,7), VLOOKUP(0,setup!$A$8:$H$58,2),VLOOKUP(0,setup!$A$8:$H$58,5),VLOOKUP(N282,setup!$A$8:$H$58,8))</f>
        <v/>
      </c>
    </row>
    <row r="283" spans="1:15" x14ac:dyDescent="0.25">
      <c r="A283" s="8"/>
      <c r="O283" s="7" t="str">
        <f ca="1">getCodigoBackend(N283,A283,VLOOKUP(N283,setup!$A$8:$H$58,2),VLOOKUP(N283,setup!$A$8:$H$58,3),VLOOKUP(N283,setup!$A$8:$H$58,4),VLOOKUP(N283,setup!$A$8:$H$58,5),VLOOKUP(N283,setup!$A$8:$H$58,6),VLOOKUP(N283,setup!$A$8:$H$58,7), VLOOKUP(0,setup!$A$8:$H$58,2),VLOOKUP(0,setup!$A$8:$H$58,5),VLOOKUP(N283,setup!$A$8:$H$58,8))</f>
        <v/>
      </c>
    </row>
    <row r="284" spans="1:15" x14ac:dyDescent="0.25">
      <c r="A284" s="8"/>
      <c r="O284" s="7" t="str">
        <f ca="1">getCodigoBackend(N284,A284,VLOOKUP(N284,setup!$A$8:$H$58,2),VLOOKUP(N284,setup!$A$8:$H$58,3),VLOOKUP(N284,setup!$A$8:$H$58,4),VLOOKUP(N284,setup!$A$8:$H$58,5),VLOOKUP(N284,setup!$A$8:$H$58,6),VLOOKUP(N284,setup!$A$8:$H$58,7), VLOOKUP(0,setup!$A$8:$H$58,2),VLOOKUP(0,setup!$A$8:$H$58,5),VLOOKUP(N284,setup!$A$8:$H$58,8))</f>
        <v/>
      </c>
    </row>
    <row r="285" spans="1:15" x14ac:dyDescent="0.25">
      <c r="A285" s="8"/>
      <c r="O285" s="7" t="str">
        <f ca="1">getCodigoBackend(N285,A285,VLOOKUP(N285,setup!$A$8:$H$58,2),VLOOKUP(N285,setup!$A$8:$H$58,3),VLOOKUP(N285,setup!$A$8:$H$58,4),VLOOKUP(N285,setup!$A$8:$H$58,5),VLOOKUP(N285,setup!$A$8:$H$58,6),VLOOKUP(N285,setup!$A$8:$H$58,7), VLOOKUP(0,setup!$A$8:$H$58,2),VLOOKUP(0,setup!$A$8:$H$58,5),VLOOKUP(N285,setup!$A$8:$H$58,8))</f>
        <v/>
      </c>
    </row>
    <row r="286" spans="1:15" x14ac:dyDescent="0.25">
      <c r="A286" s="8"/>
      <c r="O286" s="7" t="str">
        <f ca="1">getCodigoBackend(N286,A286,VLOOKUP(N286,setup!$A$8:$H$58,2),VLOOKUP(N286,setup!$A$8:$H$58,3),VLOOKUP(N286,setup!$A$8:$H$58,4),VLOOKUP(N286,setup!$A$8:$H$58,5),VLOOKUP(N286,setup!$A$8:$H$58,6),VLOOKUP(N286,setup!$A$8:$H$58,7), VLOOKUP(0,setup!$A$8:$H$58,2),VLOOKUP(0,setup!$A$8:$H$58,5),VLOOKUP(N286,setup!$A$8:$H$58,8))</f>
        <v/>
      </c>
    </row>
    <row r="287" spans="1:15" x14ac:dyDescent="0.25">
      <c r="A287" s="8"/>
      <c r="O287" s="7" t="str">
        <f ca="1">getCodigoBackend(N287,A287,VLOOKUP(N287,setup!$A$8:$H$58,2),VLOOKUP(N287,setup!$A$8:$H$58,3),VLOOKUP(N287,setup!$A$8:$H$58,4),VLOOKUP(N287,setup!$A$8:$H$58,5),VLOOKUP(N287,setup!$A$8:$H$58,6),VLOOKUP(N287,setup!$A$8:$H$58,7), VLOOKUP(0,setup!$A$8:$H$58,2),VLOOKUP(0,setup!$A$8:$H$58,5),VLOOKUP(N287,setup!$A$8:$H$58,8))</f>
        <v/>
      </c>
    </row>
    <row r="288" spans="1:15" x14ac:dyDescent="0.25">
      <c r="A288" s="8"/>
      <c r="O288" s="7" t="str">
        <f ca="1">getCodigoBackend(N288,A288,VLOOKUP(N288,setup!$A$8:$H$58,2),VLOOKUP(N288,setup!$A$8:$H$58,3),VLOOKUP(N288,setup!$A$8:$H$58,4),VLOOKUP(N288,setup!$A$8:$H$58,5),VLOOKUP(N288,setup!$A$8:$H$58,6),VLOOKUP(N288,setup!$A$8:$H$58,7), VLOOKUP(0,setup!$A$8:$H$58,2),VLOOKUP(0,setup!$A$8:$H$58,5),VLOOKUP(N288,setup!$A$8:$H$58,8))</f>
        <v/>
      </c>
    </row>
    <row r="289" spans="1:15" x14ac:dyDescent="0.25">
      <c r="A289" s="8"/>
      <c r="O289" s="7" t="str">
        <f ca="1">getCodigoBackend(N289,A289,VLOOKUP(N289,setup!$A$8:$H$58,2),VLOOKUP(N289,setup!$A$8:$H$58,3),VLOOKUP(N289,setup!$A$8:$H$58,4),VLOOKUP(N289,setup!$A$8:$H$58,5),VLOOKUP(N289,setup!$A$8:$H$58,6),VLOOKUP(N289,setup!$A$8:$H$58,7), VLOOKUP(0,setup!$A$8:$H$58,2),VLOOKUP(0,setup!$A$8:$H$58,5),VLOOKUP(N289,setup!$A$8:$H$58,8))</f>
        <v/>
      </c>
    </row>
    <row r="290" spans="1:15" x14ac:dyDescent="0.25">
      <c r="A290" s="8"/>
      <c r="O290" s="7" t="str">
        <f ca="1">getCodigoBackend(N290,A290,VLOOKUP(N290,setup!$A$8:$H$58,2),VLOOKUP(N290,setup!$A$8:$H$58,3),VLOOKUP(N290,setup!$A$8:$H$58,4),VLOOKUP(N290,setup!$A$8:$H$58,5),VLOOKUP(N290,setup!$A$8:$H$58,6),VLOOKUP(N290,setup!$A$8:$H$58,7), VLOOKUP(0,setup!$A$8:$H$58,2),VLOOKUP(0,setup!$A$8:$H$58,5),VLOOKUP(N290,setup!$A$8:$H$58,8))</f>
        <v/>
      </c>
    </row>
    <row r="291" spans="1:15" x14ac:dyDescent="0.25">
      <c r="A291" s="8"/>
      <c r="O291" s="7" t="str">
        <f ca="1">getCodigoBackend(N291,A291,VLOOKUP(N291,setup!$A$8:$H$58,2),VLOOKUP(N291,setup!$A$8:$H$58,3),VLOOKUP(N291,setup!$A$8:$H$58,4),VLOOKUP(N291,setup!$A$8:$H$58,5),VLOOKUP(N291,setup!$A$8:$H$58,6),VLOOKUP(N291,setup!$A$8:$H$58,7), VLOOKUP(0,setup!$A$8:$H$58,2),VLOOKUP(0,setup!$A$8:$H$58,5),VLOOKUP(N291,setup!$A$8:$H$58,8))</f>
        <v/>
      </c>
    </row>
    <row r="292" spans="1:15" x14ac:dyDescent="0.25">
      <c r="A292" s="8"/>
      <c r="O292" s="7" t="str">
        <f ca="1">getCodigoBackend(N292,A292,VLOOKUP(N292,setup!$A$8:$H$58,2),VLOOKUP(N292,setup!$A$8:$H$58,3),VLOOKUP(N292,setup!$A$8:$H$58,4),VLOOKUP(N292,setup!$A$8:$H$58,5),VLOOKUP(N292,setup!$A$8:$H$58,6),VLOOKUP(N292,setup!$A$8:$H$58,7), VLOOKUP(0,setup!$A$8:$H$58,2),VLOOKUP(0,setup!$A$8:$H$58,5),VLOOKUP(N292,setup!$A$8:$H$58,8))</f>
        <v/>
      </c>
    </row>
    <row r="293" spans="1:15" x14ac:dyDescent="0.25">
      <c r="A293" s="8"/>
      <c r="O293" s="7" t="str">
        <f ca="1">getCodigoBackend(N293,A293,VLOOKUP(N293,setup!$A$8:$H$58,2),VLOOKUP(N293,setup!$A$8:$H$58,3),VLOOKUP(N293,setup!$A$8:$H$58,4),VLOOKUP(N293,setup!$A$8:$H$58,5),VLOOKUP(N293,setup!$A$8:$H$58,6),VLOOKUP(N293,setup!$A$8:$H$58,7), VLOOKUP(0,setup!$A$8:$H$58,2),VLOOKUP(0,setup!$A$8:$H$58,5),VLOOKUP(N293,setup!$A$8:$H$58,8))</f>
        <v/>
      </c>
    </row>
    <row r="294" spans="1:15" x14ac:dyDescent="0.25">
      <c r="A294" s="8"/>
      <c r="O294" s="7" t="str">
        <f ca="1">getCodigoBackend(N294,A294,VLOOKUP(N294,setup!$A$8:$H$58,2),VLOOKUP(N294,setup!$A$8:$H$58,3),VLOOKUP(N294,setup!$A$8:$H$58,4),VLOOKUP(N294,setup!$A$8:$H$58,5),VLOOKUP(N294,setup!$A$8:$H$58,6),VLOOKUP(N294,setup!$A$8:$H$58,7), VLOOKUP(0,setup!$A$8:$H$58,2),VLOOKUP(0,setup!$A$8:$H$58,5),VLOOKUP(N294,setup!$A$8:$H$58,8))</f>
        <v/>
      </c>
    </row>
    <row r="295" spans="1:15" x14ac:dyDescent="0.25">
      <c r="A295" s="8"/>
      <c r="O295" s="7" t="str">
        <f ca="1">getCodigoBackend(N295,A295,VLOOKUP(N295,setup!$A$8:$H$58,2),VLOOKUP(N295,setup!$A$8:$H$58,3),VLOOKUP(N295,setup!$A$8:$H$58,4),VLOOKUP(N295,setup!$A$8:$H$58,5),VLOOKUP(N295,setup!$A$8:$H$58,6),VLOOKUP(N295,setup!$A$8:$H$58,7), VLOOKUP(0,setup!$A$8:$H$58,2),VLOOKUP(0,setup!$A$8:$H$58,5),VLOOKUP(N295,setup!$A$8:$H$58,8))</f>
        <v/>
      </c>
    </row>
    <row r="296" spans="1:15" x14ac:dyDescent="0.25">
      <c r="A296" s="8"/>
      <c r="O296" s="7" t="str">
        <f ca="1">getCodigoBackend(N296,A296,VLOOKUP(N296,setup!$A$8:$H$58,2),VLOOKUP(N296,setup!$A$8:$H$58,3),VLOOKUP(N296,setup!$A$8:$H$58,4),VLOOKUP(N296,setup!$A$8:$H$58,5),VLOOKUP(N296,setup!$A$8:$H$58,6),VLOOKUP(N296,setup!$A$8:$H$58,7), VLOOKUP(0,setup!$A$8:$H$58,2),VLOOKUP(0,setup!$A$8:$H$58,5),VLOOKUP(N296,setup!$A$8:$H$58,8))</f>
        <v/>
      </c>
    </row>
    <row r="297" spans="1:15" x14ac:dyDescent="0.25">
      <c r="A297" s="8"/>
      <c r="O297" s="7" t="str">
        <f ca="1">getCodigoBackend(N297,A297,VLOOKUP(N297,setup!$A$8:$H$58,2),VLOOKUP(N297,setup!$A$8:$H$58,3),VLOOKUP(N297,setup!$A$8:$H$58,4),VLOOKUP(N297,setup!$A$8:$H$58,5),VLOOKUP(N297,setup!$A$8:$H$58,6),VLOOKUP(N297,setup!$A$8:$H$58,7), VLOOKUP(0,setup!$A$8:$H$58,2),VLOOKUP(0,setup!$A$8:$H$58,5),VLOOKUP(N297,setup!$A$8:$H$58,8))</f>
        <v/>
      </c>
    </row>
    <row r="298" spans="1:15" x14ac:dyDescent="0.25">
      <c r="A298" s="8"/>
      <c r="O298" s="7" t="str">
        <f ca="1">getCodigoBackend(N298,A298,VLOOKUP(N298,setup!$A$8:$H$58,2),VLOOKUP(N298,setup!$A$8:$H$58,3),VLOOKUP(N298,setup!$A$8:$H$58,4),VLOOKUP(N298,setup!$A$8:$H$58,5),VLOOKUP(N298,setup!$A$8:$H$58,6),VLOOKUP(N298,setup!$A$8:$H$58,7), VLOOKUP(0,setup!$A$8:$H$58,2),VLOOKUP(0,setup!$A$8:$H$58,5),VLOOKUP(N298,setup!$A$8:$H$58,8))</f>
        <v/>
      </c>
    </row>
    <row r="299" spans="1:15" x14ac:dyDescent="0.25">
      <c r="A299" s="8"/>
      <c r="O299" s="7" t="str">
        <f ca="1">getCodigoBackend(N299,A299,VLOOKUP(N299,setup!$A$8:$H$58,2),VLOOKUP(N299,setup!$A$8:$H$58,3),VLOOKUP(N299,setup!$A$8:$H$58,4),VLOOKUP(N299,setup!$A$8:$H$58,5),VLOOKUP(N299,setup!$A$8:$H$58,6),VLOOKUP(N299,setup!$A$8:$H$58,7), VLOOKUP(0,setup!$A$8:$H$58,2),VLOOKUP(0,setup!$A$8:$H$58,5),VLOOKUP(N299,setup!$A$8:$H$58,8))</f>
        <v/>
      </c>
    </row>
    <row r="300" spans="1:15" x14ac:dyDescent="0.25">
      <c r="A300" s="8"/>
      <c r="O300" s="7" t="str">
        <f ca="1">getCodigoBackend(N300,A300,VLOOKUP(N300,setup!$A$8:$H$58,2),VLOOKUP(N300,setup!$A$8:$H$58,3),VLOOKUP(N300,setup!$A$8:$H$58,4),VLOOKUP(N300,setup!$A$8:$H$58,5),VLOOKUP(N300,setup!$A$8:$H$58,6),VLOOKUP(N300,setup!$A$8:$H$58,7), VLOOKUP(0,setup!$A$8:$H$58,2),VLOOKUP(0,setup!$A$8:$H$58,5),VLOOKUP(N300,setup!$A$8:$H$58,8))</f>
        <v/>
      </c>
    </row>
    <row r="301" spans="1:15" x14ac:dyDescent="0.25">
      <c r="A301" s="1"/>
      <c r="O301" s="7" t="str">
        <f ca="1">getCodigoBackend(N301,A301,VLOOKUP(N301,setup!$A$8:$H$58,2),VLOOKUP(N301,setup!$A$8:$H$58,3),VLOOKUP(N301,setup!$A$8:$H$58,4),VLOOKUP(N301,setup!$A$8:$H$58,5),VLOOKUP(N301,setup!$A$8:$H$58,6),VLOOKUP(N301,setup!$A$8:$H$58,7), VLOOKUP(0,setup!$A$8:$H$58,2),VLOOKUP(0,setup!$A$8:$H$58,5),VLOOKUP(N301,setup!$A$8:$H$58,8))</f>
        <v/>
      </c>
    </row>
    <row r="302" spans="1:15" x14ac:dyDescent="0.25">
      <c r="A302" s="1"/>
      <c r="O302" s="7" t="str">
        <f ca="1">getCodigoBackend(N302,A302,VLOOKUP(N302,setup!$A$8:$H$58,2),VLOOKUP(N302,setup!$A$8:$H$58,3),VLOOKUP(N302,setup!$A$8:$H$58,4),VLOOKUP(N302,setup!$A$8:$H$58,5),VLOOKUP(N302,setup!$A$8:$H$58,6),VLOOKUP(N302,setup!$A$8:$H$58,7), VLOOKUP(0,setup!$A$8:$H$58,2),VLOOKUP(0,setup!$A$8:$H$58,5),VLOOKUP(N302,setup!$A$8:$H$58,8))</f>
        <v/>
      </c>
    </row>
    <row r="303" spans="1:15" x14ac:dyDescent="0.25">
      <c r="A303" s="1"/>
      <c r="O303" s="7" t="str">
        <f ca="1">getCodigoBackend(N303,A303,VLOOKUP(N303,setup!$A$8:$H$58,2),VLOOKUP(N303,setup!$A$8:$H$58,3),VLOOKUP(N303,setup!$A$8:$H$58,4),VLOOKUP(N303,setup!$A$8:$H$58,5),VLOOKUP(N303,setup!$A$8:$H$58,6),VLOOKUP(N303,setup!$A$8:$H$58,7), VLOOKUP(0,setup!$A$8:$H$58,2),VLOOKUP(0,setup!$A$8:$H$58,5),VLOOKUP(N303,setup!$A$8:$H$58,8))</f>
        <v/>
      </c>
    </row>
    <row r="304" spans="1:15" x14ac:dyDescent="0.25">
      <c r="A304" s="1"/>
      <c r="O304" s="7" t="str">
        <f ca="1">getCodigoBackend(N304,A304,VLOOKUP(N304,setup!$A$8:$H$58,2),VLOOKUP(N304,setup!$A$8:$H$58,3),VLOOKUP(N304,setup!$A$8:$H$58,4),VLOOKUP(N304,setup!$A$8:$H$58,5),VLOOKUP(N304,setup!$A$8:$H$58,6),VLOOKUP(N304,setup!$A$8:$H$58,7), VLOOKUP(0,setup!$A$8:$H$58,2),VLOOKUP(0,setup!$A$8:$H$58,5),VLOOKUP(N304,setup!$A$8:$H$58,8))</f>
        <v/>
      </c>
    </row>
    <row r="305" spans="1:15" x14ac:dyDescent="0.25">
      <c r="A305" s="6"/>
      <c r="O305" s="7" t="str">
        <f ca="1">getCodigoBackend(N305,A305,VLOOKUP(N305,setup!$A$8:$H$58,2),VLOOKUP(N305,setup!$A$8:$H$58,3),VLOOKUP(N305,setup!$A$8:$H$58,4),VLOOKUP(N305,setup!$A$8:$H$58,5),VLOOKUP(N305,setup!$A$8:$H$58,6),VLOOKUP(N305,setup!$A$8:$H$58,7), VLOOKUP(0,setup!$A$8:$H$58,2),VLOOKUP(0,setup!$A$8:$H$58,5),VLOOKUP(N305,setup!$A$8:$H$58,8))</f>
        <v/>
      </c>
    </row>
    <row r="306" spans="1:15" x14ac:dyDescent="0.25">
      <c r="A306" s="6"/>
      <c r="O306" s="7" t="str">
        <f ca="1">getCodigoBackend(N306,A306,VLOOKUP(N306,setup!$A$8:$H$58,2),VLOOKUP(N306,setup!$A$8:$H$58,3),VLOOKUP(N306,setup!$A$8:$H$58,4),VLOOKUP(N306,setup!$A$8:$H$58,5),VLOOKUP(N306,setup!$A$8:$H$58,6),VLOOKUP(N306,setup!$A$8:$H$58,7), VLOOKUP(0,setup!$A$8:$H$58,2),VLOOKUP(0,setup!$A$8:$H$58,5),VLOOKUP(N306,setup!$A$8:$H$58,8))</f>
        <v/>
      </c>
    </row>
    <row r="307" spans="1:15" x14ac:dyDescent="0.25">
      <c r="A307" s="3"/>
      <c r="O307" s="7" t="str">
        <f ca="1">getCodigoBackend(N307,A307,VLOOKUP(N307,setup!$A$8:$H$58,2),VLOOKUP(N307,setup!$A$8:$H$58,3),VLOOKUP(N307,setup!$A$8:$H$58,4),VLOOKUP(N307,setup!$A$8:$H$58,5),VLOOKUP(N307,setup!$A$8:$H$58,6),VLOOKUP(N307,setup!$A$8:$H$58,7), VLOOKUP(0,setup!$A$8:$H$58,2),VLOOKUP(0,setup!$A$8:$H$58,5),VLOOKUP(N307,setup!$A$8:$H$58,8))</f>
        <v/>
      </c>
    </row>
    <row r="308" spans="1:15" x14ac:dyDescent="0.25">
      <c r="A308" s="3"/>
      <c r="O308" s="7" t="str">
        <f ca="1">getCodigoBackend(N308,A308,VLOOKUP(N308,setup!$A$8:$H$58,2),VLOOKUP(N308,setup!$A$8:$H$58,3),VLOOKUP(N308,setup!$A$8:$H$58,4),VLOOKUP(N308,setup!$A$8:$H$58,5),VLOOKUP(N308,setup!$A$8:$H$58,6),VLOOKUP(N308,setup!$A$8:$H$58,7), VLOOKUP(0,setup!$A$8:$H$58,2),VLOOKUP(0,setup!$A$8:$H$58,5),VLOOKUP(N308,setup!$A$8:$H$58,8))</f>
        <v/>
      </c>
    </row>
    <row r="309" spans="1:15" x14ac:dyDescent="0.25">
      <c r="A309" s="6"/>
      <c r="O309" s="7" t="str">
        <f ca="1">getCodigoBackend(N309,A309,VLOOKUP(N309,setup!$A$8:$H$58,2),VLOOKUP(N309,setup!$A$8:$H$58,3),VLOOKUP(N309,setup!$A$8:$H$58,4),VLOOKUP(N309,setup!$A$8:$H$58,5),VLOOKUP(N309,setup!$A$8:$H$58,6),VLOOKUP(N309,setup!$A$8:$H$58,7), VLOOKUP(0,setup!$A$8:$H$58,2),VLOOKUP(0,setup!$A$8:$H$58,5),VLOOKUP(N309,setup!$A$8:$H$58,8))</f>
        <v/>
      </c>
    </row>
    <row r="310" spans="1:15" x14ac:dyDescent="0.25">
      <c r="A310" s="2"/>
      <c r="O310" s="7" t="str">
        <f ca="1">getCodigoBackend(N310,A310,VLOOKUP(N310,setup!$A$8:$H$58,2),VLOOKUP(N310,setup!$A$8:$H$58,3),VLOOKUP(N310,setup!$A$8:$H$58,4),VLOOKUP(N310,setup!$A$8:$H$58,5),VLOOKUP(N310,setup!$A$8:$H$58,6),VLOOKUP(N310,setup!$A$8:$H$58,7), VLOOKUP(0,setup!$A$8:$H$58,2),VLOOKUP(0,setup!$A$8:$H$58,5),VLOOKUP(N310,setup!$A$8:$H$58,8))</f>
        <v/>
      </c>
    </row>
    <row r="311" spans="1:15" x14ac:dyDescent="0.25">
      <c r="O311" t="str">
        <f>SUBSTITUTE(SUBSTITUTE(SUBSTITUTE(SUBSTITUTE(A311,"${dto}",setup!$C$3),"${pk}",setup!$E$8),"${tabela}",setup!$C$2),CONCATENATE("${",N311,"}"),VLOOKUP(N311,setup!$A$8:$E$58,5))</f>
        <v/>
      </c>
    </row>
    <row r="312" spans="1:15" x14ac:dyDescent="0.25">
      <c r="O312" t="str">
        <f>SUBSTITUTE(SUBSTITUTE(SUBSTITUTE(SUBSTITUTE(A312,"${dto}",setup!$C$3),"${pk}",setup!$E$8),"${tabela}",setup!$C$2),CONCATENATE("${",N312,"}"),VLOOKUP(N312,setup!$A$8:$E$58,5))</f>
        <v/>
      </c>
    </row>
    <row r="313" spans="1:15" x14ac:dyDescent="0.25">
      <c r="O313" t="str">
        <f>SUBSTITUTE(SUBSTITUTE(SUBSTITUTE(SUBSTITUTE(A313,"${dto}",setup!$C$3),"${pk}",setup!$E$8),"${tabela}",setup!$C$2),CONCATENATE("${",N313,"}"),VLOOKUP(N313,setup!$A$8:$E$58,5))</f>
        <v/>
      </c>
    </row>
    <row r="314" spans="1:15" x14ac:dyDescent="0.25">
      <c r="O314" t="str">
        <f>SUBSTITUTE(SUBSTITUTE(SUBSTITUTE(SUBSTITUTE(A314,"${dto}",setup!$C$3),"${pk}",setup!$E$8),"${tabela}",setup!$C$2),CONCATENATE("${",N314,"}"),VLOOKUP(N314,setup!$A$8:$E$58,5))</f>
        <v/>
      </c>
    </row>
    <row r="315" spans="1:15" x14ac:dyDescent="0.25">
      <c r="O315" t="str">
        <f>SUBSTITUTE(SUBSTITUTE(SUBSTITUTE(SUBSTITUTE(A315,"${dto}",setup!$C$3),"${pk}",setup!$E$8),"${tabela}",setup!$C$2),CONCATENATE("${",N315,"}"),VLOOKUP(N315,setup!$A$8:$E$58,5))</f>
        <v/>
      </c>
    </row>
    <row r="316" spans="1:15" x14ac:dyDescent="0.25">
      <c r="O316" t="str">
        <f>SUBSTITUTE(SUBSTITUTE(SUBSTITUTE(SUBSTITUTE(A316,"${dto}",setup!$C$3),"${pk}",setup!$E$8),"${tabela}",setup!$C$2),CONCATENATE("${",N316,"}"),VLOOKUP(N316,setup!$A$8:$E$58,5))</f>
        <v/>
      </c>
    </row>
    <row r="317" spans="1:15" x14ac:dyDescent="0.25">
      <c r="O317" t="str">
        <f>SUBSTITUTE(SUBSTITUTE(SUBSTITUTE(SUBSTITUTE(A317,"${dto}",setup!$C$3),"${pk}",setup!$E$8),"${tabela}",setup!$C$2),CONCATENATE("${",N317,"}"),VLOOKUP(N317,setup!$A$8:$E$58,5))</f>
        <v/>
      </c>
    </row>
    <row r="318" spans="1:15" x14ac:dyDescent="0.25">
      <c r="O318" t="str">
        <f>SUBSTITUTE(SUBSTITUTE(SUBSTITUTE(SUBSTITUTE(A318,"${dto}",setup!$C$3),"${pk}",setup!$E$8),"${tabela}",setup!$C$2),CONCATENATE("${",N318,"}"),VLOOKUP(N318,setup!$A$8:$E$58,5))</f>
        <v/>
      </c>
    </row>
    <row r="319" spans="1:15" x14ac:dyDescent="0.25">
      <c r="O319" t="str">
        <f>SUBSTITUTE(SUBSTITUTE(SUBSTITUTE(SUBSTITUTE(A319,"${dto}",setup!$C$3),"${pk}",setup!$E$8),"${tabela}",setup!$C$2),CONCATENATE("${",N319,"}"),VLOOKUP(N319,setup!$A$8:$E$58,5))</f>
        <v/>
      </c>
    </row>
    <row r="320" spans="1:15" x14ac:dyDescent="0.25">
      <c r="O320" t="str">
        <f>SUBSTITUTE(SUBSTITUTE(SUBSTITUTE(SUBSTITUTE(A320,"${dto}",setup!$C$3),"${pk}",setup!$E$8),"${tabela}",setup!$C$2),CONCATENATE("${",N320,"}"),VLOOKUP(N320,setup!$A$8:$E$58,5))</f>
        <v/>
      </c>
    </row>
    <row r="321" spans="15:15" x14ac:dyDescent="0.25">
      <c r="O321" t="str">
        <f>SUBSTITUTE(SUBSTITUTE(SUBSTITUTE(SUBSTITUTE(A321,"${dto}",setup!$C$3),"${pk}",setup!$E$8),"${tabela}",setup!$C$2),CONCATENATE("${",N321,"}"),VLOOKUP(N321,setup!$A$8:$E$58,5))</f>
        <v/>
      </c>
    </row>
  </sheetData>
  <pageMargins left="0.7" right="0.7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B925C3-B359-4590-87BC-46D22CF6D4CD}">
  <sheetPr codeName="Sheet17"/>
  <dimension ref="A7:O329"/>
  <sheetViews>
    <sheetView topLeftCell="A22" workbookViewId="0">
      <selection activeCell="A28" sqref="A28:A30"/>
    </sheetView>
  </sheetViews>
  <sheetFormatPr defaultRowHeight="15" x14ac:dyDescent="0.25"/>
  <sheetData>
    <row r="7" spans="1:15" x14ac:dyDescent="0.25">
      <c r="A7" s="17" t="s">
        <v>140</v>
      </c>
      <c r="O7" s="7" t="str">
        <f ca="1">getCodigoBackend(N7,A7,VLOOKUP(N7,setup!$A$8:$H$58,2),VLOOKUP(N7,setup!$A$8:$H$58,3),VLOOKUP(N7,setup!$A$8:$H$58,4),VLOOKUP(N7,setup!$A$8:$H$58,5),VLOOKUP(N7,setup!$A$8:$H$58,6),VLOOKUP(N7,setup!$A$8:$H$58,7), VLOOKUP(0,setup!$A$8:$H$58,2),VLOOKUP(0,setup!$A$8:$H$58,5),VLOOKUP(N7,setup!$A$8:$H$58,8))</f>
        <v>import 'package:flutter/material.dart';</v>
      </c>
    </row>
    <row r="8" spans="1:15" x14ac:dyDescent="0.25">
      <c r="A8" s="17" t="s">
        <v>141</v>
      </c>
      <c r="O8" s="7" t="str">
        <f ca="1">getCodigoBackend(N8,A8,VLOOKUP(N8,setup!$A$8:$H$58,2),VLOOKUP(N8,setup!$A$8:$H$58,3),VLOOKUP(N8,setup!$A$8:$H$58,4),VLOOKUP(N8,setup!$A$8:$H$58,5),VLOOKUP(N8,setup!$A$8:$H$58,6),VLOOKUP(N8,setup!$A$8:$H$58,7), VLOOKUP(0,setup!$A$8:$H$58,2),VLOOKUP(0,setup!$A$8:$H$58,5),VLOOKUP(N8,setup!$A$8:$H$58,8))</f>
        <v>import 'package:http/http.dart' as http;</v>
      </c>
    </row>
    <row r="9" spans="1:15" x14ac:dyDescent="0.25">
      <c r="A9" s="17" t="s">
        <v>142</v>
      </c>
      <c r="O9" s="7" t="str">
        <f ca="1">getCodigoBackend(N9,A9,VLOOKUP(N9,setup!$A$8:$H$58,2),VLOOKUP(N9,setup!$A$8:$H$58,3),VLOOKUP(N9,setup!$A$8:$H$58,4),VLOOKUP(N9,setup!$A$8:$H$58,5),VLOOKUP(N9,setup!$A$8:$H$58,6),VLOOKUP(N9,setup!$A$8:$H$58,7), VLOOKUP(0,setup!$A$8:$H$58,2),VLOOKUP(0,setup!$A$8:$H$58,5),VLOOKUP(N9,setup!$A$8:$H$58,8))</f>
        <v>import 'dart:convert';</v>
      </c>
    </row>
    <row r="10" spans="1:15" x14ac:dyDescent="0.25">
      <c r="A10" s="17" t="s">
        <v>143</v>
      </c>
      <c r="O10" s="7" t="str">
        <f ca="1">getCodigoBackend(N10,A10,VLOOKUP(N10,setup!$A$8:$H$58,2),VLOOKUP(N10,setup!$A$8:$H$58,3),VLOOKUP(N10,setup!$A$8:$H$58,4),VLOOKUP(N10,setup!$A$8:$H$58,5),VLOOKUP(N10,setup!$A$8:$H$58,6),VLOOKUP(N10,setup!$A$8:$H$58,7), VLOOKUP(0,setup!$A$8:$H$58,2),VLOOKUP(0,setup!$A$8:$H$58,5),VLOOKUP(N10,setup!$A$8:$H$58,8))</f>
        <v>import 'package:junta10/br/com/jcv/linker/classes/ui/common/common-loading.dart';</v>
      </c>
    </row>
    <row r="11" spans="1:15" x14ac:dyDescent="0.25">
      <c r="A11" s="17" t="s">
        <v>144</v>
      </c>
      <c r="O11" s="7" t="str">
        <f ca="1">getCodigoBackend(N11,A11,VLOOKUP(N11,setup!$A$8:$H$58,2),VLOOKUP(N11,setup!$A$8:$H$58,3),VLOOKUP(N11,setup!$A$8:$H$58,4),VLOOKUP(N11,setup!$A$8:$H$58,5),VLOOKUP(N11,setup!$A$8:$H$58,6),VLOOKUP(N11,setup!$A$8:$H$58,7), VLOOKUP(0,setup!$A$8:$H$58,2),VLOOKUP(0,setup!$A$8:$H$58,5),VLOOKUP(N11,setup!$A$8:$H$58,8))</f>
        <v>import 'package:junta10/br/com/jcv/linker/classes/storages/cacheSession.dart';</v>
      </c>
    </row>
    <row r="12" spans="1:15" x14ac:dyDescent="0.25">
      <c r="A12" s="16"/>
      <c r="O12" s="7" t="str">
        <f ca="1">getCodigoBackend(N12,A12,VLOOKUP(N12,setup!$A$8:$H$58,2),VLOOKUP(N12,setup!$A$8:$H$58,3),VLOOKUP(N12,setup!$A$8:$H$58,4),VLOOKUP(N12,setup!$A$8:$H$58,5),VLOOKUP(N12,setup!$A$8:$H$58,6),VLOOKUP(N12,setup!$A$8:$H$58,7), VLOOKUP(0,setup!$A$8:$H$58,2),VLOOKUP(0,setup!$A$8:$H$58,5),VLOOKUP(N12,setup!$A$8:$H$58,8))</f>
        <v/>
      </c>
    </row>
    <row r="13" spans="1:15" x14ac:dyDescent="0.25">
      <c r="A13" s="17" t="s">
        <v>176</v>
      </c>
      <c r="O13" s="7" t="str">
        <f ca="1">getCodigoBackend(N13,A13,VLOOKUP(N13,setup!$A$8:$H$58,2),VLOOKUP(N13,setup!$A$8:$H$58,3),VLOOKUP(N13,setup!$A$8:$H$58,4),VLOOKUP(N13,setup!$A$8:$H$58,5),VLOOKUP(N13,setup!$A$8:$H$58,6),VLOOKUP(N13,setup!$A$8:$H$58,7), VLOOKUP(0,setup!$A$8:$H$58,2),VLOOKUP(0,setup!$A$8:$H$58,5),VLOOKUP(N13,setup!$A$8:$H$58,8))</f>
        <v>import 'UsuarioPublicidadeLV.dart';</v>
      </c>
    </row>
    <row r="14" spans="1:15" x14ac:dyDescent="0.25">
      <c r="A14" s="17" t="s">
        <v>225</v>
      </c>
      <c r="O14" s="7" t="str">
        <f ca="1">getCodigoBackend(N14,A14,VLOOKUP(N14,setup!$A$8:$H$58,2),VLOOKUP(N14,setup!$A$8:$H$58,3),VLOOKUP(N14,setup!$A$8:$H$58,4),VLOOKUP(N14,setup!$A$8:$H$58,5),VLOOKUP(N14,setup!$A$8:$H$58,6),VLOOKUP(N14,setup!$A$8:$H$58,7), VLOOKUP(0,setup!$A$8:$H$58,2),VLOOKUP(0,setup!$A$8:$H$58,5),VLOOKUP(N14,setup!$A$8:$H$58,8))</f>
        <v>import 'UsuarioPublicidadePageCRUD.dart';</v>
      </c>
    </row>
    <row r="15" spans="1:15" x14ac:dyDescent="0.25">
      <c r="A15" s="17" t="s">
        <v>177</v>
      </c>
      <c r="O15" s="7" t="str">
        <f ca="1">getCodigoBackend(N15,A15,VLOOKUP(N15,setup!$A$8:$H$58,2),VLOOKUP(N15,setup!$A$8:$H$58,3),VLOOKUP(N15,setup!$A$8:$H$58,4),VLOOKUP(N15,setup!$A$8:$H$58,5),VLOOKUP(N15,setup!$A$8:$H$58,6),VLOOKUP(N15,setup!$A$8:$H$58,7), VLOOKUP(0,setup!$A$8:$H$58,2),VLOOKUP(0,setup!$A$8:$H$58,5),VLOOKUP(N15,setup!$A$8:$H$58,8))</f>
        <v>class UsuarioPublicidadePage extends StatefulWidget {</v>
      </c>
    </row>
    <row r="16" spans="1:15" x14ac:dyDescent="0.25">
      <c r="A16" s="16"/>
      <c r="O16" s="7" t="str">
        <f ca="1">getCodigoBackend(N16,A16,VLOOKUP(N16,setup!$A$8:$H$58,2),VLOOKUP(N16,setup!$A$8:$H$58,3),VLOOKUP(N16,setup!$A$8:$H$58,4),VLOOKUP(N16,setup!$A$8:$H$58,5),VLOOKUP(N16,setup!$A$8:$H$58,6),VLOOKUP(N16,setup!$A$8:$H$58,7), VLOOKUP(0,setup!$A$8:$H$58,2),VLOOKUP(0,setup!$A$8:$H$58,5),VLOOKUP(N16,setup!$A$8:$H$58,8))</f>
        <v/>
      </c>
    </row>
    <row r="17" spans="1:15" x14ac:dyDescent="0.25">
      <c r="A17" s="15" t="s">
        <v>145</v>
      </c>
      <c r="O17" s="7" t="str">
        <f ca="1">getCodigoBackend(N17,A17,VLOOKUP(N17,setup!$A$8:$H$58,2),VLOOKUP(N17,setup!$A$8:$H$58,3),VLOOKUP(N17,setup!$A$8:$H$58,4),VLOOKUP(N17,setup!$A$8:$H$58,5),VLOOKUP(N17,setup!$A$8:$H$58,6),VLOOKUP(N17,setup!$A$8:$H$58,7), VLOOKUP(0,setup!$A$8:$H$58,2),VLOOKUP(0,setup!$A$8:$H$58,5),VLOOKUP(N17,setup!$A$8:$H$58,8))</f>
        <v xml:space="preserve">  @override</v>
      </c>
    </row>
    <row r="18" spans="1:15" x14ac:dyDescent="0.25">
      <c r="A18" s="18" t="s">
        <v>178</v>
      </c>
      <c r="O18" s="7" t="str">
        <f ca="1">getCodigoBackend(N18,A18,VLOOKUP(N18,setup!$A$8:$H$58,2),VLOOKUP(N18,setup!$A$8:$H$58,3),VLOOKUP(N18,setup!$A$8:$H$58,4),VLOOKUP(N18,setup!$A$8:$H$58,5),VLOOKUP(N18,setup!$A$8:$H$58,6),VLOOKUP(N18,setup!$A$8:$H$58,7), VLOOKUP(0,setup!$A$8:$H$58,2),VLOOKUP(0,setup!$A$8:$H$58,5),VLOOKUP(N18,setup!$A$8:$H$58,8))</f>
        <v xml:space="preserve">  _UsuarioPublicidadePageState createState() =&gt; _UsuarioPublicidadePageState();</v>
      </c>
    </row>
    <row r="19" spans="1:15" x14ac:dyDescent="0.25">
      <c r="A19" s="20" t="s">
        <v>16</v>
      </c>
      <c r="O19" s="7" t="str">
        <f ca="1">getCodigoBackend(N19,A19,VLOOKUP(N19,setup!$A$8:$H$58,2),VLOOKUP(N19,setup!$A$8:$H$58,3),VLOOKUP(N19,setup!$A$8:$H$58,4),VLOOKUP(N19,setup!$A$8:$H$58,5),VLOOKUP(N19,setup!$A$8:$H$58,6),VLOOKUP(N19,setup!$A$8:$H$58,7), VLOOKUP(0,setup!$A$8:$H$58,2),VLOOKUP(0,setup!$A$8:$H$58,5),VLOOKUP(N19,setup!$A$8:$H$58,8))</f>
        <v>}</v>
      </c>
    </row>
    <row r="20" spans="1:15" x14ac:dyDescent="0.25">
      <c r="A20" s="19"/>
      <c r="O20" s="7" t="str">
        <f ca="1">getCodigoBackend(N20,A20,VLOOKUP(N20,setup!$A$8:$H$58,2),VLOOKUP(N20,setup!$A$8:$H$58,3),VLOOKUP(N20,setup!$A$8:$H$58,4),VLOOKUP(N20,setup!$A$8:$H$58,5),VLOOKUP(N20,setup!$A$8:$H$58,6),VLOOKUP(N20,setup!$A$8:$H$58,7), VLOOKUP(0,setup!$A$8:$H$58,2),VLOOKUP(0,setup!$A$8:$H$58,5),VLOOKUP(N20,setup!$A$8:$H$58,8))</f>
        <v/>
      </c>
    </row>
    <row r="21" spans="1:15" x14ac:dyDescent="0.25">
      <c r="A21" s="21" t="s">
        <v>179</v>
      </c>
      <c r="O21" s="7" t="str">
        <f ca="1">getCodigoBackend(N21,A21,VLOOKUP(N21,setup!$A$8:$H$58,2),VLOOKUP(N21,setup!$A$8:$H$58,3),VLOOKUP(N21,setup!$A$8:$H$58,4),VLOOKUP(N21,setup!$A$8:$H$58,5),VLOOKUP(N21,setup!$A$8:$H$58,6),VLOOKUP(N21,setup!$A$8:$H$58,7), VLOOKUP(0,setup!$A$8:$H$58,2),VLOOKUP(0,setup!$A$8:$H$58,5),VLOOKUP(N21,setup!$A$8:$H$58,8))</f>
        <v>class _UsuarioPublicidadePageState extends State&lt;UsuarioPublicidadePage&gt; {</v>
      </c>
    </row>
    <row r="22" spans="1:15" x14ac:dyDescent="0.25">
      <c r="A22" s="19"/>
      <c r="O22" s="7" t="str">
        <f ca="1">getCodigoBackend(N22,A22,VLOOKUP(N22,setup!$A$8:$H$58,2),VLOOKUP(N22,setup!$A$8:$H$58,3),VLOOKUP(N22,setup!$A$8:$H$58,4),VLOOKUP(N22,setup!$A$8:$H$58,5),VLOOKUP(N22,setup!$A$8:$H$58,6),VLOOKUP(N22,setup!$A$8:$H$58,7), VLOOKUP(0,setup!$A$8:$H$58,2),VLOOKUP(0,setup!$A$8:$H$58,5),VLOOKUP(N22,setup!$A$8:$H$58,8))</f>
        <v/>
      </c>
    </row>
    <row r="23" spans="1:15" x14ac:dyDescent="0.25">
      <c r="A23" s="20" t="s">
        <v>146</v>
      </c>
      <c r="O23" s="7" t="str">
        <f ca="1">getCodigoBackend(N23,A23,VLOOKUP(N23,setup!$A$8:$H$58,2),VLOOKUP(N23,setup!$A$8:$H$58,3),VLOOKUP(N23,setup!$A$8:$H$58,4),VLOOKUP(N23,setup!$A$8:$H$58,5),VLOOKUP(N23,setup!$A$8:$H$58,6),VLOOKUP(N23,setup!$A$8:$H$58,7), VLOOKUP(0,setup!$A$8:$H$58,2),VLOOKUP(0,setup!$A$8:$H$58,5),VLOOKUP(N23,setup!$A$8:$H$58,8))</f>
        <v xml:space="preserve">  String _token;</v>
      </c>
    </row>
    <row r="24" spans="1:15" x14ac:dyDescent="0.25">
      <c r="A24" s="20" t="s">
        <v>147</v>
      </c>
      <c r="O24" s="7" t="str">
        <f ca="1">getCodigoBackend(N24,A24,VLOOKUP(N24,setup!$A$8:$H$58,2),VLOOKUP(N24,setup!$A$8:$H$58,3),VLOOKUP(N24,setup!$A$8:$H$58,4),VLOOKUP(N24,setup!$A$8:$H$58,5),VLOOKUP(N24,setup!$A$8:$H$58,6),VLOOKUP(N24,setup!$A$8:$H$58,7), VLOOKUP(0,setup!$A$8:$H$58,2),VLOOKUP(0,setup!$A$8:$H$58,5),VLOOKUP(N24,setup!$A$8:$H$58,8))</f>
        <v xml:space="preserve">  String _urlControlador;</v>
      </c>
    </row>
    <row r="25" spans="1:15" x14ac:dyDescent="0.25">
      <c r="A25" s="20"/>
      <c r="O25" s="7" t="str">
        <f ca="1">getCodigoBackend(N25,A25,VLOOKUP(N25,setup!$A$8:$H$58,2),VLOOKUP(N25,setup!$A$8:$H$58,3),VLOOKUP(N25,setup!$A$8:$H$58,4),VLOOKUP(N25,setup!$A$8:$H$58,5),VLOOKUP(N25,setup!$A$8:$H$58,6),VLOOKUP(N25,setup!$A$8:$H$58,7), VLOOKUP(0,setup!$A$8:$H$58,2),VLOOKUP(0,setup!$A$8:$H$58,5),VLOOKUP(N25,setup!$A$8:$H$58,8))</f>
        <v/>
      </c>
    </row>
    <row r="26" spans="1:15" x14ac:dyDescent="0.25">
      <c r="A26" s="20" t="s">
        <v>148</v>
      </c>
      <c r="O26" s="7" t="str">
        <f ca="1">getCodigoBackend(N26,A26,VLOOKUP(N26,setup!$A$8:$H$58,2),VLOOKUP(N26,setup!$A$8:$H$58,3),VLOOKUP(N26,setup!$A$8:$H$58,4),VLOOKUP(N26,setup!$A$8:$H$58,5),VLOOKUP(N26,setup!$A$8:$H$58,6),VLOOKUP(N26,setup!$A$8:$H$58,7), VLOOKUP(0,setup!$A$8:$H$58,2),VLOOKUP(0,setup!$A$8:$H$58,5),VLOOKUP(N26,setup!$A$8:$H$58,8))</f>
        <v xml:space="preserve">  int _pag = 1;</v>
      </c>
    </row>
    <row r="27" spans="1:15" x14ac:dyDescent="0.25">
      <c r="A27" s="19"/>
      <c r="O27" s="7" t="str">
        <f ca="1">getCodigoBackend(N27,A27,VLOOKUP(N27,setup!$A$8:$H$58,2),VLOOKUP(N27,setup!$A$8:$H$58,3),VLOOKUP(N27,setup!$A$8:$H$58,4),VLOOKUP(N27,setup!$A$8:$H$58,5),VLOOKUP(N27,setup!$A$8:$H$58,6),VLOOKUP(N27,setup!$A$8:$H$58,7), VLOOKUP(0,setup!$A$8:$H$58,2),VLOOKUP(0,setup!$A$8:$H$58,5),VLOOKUP(N27,setup!$A$8:$H$58,8))</f>
        <v/>
      </c>
    </row>
    <row r="28" spans="1:15" x14ac:dyDescent="0.25">
      <c r="A28" s="20" t="s">
        <v>145</v>
      </c>
      <c r="O28" s="7" t="str">
        <f ca="1">getCodigoBackend(N28,A28,VLOOKUP(N28,setup!$A$8:$H$58,2),VLOOKUP(N28,setup!$A$8:$H$58,3),VLOOKUP(N28,setup!$A$8:$H$58,4),VLOOKUP(N28,setup!$A$8:$H$58,5),VLOOKUP(N28,setup!$A$8:$H$58,6),VLOOKUP(N28,setup!$A$8:$H$58,7), VLOOKUP(0,setup!$A$8:$H$58,2),VLOOKUP(0,setup!$A$8:$H$58,5),VLOOKUP(N28,setup!$A$8:$H$58,8))</f>
        <v xml:space="preserve">  @override</v>
      </c>
    </row>
    <row r="29" spans="1:15" x14ac:dyDescent="0.25">
      <c r="A29" s="18" t="s">
        <v>69</v>
      </c>
      <c r="O29" s="7" t="str">
        <f ca="1">getCodigoBackend(N29,A29,VLOOKUP(N29,setup!$A$8:$H$58,2),VLOOKUP(N29,setup!$A$8:$H$58,3),VLOOKUP(N29,setup!$A$8:$H$58,4),VLOOKUP(N29,setup!$A$8:$H$58,5),VLOOKUP(N29,setup!$A$8:$H$58,6),VLOOKUP(N29,setup!$A$8:$H$58,7), VLOOKUP(0,setup!$A$8:$H$58,2),VLOOKUP(0,setup!$A$8:$H$58,5),VLOOKUP(N29,setup!$A$8:$H$58,8))</f>
        <v xml:space="preserve">  void initState(){</v>
      </c>
    </row>
    <row r="30" spans="1:15" x14ac:dyDescent="0.25">
      <c r="A30" s="18" t="s">
        <v>373</v>
      </c>
      <c r="O30" s="7" t="str">
        <f ca="1">getCodigoBackend(N30,A30,VLOOKUP(N30,setup!$A$8:$H$58,2),VLOOKUP(N30,setup!$A$8:$H$58,3),VLOOKUP(N30,setup!$A$8:$H$58,4),VLOOKUP(N30,setup!$A$8:$H$58,5),VLOOKUP(N30,setup!$A$8:$H$58,6),VLOOKUP(N30,setup!$A$8:$H$58,7), VLOOKUP(0,setup!$A$8:$H$58,2),VLOOKUP(0,setup!$A$8:$H$58,5),VLOOKUP(N30,setup!$A$8:$H$58,8))</f>
        <v xml:space="preserve">    super.initState();</v>
      </c>
    </row>
    <row r="31" spans="1:15" x14ac:dyDescent="0.25">
      <c r="A31" s="20" t="s">
        <v>149</v>
      </c>
      <c r="O31" s="7" t="str">
        <f ca="1">getCodigoBackend(N31,A31,VLOOKUP(N31,setup!$A$8:$H$58,2),VLOOKUP(N31,setup!$A$8:$H$58,3),VLOOKUP(N31,setup!$A$8:$H$58,4),VLOOKUP(N31,setup!$A$8:$H$58,5),VLOOKUP(N31,setup!$A$8:$H$58,6),VLOOKUP(N31,setup!$A$8:$H$58,7), VLOOKUP(0,setup!$A$8:$H$58,2),VLOOKUP(0,setup!$A$8:$H$58,5),VLOOKUP(N31,setup!$A$8:$H$58,8))</f>
        <v xml:space="preserve">    _token = CacheSession().getSession()['tokenid'];</v>
      </c>
    </row>
    <row r="32" spans="1:15" x14ac:dyDescent="0.25">
      <c r="A32" s="20" t="s">
        <v>150</v>
      </c>
      <c r="O32" s="7" t="str">
        <f ca="1">getCodigoBackend(N32,A32,VLOOKUP(N32,setup!$A$8:$H$58,2),VLOOKUP(N32,setup!$A$8:$H$58,3),VLOOKUP(N32,setup!$A$8:$H$58,4),VLOOKUP(N32,setup!$A$8:$H$58,5),VLOOKUP(N32,setup!$A$8:$H$58,6),VLOOKUP(N32,setup!$A$8:$H$58,7), VLOOKUP(0,setup!$A$8:$H$58,2),VLOOKUP(0,setup!$A$8:$H$58,5),VLOOKUP(N32,setup!$A$8:$H$58,8))</f>
        <v xml:space="preserve">    _urlControlador = CacheSession().getSession()['urlControlador'];</v>
      </c>
    </row>
    <row r="33" spans="1:15" x14ac:dyDescent="0.25">
      <c r="A33" s="20"/>
      <c r="O33" s="7" t="str">
        <f ca="1">getCodigoBackend(N33,A33,VLOOKUP(N33,setup!$A$8:$H$58,2),VLOOKUP(N33,setup!$A$8:$H$58,3),VLOOKUP(N33,setup!$A$8:$H$58,4),VLOOKUP(N33,setup!$A$8:$H$58,5),VLOOKUP(N33,setup!$A$8:$H$58,6),VLOOKUP(N33,setup!$A$8:$H$58,7), VLOOKUP(0,setup!$A$8:$H$58,2),VLOOKUP(0,setup!$A$8:$H$58,5),VLOOKUP(N33,setup!$A$8:$H$58,8))</f>
        <v/>
      </c>
    </row>
    <row r="34" spans="1:15" x14ac:dyDescent="0.25">
      <c r="A34" s="20" t="s">
        <v>41</v>
      </c>
      <c r="O34" s="7" t="str">
        <f ca="1">getCodigoBackend(N34,A34,VLOOKUP(N34,setup!$A$8:$H$58,2),VLOOKUP(N34,setup!$A$8:$H$58,3),VLOOKUP(N34,setup!$A$8:$H$58,4),VLOOKUP(N34,setup!$A$8:$H$58,5),VLOOKUP(N34,setup!$A$8:$H$58,6),VLOOKUP(N34,setup!$A$8:$H$58,7), VLOOKUP(0,setup!$A$8:$H$58,2),VLOOKUP(0,setup!$A$8:$H$58,5),VLOOKUP(N34,setup!$A$8:$H$58,8))</f>
        <v xml:space="preserve">  }</v>
      </c>
    </row>
    <row r="35" spans="1:15" x14ac:dyDescent="0.25">
      <c r="A35" s="19"/>
      <c r="O35" s="7" t="str">
        <f ca="1">getCodigoBackend(N35,A35,VLOOKUP(N35,setup!$A$8:$H$58,2),VLOOKUP(N35,setup!$A$8:$H$58,3),VLOOKUP(N35,setup!$A$8:$H$58,4),VLOOKUP(N35,setup!$A$8:$H$58,5),VLOOKUP(N35,setup!$A$8:$H$58,6),VLOOKUP(N35,setup!$A$8:$H$58,7), VLOOKUP(0,setup!$A$8:$H$58,2),VLOOKUP(0,setup!$A$8:$H$58,5),VLOOKUP(N35,setup!$A$8:$H$58,8))</f>
        <v/>
      </c>
    </row>
    <row r="36" spans="1:15" x14ac:dyDescent="0.25">
      <c r="A36" s="20" t="s">
        <v>180</v>
      </c>
      <c r="O36" s="7" t="str">
        <f ca="1">getCodigoBackend(N36,A36,VLOOKUP(N36,setup!$A$8:$H$58,2),VLOOKUP(N36,setup!$A$8:$H$58,3),VLOOKUP(N36,setup!$A$8:$H$58,4),VLOOKUP(N36,setup!$A$8:$H$58,5),VLOOKUP(N36,setup!$A$8:$H$58,6),VLOOKUP(N36,setup!$A$8:$H$58,7), VLOOKUP(0,setup!$A$8:$H$58,2),VLOOKUP(0,setup!$A$8:$H$58,5),VLOOKUP(N36,setup!$A$8:$H$58,8))</f>
        <v xml:space="preserve">  Future&lt;Map&gt; _listUsuarioPublicidade() async {</v>
      </c>
    </row>
    <row r="37" spans="1:15" x14ac:dyDescent="0.25">
      <c r="A37" s="20" t="s">
        <v>151</v>
      </c>
      <c r="O37" s="7" t="str">
        <f ca="1">getCodigoBackend(N37,A37,VLOOKUP(N37,setup!$A$8:$H$58,2),VLOOKUP(N37,setup!$A$8:$H$58,3),VLOOKUP(N37,setup!$A$8:$H$58,4),VLOOKUP(N37,setup!$A$8:$H$58,5),VLOOKUP(N37,setup!$A$8:$H$58,6),VLOOKUP(N37,setup!$A$8:$H$58,7), VLOOKUP(0,setup!$A$8:$H$58,2),VLOOKUP(0,setup!$A$8:$H$58,5),VLOOKUP(N37,setup!$A$8:$H$58,8))</f>
        <v xml:space="preserve">    http.Response response;</v>
      </c>
    </row>
    <row r="38" spans="1:15" x14ac:dyDescent="0.25">
      <c r="A38" s="20" t="s">
        <v>206</v>
      </c>
      <c r="O38" s="7" t="str">
        <f ca="1">getCodigoBackend(N38,A38,VLOOKUP(N38,setup!$A$8:$H$58,2),VLOOKUP(N38,setup!$A$8:$H$58,3),VLOOKUP(N38,setup!$A$8:$H$58,4),VLOOKUP(N38,setup!$A$8:$H$58,5),VLOOKUP(N38,setup!$A$8:$H$58,6),VLOOKUP(N38,setup!$A$8:$H$58,7), VLOOKUP(0,setup!$A$8:$H$58,2),VLOOKUP(0,setup!$A$8:$H$58,5),VLOOKUP(N38,setup!$A$8:$H$58,8))</f>
        <v xml:space="preserve">    String _url = '${_urlControlador}appListarUsuarioPublicidadePorUsuaIdStatus.php?tokenid=${_token}&amp;pag=${_pag}';</v>
      </c>
    </row>
    <row r="39" spans="1:15" x14ac:dyDescent="0.25">
      <c r="A39" s="19"/>
      <c r="O39" s="7" t="str">
        <f ca="1">getCodigoBackend(N39,A39,VLOOKUP(N39,setup!$A$8:$H$58,2),VLOOKUP(N39,setup!$A$8:$H$58,3),VLOOKUP(N39,setup!$A$8:$H$58,4),VLOOKUP(N39,setup!$A$8:$H$58,5),VLOOKUP(N39,setup!$A$8:$H$58,6),VLOOKUP(N39,setup!$A$8:$H$58,7), VLOOKUP(0,setup!$A$8:$H$58,2),VLOOKUP(0,setup!$A$8:$H$58,5),VLOOKUP(N39,setup!$A$8:$H$58,8))</f>
        <v/>
      </c>
    </row>
    <row r="40" spans="1:15" x14ac:dyDescent="0.25">
      <c r="A40" s="20" t="s">
        <v>152</v>
      </c>
      <c r="O40" s="7" t="str">
        <f ca="1">getCodigoBackend(N40,A40,VLOOKUP(N40,setup!$A$8:$H$58,2),VLOOKUP(N40,setup!$A$8:$H$58,3),VLOOKUP(N40,setup!$A$8:$H$58,4),VLOOKUP(N40,setup!$A$8:$H$58,5),VLOOKUP(N40,setup!$A$8:$H$58,6),VLOOKUP(N40,setup!$A$8:$H$58,7), VLOOKUP(0,setup!$A$8:$H$58,2),VLOOKUP(0,setup!$A$8:$H$58,5),VLOOKUP(N40,setup!$A$8:$H$58,8))</f>
        <v xml:space="preserve">    debugPrint(_url);</v>
      </c>
    </row>
    <row r="41" spans="1:15" x14ac:dyDescent="0.25">
      <c r="A41" s="20" t="s">
        <v>153</v>
      </c>
      <c r="O41" s="7" t="str">
        <f ca="1">getCodigoBackend(N41,A41,VLOOKUP(N41,setup!$A$8:$H$58,2),VLOOKUP(N41,setup!$A$8:$H$58,3),VLOOKUP(N41,setup!$A$8:$H$58,4),VLOOKUP(N41,setup!$A$8:$H$58,5),VLOOKUP(N41,setup!$A$8:$H$58,6),VLOOKUP(N41,setup!$A$8:$H$58,7), VLOOKUP(0,setup!$A$8:$H$58,2),VLOOKUP(0,setup!$A$8:$H$58,5),VLOOKUP(N41,setup!$A$8:$H$58,8))</f>
        <v xml:space="preserve">    response = await http.get(_url);</v>
      </c>
    </row>
    <row r="42" spans="1:15" x14ac:dyDescent="0.25">
      <c r="A42" s="20" t="s">
        <v>154</v>
      </c>
      <c r="O42" s="7" t="str">
        <f ca="1">getCodigoBackend(N42,A42,VLOOKUP(N42,setup!$A$8:$H$58,2),VLOOKUP(N42,setup!$A$8:$H$58,3),VLOOKUP(N42,setup!$A$8:$H$58,4),VLOOKUP(N42,setup!$A$8:$H$58,5),VLOOKUP(N42,setup!$A$8:$H$58,6),VLOOKUP(N42,setup!$A$8:$H$58,7), VLOOKUP(0,setup!$A$8:$H$58,2),VLOOKUP(0,setup!$A$8:$H$58,5),VLOOKUP(N42,setup!$A$8:$H$58,8))</f>
        <v xml:space="preserve">    return (json.decode(response.body));</v>
      </c>
    </row>
    <row r="43" spans="1:15" x14ac:dyDescent="0.25">
      <c r="A43" s="20" t="s">
        <v>41</v>
      </c>
      <c r="O43" s="7" t="str">
        <f ca="1">getCodigoBackend(N43,A43,VLOOKUP(N43,setup!$A$8:$H$58,2),VLOOKUP(N43,setup!$A$8:$H$58,3),VLOOKUP(N43,setup!$A$8:$H$58,4),VLOOKUP(N43,setup!$A$8:$H$58,5),VLOOKUP(N43,setup!$A$8:$H$58,6),VLOOKUP(N43,setup!$A$8:$H$58,7), VLOOKUP(0,setup!$A$8:$H$58,2),VLOOKUP(0,setup!$A$8:$H$58,5),VLOOKUP(N43,setup!$A$8:$H$58,8))</f>
        <v xml:space="preserve">  }</v>
      </c>
    </row>
    <row r="44" spans="1:15" x14ac:dyDescent="0.25">
      <c r="A44" s="19"/>
      <c r="O44" s="7" t="str">
        <f ca="1">getCodigoBackend(N44,A44,VLOOKUP(N44,setup!$A$8:$H$58,2),VLOOKUP(N44,setup!$A$8:$H$58,3),VLOOKUP(N44,setup!$A$8:$H$58,4),VLOOKUP(N44,setup!$A$8:$H$58,5),VLOOKUP(N44,setup!$A$8:$H$58,6),VLOOKUP(N44,setup!$A$8:$H$58,7), VLOOKUP(0,setup!$A$8:$H$58,2),VLOOKUP(0,setup!$A$8:$H$58,5),VLOOKUP(N44,setup!$A$8:$H$58,8))</f>
        <v/>
      </c>
    </row>
    <row r="45" spans="1:15" x14ac:dyDescent="0.25">
      <c r="A45" s="20" t="s">
        <v>145</v>
      </c>
      <c r="O45" s="7" t="str">
        <f ca="1">getCodigoBackend(N45,A45,VLOOKUP(N45,setup!$A$8:$H$58,2),VLOOKUP(N45,setup!$A$8:$H$58,3),VLOOKUP(N45,setup!$A$8:$H$58,4),VLOOKUP(N45,setup!$A$8:$H$58,5),VLOOKUP(N45,setup!$A$8:$H$58,6),VLOOKUP(N45,setup!$A$8:$H$58,7), VLOOKUP(0,setup!$A$8:$H$58,2),VLOOKUP(0,setup!$A$8:$H$58,5),VLOOKUP(N45,setup!$A$8:$H$58,8))</f>
        <v xml:space="preserve">  @override</v>
      </c>
    </row>
    <row r="46" spans="1:15" x14ac:dyDescent="0.25">
      <c r="A46" s="18" t="s">
        <v>155</v>
      </c>
      <c r="O46" s="7" t="str">
        <f ca="1">getCodigoBackend(N46,A46,VLOOKUP(N46,setup!$A$8:$H$58,2),VLOOKUP(N46,setup!$A$8:$H$58,3),VLOOKUP(N46,setup!$A$8:$H$58,4),VLOOKUP(N46,setup!$A$8:$H$58,5),VLOOKUP(N46,setup!$A$8:$H$58,6),VLOOKUP(N46,setup!$A$8:$H$58,7), VLOOKUP(0,setup!$A$8:$H$58,2),VLOOKUP(0,setup!$A$8:$H$58,5),VLOOKUP(N46,setup!$A$8:$H$58,8))</f>
        <v xml:space="preserve">  Widget build(BuildContext context) {</v>
      </c>
    </row>
    <row r="47" spans="1:15" x14ac:dyDescent="0.25">
      <c r="A47" s="20" t="s">
        <v>156</v>
      </c>
      <c r="O47" s="7" t="str">
        <f ca="1">getCodigoBackend(N47,A47,VLOOKUP(N47,setup!$A$8:$H$58,2),VLOOKUP(N47,setup!$A$8:$H$58,3),VLOOKUP(N47,setup!$A$8:$H$58,4),VLOOKUP(N47,setup!$A$8:$H$58,5),VLOOKUP(N47,setup!$A$8:$H$58,6),VLOOKUP(N47,setup!$A$8:$H$58,7), VLOOKUP(0,setup!$A$8:$H$58,2),VLOOKUP(0,setup!$A$8:$H$58,5),VLOOKUP(N47,setup!$A$8:$H$58,8))</f>
        <v xml:space="preserve">    return new Scaffold(</v>
      </c>
    </row>
    <row r="48" spans="1:15" x14ac:dyDescent="0.25">
      <c r="A48" s="20" t="s">
        <v>157</v>
      </c>
      <c r="O48" s="7" t="str">
        <f ca="1">getCodigoBackend(N48,A48,VLOOKUP(N48,setup!$A$8:$H$58,2),VLOOKUP(N48,setup!$A$8:$H$58,3),VLOOKUP(N48,setup!$A$8:$H$58,4),VLOOKUP(N48,setup!$A$8:$H$58,5),VLOOKUP(N48,setup!$A$8:$H$58,6),VLOOKUP(N48,setup!$A$8:$H$58,7), VLOOKUP(0,setup!$A$8:$H$58,2),VLOOKUP(0,setup!$A$8:$H$58,5),VLOOKUP(N48,setup!$A$8:$H$58,8))</f>
        <v xml:space="preserve">      appBar: new AppBar(</v>
      </c>
    </row>
    <row r="49" spans="1:15" x14ac:dyDescent="0.25">
      <c r="A49" s="20" t="s">
        <v>181</v>
      </c>
      <c r="O49" s="7" t="str">
        <f ca="1">getCodigoBackend(N49,A49,VLOOKUP(N49,setup!$A$8:$H$58,2),VLOOKUP(N49,setup!$A$8:$H$58,3),VLOOKUP(N49,setup!$A$8:$H$58,4),VLOOKUP(N49,setup!$A$8:$H$58,5),VLOOKUP(N49,setup!$A$8:$H$58,6),VLOOKUP(N49,setup!$A$8:$H$58,7), VLOOKUP(0,setup!$A$8:$H$58,2),VLOOKUP(0,setup!$A$8:$H$58,5),VLOOKUP(N49,setup!$A$8:$H$58,8))</f>
        <v xml:space="preserve">        title: new Text("UsuarioPublicidade"),</v>
      </c>
    </row>
    <row r="50" spans="1:15" x14ac:dyDescent="0.25">
      <c r="A50" s="20" t="s">
        <v>104</v>
      </c>
      <c r="O50" s="7" t="str">
        <f ca="1">getCodigoBackend(N50,A50,VLOOKUP(N50,setup!$A$8:$H$58,2),VLOOKUP(N50,setup!$A$8:$H$58,3),VLOOKUP(N50,setup!$A$8:$H$58,4),VLOOKUP(N50,setup!$A$8:$H$58,5),VLOOKUP(N50,setup!$A$8:$H$58,6),VLOOKUP(N50,setup!$A$8:$H$58,7), VLOOKUP(0,setup!$A$8:$H$58,2),VLOOKUP(0,setup!$A$8:$H$58,5),VLOOKUP(N50,setup!$A$8:$H$58,8))</f>
        <v xml:space="preserve">      ),</v>
      </c>
    </row>
    <row r="51" spans="1:15" x14ac:dyDescent="0.25">
      <c r="A51" s="15" t="s">
        <v>218</v>
      </c>
      <c r="O51" s="7" t="str">
        <f ca="1">getCodigoBackend(N51,A51,VLOOKUP(N51,setup!$A$8:$H$58,2),VLOOKUP(N51,setup!$A$8:$H$58,3),VLOOKUP(N51,setup!$A$8:$H$58,4),VLOOKUP(N51,setup!$A$8:$H$58,5),VLOOKUP(N51,setup!$A$8:$H$58,6),VLOOKUP(N51,setup!$A$8:$H$58,7), VLOOKUP(0,setup!$A$8:$H$58,2),VLOOKUP(0,setup!$A$8:$H$58,5),VLOOKUP(N51,setup!$A$8:$H$58,8))</f>
        <v>floatingActionButton: new FloatingActionButton(</v>
      </c>
    </row>
    <row r="52" spans="1:15" x14ac:dyDescent="0.25">
      <c r="A52" s="15" t="s">
        <v>219</v>
      </c>
      <c r="O52" s="7" t="str">
        <f ca="1">getCodigoBackend(N52,A52,VLOOKUP(N52,setup!$A$8:$H$58,2),VLOOKUP(N52,setup!$A$8:$H$58,3),VLOOKUP(N52,setup!$A$8:$H$58,4),VLOOKUP(N52,setup!$A$8:$H$58,5),VLOOKUP(N52,setup!$A$8:$H$58,6),VLOOKUP(N52,setup!$A$8:$H$58,7), VLOOKUP(0,setup!$A$8:$H$58,2),VLOOKUP(0,setup!$A$8:$H$58,5),VLOOKUP(N52,setup!$A$8:$H$58,8))</f>
        <v xml:space="preserve">  onPressed: () {</v>
      </c>
    </row>
    <row r="53" spans="1:15" x14ac:dyDescent="0.25">
      <c r="A53" s="15" t="s">
        <v>220</v>
      </c>
      <c r="O53" s="7" t="str">
        <f ca="1">getCodigoBackend(N53,A53,VLOOKUP(N53,setup!$A$8:$H$58,2),VLOOKUP(N53,setup!$A$8:$H$58,3),VLOOKUP(N53,setup!$A$8:$H$58,4),VLOOKUP(N53,setup!$A$8:$H$58,5),VLOOKUP(N53,setup!$A$8:$H$58,6),VLOOKUP(N53,setup!$A$8:$H$58,7), VLOOKUP(0,setup!$A$8:$H$58,2),VLOOKUP(0,setup!$A$8:$H$58,5),VLOOKUP(N53,setup!$A$8:$H$58,8))</f>
        <v xml:space="preserve">    Navigator.push(</v>
      </c>
    </row>
    <row r="54" spans="1:15" x14ac:dyDescent="0.25">
      <c r="A54" s="15" t="s">
        <v>221</v>
      </c>
      <c r="O54" s="7" t="str">
        <f ca="1">getCodigoBackend(N54,A54,VLOOKUP(N54,setup!$A$8:$H$58,2),VLOOKUP(N54,setup!$A$8:$H$58,3),VLOOKUP(N54,setup!$A$8:$H$58,4),VLOOKUP(N54,setup!$A$8:$H$58,5),VLOOKUP(N54,setup!$A$8:$H$58,6),VLOOKUP(N54,setup!$A$8:$H$58,7), VLOOKUP(0,setup!$A$8:$H$58,2),VLOOKUP(0,setup!$A$8:$H$58,5),VLOOKUP(N54,setup!$A$8:$H$58,8))</f>
        <v xml:space="preserve">      context,</v>
      </c>
    </row>
    <row r="55" spans="1:15" x14ac:dyDescent="0.25">
      <c r="A55" s="15" t="s">
        <v>226</v>
      </c>
      <c r="O55" s="7" t="str">
        <f ca="1">getCodigoBackend(N55,A55,VLOOKUP(N55,setup!$A$8:$H$58,2),VLOOKUP(N55,setup!$A$8:$H$58,3),VLOOKUP(N55,setup!$A$8:$H$58,4),VLOOKUP(N55,setup!$A$8:$H$58,5),VLOOKUP(N55,setup!$A$8:$H$58,6),VLOOKUP(N55,setup!$A$8:$H$58,7), VLOOKUP(0,setup!$A$8:$H$58,2),VLOOKUP(0,setup!$A$8:$H$58,5),VLOOKUP(N55,setup!$A$8:$H$58,8))</f>
        <v xml:space="preserve">      MaterialPageRoute(builder: (context) =&gt; new UsuarioPublicidadePageCRUD() ),</v>
      </c>
    </row>
    <row r="56" spans="1:15" x14ac:dyDescent="0.25">
      <c r="A56" s="15" t="s">
        <v>40</v>
      </c>
      <c r="O56" s="7" t="str">
        <f ca="1">getCodigoBackend(N56,A56,VLOOKUP(N56,setup!$A$8:$H$58,2),VLOOKUP(N56,setup!$A$8:$H$58,3),VLOOKUP(N56,setup!$A$8:$H$58,4),VLOOKUP(N56,setup!$A$8:$H$58,5),VLOOKUP(N56,setup!$A$8:$H$58,6),VLOOKUP(N56,setup!$A$8:$H$58,7), VLOOKUP(0,setup!$A$8:$H$58,2),VLOOKUP(0,setup!$A$8:$H$58,5),VLOOKUP(N56,setup!$A$8:$H$58,8))</f>
        <v xml:space="preserve">    );</v>
      </c>
    </row>
    <row r="57" spans="1:15" x14ac:dyDescent="0.25">
      <c r="A57" s="15" t="s">
        <v>222</v>
      </c>
      <c r="O57" s="7" t="str">
        <f ca="1">getCodigoBackend(N57,A57,VLOOKUP(N57,setup!$A$8:$H$58,2),VLOOKUP(N57,setup!$A$8:$H$58,3),VLOOKUP(N57,setup!$A$8:$H$58,4),VLOOKUP(N57,setup!$A$8:$H$58,5),VLOOKUP(N57,setup!$A$8:$H$58,6),VLOOKUP(N57,setup!$A$8:$H$58,7), VLOOKUP(0,setup!$A$8:$H$58,2),VLOOKUP(0,setup!$A$8:$H$58,5),VLOOKUP(N57,setup!$A$8:$H$58,8))</f>
        <v xml:space="preserve">  },</v>
      </c>
    </row>
    <row r="58" spans="1:15" x14ac:dyDescent="0.25">
      <c r="A58" s="15" t="s">
        <v>223</v>
      </c>
      <c r="O58" s="7" t="str">
        <f ca="1">getCodigoBackend(N58,A58,VLOOKUP(N58,setup!$A$8:$H$58,2),VLOOKUP(N58,setup!$A$8:$H$58,3),VLOOKUP(N58,setup!$A$8:$H$58,4),VLOOKUP(N58,setup!$A$8:$H$58,5),VLOOKUP(N58,setup!$A$8:$H$58,6),VLOOKUP(N58,setup!$A$8:$H$58,7), VLOOKUP(0,setup!$A$8:$H$58,2),VLOOKUP(0,setup!$A$8:$H$58,5),VLOOKUP(N58,setup!$A$8:$H$58,8))</f>
        <v xml:space="preserve">  child: Icon(Icons.add_circle_outline),</v>
      </c>
    </row>
    <row r="59" spans="1:15" x14ac:dyDescent="0.25">
      <c r="A59" s="15" t="s">
        <v>224</v>
      </c>
      <c r="O59" s="7" t="str">
        <f ca="1">getCodigoBackend(N59,A59,VLOOKUP(N59,setup!$A$8:$H$58,2),VLOOKUP(N59,setup!$A$8:$H$58,3),VLOOKUP(N59,setup!$A$8:$H$58,4),VLOOKUP(N59,setup!$A$8:$H$58,5),VLOOKUP(N59,setup!$A$8:$H$58,6),VLOOKUP(N59,setup!$A$8:$H$58,7), VLOOKUP(0,setup!$A$8:$H$58,2),VLOOKUP(0,setup!$A$8:$H$58,5),VLOOKUP(N59,setup!$A$8:$H$58,8))</f>
        <v>),</v>
      </c>
    </row>
    <row r="60" spans="1:15" x14ac:dyDescent="0.25">
      <c r="A60" s="20"/>
      <c r="O60" s="7" t="str">
        <f ca="1">getCodigoBackend(N60,A60,VLOOKUP(N60,setup!$A$8:$H$58,2),VLOOKUP(N60,setup!$A$8:$H$58,3),VLOOKUP(N60,setup!$A$8:$H$58,4),VLOOKUP(N60,setup!$A$8:$H$58,5),VLOOKUP(N60,setup!$A$8:$H$58,6),VLOOKUP(N60,setup!$A$8:$H$58,7), VLOOKUP(0,setup!$A$8:$H$58,2),VLOOKUP(0,setup!$A$8:$H$58,5),VLOOKUP(N60,setup!$A$8:$H$58,8))</f>
        <v/>
      </c>
    </row>
    <row r="61" spans="1:15" x14ac:dyDescent="0.25">
      <c r="A61" s="20"/>
      <c r="O61" s="7" t="str">
        <f ca="1">getCodigoBackend(N61,A61,VLOOKUP(N61,setup!$A$8:$H$58,2),VLOOKUP(N61,setup!$A$8:$H$58,3),VLOOKUP(N61,setup!$A$8:$H$58,4),VLOOKUP(N61,setup!$A$8:$H$58,5),VLOOKUP(N61,setup!$A$8:$H$58,6),VLOOKUP(N61,setup!$A$8:$H$58,7), VLOOKUP(0,setup!$A$8:$H$58,2),VLOOKUP(0,setup!$A$8:$H$58,5),VLOOKUP(N61,setup!$A$8:$H$58,8))</f>
        <v/>
      </c>
    </row>
    <row r="62" spans="1:15" x14ac:dyDescent="0.25">
      <c r="A62" s="20" t="s">
        <v>158</v>
      </c>
      <c r="O62" s="7" t="str">
        <f ca="1">getCodigoBackend(N62,A62,VLOOKUP(N62,setup!$A$8:$H$58,2),VLOOKUP(N62,setup!$A$8:$H$58,3),VLOOKUP(N62,setup!$A$8:$H$58,4),VLOOKUP(N62,setup!$A$8:$H$58,5),VLOOKUP(N62,setup!$A$8:$H$58,6),VLOOKUP(N62,setup!$A$8:$H$58,7), VLOOKUP(0,setup!$A$8:$H$58,2),VLOOKUP(0,setup!$A$8:$H$58,5),VLOOKUP(N62,setup!$A$8:$H$58,8))</f>
        <v xml:space="preserve">      body: FutureBuilder(</v>
      </c>
    </row>
    <row r="63" spans="1:15" x14ac:dyDescent="0.25">
      <c r="A63" s="20" t="s">
        <v>182</v>
      </c>
      <c r="O63" s="7" t="str">
        <f ca="1">getCodigoBackend(N63,A63,VLOOKUP(N63,setup!$A$8:$H$58,2),VLOOKUP(N63,setup!$A$8:$H$58,3),VLOOKUP(N63,setup!$A$8:$H$58,4),VLOOKUP(N63,setup!$A$8:$H$58,5),VLOOKUP(N63,setup!$A$8:$H$58,6),VLOOKUP(N63,setup!$A$8:$H$58,7), VLOOKUP(0,setup!$A$8:$H$58,2),VLOOKUP(0,setup!$A$8:$H$58,5),VLOOKUP(N63,setup!$A$8:$H$58,8))</f>
        <v xml:space="preserve">        future: _listUsuarioPublicidade(),</v>
      </c>
    </row>
    <row r="64" spans="1:15" x14ac:dyDescent="0.25">
      <c r="A64" s="20" t="s">
        <v>159</v>
      </c>
      <c r="O64" s="7" t="str">
        <f ca="1">getCodigoBackend(N64,A64,VLOOKUP(N64,setup!$A$8:$H$58,2),VLOOKUP(N64,setup!$A$8:$H$58,3),VLOOKUP(N64,setup!$A$8:$H$58,4),VLOOKUP(N64,setup!$A$8:$H$58,5),VLOOKUP(N64,setup!$A$8:$H$58,6),VLOOKUP(N64,setup!$A$8:$H$58,7), VLOOKUP(0,setup!$A$8:$H$58,2),VLOOKUP(0,setup!$A$8:$H$58,5),VLOOKUP(N64,setup!$A$8:$H$58,8))</f>
        <v xml:space="preserve">        builder: (BuildContext context, AsyncSnapshot&lt;Map&gt; snapshot){</v>
      </c>
    </row>
    <row r="65" spans="1:15" x14ac:dyDescent="0.25">
      <c r="A65" s="20" t="s">
        <v>160</v>
      </c>
      <c r="O65" s="7" t="str">
        <f ca="1">getCodigoBackend(N65,A65,VLOOKUP(N65,setup!$A$8:$H$58,2),VLOOKUP(N65,setup!$A$8:$H$58,3),VLOOKUP(N65,setup!$A$8:$H$58,4),VLOOKUP(N65,setup!$A$8:$H$58,5),VLOOKUP(N65,setup!$A$8:$H$58,6),VLOOKUP(N65,setup!$A$8:$H$58,7), VLOOKUP(0,setup!$A$8:$H$58,2),VLOOKUP(0,setup!$A$8:$H$58,5),VLOOKUP(N65,setup!$A$8:$H$58,8))</f>
        <v xml:space="preserve">          switch (snapshot.connectionState) {</v>
      </c>
    </row>
    <row r="66" spans="1:15" x14ac:dyDescent="0.25">
      <c r="A66" s="20" t="s">
        <v>161</v>
      </c>
      <c r="O66" s="7" t="str">
        <f ca="1">getCodigoBackend(N66,A66,VLOOKUP(N66,setup!$A$8:$H$58,2),VLOOKUP(N66,setup!$A$8:$H$58,3),VLOOKUP(N66,setup!$A$8:$H$58,4),VLOOKUP(N66,setup!$A$8:$H$58,5),VLOOKUP(N66,setup!$A$8:$H$58,6),VLOOKUP(N66,setup!$A$8:$H$58,7), VLOOKUP(0,setup!$A$8:$H$58,2),VLOOKUP(0,setup!$A$8:$H$58,5),VLOOKUP(N66,setup!$A$8:$H$58,8))</f>
        <v xml:space="preserve">            case ConnectionState.none:</v>
      </c>
    </row>
    <row r="67" spans="1:15" x14ac:dyDescent="0.25">
      <c r="A67" s="20" t="s">
        <v>162</v>
      </c>
      <c r="O67" s="7" t="str">
        <f ca="1">getCodigoBackend(N67,A67,VLOOKUP(N67,setup!$A$8:$H$58,2),VLOOKUP(N67,setup!$A$8:$H$58,3),VLOOKUP(N67,setup!$A$8:$H$58,4),VLOOKUP(N67,setup!$A$8:$H$58,5),VLOOKUP(N67,setup!$A$8:$H$58,6),VLOOKUP(N67,setup!$A$8:$H$58,7), VLOOKUP(0,setup!$A$8:$H$58,2),VLOOKUP(0,setup!$A$8:$H$58,5),VLOOKUP(N67,setup!$A$8:$H$58,8))</f>
        <v xml:space="preserve">              break;</v>
      </c>
    </row>
    <row r="68" spans="1:15" x14ac:dyDescent="0.25">
      <c r="A68" s="20" t="s">
        <v>163</v>
      </c>
      <c r="O68" s="7" t="str">
        <f ca="1">getCodigoBackend(N68,A68,VLOOKUP(N68,setup!$A$8:$H$58,2),VLOOKUP(N68,setup!$A$8:$H$58,3),VLOOKUP(N68,setup!$A$8:$H$58,4),VLOOKUP(N68,setup!$A$8:$H$58,5),VLOOKUP(N68,setup!$A$8:$H$58,6),VLOOKUP(N68,setup!$A$8:$H$58,7), VLOOKUP(0,setup!$A$8:$H$58,2),VLOOKUP(0,setup!$A$8:$H$58,5),VLOOKUP(N68,setup!$A$8:$H$58,8))</f>
        <v xml:space="preserve">            case ConnectionState.active:</v>
      </c>
    </row>
    <row r="69" spans="1:15" x14ac:dyDescent="0.25">
      <c r="A69" s="20" t="s">
        <v>164</v>
      </c>
      <c r="O69" s="7" t="str">
        <f ca="1">getCodigoBackend(N69,A69,VLOOKUP(N69,setup!$A$8:$H$58,2),VLOOKUP(N69,setup!$A$8:$H$58,3),VLOOKUP(N69,setup!$A$8:$H$58,4),VLOOKUP(N69,setup!$A$8:$H$58,5),VLOOKUP(N69,setup!$A$8:$H$58,6),VLOOKUP(N69,setup!$A$8:$H$58,7), VLOOKUP(0,setup!$A$8:$H$58,2),VLOOKUP(0,setup!$A$8:$H$58,5),VLOOKUP(N69,setup!$A$8:$H$58,8))</f>
        <v xml:space="preserve">            case ConnectionState.waiting:</v>
      </c>
    </row>
    <row r="70" spans="1:15" x14ac:dyDescent="0.25">
      <c r="A70" s="20" t="s">
        <v>165</v>
      </c>
      <c r="O70" s="7" t="str">
        <f ca="1">getCodigoBackend(N70,A70,VLOOKUP(N70,setup!$A$8:$H$58,2),VLOOKUP(N70,setup!$A$8:$H$58,3),VLOOKUP(N70,setup!$A$8:$H$58,4),VLOOKUP(N70,setup!$A$8:$H$58,5),VLOOKUP(N70,setup!$A$8:$H$58,6),VLOOKUP(N70,setup!$A$8:$H$58,7), VLOOKUP(0,setup!$A$8:$H$58,2),VLOOKUP(0,setup!$A$8:$H$58,5),VLOOKUP(N70,setup!$A$8:$H$58,8))</f>
        <v xml:space="preserve">              return new CommonLoading();</v>
      </c>
    </row>
    <row r="71" spans="1:15" x14ac:dyDescent="0.25">
      <c r="A71" s="20" t="s">
        <v>166</v>
      </c>
      <c r="O71" s="7" t="str">
        <f ca="1">getCodigoBackend(N71,A71,VLOOKUP(N71,setup!$A$8:$H$58,2),VLOOKUP(N71,setup!$A$8:$H$58,3),VLOOKUP(N71,setup!$A$8:$H$58,4),VLOOKUP(N71,setup!$A$8:$H$58,5),VLOOKUP(N71,setup!$A$8:$H$58,6),VLOOKUP(N71,setup!$A$8:$H$58,7), VLOOKUP(0,setup!$A$8:$H$58,2),VLOOKUP(0,setup!$A$8:$H$58,5),VLOOKUP(N71,setup!$A$8:$H$58,8))</f>
        <v xml:space="preserve">            case ConnectionState.done:</v>
      </c>
    </row>
    <row r="72" spans="1:15" x14ac:dyDescent="0.25">
      <c r="A72" s="20" t="s">
        <v>167</v>
      </c>
      <c r="O72" s="7" t="str">
        <f ca="1">getCodigoBackend(N72,A72,VLOOKUP(N72,setup!$A$8:$H$58,2),VLOOKUP(N72,setup!$A$8:$H$58,3),VLOOKUP(N72,setup!$A$8:$H$58,4),VLOOKUP(N72,setup!$A$8:$H$58,5),VLOOKUP(N72,setup!$A$8:$H$58,6),VLOOKUP(N72,setup!$A$8:$H$58,7), VLOOKUP(0,setup!$A$8:$H$58,2),VLOOKUP(0,setup!$A$8:$H$58,5),VLOOKUP(N72,setup!$A$8:$H$58,8))</f>
        <v xml:space="preserve">              if(snapshot.hasError) {</v>
      </c>
    </row>
    <row r="73" spans="1:15" x14ac:dyDescent="0.25">
      <c r="A73" s="20" t="s">
        <v>90</v>
      </c>
      <c r="O73" s="7" t="str">
        <f ca="1">getCodigoBackend(N73,A73,VLOOKUP(N73,setup!$A$8:$H$58,2),VLOOKUP(N73,setup!$A$8:$H$58,3),VLOOKUP(N73,setup!$A$8:$H$58,4),VLOOKUP(N73,setup!$A$8:$H$58,5),VLOOKUP(N73,setup!$A$8:$H$58,6),VLOOKUP(N73,setup!$A$8:$H$58,7), VLOOKUP(0,setup!$A$8:$H$58,2),VLOOKUP(0,setup!$A$8:$H$58,5),VLOOKUP(N73,setup!$A$8:$H$58,8))</f>
        <v xml:space="preserve">              }</v>
      </c>
    </row>
    <row r="74" spans="1:15" x14ac:dyDescent="0.25">
      <c r="A74" s="20" t="s">
        <v>168</v>
      </c>
      <c r="O74" s="7" t="str">
        <f ca="1">getCodigoBackend(N74,A74,VLOOKUP(N74,setup!$A$8:$H$58,2),VLOOKUP(N74,setup!$A$8:$H$58,3),VLOOKUP(N74,setup!$A$8:$H$58,4),VLOOKUP(N74,setup!$A$8:$H$58,5),VLOOKUP(N74,setup!$A$8:$H$58,6),VLOOKUP(N74,setup!$A$8:$H$58,7), VLOOKUP(0,setup!$A$8:$H$58,2),VLOOKUP(0,setup!$A$8:$H$58,5),VLOOKUP(N74,setup!$A$8:$H$58,8))</f>
        <v xml:space="preserve">              if(snapshot.hasData){</v>
      </c>
    </row>
    <row r="75" spans="1:15" x14ac:dyDescent="0.25">
      <c r="A75" s="20" t="s">
        <v>183</v>
      </c>
      <c r="O75" s="7" t="str">
        <f ca="1">getCodigoBackend(N75,A75,VLOOKUP(N75,setup!$A$8:$H$58,2),VLOOKUP(N75,setup!$A$8:$H$58,3),VLOOKUP(N75,setup!$A$8:$H$58,4),VLOOKUP(N75,setup!$A$8:$H$58,5),VLOOKUP(N75,setup!$A$8:$H$58,6),VLOOKUP(N75,setup!$A$8:$H$58,7), VLOOKUP(0,setup!$A$8:$H$58,2),VLOOKUP(0,setup!$A$8:$H$58,5),VLOOKUP(N75,setup!$A$8:$H$58,8))</f>
        <v xml:space="preserve">                return UsuarioPublicidadeLV(snapshot.data);</v>
      </c>
    </row>
    <row r="76" spans="1:15" x14ac:dyDescent="0.25">
      <c r="A76" s="20" t="s">
        <v>90</v>
      </c>
      <c r="O76" s="7" t="str">
        <f ca="1">getCodigoBackend(N76,A76,VLOOKUP(N76,setup!$A$8:$H$58,2),VLOOKUP(N76,setup!$A$8:$H$58,3),VLOOKUP(N76,setup!$A$8:$H$58,4),VLOOKUP(N76,setup!$A$8:$H$58,5),VLOOKUP(N76,setup!$A$8:$H$58,6),VLOOKUP(N76,setup!$A$8:$H$58,7), VLOOKUP(0,setup!$A$8:$H$58,2),VLOOKUP(0,setup!$A$8:$H$58,5),VLOOKUP(N76,setup!$A$8:$H$58,8))</f>
        <v xml:space="preserve">              }</v>
      </c>
    </row>
    <row r="77" spans="1:15" x14ac:dyDescent="0.25">
      <c r="A77" s="20" t="s">
        <v>162</v>
      </c>
      <c r="O77" s="7" t="str">
        <f ca="1">getCodigoBackend(N77,A77,VLOOKUP(N77,setup!$A$8:$H$58,2),VLOOKUP(N77,setup!$A$8:$H$58,3),VLOOKUP(N77,setup!$A$8:$H$58,4),VLOOKUP(N77,setup!$A$8:$H$58,5),VLOOKUP(N77,setup!$A$8:$H$58,6),VLOOKUP(N77,setup!$A$8:$H$58,7), VLOOKUP(0,setup!$A$8:$H$58,2),VLOOKUP(0,setup!$A$8:$H$58,5),VLOOKUP(N77,setup!$A$8:$H$58,8))</f>
        <v xml:space="preserve">              break;</v>
      </c>
    </row>
    <row r="78" spans="1:15" x14ac:dyDescent="0.25">
      <c r="A78" s="20" t="s">
        <v>169</v>
      </c>
      <c r="O78" s="7" t="str">
        <f ca="1">getCodigoBackend(N78,A78,VLOOKUP(N78,setup!$A$8:$H$58,2),VLOOKUP(N78,setup!$A$8:$H$58,3),VLOOKUP(N78,setup!$A$8:$H$58,4),VLOOKUP(N78,setup!$A$8:$H$58,5),VLOOKUP(N78,setup!$A$8:$H$58,6),VLOOKUP(N78,setup!$A$8:$H$58,7), VLOOKUP(0,setup!$A$8:$H$58,2),VLOOKUP(0,setup!$A$8:$H$58,5),VLOOKUP(N78,setup!$A$8:$H$58,8))</f>
        <v xml:space="preserve">            default:</v>
      </c>
    </row>
    <row r="79" spans="1:15" x14ac:dyDescent="0.25">
      <c r="A79" s="20" t="s">
        <v>170</v>
      </c>
      <c r="O79" s="7" t="str">
        <f ca="1">getCodigoBackend(N79,A79,VLOOKUP(N79,setup!$A$8:$H$58,2),VLOOKUP(N79,setup!$A$8:$H$58,3),VLOOKUP(N79,setup!$A$8:$H$58,4),VLOOKUP(N79,setup!$A$8:$H$58,5),VLOOKUP(N79,setup!$A$8:$H$58,6),VLOOKUP(N79,setup!$A$8:$H$58,7), VLOOKUP(0,setup!$A$8:$H$58,2),VLOOKUP(0,setup!$A$8:$H$58,5),VLOOKUP(N79,setup!$A$8:$H$58,8))</f>
        <v xml:space="preserve">              return new Container(</v>
      </c>
    </row>
    <row r="80" spans="1:15" x14ac:dyDescent="0.25">
      <c r="A80" s="20" t="s">
        <v>171</v>
      </c>
      <c r="O80" s="7" t="str">
        <f ca="1">getCodigoBackend(N80,A80,VLOOKUP(N80,setup!$A$8:$H$58,2),VLOOKUP(N80,setup!$A$8:$H$58,3),VLOOKUP(N80,setup!$A$8:$H$58,4),VLOOKUP(N80,setup!$A$8:$H$58,5),VLOOKUP(N80,setup!$A$8:$H$58,6),VLOOKUP(N80,setup!$A$8:$H$58,7), VLOOKUP(0,setup!$A$8:$H$58,2),VLOOKUP(0,setup!$A$8:$H$58,5),VLOOKUP(N80,setup!$A$8:$H$58,8))</f>
        <v xml:space="preserve">                height: 0.0,</v>
      </c>
    </row>
    <row r="81" spans="1:15" x14ac:dyDescent="0.25">
      <c r="A81" s="20" t="s">
        <v>172</v>
      </c>
      <c r="O81" s="7" t="str">
        <f ca="1">getCodigoBackend(N81,A81,VLOOKUP(N81,setup!$A$8:$H$58,2),VLOOKUP(N81,setup!$A$8:$H$58,3),VLOOKUP(N81,setup!$A$8:$H$58,4),VLOOKUP(N81,setup!$A$8:$H$58,5),VLOOKUP(N81,setup!$A$8:$H$58,6),VLOOKUP(N81,setup!$A$8:$H$58,7), VLOOKUP(0,setup!$A$8:$H$58,2),VLOOKUP(0,setup!$A$8:$H$58,5),VLOOKUP(N81,setup!$A$8:$H$58,8))</f>
        <v xml:space="preserve">                width: 0.0,</v>
      </c>
    </row>
    <row r="82" spans="1:15" x14ac:dyDescent="0.25">
      <c r="A82" s="20" t="s">
        <v>173</v>
      </c>
      <c r="O82" s="7" t="str">
        <f ca="1">getCodigoBackend(N82,A82,VLOOKUP(N82,setup!$A$8:$H$58,2),VLOOKUP(N82,setup!$A$8:$H$58,3),VLOOKUP(N82,setup!$A$8:$H$58,4),VLOOKUP(N82,setup!$A$8:$H$58,5),VLOOKUP(N82,setup!$A$8:$H$58,6),VLOOKUP(N82,setup!$A$8:$H$58,7), VLOOKUP(0,setup!$A$8:$H$58,2),VLOOKUP(0,setup!$A$8:$H$58,5),VLOOKUP(N82,setup!$A$8:$H$58,8))</f>
        <v xml:space="preserve">              );</v>
      </c>
    </row>
    <row r="83" spans="1:15" x14ac:dyDescent="0.25">
      <c r="A83" s="20" t="s">
        <v>174</v>
      </c>
      <c r="O83" s="7" t="str">
        <f ca="1">getCodigoBackend(N83,A83,VLOOKUP(N83,setup!$A$8:$H$58,2),VLOOKUP(N83,setup!$A$8:$H$58,3),VLOOKUP(N83,setup!$A$8:$H$58,4),VLOOKUP(N83,setup!$A$8:$H$58,5),VLOOKUP(N83,setup!$A$8:$H$58,6),VLOOKUP(N83,setup!$A$8:$H$58,7), VLOOKUP(0,setup!$A$8:$H$58,2),VLOOKUP(0,setup!$A$8:$H$58,5),VLOOKUP(N83,setup!$A$8:$H$58,8))</f>
        <v xml:space="preserve">          }</v>
      </c>
    </row>
    <row r="84" spans="1:15" x14ac:dyDescent="0.25">
      <c r="A84" s="20" t="s">
        <v>175</v>
      </c>
      <c r="O84" s="7" t="str">
        <f ca="1">getCodigoBackend(N84,A84,VLOOKUP(N84,setup!$A$8:$H$58,2),VLOOKUP(N84,setup!$A$8:$H$58,3),VLOOKUP(N84,setup!$A$8:$H$58,4),VLOOKUP(N84,setup!$A$8:$H$58,5),VLOOKUP(N84,setup!$A$8:$H$58,6),VLOOKUP(N84,setup!$A$8:$H$58,7), VLOOKUP(0,setup!$A$8:$H$58,2),VLOOKUP(0,setup!$A$8:$H$58,5),VLOOKUP(N84,setup!$A$8:$H$58,8))</f>
        <v xml:space="preserve">        },</v>
      </c>
    </row>
    <row r="85" spans="1:15" x14ac:dyDescent="0.25">
      <c r="A85" s="20" t="s">
        <v>104</v>
      </c>
      <c r="O85" s="7" t="str">
        <f ca="1">getCodigoBackend(N85,A85,VLOOKUP(N85,setup!$A$8:$H$58,2),VLOOKUP(N85,setup!$A$8:$H$58,3),VLOOKUP(N85,setup!$A$8:$H$58,4),VLOOKUP(N85,setup!$A$8:$H$58,5),VLOOKUP(N85,setup!$A$8:$H$58,6),VLOOKUP(N85,setup!$A$8:$H$58,7), VLOOKUP(0,setup!$A$8:$H$58,2),VLOOKUP(0,setup!$A$8:$H$58,5),VLOOKUP(N85,setup!$A$8:$H$58,8))</f>
        <v xml:space="preserve">      ),</v>
      </c>
    </row>
    <row r="86" spans="1:15" x14ac:dyDescent="0.25">
      <c r="A86" s="20" t="s">
        <v>40</v>
      </c>
      <c r="O86" s="7" t="str">
        <f ca="1">getCodigoBackend(N86,A86,VLOOKUP(N86,setup!$A$8:$H$58,2),VLOOKUP(N86,setup!$A$8:$H$58,3),VLOOKUP(N86,setup!$A$8:$H$58,4),VLOOKUP(N86,setup!$A$8:$H$58,5),VLOOKUP(N86,setup!$A$8:$H$58,6),VLOOKUP(N86,setup!$A$8:$H$58,7), VLOOKUP(0,setup!$A$8:$H$58,2),VLOOKUP(0,setup!$A$8:$H$58,5),VLOOKUP(N86,setup!$A$8:$H$58,8))</f>
        <v xml:space="preserve">    );</v>
      </c>
    </row>
    <row r="87" spans="1:15" x14ac:dyDescent="0.25">
      <c r="A87" s="20" t="s">
        <v>41</v>
      </c>
      <c r="O87" s="7" t="str">
        <f ca="1">getCodigoBackend(N87,A87,VLOOKUP(N87,setup!$A$8:$H$58,2),VLOOKUP(N87,setup!$A$8:$H$58,3),VLOOKUP(N87,setup!$A$8:$H$58,4),VLOOKUP(N87,setup!$A$8:$H$58,5),VLOOKUP(N87,setup!$A$8:$H$58,6),VLOOKUP(N87,setup!$A$8:$H$58,7), VLOOKUP(0,setup!$A$8:$H$58,2),VLOOKUP(0,setup!$A$8:$H$58,5),VLOOKUP(N87,setup!$A$8:$H$58,8))</f>
        <v xml:space="preserve">  }</v>
      </c>
    </row>
    <row r="88" spans="1:15" x14ac:dyDescent="0.25">
      <c r="A88" s="20" t="s">
        <v>16</v>
      </c>
      <c r="O88" s="7" t="str">
        <f ca="1">getCodigoBackend(N88,A88,VLOOKUP(N88,setup!$A$8:$H$58,2),VLOOKUP(N88,setup!$A$8:$H$58,3),VLOOKUP(N88,setup!$A$8:$H$58,4),VLOOKUP(N88,setup!$A$8:$H$58,5),VLOOKUP(N88,setup!$A$8:$H$58,6),VLOOKUP(N88,setup!$A$8:$H$58,7), VLOOKUP(0,setup!$A$8:$H$58,2),VLOOKUP(0,setup!$A$8:$H$58,5),VLOOKUP(N88,setup!$A$8:$H$58,8))</f>
        <v>}</v>
      </c>
    </row>
    <row r="89" spans="1:15" x14ac:dyDescent="0.25">
      <c r="A89" s="6"/>
      <c r="O89" s="7" t="str">
        <f ca="1">getCodigoBackend(N89,A89,VLOOKUP(N89,setup!$A$8:$H$58,2),VLOOKUP(N89,setup!$A$8:$H$58,3),VLOOKUP(N89,setup!$A$8:$H$58,4),VLOOKUP(N89,setup!$A$8:$H$58,5),VLOOKUP(N89,setup!$A$8:$H$58,6),VLOOKUP(N89,setup!$A$8:$H$58,7), VLOOKUP(0,setup!$A$8:$H$58,2),VLOOKUP(0,setup!$A$8:$H$58,5),VLOOKUP(N89,setup!$A$8:$H$58,8))</f>
        <v/>
      </c>
    </row>
    <row r="90" spans="1:15" x14ac:dyDescent="0.25">
      <c r="A90" s="6"/>
      <c r="O90" s="7" t="str">
        <f ca="1">getCodigoBackend(N90,A90,VLOOKUP(N90,setup!$A$8:$H$58,2),VLOOKUP(N90,setup!$A$8:$H$58,3),VLOOKUP(N90,setup!$A$8:$H$58,4),VLOOKUP(N90,setup!$A$8:$H$58,5),VLOOKUP(N90,setup!$A$8:$H$58,6),VLOOKUP(N90,setup!$A$8:$H$58,7), VLOOKUP(0,setup!$A$8:$H$58,2),VLOOKUP(0,setup!$A$8:$H$58,5),VLOOKUP(N90,setup!$A$8:$H$58,8))</f>
        <v/>
      </c>
    </row>
    <row r="91" spans="1:15" x14ac:dyDescent="0.25">
      <c r="A91" s="6"/>
      <c r="O91" s="7" t="str">
        <f ca="1">getCodigoBackend(N91,A91,VLOOKUP(N91,setup!$A$8:$H$58,2),VLOOKUP(N91,setup!$A$8:$H$58,3),VLOOKUP(N91,setup!$A$8:$H$58,4),VLOOKUP(N91,setup!$A$8:$H$58,5),VLOOKUP(N91,setup!$A$8:$H$58,6),VLOOKUP(N91,setup!$A$8:$H$58,7), VLOOKUP(0,setup!$A$8:$H$58,2),VLOOKUP(0,setup!$A$8:$H$58,5),VLOOKUP(N91,setup!$A$8:$H$58,8))</f>
        <v/>
      </c>
    </row>
    <row r="92" spans="1:15" x14ac:dyDescent="0.25">
      <c r="A92" s="6"/>
      <c r="O92" s="7" t="str">
        <f ca="1">getCodigoBackend(N92,A92,VLOOKUP(N92,setup!$A$8:$H$58,2),VLOOKUP(N92,setup!$A$8:$H$58,3),VLOOKUP(N92,setup!$A$8:$H$58,4),VLOOKUP(N92,setup!$A$8:$H$58,5),VLOOKUP(N92,setup!$A$8:$H$58,6),VLOOKUP(N92,setup!$A$8:$H$58,7), VLOOKUP(0,setup!$A$8:$H$58,2),VLOOKUP(0,setup!$A$8:$H$58,5),VLOOKUP(N92,setup!$A$8:$H$58,8))</f>
        <v/>
      </c>
    </row>
    <row r="93" spans="1:15" x14ac:dyDescent="0.25">
      <c r="A93" s="6"/>
      <c r="O93" s="7" t="str">
        <f ca="1">getCodigoBackend(N93,A93,VLOOKUP(N93,setup!$A$8:$H$58,2),VLOOKUP(N93,setup!$A$8:$H$58,3),VLOOKUP(N93,setup!$A$8:$H$58,4),VLOOKUP(N93,setup!$A$8:$H$58,5),VLOOKUP(N93,setup!$A$8:$H$58,6),VLOOKUP(N93,setup!$A$8:$H$58,7), VLOOKUP(0,setup!$A$8:$H$58,2),VLOOKUP(0,setup!$A$8:$H$58,5),VLOOKUP(N93,setup!$A$8:$H$58,8))</f>
        <v/>
      </c>
    </row>
    <row r="94" spans="1:15" x14ac:dyDescent="0.25">
      <c r="A94" s="6"/>
      <c r="O94" s="7" t="str">
        <f ca="1">getCodigoBackend(N94,A94,VLOOKUP(N94,setup!$A$8:$H$58,2),VLOOKUP(N94,setup!$A$8:$H$58,3),VLOOKUP(N94,setup!$A$8:$H$58,4),VLOOKUP(N94,setup!$A$8:$H$58,5),VLOOKUP(N94,setup!$A$8:$H$58,6),VLOOKUP(N94,setup!$A$8:$H$58,7), VLOOKUP(0,setup!$A$8:$H$58,2),VLOOKUP(0,setup!$A$8:$H$58,5),VLOOKUP(N94,setup!$A$8:$H$58,8))</f>
        <v/>
      </c>
    </row>
    <row r="95" spans="1:15" x14ac:dyDescent="0.25">
      <c r="A95" s="6"/>
      <c r="O95" s="7" t="str">
        <f ca="1">getCodigoBackend(N95,A95,VLOOKUP(N95,setup!$A$8:$H$58,2),VLOOKUP(N95,setup!$A$8:$H$58,3),VLOOKUP(N95,setup!$A$8:$H$58,4),VLOOKUP(N95,setup!$A$8:$H$58,5),VLOOKUP(N95,setup!$A$8:$H$58,6),VLOOKUP(N95,setup!$A$8:$H$58,7), VLOOKUP(0,setup!$A$8:$H$58,2),VLOOKUP(0,setup!$A$8:$H$58,5),VLOOKUP(N95,setup!$A$8:$H$58,8))</f>
        <v/>
      </c>
    </row>
    <row r="96" spans="1:15" x14ac:dyDescent="0.25">
      <c r="A96" s="6"/>
      <c r="O96" s="7" t="str">
        <f ca="1">getCodigoBackend(N96,A96,VLOOKUP(N96,setup!$A$8:$H$58,2),VLOOKUP(N96,setup!$A$8:$H$58,3),VLOOKUP(N96,setup!$A$8:$H$58,4),VLOOKUP(N96,setup!$A$8:$H$58,5),VLOOKUP(N96,setup!$A$8:$H$58,6),VLOOKUP(N96,setup!$A$8:$H$58,7), VLOOKUP(0,setup!$A$8:$H$58,2),VLOOKUP(0,setup!$A$8:$H$58,5),VLOOKUP(N96,setup!$A$8:$H$58,8))</f>
        <v/>
      </c>
    </row>
    <row r="97" spans="1:15" x14ac:dyDescent="0.25">
      <c r="A97" s="6"/>
      <c r="O97" s="7" t="str">
        <f ca="1">getCodigoBackend(N97,A97,VLOOKUP(N97,setup!$A$8:$H$58,2),VLOOKUP(N97,setup!$A$8:$H$58,3),VLOOKUP(N97,setup!$A$8:$H$58,4),VLOOKUP(N97,setup!$A$8:$H$58,5),VLOOKUP(N97,setup!$A$8:$H$58,6),VLOOKUP(N97,setup!$A$8:$H$58,7), VLOOKUP(0,setup!$A$8:$H$58,2),VLOOKUP(0,setup!$A$8:$H$58,5),VLOOKUP(N97,setup!$A$8:$H$58,8))</f>
        <v/>
      </c>
    </row>
    <row r="98" spans="1:15" x14ac:dyDescent="0.25">
      <c r="A98" s="6"/>
      <c r="O98" s="7" t="str">
        <f ca="1">getCodigoBackend(N98,A98,VLOOKUP(N98,setup!$A$8:$H$58,2),VLOOKUP(N98,setup!$A$8:$H$58,3),VLOOKUP(N98,setup!$A$8:$H$58,4),VLOOKUP(N98,setup!$A$8:$H$58,5),VLOOKUP(N98,setup!$A$8:$H$58,6),VLOOKUP(N98,setup!$A$8:$H$58,7), VLOOKUP(0,setup!$A$8:$H$58,2),VLOOKUP(0,setup!$A$8:$H$58,5),VLOOKUP(N98,setup!$A$8:$H$58,8))</f>
        <v/>
      </c>
    </row>
    <row r="99" spans="1:15" x14ac:dyDescent="0.25">
      <c r="A99" s="6"/>
      <c r="O99" s="7" t="str">
        <f ca="1">getCodigoBackend(N99,A99,VLOOKUP(N99,setup!$A$8:$H$58,2),VLOOKUP(N99,setup!$A$8:$H$58,3),VLOOKUP(N99,setup!$A$8:$H$58,4),VLOOKUP(N99,setup!$A$8:$H$58,5),VLOOKUP(N99,setup!$A$8:$H$58,6),VLOOKUP(N99,setup!$A$8:$H$58,7), VLOOKUP(0,setup!$A$8:$H$58,2),VLOOKUP(0,setup!$A$8:$H$58,5),VLOOKUP(N99,setup!$A$8:$H$58,8))</f>
        <v/>
      </c>
    </row>
    <row r="100" spans="1:15" x14ac:dyDescent="0.25">
      <c r="A100" s="6"/>
      <c r="O100" s="7" t="str">
        <f ca="1">getCodigoBackend(N100,A100,VLOOKUP(N100,setup!$A$8:$H$58,2),VLOOKUP(N100,setup!$A$8:$H$58,3),VLOOKUP(N100,setup!$A$8:$H$58,4),VLOOKUP(N100,setup!$A$8:$H$58,5),VLOOKUP(N100,setup!$A$8:$H$58,6),VLOOKUP(N100,setup!$A$8:$H$58,7), VLOOKUP(0,setup!$A$8:$H$58,2),VLOOKUP(0,setup!$A$8:$H$58,5),VLOOKUP(N100,setup!$A$8:$H$58,8))</f>
        <v/>
      </c>
    </row>
    <row r="101" spans="1:15" x14ac:dyDescent="0.25">
      <c r="A101" s="6"/>
      <c r="O101" s="7" t="str">
        <f ca="1">getCodigoBackend(N101,A101,VLOOKUP(N101,setup!$A$8:$H$58,2),VLOOKUP(N101,setup!$A$8:$H$58,3),VLOOKUP(N101,setup!$A$8:$H$58,4),VLOOKUP(N101,setup!$A$8:$H$58,5),VLOOKUP(N101,setup!$A$8:$H$58,6),VLOOKUP(N101,setup!$A$8:$H$58,7), VLOOKUP(0,setup!$A$8:$H$58,2),VLOOKUP(0,setup!$A$8:$H$58,5),VLOOKUP(N101,setup!$A$8:$H$58,8))</f>
        <v/>
      </c>
    </row>
    <row r="102" spans="1:15" x14ac:dyDescent="0.25">
      <c r="A102" s="6"/>
      <c r="O102" s="7" t="str">
        <f ca="1">getCodigoBackend(N102,A102,VLOOKUP(N102,setup!$A$8:$H$58,2),VLOOKUP(N102,setup!$A$8:$H$58,3),VLOOKUP(N102,setup!$A$8:$H$58,4),VLOOKUP(N102,setup!$A$8:$H$58,5),VLOOKUP(N102,setup!$A$8:$H$58,6),VLOOKUP(N102,setup!$A$8:$H$58,7), VLOOKUP(0,setup!$A$8:$H$58,2),VLOOKUP(0,setup!$A$8:$H$58,5),VLOOKUP(N102,setup!$A$8:$H$58,8))</f>
        <v/>
      </c>
    </row>
    <row r="103" spans="1:15" x14ac:dyDescent="0.25">
      <c r="A103" s="6"/>
      <c r="O103" s="7" t="str">
        <f ca="1">getCodigoBackend(N103,A103,VLOOKUP(N103,setup!$A$8:$H$58,2),VLOOKUP(N103,setup!$A$8:$H$58,3),VLOOKUP(N103,setup!$A$8:$H$58,4),VLOOKUP(N103,setup!$A$8:$H$58,5),VLOOKUP(N103,setup!$A$8:$H$58,6),VLOOKUP(N103,setup!$A$8:$H$58,7), VLOOKUP(0,setup!$A$8:$H$58,2),VLOOKUP(0,setup!$A$8:$H$58,5),VLOOKUP(N103,setup!$A$8:$H$58,8))</f>
        <v/>
      </c>
    </row>
    <row r="104" spans="1:15" x14ac:dyDescent="0.25">
      <c r="A104" s="6"/>
      <c r="O104" s="7" t="str">
        <f ca="1">getCodigoBackend(N104,A104,VLOOKUP(N104,setup!$A$8:$H$58,2),VLOOKUP(N104,setup!$A$8:$H$58,3),VLOOKUP(N104,setup!$A$8:$H$58,4),VLOOKUP(N104,setup!$A$8:$H$58,5),VLOOKUP(N104,setup!$A$8:$H$58,6),VLOOKUP(N104,setup!$A$8:$H$58,7), VLOOKUP(0,setup!$A$8:$H$58,2),VLOOKUP(0,setup!$A$8:$H$58,5),VLOOKUP(N104,setup!$A$8:$H$58,8))</f>
        <v/>
      </c>
    </row>
    <row r="105" spans="1:15" x14ac:dyDescent="0.25">
      <c r="A105" s="6"/>
      <c r="O105" s="7" t="str">
        <f ca="1">getCodigoBackend(N105,A105,VLOOKUP(N105,setup!$A$8:$H$58,2),VLOOKUP(N105,setup!$A$8:$H$58,3),VLOOKUP(N105,setup!$A$8:$H$58,4),VLOOKUP(N105,setup!$A$8:$H$58,5),VLOOKUP(N105,setup!$A$8:$H$58,6),VLOOKUP(N105,setup!$A$8:$H$58,7), VLOOKUP(0,setup!$A$8:$H$58,2),VLOOKUP(0,setup!$A$8:$H$58,5),VLOOKUP(N105,setup!$A$8:$H$58,8))</f>
        <v/>
      </c>
    </row>
    <row r="106" spans="1:15" x14ac:dyDescent="0.25">
      <c r="A106" s="6"/>
      <c r="O106" s="7" t="str">
        <f ca="1">getCodigoBackend(N106,A106,VLOOKUP(N106,setup!$A$8:$H$58,2),VLOOKUP(N106,setup!$A$8:$H$58,3),VLOOKUP(N106,setup!$A$8:$H$58,4),VLOOKUP(N106,setup!$A$8:$H$58,5),VLOOKUP(N106,setup!$A$8:$H$58,6),VLOOKUP(N106,setup!$A$8:$H$58,7), VLOOKUP(0,setup!$A$8:$H$58,2),VLOOKUP(0,setup!$A$8:$H$58,5),VLOOKUP(N106,setup!$A$8:$H$58,8))</f>
        <v/>
      </c>
    </row>
    <row r="107" spans="1:15" x14ac:dyDescent="0.25">
      <c r="A107" s="6"/>
      <c r="O107" s="7" t="str">
        <f ca="1">getCodigoBackend(N107,A107,VLOOKUP(N107,setup!$A$8:$H$58,2),VLOOKUP(N107,setup!$A$8:$H$58,3),VLOOKUP(N107,setup!$A$8:$H$58,4),VLOOKUP(N107,setup!$A$8:$H$58,5),VLOOKUP(N107,setup!$A$8:$H$58,6),VLOOKUP(N107,setup!$A$8:$H$58,7), VLOOKUP(0,setup!$A$8:$H$58,2),VLOOKUP(0,setup!$A$8:$H$58,5),VLOOKUP(N107,setup!$A$8:$H$58,8))</f>
        <v/>
      </c>
    </row>
    <row r="108" spans="1:15" x14ac:dyDescent="0.25">
      <c r="A108" s="6"/>
      <c r="O108" s="7" t="str">
        <f ca="1">getCodigoBackend(N108,A108,VLOOKUP(N108,setup!$A$8:$H$58,2),VLOOKUP(N108,setup!$A$8:$H$58,3),VLOOKUP(N108,setup!$A$8:$H$58,4),VLOOKUP(N108,setup!$A$8:$H$58,5),VLOOKUP(N108,setup!$A$8:$H$58,6),VLOOKUP(N108,setup!$A$8:$H$58,7), VLOOKUP(0,setup!$A$8:$H$58,2),VLOOKUP(0,setup!$A$8:$H$58,5),VLOOKUP(N108,setup!$A$8:$H$58,8))</f>
        <v/>
      </c>
    </row>
    <row r="109" spans="1:15" x14ac:dyDescent="0.25">
      <c r="A109" s="6"/>
      <c r="O109" s="7" t="str">
        <f ca="1">getCodigoBackend(N109,A109,VLOOKUP(N109,setup!$A$8:$H$58,2),VLOOKUP(N109,setup!$A$8:$H$58,3),VLOOKUP(N109,setup!$A$8:$H$58,4),VLOOKUP(N109,setup!$A$8:$H$58,5),VLOOKUP(N109,setup!$A$8:$H$58,6),VLOOKUP(N109,setup!$A$8:$H$58,7), VLOOKUP(0,setup!$A$8:$H$58,2),VLOOKUP(0,setup!$A$8:$H$58,5),VLOOKUP(N109,setup!$A$8:$H$58,8))</f>
        <v/>
      </c>
    </row>
    <row r="110" spans="1:15" x14ac:dyDescent="0.25">
      <c r="A110" s="6"/>
      <c r="O110" s="7" t="str">
        <f ca="1">getCodigoBackend(N110,A110,VLOOKUP(N110,setup!$A$8:$H$58,2),VLOOKUP(N110,setup!$A$8:$H$58,3),VLOOKUP(N110,setup!$A$8:$H$58,4),VLOOKUP(N110,setup!$A$8:$H$58,5),VLOOKUP(N110,setup!$A$8:$H$58,6),VLOOKUP(N110,setup!$A$8:$H$58,7), VLOOKUP(0,setup!$A$8:$H$58,2),VLOOKUP(0,setup!$A$8:$H$58,5),VLOOKUP(N110,setup!$A$8:$H$58,8))</f>
        <v/>
      </c>
    </row>
    <row r="111" spans="1:15" x14ac:dyDescent="0.25">
      <c r="A111" s="6"/>
      <c r="O111" s="7" t="str">
        <f ca="1">getCodigoBackend(N111,A111,VLOOKUP(N111,setup!$A$8:$H$58,2),VLOOKUP(N111,setup!$A$8:$H$58,3),VLOOKUP(N111,setup!$A$8:$H$58,4),VLOOKUP(N111,setup!$A$8:$H$58,5),VLOOKUP(N111,setup!$A$8:$H$58,6),VLOOKUP(N111,setup!$A$8:$H$58,7), VLOOKUP(0,setup!$A$8:$H$58,2),VLOOKUP(0,setup!$A$8:$H$58,5),VLOOKUP(N111,setup!$A$8:$H$58,8))</f>
        <v/>
      </c>
    </row>
    <row r="112" spans="1:15" x14ac:dyDescent="0.25">
      <c r="A112" s="6"/>
      <c r="O112" s="7" t="str">
        <f ca="1">getCodigoBackend(N112,A112,VLOOKUP(N112,setup!$A$8:$H$58,2),VLOOKUP(N112,setup!$A$8:$H$58,3),VLOOKUP(N112,setup!$A$8:$H$58,4),VLOOKUP(N112,setup!$A$8:$H$58,5),VLOOKUP(N112,setup!$A$8:$H$58,6),VLOOKUP(N112,setup!$A$8:$H$58,7), VLOOKUP(0,setup!$A$8:$H$58,2),VLOOKUP(0,setup!$A$8:$H$58,5),VLOOKUP(N112,setup!$A$8:$H$58,8))</f>
        <v/>
      </c>
    </row>
    <row r="113" spans="1:15" x14ac:dyDescent="0.25">
      <c r="A113" s="6"/>
      <c r="O113" s="7" t="str">
        <f ca="1">getCodigoBackend(N113,A113,VLOOKUP(N113,setup!$A$8:$H$58,2),VLOOKUP(N113,setup!$A$8:$H$58,3),VLOOKUP(N113,setup!$A$8:$H$58,4),VLOOKUP(N113,setup!$A$8:$H$58,5),VLOOKUP(N113,setup!$A$8:$H$58,6),VLOOKUP(N113,setup!$A$8:$H$58,7), VLOOKUP(0,setup!$A$8:$H$58,2),VLOOKUP(0,setup!$A$8:$H$58,5),VLOOKUP(N113,setup!$A$8:$H$58,8))</f>
        <v/>
      </c>
    </row>
    <row r="114" spans="1:15" x14ac:dyDescent="0.25">
      <c r="A114" s="6"/>
      <c r="O114" s="7" t="str">
        <f ca="1">getCodigoBackend(N114,A114,VLOOKUP(N114,setup!$A$8:$H$58,2),VLOOKUP(N114,setup!$A$8:$H$58,3),VLOOKUP(N114,setup!$A$8:$H$58,4),VLOOKUP(N114,setup!$A$8:$H$58,5),VLOOKUP(N114,setup!$A$8:$H$58,6),VLOOKUP(N114,setup!$A$8:$H$58,7), VLOOKUP(0,setup!$A$8:$H$58,2),VLOOKUP(0,setup!$A$8:$H$58,5),VLOOKUP(N114,setup!$A$8:$H$58,8))</f>
        <v/>
      </c>
    </row>
    <row r="115" spans="1:15" x14ac:dyDescent="0.25">
      <c r="A115" s="6"/>
      <c r="O115" s="7" t="str">
        <f ca="1">getCodigoBackend(N115,A115,VLOOKUP(N115,setup!$A$8:$H$58,2),VLOOKUP(N115,setup!$A$8:$H$58,3),VLOOKUP(N115,setup!$A$8:$H$58,4),VLOOKUP(N115,setup!$A$8:$H$58,5),VLOOKUP(N115,setup!$A$8:$H$58,6),VLOOKUP(N115,setup!$A$8:$H$58,7), VLOOKUP(0,setup!$A$8:$H$58,2),VLOOKUP(0,setup!$A$8:$H$58,5),VLOOKUP(N115,setup!$A$8:$H$58,8))</f>
        <v/>
      </c>
    </row>
    <row r="116" spans="1:15" x14ac:dyDescent="0.25">
      <c r="A116" s="6"/>
      <c r="O116" s="7" t="str">
        <f ca="1">getCodigoBackend(N116,A116,VLOOKUP(N116,setup!$A$8:$H$58,2),VLOOKUP(N116,setup!$A$8:$H$58,3),VLOOKUP(N116,setup!$A$8:$H$58,4),VLOOKUP(N116,setup!$A$8:$H$58,5),VLOOKUP(N116,setup!$A$8:$H$58,6),VLOOKUP(N116,setup!$A$8:$H$58,7), VLOOKUP(0,setup!$A$8:$H$58,2),VLOOKUP(0,setup!$A$8:$H$58,5),VLOOKUP(N116,setup!$A$8:$H$58,8))</f>
        <v/>
      </c>
    </row>
    <row r="117" spans="1:15" x14ac:dyDescent="0.25">
      <c r="A117" s="6"/>
      <c r="O117" s="7" t="str">
        <f ca="1">getCodigoBackend(N117,A117,VLOOKUP(N117,setup!$A$8:$H$58,2),VLOOKUP(N117,setup!$A$8:$H$58,3),VLOOKUP(N117,setup!$A$8:$H$58,4),VLOOKUP(N117,setup!$A$8:$H$58,5),VLOOKUP(N117,setup!$A$8:$H$58,6),VLOOKUP(N117,setup!$A$8:$H$58,7), VLOOKUP(0,setup!$A$8:$H$58,2),VLOOKUP(0,setup!$A$8:$H$58,5),VLOOKUP(N117,setup!$A$8:$H$58,8))</f>
        <v/>
      </c>
    </row>
    <row r="118" spans="1:15" x14ac:dyDescent="0.25">
      <c r="A118" s="6"/>
      <c r="O118" s="7" t="str">
        <f ca="1">getCodigoBackend(N118,A118,VLOOKUP(N118,setup!$A$8:$H$58,2),VLOOKUP(N118,setup!$A$8:$H$58,3),VLOOKUP(N118,setup!$A$8:$H$58,4),VLOOKUP(N118,setup!$A$8:$H$58,5),VLOOKUP(N118,setup!$A$8:$H$58,6),VLOOKUP(N118,setup!$A$8:$H$58,7), VLOOKUP(0,setup!$A$8:$H$58,2),VLOOKUP(0,setup!$A$8:$H$58,5),VLOOKUP(N118,setup!$A$8:$H$58,8))</f>
        <v/>
      </c>
    </row>
    <row r="119" spans="1:15" x14ac:dyDescent="0.25">
      <c r="A119" s="6"/>
      <c r="O119" s="7" t="str">
        <f ca="1">getCodigoBackend(N119,A119,VLOOKUP(N119,setup!$A$8:$H$58,2),VLOOKUP(N119,setup!$A$8:$H$58,3),VLOOKUP(N119,setup!$A$8:$H$58,4),VLOOKUP(N119,setup!$A$8:$H$58,5),VLOOKUP(N119,setup!$A$8:$H$58,6),VLOOKUP(N119,setup!$A$8:$H$58,7), VLOOKUP(0,setup!$A$8:$H$58,2),VLOOKUP(0,setup!$A$8:$H$58,5),VLOOKUP(N119,setup!$A$8:$H$58,8))</f>
        <v/>
      </c>
    </row>
    <row r="120" spans="1:15" x14ac:dyDescent="0.25">
      <c r="A120" s="6"/>
      <c r="O120" s="7" t="str">
        <f ca="1">getCodigoBackend(N120,A120,VLOOKUP(N120,setup!$A$8:$H$58,2),VLOOKUP(N120,setup!$A$8:$H$58,3),VLOOKUP(N120,setup!$A$8:$H$58,4),VLOOKUP(N120,setup!$A$8:$H$58,5),VLOOKUP(N120,setup!$A$8:$H$58,6),VLOOKUP(N120,setup!$A$8:$H$58,7), VLOOKUP(0,setup!$A$8:$H$58,2),VLOOKUP(0,setup!$A$8:$H$58,5),VLOOKUP(N120,setup!$A$8:$H$58,8))</f>
        <v/>
      </c>
    </row>
    <row r="121" spans="1:15" x14ac:dyDescent="0.25">
      <c r="A121" s="6"/>
      <c r="O121" s="7" t="str">
        <f ca="1">getCodigoBackend(N121,A121,VLOOKUP(N121,setup!$A$8:$H$58,2),VLOOKUP(N121,setup!$A$8:$H$58,3),VLOOKUP(N121,setup!$A$8:$H$58,4),VLOOKUP(N121,setup!$A$8:$H$58,5),VLOOKUP(N121,setup!$A$8:$H$58,6),VLOOKUP(N121,setup!$A$8:$H$58,7), VLOOKUP(0,setup!$A$8:$H$58,2),VLOOKUP(0,setup!$A$8:$H$58,5),VLOOKUP(N121,setup!$A$8:$H$58,8))</f>
        <v/>
      </c>
    </row>
    <row r="122" spans="1:15" x14ac:dyDescent="0.25">
      <c r="A122" s="6"/>
      <c r="O122" s="7" t="str">
        <f ca="1">getCodigoBackend(N122,A122,VLOOKUP(N122,setup!$A$8:$H$58,2),VLOOKUP(N122,setup!$A$8:$H$58,3),VLOOKUP(N122,setup!$A$8:$H$58,4),VLOOKUP(N122,setup!$A$8:$H$58,5),VLOOKUP(N122,setup!$A$8:$H$58,6),VLOOKUP(N122,setup!$A$8:$H$58,7), VLOOKUP(0,setup!$A$8:$H$58,2),VLOOKUP(0,setup!$A$8:$H$58,5),VLOOKUP(N122,setup!$A$8:$H$58,8))</f>
        <v/>
      </c>
    </row>
    <row r="123" spans="1:15" x14ac:dyDescent="0.25">
      <c r="A123" s="6"/>
      <c r="O123" s="7" t="str">
        <f ca="1">getCodigoBackend(N123,A123,VLOOKUP(N123,setup!$A$8:$H$58,2),VLOOKUP(N123,setup!$A$8:$H$58,3),VLOOKUP(N123,setup!$A$8:$H$58,4),VLOOKUP(N123,setup!$A$8:$H$58,5),VLOOKUP(N123,setup!$A$8:$H$58,6),VLOOKUP(N123,setup!$A$8:$H$58,7), VLOOKUP(0,setup!$A$8:$H$58,2),VLOOKUP(0,setup!$A$8:$H$58,5),VLOOKUP(N123,setup!$A$8:$H$58,8))</f>
        <v/>
      </c>
    </row>
    <row r="124" spans="1:15" x14ac:dyDescent="0.25">
      <c r="A124" s="6"/>
      <c r="O124" s="7" t="str">
        <f ca="1">getCodigoBackend(N124,A124,VLOOKUP(N124,setup!$A$8:$H$58,2),VLOOKUP(N124,setup!$A$8:$H$58,3),VLOOKUP(N124,setup!$A$8:$H$58,4),VLOOKUP(N124,setup!$A$8:$H$58,5),VLOOKUP(N124,setup!$A$8:$H$58,6),VLOOKUP(N124,setup!$A$8:$H$58,7), VLOOKUP(0,setup!$A$8:$H$58,2),VLOOKUP(0,setup!$A$8:$H$58,5),VLOOKUP(N124,setup!$A$8:$H$58,8))</f>
        <v/>
      </c>
    </row>
    <row r="125" spans="1:15" x14ac:dyDescent="0.25">
      <c r="A125" s="6"/>
      <c r="O125" s="7" t="str">
        <f ca="1">getCodigoBackend(N125,A125,VLOOKUP(N125,setup!$A$8:$H$58,2),VLOOKUP(N125,setup!$A$8:$H$58,3),VLOOKUP(N125,setup!$A$8:$H$58,4),VLOOKUP(N125,setup!$A$8:$H$58,5),VLOOKUP(N125,setup!$A$8:$H$58,6),VLOOKUP(N125,setup!$A$8:$H$58,7), VLOOKUP(0,setup!$A$8:$H$58,2),VLOOKUP(0,setup!$A$8:$H$58,5),VLOOKUP(N125,setup!$A$8:$H$58,8))</f>
        <v/>
      </c>
    </row>
    <row r="126" spans="1:15" x14ac:dyDescent="0.25">
      <c r="A126" s="6"/>
      <c r="O126" s="7" t="str">
        <f ca="1">getCodigoBackend(N126,A126,VLOOKUP(N126,setup!$A$8:$H$58,2),VLOOKUP(N126,setup!$A$8:$H$58,3),VLOOKUP(N126,setup!$A$8:$H$58,4),VLOOKUP(N126,setup!$A$8:$H$58,5),VLOOKUP(N126,setup!$A$8:$H$58,6),VLOOKUP(N126,setup!$A$8:$H$58,7), VLOOKUP(0,setup!$A$8:$H$58,2),VLOOKUP(0,setup!$A$8:$H$58,5),VLOOKUP(N126,setup!$A$8:$H$58,8))</f>
        <v/>
      </c>
    </row>
    <row r="127" spans="1:15" x14ac:dyDescent="0.25">
      <c r="A127" s="6"/>
      <c r="O127" s="7" t="str">
        <f ca="1">getCodigoBackend(N127,A127,VLOOKUP(N127,setup!$A$8:$H$58,2),VLOOKUP(N127,setup!$A$8:$H$58,3),VLOOKUP(N127,setup!$A$8:$H$58,4),VLOOKUP(N127,setup!$A$8:$H$58,5),VLOOKUP(N127,setup!$A$8:$H$58,6),VLOOKUP(N127,setup!$A$8:$H$58,7), VLOOKUP(0,setup!$A$8:$H$58,2),VLOOKUP(0,setup!$A$8:$H$58,5),VLOOKUP(N127,setup!$A$8:$H$58,8))</f>
        <v/>
      </c>
    </row>
    <row r="128" spans="1:15" x14ac:dyDescent="0.25">
      <c r="A128" s="6"/>
      <c r="O128" s="7" t="str">
        <f ca="1">getCodigoBackend(N128,A128,VLOOKUP(N128,setup!$A$8:$H$58,2),VLOOKUP(N128,setup!$A$8:$H$58,3),VLOOKUP(N128,setup!$A$8:$H$58,4),VLOOKUP(N128,setup!$A$8:$H$58,5),VLOOKUP(N128,setup!$A$8:$H$58,6),VLOOKUP(N128,setup!$A$8:$H$58,7), VLOOKUP(0,setup!$A$8:$H$58,2),VLOOKUP(0,setup!$A$8:$H$58,5),VLOOKUP(N128,setup!$A$8:$H$58,8))</f>
        <v/>
      </c>
    </row>
    <row r="129" spans="1:15" x14ac:dyDescent="0.25">
      <c r="A129" s="6"/>
      <c r="O129" s="7" t="str">
        <f ca="1">getCodigoBackend(N129,A129,VLOOKUP(N129,setup!$A$8:$H$58,2),VLOOKUP(N129,setup!$A$8:$H$58,3),VLOOKUP(N129,setup!$A$8:$H$58,4),VLOOKUP(N129,setup!$A$8:$H$58,5),VLOOKUP(N129,setup!$A$8:$H$58,6),VLOOKUP(N129,setup!$A$8:$H$58,7), VLOOKUP(0,setup!$A$8:$H$58,2),VLOOKUP(0,setup!$A$8:$H$58,5),VLOOKUP(N129,setup!$A$8:$H$58,8))</f>
        <v/>
      </c>
    </row>
    <row r="130" spans="1:15" x14ac:dyDescent="0.25">
      <c r="A130" s="6"/>
      <c r="O130" s="7" t="str">
        <f ca="1">getCodigoBackend(N130,A130,VLOOKUP(N130,setup!$A$8:$H$58,2),VLOOKUP(N130,setup!$A$8:$H$58,3),VLOOKUP(N130,setup!$A$8:$H$58,4),VLOOKUP(N130,setup!$A$8:$H$58,5),VLOOKUP(N130,setup!$A$8:$H$58,6),VLOOKUP(N130,setup!$A$8:$H$58,7), VLOOKUP(0,setup!$A$8:$H$58,2),VLOOKUP(0,setup!$A$8:$H$58,5),VLOOKUP(N130,setup!$A$8:$H$58,8))</f>
        <v/>
      </c>
    </row>
    <row r="131" spans="1:15" x14ac:dyDescent="0.25">
      <c r="A131" s="6"/>
      <c r="O131" s="7" t="str">
        <f ca="1">getCodigoBackend(N131,A131,VLOOKUP(N131,setup!$A$8:$H$58,2),VLOOKUP(N131,setup!$A$8:$H$58,3),VLOOKUP(N131,setup!$A$8:$H$58,4),VLOOKUP(N131,setup!$A$8:$H$58,5),VLOOKUP(N131,setup!$A$8:$H$58,6),VLOOKUP(N131,setup!$A$8:$H$58,7), VLOOKUP(0,setup!$A$8:$H$58,2),VLOOKUP(0,setup!$A$8:$H$58,5),VLOOKUP(N131,setup!$A$8:$H$58,8))</f>
        <v/>
      </c>
    </row>
    <row r="132" spans="1:15" x14ac:dyDescent="0.25">
      <c r="A132" s="6"/>
      <c r="O132" s="7" t="str">
        <f ca="1">getCodigoBackend(N132,A132,VLOOKUP(N132,setup!$A$8:$H$58,2),VLOOKUP(N132,setup!$A$8:$H$58,3),VLOOKUP(N132,setup!$A$8:$H$58,4),VLOOKUP(N132,setup!$A$8:$H$58,5),VLOOKUP(N132,setup!$A$8:$H$58,6),VLOOKUP(N132,setup!$A$8:$H$58,7), VLOOKUP(0,setup!$A$8:$H$58,2),VLOOKUP(0,setup!$A$8:$H$58,5),VLOOKUP(N132,setup!$A$8:$H$58,8))</f>
        <v/>
      </c>
    </row>
    <row r="133" spans="1:15" x14ac:dyDescent="0.25">
      <c r="A133" s="12"/>
      <c r="O133" s="7" t="str">
        <f ca="1">getCodigoBackend(N133,A133,VLOOKUP(N133,setup!$A$8:$H$58,2),VLOOKUP(N133,setup!$A$8:$H$58,3),VLOOKUP(N133,setup!$A$8:$H$58,4),VLOOKUP(N133,setup!$A$8:$H$58,5),VLOOKUP(N133,setup!$A$8:$H$58,6),VLOOKUP(N133,setup!$A$8:$H$58,7), VLOOKUP(0,setup!$A$8:$H$58,2),VLOOKUP(0,setup!$A$8:$H$58,5),VLOOKUP(N133,setup!$A$8:$H$58,8))</f>
        <v/>
      </c>
    </row>
    <row r="134" spans="1:15" x14ac:dyDescent="0.25">
      <c r="A134" s="6"/>
      <c r="O134" s="7" t="str">
        <f ca="1">getCodigoBackend(N134,A134,VLOOKUP(N134,setup!$A$8:$H$58,2),VLOOKUP(N134,setup!$A$8:$H$58,3),VLOOKUP(N134,setup!$A$8:$H$58,4),VLOOKUP(N134,setup!$A$8:$H$58,5),VLOOKUP(N134,setup!$A$8:$H$58,6),VLOOKUP(N134,setup!$A$8:$H$58,7), VLOOKUP(0,setup!$A$8:$H$58,2),VLOOKUP(0,setup!$A$8:$H$58,5),VLOOKUP(N134,setup!$A$8:$H$58,8))</f>
        <v/>
      </c>
    </row>
    <row r="135" spans="1:15" x14ac:dyDescent="0.25">
      <c r="A135" s="6"/>
      <c r="O135" s="7" t="str">
        <f ca="1">getCodigoBackend(N135,A135,VLOOKUP(N135,setup!$A$8:$H$58,2),VLOOKUP(N135,setup!$A$8:$H$58,3),VLOOKUP(N135,setup!$A$8:$H$58,4),VLOOKUP(N135,setup!$A$8:$H$58,5),VLOOKUP(N135,setup!$A$8:$H$58,6),VLOOKUP(N135,setup!$A$8:$H$58,7), VLOOKUP(0,setup!$A$8:$H$58,2),VLOOKUP(0,setup!$A$8:$H$58,5),VLOOKUP(N135,setup!$A$8:$H$58,8))</f>
        <v/>
      </c>
    </row>
    <row r="136" spans="1:15" x14ac:dyDescent="0.25">
      <c r="A136" s="6"/>
      <c r="O136" s="7" t="str">
        <f ca="1">getCodigoBackend(N136,A136,VLOOKUP(N136,setup!$A$8:$H$58,2),VLOOKUP(N136,setup!$A$8:$H$58,3),VLOOKUP(N136,setup!$A$8:$H$58,4),VLOOKUP(N136,setup!$A$8:$H$58,5),VLOOKUP(N136,setup!$A$8:$H$58,6),VLOOKUP(N136,setup!$A$8:$H$58,7), VLOOKUP(0,setup!$A$8:$H$58,2),VLOOKUP(0,setup!$A$8:$H$58,5),VLOOKUP(N136,setup!$A$8:$H$58,8))</f>
        <v/>
      </c>
    </row>
    <row r="137" spans="1:15" x14ac:dyDescent="0.25">
      <c r="A137" s="6"/>
      <c r="O137" s="7" t="str">
        <f ca="1">getCodigoBackend(N137,A137,VLOOKUP(N137,setup!$A$8:$H$58,2),VLOOKUP(N137,setup!$A$8:$H$58,3),VLOOKUP(N137,setup!$A$8:$H$58,4),VLOOKUP(N137,setup!$A$8:$H$58,5),VLOOKUP(N137,setup!$A$8:$H$58,6),VLOOKUP(N137,setup!$A$8:$H$58,7), VLOOKUP(0,setup!$A$8:$H$58,2),VLOOKUP(0,setup!$A$8:$H$58,5),VLOOKUP(N137,setup!$A$8:$H$58,8))</f>
        <v/>
      </c>
    </row>
    <row r="138" spans="1:15" x14ac:dyDescent="0.25">
      <c r="A138" s="6"/>
      <c r="O138" s="7" t="str">
        <f ca="1">getCodigoBackend(N138,A138,VLOOKUP(N138,setup!$A$8:$H$58,2),VLOOKUP(N138,setup!$A$8:$H$58,3),VLOOKUP(N138,setup!$A$8:$H$58,4),VLOOKUP(N138,setup!$A$8:$H$58,5),VLOOKUP(N138,setup!$A$8:$H$58,6),VLOOKUP(N138,setup!$A$8:$H$58,7), VLOOKUP(0,setup!$A$8:$H$58,2),VLOOKUP(0,setup!$A$8:$H$58,5),VLOOKUP(N138,setup!$A$8:$H$58,8))</f>
        <v/>
      </c>
    </row>
    <row r="139" spans="1:15" x14ac:dyDescent="0.25">
      <c r="A139" s="6"/>
      <c r="O139" s="7" t="str">
        <f ca="1">getCodigoBackend(N139,A139,VLOOKUP(N139,setup!$A$8:$H$58,2),VLOOKUP(N139,setup!$A$8:$H$58,3),VLOOKUP(N139,setup!$A$8:$H$58,4),VLOOKUP(N139,setup!$A$8:$H$58,5),VLOOKUP(N139,setup!$A$8:$H$58,6),VLOOKUP(N139,setup!$A$8:$H$58,7), VLOOKUP(0,setup!$A$8:$H$58,2),VLOOKUP(0,setup!$A$8:$H$58,5),VLOOKUP(N139,setup!$A$8:$H$58,8))</f>
        <v/>
      </c>
    </row>
    <row r="140" spans="1:15" x14ac:dyDescent="0.25">
      <c r="A140" s="6"/>
      <c r="O140" s="7" t="str">
        <f ca="1">getCodigoBackend(N140,A140,VLOOKUP(N140,setup!$A$8:$H$58,2),VLOOKUP(N140,setup!$A$8:$H$58,3),VLOOKUP(N140,setup!$A$8:$H$58,4),VLOOKUP(N140,setup!$A$8:$H$58,5),VLOOKUP(N140,setup!$A$8:$H$58,6),VLOOKUP(N140,setup!$A$8:$H$58,7), VLOOKUP(0,setup!$A$8:$H$58,2),VLOOKUP(0,setup!$A$8:$H$58,5),VLOOKUP(N140,setup!$A$8:$H$58,8))</f>
        <v/>
      </c>
    </row>
    <row r="141" spans="1:15" x14ac:dyDescent="0.25">
      <c r="A141" s="6"/>
      <c r="O141" s="7" t="str">
        <f ca="1">getCodigoBackend(N141,A141,VLOOKUP(N141,setup!$A$8:$H$58,2),VLOOKUP(N141,setup!$A$8:$H$58,3),VLOOKUP(N141,setup!$A$8:$H$58,4),VLOOKUP(N141,setup!$A$8:$H$58,5),VLOOKUP(N141,setup!$A$8:$H$58,6),VLOOKUP(N141,setup!$A$8:$H$58,7), VLOOKUP(0,setup!$A$8:$H$58,2),VLOOKUP(0,setup!$A$8:$H$58,5),VLOOKUP(N141,setup!$A$8:$H$58,8))</f>
        <v/>
      </c>
    </row>
    <row r="142" spans="1:15" x14ac:dyDescent="0.25">
      <c r="A142" s="6"/>
      <c r="O142" s="7" t="str">
        <f ca="1">getCodigoBackend(N142,A142,VLOOKUP(N142,setup!$A$8:$H$58,2),VLOOKUP(N142,setup!$A$8:$H$58,3),VLOOKUP(N142,setup!$A$8:$H$58,4),VLOOKUP(N142,setup!$A$8:$H$58,5),VLOOKUP(N142,setup!$A$8:$H$58,6),VLOOKUP(N142,setup!$A$8:$H$58,7), VLOOKUP(0,setup!$A$8:$H$58,2),VLOOKUP(0,setup!$A$8:$H$58,5),VLOOKUP(N142,setup!$A$8:$H$58,8))</f>
        <v/>
      </c>
    </row>
    <row r="143" spans="1:15" x14ac:dyDescent="0.25">
      <c r="A143" s="6"/>
      <c r="O143" s="7" t="str">
        <f ca="1">getCodigoBackend(N143,A143,VLOOKUP(N143,setup!$A$8:$H$58,2),VLOOKUP(N143,setup!$A$8:$H$58,3),VLOOKUP(N143,setup!$A$8:$H$58,4),VLOOKUP(N143,setup!$A$8:$H$58,5),VLOOKUP(N143,setup!$A$8:$H$58,6),VLOOKUP(N143,setup!$A$8:$H$58,7), VLOOKUP(0,setup!$A$8:$H$58,2),VLOOKUP(0,setup!$A$8:$H$58,5),VLOOKUP(N143,setup!$A$8:$H$58,8))</f>
        <v/>
      </c>
    </row>
    <row r="144" spans="1:15" x14ac:dyDescent="0.25">
      <c r="A144" s="6"/>
      <c r="O144" s="7" t="str">
        <f ca="1">getCodigoBackend(N144,A144,VLOOKUP(N144,setup!$A$8:$H$58,2),VLOOKUP(N144,setup!$A$8:$H$58,3),VLOOKUP(N144,setup!$A$8:$H$58,4),VLOOKUP(N144,setup!$A$8:$H$58,5),VLOOKUP(N144,setup!$A$8:$H$58,6),VLOOKUP(N144,setup!$A$8:$H$58,7), VLOOKUP(0,setup!$A$8:$H$58,2),VLOOKUP(0,setup!$A$8:$H$58,5),VLOOKUP(N144,setup!$A$8:$H$58,8))</f>
        <v/>
      </c>
    </row>
    <row r="145" spans="1:15" x14ac:dyDescent="0.25">
      <c r="A145" s="6"/>
      <c r="O145" s="7" t="str">
        <f ca="1">getCodigoBackend(N145,A145,VLOOKUP(N145,setup!$A$8:$H$58,2),VLOOKUP(N145,setup!$A$8:$H$58,3),VLOOKUP(N145,setup!$A$8:$H$58,4),VLOOKUP(N145,setup!$A$8:$H$58,5),VLOOKUP(N145,setup!$A$8:$H$58,6),VLOOKUP(N145,setup!$A$8:$H$58,7), VLOOKUP(0,setup!$A$8:$H$58,2),VLOOKUP(0,setup!$A$8:$H$58,5),VLOOKUP(N145,setup!$A$8:$H$58,8))</f>
        <v/>
      </c>
    </row>
    <row r="146" spans="1:15" x14ac:dyDescent="0.25">
      <c r="A146" s="6"/>
      <c r="O146" s="7" t="str">
        <f ca="1">getCodigoBackend(N146,A146,VLOOKUP(N146,setup!$A$8:$H$58,2),VLOOKUP(N146,setup!$A$8:$H$58,3),VLOOKUP(N146,setup!$A$8:$H$58,4),VLOOKUP(N146,setup!$A$8:$H$58,5),VLOOKUP(N146,setup!$A$8:$H$58,6),VLOOKUP(N146,setup!$A$8:$H$58,7), VLOOKUP(0,setup!$A$8:$H$58,2),VLOOKUP(0,setup!$A$8:$H$58,5),VLOOKUP(N146,setup!$A$8:$H$58,8))</f>
        <v/>
      </c>
    </row>
    <row r="147" spans="1:15" x14ac:dyDescent="0.25">
      <c r="A147" s="6"/>
      <c r="O147" s="7" t="str">
        <f ca="1">getCodigoBackend(N147,A147,VLOOKUP(N147,setup!$A$8:$H$58,2),VLOOKUP(N147,setup!$A$8:$H$58,3),VLOOKUP(N147,setup!$A$8:$H$58,4),VLOOKUP(N147,setup!$A$8:$H$58,5),VLOOKUP(N147,setup!$A$8:$H$58,6),VLOOKUP(N147,setup!$A$8:$H$58,7), VLOOKUP(0,setup!$A$8:$H$58,2),VLOOKUP(0,setup!$A$8:$H$58,5),VLOOKUP(N147,setup!$A$8:$H$58,8))</f>
        <v/>
      </c>
    </row>
    <row r="148" spans="1:15" x14ac:dyDescent="0.25">
      <c r="A148" s="6"/>
      <c r="O148" s="7" t="str">
        <f ca="1">getCodigoBackend(N148,A148,VLOOKUP(N148,setup!$A$8:$H$58,2),VLOOKUP(N148,setup!$A$8:$H$58,3),VLOOKUP(N148,setup!$A$8:$H$58,4),VLOOKUP(N148,setup!$A$8:$H$58,5),VLOOKUP(N148,setup!$A$8:$H$58,6),VLOOKUP(N148,setup!$A$8:$H$58,7), VLOOKUP(0,setup!$A$8:$H$58,2),VLOOKUP(0,setup!$A$8:$H$58,5),VLOOKUP(N148,setup!$A$8:$H$58,8))</f>
        <v/>
      </c>
    </row>
    <row r="149" spans="1:15" x14ac:dyDescent="0.25">
      <c r="A149" s="6"/>
      <c r="O149" s="7" t="str">
        <f ca="1">getCodigoBackend(N149,A149,VLOOKUP(N149,setup!$A$8:$H$58,2),VLOOKUP(N149,setup!$A$8:$H$58,3),VLOOKUP(N149,setup!$A$8:$H$58,4),VLOOKUP(N149,setup!$A$8:$H$58,5),VLOOKUP(N149,setup!$A$8:$H$58,6),VLOOKUP(N149,setup!$A$8:$H$58,7), VLOOKUP(0,setup!$A$8:$H$58,2),VLOOKUP(0,setup!$A$8:$H$58,5),VLOOKUP(N149,setup!$A$8:$H$58,8))</f>
        <v/>
      </c>
    </row>
    <row r="150" spans="1:15" x14ac:dyDescent="0.25">
      <c r="A150" s="6"/>
      <c r="O150" s="7" t="str">
        <f ca="1">getCodigoBackend(N150,A150,VLOOKUP(N150,setup!$A$8:$H$58,2),VLOOKUP(N150,setup!$A$8:$H$58,3),VLOOKUP(N150,setup!$A$8:$H$58,4),VLOOKUP(N150,setup!$A$8:$H$58,5),VLOOKUP(N150,setup!$A$8:$H$58,6),VLOOKUP(N150,setup!$A$8:$H$58,7), VLOOKUP(0,setup!$A$8:$H$58,2),VLOOKUP(0,setup!$A$8:$H$58,5),VLOOKUP(N150,setup!$A$8:$H$58,8))</f>
        <v/>
      </c>
    </row>
    <row r="151" spans="1:15" x14ac:dyDescent="0.25">
      <c r="A151" s="6"/>
      <c r="O151" s="7" t="str">
        <f ca="1">getCodigoBackend(N151,A151,VLOOKUP(N151,setup!$A$8:$H$58,2),VLOOKUP(N151,setup!$A$8:$H$58,3),VLOOKUP(N151,setup!$A$8:$H$58,4),VLOOKUP(N151,setup!$A$8:$H$58,5),VLOOKUP(N151,setup!$A$8:$H$58,6),VLOOKUP(N151,setup!$A$8:$H$58,7), VLOOKUP(0,setup!$A$8:$H$58,2),VLOOKUP(0,setup!$A$8:$H$58,5),VLOOKUP(N151,setup!$A$8:$H$58,8))</f>
        <v/>
      </c>
    </row>
    <row r="152" spans="1:15" x14ac:dyDescent="0.25">
      <c r="A152" s="6"/>
      <c r="O152" s="7" t="str">
        <f ca="1">getCodigoBackend(N152,A152,VLOOKUP(N152,setup!$A$8:$H$58,2),VLOOKUP(N152,setup!$A$8:$H$58,3),VLOOKUP(N152,setup!$A$8:$H$58,4),VLOOKUP(N152,setup!$A$8:$H$58,5),VLOOKUP(N152,setup!$A$8:$H$58,6),VLOOKUP(N152,setup!$A$8:$H$58,7), VLOOKUP(0,setup!$A$8:$H$58,2),VLOOKUP(0,setup!$A$8:$H$58,5),VLOOKUP(N152,setup!$A$8:$H$58,8))</f>
        <v/>
      </c>
    </row>
    <row r="153" spans="1:15" x14ac:dyDescent="0.25">
      <c r="A153" s="6"/>
      <c r="O153" s="7" t="str">
        <f ca="1">getCodigoBackend(N153,A153,VLOOKUP(N153,setup!$A$8:$H$58,2),VLOOKUP(N153,setup!$A$8:$H$58,3),VLOOKUP(N153,setup!$A$8:$H$58,4),VLOOKUP(N153,setup!$A$8:$H$58,5),VLOOKUP(N153,setup!$A$8:$H$58,6),VLOOKUP(N153,setup!$A$8:$H$58,7), VLOOKUP(0,setup!$A$8:$H$58,2),VLOOKUP(0,setup!$A$8:$H$58,5),VLOOKUP(N153,setup!$A$8:$H$58,8))</f>
        <v/>
      </c>
    </row>
    <row r="154" spans="1:15" x14ac:dyDescent="0.25">
      <c r="A154" s="6"/>
      <c r="O154" s="7" t="str">
        <f ca="1">getCodigoBackend(N154,A154,VLOOKUP(N154,setup!$A$8:$H$58,2),VLOOKUP(N154,setup!$A$8:$H$58,3),VLOOKUP(N154,setup!$A$8:$H$58,4),VLOOKUP(N154,setup!$A$8:$H$58,5),VLOOKUP(N154,setup!$A$8:$H$58,6),VLOOKUP(N154,setup!$A$8:$H$58,7), VLOOKUP(0,setup!$A$8:$H$58,2),VLOOKUP(0,setup!$A$8:$H$58,5),VLOOKUP(N154,setup!$A$8:$H$58,8))</f>
        <v/>
      </c>
    </row>
    <row r="155" spans="1:15" x14ac:dyDescent="0.25">
      <c r="A155" s="6"/>
      <c r="O155" s="7" t="str">
        <f ca="1">getCodigoBackend(N155,A155,VLOOKUP(N155,setup!$A$8:$H$58,2),VLOOKUP(N155,setup!$A$8:$H$58,3),VLOOKUP(N155,setup!$A$8:$H$58,4),VLOOKUP(N155,setup!$A$8:$H$58,5),VLOOKUP(N155,setup!$A$8:$H$58,6),VLOOKUP(N155,setup!$A$8:$H$58,7), VLOOKUP(0,setup!$A$8:$H$58,2),VLOOKUP(0,setup!$A$8:$H$58,5),VLOOKUP(N155,setup!$A$8:$H$58,8))</f>
        <v/>
      </c>
    </row>
    <row r="156" spans="1:15" x14ac:dyDescent="0.25">
      <c r="A156" s="6"/>
      <c r="O156" s="7" t="str">
        <f ca="1">getCodigoBackend(N156,A156,VLOOKUP(N156,setup!$A$8:$H$58,2),VLOOKUP(N156,setup!$A$8:$H$58,3),VLOOKUP(N156,setup!$A$8:$H$58,4),VLOOKUP(N156,setup!$A$8:$H$58,5),VLOOKUP(N156,setup!$A$8:$H$58,6),VLOOKUP(N156,setup!$A$8:$H$58,7), VLOOKUP(0,setup!$A$8:$H$58,2),VLOOKUP(0,setup!$A$8:$H$58,5),VLOOKUP(N156,setup!$A$8:$H$58,8))</f>
        <v/>
      </c>
    </row>
    <row r="157" spans="1:15" x14ac:dyDescent="0.25">
      <c r="A157" s="6"/>
      <c r="O157" s="7" t="str">
        <f ca="1">getCodigoBackend(N157,A157,VLOOKUP(N157,setup!$A$8:$H$58,2),VLOOKUP(N157,setup!$A$8:$H$58,3),VLOOKUP(N157,setup!$A$8:$H$58,4),VLOOKUP(N157,setup!$A$8:$H$58,5),VLOOKUP(N157,setup!$A$8:$H$58,6),VLOOKUP(N157,setup!$A$8:$H$58,7), VLOOKUP(0,setup!$A$8:$H$58,2),VLOOKUP(0,setup!$A$8:$H$58,5),VLOOKUP(N157,setup!$A$8:$H$58,8))</f>
        <v/>
      </c>
    </row>
    <row r="158" spans="1:15" x14ac:dyDescent="0.25">
      <c r="A158" s="6"/>
      <c r="O158" s="7" t="str">
        <f ca="1">getCodigoBackend(N158,A158,VLOOKUP(N158,setup!$A$8:$H$58,2),VLOOKUP(N158,setup!$A$8:$H$58,3),VLOOKUP(N158,setup!$A$8:$H$58,4),VLOOKUP(N158,setup!$A$8:$H$58,5),VLOOKUP(N158,setup!$A$8:$H$58,6),VLOOKUP(N158,setup!$A$8:$H$58,7), VLOOKUP(0,setup!$A$8:$H$58,2),VLOOKUP(0,setup!$A$8:$H$58,5),VLOOKUP(N158,setup!$A$8:$H$58,8))</f>
        <v/>
      </c>
    </row>
    <row r="159" spans="1:15" x14ac:dyDescent="0.25">
      <c r="A159" s="6"/>
      <c r="O159" s="7" t="str">
        <f ca="1">getCodigoBackend(N159,A159,VLOOKUP(N159,setup!$A$8:$H$58,2),VLOOKUP(N159,setup!$A$8:$H$58,3),VLOOKUP(N159,setup!$A$8:$H$58,4),VLOOKUP(N159,setup!$A$8:$H$58,5),VLOOKUP(N159,setup!$A$8:$H$58,6),VLOOKUP(N159,setup!$A$8:$H$58,7), VLOOKUP(0,setup!$A$8:$H$58,2),VLOOKUP(0,setup!$A$8:$H$58,5),VLOOKUP(N159,setup!$A$8:$H$58,8))</f>
        <v/>
      </c>
    </row>
    <row r="160" spans="1:15" x14ac:dyDescent="0.25">
      <c r="A160" s="6"/>
      <c r="O160" s="7" t="str">
        <f ca="1">getCodigoBackend(N160,A160,VLOOKUP(N160,setup!$A$8:$H$58,2),VLOOKUP(N160,setup!$A$8:$H$58,3),VLOOKUP(N160,setup!$A$8:$H$58,4),VLOOKUP(N160,setup!$A$8:$H$58,5),VLOOKUP(N160,setup!$A$8:$H$58,6),VLOOKUP(N160,setup!$A$8:$H$58,7), VLOOKUP(0,setup!$A$8:$H$58,2),VLOOKUP(0,setup!$A$8:$H$58,5),VLOOKUP(N160,setup!$A$8:$H$58,8))</f>
        <v/>
      </c>
    </row>
    <row r="161" spans="1:15" x14ac:dyDescent="0.25">
      <c r="A161" s="6"/>
      <c r="O161" s="7" t="str">
        <f ca="1">getCodigoBackend(N161,A161,VLOOKUP(N161,setup!$A$8:$H$58,2),VLOOKUP(N161,setup!$A$8:$H$58,3),VLOOKUP(N161,setup!$A$8:$H$58,4),VLOOKUP(N161,setup!$A$8:$H$58,5),VLOOKUP(N161,setup!$A$8:$H$58,6),VLOOKUP(N161,setup!$A$8:$H$58,7), VLOOKUP(0,setup!$A$8:$H$58,2),VLOOKUP(0,setup!$A$8:$H$58,5),VLOOKUP(N161,setup!$A$8:$H$58,8))</f>
        <v/>
      </c>
    </row>
    <row r="162" spans="1:15" x14ac:dyDescent="0.25">
      <c r="A162" s="6"/>
      <c r="O162" s="7" t="str">
        <f ca="1">getCodigoBackend(N162,A162,VLOOKUP(N162,setup!$A$8:$H$58,2),VLOOKUP(N162,setup!$A$8:$H$58,3),VLOOKUP(N162,setup!$A$8:$H$58,4),VLOOKUP(N162,setup!$A$8:$H$58,5),VLOOKUP(N162,setup!$A$8:$H$58,6),VLOOKUP(N162,setup!$A$8:$H$58,7), VLOOKUP(0,setup!$A$8:$H$58,2),VLOOKUP(0,setup!$A$8:$H$58,5),VLOOKUP(N162,setup!$A$8:$H$58,8))</f>
        <v/>
      </c>
    </row>
    <row r="163" spans="1:15" x14ac:dyDescent="0.25">
      <c r="A163" s="6"/>
      <c r="O163" s="7" t="str">
        <f ca="1">getCodigoBackend(N163,A163,VLOOKUP(N163,setup!$A$8:$H$58,2),VLOOKUP(N163,setup!$A$8:$H$58,3),VLOOKUP(N163,setup!$A$8:$H$58,4),VLOOKUP(N163,setup!$A$8:$H$58,5),VLOOKUP(N163,setup!$A$8:$H$58,6),VLOOKUP(N163,setup!$A$8:$H$58,7), VLOOKUP(0,setup!$A$8:$H$58,2),VLOOKUP(0,setup!$A$8:$H$58,5),VLOOKUP(N163,setup!$A$8:$H$58,8))</f>
        <v/>
      </c>
    </row>
    <row r="164" spans="1:15" x14ac:dyDescent="0.25">
      <c r="A164" s="6"/>
      <c r="O164" s="7" t="str">
        <f ca="1">getCodigoBackend(N164,A164,VLOOKUP(N164,setup!$A$8:$H$58,2),VLOOKUP(N164,setup!$A$8:$H$58,3),VLOOKUP(N164,setup!$A$8:$H$58,4),VLOOKUP(N164,setup!$A$8:$H$58,5),VLOOKUP(N164,setup!$A$8:$H$58,6),VLOOKUP(N164,setup!$A$8:$H$58,7), VLOOKUP(0,setup!$A$8:$H$58,2),VLOOKUP(0,setup!$A$8:$H$58,5),VLOOKUP(N164,setup!$A$8:$H$58,8))</f>
        <v/>
      </c>
    </row>
    <row r="165" spans="1:15" x14ac:dyDescent="0.25">
      <c r="A165" s="6"/>
      <c r="O165" s="7" t="str">
        <f ca="1">getCodigoBackend(N165,A165,VLOOKUP(N165,setup!$A$8:$H$58,2),VLOOKUP(N165,setup!$A$8:$H$58,3),VLOOKUP(N165,setup!$A$8:$H$58,4),VLOOKUP(N165,setup!$A$8:$H$58,5),VLOOKUP(N165,setup!$A$8:$H$58,6),VLOOKUP(N165,setup!$A$8:$H$58,7), VLOOKUP(0,setup!$A$8:$H$58,2),VLOOKUP(0,setup!$A$8:$H$58,5),VLOOKUP(N165,setup!$A$8:$H$58,8))</f>
        <v/>
      </c>
    </row>
    <row r="166" spans="1:15" x14ac:dyDescent="0.25">
      <c r="A166" s="6"/>
      <c r="O166" s="7" t="str">
        <f ca="1">getCodigoBackend(N166,A166,VLOOKUP(N166,setup!$A$8:$H$58,2),VLOOKUP(N166,setup!$A$8:$H$58,3),VLOOKUP(N166,setup!$A$8:$H$58,4),VLOOKUP(N166,setup!$A$8:$H$58,5),VLOOKUP(N166,setup!$A$8:$H$58,6),VLOOKUP(N166,setup!$A$8:$H$58,7), VLOOKUP(0,setup!$A$8:$H$58,2),VLOOKUP(0,setup!$A$8:$H$58,5),VLOOKUP(N166,setup!$A$8:$H$58,8))</f>
        <v/>
      </c>
    </row>
    <row r="167" spans="1:15" x14ac:dyDescent="0.25">
      <c r="A167" s="6"/>
      <c r="O167" s="7" t="str">
        <f ca="1">getCodigoBackend(N167,A167,VLOOKUP(N167,setup!$A$8:$H$58,2),VLOOKUP(N167,setup!$A$8:$H$58,3),VLOOKUP(N167,setup!$A$8:$H$58,4),VLOOKUP(N167,setup!$A$8:$H$58,5),VLOOKUP(N167,setup!$A$8:$H$58,6),VLOOKUP(N167,setup!$A$8:$H$58,7), VLOOKUP(0,setup!$A$8:$H$58,2),VLOOKUP(0,setup!$A$8:$H$58,5),VLOOKUP(N167,setup!$A$8:$H$58,8))</f>
        <v/>
      </c>
    </row>
    <row r="168" spans="1:15" x14ac:dyDescent="0.25">
      <c r="A168" s="6"/>
      <c r="O168" s="7" t="str">
        <f ca="1">getCodigoBackend(N168,A168,VLOOKUP(N168,setup!$A$8:$H$58,2),VLOOKUP(N168,setup!$A$8:$H$58,3),VLOOKUP(N168,setup!$A$8:$H$58,4),VLOOKUP(N168,setup!$A$8:$H$58,5),VLOOKUP(N168,setup!$A$8:$H$58,6),VLOOKUP(N168,setup!$A$8:$H$58,7), VLOOKUP(0,setup!$A$8:$H$58,2),VLOOKUP(0,setup!$A$8:$H$58,5),VLOOKUP(N168,setup!$A$8:$H$58,8))</f>
        <v/>
      </c>
    </row>
    <row r="169" spans="1:15" x14ac:dyDescent="0.25">
      <c r="A169" s="6"/>
      <c r="O169" s="7" t="str">
        <f ca="1">getCodigoBackend(N169,A169,VLOOKUP(N169,setup!$A$8:$H$58,2),VLOOKUP(N169,setup!$A$8:$H$58,3),VLOOKUP(N169,setup!$A$8:$H$58,4),VLOOKUP(N169,setup!$A$8:$H$58,5),VLOOKUP(N169,setup!$A$8:$H$58,6),VLOOKUP(N169,setup!$A$8:$H$58,7), VLOOKUP(0,setup!$A$8:$H$58,2),VLOOKUP(0,setup!$A$8:$H$58,5),VLOOKUP(N169,setup!$A$8:$H$58,8))</f>
        <v/>
      </c>
    </row>
    <row r="170" spans="1:15" x14ac:dyDescent="0.25">
      <c r="A170" s="6"/>
      <c r="O170" s="7" t="str">
        <f ca="1">getCodigoBackend(N170,A170,VLOOKUP(N170,setup!$A$8:$H$58,2),VLOOKUP(N170,setup!$A$8:$H$58,3),VLOOKUP(N170,setup!$A$8:$H$58,4),VLOOKUP(N170,setup!$A$8:$H$58,5),VLOOKUP(N170,setup!$A$8:$H$58,6),VLOOKUP(N170,setup!$A$8:$H$58,7), VLOOKUP(0,setup!$A$8:$H$58,2),VLOOKUP(0,setup!$A$8:$H$58,5),VLOOKUP(N170,setup!$A$8:$H$58,8))</f>
        <v/>
      </c>
    </row>
    <row r="171" spans="1:15" x14ac:dyDescent="0.25">
      <c r="A171" s="6"/>
      <c r="O171" s="7" t="str">
        <f ca="1">getCodigoBackend(N171,A171,VLOOKUP(N171,setup!$A$8:$H$58,2),VLOOKUP(N171,setup!$A$8:$H$58,3),VLOOKUP(N171,setup!$A$8:$H$58,4),VLOOKUP(N171,setup!$A$8:$H$58,5),VLOOKUP(N171,setup!$A$8:$H$58,6),VLOOKUP(N171,setup!$A$8:$H$58,7), VLOOKUP(0,setup!$A$8:$H$58,2),VLOOKUP(0,setup!$A$8:$H$58,5),VLOOKUP(N171,setup!$A$8:$H$58,8))</f>
        <v/>
      </c>
    </row>
    <row r="172" spans="1:15" x14ac:dyDescent="0.25">
      <c r="A172" s="6"/>
      <c r="O172" s="7" t="str">
        <f ca="1">getCodigoBackend(N172,A172,VLOOKUP(N172,setup!$A$8:$H$58,2),VLOOKUP(N172,setup!$A$8:$H$58,3),VLOOKUP(N172,setup!$A$8:$H$58,4),VLOOKUP(N172,setup!$A$8:$H$58,5),VLOOKUP(N172,setup!$A$8:$H$58,6),VLOOKUP(N172,setup!$A$8:$H$58,7), VLOOKUP(0,setup!$A$8:$H$58,2),VLOOKUP(0,setup!$A$8:$H$58,5),VLOOKUP(N172,setup!$A$8:$H$58,8))</f>
        <v/>
      </c>
    </row>
    <row r="173" spans="1:15" x14ac:dyDescent="0.25">
      <c r="A173" s="6"/>
      <c r="O173" s="7" t="str">
        <f ca="1">getCodigoBackend(N173,A173,VLOOKUP(N173,setup!$A$8:$H$58,2),VLOOKUP(N173,setup!$A$8:$H$58,3),VLOOKUP(N173,setup!$A$8:$H$58,4),VLOOKUP(N173,setup!$A$8:$H$58,5),VLOOKUP(N173,setup!$A$8:$H$58,6),VLOOKUP(N173,setup!$A$8:$H$58,7), VLOOKUP(0,setup!$A$8:$H$58,2),VLOOKUP(0,setup!$A$8:$H$58,5),VLOOKUP(N173,setup!$A$8:$H$58,8))</f>
        <v/>
      </c>
    </row>
    <row r="174" spans="1:15" x14ac:dyDescent="0.25">
      <c r="A174" s="6"/>
      <c r="O174" s="7" t="str">
        <f ca="1">getCodigoBackend(N174,A174,VLOOKUP(N174,setup!$A$8:$H$58,2),VLOOKUP(N174,setup!$A$8:$H$58,3),VLOOKUP(N174,setup!$A$8:$H$58,4),VLOOKUP(N174,setup!$A$8:$H$58,5),VLOOKUP(N174,setup!$A$8:$H$58,6),VLOOKUP(N174,setup!$A$8:$H$58,7), VLOOKUP(0,setup!$A$8:$H$58,2),VLOOKUP(0,setup!$A$8:$H$58,5),VLOOKUP(N174,setup!$A$8:$H$58,8))</f>
        <v/>
      </c>
    </row>
    <row r="175" spans="1:15" x14ac:dyDescent="0.25">
      <c r="A175" s="6"/>
      <c r="O175" s="7" t="str">
        <f ca="1">getCodigoBackend(N175,A175,VLOOKUP(N175,setup!$A$8:$H$58,2),VLOOKUP(N175,setup!$A$8:$H$58,3),VLOOKUP(N175,setup!$A$8:$H$58,4),VLOOKUP(N175,setup!$A$8:$H$58,5),VLOOKUP(N175,setup!$A$8:$H$58,6),VLOOKUP(N175,setup!$A$8:$H$58,7), VLOOKUP(0,setup!$A$8:$H$58,2),VLOOKUP(0,setup!$A$8:$H$58,5),VLOOKUP(N175,setup!$A$8:$H$58,8))</f>
        <v/>
      </c>
    </row>
    <row r="176" spans="1:15" x14ac:dyDescent="0.25">
      <c r="A176" s="6"/>
      <c r="O176" s="7" t="str">
        <f ca="1">getCodigoBackend(N176,A176,VLOOKUP(N176,setup!$A$8:$H$58,2),VLOOKUP(N176,setup!$A$8:$H$58,3),VLOOKUP(N176,setup!$A$8:$H$58,4),VLOOKUP(N176,setup!$A$8:$H$58,5),VLOOKUP(N176,setup!$A$8:$H$58,6),VLOOKUP(N176,setup!$A$8:$H$58,7), VLOOKUP(0,setup!$A$8:$H$58,2),VLOOKUP(0,setup!$A$8:$H$58,5),VLOOKUP(N176,setup!$A$8:$H$58,8))</f>
        <v/>
      </c>
    </row>
    <row r="177" spans="1:15" x14ac:dyDescent="0.25">
      <c r="A177" s="6"/>
      <c r="O177" s="7" t="str">
        <f ca="1">getCodigoBackend(N177,A177,VLOOKUP(N177,setup!$A$8:$H$58,2),VLOOKUP(N177,setup!$A$8:$H$58,3),VLOOKUP(N177,setup!$A$8:$H$58,4),VLOOKUP(N177,setup!$A$8:$H$58,5),VLOOKUP(N177,setup!$A$8:$H$58,6),VLOOKUP(N177,setup!$A$8:$H$58,7), VLOOKUP(0,setup!$A$8:$H$58,2),VLOOKUP(0,setup!$A$8:$H$58,5),VLOOKUP(N177,setup!$A$8:$H$58,8))</f>
        <v/>
      </c>
    </row>
    <row r="178" spans="1:15" x14ac:dyDescent="0.25">
      <c r="A178" s="6"/>
      <c r="O178" s="7" t="str">
        <f ca="1">getCodigoBackend(N178,A178,VLOOKUP(N178,setup!$A$8:$H$58,2),VLOOKUP(N178,setup!$A$8:$H$58,3),VLOOKUP(N178,setup!$A$8:$H$58,4),VLOOKUP(N178,setup!$A$8:$H$58,5),VLOOKUP(N178,setup!$A$8:$H$58,6),VLOOKUP(N178,setup!$A$8:$H$58,7), VLOOKUP(0,setup!$A$8:$H$58,2),VLOOKUP(0,setup!$A$8:$H$58,5),VLOOKUP(N178,setup!$A$8:$H$58,8))</f>
        <v/>
      </c>
    </row>
    <row r="179" spans="1:15" x14ac:dyDescent="0.25">
      <c r="A179" s="6"/>
      <c r="O179" s="7" t="str">
        <f ca="1">getCodigoBackend(N179,A179,VLOOKUP(N179,setup!$A$8:$H$58,2),VLOOKUP(N179,setup!$A$8:$H$58,3),VLOOKUP(N179,setup!$A$8:$H$58,4),VLOOKUP(N179,setup!$A$8:$H$58,5),VLOOKUP(N179,setup!$A$8:$H$58,6),VLOOKUP(N179,setup!$A$8:$H$58,7), VLOOKUP(0,setup!$A$8:$H$58,2),VLOOKUP(0,setup!$A$8:$H$58,5),VLOOKUP(N179,setup!$A$8:$H$58,8))</f>
        <v/>
      </c>
    </row>
    <row r="180" spans="1:15" x14ac:dyDescent="0.25">
      <c r="A180" s="6"/>
      <c r="O180" s="7" t="str">
        <f ca="1">getCodigoBackend(N180,A180,VLOOKUP(N180,setup!$A$8:$H$58,2),VLOOKUP(N180,setup!$A$8:$H$58,3),VLOOKUP(N180,setup!$A$8:$H$58,4),VLOOKUP(N180,setup!$A$8:$H$58,5),VLOOKUP(N180,setup!$A$8:$H$58,6),VLOOKUP(N180,setup!$A$8:$H$58,7), VLOOKUP(0,setup!$A$8:$H$58,2),VLOOKUP(0,setup!$A$8:$H$58,5),VLOOKUP(N180,setup!$A$8:$H$58,8))</f>
        <v/>
      </c>
    </row>
    <row r="181" spans="1:15" x14ac:dyDescent="0.25">
      <c r="A181" s="6"/>
      <c r="O181" s="7" t="str">
        <f ca="1">getCodigoBackend(N181,A181,VLOOKUP(N181,setup!$A$8:$H$58,2),VLOOKUP(N181,setup!$A$8:$H$58,3),VLOOKUP(N181,setup!$A$8:$H$58,4),VLOOKUP(N181,setup!$A$8:$H$58,5),VLOOKUP(N181,setup!$A$8:$H$58,6),VLOOKUP(N181,setup!$A$8:$H$58,7), VLOOKUP(0,setup!$A$8:$H$58,2),VLOOKUP(0,setup!$A$8:$H$58,5),VLOOKUP(N181,setup!$A$8:$H$58,8))</f>
        <v/>
      </c>
    </row>
    <row r="182" spans="1:15" x14ac:dyDescent="0.25">
      <c r="A182" s="6"/>
      <c r="O182" s="7" t="str">
        <f ca="1">getCodigoBackend(N182,A182,VLOOKUP(N182,setup!$A$8:$H$58,2),VLOOKUP(N182,setup!$A$8:$H$58,3),VLOOKUP(N182,setup!$A$8:$H$58,4),VLOOKUP(N182,setup!$A$8:$H$58,5),VLOOKUP(N182,setup!$A$8:$H$58,6),VLOOKUP(N182,setup!$A$8:$H$58,7), VLOOKUP(0,setup!$A$8:$H$58,2),VLOOKUP(0,setup!$A$8:$H$58,5),VLOOKUP(N182,setup!$A$8:$H$58,8))</f>
        <v/>
      </c>
    </row>
    <row r="183" spans="1:15" x14ac:dyDescent="0.25">
      <c r="A183" s="6"/>
      <c r="O183" s="7" t="str">
        <f ca="1">getCodigoBackend(N183,A183,VLOOKUP(N183,setup!$A$8:$H$58,2),VLOOKUP(N183,setup!$A$8:$H$58,3),VLOOKUP(N183,setup!$A$8:$H$58,4),VLOOKUP(N183,setup!$A$8:$H$58,5),VLOOKUP(N183,setup!$A$8:$H$58,6),VLOOKUP(N183,setup!$A$8:$H$58,7), VLOOKUP(0,setup!$A$8:$H$58,2),VLOOKUP(0,setup!$A$8:$H$58,5),VLOOKUP(N183,setup!$A$8:$H$58,8))</f>
        <v/>
      </c>
    </row>
    <row r="184" spans="1:15" x14ac:dyDescent="0.25">
      <c r="A184" s="6"/>
      <c r="O184" s="7" t="str">
        <f ca="1">getCodigoBackend(N184,A184,VLOOKUP(N184,setup!$A$8:$H$58,2),VLOOKUP(N184,setup!$A$8:$H$58,3),VLOOKUP(N184,setup!$A$8:$H$58,4),VLOOKUP(N184,setup!$A$8:$H$58,5),VLOOKUP(N184,setup!$A$8:$H$58,6),VLOOKUP(N184,setup!$A$8:$H$58,7), VLOOKUP(0,setup!$A$8:$H$58,2),VLOOKUP(0,setup!$A$8:$H$58,5),VLOOKUP(N184,setup!$A$8:$H$58,8))</f>
        <v/>
      </c>
    </row>
    <row r="185" spans="1:15" x14ac:dyDescent="0.25">
      <c r="A185" s="6"/>
      <c r="O185" s="7" t="str">
        <f ca="1">getCodigoBackend(N185,A185,VLOOKUP(N185,setup!$A$8:$H$58,2),VLOOKUP(N185,setup!$A$8:$H$58,3),VLOOKUP(N185,setup!$A$8:$H$58,4),VLOOKUP(N185,setup!$A$8:$H$58,5),VLOOKUP(N185,setup!$A$8:$H$58,6),VLOOKUP(N185,setup!$A$8:$H$58,7), VLOOKUP(0,setup!$A$8:$H$58,2),VLOOKUP(0,setup!$A$8:$H$58,5),VLOOKUP(N185,setup!$A$8:$H$58,8))</f>
        <v/>
      </c>
    </row>
    <row r="186" spans="1:15" x14ac:dyDescent="0.25">
      <c r="A186" s="6"/>
      <c r="O186" s="7" t="str">
        <f ca="1">getCodigoBackend(N186,A186,VLOOKUP(N186,setup!$A$8:$H$58,2),VLOOKUP(N186,setup!$A$8:$H$58,3),VLOOKUP(N186,setup!$A$8:$H$58,4),VLOOKUP(N186,setup!$A$8:$H$58,5),VLOOKUP(N186,setup!$A$8:$H$58,6),VLOOKUP(N186,setup!$A$8:$H$58,7), VLOOKUP(0,setup!$A$8:$H$58,2),VLOOKUP(0,setup!$A$8:$H$58,5),VLOOKUP(N186,setup!$A$8:$H$58,8))</f>
        <v/>
      </c>
    </row>
    <row r="187" spans="1:15" x14ac:dyDescent="0.25">
      <c r="A187" s="6"/>
      <c r="O187" s="7" t="str">
        <f ca="1">getCodigoBackend(N187,A187,VLOOKUP(N187,setup!$A$8:$H$58,2),VLOOKUP(N187,setup!$A$8:$H$58,3),VLOOKUP(N187,setup!$A$8:$H$58,4),VLOOKUP(N187,setup!$A$8:$H$58,5),VLOOKUP(N187,setup!$A$8:$H$58,6),VLOOKUP(N187,setup!$A$8:$H$58,7), VLOOKUP(0,setup!$A$8:$H$58,2),VLOOKUP(0,setup!$A$8:$H$58,5),VLOOKUP(N187,setup!$A$8:$H$58,8))</f>
        <v/>
      </c>
    </row>
    <row r="188" spans="1:15" x14ac:dyDescent="0.25">
      <c r="A188" s="6"/>
      <c r="O188" s="7" t="str">
        <f ca="1">getCodigoBackend(N188,A188,VLOOKUP(N188,setup!$A$8:$H$58,2),VLOOKUP(N188,setup!$A$8:$H$58,3),VLOOKUP(N188,setup!$A$8:$H$58,4),VLOOKUP(N188,setup!$A$8:$H$58,5),VLOOKUP(N188,setup!$A$8:$H$58,6),VLOOKUP(N188,setup!$A$8:$H$58,7), VLOOKUP(0,setup!$A$8:$H$58,2),VLOOKUP(0,setup!$A$8:$H$58,5),VLOOKUP(N188,setup!$A$8:$H$58,8))</f>
        <v/>
      </c>
    </row>
    <row r="189" spans="1:15" x14ac:dyDescent="0.25">
      <c r="A189" s="6"/>
      <c r="O189" s="7" t="str">
        <f ca="1">getCodigoBackend(N189,A189,VLOOKUP(N189,setup!$A$8:$H$58,2),VLOOKUP(N189,setup!$A$8:$H$58,3),VLOOKUP(N189,setup!$A$8:$H$58,4),VLOOKUP(N189,setup!$A$8:$H$58,5),VLOOKUP(N189,setup!$A$8:$H$58,6),VLOOKUP(N189,setup!$A$8:$H$58,7), VLOOKUP(0,setup!$A$8:$H$58,2),VLOOKUP(0,setup!$A$8:$H$58,5),VLOOKUP(N189,setup!$A$8:$H$58,8))</f>
        <v/>
      </c>
    </row>
    <row r="190" spans="1:15" x14ac:dyDescent="0.25">
      <c r="A190" s="6"/>
      <c r="O190" s="7" t="str">
        <f ca="1">getCodigoBackend(N190,A190,VLOOKUP(N190,setup!$A$8:$H$58,2),VLOOKUP(N190,setup!$A$8:$H$58,3),VLOOKUP(N190,setup!$A$8:$H$58,4),VLOOKUP(N190,setup!$A$8:$H$58,5),VLOOKUP(N190,setup!$A$8:$H$58,6),VLOOKUP(N190,setup!$A$8:$H$58,7), VLOOKUP(0,setup!$A$8:$H$58,2),VLOOKUP(0,setup!$A$8:$H$58,5),VLOOKUP(N190,setup!$A$8:$H$58,8))</f>
        <v/>
      </c>
    </row>
    <row r="191" spans="1:15" x14ac:dyDescent="0.25">
      <c r="A191" s="6"/>
      <c r="O191" s="7" t="str">
        <f ca="1">getCodigoBackend(N191,A191,VLOOKUP(N191,setup!$A$8:$H$58,2),VLOOKUP(N191,setup!$A$8:$H$58,3),VLOOKUP(N191,setup!$A$8:$H$58,4),VLOOKUP(N191,setup!$A$8:$H$58,5),VLOOKUP(N191,setup!$A$8:$H$58,6),VLOOKUP(N191,setup!$A$8:$H$58,7), VLOOKUP(0,setup!$A$8:$H$58,2),VLOOKUP(0,setup!$A$8:$H$58,5),VLOOKUP(N191,setup!$A$8:$H$58,8))</f>
        <v/>
      </c>
    </row>
    <row r="192" spans="1:15" x14ac:dyDescent="0.25">
      <c r="A192" s="6"/>
      <c r="O192" s="7" t="str">
        <f ca="1">getCodigoBackend(N192,A192,VLOOKUP(N192,setup!$A$8:$H$58,2),VLOOKUP(N192,setup!$A$8:$H$58,3),VLOOKUP(N192,setup!$A$8:$H$58,4),VLOOKUP(N192,setup!$A$8:$H$58,5),VLOOKUP(N192,setup!$A$8:$H$58,6),VLOOKUP(N192,setup!$A$8:$H$58,7), VLOOKUP(0,setup!$A$8:$H$58,2),VLOOKUP(0,setup!$A$8:$H$58,5),VLOOKUP(N192,setup!$A$8:$H$58,8))</f>
        <v/>
      </c>
    </row>
    <row r="193" spans="1:15" x14ac:dyDescent="0.25">
      <c r="A193" s="12"/>
      <c r="O193" s="7" t="str">
        <f ca="1">getCodigoBackend(N193,A193,VLOOKUP(N193,setup!$A$8:$H$58,2),VLOOKUP(N193,setup!$A$8:$H$58,3),VLOOKUP(N193,setup!$A$8:$H$58,4),VLOOKUP(N193,setup!$A$8:$H$58,5),VLOOKUP(N193,setup!$A$8:$H$58,6),VLOOKUP(N193,setup!$A$8:$H$58,7), VLOOKUP(0,setup!$A$8:$H$58,2),VLOOKUP(0,setup!$A$8:$H$58,5),VLOOKUP(N193,setup!$A$8:$H$58,8))</f>
        <v/>
      </c>
    </row>
    <row r="194" spans="1:15" x14ac:dyDescent="0.25">
      <c r="A194" s="6"/>
      <c r="O194" s="7" t="str">
        <f ca="1">getCodigoBackend(N194,A194,VLOOKUP(N194,setup!$A$8:$H$58,2),VLOOKUP(N194,setup!$A$8:$H$58,3),VLOOKUP(N194,setup!$A$8:$H$58,4),VLOOKUP(N194,setup!$A$8:$H$58,5),VLOOKUP(N194,setup!$A$8:$H$58,6),VLOOKUP(N194,setup!$A$8:$H$58,7), VLOOKUP(0,setup!$A$8:$H$58,2),VLOOKUP(0,setup!$A$8:$H$58,5),VLOOKUP(N194,setup!$A$8:$H$58,8))</f>
        <v/>
      </c>
    </row>
    <row r="195" spans="1:15" x14ac:dyDescent="0.25">
      <c r="A195" s="6"/>
      <c r="O195" s="7" t="str">
        <f ca="1">getCodigoBackend(N195,A195,VLOOKUP(N195,setup!$A$8:$H$58,2),VLOOKUP(N195,setup!$A$8:$H$58,3),VLOOKUP(N195,setup!$A$8:$H$58,4),VLOOKUP(N195,setup!$A$8:$H$58,5),VLOOKUP(N195,setup!$A$8:$H$58,6),VLOOKUP(N195,setup!$A$8:$H$58,7), VLOOKUP(0,setup!$A$8:$H$58,2),VLOOKUP(0,setup!$A$8:$H$58,5),VLOOKUP(N195,setup!$A$8:$H$58,8))</f>
        <v/>
      </c>
    </row>
    <row r="196" spans="1:15" x14ac:dyDescent="0.25">
      <c r="A196" s="6"/>
      <c r="O196" s="7" t="str">
        <f ca="1">getCodigoBackend(N196,A196,VLOOKUP(N196,setup!$A$8:$H$58,2),VLOOKUP(N196,setup!$A$8:$H$58,3),VLOOKUP(N196,setup!$A$8:$H$58,4),VLOOKUP(N196,setup!$A$8:$H$58,5),VLOOKUP(N196,setup!$A$8:$H$58,6),VLOOKUP(N196,setup!$A$8:$H$58,7), VLOOKUP(0,setup!$A$8:$H$58,2),VLOOKUP(0,setup!$A$8:$H$58,5),VLOOKUP(N196,setup!$A$8:$H$58,8))</f>
        <v/>
      </c>
    </row>
    <row r="197" spans="1:15" x14ac:dyDescent="0.25">
      <c r="A197" s="6"/>
      <c r="O197" s="7" t="str">
        <f ca="1">getCodigoBackend(N197,A197,VLOOKUP(N197,setup!$A$8:$H$58,2),VLOOKUP(N197,setup!$A$8:$H$58,3),VLOOKUP(N197,setup!$A$8:$H$58,4),VLOOKUP(N197,setup!$A$8:$H$58,5),VLOOKUP(N197,setup!$A$8:$H$58,6),VLOOKUP(N197,setup!$A$8:$H$58,7), VLOOKUP(0,setup!$A$8:$H$58,2),VLOOKUP(0,setup!$A$8:$H$58,5),VLOOKUP(N197,setup!$A$8:$H$58,8))</f>
        <v/>
      </c>
    </row>
    <row r="198" spans="1:15" x14ac:dyDescent="0.25">
      <c r="A198" s="6"/>
      <c r="O198" s="7" t="str">
        <f ca="1">getCodigoBackend(N198,A198,VLOOKUP(N198,setup!$A$8:$H$58,2),VLOOKUP(N198,setup!$A$8:$H$58,3),VLOOKUP(N198,setup!$A$8:$H$58,4),VLOOKUP(N198,setup!$A$8:$H$58,5),VLOOKUP(N198,setup!$A$8:$H$58,6),VLOOKUP(N198,setup!$A$8:$H$58,7), VLOOKUP(0,setup!$A$8:$H$58,2),VLOOKUP(0,setup!$A$8:$H$58,5),VLOOKUP(N198,setup!$A$8:$H$58,8))</f>
        <v/>
      </c>
    </row>
    <row r="199" spans="1:15" x14ac:dyDescent="0.25">
      <c r="A199" s="6"/>
      <c r="O199" s="7" t="str">
        <f ca="1">getCodigoBackend(N199,A199,VLOOKUP(N199,setup!$A$8:$H$58,2),VLOOKUP(N199,setup!$A$8:$H$58,3),VLOOKUP(N199,setup!$A$8:$H$58,4),VLOOKUP(N199,setup!$A$8:$H$58,5),VLOOKUP(N199,setup!$A$8:$H$58,6),VLOOKUP(N199,setup!$A$8:$H$58,7), VLOOKUP(0,setup!$A$8:$H$58,2),VLOOKUP(0,setup!$A$8:$H$58,5),VLOOKUP(N199,setup!$A$8:$H$58,8))</f>
        <v/>
      </c>
    </row>
    <row r="200" spans="1:15" x14ac:dyDescent="0.25">
      <c r="A200" s="6"/>
      <c r="O200" s="7" t="str">
        <f ca="1">getCodigoBackend(N200,A200,VLOOKUP(N200,setup!$A$8:$H$58,2),VLOOKUP(N200,setup!$A$8:$H$58,3),VLOOKUP(N200,setup!$A$8:$H$58,4),VLOOKUP(N200,setup!$A$8:$H$58,5),VLOOKUP(N200,setup!$A$8:$H$58,6),VLOOKUP(N200,setup!$A$8:$H$58,7), VLOOKUP(0,setup!$A$8:$H$58,2),VLOOKUP(0,setup!$A$8:$H$58,5),VLOOKUP(N200,setup!$A$8:$H$58,8))</f>
        <v/>
      </c>
    </row>
    <row r="201" spans="1:15" x14ac:dyDescent="0.25">
      <c r="A201" s="6"/>
      <c r="O201" s="7" t="str">
        <f ca="1">getCodigoBackend(N201,A201,VLOOKUP(N201,setup!$A$8:$H$58,2),VLOOKUP(N201,setup!$A$8:$H$58,3),VLOOKUP(N201,setup!$A$8:$H$58,4),VLOOKUP(N201,setup!$A$8:$H$58,5),VLOOKUP(N201,setup!$A$8:$H$58,6),VLOOKUP(N201,setup!$A$8:$H$58,7), VLOOKUP(0,setup!$A$8:$H$58,2),VLOOKUP(0,setup!$A$8:$H$58,5),VLOOKUP(N201,setup!$A$8:$H$58,8))</f>
        <v/>
      </c>
    </row>
    <row r="202" spans="1:15" x14ac:dyDescent="0.25">
      <c r="A202" s="6"/>
      <c r="O202" s="7" t="str">
        <f ca="1">getCodigoBackend(N202,A202,VLOOKUP(N202,setup!$A$8:$H$58,2),VLOOKUP(N202,setup!$A$8:$H$58,3),VLOOKUP(N202,setup!$A$8:$H$58,4),VLOOKUP(N202,setup!$A$8:$H$58,5),VLOOKUP(N202,setup!$A$8:$H$58,6),VLOOKUP(N202,setup!$A$8:$H$58,7), VLOOKUP(0,setup!$A$8:$H$58,2),VLOOKUP(0,setup!$A$8:$H$58,5),VLOOKUP(N202,setup!$A$8:$H$58,8))</f>
        <v/>
      </c>
    </row>
    <row r="203" spans="1:15" x14ac:dyDescent="0.25">
      <c r="A203" s="6"/>
      <c r="O203" s="7" t="str">
        <f ca="1">getCodigoBackend(N203,A203,VLOOKUP(N203,setup!$A$8:$H$58,2),VLOOKUP(N203,setup!$A$8:$H$58,3),VLOOKUP(N203,setup!$A$8:$H$58,4),VLOOKUP(N203,setup!$A$8:$H$58,5),VLOOKUP(N203,setup!$A$8:$H$58,6),VLOOKUP(N203,setup!$A$8:$H$58,7), VLOOKUP(0,setup!$A$8:$H$58,2),VLOOKUP(0,setup!$A$8:$H$58,5),VLOOKUP(N203,setup!$A$8:$H$58,8))</f>
        <v/>
      </c>
    </row>
    <row r="204" spans="1:15" x14ac:dyDescent="0.25">
      <c r="A204" s="6"/>
      <c r="O204" s="7" t="str">
        <f ca="1">getCodigoBackend(N204,A204,VLOOKUP(N204,setup!$A$8:$H$58,2),VLOOKUP(N204,setup!$A$8:$H$58,3),VLOOKUP(N204,setup!$A$8:$H$58,4),VLOOKUP(N204,setup!$A$8:$H$58,5),VLOOKUP(N204,setup!$A$8:$H$58,6),VLOOKUP(N204,setup!$A$8:$H$58,7), VLOOKUP(0,setup!$A$8:$H$58,2),VLOOKUP(0,setup!$A$8:$H$58,5),VLOOKUP(N204,setup!$A$8:$H$58,8))</f>
        <v/>
      </c>
    </row>
    <row r="205" spans="1:15" x14ac:dyDescent="0.25">
      <c r="A205" s="6"/>
      <c r="O205" s="7" t="str">
        <f ca="1">getCodigoBackend(N205,A205,VLOOKUP(N205,setup!$A$8:$H$58,2),VLOOKUP(N205,setup!$A$8:$H$58,3),VLOOKUP(N205,setup!$A$8:$H$58,4),VLOOKUP(N205,setup!$A$8:$H$58,5),VLOOKUP(N205,setup!$A$8:$H$58,6),VLOOKUP(N205,setup!$A$8:$H$58,7), VLOOKUP(0,setup!$A$8:$H$58,2),VLOOKUP(0,setup!$A$8:$H$58,5),VLOOKUP(N205,setup!$A$8:$H$58,8))</f>
        <v/>
      </c>
    </row>
    <row r="206" spans="1:15" x14ac:dyDescent="0.25">
      <c r="A206" s="6"/>
      <c r="O206" s="7" t="str">
        <f ca="1">getCodigoBackend(N206,A206,VLOOKUP(N206,setup!$A$8:$H$58,2),VLOOKUP(N206,setup!$A$8:$H$58,3),VLOOKUP(N206,setup!$A$8:$H$58,4),VLOOKUP(N206,setup!$A$8:$H$58,5),VLOOKUP(N206,setup!$A$8:$H$58,6),VLOOKUP(N206,setup!$A$8:$H$58,7), VLOOKUP(0,setup!$A$8:$H$58,2),VLOOKUP(0,setup!$A$8:$H$58,5),VLOOKUP(N206,setup!$A$8:$H$58,8))</f>
        <v/>
      </c>
    </row>
    <row r="207" spans="1:15" x14ac:dyDescent="0.25">
      <c r="A207" s="6"/>
      <c r="O207" s="7" t="str">
        <f ca="1">getCodigoBackend(N207,A207,VLOOKUP(N207,setup!$A$8:$H$58,2),VLOOKUP(N207,setup!$A$8:$H$58,3),VLOOKUP(N207,setup!$A$8:$H$58,4),VLOOKUP(N207,setup!$A$8:$H$58,5),VLOOKUP(N207,setup!$A$8:$H$58,6),VLOOKUP(N207,setup!$A$8:$H$58,7), VLOOKUP(0,setup!$A$8:$H$58,2),VLOOKUP(0,setup!$A$8:$H$58,5),VLOOKUP(N207,setup!$A$8:$H$58,8))</f>
        <v/>
      </c>
    </row>
    <row r="208" spans="1:15" x14ac:dyDescent="0.25">
      <c r="A208" s="6"/>
      <c r="O208" s="7" t="str">
        <f ca="1">getCodigoBackend(N208,A208,VLOOKUP(N208,setup!$A$8:$H$58,2),VLOOKUP(N208,setup!$A$8:$H$58,3),VLOOKUP(N208,setup!$A$8:$H$58,4),VLOOKUP(N208,setup!$A$8:$H$58,5),VLOOKUP(N208,setup!$A$8:$H$58,6),VLOOKUP(N208,setup!$A$8:$H$58,7), VLOOKUP(0,setup!$A$8:$H$58,2),VLOOKUP(0,setup!$A$8:$H$58,5),VLOOKUP(N208,setup!$A$8:$H$58,8))</f>
        <v/>
      </c>
    </row>
    <row r="209" spans="1:15" x14ac:dyDescent="0.25">
      <c r="A209" s="6"/>
      <c r="O209" s="7" t="str">
        <f ca="1">getCodigoBackend(N209,A209,VLOOKUP(N209,setup!$A$8:$H$58,2),VLOOKUP(N209,setup!$A$8:$H$58,3),VLOOKUP(N209,setup!$A$8:$H$58,4),VLOOKUP(N209,setup!$A$8:$H$58,5),VLOOKUP(N209,setup!$A$8:$H$58,6),VLOOKUP(N209,setup!$A$8:$H$58,7), VLOOKUP(0,setup!$A$8:$H$58,2),VLOOKUP(0,setup!$A$8:$H$58,5),VLOOKUP(N209,setup!$A$8:$H$58,8))</f>
        <v/>
      </c>
    </row>
    <row r="210" spans="1:15" x14ac:dyDescent="0.25">
      <c r="A210" s="6"/>
      <c r="O210" s="7" t="str">
        <f ca="1">getCodigoBackend(N210,A210,VLOOKUP(N210,setup!$A$8:$H$58,2),VLOOKUP(N210,setup!$A$8:$H$58,3),VLOOKUP(N210,setup!$A$8:$H$58,4),VLOOKUP(N210,setup!$A$8:$H$58,5),VLOOKUP(N210,setup!$A$8:$H$58,6),VLOOKUP(N210,setup!$A$8:$H$58,7), VLOOKUP(0,setup!$A$8:$H$58,2),VLOOKUP(0,setup!$A$8:$H$58,5),VLOOKUP(N210,setup!$A$8:$H$58,8))</f>
        <v/>
      </c>
    </row>
    <row r="211" spans="1:15" x14ac:dyDescent="0.25">
      <c r="A211" s="6"/>
      <c r="O211" s="7" t="str">
        <f ca="1">getCodigoBackend(N211,A211,VLOOKUP(N211,setup!$A$8:$H$58,2),VLOOKUP(N211,setup!$A$8:$H$58,3),VLOOKUP(N211,setup!$A$8:$H$58,4),VLOOKUP(N211,setup!$A$8:$H$58,5),VLOOKUP(N211,setup!$A$8:$H$58,6),VLOOKUP(N211,setup!$A$8:$H$58,7), VLOOKUP(0,setup!$A$8:$H$58,2),VLOOKUP(0,setup!$A$8:$H$58,5),VLOOKUP(N211,setup!$A$8:$H$58,8))</f>
        <v/>
      </c>
    </row>
    <row r="212" spans="1:15" x14ac:dyDescent="0.25">
      <c r="A212" s="6"/>
      <c r="O212" s="7" t="str">
        <f ca="1">getCodigoBackend(N212,A212,VLOOKUP(N212,setup!$A$8:$H$58,2),VLOOKUP(N212,setup!$A$8:$H$58,3),VLOOKUP(N212,setup!$A$8:$H$58,4),VLOOKUP(N212,setup!$A$8:$H$58,5),VLOOKUP(N212,setup!$A$8:$H$58,6),VLOOKUP(N212,setup!$A$8:$H$58,7), VLOOKUP(0,setup!$A$8:$H$58,2),VLOOKUP(0,setup!$A$8:$H$58,5),VLOOKUP(N212,setup!$A$8:$H$58,8))</f>
        <v/>
      </c>
    </row>
    <row r="213" spans="1:15" x14ac:dyDescent="0.25">
      <c r="A213" s="6"/>
      <c r="O213" s="7" t="str">
        <f ca="1">getCodigoBackend(N213,A213,VLOOKUP(N213,setup!$A$8:$H$58,2),VLOOKUP(N213,setup!$A$8:$H$58,3),VLOOKUP(N213,setup!$A$8:$H$58,4),VLOOKUP(N213,setup!$A$8:$H$58,5),VLOOKUP(N213,setup!$A$8:$H$58,6),VLOOKUP(N213,setup!$A$8:$H$58,7), VLOOKUP(0,setup!$A$8:$H$58,2),VLOOKUP(0,setup!$A$8:$H$58,5),VLOOKUP(N213,setup!$A$8:$H$58,8))</f>
        <v/>
      </c>
    </row>
    <row r="214" spans="1:15" x14ac:dyDescent="0.25">
      <c r="A214" s="6"/>
      <c r="O214" s="7" t="str">
        <f ca="1">getCodigoBackend(N214,A214,VLOOKUP(N214,setup!$A$8:$H$58,2),VLOOKUP(N214,setup!$A$8:$H$58,3),VLOOKUP(N214,setup!$A$8:$H$58,4),VLOOKUP(N214,setup!$A$8:$H$58,5),VLOOKUP(N214,setup!$A$8:$H$58,6),VLOOKUP(N214,setup!$A$8:$H$58,7), VLOOKUP(0,setup!$A$8:$H$58,2),VLOOKUP(0,setup!$A$8:$H$58,5),VLOOKUP(N214,setup!$A$8:$H$58,8))</f>
        <v/>
      </c>
    </row>
    <row r="215" spans="1:15" x14ac:dyDescent="0.25">
      <c r="A215" s="6"/>
      <c r="O215" s="7" t="str">
        <f ca="1">getCodigoBackend(N215,A215,VLOOKUP(N215,setup!$A$8:$H$58,2),VLOOKUP(N215,setup!$A$8:$H$58,3),VLOOKUP(N215,setup!$A$8:$H$58,4),VLOOKUP(N215,setup!$A$8:$H$58,5),VLOOKUP(N215,setup!$A$8:$H$58,6),VLOOKUP(N215,setup!$A$8:$H$58,7), VLOOKUP(0,setup!$A$8:$H$58,2),VLOOKUP(0,setup!$A$8:$H$58,5),VLOOKUP(N215,setup!$A$8:$H$58,8))</f>
        <v/>
      </c>
    </row>
    <row r="216" spans="1:15" x14ac:dyDescent="0.25">
      <c r="A216" s="6"/>
      <c r="O216" s="7" t="str">
        <f ca="1">getCodigoBackend(N216,A216,VLOOKUP(N216,setup!$A$8:$H$58,2),VLOOKUP(N216,setup!$A$8:$H$58,3),VLOOKUP(N216,setup!$A$8:$H$58,4),VLOOKUP(N216,setup!$A$8:$H$58,5),VLOOKUP(N216,setup!$A$8:$H$58,6),VLOOKUP(N216,setup!$A$8:$H$58,7), VLOOKUP(0,setup!$A$8:$H$58,2),VLOOKUP(0,setup!$A$8:$H$58,5),VLOOKUP(N216,setup!$A$8:$H$58,8))</f>
        <v/>
      </c>
    </row>
    <row r="217" spans="1:15" x14ac:dyDescent="0.25">
      <c r="A217" s="6"/>
      <c r="O217" s="7" t="str">
        <f ca="1">getCodigoBackend(N217,A217,VLOOKUP(N217,setup!$A$8:$H$58,2),VLOOKUP(N217,setup!$A$8:$H$58,3),VLOOKUP(N217,setup!$A$8:$H$58,4),VLOOKUP(N217,setup!$A$8:$H$58,5),VLOOKUP(N217,setup!$A$8:$H$58,6),VLOOKUP(N217,setup!$A$8:$H$58,7), VLOOKUP(0,setup!$A$8:$H$58,2),VLOOKUP(0,setup!$A$8:$H$58,5),VLOOKUP(N217,setup!$A$8:$H$58,8))</f>
        <v/>
      </c>
    </row>
    <row r="218" spans="1:15" x14ac:dyDescent="0.25">
      <c r="A218" s="6"/>
      <c r="O218" s="7" t="str">
        <f ca="1">getCodigoBackend(N218,A218,VLOOKUP(N218,setup!$A$8:$H$58,2),VLOOKUP(N218,setup!$A$8:$H$58,3),VLOOKUP(N218,setup!$A$8:$H$58,4),VLOOKUP(N218,setup!$A$8:$H$58,5),VLOOKUP(N218,setup!$A$8:$H$58,6),VLOOKUP(N218,setup!$A$8:$H$58,7), VLOOKUP(0,setup!$A$8:$H$58,2),VLOOKUP(0,setup!$A$8:$H$58,5),VLOOKUP(N218,setup!$A$8:$H$58,8))</f>
        <v/>
      </c>
    </row>
    <row r="219" spans="1:15" x14ac:dyDescent="0.25">
      <c r="A219" s="6"/>
      <c r="O219" s="7" t="str">
        <f ca="1">getCodigoBackend(N219,A219,VLOOKUP(N219,setup!$A$8:$H$58,2),VLOOKUP(N219,setup!$A$8:$H$58,3),VLOOKUP(N219,setup!$A$8:$H$58,4),VLOOKUP(N219,setup!$A$8:$H$58,5),VLOOKUP(N219,setup!$A$8:$H$58,6),VLOOKUP(N219,setup!$A$8:$H$58,7), VLOOKUP(0,setup!$A$8:$H$58,2),VLOOKUP(0,setup!$A$8:$H$58,5),VLOOKUP(N219,setup!$A$8:$H$58,8))</f>
        <v/>
      </c>
    </row>
    <row r="220" spans="1:15" x14ac:dyDescent="0.25">
      <c r="A220" s="6"/>
      <c r="O220" s="7" t="str">
        <f ca="1">getCodigoBackend(N220,A220,VLOOKUP(N220,setup!$A$8:$H$58,2),VLOOKUP(N220,setup!$A$8:$H$58,3),VLOOKUP(N220,setup!$A$8:$H$58,4),VLOOKUP(N220,setup!$A$8:$H$58,5),VLOOKUP(N220,setup!$A$8:$H$58,6),VLOOKUP(N220,setup!$A$8:$H$58,7), VLOOKUP(0,setup!$A$8:$H$58,2),VLOOKUP(0,setup!$A$8:$H$58,5),VLOOKUP(N220,setup!$A$8:$H$58,8))</f>
        <v/>
      </c>
    </row>
    <row r="221" spans="1:15" x14ac:dyDescent="0.25">
      <c r="A221" s="6"/>
      <c r="O221" s="7" t="str">
        <f ca="1">getCodigoBackend(N221,A221,VLOOKUP(N221,setup!$A$8:$H$58,2),VLOOKUP(N221,setup!$A$8:$H$58,3),VLOOKUP(N221,setup!$A$8:$H$58,4),VLOOKUP(N221,setup!$A$8:$H$58,5),VLOOKUP(N221,setup!$A$8:$H$58,6),VLOOKUP(N221,setup!$A$8:$H$58,7), VLOOKUP(0,setup!$A$8:$H$58,2),VLOOKUP(0,setup!$A$8:$H$58,5),VLOOKUP(N221,setup!$A$8:$H$58,8))</f>
        <v/>
      </c>
    </row>
    <row r="222" spans="1:15" x14ac:dyDescent="0.25">
      <c r="A222" s="6"/>
      <c r="O222" s="7" t="str">
        <f ca="1">getCodigoBackend(N222,A222,VLOOKUP(N222,setup!$A$8:$H$58,2),VLOOKUP(N222,setup!$A$8:$H$58,3),VLOOKUP(N222,setup!$A$8:$H$58,4),VLOOKUP(N222,setup!$A$8:$H$58,5),VLOOKUP(N222,setup!$A$8:$H$58,6),VLOOKUP(N222,setup!$A$8:$H$58,7), VLOOKUP(0,setup!$A$8:$H$58,2),VLOOKUP(0,setup!$A$8:$H$58,5),VLOOKUP(N222,setup!$A$8:$H$58,8))</f>
        <v/>
      </c>
    </row>
    <row r="223" spans="1:15" x14ac:dyDescent="0.25">
      <c r="A223" s="6"/>
      <c r="O223" s="7" t="str">
        <f ca="1">getCodigoBackend(N223,A223,VLOOKUP(N223,setup!$A$8:$H$58,2),VLOOKUP(N223,setup!$A$8:$H$58,3),VLOOKUP(N223,setup!$A$8:$H$58,4),VLOOKUP(N223,setup!$A$8:$H$58,5),VLOOKUP(N223,setup!$A$8:$H$58,6),VLOOKUP(N223,setup!$A$8:$H$58,7), VLOOKUP(0,setup!$A$8:$H$58,2),VLOOKUP(0,setup!$A$8:$H$58,5),VLOOKUP(N223,setup!$A$8:$H$58,8))</f>
        <v/>
      </c>
    </row>
    <row r="224" spans="1:15" x14ac:dyDescent="0.25">
      <c r="A224" s="6"/>
      <c r="O224" s="7" t="str">
        <f ca="1">getCodigoBackend(N224,A224,VLOOKUP(N224,setup!$A$8:$H$58,2),VLOOKUP(N224,setup!$A$8:$H$58,3),VLOOKUP(N224,setup!$A$8:$H$58,4),VLOOKUP(N224,setup!$A$8:$H$58,5),VLOOKUP(N224,setup!$A$8:$H$58,6),VLOOKUP(N224,setup!$A$8:$H$58,7), VLOOKUP(0,setup!$A$8:$H$58,2),VLOOKUP(0,setup!$A$8:$H$58,5),VLOOKUP(N224,setup!$A$8:$H$58,8))</f>
        <v/>
      </c>
    </row>
    <row r="225" spans="1:15" x14ac:dyDescent="0.25">
      <c r="A225" s="6"/>
      <c r="O225" s="7" t="str">
        <f ca="1">getCodigoBackend(N225,A225,VLOOKUP(N225,setup!$A$8:$H$58,2),VLOOKUP(N225,setup!$A$8:$H$58,3),VLOOKUP(N225,setup!$A$8:$H$58,4),VLOOKUP(N225,setup!$A$8:$H$58,5),VLOOKUP(N225,setup!$A$8:$H$58,6),VLOOKUP(N225,setup!$A$8:$H$58,7), VLOOKUP(0,setup!$A$8:$H$58,2),VLOOKUP(0,setup!$A$8:$H$58,5),VLOOKUP(N225,setup!$A$8:$H$58,8))</f>
        <v/>
      </c>
    </row>
    <row r="226" spans="1:15" x14ac:dyDescent="0.25">
      <c r="A226" s="6"/>
      <c r="O226" s="7" t="str">
        <f ca="1">getCodigoBackend(N226,A226,VLOOKUP(N226,setup!$A$8:$H$58,2),VLOOKUP(N226,setup!$A$8:$H$58,3),VLOOKUP(N226,setup!$A$8:$H$58,4),VLOOKUP(N226,setup!$A$8:$H$58,5),VLOOKUP(N226,setup!$A$8:$H$58,6),VLOOKUP(N226,setup!$A$8:$H$58,7), VLOOKUP(0,setup!$A$8:$H$58,2),VLOOKUP(0,setup!$A$8:$H$58,5),VLOOKUP(N226,setup!$A$8:$H$58,8))</f>
        <v/>
      </c>
    </row>
    <row r="227" spans="1:15" x14ac:dyDescent="0.25">
      <c r="A227" s="6"/>
      <c r="O227" s="7" t="str">
        <f ca="1">getCodigoBackend(N227,A227,VLOOKUP(N227,setup!$A$8:$H$58,2),VLOOKUP(N227,setup!$A$8:$H$58,3),VLOOKUP(N227,setup!$A$8:$H$58,4),VLOOKUP(N227,setup!$A$8:$H$58,5),VLOOKUP(N227,setup!$A$8:$H$58,6),VLOOKUP(N227,setup!$A$8:$H$58,7), VLOOKUP(0,setup!$A$8:$H$58,2),VLOOKUP(0,setup!$A$8:$H$58,5),VLOOKUP(N227,setup!$A$8:$H$58,8))</f>
        <v/>
      </c>
    </row>
    <row r="228" spans="1:15" x14ac:dyDescent="0.25">
      <c r="A228" s="6"/>
      <c r="O228" s="7" t="str">
        <f ca="1">getCodigoBackend(N228,A228,VLOOKUP(N228,setup!$A$8:$H$58,2),VLOOKUP(N228,setup!$A$8:$H$58,3),VLOOKUP(N228,setup!$A$8:$H$58,4),VLOOKUP(N228,setup!$A$8:$H$58,5),VLOOKUP(N228,setup!$A$8:$H$58,6),VLOOKUP(N228,setup!$A$8:$H$58,7), VLOOKUP(0,setup!$A$8:$H$58,2),VLOOKUP(0,setup!$A$8:$H$58,5),VLOOKUP(N228,setup!$A$8:$H$58,8))</f>
        <v/>
      </c>
    </row>
    <row r="229" spans="1:15" x14ac:dyDescent="0.25">
      <c r="A229" s="6"/>
      <c r="O229" s="7" t="str">
        <f ca="1">getCodigoBackend(N229,A229,VLOOKUP(N229,setup!$A$8:$H$58,2),VLOOKUP(N229,setup!$A$8:$H$58,3),VLOOKUP(N229,setup!$A$8:$H$58,4),VLOOKUP(N229,setup!$A$8:$H$58,5),VLOOKUP(N229,setup!$A$8:$H$58,6),VLOOKUP(N229,setup!$A$8:$H$58,7), VLOOKUP(0,setup!$A$8:$H$58,2),VLOOKUP(0,setup!$A$8:$H$58,5),VLOOKUP(N229,setup!$A$8:$H$58,8))</f>
        <v/>
      </c>
    </row>
    <row r="230" spans="1:15" x14ac:dyDescent="0.25">
      <c r="A230" s="6"/>
      <c r="O230" s="7" t="str">
        <f ca="1">getCodigoBackend(N230,A230,VLOOKUP(N230,setup!$A$8:$H$58,2),VLOOKUP(N230,setup!$A$8:$H$58,3),VLOOKUP(N230,setup!$A$8:$H$58,4),VLOOKUP(N230,setup!$A$8:$H$58,5),VLOOKUP(N230,setup!$A$8:$H$58,6),VLOOKUP(N230,setup!$A$8:$H$58,7), VLOOKUP(0,setup!$A$8:$H$58,2),VLOOKUP(0,setup!$A$8:$H$58,5),VLOOKUP(N230,setup!$A$8:$H$58,8))</f>
        <v/>
      </c>
    </row>
    <row r="231" spans="1:15" x14ac:dyDescent="0.25">
      <c r="A231" s="6"/>
      <c r="O231" s="7" t="str">
        <f ca="1">getCodigoBackend(N231,A231,VLOOKUP(N231,setup!$A$8:$H$58,2),VLOOKUP(N231,setup!$A$8:$H$58,3),VLOOKUP(N231,setup!$A$8:$H$58,4),VLOOKUP(N231,setup!$A$8:$H$58,5),VLOOKUP(N231,setup!$A$8:$H$58,6),VLOOKUP(N231,setup!$A$8:$H$58,7), VLOOKUP(0,setup!$A$8:$H$58,2),VLOOKUP(0,setup!$A$8:$H$58,5),VLOOKUP(N231,setup!$A$8:$H$58,8))</f>
        <v/>
      </c>
    </row>
    <row r="232" spans="1:15" x14ac:dyDescent="0.25">
      <c r="A232" s="6"/>
      <c r="O232" s="7" t="str">
        <f ca="1">getCodigoBackend(N232,A232,VLOOKUP(N232,setup!$A$8:$H$58,2),VLOOKUP(N232,setup!$A$8:$H$58,3),VLOOKUP(N232,setup!$A$8:$H$58,4),VLOOKUP(N232,setup!$A$8:$H$58,5),VLOOKUP(N232,setup!$A$8:$H$58,6),VLOOKUP(N232,setup!$A$8:$H$58,7), VLOOKUP(0,setup!$A$8:$H$58,2),VLOOKUP(0,setup!$A$8:$H$58,5),VLOOKUP(N232,setup!$A$8:$H$58,8))</f>
        <v/>
      </c>
    </row>
    <row r="233" spans="1:15" x14ac:dyDescent="0.25">
      <c r="A233" s="6"/>
      <c r="O233" s="7" t="str">
        <f ca="1">getCodigoBackend(N233,A233,VLOOKUP(N233,setup!$A$8:$H$58,2),VLOOKUP(N233,setup!$A$8:$H$58,3),VLOOKUP(N233,setup!$A$8:$H$58,4),VLOOKUP(N233,setup!$A$8:$H$58,5),VLOOKUP(N233,setup!$A$8:$H$58,6),VLOOKUP(N233,setup!$A$8:$H$58,7), VLOOKUP(0,setup!$A$8:$H$58,2),VLOOKUP(0,setup!$A$8:$H$58,5),VLOOKUP(N233,setup!$A$8:$H$58,8))</f>
        <v/>
      </c>
    </row>
    <row r="234" spans="1:15" x14ac:dyDescent="0.25">
      <c r="A234" s="6"/>
      <c r="O234" s="7" t="str">
        <f ca="1">getCodigoBackend(N234,A234,VLOOKUP(N234,setup!$A$8:$H$58,2),VLOOKUP(N234,setup!$A$8:$H$58,3),VLOOKUP(N234,setup!$A$8:$H$58,4),VLOOKUP(N234,setup!$A$8:$H$58,5),VLOOKUP(N234,setup!$A$8:$H$58,6),VLOOKUP(N234,setup!$A$8:$H$58,7), VLOOKUP(0,setup!$A$8:$H$58,2),VLOOKUP(0,setup!$A$8:$H$58,5),VLOOKUP(N234,setup!$A$8:$H$58,8))</f>
        <v/>
      </c>
    </row>
    <row r="235" spans="1:15" x14ac:dyDescent="0.25">
      <c r="A235" s="6"/>
      <c r="O235" s="7" t="str">
        <f ca="1">getCodigoBackend(N235,A235,VLOOKUP(N235,setup!$A$8:$H$58,2),VLOOKUP(N235,setup!$A$8:$H$58,3),VLOOKUP(N235,setup!$A$8:$H$58,4),VLOOKUP(N235,setup!$A$8:$H$58,5),VLOOKUP(N235,setup!$A$8:$H$58,6),VLOOKUP(N235,setup!$A$8:$H$58,7), VLOOKUP(0,setup!$A$8:$H$58,2),VLOOKUP(0,setup!$A$8:$H$58,5),VLOOKUP(N235,setup!$A$8:$H$58,8))</f>
        <v/>
      </c>
    </row>
    <row r="236" spans="1:15" x14ac:dyDescent="0.25">
      <c r="A236" s="6"/>
      <c r="O236" s="7" t="str">
        <f ca="1">getCodigoBackend(N236,A236,VLOOKUP(N236,setup!$A$8:$H$58,2),VLOOKUP(N236,setup!$A$8:$H$58,3),VLOOKUP(N236,setup!$A$8:$H$58,4),VLOOKUP(N236,setup!$A$8:$H$58,5),VLOOKUP(N236,setup!$A$8:$H$58,6),VLOOKUP(N236,setup!$A$8:$H$58,7), VLOOKUP(0,setup!$A$8:$H$58,2),VLOOKUP(0,setup!$A$8:$H$58,5),VLOOKUP(N236,setup!$A$8:$H$58,8))</f>
        <v/>
      </c>
    </row>
    <row r="237" spans="1:15" x14ac:dyDescent="0.25">
      <c r="A237" s="6"/>
      <c r="O237" s="7" t="str">
        <f ca="1">getCodigoBackend(N237,A237,VLOOKUP(N237,setup!$A$8:$H$58,2),VLOOKUP(N237,setup!$A$8:$H$58,3),VLOOKUP(N237,setup!$A$8:$H$58,4),VLOOKUP(N237,setup!$A$8:$H$58,5),VLOOKUP(N237,setup!$A$8:$H$58,6),VLOOKUP(N237,setup!$A$8:$H$58,7), VLOOKUP(0,setup!$A$8:$H$58,2),VLOOKUP(0,setup!$A$8:$H$58,5),VLOOKUP(N237,setup!$A$8:$H$58,8))</f>
        <v/>
      </c>
    </row>
    <row r="238" spans="1:15" x14ac:dyDescent="0.25">
      <c r="A238" s="6"/>
      <c r="O238" s="7" t="str">
        <f ca="1">getCodigoBackend(N238,A238,VLOOKUP(N238,setup!$A$8:$H$58,2),VLOOKUP(N238,setup!$A$8:$H$58,3),VLOOKUP(N238,setup!$A$8:$H$58,4),VLOOKUP(N238,setup!$A$8:$H$58,5),VLOOKUP(N238,setup!$A$8:$H$58,6),VLOOKUP(N238,setup!$A$8:$H$58,7), VLOOKUP(0,setup!$A$8:$H$58,2),VLOOKUP(0,setup!$A$8:$H$58,5),VLOOKUP(N238,setup!$A$8:$H$58,8))</f>
        <v/>
      </c>
    </row>
    <row r="239" spans="1:15" x14ac:dyDescent="0.25">
      <c r="A239" s="6"/>
      <c r="O239" s="7" t="str">
        <f ca="1">getCodigoBackend(N239,A239,VLOOKUP(N239,setup!$A$8:$H$58,2),VLOOKUP(N239,setup!$A$8:$H$58,3),VLOOKUP(N239,setup!$A$8:$H$58,4),VLOOKUP(N239,setup!$A$8:$H$58,5),VLOOKUP(N239,setup!$A$8:$H$58,6),VLOOKUP(N239,setup!$A$8:$H$58,7), VLOOKUP(0,setup!$A$8:$H$58,2),VLOOKUP(0,setup!$A$8:$H$58,5),VLOOKUP(N239,setup!$A$8:$H$58,8))</f>
        <v/>
      </c>
    </row>
    <row r="240" spans="1:15" x14ac:dyDescent="0.25">
      <c r="A240" s="6"/>
      <c r="O240" s="7" t="str">
        <f ca="1">getCodigoBackend(N240,A240,VLOOKUP(N240,setup!$A$8:$H$58,2),VLOOKUP(N240,setup!$A$8:$H$58,3),VLOOKUP(N240,setup!$A$8:$H$58,4),VLOOKUP(N240,setup!$A$8:$H$58,5),VLOOKUP(N240,setup!$A$8:$H$58,6),VLOOKUP(N240,setup!$A$8:$H$58,7), VLOOKUP(0,setup!$A$8:$H$58,2),VLOOKUP(0,setup!$A$8:$H$58,5),VLOOKUP(N240,setup!$A$8:$H$58,8))</f>
        <v/>
      </c>
    </row>
    <row r="241" spans="1:15" x14ac:dyDescent="0.25">
      <c r="A241" s="6"/>
      <c r="O241" s="7" t="str">
        <f ca="1">getCodigoBackend(N241,A241,VLOOKUP(N241,setup!$A$8:$H$58,2),VLOOKUP(N241,setup!$A$8:$H$58,3),VLOOKUP(N241,setup!$A$8:$H$58,4),VLOOKUP(N241,setup!$A$8:$H$58,5),VLOOKUP(N241,setup!$A$8:$H$58,6),VLOOKUP(N241,setup!$A$8:$H$58,7), VLOOKUP(0,setup!$A$8:$H$58,2),VLOOKUP(0,setup!$A$8:$H$58,5),VLOOKUP(N241,setup!$A$8:$H$58,8))</f>
        <v/>
      </c>
    </row>
    <row r="242" spans="1:15" x14ac:dyDescent="0.25">
      <c r="A242" s="6"/>
      <c r="O242" s="7" t="str">
        <f ca="1">getCodigoBackend(N242,A242,VLOOKUP(N242,setup!$A$8:$H$58,2),VLOOKUP(N242,setup!$A$8:$H$58,3),VLOOKUP(N242,setup!$A$8:$H$58,4),VLOOKUP(N242,setup!$A$8:$H$58,5),VLOOKUP(N242,setup!$A$8:$H$58,6),VLOOKUP(N242,setup!$A$8:$H$58,7), VLOOKUP(0,setup!$A$8:$H$58,2),VLOOKUP(0,setup!$A$8:$H$58,5),VLOOKUP(N242,setup!$A$8:$H$58,8))</f>
        <v/>
      </c>
    </row>
    <row r="243" spans="1:15" x14ac:dyDescent="0.25">
      <c r="A243" s="6"/>
      <c r="O243" s="7" t="str">
        <f ca="1">getCodigoBackend(N243,A243,VLOOKUP(N243,setup!$A$8:$H$58,2),VLOOKUP(N243,setup!$A$8:$H$58,3),VLOOKUP(N243,setup!$A$8:$H$58,4),VLOOKUP(N243,setup!$A$8:$H$58,5),VLOOKUP(N243,setup!$A$8:$H$58,6),VLOOKUP(N243,setup!$A$8:$H$58,7), VLOOKUP(0,setup!$A$8:$H$58,2),VLOOKUP(0,setup!$A$8:$H$58,5),VLOOKUP(N243,setup!$A$8:$H$58,8))</f>
        <v/>
      </c>
    </row>
    <row r="244" spans="1:15" x14ac:dyDescent="0.25">
      <c r="A244" s="6"/>
      <c r="O244" s="7" t="str">
        <f ca="1">getCodigoBackend(N244,A244,VLOOKUP(N244,setup!$A$8:$H$58,2),VLOOKUP(N244,setup!$A$8:$H$58,3),VLOOKUP(N244,setup!$A$8:$H$58,4),VLOOKUP(N244,setup!$A$8:$H$58,5),VLOOKUP(N244,setup!$A$8:$H$58,6),VLOOKUP(N244,setup!$A$8:$H$58,7), VLOOKUP(0,setup!$A$8:$H$58,2),VLOOKUP(0,setup!$A$8:$H$58,5),VLOOKUP(N244,setup!$A$8:$H$58,8))</f>
        <v/>
      </c>
    </row>
    <row r="245" spans="1:15" x14ac:dyDescent="0.25">
      <c r="A245" s="6"/>
      <c r="O245" s="7" t="str">
        <f ca="1">getCodigoBackend(N245,A245,VLOOKUP(N245,setup!$A$8:$H$58,2),VLOOKUP(N245,setup!$A$8:$H$58,3),VLOOKUP(N245,setup!$A$8:$H$58,4),VLOOKUP(N245,setup!$A$8:$H$58,5),VLOOKUP(N245,setup!$A$8:$H$58,6),VLOOKUP(N245,setup!$A$8:$H$58,7), VLOOKUP(0,setup!$A$8:$H$58,2),VLOOKUP(0,setup!$A$8:$H$58,5),VLOOKUP(N245,setup!$A$8:$H$58,8))</f>
        <v/>
      </c>
    </row>
    <row r="246" spans="1:15" x14ac:dyDescent="0.25">
      <c r="A246" s="6"/>
      <c r="O246" s="7" t="str">
        <f ca="1">getCodigoBackend(N246,A246,VLOOKUP(N246,setup!$A$8:$H$58,2),VLOOKUP(N246,setup!$A$8:$H$58,3),VLOOKUP(N246,setup!$A$8:$H$58,4),VLOOKUP(N246,setup!$A$8:$H$58,5),VLOOKUP(N246,setup!$A$8:$H$58,6),VLOOKUP(N246,setup!$A$8:$H$58,7), VLOOKUP(0,setup!$A$8:$H$58,2),VLOOKUP(0,setup!$A$8:$H$58,5),VLOOKUP(N246,setup!$A$8:$H$58,8))</f>
        <v/>
      </c>
    </row>
    <row r="247" spans="1:15" x14ac:dyDescent="0.25">
      <c r="A247" s="6"/>
      <c r="O247" s="7" t="str">
        <f ca="1">getCodigoBackend(N247,A247,VLOOKUP(N247,setup!$A$8:$H$58,2),VLOOKUP(N247,setup!$A$8:$H$58,3),VLOOKUP(N247,setup!$A$8:$H$58,4),VLOOKUP(N247,setup!$A$8:$H$58,5),VLOOKUP(N247,setup!$A$8:$H$58,6),VLOOKUP(N247,setup!$A$8:$H$58,7), VLOOKUP(0,setup!$A$8:$H$58,2),VLOOKUP(0,setup!$A$8:$H$58,5),VLOOKUP(N247,setup!$A$8:$H$58,8))</f>
        <v/>
      </c>
    </row>
    <row r="248" spans="1:15" x14ac:dyDescent="0.25">
      <c r="A248" s="6"/>
      <c r="O248" s="7" t="str">
        <f ca="1">getCodigoBackend(N248,A248,VLOOKUP(N248,setup!$A$8:$H$58,2),VLOOKUP(N248,setup!$A$8:$H$58,3),VLOOKUP(N248,setup!$A$8:$H$58,4),VLOOKUP(N248,setup!$A$8:$H$58,5),VLOOKUP(N248,setup!$A$8:$H$58,6),VLOOKUP(N248,setup!$A$8:$H$58,7), VLOOKUP(0,setup!$A$8:$H$58,2),VLOOKUP(0,setup!$A$8:$H$58,5),VLOOKUP(N248,setup!$A$8:$H$58,8))</f>
        <v/>
      </c>
    </row>
    <row r="249" spans="1:15" x14ac:dyDescent="0.25">
      <c r="A249" s="6"/>
      <c r="O249" s="7" t="str">
        <f ca="1">getCodigoBackend(N249,A249,VLOOKUP(N249,setup!$A$8:$H$58,2),VLOOKUP(N249,setup!$A$8:$H$58,3),VLOOKUP(N249,setup!$A$8:$H$58,4),VLOOKUP(N249,setup!$A$8:$H$58,5),VLOOKUP(N249,setup!$A$8:$H$58,6),VLOOKUP(N249,setup!$A$8:$H$58,7), VLOOKUP(0,setup!$A$8:$H$58,2),VLOOKUP(0,setup!$A$8:$H$58,5),VLOOKUP(N249,setup!$A$8:$H$58,8))</f>
        <v/>
      </c>
    </row>
    <row r="250" spans="1:15" x14ac:dyDescent="0.25">
      <c r="A250" s="6"/>
      <c r="O250" s="7" t="str">
        <f ca="1">getCodigoBackend(N250,A250,VLOOKUP(N250,setup!$A$8:$H$58,2),VLOOKUP(N250,setup!$A$8:$H$58,3),VLOOKUP(N250,setup!$A$8:$H$58,4),VLOOKUP(N250,setup!$A$8:$H$58,5),VLOOKUP(N250,setup!$A$8:$H$58,6),VLOOKUP(N250,setup!$A$8:$H$58,7), VLOOKUP(0,setup!$A$8:$H$58,2),VLOOKUP(0,setup!$A$8:$H$58,5),VLOOKUP(N250,setup!$A$8:$H$58,8))</f>
        <v/>
      </c>
    </row>
    <row r="251" spans="1:15" x14ac:dyDescent="0.25">
      <c r="A251" s="2"/>
      <c r="O251" s="7" t="str">
        <f ca="1">getCodigoBackend(N251,A251,VLOOKUP(N251,setup!$A$8:$H$58,2),VLOOKUP(N251,setup!$A$8:$H$58,3),VLOOKUP(N251,setup!$A$8:$H$58,4),VLOOKUP(N251,setup!$A$8:$H$58,5),VLOOKUP(N251,setup!$A$8:$H$58,6),VLOOKUP(N251,setup!$A$8:$H$58,7), VLOOKUP(0,setup!$A$8:$H$58,2),VLOOKUP(0,setup!$A$8:$H$58,5),VLOOKUP(N251,setup!$A$8:$H$58,8))</f>
        <v/>
      </c>
    </row>
    <row r="252" spans="1:15" x14ac:dyDescent="0.25">
      <c r="A252" s="2"/>
      <c r="O252" s="7" t="str">
        <f ca="1">getCodigoBackend(N252,A252,VLOOKUP(N252,setup!$A$8:$H$58,2),VLOOKUP(N252,setup!$A$8:$H$58,3),VLOOKUP(N252,setup!$A$8:$H$58,4),VLOOKUP(N252,setup!$A$8:$H$58,5),VLOOKUP(N252,setup!$A$8:$H$58,6),VLOOKUP(N252,setup!$A$8:$H$58,7), VLOOKUP(0,setup!$A$8:$H$58,2),VLOOKUP(0,setup!$A$8:$H$58,5),VLOOKUP(N252,setup!$A$8:$H$58,8))</f>
        <v/>
      </c>
    </row>
    <row r="253" spans="1:15" x14ac:dyDescent="0.25">
      <c r="A253" s="3"/>
      <c r="O253" s="7" t="str">
        <f ca="1">getCodigoBackend(N253,A253,VLOOKUP(N253,setup!$A$8:$H$58,2),VLOOKUP(N253,setup!$A$8:$H$58,3),VLOOKUP(N253,setup!$A$8:$H$58,4),VLOOKUP(N253,setup!$A$8:$H$58,5),VLOOKUP(N253,setup!$A$8:$H$58,6),VLOOKUP(N253,setup!$A$8:$H$58,7), VLOOKUP(0,setup!$A$8:$H$58,2),VLOOKUP(0,setup!$A$8:$H$58,5),VLOOKUP(N253,setup!$A$8:$H$58,8))</f>
        <v/>
      </c>
    </row>
    <row r="254" spans="1:15" x14ac:dyDescent="0.25">
      <c r="A254" s="2"/>
      <c r="O254" s="7" t="str">
        <f ca="1">getCodigoBackend(N254,A254,VLOOKUP(N254,setup!$A$8:$H$58,2),VLOOKUP(N254,setup!$A$8:$H$58,3),VLOOKUP(N254,setup!$A$8:$H$58,4),VLOOKUP(N254,setup!$A$8:$H$58,5),VLOOKUP(N254,setup!$A$8:$H$58,6),VLOOKUP(N254,setup!$A$8:$H$58,7), VLOOKUP(0,setup!$A$8:$H$58,2),VLOOKUP(0,setup!$A$8:$H$58,5),VLOOKUP(N254,setup!$A$8:$H$58,8))</f>
        <v/>
      </c>
    </row>
    <row r="255" spans="1:15" x14ac:dyDescent="0.25">
      <c r="A255" s="6"/>
      <c r="O255" s="7" t="str">
        <f ca="1">getCodigoBackend(N255,A255,VLOOKUP(N255,setup!$A$8:$H$58,2),VLOOKUP(N255,setup!$A$8:$H$58,3),VLOOKUP(N255,setup!$A$8:$H$58,4),VLOOKUP(N255,setup!$A$8:$H$58,5),VLOOKUP(N255,setup!$A$8:$H$58,6),VLOOKUP(N255,setup!$A$8:$H$58,7), VLOOKUP(0,setup!$A$8:$H$58,2),VLOOKUP(0,setup!$A$8:$H$58,5),VLOOKUP(N255,setup!$A$8:$H$58,8))</f>
        <v/>
      </c>
    </row>
    <row r="256" spans="1:15" x14ac:dyDescent="0.25">
      <c r="A256" s="5"/>
      <c r="O256" s="7" t="str">
        <f ca="1">getCodigoBackend(N256,A256,VLOOKUP(N256,setup!$A$8:$H$58,2),VLOOKUP(N256,setup!$A$8:$H$58,3),VLOOKUP(N256,setup!$A$8:$H$58,4),VLOOKUP(N256,setup!$A$8:$H$58,5),VLOOKUP(N256,setup!$A$8:$H$58,6),VLOOKUP(N256,setup!$A$8:$H$58,7), VLOOKUP(0,setup!$A$8:$H$58,2),VLOOKUP(0,setup!$A$8:$H$58,5),VLOOKUP(N256,setup!$A$8:$H$58,8))</f>
        <v/>
      </c>
    </row>
    <row r="257" spans="1:15" x14ac:dyDescent="0.25">
      <c r="A257" s="6"/>
      <c r="O257" s="7" t="str">
        <f ca="1">getCodigoBackend(N257,A257,VLOOKUP(N257,setup!$A$8:$H$58,2),VLOOKUP(N257,setup!$A$8:$H$58,3),VLOOKUP(N257,setup!$A$8:$H$58,4),VLOOKUP(N257,setup!$A$8:$H$58,5),VLOOKUP(N257,setup!$A$8:$H$58,6),VLOOKUP(N257,setup!$A$8:$H$58,7), VLOOKUP(0,setup!$A$8:$H$58,2),VLOOKUP(0,setup!$A$8:$H$58,5),VLOOKUP(N257,setup!$A$8:$H$58,8))</f>
        <v/>
      </c>
    </row>
    <row r="258" spans="1:15" x14ac:dyDescent="0.25">
      <c r="A258" s="8"/>
      <c r="O258" s="7" t="str">
        <f ca="1">getCodigoBackend(N258,A258,VLOOKUP(N258,setup!$A$8:$H$58,2),VLOOKUP(N258,setup!$A$8:$H$58,3),VLOOKUP(N258,setup!$A$8:$H$58,4),VLOOKUP(N258,setup!$A$8:$H$58,5),VLOOKUP(N258,setup!$A$8:$H$58,6),VLOOKUP(N258,setup!$A$8:$H$58,7), VLOOKUP(0,setup!$A$8:$H$58,2),VLOOKUP(0,setup!$A$8:$H$58,5),VLOOKUP(N258,setup!$A$8:$H$58,8))</f>
        <v/>
      </c>
    </row>
    <row r="259" spans="1:15" x14ac:dyDescent="0.25">
      <c r="A259" s="8"/>
      <c r="O259" s="7" t="str">
        <f ca="1">getCodigoBackend(N259,A259,VLOOKUP(N259,setup!$A$8:$H$58,2),VLOOKUP(N259,setup!$A$8:$H$58,3),VLOOKUP(N259,setup!$A$8:$H$58,4),VLOOKUP(N259,setup!$A$8:$H$58,5),VLOOKUP(N259,setup!$A$8:$H$58,6),VLOOKUP(N259,setup!$A$8:$H$58,7), VLOOKUP(0,setup!$A$8:$H$58,2),VLOOKUP(0,setup!$A$8:$H$58,5),VLOOKUP(N259,setup!$A$8:$H$58,8))</f>
        <v/>
      </c>
    </row>
    <row r="260" spans="1:15" x14ac:dyDescent="0.25">
      <c r="A260" s="8"/>
      <c r="O260" s="7" t="str">
        <f ca="1">getCodigoBackend(N260,A260,VLOOKUP(N260,setup!$A$8:$H$58,2),VLOOKUP(N260,setup!$A$8:$H$58,3),VLOOKUP(N260,setup!$A$8:$H$58,4),VLOOKUP(N260,setup!$A$8:$H$58,5),VLOOKUP(N260,setup!$A$8:$H$58,6),VLOOKUP(N260,setup!$A$8:$H$58,7), VLOOKUP(0,setup!$A$8:$H$58,2),VLOOKUP(0,setup!$A$8:$H$58,5),VLOOKUP(N260,setup!$A$8:$H$58,8))</f>
        <v/>
      </c>
    </row>
    <row r="261" spans="1:15" x14ac:dyDescent="0.25">
      <c r="A261" s="8"/>
      <c r="O261" s="7" t="str">
        <f ca="1">getCodigoBackend(N261,A261,VLOOKUP(N261,setup!$A$8:$H$58,2),VLOOKUP(N261,setup!$A$8:$H$58,3),VLOOKUP(N261,setup!$A$8:$H$58,4),VLOOKUP(N261,setup!$A$8:$H$58,5),VLOOKUP(N261,setup!$A$8:$H$58,6),VLOOKUP(N261,setup!$A$8:$H$58,7), VLOOKUP(0,setup!$A$8:$H$58,2),VLOOKUP(0,setup!$A$8:$H$58,5),VLOOKUP(N261,setup!$A$8:$H$58,8))</f>
        <v/>
      </c>
    </row>
    <row r="262" spans="1:15" x14ac:dyDescent="0.25">
      <c r="A262" s="8"/>
      <c r="O262" s="7" t="str">
        <f ca="1">getCodigoBackend(N262,A262,VLOOKUP(N262,setup!$A$8:$H$58,2),VLOOKUP(N262,setup!$A$8:$H$58,3),VLOOKUP(N262,setup!$A$8:$H$58,4),VLOOKUP(N262,setup!$A$8:$H$58,5),VLOOKUP(N262,setup!$A$8:$H$58,6),VLOOKUP(N262,setup!$A$8:$H$58,7), VLOOKUP(0,setup!$A$8:$H$58,2),VLOOKUP(0,setup!$A$8:$H$58,5),VLOOKUP(N262,setup!$A$8:$H$58,8))</f>
        <v/>
      </c>
    </row>
    <row r="263" spans="1:15" x14ac:dyDescent="0.25">
      <c r="A263" s="8"/>
      <c r="O263" s="7" t="str">
        <f ca="1">getCodigoBackend(N263,A263,VLOOKUP(N263,setup!$A$8:$H$58,2),VLOOKUP(N263,setup!$A$8:$H$58,3),VLOOKUP(N263,setup!$A$8:$H$58,4),VLOOKUP(N263,setup!$A$8:$H$58,5),VLOOKUP(N263,setup!$A$8:$H$58,6),VLOOKUP(N263,setup!$A$8:$H$58,7), VLOOKUP(0,setup!$A$8:$H$58,2),VLOOKUP(0,setup!$A$8:$H$58,5),VLOOKUP(N263,setup!$A$8:$H$58,8))</f>
        <v/>
      </c>
    </row>
    <row r="264" spans="1:15" x14ac:dyDescent="0.25">
      <c r="A264" s="8"/>
      <c r="O264" s="7" t="str">
        <f ca="1">getCodigoBackend(N264,A264,VLOOKUP(N264,setup!$A$8:$H$58,2),VLOOKUP(N264,setup!$A$8:$H$58,3),VLOOKUP(N264,setup!$A$8:$H$58,4),VLOOKUP(N264,setup!$A$8:$H$58,5),VLOOKUP(N264,setup!$A$8:$H$58,6),VLOOKUP(N264,setup!$A$8:$H$58,7), VLOOKUP(0,setup!$A$8:$H$58,2),VLOOKUP(0,setup!$A$8:$H$58,5),VLOOKUP(N264,setup!$A$8:$H$58,8))</f>
        <v/>
      </c>
    </row>
    <row r="265" spans="1:15" x14ac:dyDescent="0.25">
      <c r="A265" s="8"/>
      <c r="O265" s="7" t="str">
        <f ca="1">getCodigoBackend(N265,A265,VLOOKUP(N265,setup!$A$8:$H$58,2),VLOOKUP(N265,setup!$A$8:$H$58,3),VLOOKUP(N265,setup!$A$8:$H$58,4),VLOOKUP(N265,setup!$A$8:$H$58,5),VLOOKUP(N265,setup!$A$8:$H$58,6),VLOOKUP(N265,setup!$A$8:$H$58,7), VLOOKUP(0,setup!$A$8:$H$58,2),VLOOKUP(0,setup!$A$8:$H$58,5),VLOOKUP(N265,setup!$A$8:$H$58,8))</f>
        <v/>
      </c>
    </row>
    <row r="266" spans="1:15" x14ac:dyDescent="0.25">
      <c r="A266" s="8"/>
      <c r="O266" s="7" t="str">
        <f ca="1">getCodigoBackend(N266,A266,VLOOKUP(N266,setup!$A$8:$H$58,2),VLOOKUP(N266,setup!$A$8:$H$58,3),VLOOKUP(N266,setup!$A$8:$H$58,4),VLOOKUP(N266,setup!$A$8:$H$58,5),VLOOKUP(N266,setup!$A$8:$H$58,6),VLOOKUP(N266,setup!$A$8:$H$58,7), VLOOKUP(0,setup!$A$8:$H$58,2),VLOOKUP(0,setup!$A$8:$H$58,5),VLOOKUP(N266,setup!$A$8:$H$58,8))</f>
        <v/>
      </c>
    </row>
    <row r="267" spans="1:15" x14ac:dyDescent="0.25">
      <c r="A267" s="8"/>
      <c r="O267" s="7" t="str">
        <f ca="1">getCodigoBackend(N267,A267,VLOOKUP(N267,setup!$A$8:$H$58,2),VLOOKUP(N267,setup!$A$8:$H$58,3),VLOOKUP(N267,setup!$A$8:$H$58,4),VLOOKUP(N267,setup!$A$8:$H$58,5),VLOOKUP(N267,setup!$A$8:$H$58,6),VLOOKUP(N267,setup!$A$8:$H$58,7), VLOOKUP(0,setup!$A$8:$H$58,2),VLOOKUP(0,setup!$A$8:$H$58,5),VLOOKUP(N267,setup!$A$8:$H$58,8))</f>
        <v/>
      </c>
    </row>
    <row r="268" spans="1:15" x14ac:dyDescent="0.25">
      <c r="A268" s="8"/>
      <c r="O268" s="7" t="str">
        <f ca="1">getCodigoBackend(N268,A268,VLOOKUP(N268,setup!$A$8:$H$58,2),VLOOKUP(N268,setup!$A$8:$H$58,3),VLOOKUP(N268,setup!$A$8:$H$58,4),VLOOKUP(N268,setup!$A$8:$H$58,5),VLOOKUP(N268,setup!$A$8:$H$58,6),VLOOKUP(N268,setup!$A$8:$H$58,7), VLOOKUP(0,setup!$A$8:$H$58,2),VLOOKUP(0,setup!$A$8:$H$58,5),VLOOKUP(N268,setup!$A$8:$H$58,8))</f>
        <v/>
      </c>
    </row>
    <row r="269" spans="1:15" x14ac:dyDescent="0.25">
      <c r="A269" s="8"/>
      <c r="O269" s="7" t="str">
        <f ca="1">getCodigoBackend(N269,A269,VLOOKUP(N269,setup!$A$8:$H$58,2),VLOOKUP(N269,setup!$A$8:$H$58,3),VLOOKUP(N269,setup!$A$8:$H$58,4),VLOOKUP(N269,setup!$A$8:$H$58,5),VLOOKUP(N269,setup!$A$8:$H$58,6),VLOOKUP(N269,setup!$A$8:$H$58,7), VLOOKUP(0,setup!$A$8:$H$58,2),VLOOKUP(0,setup!$A$8:$H$58,5),VLOOKUP(N269,setup!$A$8:$H$58,8))</f>
        <v/>
      </c>
    </row>
    <row r="270" spans="1:15" x14ac:dyDescent="0.25">
      <c r="A270" s="8"/>
      <c r="O270" s="7" t="str">
        <f ca="1">getCodigoBackend(N270,A270,VLOOKUP(N270,setup!$A$8:$H$58,2),VLOOKUP(N270,setup!$A$8:$H$58,3),VLOOKUP(N270,setup!$A$8:$H$58,4),VLOOKUP(N270,setup!$A$8:$H$58,5),VLOOKUP(N270,setup!$A$8:$H$58,6),VLOOKUP(N270,setup!$A$8:$H$58,7), VLOOKUP(0,setup!$A$8:$H$58,2),VLOOKUP(0,setup!$A$8:$H$58,5),VLOOKUP(N270,setup!$A$8:$H$58,8))</f>
        <v/>
      </c>
    </row>
    <row r="271" spans="1:15" x14ac:dyDescent="0.25">
      <c r="A271" s="8"/>
      <c r="O271" s="7" t="str">
        <f ca="1">getCodigoBackend(N271,A271,VLOOKUP(N271,setup!$A$8:$H$58,2),VLOOKUP(N271,setup!$A$8:$H$58,3),VLOOKUP(N271,setup!$A$8:$H$58,4),VLOOKUP(N271,setup!$A$8:$H$58,5),VLOOKUP(N271,setup!$A$8:$H$58,6),VLOOKUP(N271,setup!$A$8:$H$58,7), VLOOKUP(0,setup!$A$8:$H$58,2),VLOOKUP(0,setup!$A$8:$H$58,5),VLOOKUP(N271,setup!$A$8:$H$58,8))</f>
        <v/>
      </c>
    </row>
    <row r="272" spans="1:15" x14ac:dyDescent="0.25">
      <c r="A272" s="8"/>
      <c r="O272" s="7" t="str">
        <f ca="1">getCodigoBackend(N272,A272,VLOOKUP(N272,setup!$A$8:$H$58,2),VLOOKUP(N272,setup!$A$8:$H$58,3),VLOOKUP(N272,setup!$A$8:$H$58,4),VLOOKUP(N272,setup!$A$8:$H$58,5),VLOOKUP(N272,setup!$A$8:$H$58,6),VLOOKUP(N272,setup!$A$8:$H$58,7), VLOOKUP(0,setup!$A$8:$H$58,2),VLOOKUP(0,setup!$A$8:$H$58,5),VLOOKUP(N272,setup!$A$8:$H$58,8))</f>
        <v/>
      </c>
    </row>
    <row r="273" spans="1:15" x14ac:dyDescent="0.25">
      <c r="A273" s="8"/>
      <c r="O273" s="7" t="str">
        <f ca="1">getCodigoBackend(N273,A273,VLOOKUP(N273,setup!$A$8:$H$58,2),VLOOKUP(N273,setup!$A$8:$H$58,3),VLOOKUP(N273,setup!$A$8:$H$58,4),VLOOKUP(N273,setup!$A$8:$H$58,5),VLOOKUP(N273,setup!$A$8:$H$58,6),VLOOKUP(N273,setup!$A$8:$H$58,7), VLOOKUP(0,setup!$A$8:$H$58,2),VLOOKUP(0,setup!$A$8:$H$58,5),VLOOKUP(N273,setup!$A$8:$H$58,8))</f>
        <v/>
      </c>
    </row>
    <row r="274" spans="1:15" x14ac:dyDescent="0.25">
      <c r="A274" s="8"/>
      <c r="O274" s="7" t="str">
        <f ca="1">getCodigoBackend(N274,A274,VLOOKUP(N274,setup!$A$8:$H$58,2),VLOOKUP(N274,setup!$A$8:$H$58,3),VLOOKUP(N274,setup!$A$8:$H$58,4),VLOOKUP(N274,setup!$A$8:$H$58,5),VLOOKUP(N274,setup!$A$8:$H$58,6),VLOOKUP(N274,setup!$A$8:$H$58,7), VLOOKUP(0,setup!$A$8:$H$58,2),VLOOKUP(0,setup!$A$8:$H$58,5),VLOOKUP(N274,setup!$A$8:$H$58,8))</f>
        <v/>
      </c>
    </row>
    <row r="275" spans="1:15" x14ac:dyDescent="0.25">
      <c r="A275" s="8"/>
      <c r="O275" s="7" t="str">
        <f ca="1">getCodigoBackend(N275,A275,VLOOKUP(N275,setup!$A$8:$H$58,2),VLOOKUP(N275,setup!$A$8:$H$58,3),VLOOKUP(N275,setup!$A$8:$H$58,4),VLOOKUP(N275,setup!$A$8:$H$58,5),VLOOKUP(N275,setup!$A$8:$H$58,6),VLOOKUP(N275,setup!$A$8:$H$58,7), VLOOKUP(0,setup!$A$8:$H$58,2),VLOOKUP(0,setup!$A$8:$H$58,5),VLOOKUP(N275,setup!$A$8:$H$58,8))</f>
        <v/>
      </c>
    </row>
    <row r="276" spans="1:15" x14ac:dyDescent="0.25">
      <c r="A276" s="8"/>
      <c r="O276" s="7" t="str">
        <f ca="1">getCodigoBackend(N276,A276,VLOOKUP(N276,setup!$A$8:$H$58,2),VLOOKUP(N276,setup!$A$8:$H$58,3),VLOOKUP(N276,setup!$A$8:$H$58,4),VLOOKUP(N276,setup!$A$8:$H$58,5),VLOOKUP(N276,setup!$A$8:$H$58,6),VLOOKUP(N276,setup!$A$8:$H$58,7), VLOOKUP(0,setup!$A$8:$H$58,2),VLOOKUP(0,setup!$A$8:$H$58,5),VLOOKUP(N276,setup!$A$8:$H$58,8))</f>
        <v/>
      </c>
    </row>
    <row r="277" spans="1:15" x14ac:dyDescent="0.25">
      <c r="A277" s="8"/>
      <c r="O277" s="7" t="str">
        <f ca="1">getCodigoBackend(N277,A277,VLOOKUP(N277,setup!$A$8:$H$58,2),VLOOKUP(N277,setup!$A$8:$H$58,3),VLOOKUP(N277,setup!$A$8:$H$58,4),VLOOKUP(N277,setup!$A$8:$H$58,5),VLOOKUP(N277,setup!$A$8:$H$58,6),VLOOKUP(N277,setup!$A$8:$H$58,7), VLOOKUP(0,setup!$A$8:$H$58,2),VLOOKUP(0,setup!$A$8:$H$58,5),VLOOKUP(N277,setup!$A$8:$H$58,8))</f>
        <v/>
      </c>
    </row>
    <row r="278" spans="1:15" x14ac:dyDescent="0.25">
      <c r="A278" s="8"/>
      <c r="O278" s="7" t="str">
        <f ca="1">getCodigoBackend(N278,A278,VLOOKUP(N278,setup!$A$8:$H$58,2),VLOOKUP(N278,setup!$A$8:$H$58,3),VLOOKUP(N278,setup!$A$8:$H$58,4),VLOOKUP(N278,setup!$A$8:$H$58,5),VLOOKUP(N278,setup!$A$8:$H$58,6),VLOOKUP(N278,setup!$A$8:$H$58,7), VLOOKUP(0,setup!$A$8:$H$58,2),VLOOKUP(0,setup!$A$8:$H$58,5),VLOOKUP(N278,setup!$A$8:$H$58,8))</f>
        <v/>
      </c>
    </row>
    <row r="279" spans="1:15" x14ac:dyDescent="0.25">
      <c r="A279" s="8"/>
      <c r="O279" s="7" t="str">
        <f ca="1">getCodigoBackend(N279,A279,VLOOKUP(N279,setup!$A$8:$H$58,2),VLOOKUP(N279,setup!$A$8:$H$58,3),VLOOKUP(N279,setup!$A$8:$H$58,4),VLOOKUP(N279,setup!$A$8:$H$58,5),VLOOKUP(N279,setup!$A$8:$H$58,6),VLOOKUP(N279,setup!$A$8:$H$58,7), VLOOKUP(0,setup!$A$8:$H$58,2),VLOOKUP(0,setup!$A$8:$H$58,5),VLOOKUP(N279,setup!$A$8:$H$58,8))</f>
        <v/>
      </c>
    </row>
    <row r="280" spans="1:15" x14ac:dyDescent="0.25">
      <c r="A280" s="8"/>
      <c r="O280" s="7" t="str">
        <f ca="1">getCodigoBackend(N280,A280,VLOOKUP(N280,setup!$A$8:$H$58,2),VLOOKUP(N280,setup!$A$8:$H$58,3),VLOOKUP(N280,setup!$A$8:$H$58,4),VLOOKUP(N280,setup!$A$8:$H$58,5),VLOOKUP(N280,setup!$A$8:$H$58,6),VLOOKUP(N280,setup!$A$8:$H$58,7), VLOOKUP(0,setup!$A$8:$H$58,2),VLOOKUP(0,setup!$A$8:$H$58,5),VLOOKUP(N280,setup!$A$8:$H$58,8))</f>
        <v/>
      </c>
    </row>
    <row r="281" spans="1:15" x14ac:dyDescent="0.25">
      <c r="A281" s="8"/>
      <c r="O281" s="7" t="str">
        <f ca="1">getCodigoBackend(N281,A281,VLOOKUP(N281,setup!$A$8:$H$58,2),VLOOKUP(N281,setup!$A$8:$H$58,3),VLOOKUP(N281,setup!$A$8:$H$58,4),VLOOKUP(N281,setup!$A$8:$H$58,5),VLOOKUP(N281,setup!$A$8:$H$58,6),VLOOKUP(N281,setup!$A$8:$H$58,7), VLOOKUP(0,setup!$A$8:$H$58,2),VLOOKUP(0,setup!$A$8:$H$58,5),VLOOKUP(N281,setup!$A$8:$H$58,8))</f>
        <v/>
      </c>
    </row>
    <row r="282" spans="1:15" x14ac:dyDescent="0.25">
      <c r="A282" s="8"/>
      <c r="O282" s="7" t="str">
        <f ca="1">getCodigoBackend(N282,A282,VLOOKUP(N282,setup!$A$8:$H$58,2),VLOOKUP(N282,setup!$A$8:$H$58,3),VLOOKUP(N282,setup!$A$8:$H$58,4),VLOOKUP(N282,setup!$A$8:$H$58,5),VLOOKUP(N282,setup!$A$8:$H$58,6),VLOOKUP(N282,setup!$A$8:$H$58,7), VLOOKUP(0,setup!$A$8:$H$58,2),VLOOKUP(0,setup!$A$8:$H$58,5),VLOOKUP(N282,setup!$A$8:$H$58,8))</f>
        <v/>
      </c>
    </row>
    <row r="283" spans="1:15" x14ac:dyDescent="0.25">
      <c r="A283" s="8"/>
      <c r="O283" s="7" t="str">
        <f ca="1">getCodigoBackend(N283,A283,VLOOKUP(N283,setup!$A$8:$H$58,2),VLOOKUP(N283,setup!$A$8:$H$58,3),VLOOKUP(N283,setup!$A$8:$H$58,4),VLOOKUP(N283,setup!$A$8:$H$58,5),VLOOKUP(N283,setup!$A$8:$H$58,6),VLOOKUP(N283,setup!$A$8:$H$58,7), VLOOKUP(0,setup!$A$8:$H$58,2),VLOOKUP(0,setup!$A$8:$H$58,5),VLOOKUP(N283,setup!$A$8:$H$58,8))</f>
        <v/>
      </c>
    </row>
    <row r="284" spans="1:15" x14ac:dyDescent="0.25">
      <c r="A284" s="8"/>
      <c r="O284" s="7" t="str">
        <f ca="1">getCodigoBackend(N284,A284,VLOOKUP(N284,setup!$A$8:$H$58,2),VLOOKUP(N284,setup!$A$8:$H$58,3),VLOOKUP(N284,setup!$A$8:$H$58,4),VLOOKUP(N284,setup!$A$8:$H$58,5),VLOOKUP(N284,setup!$A$8:$H$58,6),VLOOKUP(N284,setup!$A$8:$H$58,7), VLOOKUP(0,setup!$A$8:$H$58,2),VLOOKUP(0,setup!$A$8:$H$58,5),VLOOKUP(N284,setup!$A$8:$H$58,8))</f>
        <v/>
      </c>
    </row>
    <row r="285" spans="1:15" x14ac:dyDescent="0.25">
      <c r="A285" s="8"/>
      <c r="O285" s="7" t="str">
        <f ca="1">getCodigoBackend(N285,A285,VLOOKUP(N285,setup!$A$8:$H$58,2),VLOOKUP(N285,setup!$A$8:$H$58,3),VLOOKUP(N285,setup!$A$8:$H$58,4),VLOOKUP(N285,setup!$A$8:$H$58,5),VLOOKUP(N285,setup!$A$8:$H$58,6),VLOOKUP(N285,setup!$A$8:$H$58,7), VLOOKUP(0,setup!$A$8:$H$58,2),VLOOKUP(0,setup!$A$8:$H$58,5),VLOOKUP(N285,setup!$A$8:$H$58,8))</f>
        <v/>
      </c>
    </row>
    <row r="286" spans="1:15" x14ac:dyDescent="0.25">
      <c r="A286" s="8"/>
      <c r="O286" s="7" t="str">
        <f ca="1">getCodigoBackend(N286,A286,VLOOKUP(N286,setup!$A$8:$H$58,2),VLOOKUP(N286,setup!$A$8:$H$58,3),VLOOKUP(N286,setup!$A$8:$H$58,4),VLOOKUP(N286,setup!$A$8:$H$58,5),VLOOKUP(N286,setup!$A$8:$H$58,6),VLOOKUP(N286,setup!$A$8:$H$58,7), VLOOKUP(0,setup!$A$8:$H$58,2),VLOOKUP(0,setup!$A$8:$H$58,5),VLOOKUP(N286,setup!$A$8:$H$58,8))</f>
        <v/>
      </c>
    </row>
    <row r="287" spans="1:15" x14ac:dyDescent="0.25">
      <c r="A287" s="8"/>
      <c r="O287" s="7" t="str">
        <f ca="1">getCodigoBackend(N287,A287,VLOOKUP(N287,setup!$A$8:$H$58,2),VLOOKUP(N287,setup!$A$8:$H$58,3),VLOOKUP(N287,setup!$A$8:$H$58,4),VLOOKUP(N287,setup!$A$8:$H$58,5),VLOOKUP(N287,setup!$A$8:$H$58,6),VLOOKUP(N287,setup!$A$8:$H$58,7), VLOOKUP(0,setup!$A$8:$H$58,2),VLOOKUP(0,setup!$A$8:$H$58,5),VLOOKUP(N287,setup!$A$8:$H$58,8))</f>
        <v/>
      </c>
    </row>
    <row r="288" spans="1:15" x14ac:dyDescent="0.25">
      <c r="A288" s="8"/>
      <c r="O288" s="7" t="str">
        <f ca="1">getCodigoBackend(N288,A288,VLOOKUP(N288,setup!$A$8:$H$58,2),VLOOKUP(N288,setup!$A$8:$H$58,3),VLOOKUP(N288,setup!$A$8:$H$58,4),VLOOKUP(N288,setup!$A$8:$H$58,5),VLOOKUP(N288,setup!$A$8:$H$58,6),VLOOKUP(N288,setup!$A$8:$H$58,7), VLOOKUP(0,setup!$A$8:$H$58,2),VLOOKUP(0,setup!$A$8:$H$58,5),VLOOKUP(N288,setup!$A$8:$H$58,8))</f>
        <v/>
      </c>
    </row>
    <row r="289" spans="1:15" x14ac:dyDescent="0.25">
      <c r="A289" s="8"/>
      <c r="O289" s="7" t="str">
        <f ca="1">getCodigoBackend(N289,A289,VLOOKUP(N289,setup!$A$8:$H$58,2),VLOOKUP(N289,setup!$A$8:$H$58,3),VLOOKUP(N289,setup!$A$8:$H$58,4),VLOOKUP(N289,setup!$A$8:$H$58,5),VLOOKUP(N289,setup!$A$8:$H$58,6),VLOOKUP(N289,setup!$A$8:$H$58,7), VLOOKUP(0,setup!$A$8:$H$58,2),VLOOKUP(0,setup!$A$8:$H$58,5),VLOOKUP(N289,setup!$A$8:$H$58,8))</f>
        <v/>
      </c>
    </row>
    <row r="290" spans="1:15" x14ac:dyDescent="0.25">
      <c r="A290" s="8"/>
      <c r="O290" s="7" t="str">
        <f ca="1">getCodigoBackend(N290,A290,VLOOKUP(N290,setup!$A$8:$H$58,2),VLOOKUP(N290,setup!$A$8:$H$58,3),VLOOKUP(N290,setup!$A$8:$H$58,4),VLOOKUP(N290,setup!$A$8:$H$58,5),VLOOKUP(N290,setup!$A$8:$H$58,6),VLOOKUP(N290,setup!$A$8:$H$58,7), VLOOKUP(0,setup!$A$8:$H$58,2),VLOOKUP(0,setup!$A$8:$H$58,5),VLOOKUP(N290,setup!$A$8:$H$58,8))</f>
        <v/>
      </c>
    </row>
    <row r="291" spans="1:15" x14ac:dyDescent="0.25">
      <c r="A291" s="8"/>
      <c r="O291" s="7" t="str">
        <f ca="1">getCodigoBackend(N291,A291,VLOOKUP(N291,setup!$A$8:$H$58,2),VLOOKUP(N291,setup!$A$8:$H$58,3),VLOOKUP(N291,setup!$A$8:$H$58,4),VLOOKUP(N291,setup!$A$8:$H$58,5),VLOOKUP(N291,setup!$A$8:$H$58,6),VLOOKUP(N291,setup!$A$8:$H$58,7), VLOOKUP(0,setup!$A$8:$H$58,2),VLOOKUP(0,setup!$A$8:$H$58,5),VLOOKUP(N291,setup!$A$8:$H$58,8))</f>
        <v/>
      </c>
    </row>
    <row r="292" spans="1:15" x14ac:dyDescent="0.25">
      <c r="A292" s="8"/>
      <c r="O292" s="7" t="str">
        <f ca="1">getCodigoBackend(N292,A292,VLOOKUP(N292,setup!$A$8:$H$58,2),VLOOKUP(N292,setup!$A$8:$H$58,3),VLOOKUP(N292,setup!$A$8:$H$58,4),VLOOKUP(N292,setup!$A$8:$H$58,5),VLOOKUP(N292,setup!$A$8:$H$58,6),VLOOKUP(N292,setup!$A$8:$H$58,7), VLOOKUP(0,setup!$A$8:$H$58,2),VLOOKUP(0,setup!$A$8:$H$58,5),VLOOKUP(N292,setup!$A$8:$H$58,8))</f>
        <v/>
      </c>
    </row>
    <row r="293" spans="1:15" x14ac:dyDescent="0.25">
      <c r="A293" s="8"/>
      <c r="O293" s="7" t="str">
        <f ca="1">getCodigoBackend(N293,A293,VLOOKUP(N293,setup!$A$8:$H$58,2),VLOOKUP(N293,setup!$A$8:$H$58,3),VLOOKUP(N293,setup!$A$8:$H$58,4),VLOOKUP(N293,setup!$A$8:$H$58,5),VLOOKUP(N293,setup!$A$8:$H$58,6),VLOOKUP(N293,setup!$A$8:$H$58,7), VLOOKUP(0,setup!$A$8:$H$58,2),VLOOKUP(0,setup!$A$8:$H$58,5),VLOOKUP(N293,setup!$A$8:$H$58,8))</f>
        <v/>
      </c>
    </row>
    <row r="294" spans="1:15" x14ac:dyDescent="0.25">
      <c r="A294" s="8"/>
      <c r="O294" s="7" t="str">
        <f ca="1">getCodigoBackend(N294,A294,VLOOKUP(N294,setup!$A$8:$H$58,2),VLOOKUP(N294,setup!$A$8:$H$58,3),VLOOKUP(N294,setup!$A$8:$H$58,4),VLOOKUP(N294,setup!$A$8:$H$58,5),VLOOKUP(N294,setup!$A$8:$H$58,6),VLOOKUP(N294,setup!$A$8:$H$58,7), VLOOKUP(0,setup!$A$8:$H$58,2),VLOOKUP(0,setup!$A$8:$H$58,5),VLOOKUP(N294,setup!$A$8:$H$58,8))</f>
        <v/>
      </c>
    </row>
    <row r="295" spans="1:15" x14ac:dyDescent="0.25">
      <c r="A295" s="8"/>
      <c r="O295" s="7" t="str">
        <f ca="1">getCodigoBackend(N295,A295,VLOOKUP(N295,setup!$A$8:$H$58,2),VLOOKUP(N295,setup!$A$8:$H$58,3),VLOOKUP(N295,setup!$A$8:$H$58,4),VLOOKUP(N295,setup!$A$8:$H$58,5),VLOOKUP(N295,setup!$A$8:$H$58,6),VLOOKUP(N295,setup!$A$8:$H$58,7), VLOOKUP(0,setup!$A$8:$H$58,2),VLOOKUP(0,setup!$A$8:$H$58,5),VLOOKUP(N295,setup!$A$8:$H$58,8))</f>
        <v/>
      </c>
    </row>
    <row r="296" spans="1:15" x14ac:dyDescent="0.25">
      <c r="A296" s="8"/>
      <c r="O296" s="7" t="str">
        <f ca="1">getCodigoBackend(N296,A296,VLOOKUP(N296,setup!$A$8:$H$58,2),VLOOKUP(N296,setup!$A$8:$H$58,3),VLOOKUP(N296,setup!$A$8:$H$58,4),VLOOKUP(N296,setup!$A$8:$H$58,5),VLOOKUP(N296,setup!$A$8:$H$58,6),VLOOKUP(N296,setup!$A$8:$H$58,7), VLOOKUP(0,setup!$A$8:$H$58,2),VLOOKUP(0,setup!$A$8:$H$58,5),VLOOKUP(N296,setup!$A$8:$H$58,8))</f>
        <v/>
      </c>
    </row>
    <row r="297" spans="1:15" x14ac:dyDescent="0.25">
      <c r="A297" s="8"/>
      <c r="O297" s="7" t="str">
        <f ca="1">getCodigoBackend(N297,A297,VLOOKUP(N297,setup!$A$8:$H$58,2),VLOOKUP(N297,setup!$A$8:$H$58,3),VLOOKUP(N297,setup!$A$8:$H$58,4),VLOOKUP(N297,setup!$A$8:$H$58,5),VLOOKUP(N297,setup!$A$8:$H$58,6),VLOOKUP(N297,setup!$A$8:$H$58,7), VLOOKUP(0,setup!$A$8:$H$58,2),VLOOKUP(0,setup!$A$8:$H$58,5),VLOOKUP(N297,setup!$A$8:$H$58,8))</f>
        <v/>
      </c>
    </row>
    <row r="298" spans="1:15" x14ac:dyDescent="0.25">
      <c r="A298" s="8"/>
      <c r="O298" s="7" t="str">
        <f ca="1">getCodigoBackend(N298,A298,VLOOKUP(N298,setup!$A$8:$H$58,2),VLOOKUP(N298,setup!$A$8:$H$58,3),VLOOKUP(N298,setup!$A$8:$H$58,4),VLOOKUP(N298,setup!$A$8:$H$58,5),VLOOKUP(N298,setup!$A$8:$H$58,6),VLOOKUP(N298,setup!$A$8:$H$58,7), VLOOKUP(0,setup!$A$8:$H$58,2),VLOOKUP(0,setup!$A$8:$H$58,5),VLOOKUP(N298,setup!$A$8:$H$58,8))</f>
        <v/>
      </c>
    </row>
    <row r="299" spans="1:15" x14ac:dyDescent="0.25">
      <c r="A299" s="8"/>
      <c r="O299" s="7" t="str">
        <f ca="1">getCodigoBackend(N299,A299,VLOOKUP(N299,setup!$A$8:$H$58,2),VLOOKUP(N299,setup!$A$8:$H$58,3),VLOOKUP(N299,setup!$A$8:$H$58,4),VLOOKUP(N299,setup!$A$8:$H$58,5),VLOOKUP(N299,setup!$A$8:$H$58,6),VLOOKUP(N299,setup!$A$8:$H$58,7), VLOOKUP(0,setup!$A$8:$H$58,2),VLOOKUP(0,setup!$A$8:$H$58,5),VLOOKUP(N299,setup!$A$8:$H$58,8))</f>
        <v/>
      </c>
    </row>
    <row r="300" spans="1:15" x14ac:dyDescent="0.25">
      <c r="A300" s="8"/>
      <c r="O300" s="7" t="str">
        <f ca="1">getCodigoBackend(N300,A300,VLOOKUP(N300,setup!$A$8:$H$58,2),VLOOKUP(N300,setup!$A$8:$H$58,3),VLOOKUP(N300,setup!$A$8:$H$58,4),VLOOKUP(N300,setup!$A$8:$H$58,5),VLOOKUP(N300,setup!$A$8:$H$58,6),VLOOKUP(N300,setup!$A$8:$H$58,7), VLOOKUP(0,setup!$A$8:$H$58,2),VLOOKUP(0,setup!$A$8:$H$58,5),VLOOKUP(N300,setup!$A$8:$H$58,8))</f>
        <v/>
      </c>
    </row>
    <row r="301" spans="1:15" x14ac:dyDescent="0.25">
      <c r="A301" s="8"/>
      <c r="O301" s="7" t="str">
        <f ca="1">getCodigoBackend(N301,A301,VLOOKUP(N301,setup!$A$8:$H$58,2),VLOOKUP(N301,setup!$A$8:$H$58,3),VLOOKUP(N301,setup!$A$8:$H$58,4),VLOOKUP(N301,setup!$A$8:$H$58,5),VLOOKUP(N301,setup!$A$8:$H$58,6),VLOOKUP(N301,setup!$A$8:$H$58,7), VLOOKUP(0,setup!$A$8:$H$58,2),VLOOKUP(0,setup!$A$8:$H$58,5),VLOOKUP(N301,setup!$A$8:$H$58,8))</f>
        <v/>
      </c>
    </row>
    <row r="302" spans="1:15" x14ac:dyDescent="0.25">
      <c r="A302" s="8"/>
      <c r="O302" s="7" t="str">
        <f ca="1">getCodigoBackend(N302,A302,VLOOKUP(N302,setup!$A$8:$H$58,2),VLOOKUP(N302,setup!$A$8:$H$58,3),VLOOKUP(N302,setup!$A$8:$H$58,4),VLOOKUP(N302,setup!$A$8:$H$58,5),VLOOKUP(N302,setup!$A$8:$H$58,6),VLOOKUP(N302,setup!$A$8:$H$58,7), VLOOKUP(0,setup!$A$8:$H$58,2),VLOOKUP(0,setup!$A$8:$H$58,5),VLOOKUP(N302,setup!$A$8:$H$58,8))</f>
        <v/>
      </c>
    </row>
    <row r="303" spans="1:15" x14ac:dyDescent="0.25">
      <c r="A303" s="8"/>
      <c r="O303" s="7" t="str">
        <f ca="1">getCodigoBackend(N303,A303,VLOOKUP(N303,setup!$A$8:$H$58,2),VLOOKUP(N303,setup!$A$8:$H$58,3),VLOOKUP(N303,setup!$A$8:$H$58,4),VLOOKUP(N303,setup!$A$8:$H$58,5),VLOOKUP(N303,setup!$A$8:$H$58,6),VLOOKUP(N303,setup!$A$8:$H$58,7), VLOOKUP(0,setup!$A$8:$H$58,2),VLOOKUP(0,setup!$A$8:$H$58,5),VLOOKUP(N303,setup!$A$8:$H$58,8))</f>
        <v/>
      </c>
    </row>
    <row r="304" spans="1:15" x14ac:dyDescent="0.25">
      <c r="A304" s="8"/>
      <c r="O304" s="7" t="str">
        <f ca="1">getCodigoBackend(N304,A304,VLOOKUP(N304,setup!$A$8:$H$58,2),VLOOKUP(N304,setup!$A$8:$H$58,3),VLOOKUP(N304,setup!$A$8:$H$58,4),VLOOKUP(N304,setup!$A$8:$H$58,5),VLOOKUP(N304,setup!$A$8:$H$58,6),VLOOKUP(N304,setup!$A$8:$H$58,7), VLOOKUP(0,setup!$A$8:$H$58,2),VLOOKUP(0,setup!$A$8:$H$58,5),VLOOKUP(N304,setup!$A$8:$H$58,8))</f>
        <v/>
      </c>
    </row>
    <row r="305" spans="1:15" x14ac:dyDescent="0.25">
      <c r="A305" s="8"/>
      <c r="O305" s="7" t="str">
        <f ca="1">getCodigoBackend(N305,A305,VLOOKUP(N305,setup!$A$8:$H$58,2),VLOOKUP(N305,setup!$A$8:$H$58,3),VLOOKUP(N305,setup!$A$8:$H$58,4),VLOOKUP(N305,setup!$A$8:$H$58,5),VLOOKUP(N305,setup!$A$8:$H$58,6),VLOOKUP(N305,setup!$A$8:$H$58,7), VLOOKUP(0,setup!$A$8:$H$58,2),VLOOKUP(0,setup!$A$8:$H$58,5),VLOOKUP(N305,setup!$A$8:$H$58,8))</f>
        <v/>
      </c>
    </row>
    <row r="306" spans="1:15" x14ac:dyDescent="0.25">
      <c r="A306" s="8"/>
      <c r="O306" s="7" t="str">
        <f ca="1">getCodigoBackend(N306,A306,VLOOKUP(N306,setup!$A$8:$H$58,2),VLOOKUP(N306,setup!$A$8:$H$58,3),VLOOKUP(N306,setup!$A$8:$H$58,4),VLOOKUP(N306,setup!$A$8:$H$58,5),VLOOKUP(N306,setup!$A$8:$H$58,6),VLOOKUP(N306,setup!$A$8:$H$58,7), VLOOKUP(0,setup!$A$8:$H$58,2),VLOOKUP(0,setup!$A$8:$H$58,5),VLOOKUP(N306,setup!$A$8:$H$58,8))</f>
        <v/>
      </c>
    </row>
    <row r="307" spans="1:15" x14ac:dyDescent="0.25">
      <c r="A307" s="8"/>
      <c r="O307" s="7" t="str">
        <f ca="1">getCodigoBackend(N307,A307,VLOOKUP(N307,setup!$A$8:$H$58,2),VLOOKUP(N307,setup!$A$8:$H$58,3),VLOOKUP(N307,setup!$A$8:$H$58,4),VLOOKUP(N307,setup!$A$8:$H$58,5),VLOOKUP(N307,setup!$A$8:$H$58,6),VLOOKUP(N307,setup!$A$8:$H$58,7), VLOOKUP(0,setup!$A$8:$H$58,2),VLOOKUP(0,setup!$A$8:$H$58,5),VLOOKUP(N307,setup!$A$8:$H$58,8))</f>
        <v/>
      </c>
    </row>
    <row r="308" spans="1:15" x14ac:dyDescent="0.25">
      <c r="A308" s="8"/>
      <c r="O308" s="7" t="str">
        <f ca="1">getCodigoBackend(N308,A308,VLOOKUP(N308,setup!$A$8:$H$58,2),VLOOKUP(N308,setup!$A$8:$H$58,3),VLOOKUP(N308,setup!$A$8:$H$58,4),VLOOKUP(N308,setup!$A$8:$H$58,5),VLOOKUP(N308,setup!$A$8:$H$58,6),VLOOKUP(N308,setup!$A$8:$H$58,7), VLOOKUP(0,setup!$A$8:$H$58,2),VLOOKUP(0,setup!$A$8:$H$58,5),VLOOKUP(N308,setup!$A$8:$H$58,8))</f>
        <v/>
      </c>
    </row>
    <row r="309" spans="1:15" x14ac:dyDescent="0.25">
      <c r="A309" s="1"/>
      <c r="O309" s="7" t="str">
        <f ca="1">getCodigoBackend(N309,A309,VLOOKUP(N309,setup!$A$8:$H$58,2),VLOOKUP(N309,setup!$A$8:$H$58,3),VLOOKUP(N309,setup!$A$8:$H$58,4),VLOOKUP(N309,setup!$A$8:$H$58,5),VLOOKUP(N309,setup!$A$8:$H$58,6),VLOOKUP(N309,setup!$A$8:$H$58,7), VLOOKUP(0,setup!$A$8:$H$58,2),VLOOKUP(0,setup!$A$8:$H$58,5),VLOOKUP(N309,setup!$A$8:$H$58,8))</f>
        <v/>
      </c>
    </row>
    <row r="310" spans="1:15" x14ac:dyDescent="0.25">
      <c r="A310" s="1"/>
      <c r="O310" s="7" t="str">
        <f ca="1">getCodigoBackend(N310,A310,VLOOKUP(N310,setup!$A$8:$H$58,2),VLOOKUP(N310,setup!$A$8:$H$58,3),VLOOKUP(N310,setup!$A$8:$H$58,4),VLOOKUP(N310,setup!$A$8:$H$58,5),VLOOKUP(N310,setup!$A$8:$H$58,6),VLOOKUP(N310,setup!$A$8:$H$58,7), VLOOKUP(0,setup!$A$8:$H$58,2),VLOOKUP(0,setup!$A$8:$H$58,5),VLOOKUP(N310,setup!$A$8:$H$58,8))</f>
        <v/>
      </c>
    </row>
    <row r="311" spans="1:15" x14ac:dyDescent="0.25">
      <c r="A311" s="1"/>
      <c r="O311" s="7" t="str">
        <f ca="1">getCodigoBackend(N311,A311,VLOOKUP(N311,setup!$A$8:$H$58,2),VLOOKUP(N311,setup!$A$8:$H$58,3),VLOOKUP(N311,setup!$A$8:$H$58,4),VLOOKUP(N311,setup!$A$8:$H$58,5),VLOOKUP(N311,setup!$A$8:$H$58,6),VLOOKUP(N311,setup!$A$8:$H$58,7), VLOOKUP(0,setup!$A$8:$H$58,2),VLOOKUP(0,setup!$A$8:$H$58,5),VLOOKUP(N311,setup!$A$8:$H$58,8))</f>
        <v/>
      </c>
    </row>
    <row r="312" spans="1:15" x14ac:dyDescent="0.25">
      <c r="A312" s="1"/>
      <c r="O312" s="7" t="str">
        <f ca="1">getCodigoBackend(N312,A312,VLOOKUP(N312,setup!$A$8:$H$58,2),VLOOKUP(N312,setup!$A$8:$H$58,3),VLOOKUP(N312,setup!$A$8:$H$58,4),VLOOKUP(N312,setup!$A$8:$H$58,5),VLOOKUP(N312,setup!$A$8:$H$58,6),VLOOKUP(N312,setup!$A$8:$H$58,7), VLOOKUP(0,setup!$A$8:$H$58,2),VLOOKUP(0,setup!$A$8:$H$58,5),VLOOKUP(N312,setup!$A$8:$H$58,8))</f>
        <v/>
      </c>
    </row>
    <row r="313" spans="1:15" x14ac:dyDescent="0.25">
      <c r="A313" s="6"/>
      <c r="O313" s="7" t="str">
        <f ca="1">getCodigoBackend(N313,A313,VLOOKUP(N313,setup!$A$8:$H$58,2),VLOOKUP(N313,setup!$A$8:$H$58,3),VLOOKUP(N313,setup!$A$8:$H$58,4),VLOOKUP(N313,setup!$A$8:$H$58,5),VLOOKUP(N313,setup!$A$8:$H$58,6),VLOOKUP(N313,setup!$A$8:$H$58,7), VLOOKUP(0,setup!$A$8:$H$58,2),VLOOKUP(0,setup!$A$8:$H$58,5),VLOOKUP(N313,setup!$A$8:$H$58,8))</f>
        <v/>
      </c>
    </row>
    <row r="314" spans="1:15" x14ac:dyDescent="0.25">
      <c r="A314" s="6"/>
      <c r="O314" s="7" t="str">
        <f ca="1">getCodigoBackend(N314,A314,VLOOKUP(N314,setup!$A$8:$H$58,2),VLOOKUP(N314,setup!$A$8:$H$58,3),VLOOKUP(N314,setup!$A$8:$H$58,4),VLOOKUP(N314,setup!$A$8:$H$58,5),VLOOKUP(N314,setup!$A$8:$H$58,6),VLOOKUP(N314,setup!$A$8:$H$58,7), VLOOKUP(0,setup!$A$8:$H$58,2),VLOOKUP(0,setup!$A$8:$H$58,5),VLOOKUP(N314,setup!$A$8:$H$58,8))</f>
        <v/>
      </c>
    </row>
    <row r="315" spans="1:15" x14ac:dyDescent="0.25">
      <c r="A315" s="3"/>
      <c r="O315" s="7" t="str">
        <f ca="1">getCodigoBackend(N315,A315,VLOOKUP(N315,setup!$A$8:$H$58,2),VLOOKUP(N315,setup!$A$8:$H$58,3),VLOOKUP(N315,setup!$A$8:$H$58,4),VLOOKUP(N315,setup!$A$8:$H$58,5),VLOOKUP(N315,setup!$A$8:$H$58,6),VLOOKUP(N315,setup!$A$8:$H$58,7), VLOOKUP(0,setup!$A$8:$H$58,2),VLOOKUP(0,setup!$A$8:$H$58,5),VLOOKUP(N315,setup!$A$8:$H$58,8))</f>
        <v/>
      </c>
    </row>
    <row r="316" spans="1:15" x14ac:dyDescent="0.25">
      <c r="A316" s="3"/>
      <c r="O316" s="7" t="str">
        <f ca="1">getCodigoBackend(N316,A316,VLOOKUP(N316,setup!$A$8:$H$58,2),VLOOKUP(N316,setup!$A$8:$H$58,3),VLOOKUP(N316,setup!$A$8:$H$58,4),VLOOKUP(N316,setup!$A$8:$H$58,5),VLOOKUP(N316,setup!$A$8:$H$58,6),VLOOKUP(N316,setup!$A$8:$H$58,7), VLOOKUP(0,setup!$A$8:$H$58,2),VLOOKUP(0,setup!$A$8:$H$58,5),VLOOKUP(N316,setup!$A$8:$H$58,8))</f>
        <v/>
      </c>
    </row>
    <row r="317" spans="1:15" x14ac:dyDescent="0.25">
      <c r="A317" s="6"/>
      <c r="O317" s="7" t="str">
        <f ca="1">getCodigoBackend(N317,A317,VLOOKUP(N317,setup!$A$8:$H$58,2),VLOOKUP(N317,setup!$A$8:$H$58,3),VLOOKUP(N317,setup!$A$8:$H$58,4),VLOOKUP(N317,setup!$A$8:$H$58,5),VLOOKUP(N317,setup!$A$8:$H$58,6),VLOOKUP(N317,setup!$A$8:$H$58,7), VLOOKUP(0,setup!$A$8:$H$58,2),VLOOKUP(0,setup!$A$8:$H$58,5),VLOOKUP(N317,setup!$A$8:$H$58,8))</f>
        <v/>
      </c>
    </row>
    <row r="318" spans="1:15" x14ac:dyDescent="0.25">
      <c r="A318" s="2"/>
      <c r="O318" s="7" t="str">
        <f ca="1">getCodigoBackend(N318,A318,VLOOKUP(N318,setup!$A$8:$H$58,2),VLOOKUP(N318,setup!$A$8:$H$58,3),VLOOKUP(N318,setup!$A$8:$H$58,4),VLOOKUP(N318,setup!$A$8:$H$58,5),VLOOKUP(N318,setup!$A$8:$H$58,6),VLOOKUP(N318,setup!$A$8:$H$58,7), VLOOKUP(0,setup!$A$8:$H$58,2),VLOOKUP(0,setup!$A$8:$H$58,5),VLOOKUP(N318,setup!$A$8:$H$58,8))</f>
        <v/>
      </c>
    </row>
    <row r="319" spans="1:15" x14ac:dyDescent="0.25">
      <c r="O319" t="str">
        <f>SUBSTITUTE(SUBSTITUTE(SUBSTITUTE(SUBSTITUTE(A319,"${dto}",setup!$C$3),"${pk}",setup!$E$8),"${tabela}",setup!$C$2),CONCATENATE("${",N319,"}"),VLOOKUP(N319,setup!$A$8:$E$58,5))</f>
        <v/>
      </c>
    </row>
    <row r="320" spans="1:15" x14ac:dyDescent="0.25">
      <c r="O320" t="str">
        <f>SUBSTITUTE(SUBSTITUTE(SUBSTITUTE(SUBSTITUTE(A320,"${dto}",setup!$C$3),"${pk}",setup!$E$8),"${tabela}",setup!$C$2),CONCATENATE("${",N320,"}"),VLOOKUP(N320,setup!$A$8:$E$58,5))</f>
        <v/>
      </c>
    </row>
    <row r="321" spans="15:15" x14ac:dyDescent="0.25">
      <c r="O321" t="str">
        <f>SUBSTITUTE(SUBSTITUTE(SUBSTITUTE(SUBSTITUTE(A321,"${dto}",setup!$C$3),"${pk}",setup!$E$8),"${tabela}",setup!$C$2),CONCATENATE("${",N321,"}"),VLOOKUP(N321,setup!$A$8:$E$58,5))</f>
        <v/>
      </c>
    </row>
    <row r="322" spans="15:15" x14ac:dyDescent="0.25">
      <c r="O322" t="str">
        <f>SUBSTITUTE(SUBSTITUTE(SUBSTITUTE(SUBSTITUTE(A322,"${dto}",setup!$C$3),"${pk}",setup!$E$8),"${tabela}",setup!$C$2),CONCATENATE("${",N322,"}"),VLOOKUP(N322,setup!$A$8:$E$58,5))</f>
        <v/>
      </c>
    </row>
    <row r="323" spans="15:15" x14ac:dyDescent="0.25">
      <c r="O323" t="str">
        <f>SUBSTITUTE(SUBSTITUTE(SUBSTITUTE(SUBSTITUTE(A323,"${dto}",setup!$C$3),"${pk}",setup!$E$8),"${tabela}",setup!$C$2),CONCATENATE("${",N323,"}"),VLOOKUP(N323,setup!$A$8:$E$58,5))</f>
        <v/>
      </c>
    </row>
    <row r="324" spans="15:15" x14ac:dyDescent="0.25">
      <c r="O324" t="str">
        <f>SUBSTITUTE(SUBSTITUTE(SUBSTITUTE(SUBSTITUTE(A324,"${dto}",setup!$C$3),"${pk}",setup!$E$8),"${tabela}",setup!$C$2),CONCATENATE("${",N324,"}"),VLOOKUP(N324,setup!$A$8:$E$58,5))</f>
        <v/>
      </c>
    </row>
    <row r="325" spans="15:15" x14ac:dyDescent="0.25">
      <c r="O325" t="str">
        <f>SUBSTITUTE(SUBSTITUTE(SUBSTITUTE(SUBSTITUTE(A325,"${dto}",setup!$C$3),"${pk}",setup!$E$8),"${tabela}",setup!$C$2),CONCATENATE("${",N325,"}"),VLOOKUP(N325,setup!$A$8:$E$58,5))</f>
        <v/>
      </c>
    </row>
    <row r="326" spans="15:15" x14ac:dyDescent="0.25">
      <c r="O326" t="str">
        <f>SUBSTITUTE(SUBSTITUTE(SUBSTITUTE(SUBSTITUTE(A326,"${dto}",setup!$C$3),"${pk}",setup!$E$8),"${tabela}",setup!$C$2),CONCATENATE("${",N326,"}"),VLOOKUP(N326,setup!$A$8:$E$58,5))</f>
        <v/>
      </c>
    </row>
    <row r="327" spans="15:15" x14ac:dyDescent="0.25">
      <c r="O327" t="str">
        <f>SUBSTITUTE(SUBSTITUTE(SUBSTITUTE(SUBSTITUTE(A327,"${dto}",setup!$C$3),"${pk}",setup!$E$8),"${tabela}",setup!$C$2),CONCATENATE("${",N327,"}"),VLOOKUP(N327,setup!$A$8:$E$58,5))</f>
        <v/>
      </c>
    </row>
    <row r="328" spans="15:15" x14ac:dyDescent="0.25">
      <c r="O328" t="str">
        <f>SUBSTITUTE(SUBSTITUTE(SUBSTITUTE(SUBSTITUTE(A328,"${dto}",setup!$C$3),"${pk}",setup!$E$8),"${tabela}",setup!$C$2),CONCATENATE("${",N328,"}"),VLOOKUP(N328,setup!$A$8:$E$58,5))</f>
        <v/>
      </c>
    </row>
    <row r="329" spans="15:15" x14ac:dyDescent="0.25">
      <c r="O329" t="str">
        <f>SUBSTITUTE(SUBSTITUTE(SUBSTITUTE(SUBSTITUTE(A329,"${dto}",setup!$C$3),"${pk}",setup!$E$8),"${tabela}",setup!$C$2),CONCATENATE("${",N329,"}"),VLOOKUP(N329,setup!$A$8:$E$58,5))</f>
        <v/>
      </c>
    </row>
  </sheetData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D0FF53-C621-437C-A652-E77B4F402667}">
  <sheetPr codeName="Sheet18"/>
  <dimension ref="A7:O321"/>
  <sheetViews>
    <sheetView workbookViewId="0">
      <selection activeCell="O1" sqref="O1:O1048576"/>
    </sheetView>
  </sheetViews>
  <sheetFormatPr defaultRowHeight="15" x14ac:dyDescent="0.25"/>
  <sheetData>
    <row r="7" spans="1:15" x14ac:dyDescent="0.25">
      <c r="A7" s="17" t="s">
        <v>140</v>
      </c>
      <c r="O7" s="7" t="str">
        <f ca="1">getCodigoBackend(N7,A7,VLOOKUP(N7,setup!$A$8:$H$58,2),VLOOKUP(N7,setup!$A$8:$H$58,3),VLOOKUP(N7,setup!$A$8:$H$58,4),VLOOKUP(N7,setup!$A$8:$H$58,5),VLOOKUP(N7,setup!$A$8:$H$58,6),VLOOKUP(N7,setup!$A$8:$H$58,7), VLOOKUP(0,setup!$A$8:$H$58,2),VLOOKUP(0,setup!$A$8:$H$58,5),VLOOKUP(N7,setup!$A$8:$H$58,8))</f>
        <v>import 'package:flutter/material.dart';</v>
      </c>
    </row>
    <row r="8" spans="1:15" x14ac:dyDescent="0.25">
      <c r="A8" s="17" t="s">
        <v>193</v>
      </c>
      <c r="O8" s="7" t="str">
        <f ca="1">getCodigoBackend(N8,A8,VLOOKUP(N8,setup!$A$8:$H$58,2),VLOOKUP(N8,setup!$A$8:$H$58,3),VLOOKUP(N8,setup!$A$8:$H$58,4),VLOOKUP(N8,setup!$A$8:$H$58,5),VLOOKUP(N8,setup!$A$8:$H$58,6),VLOOKUP(N8,setup!$A$8:$H$58,7), VLOOKUP(0,setup!$A$8:$H$58,2),VLOOKUP(0,setup!$A$8:$H$58,5),VLOOKUP(N8,setup!$A$8:$H$58,8))</f>
        <v>import 'package:junta10/br/com/jcv/linker/classes/usuariopublicidade/UsuarioPublicidadeUI.dart';</v>
      </c>
    </row>
    <row r="9" spans="1:15" x14ac:dyDescent="0.25">
      <c r="A9" s="17" t="s">
        <v>184</v>
      </c>
      <c r="O9" s="7" t="str">
        <f ca="1">getCodigoBackend(N9,A9,VLOOKUP(N9,setup!$A$8:$H$58,2),VLOOKUP(N9,setup!$A$8:$H$58,3),VLOOKUP(N9,setup!$A$8:$H$58,4),VLOOKUP(N9,setup!$A$8:$H$58,5),VLOOKUP(N9,setup!$A$8:$H$58,6),VLOOKUP(N9,setup!$A$8:$H$58,7), VLOOKUP(0,setup!$A$8:$H$58,2),VLOOKUP(0,setup!$A$8:$H$58,5),VLOOKUP(N9,setup!$A$8:$H$58,8))</f>
        <v>import 'package:junta10/br/com/jcv/linker/classes/ui/common/common-msgcode.dart';</v>
      </c>
    </row>
    <row r="10" spans="1:15" x14ac:dyDescent="0.25">
      <c r="A10" s="16"/>
      <c r="O10" s="7" t="str">
        <f ca="1">getCodigoBackend(N10,A10,VLOOKUP(N10,setup!$A$8:$H$58,2),VLOOKUP(N10,setup!$A$8:$H$58,3),VLOOKUP(N10,setup!$A$8:$H$58,4),VLOOKUP(N10,setup!$A$8:$H$58,5),VLOOKUP(N10,setup!$A$8:$H$58,6),VLOOKUP(N10,setup!$A$8:$H$58,7), VLOOKUP(0,setup!$A$8:$H$58,2),VLOOKUP(0,setup!$A$8:$H$58,5),VLOOKUP(N10,setup!$A$8:$H$58,8))</f>
        <v/>
      </c>
    </row>
    <row r="11" spans="1:15" x14ac:dyDescent="0.25">
      <c r="A11" s="17" t="s">
        <v>194</v>
      </c>
      <c r="O11" s="7" t="str">
        <f ca="1">getCodigoBackend(N11,A11,VLOOKUP(N11,setup!$A$8:$H$58,2),VLOOKUP(N11,setup!$A$8:$H$58,3),VLOOKUP(N11,setup!$A$8:$H$58,4),VLOOKUP(N11,setup!$A$8:$H$58,5),VLOOKUP(N11,setup!$A$8:$H$58,6),VLOOKUP(N11,setup!$A$8:$H$58,7), VLOOKUP(0,setup!$A$8:$H$58,2),VLOOKUP(0,setup!$A$8:$H$58,5),VLOOKUP(N11,setup!$A$8:$H$58,8))</f>
        <v>import 'UsuarioPublicidadeUI.dart';</v>
      </c>
    </row>
    <row r="12" spans="1:15" x14ac:dyDescent="0.25">
      <c r="A12" s="16"/>
      <c r="O12" s="7" t="str">
        <f ca="1">getCodigoBackend(N12,A12,VLOOKUP(N12,setup!$A$8:$H$58,2),VLOOKUP(N12,setup!$A$8:$H$58,3),VLOOKUP(N12,setup!$A$8:$H$58,4),VLOOKUP(N12,setup!$A$8:$H$58,5),VLOOKUP(N12,setup!$A$8:$H$58,6),VLOOKUP(N12,setup!$A$8:$H$58,7), VLOOKUP(0,setup!$A$8:$H$58,2),VLOOKUP(0,setup!$A$8:$H$58,5),VLOOKUP(N12,setup!$A$8:$H$58,8))</f>
        <v/>
      </c>
    </row>
    <row r="13" spans="1:15" x14ac:dyDescent="0.25">
      <c r="A13" s="17" t="s">
        <v>195</v>
      </c>
      <c r="O13" s="7" t="str">
        <f ca="1">getCodigoBackend(N13,A13,VLOOKUP(N13,setup!$A$8:$H$58,2),VLOOKUP(N13,setup!$A$8:$H$58,3),VLOOKUP(N13,setup!$A$8:$H$58,4),VLOOKUP(N13,setup!$A$8:$H$58,5),VLOOKUP(N13,setup!$A$8:$H$58,6),VLOOKUP(N13,setup!$A$8:$H$58,7), VLOOKUP(0,setup!$A$8:$H$58,2),VLOOKUP(0,setup!$A$8:$H$58,5),VLOOKUP(N13,setup!$A$8:$H$58,8))</f>
        <v>class UsuarioPublicidadeLV extends StatefulWidget {</v>
      </c>
    </row>
    <row r="14" spans="1:15" x14ac:dyDescent="0.25">
      <c r="A14" s="16"/>
      <c r="O14" s="7" t="str">
        <f ca="1">getCodigoBackend(N14,A14,VLOOKUP(N14,setup!$A$8:$H$58,2),VLOOKUP(N14,setup!$A$8:$H$58,3),VLOOKUP(N14,setup!$A$8:$H$58,4),VLOOKUP(N14,setup!$A$8:$H$58,5),VLOOKUP(N14,setup!$A$8:$H$58,6),VLOOKUP(N14,setup!$A$8:$H$58,7), VLOOKUP(0,setup!$A$8:$H$58,2),VLOOKUP(0,setup!$A$8:$H$58,5),VLOOKUP(N14,setup!$A$8:$H$58,8))</f>
        <v/>
      </c>
    </row>
    <row r="15" spans="1:15" x14ac:dyDescent="0.25">
      <c r="A15" s="15" t="s">
        <v>185</v>
      </c>
      <c r="O15" s="7" t="str">
        <f ca="1">getCodigoBackend(N15,A15,VLOOKUP(N15,setup!$A$8:$H$58,2),VLOOKUP(N15,setup!$A$8:$H$58,3),VLOOKUP(N15,setup!$A$8:$H$58,4),VLOOKUP(N15,setup!$A$8:$H$58,5),VLOOKUP(N15,setup!$A$8:$H$58,6),VLOOKUP(N15,setup!$A$8:$H$58,7), VLOOKUP(0,setup!$A$8:$H$58,2),VLOOKUP(0,setup!$A$8:$H$58,5),VLOOKUP(N15,setup!$A$8:$H$58,8))</f>
        <v xml:space="preserve">  dynamic _pagina;</v>
      </c>
    </row>
    <row r="16" spans="1:15" x14ac:dyDescent="0.25">
      <c r="A16" s="16"/>
      <c r="O16" s="7" t="str">
        <f ca="1">getCodigoBackend(N16,A16,VLOOKUP(N16,setup!$A$8:$H$58,2),VLOOKUP(N16,setup!$A$8:$H$58,3),VLOOKUP(N16,setup!$A$8:$H$58,4),VLOOKUP(N16,setup!$A$8:$H$58,5),VLOOKUP(N16,setup!$A$8:$H$58,6),VLOOKUP(N16,setup!$A$8:$H$58,7), VLOOKUP(0,setup!$A$8:$H$58,2),VLOOKUP(0,setup!$A$8:$H$58,5),VLOOKUP(N16,setup!$A$8:$H$58,8))</f>
        <v/>
      </c>
    </row>
    <row r="17" spans="1:15" x14ac:dyDescent="0.25">
      <c r="A17" s="15" t="s">
        <v>196</v>
      </c>
      <c r="O17" s="7" t="str">
        <f ca="1">getCodigoBackend(N17,A17,VLOOKUP(N17,setup!$A$8:$H$58,2),VLOOKUP(N17,setup!$A$8:$H$58,3),VLOOKUP(N17,setup!$A$8:$H$58,4),VLOOKUP(N17,setup!$A$8:$H$58,5),VLOOKUP(N17,setup!$A$8:$H$58,6),VLOOKUP(N17,setup!$A$8:$H$58,7), VLOOKUP(0,setup!$A$8:$H$58,2),VLOOKUP(0,setup!$A$8:$H$58,5),VLOOKUP(N17,setup!$A$8:$H$58,8))</f>
        <v xml:space="preserve">  UsuarioPublicidadeLV(this._pagina);</v>
      </c>
    </row>
    <row r="18" spans="1:15" x14ac:dyDescent="0.25">
      <c r="A18" s="16"/>
      <c r="O18" s="7" t="str">
        <f ca="1">getCodigoBackend(N18,A18,VLOOKUP(N18,setup!$A$8:$H$58,2),VLOOKUP(N18,setup!$A$8:$H$58,3),VLOOKUP(N18,setup!$A$8:$H$58,4),VLOOKUP(N18,setup!$A$8:$H$58,5),VLOOKUP(N18,setup!$A$8:$H$58,6),VLOOKUP(N18,setup!$A$8:$H$58,7), VLOOKUP(0,setup!$A$8:$H$58,2),VLOOKUP(0,setup!$A$8:$H$58,5),VLOOKUP(N18,setup!$A$8:$H$58,8))</f>
        <v/>
      </c>
    </row>
    <row r="19" spans="1:15" x14ac:dyDescent="0.25">
      <c r="A19" s="15" t="s">
        <v>145</v>
      </c>
      <c r="O19" s="7" t="str">
        <f ca="1">getCodigoBackend(N19,A19,VLOOKUP(N19,setup!$A$8:$H$58,2),VLOOKUP(N19,setup!$A$8:$H$58,3),VLOOKUP(N19,setup!$A$8:$H$58,4),VLOOKUP(N19,setup!$A$8:$H$58,5),VLOOKUP(N19,setup!$A$8:$H$58,6),VLOOKUP(N19,setup!$A$8:$H$58,7), VLOOKUP(0,setup!$A$8:$H$58,2),VLOOKUP(0,setup!$A$8:$H$58,5),VLOOKUP(N19,setup!$A$8:$H$58,8))</f>
        <v xml:space="preserve">  @override</v>
      </c>
    </row>
    <row r="20" spans="1:15" x14ac:dyDescent="0.25">
      <c r="A20" s="18" t="s">
        <v>197</v>
      </c>
      <c r="O20" s="7" t="str">
        <f ca="1">getCodigoBackend(N20,A20,VLOOKUP(N20,setup!$A$8:$H$58,2),VLOOKUP(N20,setup!$A$8:$H$58,3),VLOOKUP(N20,setup!$A$8:$H$58,4),VLOOKUP(N20,setup!$A$8:$H$58,5),VLOOKUP(N20,setup!$A$8:$H$58,6),VLOOKUP(N20,setup!$A$8:$H$58,7), VLOOKUP(0,setup!$A$8:$H$58,2),VLOOKUP(0,setup!$A$8:$H$58,5),VLOOKUP(N20,setup!$A$8:$H$58,8))</f>
        <v xml:space="preserve">  _UsuarioPublicidadeLVState createState() =&gt; _UsuarioPublicidadeLVState();</v>
      </c>
    </row>
    <row r="21" spans="1:15" x14ac:dyDescent="0.25">
      <c r="A21" s="20" t="s">
        <v>16</v>
      </c>
      <c r="O21" s="7" t="str">
        <f ca="1">getCodigoBackend(N21,A21,VLOOKUP(N21,setup!$A$8:$H$58,2),VLOOKUP(N21,setup!$A$8:$H$58,3),VLOOKUP(N21,setup!$A$8:$H$58,4),VLOOKUP(N21,setup!$A$8:$H$58,5),VLOOKUP(N21,setup!$A$8:$H$58,6),VLOOKUP(N21,setup!$A$8:$H$58,7), VLOOKUP(0,setup!$A$8:$H$58,2),VLOOKUP(0,setup!$A$8:$H$58,5),VLOOKUP(N21,setup!$A$8:$H$58,8))</f>
        <v>}</v>
      </c>
    </row>
    <row r="22" spans="1:15" x14ac:dyDescent="0.25">
      <c r="A22" s="19"/>
      <c r="O22" s="7" t="str">
        <f ca="1">getCodigoBackend(N22,A22,VLOOKUP(N22,setup!$A$8:$H$58,2),VLOOKUP(N22,setup!$A$8:$H$58,3),VLOOKUP(N22,setup!$A$8:$H$58,4),VLOOKUP(N22,setup!$A$8:$H$58,5),VLOOKUP(N22,setup!$A$8:$H$58,6),VLOOKUP(N22,setup!$A$8:$H$58,7), VLOOKUP(0,setup!$A$8:$H$58,2),VLOOKUP(0,setup!$A$8:$H$58,5),VLOOKUP(N22,setup!$A$8:$H$58,8))</f>
        <v/>
      </c>
    </row>
    <row r="23" spans="1:15" x14ac:dyDescent="0.25">
      <c r="A23" s="21" t="s">
        <v>198</v>
      </c>
      <c r="O23" s="7" t="str">
        <f ca="1">getCodigoBackend(N23,A23,VLOOKUP(N23,setup!$A$8:$H$58,2),VLOOKUP(N23,setup!$A$8:$H$58,3),VLOOKUP(N23,setup!$A$8:$H$58,4),VLOOKUP(N23,setup!$A$8:$H$58,5),VLOOKUP(N23,setup!$A$8:$H$58,6),VLOOKUP(N23,setup!$A$8:$H$58,7), VLOOKUP(0,setup!$A$8:$H$58,2),VLOOKUP(0,setup!$A$8:$H$58,5),VLOOKUP(N23,setup!$A$8:$H$58,8))</f>
        <v>class _UsuarioPublicidadeLVState extends State&lt;UsuarioPublicidadeLV&gt; {</v>
      </c>
    </row>
    <row r="24" spans="1:15" x14ac:dyDescent="0.25">
      <c r="A24" s="20" t="s">
        <v>145</v>
      </c>
      <c r="O24" s="7" t="str">
        <f ca="1">getCodigoBackend(N24,A24,VLOOKUP(N24,setup!$A$8:$H$58,2),VLOOKUP(N24,setup!$A$8:$H$58,3),VLOOKUP(N24,setup!$A$8:$H$58,4),VLOOKUP(N24,setup!$A$8:$H$58,5),VLOOKUP(N24,setup!$A$8:$H$58,6),VLOOKUP(N24,setup!$A$8:$H$58,7), VLOOKUP(0,setup!$A$8:$H$58,2),VLOOKUP(0,setup!$A$8:$H$58,5),VLOOKUP(N24,setup!$A$8:$H$58,8))</f>
        <v xml:space="preserve">  @override</v>
      </c>
    </row>
    <row r="25" spans="1:15" x14ac:dyDescent="0.25">
      <c r="A25" s="18" t="s">
        <v>155</v>
      </c>
      <c r="O25" s="7" t="str">
        <f ca="1">getCodigoBackend(N25,A25,VLOOKUP(N25,setup!$A$8:$H$58,2),VLOOKUP(N25,setup!$A$8:$H$58,3),VLOOKUP(N25,setup!$A$8:$H$58,4),VLOOKUP(N25,setup!$A$8:$H$58,5),VLOOKUP(N25,setup!$A$8:$H$58,6),VLOOKUP(N25,setup!$A$8:$H$58,7), VLOOKUP(0,setup!$A$8:$H$58,2),VLOOKUP(0,setup!$A$8:$H$58,5),VLOOKUP(N25,setup!$A$8:$H$58,8))</f>
        <v xml:space="preserve">  Widget build(BuildContext context) {</v>
      </c>
    </row>
    <row r="26" spans="1:15" x14ac:dyDescent="0.25">
      <c r="A26" s="20" t="s">
        <v>186</v>
      </c>
      <c r="O26" s="7" t="str">
        <f ca="1">getCodigoBackend(N26,A26,VLOOKUP(N26,setup!$A$8:$H$58,2),VLOOKUP(N26,setup!$A$8:$H$58,3),VLOOKUP(N26,setup!$A$8:$H$58,4),VLOOKUP(N26,setup!$A$8:$H$58,5),VLOOKUP(N26,setup!$A$8:$H$58,6),VLOOKUP(N26,setup!$A$8:$H$58,7), VLOOKUP(0,setup!$A$8:$H$58,2),VLOOKUP(0,setup!$A$8:$H$58,5),VLOOKUP(N26,setup!$A$8:$H$58,8))</f>
        <v xml:space="preserve">    debugPrint(widget._pagina['lst'].length.toString());</v>
      </c>
    </row>
    <row r="27" spans="1:15" x14ac:dyDescent="0.25">
      <c r="A27" s="20" t="s">
        <v>187</v>
      </c>
      <c r="O27" s="7" t="str">
        <f ca="1">getCodigoBackend(N27,A27,VLOOKUP(N27,setup!$A$8:$H$58,2),VLOOKUP(N27,setup!$A$8:$H$58,3),VLOOKUP(N27,setup!$A$8:$H$58,4),VLOOKUP(N27,setup!$A$8:$H$58,5),VLOOKUP(N27,setup!$A$8:$H$58,6),VLOOKUP(N27,setup!$A$8:$H$58,7), VLOOKUP(0,setup!$A$8:$H$58,2),VLOOKUP(0,setup!$A$8:$H$58,5),VLOOKUP(N27,setup!$A$8:$H$58,8))</f>
        <v xml:space="preserve">    return widget._pagina['lst'].length == 0</v>
      </c>
    </row>
    <row r="28" spans="1:15" x14ac:dyDescent="0.25">
      <c r="A28" s="22" t="s">
        <v>188</v>
      </c>
      <c r="O28" s="7" t="str">
        <f ca="1">getCodigoBackend(N28,A28,VLOOKUP(N28,setup!$A$8:$H$58,2),VLOOKUP(N28,setup!$A$8:$H$58,3),VLOOKUP(N28,setup!$A$8:$H$58,4),VLOOKUP(N28,setup!$A$8:$H$58,5),VLOOKUP(N28,setup!$A$8:$H$58,6),VLOOKUP(N28,setup!$A$8:$H$58,7), VLOOKUP(0,setup!$A$8:$H$58,2),VLOOKUP(0,setup!$A$8:$H$58,5),VLOOKUP(N28,setup!$A$8:$H$58,8))</f>
        <v xml:space="preserve">        ? new CommonMsgCode(msgcode: "LNK-0042", msgcodeString: "Nenhum cartão encontrado.")</v>
      </c>
    </row>
    <row r="29" spans="1:15" x14ac:dyDescent="0.25">
      <c r="A29" s="20" t="s">
        <v>189</v>
      </c>
      <c r="O29" s="7" t="str">
        <f ca="1">getCodigoBackend(N29,A29,VLOOKUP(N29,setup!$A$8:$H$58,2),VLOOKUP(N29,setup!$A$8:$H$58,3),VLOOKUP(N29,setup!$A$8:$H$58,4),VLOOKUP(N29,setup!$A$8:$H$58,5),VLOOKUP(N29,setup!$A$8:$H$58,6),VLOOKUP(N29,setup!$A$8:$H$58,7), VLOOKUP(0,setup!$A$8:$H$58,2),VLOOKUP(0,setup!$A$8:$H$58,5),VLOOKUP(N29,setup!$A$8:$H$58,8))</f>
        <v xml:space="preserve">        : new ListView.builder(</v>
      </c>
    </row>
    <row r="30" spans="1:15" x14ac:dyDescent="0.25">
      <c r="A30" s="20" t="s">
        <v>190</v>
      </c>
      <c r="O30" s="7" t="str">
        <f ca="1">getCodigoBackend(N30,A30,VLOOKUP(N30,setup!$A$8:$H$58,2),VLOOKUP(N30,setup!$A$8:$H$58,3),VLOOKUP(N30,setup!$A$8:$H$58,4),VLOOKUP(N30,setup!$A$8:$H$58,5),VLOOKUP(N30,setup!$A$8:$H$58,6),VLOOKUP(N30,setup!$A$8:$H$58,7), VLOOKUP(0,setup!$A$8:$H$58,2),VLOOKUP(0,setup!$A$8:$H$58,5),VLOOKUP(N30,setup!$A$8:$H$58,8))</f>
        <v xml:space="preserve">      itemCount: widget._pagina['lst'].length,</v>
      </c>
    </row>
    <row r="31" spans="1:15" x14ac:dyDescent="0.25">
      <c r="A31" s="20" t="s">
        <v>191</v>
      </c>
      <c r="O31" s="7" t="str">
        <f ca="1">getCodigoBackend(N31,A31,VLOOKUP(N31,setup!$A$8:$H$58,2),VLOOKUP(N31,setup!$A$8:$H$58,3),VLOOKUP(N31,setup!$A$8:$H$58,4),VLOOKUP(N31,setup!$A$8:$H$58,5),VLOOKUP(N31,setup!$A$8:$H$58,6),VLOOKUP(N31,setup!$A$8:$H$58,7), VLOOKUP(0,setup!$A$8:$H$58,2),VLOOKUP(0,setup!$A$8:$H$58,5),VLOOKUP(N31,setup!$A$8:$H$58,8))</f>
        <v xml:space="preserve">      itemBuilder: (BuildContext context, int index){</v>
      </c>
    </row>
    <row r="32" spans="1:15" x14ac:dyDescent="0.25">
      <c r="A32" s="20"/>
      <c r="O32" s="7" t="str">
        <f ca="1">getCodigoBackend(N32,A32,VLOOKUP(N32,setup!$A$8:$H$58,2),VLOOKUP(N32,setup!$A$8:$H$58,3),VLOOKUP(N32,setup!$A$8:$H$58,4),VLOOKUP(N32,setup!$A$8:$H$58,5),VLOOKUP(N32,setup!$A$8:$H$58,6),VLOOKUP(N32,setup!$A$8:$H$58,7), VLOOKUP(0,setup!$A$8:$H$58,2),VLOOKUP(0,setup!$A$8:$H$58,5),VLOOKUP(N32,setup!$A$8:$H$58,8))</f>
        <v/>
      </c>
    </row>
    <row r="33" spans="1:15" x14ac:dyDescent="0.25">
      <c r="A33" s="23" t="s">
        <v>199</v>
      </c>
      <c r="O33" s="7" t="str">
        <f ca="1">getCodigoBackend(N33,A33,VLOOKUP(N33,setup!$A$8:$H$58,2),VLOOKUP(N33,setup!$A$8:$H$58,3),VLOOKUP(N33,setup!$A$8:$H$58,4),VLOOKUP(N33,setup!$A$8:$H$58,5),VLOOKUP(N33,setup!$A$8:$H$58,6),VLOOKUP(N33,setup!$A$8:$H$58,7), VLOOKUP(0,setup!$A$8:$H$58,2),VLOOKUP(0,setup!$A$8:$H$58,5),VLOOKUP(N33,setup!$A$8:$H$58,8))</f>
        <v xml:space="preserve">        return UsuarioPublicidadeUI(widget._pagina['lst'][index]);</v>
      </c>
    </row>
    <row r="34" spans="1:15" x14ac:dyDescent="0.25">
      <c r="A34" s="20" t="s">
        <v>192</v>
      </c>
      <c r="O34" s="7" t="str">
        <f ca="1">getCodigoBackend(N34,A34,VLOOKUP(N34,setup!$A$8:$H$58,2),VLOOKUP(N34,setup!$A$8:$H$58,3),VLOOKUP(N34,setup!$A$8:$H$58,4),VLOOKUP(N34,setup!$A$8:$H$58,5),VLOOKUP(N34,setup!$A$8:$H$58,6),VLOOKUP(N34,setup!$A$8:$H$58,7), VLOOKUP(0,setup!$A$8:$H$58,2),VLOOKUP(0,setup!$A$8:$H$58,5),VLOOKUP(N34,setup!$A$8:$H$58,8))</f>
        <v xml:space="preserve">      },</v>
      </c>
    </row>
    <row r="35" spans="1:15" x14ac:dyDescent="0.25">
      <c r="A35" s="20" t="s">
        <v>40</v>
      </c>
      <c r="O35" s="7" t="str">
        <f ca="1">getCodigoBackend(N35,A35,VLOOKUP(N35,setup!$A$8:$H$58,2),VLOOKUP(N35,setup!$A$8:$H$58,3),VLOOKUP(N35,setup!$A$8:$H$58,4),VLOOKUP(N35,setup!$A$8:$H$58,5),VLOOKUP(N35,setup!$A$8:$H$58,6),VLOOKUP(N35,setup!$A$8:$H$58,7), VLOOKUP(0,setup!$A$8:$H$58,2),VLOOKUP(0,setup!$A$8:$H$58,5),VLOOKUP(N35,setup!$A$8:$H$58,8))</f>
        <v xml:space="preserve">    );</v>
      </c>
    </row>
    <row r="36" spans="1:15" x14ac:dyDescent="0.25">
      <c r="A36" s="20" t="s">
        <v>41</v>
      </c>
      <c r="O36" s="7" t="str">
        <f ca="1">getCodigoBackend(N36,A36,VLOOKUP(N36,setup!$A$8:$H$58,2),VLOOKUP(N36,setup!$A$8:$H$58,3),VLOOKUP(N36,setup!$A$8:$H$58,4),VLOOKUP(N36,setup!$A$8:$H$58,5),VLOOKUP(N36,setup!$A$8:$H$58,6),VLOOKUP(N36,setup!$A$8:$H$58,7), VLOOKUP(0,setup!$A$8:$H$58,2),VLOOKUP(0,setup!$A$8:$H$58,5),VLOOKUP(N36,setup!$A$8:$H$58,8))</f>
        <v xml:space="preserve">  }</v>
      </c>
    </row>
    <row r="37" spans="1:15" x14ac:dyDescent="0.25">
      <c r="A37" s="20" t="s">
        <v>16</v>
      </c>
      <c r="O37" s="7" t="str">
        <f ca="1">getCodigoBackend(N37,A37,VLOOKUP(N37,setup!$A$8:$H$58,2),VLOOKUP(N37,setup!$A$8:$H$58,3),VLOOKUP(N37,setup!$A$8:$H$58,4),VLOOKUP(N37,setup!$A$8:$H$58,5),VLOOKUP(N37,setup!$A$8:$H$58,6),VLOOKUP(N37,setup!$A$8:$H$58,7), VLOOKUP(0,setup!$A$8:$H$58,2),VLOOKUP(0,setup!$A$8:$H$58,5),VLOOKUP(N37,setup!$A$8:$H$58,8))</f>
        <v>}</v>
      </c>
    </row>
    <row r="38" spans="1:15" x14ac:dyDescent="0.25">
      <c r="A38" s="19"/>
      <c r="O38" s="7" t="str">
        <f ca="1">getCodigoBackend(N38,A38,VLOOKUP(N38,setup!$A$8:$H$58,2),VLOOKUP(N38,setup!$A$8:$H$58,3),VLOOKUP(N38,setup!$A$8:$H$58,4),VLOOKUP(N38,setup!$A$8:$H$58,5),VLOOKUP(N38,setup!$A$8:$H$58,6),VLOOKUP(N38,setup!$A$8:$H$58,7), VLOOKUP(0,setup!$A$8:$H$58,2),VLOOKUP(0,setup!$A$8:$H$58,5),VLOOKUP(N38,setup!$A$8:$H$58,8))</f>
        <v/>
      </c>
    </row>
    <row r="39" spans="1:15" x14ac:dyDescent="0.25">
      <c r="A39" s="20"/>
      <c r="O39" s="7" t="str">
        <f ca="1">getCodigoBackend(N39,A39,VLOOKUP(N39,setup!$A$8:$H$58,2),VLOOKUP(N39,setup!$A$8:$H$58,3),VLOOKUP(N39,setup!$A$8:$H$58,4),VLOOKUP(N39,setup!$A$8:$H$58,5),VLOOKUP(N39,setup!$A$8:$H$58,6),VLOOKUP(N39,setup!$A$8:$H$58,7), VLOOKUP(0,setup!$A$8:$H$58,2),VLOOKUP(0,setup!$A$8:$H$58,5),VLOOKUP(N39,setup!$A$8:$H$58,8))</f>
        <v/>
      </c>
    </row>
    <row r="40" spans="1:15" x14ac:dyDescent="0.25">
      <c r="A40" s="20"/>
      <c r="O40" s="7" t="str">
        <f ca="1">getCodigoBackend(N40,A40,VLOOKUP(N40,setup!$A$8:$H$58,2),VLOOKUP(N40,setup!$A$8:$H$58,3),VLOOKUP(N40,setup!$A$8:$H$58,4),VLOOKUP(N40,setup!$A$8:$H$58,5),VLOOKUP(N40,setup!$A$8:$H$58,6),VLOOKUP(N40,setup!$A$8:$H$58,7), VLOOKUP(0,setup!$A$8:$H$58,2),VLOOKUP(0,setup!$A$8:$H$58,5),VLOOKUP(N40,setup!$A$8:$H$58,8))</f>
        <v/>
      </c>
    </row>
    <row r="41" spans="1:15" x14ac:dyDescent="0.25">
      <c r="A41" s="20"/>
      <c r="O41" s="7" t="str">
        <f ca="1">getCodigoBackend(N41,A41,VLOOKUP(N41,setup!$A$8:$H$58,2),VLOOKUP(N41,setup!$A$8:$H$58,3),VLOOKUP(N41,setup!$A$8:$H$58,4),VLOOKUP(N41,setup!$A$8:$H$58,5),VLOOKUP(N41,setup!$A$8:$H$58,6),VLOOKUP(N41,setup!$A$8:$H$58,7), VLOOKUP(0,setup!$A$8:$H$58,2),VLOOKUP(0,setup!$A$8:$H$58,5),VLOOKUP(N41,setup!$A$8:$H$58,8))</f>
        <v/>
      </c>
    </row>
    <row r="42" spans="1:15" x14ac:dyDescent="0.25">
      <c r="A42" s="19"/>
      <c r="O42" s="7" t="str">
        <f ca="1">getCodigoBackend(N42,A42,VLOOKUP(N42,setup!$A$8:$H$58,2),VLOOKUP(N42,setup!$A$8:$H$58,3),VLOOKUP(N42,setup!$A$8:$H$58,4),VLOOKUP(N42,setup!$A$8:$H$58,5),VLOOKUP(N42,setup!$A$8:$H$58,6),VLOOKUP(N42,setup!$A$8:$H$58,7), VLOOKUP(0,setup!$A$8:$H$58,2),VLOOKUP(0,setup!$A$8:$H$58,5),VLOOKUP(N42,setup!$A$8:$H$58,8))</f>
        <v/>
      </c>
    </row>
    <row r="43" spans="1:15" x14ac:dyDescent="0.25">
      <c r="A43" s="20"/>
      <c r="O43" s="7" t="str">
        <f ca="1">getCodigoBackend(N43,A43,VLOOKUP(N43,setup!$A$8:$H$58,2),VLOOKUP(N43,setup!$A$8:$H$58,3),VLOOKUP(N43,setup!$A$8:$H$58,4),VLOOKUP(N43,setup!$A$8:$H$58,5),VLOOKUP(N43,setup!$A$8:$H$58,6),VLOOKUP(N43,setup!$A$8:$H$58,7), VLOOKUP(0,setup!$A$8:$H$58,2),VLOOKUP(0,setup!$A$8:$H$58,5),VLOOKUP(N43,setup!$A$8:$H$58,8))</f>
        <v/>
      </c>
    </row>
    <row r="44" spans="1:15" x14ac:dyDescent="0.25">
      <c r="A44" s="20"/>
      <c r="O44" s="7" t="str">
        <f ca="1">getCodigoBackend(N44,A44,VLOOKUP(N44,setup!$A$8:$H$58,2),VLOOKUP(N44,setup!$A$8:$H$58,3),VLOOKUP(N44,setup!$A$8:$H$58,4),VLOOKUP(N44,setup!$A$8:$H$58,5),VLOOKUP(N44,setup!$A$8:$H$58,6),VLOOKUP(N44,setup!$A$8:$H$58,7), VLOOKUP(0,setup!$A$8:$H$58,2),VLOOKUP(0,setup!$A$8:$H$58,5),VLOOKUP(N44,setup!$A$8:$H$58,8))</f>
        <v/>
      </c>
    </row>
    <row r="45" spans="1:15" x14ac:dyDescent="0.25">
      <c r="A45" s="20"/>
      <c r="O45" s="7" t="str">
        <f ca="1">getCodigoBackend(N45,A45,VLOOKUP(N45,setup!$A$8:$H$58,2),VLOOKUP(N45,setup!$A$8:$H$58,3),VLOOKUP(N45,setup!$A$8:$H$58,4),VLOOKUP(N45,setup!$A$8:$H$58,5),VLOOKUP(N45,setup!$A$8:$H$58,6),VLOOKUP(N45,setup!$A$8:$H$58,7), VLOOKUP(0,setup!$A$8:$H$58,2),VLOOKUP(0,setup!$A$8:$H$58,5),VLOOKUP(N45,setup!$A$8:$H$58,8))</f>
        <v/>
      </c>
    </row>
    <row r="46" spans="1:15" x14ac:dyDescent="0.25">
      <c r="A46" s="20"/>
      <c r="O46" s="7" t="str">
        <f ca="1">getCodigoBackend(N46,A46,VLOOKUP(N46,setup!$A$8:$H$58,2),VLOOKUP(N46,setup!$A$8:$H$58,3),VLOOKUP(N46,setup!$A$8:$H$58,4),VLOOKUP(N46,setup!$A$8:$H$58,5),VLOOKUP(N46,setup!$A$8:$H$58,6),VLOOKUP(N46,setup!$A$8:$H$58,7), VLOOKUP(0,setup!$A$8:$H$58,2),VLOOKUP(0,setup!$A$8:$H$58,5),VLOOKUP(N46,setup!$A$8:$H$58,8))</f>
        <v/>
      </c>
    </row>
    <row r="47" spans="1:15" x14ac:dyDescent="0.25">
      <c r="A47" s="19"/>
      <c r="O47" s="7" t="str">
        <f ca="1">getCodigoBackend(N47,A47,VLOOKUP(N47,setup!$A$8:$H$58,2),VLOOKUP(N47,setup!$A$8:$H$58,3),VLOOKUP(N47,setup!$A$8:$H$58,4),VLOOKUP(N47,setup!$A$8:$H$58,5),VLOOKUP(N47,setup!$A$8:$H$58,6),VLOOKUP(N47,setup!$A$8:$H$58,7), VLOOKUP(0,setup!$A$8:$H$58,2),VLOOKUP(0,setup!$A$8:$H$58,5),VLOOKUP(N47,setup!$A$8:$H$58,8))</f>
        <v/>
      </c>
    </row>
    <row r="48" spans="1:15" x14ac:dyDescent="0.25">
      <c r="A48" s="20"/>
      <c r="O48" s="7" t="str">
        <f ca="1">getCodigoBackend(N48,A48,VLOOKUP(N48,setup!$A$8:$H$58,2),VLOOKUP(N48,setup!$A$8:$H$58,3),VLOOKUP(N48,setup!$A$8:$H$58,4),VLOOKUP(N48,setup!$A$8:$H$58,5),VLOOKUP(N48,setup!$A$8:$H$58,6),VLOOKUP(N48,setup!$A$8:$H$58,7), VLOOKUP(0,setup!$A$8:$H$58,2),VLOOKUP(0,setup!$A$8:$H$58,5),VLOOKUP(N48,setup!$A$8:$H$58,8))</f>
        <v/>
      </c>
    </row>
    <row r="49" spans="1:15" x14ac:dyDescent="0.25">
      <c r="A49" s="18"/>
      <c r="O49" s="7" t="str">
        <f ca="1">getCodigoBackend(N49,A49,VLOOKUP(N49,setup!$A$8:$H$58,2),VLOOKUP(N49,setup!$A$8:$H$58,3),VLOOKUP(N49,setup!$A$8:$H$58,4),VLOOKUP(N49,setup!$A$8:$H$58,5),VLOOKUP(N49,setup!$A$8:$H$58,6),VLOOKUP(N49,setup!$A$8:$H$58,7), VLOOKUP(0,setup!$A$8:$H$58,2),VLOOKUP(0,setup!$A$8:$H$58,5),VLOOKUP(N49,setup!$A$8:$H$58,8))</f>
        <v/>
      </c>
    </row>
    <row r="50" spans="1:15" x14ac:dyDescent="0.25">
      <c r="A50" s="20"/>
      <c r="O50" s="7" t="str">
        <f ca="1">getCodigoBackend(N50,A50,VLOOKUP(N50,setup!$A$8:$H$58,2),VLOOKUP(N50,setup!$A$8:$H$58,3),VLOOKUP(N50,setup!$A$8:$H$58,4),VLOOKUP(N50,setup!$A$8:$H$58,5),VLOOKUP(N50,setup!$A$8:$H$58,6),VLOOKUP(N50,setup!$A$8:$H$58,7), VLOOKUP(0,setup!$A$8:$H$58,2),VLOOKUP(0,setup!$A$8:$H$58,5),VLOOKUP(N50,setup!$A$8:$H$58,8))</f>
        <v/>
      </c>
    </row>
    <row r="51" spans="1:15" x14ac:dyDescent="0.25">
      <c r="A51" s="20"/>
      <c r="O51" s="7" t="str">
        <f ca="1">getCodigoBackend(N51,A51,VLOOKUP(N51,setup!$A$8:$H$58,2),VLOOKUP(N51,setup!$A$8:$H$58,3),VLOOKUP(N51,setup!$A$8:$H$58,4),VLOOKUP(N51,setup!$A$8:$H$58,5),VLOOKUP(N51,setup!$A$8:$H$58,6),VLOOKUP(N51,setup!$A$8:$H$58,7), VLOOKUP(0,setup!$A$8:$H$58,2),VLOOKUP(0,setup!$A$8:$H$58,5),VLOOKUP(N51,setup!$A$8:$H$58,8))</f>
        <v/>
      </c>
    </row>
    <row r="52" spans="1:15" x14ac:dyDescent="0.25">
      <c r="A52" s="20"/>
      <c r="O52" s="7" t="str">
        <f ca="1">getCodigoBackend(N52,A52,VLOOKUP(N52,setup!$A$8:$H$58,2),VLOOKUP(N52,setup!$A$8:$H$58,3),VLOOKUP(N52,setup!$A$8:$H$58,4),VLOOKUP(N52,setup!$A$8:$H$58,5),VLOOKUP(N52,setup!$A$8:$H$58,6),VLOOKUP(N52,setup!$A$8:$H$58,7), VLOOKUP(0,setup!$A$8:$H$58,2),VLOOKUP(0,setup!$A$8:$H$58,5),VLOOKUP(N52,setup!$A$8:$H$58,8))</f>
        <v/>
      </c>
    </row>
    <row r="53" spans="1:15" x14ac:dyDescent="0.25">
      <c r="A53" s="20"/>
      <c r="O53" s="7" t="str">
        <f ca="1">getCodigoBackend(N53,A53,VLOOKUP(N53,setup!$A$8:$H$58,2),VLOOKUP(N53,setup!$A$8:$H$58,3),VLOOKUP(N53,setup!$A$8:$H$58,4),VLOOKUP(N53,setup!$A$8:$H$58,5),VLOOKUP(N53,setup!$A$8:$H$58,6),VLOOKUP(N53,setup!$A$8:$H$58,7), VLOOKUP(0,setup!$A$8:$H$58,2),VLOOKUP(0,setup!$A$8:$H$58,5),VLOOKUP(N53,setup!$A$8:$H$58,8))</f>
        <v/>
      </c>
    </row>
    <row r="54" spans="1:15" x14ac:dyDescent="0.25">
      <c r="A54" s="20"/>
      <c r="O54" s="7" t="str">
        <f ca="1">getCodigoBackend(N54,A54,VLOOKUP(N54,setup!$A$8:$H$58,2),VLOOKUP(N54,setup!$A$8:$H$58,3),VLOOKUP(N54,setup!$A$8:$H$58,4),VLOOKUP(N54,setup!$A$8:$H$58,5),VLOOKUP(N54,setup!$A$8:$H$58,6),VLOOKUP(N54,setup!$A$8:$H$58,7), VLOOKUP(0,setup!$A$8:$H$58,2),VLOOKUP(0,setup!$A$8:$H$58,5),VLOOKUP(N54,setup!$A$8:$H$58,8))</f>
        <v/>
      </c>
    </row>
    <row r="55" spans="1:15" x14ac:dyDescent="0.25">
      <c r="A55" s="20"/>
      <c r="O55" s="7" t="str">
        <f ca="1">getCodigoBackend(N55,A55,VLOOKUP(N55,setup!$A$8:$H$58,2),VLOOKUP(N55,setup!$A$8:$H$58,3),VLOOKUP(N55,setup!$A$8:$H$58,4),VLOOKUP(N55,setup!$A$8:$H$58,5),VLOOKUP(N55,setup!$A$8:$H$58,6),VLOOKUP(N55,setup!$A$8:$H$58,7), VLOOKUP(0,setup!$A$8:$H$58,2),VLOOKUP(0,setup!$A$8:$H$58,5),VLOOKUP(N55,setup!$A$8:$H$58,8))</f>
        <v/>
      </c>
    </row>
    <row r="56" spans="1:15" x14ac:dyDescent="0.25">
      <c r="A56" s="20"/>
      <c r="O56" s="7" t="str">
        <f ca="1">getCodigoBackend(N56,A56,VLOOKUP(N56,setup!$A$8:$H$58,2),VLOOKUP(N56,setup!$A$8:$H$58,3),VLOOKUP(N56,setup!$A$8:$H$58,4),VLOOKUP(N56,setup!$A$8:$H$58,5),VLOOKUP(N56,setup!$A$8:$H$58,6),VLOOKUP(N56,setup!$A$8:$H$58,7), VLOOKUP(0,setup!$A$8:$H$58,2),VLOOKUP(0,setup!$A$8:$H$58,5),VLOOKUP(N56,setup!$A$8:$H$58,8))</f>
        <v/>
      </c>
    </row>
    <row r="57" spans="1:15" x14ac:dyDescent="0.25">
      <c r="A57" s="20"/>
      <c r="O57" s="7" t="str">
        <f ca="1">getCodigoBackend(N57,A57,VLOOKUP(N57,setup!$A$8:$H$58,2),VLOOKUP(N57,setup!$A$8:$H$58,3),VLOOKUP(N57,setup!$A$8:$H$58,4),VLOOKUP(N57,setup!$A$8:$H$58,5),VLOOKUP(N57,setup!$A$8:$H$58,6),VLOOKUP(N57,setup!$A$8:$H$58,7), VLOOKUP(0,setup!$A$8:$H$58,2),VLOOKUP(0,setup!$A$8:$H$58,5),VLOOKUP(N57,setup!$A$8:$H$58,8))</f>
        <v/>
      </c>
    </row>
    <row r="58" spans="1:15" x14ac:dyDescent="0.25">
      <c r="A58" s="20"/>
      <c r="O58" s="7" t="str">
        <f ca="1">getCodigoBackend(N58,A58,VLOOKUP(N58,setup!$A$8:$H$58,2),VLOOKUP(N58,setup!$A$8:$H$58,3),VLOOKUP(N58,setup!$A$8:$H$58,4),VLOOKUP(N58,setup!$A$8:$H$58,5),VLOOKUP(N58,setup!$A$8:$H$58,6),VLOOKUP(N58,setup!$A$8:$H$58,7), VLOOKUP(0,setup!$A$8:$H$58,2),VLOOKUP(0,setup!$A$8:$H$58,5),VLOOKUP(N58,setup!$A$8:$H$58,8))</f>
        <v/>
      </c>
    </row>
    <row r="59" spans="1:15" x14ac:dyDescent="0.25">
      <c r="A59" s="20"/>
      <c r="O59" s="7" t="str">
        <f ca="1">getCodigoBackend(N59,A59,VLOOKUP(N59,setup!$A$8:$H$58,2),VLOOKUP(N59,setup!$A$8:$H$58,3),VLOOKUP(N59,setup!$A$8:$H$58,4),VLOOKUP(N59,setup!$A$8:$H$58,5),VLOOKUP(N59,setup!$A$8:$H$58,6),VLOOKUP(N59,setup!$A$8:$H$58,7), VLOOKUP(0,setup!$A$8:$H$58,2),VLOOKUP(0,setup!$A$8:$H$58,5),VLOOKUP(N59,setup!$A$8:$H$58,8))</f>
        <v/>
      </c>
    </row>
    <row r="60" spans="1:15" x14ac:dyDescent="0.25">
      <c r="A60" s="20"/>
      <c r="O60" s="7" t="str">
        <f ca="1">getCodigoBackend(N60,A60,VLOOKUP(N60,setup!$A$8:$H$58,2),VLOOKUP(N60,setup!$A$8:$H$58,3),VLOOKUP(N60,setup!$A$8:$H$58,4),VLOOKUP(N60,setup!$A$8:$H$58,5),VLOOKUP(N60,setup!$A$8:$H$58,6),VLOOKUP(N60,setup!$A$8:$H$58,7), VLOOKUP(0,setup!$A$8:$H$58,2),VLOOKUP(0,setup!$A$8:$H$58,5),VLOOKUP(N60,setup!$A$8:$H$58,8))</f>
        <v/>
      </c>
    </row>
    <row r="61" spans="1:15" x14ac:dyDescent="0.25">
      <c r="A61" s="20"/>
      <c r="O61" s="7" t="str">
        <f ca="1">getCodigoBackend(N61,A61,VLOOKUP(N61,setup!$A$8:$H$58,2),VLOOKUP(N61,setup!$A$8:$H$58,3),VLOOKUP(N61,setup!$A$8:$H$58,4),VLOOKUP(N61,setup!$A$8:$H$58,5),VLOOKUP(N61,setup!$A$8:$H$58,6),VLOOKUP(N61,setup!$A$8:$H$58,7), VLOOKUP(0,setup!$A$8:$H$58,2),VLOOKUP(0,setup!$A$8:$H$58,5),VLOOKUP(N61,setup!$A$8:$H$58,8))</f>
        <v/>
      </c>
    </row>
    <row r="62" spans="1:15" x14ac:dyDescent="0.25">
      <c r="A62" s="20"/>
      <c r="O62" s="7" t="str">
        <f ca="1">getCodigoBackend(N62,A62,VLOOKUP(N62,setup!$A$8:$H$58,2),VLOOKUP(N62,setup!$A$8:$H$58,3),VLOOKUP(N62,setup!$A$8:$H$58,4),VLOOKUP(N62,setup!$A$8:$H$58,5),VLOOKUP(N62,setup!$A$8:$H$58,6),VLOOKUP(N62,setup!$A$8:$H$58,7), VLOOKUP(0,setup!$A$8:$H$58,2),VLOOKUP(0,setup!$A$8:$H$58,5),VLOOKUP(N62,setup!$A$8:$H$58,8))</f>
        <v/>
      </c>
    </row>
    <row r="63" spans="1:15" x14ac:dyDescent="0.25">
      <c r="A63" s="20"/>
      <c r="O63" s="7" t="str">
        <f ca="1">getCodigoBackend(N63,A63,VLOOKUP(N63,setup!$A$8:$H$58,2),VLOOKUP(N63,setup!$A$8:$H$58,3),VLOOKUP(N63,setup!$A$8:$H$58,4),VLOOKUP(N63,setup!$A$8:$H$58,5),VLOOKUP(N63,setup!$A$8:$H$58,6),VLOOKUP(N63,setup!$A$8:$H$58,7), VLOOKUP(0,setup!$A$8:$H$58,2),VLOOKUP(0,setup!$A$8:$H$58,5),VLOOKUP(N63,setup!$A$8:$H$58,8))</f>
        <v/>
      </c>
    </row>
    <row r="64" spans="1:15" x14ac:dyDescent="0.25">
      <c r="A64" s="20"/>
      <c r="O64" s="7" t="str">
        <f ca="1">getCodigoBackend(N64,A64,VLOOKUP(N64,setup!$A$8:$H$58,2),VLOOKUP(N64,setup!$A$8:$H$58,3),VLOOKUP(N64,setup!$A$8:$H$58,4),VLOOKUP(N64,setup!$A$8:$H$58,5),VLOOKUP(N64,setup!$A$8:$H$58,6),VLOOKUP(N64,setup!$A$8:$H$58,7), VLOOKUP(0,setup!$A$8:$H$58,2),VLOOKUP(0,setup!$A$8:$H$58,5),VLOOKUP(N64,setup!$A$8:$H$58,8))</f>
        <v/>
      </c>
    </row>
    <row r="65" spans="1:15" x14ac:dyDescent="0.25">
      <c r="A65" s="20"/>
      <c r="O65" s="7" t="str">
        <f ca="1">getCodigoBackend(N65,A65,VLOOKUP(N65,setup!$A$8:$H$58,2),VLOOKUP(N65,setup!$A$8:$H$58,3),VLOOKUP(N65,setup!$A$8:$H$58,4),VLOOKUP(N65,setup!$A$8:$H$58,5),VLOOKUP(N65,setup!$A$8:$H$58,6),VLOOKUP(N65,setup!$A$8:$H$58,7), VLOOKUP(0,setup!$A$8:$H$58,2),VLOOKUP(0,setup!$A$8:$H$58,5),VLOOKUP(N65,setup!$A$8:$H$58,8))</f>
        <v/>
      </c>
    </row>
    <row r="66" spans="1:15" x14ac:dyDescent="0.25">
      <c r="A66" s="20"/>
      <c r="O66" s="7" t="str">
        <f ca="1">getCodigoBackend(N66,A66,VLOOKUP(N66,setup!$A$8:$H$58,2),VLOOKUP(N66,setup!$A$8:$H$58,3),VLOOKUP(N66,setup!$A$8:$H$58,4),VLOOKUP(N66,setup!$A$8:$H$58,5),VLOOKUP(N66,setup!$A$8:$H$58,6),VLOOKUP(N66,setup!$A$8:$H$58,7), VLOOKUP(0,setup!$A$8:$H$58,2),VLOOKUP(0,setup!$A$8:$H$58,5),VLOOKUP(N66,setup!$A$8:$H$58,8))</f>
        <v/>
      </c>
    </row>
    <row r="67" spans="1:15" x14ac:dyDescent="0.25">
      <c r="A67" s="20"/>
      <c r="O67" s="7" t="str">
        <f ca="1">getCodigoBackend(N67,A67,VLOOKUP(N67,setup!$A$8:$H$58,2),VLOOKUP(N67,setup!$A$8:$H$58,3),VLOOKUP(N67,setup!$A$8:$H$58,4),VLOOKUP(N67,setup!$A$8:$H$58,5),VLOOKUP(N67,setup!$A$8:$H$58,6),VLOOKUP(N67,setup!$A$8:$H$58,7), VLOOKUP(0,setup!$A$8:$H$58,2),VLOOKUP(0,setup!$A$8:$H$58,5),VLOOKUP(N67,setup!$A$8:$H$58,8))</f>
        <v/>
      </c>
    </row>
    <row r="68" spans="1:15" x14ac:dyDescent="0.25">
      <c r="A68" s="20"/>
      <c r="O68" s="7" t="str">
        <f ca="1">getCodigoBackend(N68,A68,VLOOKUP(N68,setup!$A$8:$H$58,2),VLOOKUP(N68,setup!$A$8:$H$58,3),VLOOKUP(N68,setup!$A$8:$H$58,4),VLOOKUP(N68,setup!$A$8:$H$58,5),VLOOKUP(N68,setup!$A$8:$H$58,6),VLOOKUP(N68,setup!$A$8:$H$58,7), VLOOKUP(0,setup!$A$8:$H$58,2),VLOOKUP(0,setup!$A$8:$H$58,5),VLOOKUP(N68,setup!$A$8:$H$58,8))</f>
        <v/>
      </c>
    </row>
    <row r="69" spans="1:15" x14ac:dyDescent="0.25">
      <c r="A69" s="20"/>
      <c r="O69" s="7" t="str">
        <f ca="1">getCodigoBackend(N69,A69,VLOOKUP(N69,setup!$A$8:$H$58,2),VLOOKUP(N69,setup!$A$8:$H$58,3),VLOOKUP(N69,setup!$A$8:$H$58,4),VLOOKUP(N69,setup!$A$8:$H$58,5),VLOOKUP(N69,setup!$A$8:$H$58,6),VLOOKUP(N69,setup!$A$8:$H$58,7), VLOOKUP(0,setup!$A$8:$H$58,2),VLOOKUP(0,setup!$A$8:$H$58,5),VLOOKUP(N69,setup!$A$8:$H$58,8))</f>
        <v/>
      </c>
    </row>
    <row r="70" spans="1:15" x14ac:dyDescent="0.25">
      <c r="A70" s="20"/>
      <c r="O70" s="7" t="str">
        <f ca="1">getCodigoBackend(N70,A70,VLOOKUP(N70,setup!$A$8:$H$58,2),VLOOKUP(N70,setup!$A$8:$H$58,3),VLOOKUP(N70,setup!$A$8:$H$58,4),VLOOKUP(N70,setup!$A$8:$H$58,5),VLOOKUP(N70,setup!$A$8:$H$58,6),VLOOKUP(N70,setup!$A$8:$H$58,7), VLOOKUP(0,setup!$A$8:$H$58,2),VLOOKUP(0,setup!$A$8:$H$58,5),VLOOKUP(N70,setup!$A$8:$H$58,8))</f>
        <v/>
      </c>
    </row>
    <row r="71" spans="1:15" x14ac:dyDescent="0.25">
      <c r="A71" s="20"/>
      <c r="O71" s="7" t="str">
        <f ca="1">getCodigoBackend(N71,A71,VLOOKUP(N71,setup!$A$8:$H$58,2),VLOOKUP(N71,setup!$A$8:$H$58,3),VLOOKUP(N71,setup!$A$8:$H$58,4),VLOOKUP(N71,setup!$A$8:$H$58,5),VLOOKUP(N71,setup!$A$8:$H$58,6),VLOOKUP(N71,setup!$A$8:$H$58,7), VLOOKUP(0,setup!$A$8:$H$58,2),VLOOKUP(0,setup!$A$8:$H$58,5),VLOOKUP(N71,setup!$A$8:$H$58,8))</f>
        <v/>
      </c>
    </row>
    <row r="72" spans="1:15" x14ac:dyDescent="0.25">
      <c r="A72" s="20"/>
      <c r="O72" s="7" t="str">
        <f ca="1">getCodigoBackend(N72,A72,VLOOKUP(N72,setup!$A$8:$H$58,2),VLOOKUP(N72,setup!$A$8:$H$58,3),VLOOKUP(N72,setup!$A$8:$H$58,4),VLOOKUP(N72,setup!$A$8:$H$58,5),VLOOKUP(N72,setup!$A$8:$H$58,6),VLOOKUP(N72,setup!$A$8:$H$58,7), VLOOKUP(0,setup!$A$8:$H$58,2),VLOOKUP(0,setup!$A$8:$H$58,5),VLOOKUP(N72,setup!$A$8:$H$58,8))</f>
        <v/>
      </c>
    </row>
    <row r="73" spans="1:15" x14ac:dyDescent="0.25">
      <c r="A73" s="20"/>
      <c r="O73" s="7" t="str">
        <f ca="1">getCodigoBackend(N73,A73,VLOOKUP(N73,setup!$A$8:$H$58,2),VLOOKUP(N73,setup!$A$8:$H$58,3),VLOOKUP(N73,setup!$A$8:$H$58,4),VLOOKUP(N73,setup!$A$8:$H$58,5),VLOOKUP(N73,setup!$A$8:$H$58,6),VLOOKUP(N73,setup!$A$8:$H$58,7), VLOOKUP(0,setup!$A$8:$H$58,2),VLOOKUP(0,setup!$A$8:$H$58,5),VLOOKUP(N73,setup!$A$8:$H$58,8))</f>
        <v/>
      </c>
    </row>
    <row r="74" spans="1:15" x14ac:dyDescent="0.25">
      <c r="A74" s="20"/>
      <c r="O74" s="7" t="str">
        <f ca="1">getCodigoBackend(N74,A74,VLOOKUP(N74,setup!$A$8:$H$58,2),VLOOKUP(N74,setup!$A$8:$H$58,3),VLOOKUP(N74,setup!$A$8:$H$58,4),VLOOKUP(N74,setup!$A$8:$H$58,5),VLOOKUP(N74,setup!$A$8:$H$58,6),VLOOKUP(N74,setup!$A$8:$H$58,7), VLOOKUP(0,setup!$A$8:$H$58,2),VLOOKUP(0,setup!$A$8:$H$58,5),VLOOKUP(N74,setup!$A$8:$H$58,8))</f>
        <v/>
      </c>
    </row>
    <row r="75" spans="1:15" x14ac:dyDescent="0.25">
      <c r="A75" s="20"/>
      <c r="O75" s="7" t="str">
        <f ca="1">getCodigoBackend(N75,A75,VLOOKUP(N75,setup!$A$8:$H$58,2),VLOOKUP(N75,setup!$A$8:$H$58,3),VLOOKUP(N75,setup!$A$8:$H$58,4),VLOOKUP(N75,setup!$A$8:$H$58,5),VLOOKUP(N75,setup!$A$8:$H$58,6),VLOOKUP(N75,setup!$A$8:$H$58,7), VLOOKUP(0,setup!$A$8:$H$58,2),VLOOKUP(0,setup!$A$8:$H$58,5),VLOOKUP(N75,setup!$A$8:$H$58,8))</f>
        <v/>
      </c>
    </row>
    <row r="76" spans="1:15" x14ac:dyDescent="0.25">
      <c r="A76" s="20"/>
      <c r="O76" s="7" t="str">
        <f ca="1">getCodigoBackend(N76,A76,VLOOKUP(N76,setup!$A$8:$H$58,2),VLOOKUP(N76,setup!$A$8:$H$58,3),VLOOKUP(N76,setup!$A$8:$H$58,4),VLOOKUP(N76,setup!$A$8:$H$58,5),VLOOKUP(N76,setup!$A$8:$H$58,6),VLOOKUP(N76,setup!$A$8:$H$58,7), VLOOKUP(0,setup!$A$8:$H$58,2),VLOOKUP(0,setup!$A$8:$H$58,5),VLOOKUP(N76,setup!$A$8:$H$58,8))</f>
        <v/>
      </c>
    </row>
    <row r="77" spans="1:15" x14ac:dyDescent="0.25">
      <c r="A77" s="20"/>
      <c r="O77" s="7" t="str">
        <f ca="1">getCodigoBackend(N77,A77,VLOOKUP(N77,setup!$A$8:$H$58,2),VLOOKUP(N77,setup!$A$8:$H$58,3),VLOOKUP(N77,setup!$A$8:$H$58,4),VLOOKUP(N77,setup!$A$8:$H$58,5),VLOOKUP(N77,setup!$A$8:$H$58,6),VLOOKUP(N77,setup!$A$8:$H$58,7), VLOOKUP(0,setup!$A$8:$H$58,2),VLOOKUP(0,setup!$A$8:$H$58,5),VLOOKUP(N77,setup!$A$8:$H$58,8))</f>
        <v/>
      </c>
    </row>
    <row r="78" spans="1:15" x14ac:dyDescent="0.25">
      <c r="A78" s="20"/>
      <c r="O78" s="7" t="str">
        <f ca="1">getCodigoBackend(N78,A78,VLOOKUP(N78,setup!$A$8:$H$58,2),VLOOKUP(N78,setup!$A$8:$H$58,3),VLOOKUP(N78,setup!$A$8:$H$58,4),VLOOKUP(N78,setup!$A$8:$H$58,5),VLOOKUP(N78,setup!$A$8:$H$58,6),VLOOKUP(N78,setup!$A$8:$H$58,7), VLOOKUP(0,setup!$A$8:$H$58,2),VLOOKUP(0,setup!$A$8:$H$58,5),VLOOKUP(N78,setup!$A$8:$H$58,8))</f>
        <v/>
      </c>
    </row>
    <row r="79" spans="1:15" x14ac:dyDescent="0.25">
      <c r="A79" s="20"/>
      <c r="O79" s="7" t="str">
        <f ca="1">getCodigoBackend(N79,A79,VLOOKUP(N79,setup!$A$8:$H$58,2),VLOOKUP(N79,setup!$A$8:$H$58,3),VLOOKUP(N79,setup!$A$8:$H$58,4),VLOOKUP(N79,setup!$A$8:$H$58,5),VLOOKUP(N79,setup!$A$8:$H$58,6),VLOOKUP(N79,setup!$A$8:$H$58,7), VLOOKUP(0,setup!$A$8:$H$58,2),VLOOKUP(0,setup!$A$8:$H$58,5),VLOOKUP(N79,setup!$A$8:$H$58,8))</f>
        <v/>
      </c>
    </row>
    <row r="80" spans="1:15" x14ac:dyDescent="0.25">
      <c r="A80" s="20"/>
      <c r="O80" s="7" t="str">
        <f ca="1">getCodigoBackend(N80,A80,VLOOKUP(N80,setup!$A$8:$H$58,2),VLOOKUP(N80,setup!$A$8:$H$58,3),VLOOKUP(N80,setup!$A$8:$H$58,4),VLOOKUP(N80,setup!$A$8:$H$58,5),VLOOKUP(N80,setup!$A$8:$H$58,6),VLOOKUP(N80,setup!$A$8:$H$58,7), VLOOKUP(0,setup!$A$8:$H$58,2),VLOOKUP(0,setup!$A$8:$H$58,5),VLOOKUP(N80,setup!$A$8:$H$58,8))</f>
        <v/>
      </c>
    </row>
    <row r="81" spans="1:15" x14ac:dyDescent="0.25">
      <c r="A81" s="6"/>
      <c r="O81" s="7" t="str">
        <f ca="1">getCodigoBackend(N81,A81,VLOOKUP(N81,setup!$A$8:$H$58,2),VLOOKUP(N81,setup!$A$8:$H$58,3),VLOOKUP(N81,setup!$A$8:$H$58,4),VLOOKUP(N81,setup!$A$8:$H$58,5),VLOOKUP(N81,setup!$A$8:$H$58,6),VLOOKUP(N81,setup!$A$8:$H$58,7), VLOOKUP(0,setup!$A$8:$H$58,2),VLOOKUP(0,setup!$A$8:$H$58,5),VLOOKUP(N81,setup!$A$8:$H$58,8))</f>
        <v/>
      </c>
    </row>
    <row r="82" spans="1:15" x14ac:dyDescent="0.25">
      <c r="A82" s="6"/>
      <c r="O82" s="7" t="str">
        <f ca="1">getCodigoBackend(N82,A82,VLOOKUP(N82,setup!$A$8:$H$58,2),VLOOKUP(N82,setup!$A$8:$H$58,3),VLOOKUP(N82,setup!$A$8:$H$58,4),VLOOKUP(N82,setup!$A$8:$H$58,5),VLOOKUP(N82,setup!$A$8:$H$58,6),VLOOKUP(N82,setup!$A$8:$H$58,7), VLOOKUP(0,setup!$A$8:$H$58,2),VLOOKUP(0,setup!$A$8:$H$58,5),VLOOKUP(N82,setup!$A$8:$H$58,8))</f>
        <v/>
      </c>
    </row>
    <row r="83" spans="1:15" x14ac:dyDescent="0.25">
      <c r="A83" s="6"/>
      <c r="O83" s="7" t="str">
        <f ca="1">getCodigoBackend(N83,A83,VLOOKUP(N83,setup!$A$8:$H$58,2),VLOOKUP(N83,setup!$A$8:$H$58,3),VLOOKUP(N83,setup!$A$8:$H$58,4),VLOOKUP(N83,setup!$A$8:$H$58,5),VLOOKUP(N83,setup!$A$8:$H$58,6),VLOOKUP(N83,setup!$A$8:$H$58,7), VLOOKUP(0,setup!$A$8:$H$58,2),VLOOKUP(0,setup!$A$8:$H$58,5),VLOOKUP(N83,setup!$A$8:$H$58,8))</f>
        <v/>
      </c>
    </row>
    <row r="84" spans="1:15" x14ac:dyDescent="0.25">
      <c r="A84" s="6"/>
      <c r="O84" s="7" t="str">
        <f ca="1">getCodigoBackend(N84,A84,VLOOKUP(N84,setup!$A$8:$H$58,2),VLOOKUP(N84,setup!$A$8:$H$58,3),VLOOKUP(N84,setup!$A$8:$H$58,4),VLOOKUP(N84,setup!$A$8:$H$58,5),VLOOKUP(N84,setup!$A$8:$H$58,6),VLOOKUP(N84,setup!$A$8:$H$58,7), VLOOKUP(0,setup!$A$8:$H$58,2),VLOOKUP(0,setup!$A$8:$H$58,5),VLOOKUP(N84,setup!$A$8:$H$58,8))</f>
        <v/>
      </c>
    </row>
    <row r="85" spans="1:15" x14ac:dyDescent="0.25">
      <c r="A85" s="6"/>
      <c r="O85" s="7" t="str">
        <f ca="1">getCodigoBackend(N85,A85,VLOOKUP(N85,setup!$A$8:$H$58,2),VLOOKUP(N85,setup!$A$8:$H$58,3),VLOOKUP(N85,setup!$A$8:$H$58,4),VLOOKUP(N85,setup!$A$8:$H$58,5),VLOOKUP(N85,setup!$A$8:$H$58,6),VLOOKUP(N85,setup!$A$8:$H$58,7), VLOOKUP(0,setup!$A$8:$H$58,2),VLOOKUP(0,setup!$A$8:$H$58,5),VLOOKUP(N85,setup!$A$8:$H$58,8))</f>
        <v/>
      </c>
    </row>
    <row r="86" spans="1:15" x14ac:dyDescent="0.25">
      <c r="A86" s="6"/>
      <c r="O86" s="7" t="str">
        <f ca="1">getCodigoBackend(N86,A86,VLOOKUP(N86,setup!$A$8:$H$58,2),VLOOKUP(N86,setup!$A$8:$H$58,3),VLOOKUP(N86,setup!$A$8:$H$58,4),VLOOKUP(N86,setup!$A$8:$H$58,5),VLOOKUP(N86,setup!$A$8:$H$58,6),VLOOKUP(N86,setup!$A$8:$H$58,7), VLOOKUP(0,setup!$A$8:$H$58,2),VLOOKUP(0,setup!$A$8:$H$58,5),VLOOKUP(N86,setup!$A$8:$H$58,8))</f>
        <v/>
      </c>
    </row>
    <row r="87" spans="1:15" x14ac:dyDescent="0.25">
      <c r="A87" s="6"/>
      <c r="O87" s="7" t="str">
        <f ca="1">getCodigoBackend(N87,A87,VLOOKUP(N87,setup!$A$8:$H$58,2),VLOOKUP(N87,setup!$A$8:$H$58,3),VLOOKUP(N87,setup!$A$8:$H$58,4),VLOOKUP(N87,setup!$A$8:$H$58,5),VLOOKUP(N87,setup!$A$8:$H$58,6),VLOOKUP(N87,setup!$A$8:$H$58,7), VLOOKUP(0,setup!$A$8:$H$58,2),VLOOKUP(0,setup!$A$8:$H$58,5),VLOOKUP(N87,setup!$A$8:$H$58,8))</f>
        <v/>
      </c>
    </row>
    <row r="88" spans="1:15" x14ac:dyDescent="0.25">
      <c r="A88" s="6"/>
      <c r="O88" s="7" t="str">
        <f ca="1">getCodigoBackend(N88,A88,VLOOKUP(N88,setup!$A$8:$H$58,2),VLOOKUP(N88,setup!$A$8:$H$58,3),VLOOKUP(N88,setup!$A$8:$H$58,4),VLOOKUP(N88,setup!$A$8:$H$58,5),VLOOKUP(N88,setup!$A$8:$H$58,6),VLOOKUP(N88,setup!$A$8:$H$58,7), VLOOKUP(0,setup!$A$8:$H$58,2),VLOOKUP(0,setup!$A$8:$H$58,5),VLOOKUP(N88,setup!$A$8:$H$58,8))</f>
        <v/>
      </c>
    </row>
    <row r="89" spans="1:15" x14ac:dyDescent="0.25">
      <c r="A89" s="6"/>
      <c r="O89" s="7" t="str">
        <f ca="1">getCodigoBackend(N89,A89,VLOOKUP(N89,setup!$A$8:$H$58,2),VLOOKUP(N89,setup!$A$8:$H$58,3),VLOOKUP(N89,setup!$A$8:$H$58,4),VLOOKUP(N89,setup!$A$8:$H$58,5),VLOOKUP(N89,setup!$A$8:$H$58,6),VLOOKUP(N89,setup!$A$8:$H$58,7), VLOOKUP(0,setup!$A$8:$H$58,2),VLOOKUP(0,setup!$A$8:$H$58,5),VLOOKUP(N89,setup!$A$8:$H$58,8))</f>
        <v/>
      </c>
    </row>
    <row r="90" spans="1:15" x14ac:dyDescent="0.25">
      <c r="A90" s="6"/>
      <c r="O90" s="7" t="str">
        <f ca="1">getCodigoBackend(N90,A90,VLOOKUP(N90,setup!$A$8:$H$58,2),VLOOKUP(N90,setup!$A$8:$H$58,3),VLOOKUP(N90,setup!$A$8:$H$58,4),VLOOKUP(N90,setup!$A$8:$H$58,5),VLOOKUP(N90,setup!$A$8:$H$58,6),VLOOKUP(N90,setup!$A$8:$H$58,7), VLOOKUP(0,setup!$A$8:$H$58,2),VLOOKUP(0,setup!$A$8:$H$58,5),VLOOKUP(N90,setup!$A$8:$H$58,8))</f>
        <v/>
      </c>
    </row>
    <row r="91" spans="1:15" x14ac:dyDescent="0.25">
      <c r="A91" s="6"/>
      <c r="O91" s="7" t="str">
        <f ca="1">getCodigoBackend(N91,A91,VLOOKUP(N91,setup!$A$8:$H$58,2),VLOOKUP(N91,setup!$A$8:$H$58,3),VLOOKUP(N91,setup!$A$8:$H$58,4),VLOOKUP(N91,setup!$A$8:$H$58,5),VLOOKUP(N91,setup!$A$8:$H$58,6),VLOOKUP(N91,setup!$A$8:$H$58,7), VLOOKUP(0,setup!$A$8:$H$58,2),VLOOKUP(0,setup!$A$8:$H$58,5),VLOOKUP(N91,setup!$A$8:$H$58,8))</f>
        <v/>
      </c>
    </row>
    <row r="92" spans="1:15" x14ac:dyDescent="0.25">
      <c r="A92" s="6"/>
      <c r="O92" s="7" t="str">
        <f ca="1">getCodigoBackend(N92,A92,VLOOKUP(N92,setup!$A$8:$H$58,2),VLOOKUP(N92,setup!$A$8:$H$58,3),VLOOKUP(N92,setup!$A$8:$H$58,4),VLOOKUP(N92,setup!$A$8:$H$58,5),VLOOKUP(N92,setup!$A$8:$H$58,6),VLOOKUP(N92,setup!$A$8:$H$58,7), VLOOKUP(0,setup!$A$8:$H$58,2),VLOOKUP(0,setup!$A$8:$H$58,5),VLOOKUP(N92,setup!$A$8:$H$58,8))</f>
        <v/>
      </c>
    </row>
    <row r="93" spans="1:15" x14ac:dyDescent="0.25">
      <c r="A93" s="6"/>
      <c r="O93" s="7" t="str">
        <f ca="1">getCodigoBackend(N93,A93,VLOOKUP(N93,setup!$A$8:$H$58,2),VLOOKUP(N93,setup!$A$8:$H$58,3),VLOOKUP(N93,setup!$A$8:$H$58,4),VLOOKUP(N93,setup!$A$8:$H$58,5),VLOOKUP(N93,setup!$A$8:$H$58,6),VLOOKUP(N93,setup!$A$8:$H$58,7), VLOOKUP(0,setup!$A$8:$H$58,2),VLOOKUP(0,setup!$A$8:$H$58,5),VLOOKUP(N93,setup!$A$8:$H$58,8))</f>
        <v/>
      </c>
    </row>
    <row r="94" spans="1:15" x14ac:dyDescent="0.25">
      <c r="A94" s="6"/>
      <c r="O94" s="7" t="str">
        <f ca="1">getCodigoBackend(N94,A94,VLOOKUP(N94,setup!$A$8:$H$58,2),VLOOKUP(N94,setup!$A$8:$H$58,3),VLOOKUP(N94,setup!$A$8:$H$58,4),VLOOKUP(N94,setup!$A$8:$H$58,5),VLOOKUP(N94,setup!$A$8:$H$58,6),VLOOKUP(N94,setup!$A$8:$H$58,7), VLOOKUP(0,setup!$A$8:$H$58,2),VLOOKUP(0,setup!$A$8:$H$58,5),VLOOKUP(N94,setup!$A$8:$H$58,8))</f>
        <v/>
      </c>
    </row>
    <row r="95" spans="1:15" x14ac:dyDescent="0.25">
      <c r="A95" s="6"/>
      <c r="O95" s="7" t="str">
        <f ca="1">getCodigoBackend(N95,A95,VLOOKUP(N95,setup!$A$8:$H$58,2),VLOOKUP(N95,setup!$A$8:$H$58,3),VLOOKUP(N95,setup!$A$8:$H$58,4),VLOOKUP(N95,setup!$A$8:$H$58,5),VLOOKUP(N95,setup!$A$8:$H$58,6),VLOOKUP(N95,setup!$A$8:$H$58,7), VLOOKUP(0,setup!$A$8:$H$58,2),VLOOKUP(0,setup!$A$8:$H$58,5),VLOOKUP(N95,setup!$A$8:$H$58,8))</f>
        <v/>
      </c>
    </row>
    <row r="96" spans="1:15" x14ac:dyDescent="0.25">
      <c r="A96" s="6"/>
      <c r="O96" s="7" t="str">
        <f ca="1">getCodigoBackend(N96,A96,VLOOKUP(N96,setup!$A$8:$H$58,2),VLOOKUP(N96,setup!$A$8:$H$58,3),VLOOKUP(N96,setup!$A$8:$H$58,4),VLOOKUP(N96,setup!$A$8:$H$58,5),VLOOKUP(N96,setup!$A$8:$H$58,6),VLOOKUP(N96,setup!$A$8:$H$58,7), VLOOKUP(0,setup!$A$8:$H$58,2),VLOOKUP(0,setup!$A$8:$H$58,5),VLOOKUP(N96,setup!$A$8:$H$58,8))</f>
        <v/>
      </c>
    </row>
    <row r="97" spans="1:15" x14ac:dyDescent="0.25">
      <c r="A97" s="6"/>
      <c r="O97" s="7" t="str">
        <f ca="1">getCodigoBackend(N97,A97,VLOOKUP(N97,setup!$A$8:$H$58,2),VLOOKUP(N97,setup!$A$8:$H$58,3),VLOOKUP(N97,setup!$A$8:$H$58,4),VLOOKUP(N97,setup!$A$8:$H$58,5),VLOOKUP(N97,setup!$A$8:$H$58,6),VLOOKUP(N97,setup!$A$8:$H$58,7), VLOOKUP(0,setup!$A$8:$H$58,2),VLOOKUP(0,setup!$A$8:$H$58,5),VLOOKUP(N97,setup!$A$8:$H$58,8))</f>
        <v/>
      </c>
    </row>
    <row r="98" spans="1:15" x14ac:dyDescent="0.25">
      <c r="A98" s="6"/>
      <c r="O98" s="7" t="str">
        <f ca="1">getCodigoBackend(N98,A98,VLOOKUP(N98,setup!$A$8:$H$58,2),VLOOKUP(N98,setup!$A$8:$H$58,3),VLOOKUP(N98,setup!$A$8:$H$58,4),VLOOKUP(N98,setup!$A$8:$H$58,5),VLOOKUP(N98,setup!$A$8:$H$58,6),VLOOKUP(N98,setup!$A$8:$H$58,7), VLOOKUP(0,setup!$A$8:$H$58,2),VLOOKUP(0,setup!$A$8:$H$58,5),VLOOKUP(N98,setup!$A$8:$H$58,8))</f>
        <v/>
      </c>
    </row>
    <row r="99" spans="1:15" x14ac:dyDescent="0.25">
      <c r="A99" s="6"/>
      <c r="O99" s="7" t="str">
        <f ca="1">getCodigoBackend(N99,A99,VLOOKUP(N99,setup!$A$8:$H$58,2),VLOOKUP(N99,setup!$A$8:$H$58,3),VLOOKUP(N99,setup!$A$8:$H$58,4),VLOOKUP(N99,setup!$A$8:$H$58,5),VLOOKUP(N99,setup!$A$8:$H$58,6),VLOOKUP(N99,setup!$A$8:$H$58,7), VLOOKUP(0,setup!$A$8:$H$58,2),VLOOKUP(0,setup!$A$8:$H$58,5),VLOOKUP(N99,setup!$A$8:$H$58,8))</f>
        <v/>
      </c>
    </row>
    <row r="100" spans="1:15" x14ac:dyDescent="0.25">
      <c r="A100" s="6"/>
      <c r="O100" s="7" t="str">
        <f ca="1">getCodigoBackend(N100,A100,VLOOKUP(N100,setup!$A$8:$H$58,2),VLOOKUP(N100,setup!$A$8:$H$58,3),VLOOKUP(N100,setup!$A$8:$H$58,4),VLOOKUP(N100,setup!$A$8:$H$58,5),VLOOKUP(N100,setup!$A$8:$H$58,6),VLOOKUP(N100,setup!$A$8:$H$58,7), VLOOKUP(0,setup!$A$8:$H$58,2),VLOOKUP(0,setup!$A$8:$H$58,5),VLOOKUP(N100,setup!$A$8:$H$58,8))</f>
        <v/>
      </c>
    </row>
    <row r="101" spans="1:15" x14ac:dyDescent="0.25">
      <c r="A101" s="6"/>
      <c r="O101" s="7" t="str">
        <f ca="1">getCodigoBackend(N101,A101,VLOOKUP(N101,setup!$A$8:$H$58,2),VLOOKUP(N101,setup!$A$8:$H$58,3),VLOOKUP(N101,setup!$A$8:$H$58,4),VLOOKUP(N101,setup!$A$8:$H$58,5),VLOOKUP(N101,setup!$A$8:$H$58,6),VLOOKUP(N101,setup!$A$8:$H$58,7), VLOOKUP(0,setup!$A$8:$H$58,2),VLOOKUP(0,setup!$A$8:$H$58,5),VLOOKUP(N101,setup!$A$8:$H$58,8))</f>
        <v/>
      </c>
    </row>
    <row r="102" spans="1:15" x14ac:dyDescent="0.25">
      <c r="A102" s="6"/>
      <c r="O102" s="7" t="str">
        <f ca="1">getCodigoBackend(N102,A102,VLOOKUP(N102,setup!$A$8:$H$58,2),VLOOKUP(N102,setup!$A$8:$H$58,3),VLOOKUP(N102,setup!$A$8:$H$58,4),VLOOKUP(N102,setup!$A$8:$H$58,5),VLOOKUP(N102,setup!$A$8:$H$58,6),VLOOKUP(N102,setup!$A$8:$H$58,7), VLOOKUP(0,setup!$A$8:$H$58,2),VLOOKUP(0,setup!$A$8:$H$58,5),VLOOKUP(N102,setup!$A$8:$H$58,8))</f>
        <v/>
      </c>
    </row>
    <row r="103" spans="1:15" x14ac:dyDescent="0.25">
      <c r="A103" s="6"/>
      <c r="O103" s="7" t="str">
        <f ca="1">getCodigoBackend(N103,A103,VLOOKUP(N103,setup!$A$8:$H$58,2),VLOOKUP(N103,setup!$A$8:$H$58,3),VLOOKUP(N103,setup!$A$8:$H$58,4),VLOOKUP(N103,setup!$A$8:$H$58,5),VLOOKUP(N103,setup!$A$8:$H$58,6),VLOOKUP(N103,setup!$A$8:$H$58,7), VLOOKUP(0,setup!$A$8:$H$58,2),VLOOKUP(0,setup!$A$8:$H$58,5),VLOOKUP(N103,setup!$A$8:$H$58,8))</f>
        <v/>
      </c>
    </row>
    <row r="104" spans="1:15" x14ac:dyDescent="0.25">
      <c r="A104" s="6"/>
      <c r="O104" s="7" t="str">
        <f ca="1">getCodigoBackend(N104,A104,VLOOKUP(N104,setup!$A$8:$H$58,2),VLOOKUP(N104,setup!$A$8:$H$58,3),VLOOKUP(N104,setup!$A$8:$H$58,4),VLOOKUP(N104,setup!$A$8:$H$58,5),VLOOKUP(N104,setup!$A$8:$H$58,6),VLOOKUP(N104,setup!$A$8:$H$58,7), VLOOKUP(0,setup!$A$8:$H$58,2),VLOOKUP(0,setup!$A$8:$H$58,5),VLOOKUP(N104,setup!$A$8:$H$58,8))</f>
        <v/>
      </c>
    </row>
    <row r="105" spans="1:15" x14ac:dyDescent="0.25">
      <c r="A105" s="6"/>
      <c r="O105" s="7" t="str">
        <f ca="1">getCodigoBackend(N105,A105,VLOOKUP(N105,setup!$A$8:$H$58,2),VLOOKUP(N105,setup!$A$8:$H$58,3),VLOOKUP(N105,setup!$A$8:$H$58,4),VLOOKUP(N105,setup!$A$8:$H$58,5),VLOOKUP(N105,setup!$A$8:$H$58,6),VLOOKUP(N105,setup!$A$8:$H$58,7), VLOOKUP(0,setup!$A$8:$H$58,2),VLOOKUP(0,setup!$A$8:$H$58,5),VLOOKUP(N105,setup!$A$8:$H$58,8))</f>
        <v/>
      </c>
    </row>
    <row r="106" spans="1:15" x14ac:dyDescent="0.25">
      <c r="A106" s="6"/>
      <c r="O106" s="7" t="str">
        <f ca="1">getCodigoBackend(N106,A106,VLOOKUP(N106,setup!$A$8:$H$58,2),VLOOKUP(N106,setup!$A$8:$H$58,3),VLOOKUP(N106,setup!$A$8:$H$58,4),VLOOKUP(N106,setup!$A$8:$H$58,5),VLOOKUP(N106,setup!$A$8:$H$58,6),VLOOKUP(N106,setup!$A$8:$H$58,7), VLOOKUP(0,setup!$A$8:$H$58,2),VLOOKUP(0,setup!$A$8:$H$58,5),VLOOKUP(N106,setup!$A$8:$H$58,8))</f>
        <v/>
      </c>
    </row>
    <row r="107" spans="1:15" x14ac:dyDescent="0.25">
      <c r="A107" s="6"/>
      <c r="O107" s="7" t="str">
        <f ca="1">getCodigoBackend(N107,A107,VLOOKUP(N107,setup!$A$8:$H$58,2),VLOOKUP(N107,setup!$A$8:$H$58,3),VLOOKUP(N107,setup!$A$8:$H$58,4),VLOOKUP(N107,setup!$A$8:$H$58,5),VLOOKUP(N107,setup!$A$8:$H$58,6),VLOOKUP(N107,setup!$A$8:$H$58,7), VLOOKUP(0,setup!$A$8:$H$58,2),VLOOKUP(0,setup!$A$8:$H$58,5),VLOOKUP(N107,setup!$A$8:$H$58,8))</f>
        <v/>
      </c>
    </row>
    <row r="108" spans="1:15" x14ac:dyDescent="0.25">
      <c r="A108" s="6"/>
      <c r="O108" s="7" t="str">
        <f ca="1">getCodigoBackend(N108,A108,VLOOKUP(N108,setup!$A$8:$H$58,2),VLOOKUP(N108,setup!$A$8:$H$58,3),VLOOKUP(N108,setup!$A$8:$H$58,4),VLOOKUP(N108,setup!$A$8:$H$58,5),VLOOKUP(N108,setup!$A$8:$H$58,6),VLOOKUP(N108,setup!$A$8:$H$58,7), VLOOKUP(0,setup!$A$8:$H$58,2),VLOOKUP(0,setup!$A$8:$H$58,5),VLOOKUP(N108,setup!$A$8:$H$58,8))</f>
        <v/>
      </c>
    </row>
    <row r="109" spans="1:15" x14ac:dyDescent="0.25">
      <c r="A109" s="6"/>
      <c r="O109" s="7" t="str">
        <f ca="1">getCodigoBackend(N109,A109,VLOOKUP(N109,setup!$A$8:$H$58,2),VLOOKUP(N109,setup!$A$8:$H$58,3),VLOOKUP(N109,setup!$A$8:$H$58,4),VLOOKUP(N109,setup!$A$8:$H$58,5),VLOOKUP(N109,setup!$A$8:$H$58,6),VLOOKUP(N109,setup!$A$8:$H$58,7), VLOOKUP(0,setup!$A$8:$H$58,2),VLOOKUP(0,setup!$A$8:$H$58,5),VLOOKUP(N109,setup!$A$8:$H$58,8))</f>
        <v/>
      </c>
    </row>
    <row r="110" spans="1:15" x14ac:dyDescent="0.25">
      <c r="A110" s="6"/>
      <c r="O110" s="7" t="str">
        <f ca="1">getCodigoBackend(N110,A110,VLOOKUP(N110,setup!$A$8:$H$58,2),VLOOKUP(N110,setup!$A$8:$H$58,3),VLOOKUP(N110,setup!$A$8:$H$58,4),VLOOKUP(N110,setup!$A$8:$H$58,5),VLOOKUP(N110,setup!$A$8:$H$58,6),VLOOKUP(N110,setup!$A$8:$H$58,7), VLOOKUP(0,setup!$A$8:$H$58,2),VLOOKUP(0,setup!$A$8:$H$58,5),VLOOKUP(N110,setup!$A$8:$H$58,8))</f>
        <v/>
      </c>
    </row>
    <row r="111" spans="1:15" x14ac:dyDescent="0.25">
      <c r="A111" s="6"/>
      <c r="O111" s="7" t="str">
        <f ca="1">getCodigoBackend(N111,A111,VLOOKUP(N111,setup!$A$8:$H$58,2),VLOOKUP(N111,setup!$A$8:$H$58,3),VLOOKUP(N111,setup!$A$8:$H$58,4),VLOOKUP(N111,setup!$A$8:$H$58,5),VLOOKUP(N111,setup!$A$8:$H$58,6),VLOOKUP(N111,setup!$A$8:$H$58,7), VLOOKUP(0,setup!$A$8:$H$58,2),VLOOKUP(0,setup!$A$8:$H$58,5),VLOOKUP(N111,setup!$A$8:$H$58,8))</f>
        <v/>
      </c>
    </row>
    <row r="112" spans="1:15" x14ac:dyDescent="0.25">
      <c r="A112" s="6"/>
      <c r="O112" s="7" t="str">
        <f ca="1">getCodigoBackend(N112,A112,VLOOKUP(N112,setup!$A$8:$H$58,2),VLOOKUP(N112,setup!$A$8:$H$58,3),VLOOKUP(N112,setup!$A$8:$H$58,4),VLOOKUP(N112,setup!$A$8:$H$58,5),VLOOKUP(N112,setup!$A$8:$H$58,6),VLOOKUP(N112,setup!$A$8:$H$58,7), VLOOKUP(0,setup!$A$8:$H$58,2),VLOOKUP(0,setup!$A$8:$H$58,5),VLOOKUP(N112,setup!$A$8:$H$58,8))</f>
        <v/>
      </c>
    </row>
    <row r="113" spans="1:15" x14ac:dyDescent="0.25">
      <c r="A113" s="6"/>
      <c r="O113" s="7" t="str">
        <f ca="1">getCodigoBackend(N113,A113,VLOOKUP(N113,setup!$A$8:$H$58,2),VLOOKUP(N113,setup!$A$8:$H$58,3),VLOOKUP(N113,setup!$A$8:$H$58,4),VLOOKUP(N113,setup!$A$8:$H$58,5),VLOOKUP(N113,setup!$A$8:$H$58,6),VLOOKUP(N113,setup!$A$8:$H$58,7), VLOOKUP(0,setup!$A$8:$H$58,2),VLOOKUP(0,setup!$A$8:$H$58,5),VLOOKUP(N113,setup!$A$8:$H$58,8))</f>
        <v/>
      </c>
    </row>
    <row r="114" spans="1:15" x14ac:dyDescent="0.25">
      <c r="A114" s="6"/>
      <c r="O114" s="7" t="str">
        <f ca="1">getCodigoBackend(N114,A114,VLOOKUP(N114,setup!$A$8:$H$58,2),VLOOKUP(N114,setup!$A$8:$H$58,3),VLOOKUP(N114,setup!$A$8:$H$58,4),VLOOKUP(N114,setup!$A$8:$H$58,5),VLOOKUP(N114,setup!$A$8:$H$58,6),VLOOKUP(N114,setup!$A$8:$H$58,7), VLOOKUP(0,setup!$A$8:$H$58,2),VLOOKUP(0,setup!$A$8:$H$58,5),VLOOKUP(N114,setup!$A$8:$H$58,8))</f>
        <v/>
      </c>
    </row>
    <row r="115" spans="1:15" x14ac:dyDescent="0.25">
      <c r="A115" s="6"/>
      <c r="O115" s="7" t="str">
        <f ca="1">getCodigoBackend(N115,A115,VLOOKUP(N115,setup!$A$8:$H$58,2),VLOOKUP(N115,setup!$A$8:$H$58,3),VLOOKUP(N115,setup!$A$8:$H$58,4),VLOOKUP(N115,setup!$A$8:$H$58,5),VLOOKUP(N115,setup!$A$8:$H$58,6),VLOOKUP(N115,setup!$A$8:$H$58,7), VLOOKUP(0,setup!$A$8:$H$58,2),VLOOKUP(0,setup!$A$8:$H$58,5),VLOOKUP(N115,setup!$A$8:$H$58,8))</f>
        <v/>
      </c>
    </row>
    <row r="116" spans="1:15" x14ac:dyDescent="0.25">
      <c r="A116" s="6"/>
      <c r="O116" s="7" t="str">
        <f ca="1">getCodigoBackend(N116,A116,VLOOKUP(N116,setup!$A$8:$H$58,2),VLOOKUP(N116,setup!$A$8:$H$58,3),VLOOKUP(N116,setup!$A$8:$H$58,4),VLOOKUP(N116,setup!$A$8:$H$58,5),VLOOKUP(N116,setup!$A$8:$H$58,6),VLOOKUP(N116,setup!$A$8:$H$58,7), VLOOKUP(0,setup!$A$8:$H$58,2),VLOOKUP(0,setup!$A$8:$H$58,5),VLOOKUP(N116,setup!$A$8:$H$58,8))</f>
        <v/>
      </c>
    </row>
    <row r="117" spans="1:15" x14ac:dyDescent="0.25">
      <c r="A117" s="6"/>
      <c r="O117" s="7" t="str">
        <f ca="1">getCodigoBackend(N117,A117,VLOOKUP(N117,setup!$A$8:$H$58,2),VLOOKUP(N117,setup!$A$8:$H$58,3),VLOOKUP(N117,setup!$A$8:$H$58,4),VLOOKUP(N117,setup!$A$8:$H$58,5),VLOOKUP(N117,setup!$A$8:$H$58,6),VLOOKUP(N117,setup!$A$8:$H$58,7), VLOOKUP(0,setup!$A$8:$H$58,2),VLOOKUP(0,setup!$A$8:$H$58,5),VLOOKUP(N117,setup!$A$8:$H$58,8))</f>
        <v/>
      </c>
    </row>
    <row r="118" spans="1:15" x14ac:dyDescent="0.25">
      <c r="A118" s="6"/>
      <c r="O118" s="7" t="str">
        <f ca="1">getCodigoBackend(N118,A118,VLOOKUP(N118,setup!$A$8:$H$58,2),VLOOKUP(N118,setup!$A$8:$H$58,3),VLOOKUP(N118,setup!$A$8:$H$58,4),VLOOKUP(N118,setup!$A$8:$H$58,5),VLOOKUP(N118,setup!$A$8:$H$58,6),VLOOKUP(N118,setup!$A$8:$H$58,7), VLOOKUP(0,setup!$A$8:$H$58,2),VLOOKUP(0,setup!$A$8:$H$58,5),VLOOKUP(N118,setup!$A$8:$H$58,8))</f>
        <v/>
      </c>
    </row>
    <row r="119" spans="1:15" x14ac:dyDescent="0.25">
      <c r="A119" s="6"/>
      <c r="O119" s="7" t="str">
        <f ca="1">getCodigoBackend(N119,A119,VLOOKUP(N119,setup!$A$8:$H$58,2),VLOOKUP(N119,setup!$A$8:$H$58,3),VLOOKUP(N119,setup!$A$8:$H$58,4),VLOOKUP(N119,setup!$A$8:$H$58,5),VLOOKUP(N119,setup!$A$8:$H$58,6),VLOOKUP(N119,setup!$A$8:$H$58,7), VLOOKUP(0,setup!$A$8:$H$58,2),VLOOKUP(0,setup!$A$8:$H$58,5),VLOOKUP(N119,setup!$A$8:$H$58,8))</f>
        <v/>
      </c>
    </row>
    <row r="120" spans="1:15" x14ac:dyDescent="0.25">
      <c r="A120" s="6"/>
      <c r="O120" s="7" t="str">
        <f ca="1">getCodigoBackend(N120,A120,VLOOKUP(N120,setup!$A$8:$H$58,2),VLOOKUP(N120,setup!$A$8:$H$58,3),VLOOKUP(N120,setup!$A$8:$H$58,4),VLOOKUP(N120,setup!$A$8:$H$58,5),VLOOKUP(N120,setup!$A$8:$H$58,6),VLOOKUP(N120,setup!$A$8:$H$58,7), VLOOKUP(0,setup!$A$8:$H$58,2),VLOOKUP(0,setup!$A$8:$H$58,5),VLOOKUP(N120,setup!$A$8:$H$58,8))</f>
        <v/>
      </c>
    </row>
    <row r="121" spans="1:15" x14ac:dyDescent="0.25">
      <c r="A121" s="6"/>
      <c r="O121" s="7" t="str">
        <f ca="1">getCodigoBackend(N121,A121,VLOOKUP(N121,setup!$A$8:$H$58,2),VLOOKUP(N121,setup!$A$8:$H$58,3),VLOOKUP(N121,setup!$A$8:$H$58,4),VLOOKUP(N121,setup!$A$8:$H$58,5),VLOOKUP(N121,setup!$A$8:$H$58,6),VLOOKUP(N121,setup!$A$8:$H$58,7), VLOOKUP(0,setup!$A$8:$H$58,2),VLOOKUP(0,setup!$A$8:$H$58,5),VLOOKUP(N121,setup!$A$8:$H$58,8))</f>
        <v/>
      </c>
    </row>
    <row r="122" spans="1:15" x14ac:dyDescent="0.25">
      <c r="A122" s="6"/>
      <c r="O122" s="7" t="str">
        <f ca="1">getCodigoBackend(N122,A122,VLOOKUP(N122,setup!$A$8:$H$58,2),VLOOKUP(N122,setup!$A$8:$H$58,3),VLOOKUP(N122,setup!$A$8:$H$58,4),VLOOKUP(N122,setup!$A$8:$H$58,5),VLOOKUP(N122,setup!$A$8:$H$58,6),VLOOKUP(N122,setup!$A$8:$H$58,7), VLOOKUP(0,setup!$A$8:$H$58,2),VLOOKUP(0,setup!$A$8:$H$58,5),VLOOKUP(N122,setup!$A$8:$H$58,8))</f>
        <v/>
      </c>
    </row>
    <row r="123" spans="1:15" x14ac:dyDescent="0.25">
      <c r="A123" s="6"/>
      <c r="O123" s="7" t="str">
        <f ca="1">getCodigoBackend(N123,A123,VLOOKUP(N123,setup!$A$8:$H$58,2),VLOOKUP(N123,setup!$A$8:$H$58,3),VLOOKUP(N123,setup!$A$8:$H$58,4),VLOOKUP(N123,setup!$A$8:$H$58,5),VLOOKUP(N123,setup!$A$8:$H$58,6),VLOOKUP(N123,setup!$A$8:$H$58,7), VLOOKUP(0,setup!$A$8:$H$58,2),VLOOKUP(0,setup!$A$8:$H$58,5),VLOOKUP(N123,setup!$A$8:$H$58,8))</f>
        <v/>
      </c>
    </row>
    <row r="124" spans="1:15" x14ac:dyDescent="0.25">
      <c r="A124" s="6"/>
      <c r="O124" s="7" t="str">
        <f ca="1">getCodigoBackend(N124,A124,VLOOKUP(N124,setup!$A$8:$H$58,2),VLOOKUP(N124,setup!$A$8:$H$58,3),VLOOKUP(N124,setup!$A$8:$H$58,4),VLOOKUP(N124,setup!$A$8:$H$58,5),VLOOKUP(N124,setup!$A$8:$H$58,6),VLOOKUP(N124,setup!$A$8:$H$58,7), VLOOKUP(0,setup!$A$8:$H$58,2),VLOOKUP(0,setup!$A$8:$H$58,5),VLOOKUP(N124,setup!$A$8:$H$58,8))</f>
        <v/>
      </c>
    </row>
    <row r="125" spans="1:15" x14ac:dyDescent="0.25">
      <c r="A125" s="12"/>
      <c r="O125" s="7" t="str">
        <f ca="1">getCodigoBackend(N125,A125,VLOOKUP(N125,setup!$A$8:$H$58,2),VLOOKUP(N125,setup!$A$8:$H$58,3),VLOOKUP(N125,setup!$A$8:$H$58,4),VLOOKUP(N125,setup!$A$8:$H$58,5),VLOOKUP(N125,setup!$A$8:$H$58,6),VLOOKUP(N125,setup!$A$8:$H$58,7), VLOOKUP(0,setup!$A$8:$H$58,2),VLOOKUP(0,setup!$A$8:$H$58,5),VLOOKUP(N125,setup!$A$8:$H$58,8))</f>
        <v/>
      </c>
    </row>
    <row r="126" spans="1:15" x14ac:dyDescent="0.25">
      <c r="A126" s="6"/>
      <c r="O126" s="7" t="str">
        <f ca="1">getCodigoBackend(N126,A126,VLOOKUP(N126,setup!$A$8:$H$58,2),VLOOKUP(N126,setup!$A$8:$H$58,3),VLOOKUP(N126,setup!$A$8:$H$58,4),VLOOKUP(N126,setup!$A$8:$H$58,5),VLOOKUP(N126,setup!$A$8:$H$58,6),VLOOKUP(N126,setup!$A$8:$H$58,7), VLOOKUP(0,setup!$A$8:$H$58,2),VLOOKUP(0,setup!$A$8:$H$58,5),VLOOKUP(N126,setup!$A$8:$H$58,8))</f>
        <v/>
      </c>
    </row>
    <row r="127" spans="1:15" x14ac:dyDescent="0.25">
      <c r="A127" s="6"/>
      <c r="O127" s="7" t="str">
        <f ca="1">getCodigoBackend(N127,A127,VLOOKUP(N127,setup!$A$8:$H$58,2),VLOOKUP(N127,setup!$A$8:$H$58,3),VLOOKUP(N127,setup!$A$8:$H$58,4),VLOOKUP(N127,setup!$A$8:$H$58,5),VLOOKUP(N127,setup!$A$8:$H$58,6),VLOOKUP(N127,setup!$A$8:$H$58,7), VLOOKUP(0,setup!$A$8:$H$58,2),VLOOKUP(0,setup!$A$8:$H$58,5),VLOOKUP(N127,setup!$A$8:$H$58,8))</f>
        <v/>
      </c>
    </row>
    <row r="128" spans="1:15" x14ac:dyDescent="0.25">
      <c r="A128" s="6"/>
      <c r="O128" s="7" t="str">
        <f ca="1">getCodigoBackend(N128,A128,VLOOKUP(N128,setup!$A$8:$H$58,2),VLOOKUP(N128,setup!$A$8:$H$58,3),VLOOKUP(N128,setup!$A$8:$H$58,4),VLOOKUP(N128,setup!$A$8:$H$58,5),VLOOKUP(N128,setup!$A$8:$H$58,6),VLOOKUP(N128,setup!$A$8:$H$58,7), VLOOKUP(0,setup!$A$8:$H$58,2),VLOOKUP(0,setup!$A$8:$H$58,5),VLOOKUP(N128,setup!$A$8:$H$58,8))</f>
        <v/>
      </c>
    </row>
    <row r="129" spans="1:15" x14ac:dyDescent="0.25">
      <c r="A129" s="6"/>
      <c r="O129" s="7" t="str">
        <f ca="1">getCodigoBackend(N129,A129,VLOOKUP(N129,setup!$A$8:$H$58,2),VLOOKUP(N129,setup!$A$8:$H$58,3),VLOOKUP(N129,setup!$A$8:$H$58,4),VLOOKUP(N129,setup!$A$8:$H$58,5),VLOOKUP(N129,setup!$A$8:$H$58,6),VLOOKUP(N129,setup!$A$8:$H$58,7), VLOOKUP(0,setup!$A$8:$H$58,2),VLOOKUP(0,setup!$A$8:$H$58,5),VLOOKUP(N129,setup!$A$8:$H$58,8))</f>
        <v/>
      </c>
    </row>
    <row r="130" spans="1:15" x14ac:dyDescent="0.25">
      <c r="A130" s="6"/>
      <c r="O130" s="7" t="str">
        <f ca="1">getCodigoBackend(N130,A130,VLOOKUP(N130,setup!$A$8:$H$58,2),VLOOKUP(N130,setup!$A$8:$H$58,3),VLOOKUP(N130,setup!$A$8:$H$58,4),VLOOKUP(N130,setup!$A$8:$H$58,5),VLOOKUP(N130,setup!$A$8:$H$58,6),VLOOKUP(N130,setup!$A$8:$H$58,7), VLOOKUP(0,setup!$A$8:$H$58,2),VLOOKUP(0,setup!$A$8:$H$58,5),VLOOKUP(N130,setup!$A$8:$H$58,8))</f>
        <v/>
      </c>
    </row>
    <row r="131" spans="1:15" x14ac:dyDescent="0.25">
      <c r="A131" s="6"/>
      <c r="O131" s="7" t="str">
        <f ca="1">getCodigoBackend(N131,A131,VLOOKUP(N131,setup!$A$8:$H$58,2),VLOOKUP(N131,setup!$A$8:$H$58,3),VLOOKUP(N131,setup!$A$8:$H$58,4),VLOOKUP(N131,setup!$A$8:$H$58,5),VLOOKUP(N131,setup!$A$8:$H$58,6),VLOOKUP(N131,setup!$A$8:$H$58,7), VLOOKUP(0,setup!$A$8:$H$58,2),VLOOKUP(0,setup!$A$8:$H$58,5),VLOOKUP(N131,setup!$A$8:$H$58,8))</f>
        <v/>
      </c>
    </row>
    <row r="132" spans="1:15" x14ac:dyDescent="0.25">
      <c r="A132" s="6"/>
      <c r="O132" s="7" t="str">
        <f ca="1">getCodigoBackend(N132,A132,VLOOKUP(N132,setup!$A$8:$H$58,2),VLOOKUP(N132,setup!$A$8:$H$58,3),VLOOKUP(N132,setup!$A$8:$H$58,4),VLOOKUP(N132,setup!$A$8:$H$58,5),VLOOKUP(N132,setup!$A$8:$H$58,6),VLOOKUP(N132,setup!$A$8:$H$58,7), VLOOKUP(0,setup!$A$8:$H$58,2),VLOOKUP(0,setup!$A$8:$H$58,5),VLOOKUP(N132,setup!$A$8:$H$58,8))</f>
        <v/>
      </c>
    </row>
    <row r="133" spans="1:15" x14ac:dyDescent="0.25">
      <c r="A133" s="6"/>
      <c r="O133" s="7" t="str">
        <f ca="1">getCodigoBackend(N133,A133,VLOOKUP(N133,setup!$A$8:$H$58,2),VLOOKUP(N133,setup!$A$8:$H$58,3),VLOOKUP(N133,setup!$A$8:$H$58,4),VLOOKUP(N133,setup!$A$8:$H$58,5),VLOOKUP(N133,setup!$A$8:$H$58,6),VLOOKUP(N133,setup!$A$8:$H$58,7), VLOOKUP(0,setup!$A$8:$H$58,2),VLOOKUP(0,setup!$A$8:$H$58,5),VLOOKUP(N133,setup!$A$8:$H$58,8))</f>
        <v/>
      </c>
    </row>
    <row r="134" spans="1:15" x14ac:dyDescent="0.25">
      <c r="A134" s="6"/>
      <c r="O134" s="7" t="str">
        <f ca="1">getCodigoBackend(N134,A134,VLOOKUP(N134,setup!$A$8:$H$58,2),VLOOKUP(N134,setup!$A$8:$H$58,3),VLOOKUP(N134,setup!$A$8:$H$58,4),VLOOKUP(N134,setup!$A$8:$H$58,5),VLOOKUP(N134,setup!$A$8:$H$58,6),VLOOKUP(N134,setup!$A$8:$H$58,7), VLOOKUP(0,setup!$A$8:$H$58,2),VLOOKUP(0,setup!$A$8:$H$58,5),VLOOKUP(N134,setup!$A$8:$H$58,8))</f>
        <v/>
      </c>
    </row>
    <row r="135" spans="1:15" x14ac:dyDescent="0.25">
      <c r="A135" s="6"/>
      <c r="O135" s="7" t="str">
        <f ca="1">getCodigoBackend(N135,A135,VLOOKUP(N135,setup!$A$8:$H$58,2),VLOOKUP(N135,setup!$A$8:$H$58,3),VLOOKUP(N135,setup!$A$8:$H$58,4),VLOOKUP(N135,setup!$A$8:$H$58,5),VLOOKUP(N135,setup!$A$8:$H$58,6),VLOOKUP(N135,setup!$A$8:$H$58,7), VLOOKUP(0,setup!$A$8:$H$58,2),VLOOKUP(0,setup!$A$8:$H$58,5),VLOOKUP(N135,setup!$A$8:$H$58,8))</f>
        <v/>
      </c>
    </row>
    <row r="136" spans="1:15" x14ac:dyDescent="0.25">
      <c r="A136" s="6"/>
      <c r="O136" s="7" t="str">
        <f ca="1">getCodigoBackend(N136,A136,VLOOKUP(N136,setup!$A$8:$H$58,2),VLOOKUP(N136,setup!$A$8:$H$58,3),VLOOKUP(N136,setup!$A$8:$H$58,4),VLOOKUP(N136,setup!$A$8:$H$58,5),VLOOKUP(N136,setup!$A$8:$H$58,6),VLOOKUP(N136,setup!$A$8:$H$58,7), VLOOKUP(0,setup!$A$8:$H$58,2),VLOOKUP(0,setup!$A$8:$H$58,5),VLOOKUP(N136,setup!$A$8:$H$58,8))</f>
        <v/>
      </c>
    </row>
    <row r="137" spans="1:15" x14ac:dyDescent="0.25">
      <c r="A137" s="6"/>
      <c r="O137" s="7" t="str">
        <f ca="1">getCodigoBackend(N137,A137,VLOOKUP(N137,setup!$A$8:$H$58,2),VLOOKUP(N137,setup!$A$8:$H$58,3),VLOOKUP(N137,setup!$A$8:$H$58,4),VLOOKUP(N137,setup!$A$8:$H$58,5),VLOOKUP(N137,setup!$A$8:$H$58,6),VLOOKUP(N137,setup!$A$8:$H$58,7), VLOOKUP(0,setup!$A$8:$H$58,2),VLOOKUP(0,setup!$A$8:$H$58,5),VLOOKUP(N137,setup!$A$8:$H$58,8))</f>
        <v/>
      </c>
    </row>
    <row r="138" spans="1:15" x14ac:dyDescent="0.25">
      <c r="A138" s="6"/>
      <c r="O138" s="7" t="str">
        <f ca="1">getCodigoBackend(N138,A138,VLOOKUP(N138,setup!$A$8:$H$58,2),VLOOKUP(N138,setup!$A$8:$H$58,3),VLOOKUP(N138,setup!$A$8:$H$58,4),VLOOKUP(N138,setup!$A$8:$H$58,5),VLOOKUP(N138,setup!$A$8:$H$58,6),VLOOKUP(N138,setup!$A$8:$H$58,7), VLOOKUP(0,setup!$A$8:$H$58,2),VLOOKUP(0,setup!$A$8:$H$58,5),VLOOKUP(N138,setup!$A$8:$H$58,8))</f>
        <v/>
      </c>
    </row>
    <row r="139" spans="1:15" x14ac:dyDescent="0.25">
      <c r="A139" s="6"/>
      <c r="O139" s="7" t="str">
        <f ca="1">getCodigoBackend(N139,A139,VLOOKUP(N139,setup!$A$8:$H$58,2),VLOOKUP(N139,setup!$A$8:$H$58,3),VLOOKUP(N139,setup!$A$8:$H$58,4),VLOOKUP(N139,setup!$A$8:$H$58,5),VLOOKUP(N139,setup!$A$8:$H$58,6),VLOOKUP(N139,setup!$A$8:$H$58,7), VLOOKUP(0,setup!$A$8:$H$58,2),VLOOKUP(0,setup!$A$8:$H$58,5),VLOOKUP(N139,setup!$A$8:$H$58,8))</f>
        <v/>
      </c>
    </row>
    <row r="140" spans="1:15" x14ac:dyDescent="0.25">
      <c r="A140" s="6"/>
      <c r="O140" s="7" t="str">
        <f ca="1">getCodigoBackend(N140,A140,VLOOKUP(N140,setup!$A$8:$H$58,2),VLOOKUP(N140,setup!$A$8:$H$58,3),VLOOKUP(N140,setup!$A$8:$H$58,4),VLOOKUP(N140,setup!$A$8:$H$58,5),VLOOKUP(N140,setup!$A$8:$H$58,6),VLOOKUP(N140,setup!$A$8:$H$58,7), VLOOKUP(0,setup!$A$8:$H$58,2),VLOOKUP(0,setup!$A$8:$H$58,5),VLOOKUP(N140,setup!$A$8:$H$58,8))</f>
        <v/>
      </c>
    </row>
    <row r="141" spans="1:15" x14ac:dyDescent="0.25">
      <c r="A141" s="6"/>
      <c r="O141" s="7" t="str">
        <f ca="1">getCodigoBackend(N141,A141,VLOOKUP(N141,setup!$A$8:$H$58,2),VLOOKUP(N141,setup!$A$8:$H$58,3),VLOOKUP(N141,setup!$A$8:$H$58,4),VLOOKUP(N141,setup!$A$8:$H$58,5),VLOOKUP(N141,setup!$A$8:$H$58,6),VLOOKUP(N141,setup!$A$8:$H$58,7), VLOOKUP(0,setup!$A$8:$H$58,2),VLOOKUP(0,setup!$A$8:$H$58,5),VLOOKUP(N141,setup!$A$8:$H$58,8))</f>
        <v/>
      </c>
    </row>
    <row r="142" spans="1:15" x14ac:dyDescent="0.25">
      <c r="A142" s="6"/>
      <c r="O142" s="7" t="str">
        <f ca="1">getCodigoBackend(N142,A142,VLOOKUP(N142,setup!$A$8:$H$58,2),VLOOKUP(N142,setup!$A$8:$H$58,3),VLOOKUP(N142,setup!$A$8:$H$58,4),VLOOKUP(N142,setup!$A$8:$H$58,5),VLOOKUP(N142,setup!$A$8:$H$58,6),VLOOKUP(N142,setup!$A$8:$H$58,7), VLOOKUP(0,setup!$A$8:$H$58,2),VLOOKUP(0,setup!$A$8:$H$58,5),VLOOKUP(N142,setup!$A$8:$H$58,8))</f>
        <v/>
      </c>
    </row>
    <row r="143" spans="1:15" x14ac:dyDescent="0.25">
      <c r="A143" s="6"/>
      <c r="O143" s="7" t="str">
        <f ca="1">getCodigoBackend(N143,A143,VLOOKUP(N143,setup!$A$8:$H$58,2),VLOOKUP(N143,setup!$A$8:$H$58,3),VLOOKUP(N143,setup!$A$8:$H$58,4),VLOOKUP(N143,setup!$A$8:$H$58,5),VLOOKUP(N143,setup!$A$8:$H$58,6),VLOOKUP(N143,setup!$A$8:$H$58,7), VLOOKUP(0,setup!$A$8:$H$58,2),VLOOKUP(0,setup!$A$8:$H$58,5),VLOOKUP(N143,setup!$A$8:$H$58,8))</f>
        <v/>
      </c>
    </row>
    <row r="144" spans="1:15" x14ac:dyDescent="0.25">
      <c r="A144" s="6"/>
      <c r="O144" s="7" t="str">
        <f ca="1">getCodigoBackend(N144,A144,VLOOKUP(N144,setup!$A$8:$H$58,2),VLOOKUP(N144,setup!$A$8:$H$58,3),VLOOKUP(N144,setup!$A$8:$H$58,4),VLOOKUP(N144,setup!$A$8:$H$58,5),VLOOKUP(N144,setup!$A$8:$H$58,6),VLOOKUP(N144,setup!$A$8:$H$58,7), VLOOKUP(0,setup!$A$8:$H$58,2),VLOOKUP(0,setup!$A$8:$H$58,5),VLOOKUP(N144,setup!$A$8:$H$58,8))</f>
        <v/>
      </c>
    </row>
    <row r="145" spans="1:15" x14ac:dyDescent="0.25">
      <c r="A145" s="6"/>
      <c r="O145" s="7" t="str">
        <f ca="1">getCodigoBackend(N145,A145,VLOOKUP(N145,setup!$A$8:$H$58,2),VLOOKUP(N145,setup!$A$8:$H$58,3),VLOOKUP(N145,setup!$A$8:$H$58,4),VLOOKUP(N145,setup!$A$8:$H$58,5),VLOOKUP(N145,setup!$A$8:$H$58,6),VLOOKUP(N145,setup!$A$8:$H$58,7), VLOOKUP(0,setup!$A$8:$H$58,2),VLOOKUP(0,setup!$A$8:$H$58,5),VLOOKUP(N145,setup!$A$8:$H$58,8))</f>
        <v/>
      </c>
    </row>
    <row r="146" spans="1:15" x14ac:dyDescent="0.25">
      <c r="A146" s="6"/>
      <c r="O146" s="7" t="str">
        <f ca="1">getCodigoBackend(N146,A146,VLOOKUP(N146,setup!$A$8:$H$58,2),VLOOKUP(N146,setup!$A$8:$H$58,3),VLOOKUP(N146,setup!$A$8:$H$58,4),VLOOKUP(N146,setup!$A$8:$H$58,5),VLOOKUP(N146,setup!$A$8:$H$58,6),VLOOKUP(N146,setup!$A$8:$H$58,7), VLOOKUP(0,setup!$A$8:$H$58,2),VLOOKUP(0,setup!$A$8:$H$58,5),VLOOKUP(N146,setup!$A$8:$H$58,8))</f>
        <v/>
      </c>
    </row>
    <row r="147" spans="1:15" x14ac:dyDescent="0.25">
      <c r="A147" s="6"/>
      <c r="O147" s="7" t="str">
        <f ca="1">getCodigoBackend(N147,A147,VLOOKUP(N147,setup!$A$8:$H$58,2),VLOOKUP(N147,setup!$A$8:$H$58,3),VLOOKUP(N147,setup!$A$8:$H$58,4),VLOOKUP(N147,setup!$A$8:$H$58,5),VLOOKUP(N147,setup!$A$8:$H$58,6),VLOOKUP(N147,setup!$A$8:$H$58,7), VLOOKUP(0,setup!$A$8:$H$58,2),VLOOKUP(0,setup!$A$8:$H$58,5),VLOOKUP(N147,setup!$A$8:$H$58,8))</f>
        <v/>
      </c>
    </row>
    <row r="148" spans="1:15" x14ac:dyDescent="0.25">
      <c r="A148" s="6"/>
      <c r="O148" s="7" t="str">
        <f ca="1">getCodigoBackend(N148,A148,VLOOKUP(N148,setup!$A$8:$H$58,2),VLOOKUP(N148,setup!$A$8:$H$58,3),VLOOKUP(N148,setup!$A$8:$H$58,4),VLOOKUP(N148,setup!$A$8:$H$58,5),VLOOKUP(N148,setup!$A$8:$H$58,6),VLOOKUP(N148,setup!$A$8:$H$58,7), VLOOKUP(0,setup!$A$8:$H$58,2),VLOOKUP(0,setup!$A$8:$H$58,5),VLOOKUP(N148,setup!$A$8:$H$58,8))</f>
        <v/>
      </c>
    </row>
    <row r="149" spans="1:15" x14ac:dyDescent="0.25">
      <c r="A149" s="6"/>
      <c r="O149" s="7" t="str">
        <f ca="1">getCodigoBackend(N149,A149,VLOOKUP(N149,setup!$A$8:$H$58,2),VLOOKUP(N149,setup!$A$8:$H$58,3),VLOOKUP(N149,setup!$A$8:$H$58,4),VLOOKUP(N149,setup!$A$8:$H$58,5),VLOOKUP(N149,setup!$A$8:$H$58,6),VLOOKUP(N149,setup!$A$8:$H$58,7), VLOOKUP(0,setup!$A$8:$H$58,2),VLOOKUP(0,setup!$A$8:$H$58,5),VLOOKUP(N149,setup!$A$8:$H$58,8))</f>
        <v/>
      </c>
    </row>
    <row r="150" spans="1:15" x14ac:dyDescent="0.25">
      <c r="A150" s="6"/>
      <c r="O150" s="7" t="str">
        <f ca="1">getCodigoBackend(N150,A150,VLOOKUP(N150,setup!$A$8:$H$58,2),VLOOKUP(N150,setup!$A$8:$H$58,3),VLOOKUP(N150,setup!$A$8:$H$58,4),VLOOKUP(N150,setup!$A$8:$H$58,5),VLOOKUP(N150,setup!$A$8:$H$58,6),VLOOKUP(N150,setup!$A$8:$H$58,7), VLOOKUP(0,setup!$A$8:$H$58,2),VLOOKUP(0,setup!$A$8:$H$58,5),VLOOKUP(N150,setup!$A$8:$H$58,8))</f>
        <v/>
      </c>
    </row>
    <row r="151" spans="1:15" x14ac:dyDescent="0.25">
      <c r="A151" s="6"/>
      <c r="O151" s="7" t="str">
        <f ca="1">getCodigoBackend(N151,A151,VLOOKUP(N151,setup!$A$8:$H$58,2),VLOOKUP(N151,setup!$A$8:$H$58,3),VLOOKUP(N151,setup!$A$8:$H$58,4),VLOOKUP(N151,setup!$A$8:$H$58,5),VLOOKUP(N151,setup!$A$8:$H$58,6),VLOOKUP(N151,setup!$A$8:$H$58,7), VLOOKUP(0,setup!$A$8:$H$58,2),VLOOKUP(0,setup!$A$8:$H$58,5),VLOOKUP(N151,setup!$A$8:$H$58,8))</f>
        <v/>
      </c>
    </row>
    <row r="152" spans="1:15" x14ac:dyDescent="0.25">
      <c r="A152" s="6"/>
      <c r="O152" s="7" t="str">
        <f ca="1">getCodigoBackend(N152,A152,VLOOKUP(N152,setup!$A$8:$H$58,2),VLOOKUP(N152,setup!$A$8:$H$58,3),VLOOKUP(N152,setup!$A$8:$H$58,4),VLOOKUP(N152,setup!$A$8:$H$58,5),VLOOKUP(N152,setup!$A$8:$H$58,6),VLOOKUP(N152,setup!$A$8:$H$58,7), VLOOKUP(0,setup!$A$8:$H$58,2),VLOOKUP(0,setup!$A$8:$H$58,5),VLOOKUP(N152,setup!$A$8:$H$58,8))</f>
        <v/>
      </c>
    </row>
    <row r="153" spans="1:15" x14ac:dyDescent="0.25">
      <c r="A153" s="6"/>
      <c r="O153" s="7" t="str">
        <f ca="1">getCodigoBackend(N153,A153,VLOOKUP(N153,setup!$A$8:$H$58,2),VLOOKUP(N153,setup!$A$8:$H$58,3),VLOOKUP(N153,setup!$A$8:$H$58,4),VLOOKUP(N153,setup!$A$8:$H$58,5),VLOOKUP(N153,setup!$A$8:$H$58,6),VLOOKUP(N153,setup!$A$8:$H$58,7), VLOOKUP(0,setup!$A$8:$H$58,2),VLOOKUP(0,setup!$A$8:$H$58,5),VLOOKUP(N153,setup!$A$8:$H$58,8))</f>
        <v/>
      </c>
    </row>
    <row r="154" spans="1:15" x14ac:dyDescent="0.25">
      <c r="A154" s="6"/>
      <c r="O154" s="7" t="str">
        <f ca="1">getCodigoBackend(N154,A154,VLOOKUP(N154,setup!$A$8:$H$58,2),VLOOKUP(N154,setup!$A$8:$H$58,3),VLOOKUP(N154,setup!$A$8:$H$58,4),VLOOKUP(N154,setup!$A$8:$H$58,5),VLOOKUP(N154,setup!$A$8:$H$58,6),VLOOKUP(N154,setup!$A$8:$H$58,7), VLOOKUP(0,setup!$A$8:$H$58,2),VLOOKUP(0,setup!$A$8:$H$58,5),VLOOKUP(N154,setup!$A$8:$H$58,8))</f>
        <v/>
      </c>
    </row>
    <row r="155" spans="1:15" x14ac:dyDescent="0.25">
      <c r="A155" s="6"/>
      <c r="O155" s="7" t="str">
        <f ca="1">getCodigoBackend(N155,A155,VLOOKUP(N155,setup!$A$8:$H$58,2),VLOOKUP(N155,setup!$A$8:$H$58,3),VLOOKUP(N155,setup!$A$8:$H$58,4),VLOOKUP(N155,setup!$A$8:$H$58,5),VLOOKUP(N155,setup!$A$8:$H$58,6),VLOOKUP(N155,setup!$A$8:$H$58,7), VLOOKUP(0,setup!$A$8:$H$58,2),VLOOKUP(0,setup!$A$8:$H$58,5),VLOOKUP(N155,setup!$A$8:$H$58,8))</f>
        <v/>
      </c>
    </row>
    <row r="156" spans="1:15" x14ac:dyDescent="0.25">
      <c r="A156" s="6"/>
      <c r="O156" s="7" t="str">
        <f ca="1">getCodigoBackend(N156,A156,VLOOKUP(N156,setup!$A$8:$H$58,2),VLOOKUP(N156,setup!$A$8:$H$58,3),VLOOKUP(N156,setup!$A$8:$H$58,4),VLOOKUP(N156,setup!$A$8:$H$58,5),VLOOKUP(N156,setup!$A$8:$H$58,6),VLOOKUP(N156,setup!$A$8:$H$58,7), VLOOKUP(0,setup!$A$8:$H$58,2),VLOOKUP(0,setup!$A$8:$H$58,5),VLOOKUP(N156,setup!$A$8:$H$58,8))</f>
        <v/>
      </c>
    </row>
    <row r="157" spans="1:15" x14ac:dyDescent="0.25">
      <c r="A157" s="6"/>
      <c r="O157" s="7" t="str">
        <f ca="1">getCodigoBackend(N157,A157,VLOOKUP(N157,setup!$A$8:$H$58,2),VLOOKUP(N157,setup!$A$8:$H$58,3),VLOOKUP(N157,setup!$A$8:$H$58,4),VLOOKUP(N157,setup!$A$8:$H$58,5),VLOOKUP(N157,setup!$A$8:$H$58,6),VLOOKUP(N157,setup!$A$8:$H$58,7), VLOOKUP(0,setup!$A$8:$H$58,2),VLOOKUP(0,setup!$A$8:$H$58,5),VLOOKUP(N157,setup!$A$8:$H$58,8))</f>
        <v/>
      </c>
    </row>
    <row r="158" spans="1:15" x14ac:dyDescent="0.25">
      <c r="A158" s="6"/>
      <c r="O158" s="7" t="str">
        <f ca="1">getCodigoBackend(N158,A158,VLOOKUP(N158,setup!$A$8:$H$58,2),VLOOKUP(N158,setup!$A$8:$H$58,3),VLOOKUP(N158,setup!$A$8:$H$58,4),VLOOKUP(N158,setup!$A$8:$H$58,5),VLOOKUP(N158,setup!$A$8:$H$58,6),VLOOKUP(N158,setup!$A$8:$H$58,7), VLOOKUP(0,setup!$A$8:$H$58,2),VLOOKUP(0,setup!$A$8:$H$58,5),VLOOKUP(N158,setup!$A$8:$H$58,8))</f>
        <v/>
      </c>
    </row>
    <row r="159" spans="1:15" x14ac:dyDescent="0.25">
      <c r="A159" s="6"/>
      <c r="O159" s="7" t="str">
        <f ca="1">getCodigoBackend(N159,A159,VLOOKUP(N159,setup!$A$8:$H$58,2),VLOOKUP(N159,setup!$A$8:$H$58,3),VLOOKUP(N159,setup!$A$8:$H$58,4),VLOOKUP(N159,setup!$A$8:$H$58,5),VLOOKUP(N159,setup!$A$8:$H$58,6),VLOOKUP(N159,setup!$A$8:$H$58,7), VLOOKUP(0,setup!$A$8:$H$58,2),VLOOKUP(0,setup!$A$8:$H$58,5),VLOOKUP(N159,setup!$A$8:$H$58,8))</f>
        <v/>
      </c>
    </row>
    <row r="160" spans="1:15" x14ac:dyDescent="0.25">
      <c r="A160" s="6"/>
      <c r="O160" s="7" t="str">
        <f ca="1">getCodigoBackend(N160,A160,VLOOKUP(N160,setup!$A$8:$H$58,2),VLOOKUP(N160,setup!$A$8:$H$58,3),VLOOKUP(N160,setup!$A$8:$H$58,4),VLOOKUP(N160,setup!$A$8:$H$58,5),VLOOKUP(N160,setup!$A$8:$H$58,6),VLOOKUP(N160,setup!$A$8:$H$58,7), VLOOKUP(0,setup!$A$8:$H$58,2),VLOOKUP(0,setup!$A$8:$H$58,5),VLOOKUP(N160,setup!$A$8:$H$58,8))</f>
        <v/>
      </c>
    </row>
    <row r="161" spans="1:15" x14ac:dyDescent="0.25">
      <c r="A161" s="6"/>
      <c r="O161" s="7" t="str">
        <f ca="1">getCodigoBackend(N161,A161,VLOOKUP(N161,setup!$A$8:$H$58,2),VLOOKUP(N161,setup!$A$8:$H$58,3),VLOOKUP(N161,setup!$A$8:$H$58,4),VLOOKUP(N161,setup!$A$8:$H$58,5),VLOOKUP(N161,setup!$A$8:$H$58,6),VLOOKUP(N161,setup!$A$8:$H$58,7), VLOOKUP(0,setup!$A$8:$H$58,2),VLOOKUP(0,setup!$A$8:$H$58,5),VLOOKUP(N161,setup!$A$8:$H$58,8))</f>
        <v/>
      </c>
    </row>
    <row r="162" spans="1:15" x14ac:dyDescent="0.25">
      <c r="A162" s="6"/>
      <c r="O162" s="7" t="str">
        <f ca="1">getCodigoBackend(N162,A162,VLOOKUP(N162,setup!$A$8:$H$58,2),VLOOKUP(N162,setup!$A$8:$H$58,3),VLOOKUP(N162,setup!$A$8:$H$58,4),VLOOKUP(N162,setup!$A$8:$H$58,5),VLOOKUP(N162,setup!$A$8:$H$58,6),VLOOKUP(N162,setup!$A$8:$H$58,7), VLOOKUP(0,setup!$A$8:$H$58,2),VLOOKUP(0,setup!$A$8:$H$58,5),VLOOKUP(N162,setup!$A$8:$H$58,8))</f>
        <v/>
      </c>
    </row>
    <row r="163" spans="1:15" x14ac:dyDescent="0.25">
      <c r="A163" s="6"/>
      <c r="O163" s="7" t="str">
        <f ca="1">getCodigoBackend(N163,A163,VLOOKUP(N163,setup!$A$8:$H$58,2),VLOOKUP(N163,setup!$A$8:$H$58,3),VLOOKUP(N163,setup!$A$8:$H$58,4),VLOOKUP(N163,setup!$A$8:$H$58,5),VLOOKUP(N163,setup!$A$8:$H$58,6),VLOOKUP(N163,setup!$A$8:$H$58,7), VLOOKUP(0,setup!$A$8:$H$58,2),VLOOKUP(0,setup!$A$8:$H$58,5),VLOOKUP(N163,setup!$A$8:$H$58,8))</f>
        <v/>
      </c>
    </row>
    <row r="164" spans="1:15" x14ac:dyDescent="0.25">
      <c r="A164" s="6"/>
      <c r="O164" s="7" t="str">
        <f ca="1">getCodigoBackend(N164,A164,VLOOKUP(N164,setup!$A$8:$H$58,2),VLOOKUP(N164,setup!$A$8:$H$58,3),VLOOKUP(N164,setup!$A$8:$H$58,4),VLOOKUP(N164,setup!$A$8:$H$58,5),VLOOKUP(N164,setup!$A$8:$H$58,6),VLOOKUP(N164,setup!$A$8:$H$58,7), VLOOKUP(0,setup!$A$8:$H$58,2),VLOOKUP(0,setup!$A$8:$H$58,5),VLOOKUP(N164,setup!$A$8:$H$58,8))</f>
        <v/>
      </c>
    </row>
    <row r="165" spans="1:15" x14ac:dyDescent="0.25">
      <c r="A165" s="6"/>
      <c r="O165" s="7" t="str">
        <f ca="1">getCodigoBackend(N165,A165,VLOOKUP(N165,setup!$A$8:$H$58,2),VLOOKUP(N165,setup!$A$8:$H$58,3),VLOOKUP(N165,setup!$A$8:$H$58,4),VLOOKUP(N165,setup!$A$8:$H$58,5),VLOOKUP(N165,setup!$A$8:$H$58,6),VLOOKUP(N165,setup!$A$8:$H$58,7), VLOOKUP(0,setup!$A$8:$H$58,2),VLOOKUP(0,setup!$A$8:$H$58,5),VLOOKUP(N165,setup!$A$8:$H$58,8))</f>
        <v/>
      </c>
    </row>
    <row r="166" spans="1:15" x14ac:dyDescent="0.25">
      <c r="A166" s="6"/>
      <c r="O166" s="7" t="str">
        <f ca="1">getCodigoBackend(N166,A166,VLOOKUP(N166,setup!$A$8:$H$58,2),VLOOKUP(N166,setup!$A$8:$H$58,3),VLOOKUP(N166,setup!$A$8:$H$58,4),VLOOKUP(N166,setup!$A$8:$H$58,5),VLOOKUP(N166,setup!$A$8:$H$58,6),VLOOKUP(N166,setup!$A$8:$H$58,7), VLOOKUP(0,setup!$A$8:$H$58,2),VLOOKUP(0,setup!$A$8:$H$58,5),VLOOKUP(N166,setup!$A$8:$H$58,8))</f>
        <v/>
      </c>
    </row>
    <row r="167" spans="1:15" x14ac:dyDescent="0.25">
      <c r="A167" s="6"/>
      <c r="O167" s="7" t="str">
        <f ca="1">getCodigoBackend(N167,A167,VLOOKUP(N167,setup!$A$8:$H$58,2),VLOOKUP(N167,setup!$A$8:$H$58,3),VLOOKUP(N167,setup!$A$8:$H$58,4),VLOOKUP(N167,setup!$A$8:$H$58,5),VLOOKUP(N167,setup!$A$8:$H$58,6),VLOOKUP(N167,setup!$A$8:$H$58,7), VLOOKUP(0,setup!$A$8:$H$58,2),VLOOKUP(0,setup!$A$8:$H$58,5),VLOOKUP(N167,setup!$A$8:$H$58,8))</f>
        <v/>
      </c>
    </row>
    <row r="168" spans="1:15" x14ac:dyDescent="0.25">
      <c r="A168" s="6"/>
      <c r="O168" s="7" t="str">
        <f ca="1">getCodigoBackend(N168,A168,VLOOKUP(N168,setup!$A$8:$H$58,2),VLOOKUP(N168,setup!$A$8:$H$58,3),VLOOKUP(N168,setup!$A$8:$H$58,4),VLOOKUP(N168,setup!$A$8:$H$58,5),VLOOKUP(N168,setup!$A$8:$H$58,6),VLOOKUP(N168,setup!$A$8:$H$58,7), VLOOKUP(0,setup!$A$8:$H$58,2),VLOOKUP(0,setup!$A$8:$H$58,5),VLOOKUP(N168,setup!$A$8:$H$58,8))</f>
        <v/>
      </c>
    </row>
    <row r="169" spans="1:15" x14ac:dyDescent="0.25">
      <c r="A169" s="6"/>
      <c r="O169" s="7" t="str">
        <f ca="1">getCodigoBackend(N169,A169,VLOOKUP(N169,setup!$A$8:$H$58,2),VLOOKUP(N169,setup!$A$8:$H$58,3),VLOOKUP(N169,setup!$A$8:$H$58,4),VLOOKUP(N169,setup!$A$8:$H$58,5),VLOOKUP(N169,setup!$A$8:$H$58,6),VLOOKUP(N169,setup!$A$8:$H$58,7), VLOOKUP(0,setup!$A$8:$H$58,2),VLOOKUP(0,setup!$A$8:$H$58,5),VLOOKUP(N169,setup!$A$8:$H$58,8))</f>
        <v/>
      </c>
    </row>
    <row r="170" spans="1:15" x14ac:dyDescent="0.25">
      <c r="A170" s="6"/>
      <c r="O170" s="7" t="str">
        <f ca="1">getCodigoBackend(N170,A170,VLOOKUP(N170,setup!$A$8:$H$58,2),VLOOKUP(N170,setup!$A$8:$H$58,3),VLOOKUP(N170,setup!$A$8:$H$58,4),VLOOKUP(N170,setup!$A$8:$H$58,5),VLOOKUP(N170,setup!$A$8:$H$58,6),VLOOKUP(N170,setup!$A$8:$H$58,7), VLOOKUP(0,setup!$A$8:$H$58,2),VLOOKUP(0,setup!$A$8:$H$58,5),VLOOKUP(N170,setup!$A$8:$H$58,8))</f>
        <v/>
      </c>
    </row>
    <row r="171" spans="1:15" x14ac:dyDescent="0.25">
      <c r="A171" s="6"/>
      <c r="O171" s="7" t="str">
        <f ca="1">getCodigoBackend(N171,A171,VLOOKUP(N171,setup!$A$8:$H$58,2),VLOOKUP(N171,setup!$A$8:$H$58,3),VLOOKUP(N171,setup!$A$8:$H$58,4),VLOOKUP(N171,setup!$A$8:$H$58,5),VLOOKUP(N171,setup!$A$8:$H$58,6),VLOOKUP(N171,setup!$A$8:$H$58,7), VLOOKUP(0,setup!$A$8:$H$58,2),VLOOKUP(0,setup!$A$8:$H$58,5),VLOOKUP(N171,setup!$A$8:$H$58,8))</f>
        <v/>
      </c>
    </row>
    <row r="172" spans="1:15" x14ac:dyDescent="0.25">
      <c r="A172" s="6"/>
      <c r="O172" s="7" t="str">
        <f ca="1">getCodigoBackend(N172,A172,VLOOKUP(N172,setup!$A$8:$H$58,2),VLOOKUP(N172,setup!$A$8:$H$58,3),VLOOKUP(N172,setup!$A$8:$H$58,4),VLOOKUP(N172,setup!$A$8:$H$58,5),VLOOKUP(N172,setup!$A$8:$H$58,6),VLOOKUP(N172,setup!$A$8:$H$58,7), VLOOKUP(0,setup!$A$8:$H$58,2),VLOOKUP(0,setup!$A$8:$H$58,5),VLOOKUP(N172,setup!$A$8:$H$58,8))</f>
        <v/>
      </c>
    </row>
    <row r="173" spans="1:15" x14ac:dyDescent="0.25">
      <c r="A173" s="6"/>
      <c r="O173" s="7" t="str">
        <f ca="1">getCodigoBackend(N173,A173,VLOOKUP(N173,setup!$A$8:$H$58,2),VLOOKUP(N173,setup!$A$8:$H$58,3),VLOOKUP(N173,setup!$A$8:$H$58,4),VLOOKUP(N173,setup!$A$8:$H$58,5),VLOOKUP(N173,setup!$A$8:$H$58,6),VLOOKUP(N173,setup!$A$8:$H$58,7), VLOOKUP(0,setup!$A$8:$H$58,2),VLOOKUP(0,setup!$A$8:$H$58,5),VLOOKUP(N173,setup!$A$8:$H$58,8))</f>
        <v/>
      </c>
    </row>
    <row r="174" spans="1:15" x14ac:dyDescent="0.25">
      <c r="A174" s="6"/>
      <c r="O174" s="7" t="str">
        <f ca="1">getCodigoBackend(N174,A174,VLOOKUP(N174,setup!$A$8:$H$58,2),VLOOKUP(N174,setup!$A$8:$H$58,3),VLOOKUP(N174,setup!$A$8:$H$58,4),VLOOKUP(N174,setup!$A$8:$H$58,5),VLOOKUP(N174,setup!$A$8:$H$58,6),VLOOKUP(N174,setup!$A$8:$H$58,7), VLOOKUP(0,setup!$A$8:$H$58,2),VLOOKUP(0,setup!$A$8:$H$58,5),VLOOKUP(N174,setup!$A$8:$H$58,8))</f>
        <v/>
      </c>
    </row>
    <row r="175" spans="1:15" x14ac:dyDescent="0.25">
      <c r="A175" s="6"/>
      <c r="O175" s="7" t="str">
        <f ca="1">getCodigoBackend(N175,A175,VLOOKUP(N175,setup!$A$8:$H$58,2),VLOOKUP(N175,setup!$A$8:$H$58,3),VLOOKUP(N175,setup!$A$8:$H$58,4),VLOOKUP(N175,setup!$A$8:$H$58,5),VLOOKUP(N175,setup!$A$8:$H$58,6),VLOOKUP(N175,setup!$A$8:$H$58,7), VLOOKUP(0,setup!$A$8:$H$58,2),VLOOKUP(0,setup!$A$8:$H$58,5),VLOOKUP(N175,setup!$A$8:$H$58,8))</f>
        <v/>
      </c>
    </row>
    <row r="176" spans="1:15" x14ac:dyDescent="0.25">
      <c r="A176" s="6"/>
      <c r="O176" s="7" t="str">
        <f ca="1">getCodigoBackend(N176,A176,VLOOKUP(N176,setup!$A$8:$H$58,2),VLOOKUP(N176,setup!$A$8:$H$58,3),VLOOKUP(N176,setup!$A$8:$H$58,4),VLOOKUP(N176,setup!$A$8:$H$58,5),VLOOKUP(N176,setup!$A$8:$H$58,6),VLOOKUP(N176,setup!$A$8:$H$58,7), VLOOKUP(0,setup!$A$8:$H$58,2),VLOOKUP(0,setup!$A$8:$H$58,5),VLOOKUP(N176,setup!$A$8:$H$58,8))</f>
        <v/>
      </c>
    </row>
    <row r="177" spans="1:15" x14ac:dyDescent="0.25">
      <c r="A177" s="6"/>
      <c r="O177" s="7" t="str">
        <f ca="1">getCodigoBackend(N177,A177,VLOOKUP(N177,setup!$A$8:$H$58,2),VLOOKUP(N177,setup!$A$8:$H$58,3),VLOOKUP(N177,setup!$A$8:$H$58,4),VLOOKUP(N177,setup!$A$8:$H$58,5),VLOOKUP(N177,setup!$A$8:$H$58,6),VLOOKUP(N177,setup!$A$8:$H$58,7), VLOOKUP(0,setup!$A$8:$H$58,2),VLOOKUP(0,setup!$A$8:$H$58,5),VLOOKUP(N177,setup!$A$8:$H$58,8))</f>
        <v/>
      </c>
    </row>
    <row r="178" spans="1:15" x14ac:dyDescent="0.25">
      <c r="A178" s="6"/>
      <c r="O178" s="7" t="str">
        <f ca="1">getCodigoBackend(N178,A178,VLOOKUP(N178,setup!$A$8:$H$58,2),VLOOKUP(N178,setup!$A$8:$H$58,3),VLOOKUP(N178,setup!$A$8:$H$58,4),VLOOKUP(N178,setup!$A$8:$H$58,5),VLOOKUP(N178,setup!$A$8:$H$58,6),VLOOKUP(N178,setup!$A$8:$H$58,7), VLOOKUP(0,setup!$A$8:$H$58,2),VLOOKUP(0,setup!$A$8:$H$58,5),VLOOKUP(N178,setup!$A$8:$H$58,8))</f>
        <v/>
      </c>
    </row>
    <row r="179" spans="1:15" x14ac:dyDescent="0.25">
      <c r="A179" s="6"/>
      <c r="O179" s="7" t="str">
        <f ca="1">getCodigoBackend(N179,A179,VLOOKUP(N179,setup!$A$8:$H$58,2),VLOOKUP(N179,setup!$A$8:$H$58,3),VLOOKUP(N179,setup!$A$8:$H$58,4),VLOOKUP(N179,setup!$A$8:$H$58,5),VLOOKUP(N179,setup!$A$8:$H$58,6),VLOOKUP(N179,setup!$A$8:$H$58,7), VLOOKUP(0,setup!$A$8:$H$58,2),VLOOKUP(0,setup!$A$8:$H$58,5),VLOOKUP(N179,setup!$A$8:$H$58,8))</f>
        <v/>
      </c>
    </row>
    <row r="180" spans="1:15" x14ac:dyDescent="0.25">
      <c r="A180" s="6"/>
      <c r="O180" s="7" t="str">
        <f ca="1">getCodigoBackend(N180,A180,VLOOKUP(N180,setup!$A$8:$H$58,2),VLOOKUP(N180,setup!$A$8:$H$58,3),VLOOKUP(N180,setup!$A$8:$H$58,4),VLOOKUP(N180,setup!$A$8:$H$58,5),VLOOKUP(N180,setup!$A$8:$H$58,6),VLOOKUP(N180,setup!$A$8:$H$58,7), VLOOKUP(0,setup!$A$8:$H$58,2),VLOOKUP(0,setup!$A$8:$H$58,5),VLOOKUP(N180,setup!$A$8:$H$58,8))</f>
        <v/>
      </c>
    </row>
    <row r="181" spans="1:15" x14ac:dyDescent="0.25">
      <c r="A181" s="6"/>
      <c r="O181" s="7" t="str">
        <f ca="1">getCodigoBackend(N181,A181,VLOOKUP(N181,setup!$A$8:$H$58,2),VLOOKUP(N181,setup!$A$8:$H$58,3),VLOOKUP(N181,setup!$A$8:$H$58,4),VLOOKUP(N181,setup!$A$8:$H$58,5),VLOOKUP(N181,setup!$A$8:$H$58,6),VLOOKUP(N181,setup!$A$8:$H$58,7), VLOOKUP(0,setup!$A$8:$H$58,2),VLOOKUP(0,setup!$A$8:$H$58,5),VLOOKUP(N181,setup!$A$8:$H$58,8))</f>
        <v/>
      </c>
    </row>
    <row r="182" spans="1:15" x14ac:dyDescent="0.25">
      <c r="A182" s="6"/>
      <c r="O182" s="7" t="str">
        <f ca="1">getCodigoBackend(N182,A182,VLOOKUP(N182,setup!$A$8:$H$58,2),VLOOKUP(N182,setup!$A$8:$H$58,3),VLOOKUP(N182,setup!$A$8:$H$58,4),VLOOKUP(N182,setup!$A$8:$H$58,5),VLOOKUP(N182,setup!$A$8:$H$58,6),VLOOKUP(N182,setup!$A$8:$H$58,7), VLOOKUP(0,setup!$A$8:$H$58,2),VLOOKUP(0,setup!$A$8:$H$58,5),VLOOKUP(N182,setup!$A$8:$H$58,8))</f>
        <v/>
      </c>
    </row>
    <row r="183" spans="1:15" x14ac:dyDescent="0.25">
      <c r="A183" s="6"/>
      <c r="O183" s="7" t="str">
        <f ca="1">getCodigoBackend(N183,A183,VLOOKUP(N183,setup!$A$8:$H$58,2),VLOOKUP(N183,setup!$A$8:$H$58,3),VLOOKUP(N183,setup!$A$8:$H$58,4),VLOOKUP(N183,setup!$A$8:$H$58,5),VLOOKUP(N183,setup!$A$8:$H$58,6),VLOOKUP(N183,setup!$A$8:$H$58,7), VLOOKUP(0,setup!$A$8:$H$58,2),VLOOKUP(0,setup!$A$8:$H$58,5),VLOOKUP(N183,setup!$A$8:$H$58,8))</f>
        <v/>
      </c>
    </row>
    <row r="184" spans="1:15" x14ac:dyDescent="0.25">
      <c r="A184" s="6"/>
      <c r="O184" s="7" t="str">
        <f ca="1">getCodigoBackend(N184,A184,VLOOKUP(N184,setup!$A$8:$H$58,2),VLOOKUP(N184,setup!$A$8:$H$58,3),VLOOKUP(N184,setup!$A$8:$H$58,4),VLOOKUP(N184,setup!$A$8:$H$58,5),VLOOKUP(N184,setup!$A$8:$H$58,6),VLOOKUP(N184,setup!$A$8:$H$58,7), VLOOKUP(0,setup!$A$8:$H$58,2),VLOOKUP(0,setup!$A$8:$H$58,5),VLOOKUP(N184,setup!$A$8:$H$58,8))</f>
        <v/>
      </c>
    </row>
    <row r="185" spans="1:15" x14ac:dyDescent="0.25">
      <c r="A185" s="12"/>
      <c r="O185" s="7" t="str">
        <f ca="1">getCodigoBackend(N185,A185,VLOOKUP(N185,setup!$A$8:$H$58,2),VLOOKUP(N185,setup!$A$8:$H$58,3),VLOOKUP(N185,setup!$A$8:$H$58,4),VLOOKUP(N185,setup!$A$8:$H$58,5),VLOOKUP(N185,setup!$A$8:$H$58,6),VLOOKUP(N185,setup!$A$8:$H$58,7), VLOOKUP(0,setup!$A$8:$H$58,2),VLOOKUP(0,setup!$A$8:$H$58,5),VLOOKUP(N185,setup!$A$8:$H$58,8))</f>
        <v/>
      </c>
    </row>
    <row r="186" spans="1:15" x14ac:dyDescent="0.25">
      <c r="A186" s="6"/>
      <c r="O186" s="7" t="str">
        <f ca="1">getCodigoBackend(N186,A186,VLOOKUP(N186,setup!$A$8:$H$58,2),VLOOKUP(N186,setup!$A$8:$H$58,3),VLOOKUP(N186,setup!$A$8:$H$58,4),VLOOKUP(N186,setup!$A$8:$H$58,5),VLOOKUP(N186,setup!$A$8:$H$58,6),VLOOKUP(N186,setup!$A$8:$H$58,7), VLOOKUP(0,setup!$A$8:$H$58,2),VLOOKUP(0,setup!$A$8:$H$58,5),VLOOKUP(N186,setup!$A$8:$H$58,8))</f>
        <v/>
      </c>
    </row>
    <row r="187" spans="1:15" x14ac:dyDescent="0.25">
      <c r="A187" s="6"/>
      <c r="O187" s="7" t="str">
        <f ca="1">getCodigoBackend(N187,A187,VLOOKUP(N187,setup!$A$8:$H$58,2),VLOOKUP(N187,setup!$A$8:$H$58,3),VLOOKUP(N187,setup!$A$8:$H$58,4),VLOOKUP(N187,setup!$A$8:$H$58,5),VLOOKUP(N187,setup!$A$8:$H$58,6),VLOOKUP(N187,setup!$A$8:$H$58,7), VLOOKUP(0,setup!$A$8:$H$58,2),VLOOKUP(0,setup!$A$8:$H$58,5),VLOOKUP(N187,setup!$A$8:$H$58,8))</f>
        <v/>
      </c>
    </row>
    <row r="188" spans="1:15" x14ac:dyDescent="0.25">
      <c r="A188" s="6"/>
      <c r="O188" s="7" t="str">
        <f ca="1">getCodigoBackend(N188,A188,VLOOKUP(N188,setup!$A$8:$H$58,2),VLOOKUP(N188,setup!$A$8:$H$58,3),VLOOKUP(N188,setup!$A$8:$H$58,4),VLOOKUP(N188,setup!$A$8:$H$58,5),VLOOKUP(N188,setup!$A$8:$H$58,6),VLOOKUP(N188,setup!$A$8:$H$58,7), VLOOKUP(0,setup!$A$8:$H$58,2),VLOOKUP(0,setup!$A$8:$H$58,5),VLOOKUP(N188,setup!$A$8:$H$58,8))</f>
        <v/>
      </c>
    </row>
    <row r="189" spans="1:15" x14ac:dyDescent="0.25">
      <c r="A189" s="6"/>
      <c r="O189" s="7" t="str">
        <f ca="1">getCodigoBackend(N189,A189,VLOOKUP(N189,setup!$A$8:$H$58,2),VLOOKUP(N189,setup!$A$8:$H$58,3),VLOOKUP(N189,setup!$A$8:$H$58,4),VLOOKUP(N189,setup!$A$8:$H$58,5),VLOOKUP(N189,setup!$A$8:$H$58,6),VLOOKUP(N189,setup!$A$8:$H$58,7), VLOOKUP(0,setup!$A$8:$H$58,2),VLOOKUP(0,setup!$A$8:$H$58,5),VLOOKUP(N189,setup!$A$8:$H$58,8))</f>
        <v/>
      </c>
    </row>
    <row r="190" spans="1:15" x14ac:dyDescent="0.25">
      <c r="A190" s="6"/>
      <c r="O190" s="7" t="str">
        <f ca="1">getCodigoBackend(N190,A190,VLOOKUP(N190,setup!$A$8:$H$58,2),VLOOKUP(N190,setup!$A$8:$H$58,3),VLOOKUP(N190,setup!$A$8:$H$58,4),VLOOKUP(N190,setup!$A$8:$H$58,5),VLOOKUP(N190,setup!$A$8:$H$58,6),VLOOKUP(N190,setup!$A$8:$H$58,7), VLOOKUP(0,setup!$A$8:$H$58,2),VLOOKUP(0,setup!$A$8:$H$58,5),VLOOKUP(N190,setup!$A$8:$H$58,8))</f>
        <v/>
      </c>
    </row>
    <row r="191" spans="1:15" x14ac:dyDescent="0.25">
      <c r="A191" s="6"/>
      <c r="O191" s="7" t="str">
        <f ca="1">getCodigoBackend(N191,A191,VLOOKUP(N191,setup!$A$8:$H$58,2),VLOOKUP(N191,setup!$A$8:$H$58,3),VLOOKUP(N191,setup!$A$8:$H$58,4),VLOOKUP(N191,setup!$A$8:$H$58,5),VLOOKUP(N191,setup!$A$8:$H$58,6),VLOOKUP(N191,setup!$A$8:$H$58,7), VLOOKUP(0,setup!$A$8:$H$58,2),VLOOKUP(0,setup!$A$8:$H$58,5),VLOOKUP(N191,setup!$A$8:$H$58,8))</f>
        <v/>
      </c>
    </row>
    <row r="192" spans="1:15" x14ac:dyDescent="0.25">
      <c r="A192" s="6"/>
      <c r="O192" s="7" t="str">
        <f ca="1">getCodigoBackend(N192,A192,VLOOKUP(N192,setup!$A$8:$H$58,2),VLOOKUP(N192,setup!$A$8:$H$58,3),VLOOKUP(N192,setup!$A$8:$H$58,4),VLOOKUP(N192,setup!$A$8:$H$58,5),VLOOKUP(N192,setup!$A$8:$H$58,6),VLOOKUP(N192,setup!$A$8:$H$58,7), VLOOKUP(0,setup!$A$8:$H$58,2),VLOOKUP(0,setup!$A$8:$H$58,5),VLOOKUP(N192,setup!$A$8:$H$58,8))</f>
        <v/>
      </c>
    </row>
    <row r="193" spans="1:15" x14ac:dyDescent="0.25">
      <c r="A193" s="6"/>
      <c r="O193" s="7" t="str">
        <f ca="1">getCodigoBackend(N193,A193,VLOOKUP(N193,setup!$A$8:$H$58,2),VLOOKUP(N193,setup!$A$8:$H$58,3),VLOOKUP(N193,setup!$A$8:$H$58,4),VLOOKUP(N193,setup!$A$8:$H$58,5),VLOOKUP(N193,setup!$A$8:$H$58,6),VLOOKUP(N193,setup!$A$8:$H$58,7), VLOOKUP(0,setup!$A$8:$H$58,2),VLOOKUP(0,setup!$A$8:$H$58,5),VLOOKUP(N193,setup!$A$8:$H$58,8))</f>
        <v/>
      </c>
    </row>
    <row r="194" spans="1:15" x14ac:dyDescent="0.25">
      <c r="A194" s="6"/>
      <c r="O194" s="7" t="str">
        <f ca="1">getCodigoBackend(N194,A194,VLOOKUP(N194,setup!$A$8:$H$58,2),VLOOKUP(N194,setup!$A$8:$H$58,3),VLOOKUP(N194,setup!$A$8:$H$58,4),VLOOKUP(N194,setup!$A$8:$H$58,5),VLOOKUP(N194,setup!$A$8:$H$58,6),VLOOKUP(N194,setup!$A$8:$H$58,7), VLOOKUP(0,setup!$A$8:$H$58,2),VLOOKUP(0,setup!$A$8:$H$58,5),VLOOKUP(N194,setup!$A$8:$H$58,8))</f>
        <v/>
      </c>
    </row>
    <row r="195" spans="1:15" x14ac:dyDescent="0.25">
      <c r="A195" s="6"/>
      <c r="O195" s="7" t="str">
        <f ca="1">getCodigoBackend(N195,A195,VLOOKUP(N195,setup!$A$8:$H$58,2),VLOOKUP(N195,setup!$A$8:$H$58,3),VLOOKUP(N195,setup!$A$8:$H$58,4),VLOOKUP(N195,setup!$A$8:$H$58,5),VLOOKUP(N195,setup!$A$8:$H$58,6),VLOOKUP(N195,setup!$A$8:$H$58,7), VLOOKUP(0,setup!$A$8:$H$58,2),VLOOKUP(0,setup!$A$8:$H$58,5),VLOOKUP(N195,setup!$A$8:$H$58,8))</f>
        <v/>
      </c>
    </row>
    <row r="196" spans="1:15" x14ac:dyDescent="0.25">
      <c r="A196" s="6"/>
      <c r="O196" s="7" t="str">
        <f ca="1">getCodigoBackend(N196,A196,VLOOKUP(N196,setup!$A$8:$H$58,2),VLOOKUP(N196,setup!$A$8:$H$58,3),VLOOKUP(N196,setup!$A$8:$H$58,4),VLOOKUP(N196,setup!$A$8:$H$58,5),VLOOKUP(N196,setup!$A$8:$H$58,6),VLOOKUP(N196,setup!$A$8:$H$58,7), VLOOKUP(0,setup!$A$8:$H$58,2),VLOOKUP(0,setup!$A$8:$H$58,5),VLOOKUP(N196,setup!$A$8:$H$58,8))</f>
        <v/>
      </c>
    </row>
    <row r="197" spans="1:15" x14ac:dyDescent="0.25">
      <c r="A197" s="6"/>
      <c r="O197" s="7" t="str">
        <f ca="1">getCodigoBackend(N197,A197,VLOOKUP(N197,setup!$A$8:$H$58,2),VLOOKUP(N197,setup!$A$8:$H$58,3),VLOOKUP(N197,setup!$A$8:$H$58,4),VLOOKUP(N197,setup!$A$8:$H$58,5),VLOOKUP(N197,setup!$A$8:$H$58,6),VLOOKUP(N197,setup!$A$8:$H$58,7), VLOOKUP(0,setup!$A$8:$H$58,2),VLOOKUP(0,setup!$A$8:$H$58,5),VLOOKUP(N197,setup!$A$8:$H$58,8))</f>
        <v/>
      </c>
    </row>
    <row r="198" spans="1:15" x14ac:dyDescent="0.25">
      <c r="A198" s="6"/>
      <c r="O198" s="7" t="str">
        <f ca="1">getCodigoBackend(N198,A198,VLOOKUP(N198,setup!$A$8:$H$58,2),VLOOKUP(N198,setup!$A$8:$H$58,3),VLOOKUP(N198,setup!$A$8:$H$58,4),VLOOKUP(N198,setup!$A$8:$H$58,5),VLOOKUP(N198,setup!$A$8:$H$58,6),VLOOKUP(N198,setup!$A$8:$H$58,7), VLOOKUP(0,setup!$A$8:$H$58,2),VLOOKUP(0,setup!$A$8:$H$58,5),VLOOKUP(N198,setup!$A$8:$H$58,8))</f>
        <v/>
      </c>
    </row>
    <row r="199" spans="1:15" x14ac:dyDescent="0.25">
      <c r="A199" s="6"/>
      <c r="O199" s="7" t="str">
        <f ca="1">getCodigoBackend(N199,A199,VLOOKUP(N199,setup!$A$8:$H$58,2),VLOOKUP(N199,setup!$A$8:$H$58,3),VLOOKUP(N199,setup!$A$8:$H$58,4),VLOOKUP(N199,setup!$A$8:$H$58,5),VLOOKUP(N199,setup!$A$8:$H$58,6),VLOOKUP(N199,setup!$A$8:$H$58,7), VLOOKUP(0,setup!$A$8:$H$58,2),VLOOKUP(0,setup!$A$8:$H$58,5),VLOOKUP(N199,setup!$A$8:$H$58,8))</f>
        <v/>
      </c>
    </row>
    <row r="200" spans="1:15" x14ac:dyDescent="0.25">
      <c r="A200" s="6"/>
      <c r="O200" s="7" t="str">
        <f ca="1">getCodigoBackend(N200,A200,VLOOKUP(N200,setup!$A$8:$H$58,2),VLOOKUP(N200,setup!$A$8:$H$58,3),VLOOKUP(N200,setup!$A$8:$H$58,4),VLOOKUP(N200,setup!$A$8:$H$58,5),VLOOKUP(N200,setup!$A$8:$H$58,6),VLOOKUP(N200,setup!$A$8:$H$58,7), VLOOKUP(0,setup!$A$8:$H$58,2),VLOOKUP(0,setup!$A$8:$H$58,5),VLOOKUP(N200,setup!$A$8:$H$58,8))</f>
        <v/>
      </c>
    </row>
    <row r="201" spans="1:15" x14ac:dyDescent="0.25">
      <c r="A201" s="6"/>
      <c r="O201" s="7" t="str">
        <f ca="1">getCodigoBackend(N201,A201,VLOOKUP(N201,setup!$A$8:$H$58,2),VLOOKUP(N201,setup!$A$8:$H$58,3),VLOOKUP(N201,setup!$A$8:$H$58,4),VLOOKUP(N201,setup!$A$8:$H$58,5),VLOOKUP(N201,setup!$A$8:$H$58,6),VLOOKUP(N201,setup!$A$8:$H$58,7), VLOOKUP(0,setup!$A$8:$H$58,2),VLOOKUP(0,setup!$A$8:$H$58,5),VLOOKUP(N201,setup!$A$8:$H$58,8))</f>
        <v/>
      </c>
    </row>
    <row r="202" spans="1:15" x14ac:dyDescent="0.25">
      <c r="A202" s="6"/>
      <c r="O202" s="7" t="str">
        <f ca="1">getCodigoBackend(N202,A202,VLOOKUP(N202,setup!$A$8:$H$58,2),VLOOKUP(N202,setup!$A$8:$H$58,3),VLOOKUP(N202,setup!$A$8:$H$58,4),VLOOKUP(N202,setup!$A$8:$H$58,5),VLOOKUP(N202,setup!$A$8:$H$58,6),VLOOKUP(N202,setup!$A$8:$H$58,7), VLOOKUP(0,setup!$A$8:$H$58,2),VLOOKUP(0,setup!$A$8:$H$58,5),VLOOKUP(N202,setup!$A$8:$H$58,8))</f>
        <v/>
      </c>
    </row>
    <row r="203" spans="1:15" x14ac:dyDescent="0.25">
      <c r="A203" s="6"/>
      <c r="O203" s="7" t="str">
        <f ca="1">getCodigoBackend(N203,A203,VLOOKUP(N203,setup!$A$8:$H$58,2),VLOOKUP(N203,setup!$A$8:$H$58,3),VLOOKUP(N203,setup!$A$8:$H$58,4),VLOOKUP(N203,setup!$A$8:$H$58,5),VLOOKUP(N203,setup!$A$8:$H$58,6),VLOOKUP(N203,setup!$A$8:$H$58,7), VLOOKUP(0,setup!$A$8:$H$58,2),VLOOKUP(0,setup!$A$8:$H$58,5),VLOOKUP(N203,setup!$A$8:$H$58,8))</f>
        <v/>
      </c>
    </row>
    <row r="204" spans="1:15" x14ac:dyDescent="0.25">
      <c r="A204" s="6"/>
      <c r="O204" s="7" t="str">
        <f ca="1">getCodigoBackend(N204,A204,VLOOKUP(N204,setup!$A$8:$H$58,2),VLOOKUP(N204,setup!$A$8:$H$58,3),VLOOKUP(N204,setup!$A$8:$H$58,4),VLOOKUP(N204,setup!$A$8:$H$58,5),VLOOKUP(N204,setup!$A$8:$H$58,6),VLOOKUP(N204,setup!$A$8:$H$58,7), VLOOKUP(0,setup!$A$8:$H$58,2),VLOOKUP(0,setup!$A$8:$H$58,5),VLOOKUP(N204,setup!$A$8:$H$58,8))</f>
        <v/>
      </c>
    </row>
    <row r="205" spans="1:15" x14ac:dyDescent="0.25">
      <c r="A205" s="6"/>
      <c r="O205" s="7" t="str">
        <f ca="1">getCodigoBackend(N205,A205,VLOOKUP(N205,setup!$A$8:$H$58,2),VLOOKUP(N205,setup!$A$8:$H$58,3),VLOOKUP(N205,setup!$A$8:$H$58,4),VLOOKUP(N205,setup!$A$8:$H$58,5),VLOOKUP(N205,setup!$A$8:$H$58,6),VLOOKUP(N205,setup!$A$8:$H$58,7), VLOOKUP(0,setup!$A$8:$H$58,2),VLOOKUP(0,setup!$A$8:$H$58,5),VLOOKUP(N205,setup!$A$8:$H$58,8))</f>
        <v/>
      </c>
    </row>
    <row r="206" spans="1:15" x14ac:dyDescent="0.25">
      <c r="A206" s="6"/>
      <c r="O206" s="7" t="str">
        <f ca="1">getCodigoBackend(N206,A206,VLOOKUP(N206,setup!$A$8:$H$58,2),VLOOKUP(N206,setup!$A$8:$H$58,3),VLOOKUP(N206,setup!$A$8:$H$58,4),VLOOKUP(N206,setup!$A$8:$H$58,5),VLOOKUP(N206,setup!$A$8:$H$58,6),VLOOKUP(N206,setup!$A$8:$H$58,7), VLOOKUP(0,setup!$A$8:$H$58,2),VLOOKUP(0,setup!$A$8:$H$58,5),VLOOKUP(N206,setup!$A$8:$H$58,8))</f>
        <v/>
      </c>
    </row>
    <row r="207" spans="1:15" x14ac:dyDescent="0.25">
      <c r="A207" s="6"/>
      <c r="O207" s="7" t="str">
        <f ca="1">getCodigoBackend(N207,A207,VLOOKUP(N207,setup!$A$8:$H$58,2),VLOOKUP(N207,setup!$A$8:$H$58,3),VLOOKUP(N207,setup!$A$8:$H$58,4),VLOOKUP(N207,setup!$A$8:$H$58,5),VLOOKUP(N207,setup!$A$8:$H$58,6),VLOOKUP(N207,setup!$A$8:$H$58,7), VLOOKUP(0,setup!$A$8:$H$58,2),VLOOKUP(0,setup!$A$8:$H$58,5),VLOOKUP(N207,setup!$A$8:$H$58,8))</f>
        <v/>
      </c>
    </row>
    <row r="208" spans="1:15" x14ac:dyDescent="0.25">
      <c r="A208" s="6"/>
      <c r="O208" s="7" t="str">
        <f ca="1">getCodigoBackend(N208,A208,VLOOKUP(N208,setup!$A$8:$H$58,2),VLOOKUP(N208,setup!$A$8:$H$58,3),VLOOKUP(N208,setup!$A$8:$H$58,4),VLOOKUP(N208,setup!$A$8:$H$58,5),VLOOKUP(N208,setup!$A$8:$H$58,6),VLOOKUP(N208,setup!$A$8:$H$58,7), VLOOKUP(0,setup!$A$8:$H$58,2),VLOOKUP(0,setup!$A$8:$H$58,5),VLOOKUP(N208,setup!$A$8:$H$58,8))</f>
        <v/>
      </c>
    </row>
    <row r="209" spans="1:15" x14ac:dyDescent="0.25">
      <c r="A209" s="6"/>
      <c r="O209" s="7" t="str">
        <f ca="1">getCodigoBackend(N209,A209,VLOOKUP(N209,setup!$A$8:$H$58,2),VLOOKUP(N209,setup!$A$8:$H$58,3),VLOOKUP(N209,setup!$A$8:$H$58,4),VLOOKUP(N209,setup!$A$8:$H$58,5),VLOOKUP(N209,setup!$A$8:$H$58,6),VLOOKUP(N209,setup!$A$8:$H$58,7), VLOOKUP(0,setup!$A$8:$H$58,2),VLOOKUP(0,setup!$A$8:$H$58,5),VLOOKUP(N209,setup!$A$8:$H$58,8))</f>
        <v/>
      </c>
    </row>
    <row r="210" spans="1:15" x14ac:dyDescent="0.25">
      <c r="A210" s="6"/>
      <c r="O210" s="7" t="str">
        <f ca="1">getCodigoBackend(N210,A210,VLOOKUP(N210,setup!$A$8:$H$58,2),VLOOKUP(N210,setup!$A$8:$H$58,3),VLOOKUP(N210,setup!$A$8:$H$58,4),VLOOKUP(N210,setup!$A$8:$H$58,5),VLOOKUP(N210,setup!$A$8:$H$58,6),VLOOKUP(N210,setup!$A$8:$H$58,7), VLOOKUP(0,setup!$A$8:$H$58,2),VLOOKUP(0,setup!$A$8:$H$58,5),VLOOKUP(N210,setup!$A$8:$H$58,8))</f>
        <v/>
      </c>
    </row>
    <row r="211" spans="1:15" x14ac:dyDescent="0.25">
      <c r="A211" s="6"/>
      <c r="O211" s="7" t="str">
        <f ca="1">getCodigoBackend(N211,A211,VLOOKUP(N211,setup!$A$8:$H$58,2),VLOOKUP(N211,setup!$A$8:$H$58,3),VLOOKUP(N211,setup!$A$8:$H$58,4),VLOOKUP(N211,setup!$A$8:$H$58,5),VLOOKUP(N211,setup!$A$8:$H$58,6),VLOOKUP(N211,setup!$A$8:$H$58,7), VLOOKUP(0,setup!$A$8:$H$58,2),VLOOKUP(0,setup!$A$8:$H$58,5),VLOOKUP(N211,setup!$A$8:$H$58,8))</f>
        <v/>
      </c>
    </row>
    <row r="212" spans="1:15" x14ac:dyDescent="0.25">
      <c r="A212" s="6"/>
      <c r="O212" s="7" t="str">
        <f ca="1">getCodigoBackend(N212,A212,VLOOKUP(N212,setup!$A$8:$H$58,2),VLOOKUP(N212,setup!$A$8:$H$58,3),VLOOKUP(N212,setup!$A$8:$H$58,4),VLOOKUP(N212,setup!$A$8:$H$58,5),VLOOKUP(N212,setup!$A$8:$H$58,6),VLOOKUP(N212,setup!$A$8:$H$58,7), VLOOKUP(0,setup!$A$8:$H$58,2),VLOOKUP(0,setup!$A$8:$H$58,5),VLOOKUP(N212,setup!$A$8:$H$58,8))</f>
        <v/>
      </c>
    </row>
    <row r="213" spans="1:15" x14ac:dyDescent="0.25">
      <c r="A213" s="6"/>
      <c r="O213" s="7" t="str">
        <f ca="1">getCodigoBackend(N213,A213,VLOOKUP(N213,setup!$A$8:$H$58,2),VLOOKUP(N213,setup!$A$8:$H$58,3),VLOOKUP(N213,setup!$A$8:$H$58,4),VLOOKUP(N213,setup!$A$8:$H$58,5),VLOOKUP(N213,setup!$A$8:$H$58,6),VLOOKUP(N213,setup!$A$8:$H$58,7), VLOOKUP(0,setup!$A$8:$H$58,2),VLOOKUP(0,setup!$A$8:$H$58,5),VLOOKUP(N213,setup!$A$8:$H$58,8))</f>
        <v/>
      </c>
    </row>
    <row r="214" spans="1:15" x14ac:dyDescent="0.25">
      <c r="A214" s="6"/>
      <c r="O214" s="7" t="str">
        <f ca="1">getCodigoBackend(N214,A214,VLOOKUP(N214,setup!$A$8:$H$58,2),VLOOKUP(N214,setup!$A$8:$H$58,3),VLOOKUP(N214,setup!$A$8:$H$58,4),VLOOKUP(N214,setup!$A$8:$H$58,5),VLOOKUP(N214,setup!$A$8:$H$58,6),VLOOKUP(N214,setup!$A$8:$H$58,7), VLOOKUP(0,setup!$A$8:$H$58,2),VLOOKUP(0,setup!$A$8:$H$58,5),VLOOKUP(N214,setup!$A$8:$H$58,8))</f>
        <v/>
      </c>
    </row>
    <row r="215" spans="1:15" x14ac:dyDescent="0.25">
      <c r="A215" s="6"/>
      <c r="O215" s="7" t="str">
        <f ca="1">getCodigoBackend(N215,A215,VLOOKUP(N215,setup!$A$8:$H$58,2),VLOOKUP(N215,setup!$A$8:$H$58,3),VLOOKUP(N215,setup!$A$8:$H$58,4),VLOOKUP(N215,setup!$A$8:$H$58,5),VLOOKUP(N215,setup!$A$8:$H$58,6),VLOOKUP(N215,setup!$A$8:$H$58,7), VLOOKUP(0,setup!$A$8:$H$58,2),VLOOKUP(0,setup!$A$8:$H$58,5),VLOOKUP(N215,setup!$A$8:$H$58,8))</f>
        <v/>
      </c>
    </row>
    <row r="216" spans="1:15" x14ac:dyDescent="0.25">
      <c r="A216" s="6"/>
      <c r="O216" s="7" t="str">
        <f ca="1">getCodigoBackend(N216,A216,VLOOKUP(N216,setup!$A$8:$H$58,2),VLOOKUP(N216,setup!$A$8:$H$58,3),VLOOKUP(N216,setup!$A$8:$H$58,4),VLOOKUP(N216,setup!$A$8:$H$58,5),VLOOKUP(N216,setup!$A$8:$H$58,6),VLOOKUP(N216,setup!$A$8:$H$58,7), VLOOKUP(0,setup!$A$8:$H$58,2),VLOOKUP(0,setup!$A$8:$H$58,5),VLOOKUP(N216,setup!$A$8:$H$58,8))</f>
        <v/>
      </c>
    </row>
    <row r="217" spans="1:15" x14ac:dyDescent="0.25">
      <c r="A217" s="6"/>
      <c r="O217" s="7" t="str">
        <f ca="1">getCodigoBackend(N217,A217,VLOOKUP(N217,setup!$A$8:$H$58,2),VLOOKUP(N217,setup!$A$8:$H$58,3),VLOOKUP(N217,setup!$A$8:$H$58,4),VLOOKUP(N217,setup!$A$8:$H$58,5),VLOOKUP(N217,setup!$A$8:$H$58,6),VLOOKUP(N217,setup!$A$8:$H$58,7), VLOOKUP(0,setup!$A$8:$H$58,2),VLOOKUP(0,setup!$A$8:$H$58,5),VLOOKUP(N217,setup!$A$8:$H$58,8))</f>
        <v/>
      </c>
    </row>
    <row r="218" spans="1:15" x14ac:dyDescent="0.25">
      <c r="A218" s="6"/>
      <c r="O218" s="7" t="str">
        <f ca="1">getCodigoBackend(N218,A218,VLOOKUP(N218,setup!$A$8:$H$58,2),VLOOKUP(N218,setup!$A$8:$H$58,3),VLOOKUP(N218,setup!$A$8:$H$58,4),VLOOKUP(N218,setup!$A$8:$H$58,5),VLOOKUP(N218,setup!$A$8:$H$58,6),VLOOKUP(N218,setup!$A$8:$H$58,7), VLOOKUP(0,setup!$A$8:$H$58,2),VLOOKUP(0,setup!$A$8:$H$58,5),VLOOKUP(N218,setup!$A$8:$H$58,8))</f>
        <v/>
      </c>
    </row>
    <row r="219" spans="1:15" x14ac:dyDescent="0.25">
      <c r="A219" s="6"/>
      <c r="O219" s="7" t="str">
        <f ca="1">getCodigoBackend(N219,A219,VLOOKUP(N219,setup!$A$8:$H$58,2),VLOOKUP(N219,setup!$A$8:$H$58,3),VLOOKUP(N219,setup!$A$8:$H$58,4),VLOOKUP(N219,setup!$A$8:$H$58,5),VLOOKUP(N219,setup!$A$8:$H$58,6),VLOOKUP(N219,setup!$A$8:$H$58,7), VLOOKUP(0,setup!$A$8:$H$58,2),VLOOKUP(0,setup!$A$8:$H$58,5),VLOOKUP(N219,setup!$A$8:$H$58,8))</f>
        <v/>
      </c>
    </row>
    <row r="220" spans="1:15" x14ac:dyDescent="0.25">
      <c r="A220" s="6"/>
      <c r="O220" s="7" t="str">
        <f ca="1">getCodigoBackend(N220,A220,VLOOKUP(N220,setup!$A$8:$H$58,2),VLOOKUP(N220,setup!$A$8:$H$58,3),VLOOKUP(N220,setup!$A$8:$H$58,4),VLOOKUP(N220,setup!$A$8:$H$58,5),VLOOKUP(N220,setup!$A$8:$H$58,6),VLOOKUP(N220,setup!$A$8:$H$58,7), VLOOKUP(0,setup!$A$8:$H$58,2),VLOOKUP(0,setup!$A$8:$H$58,5),VLOOKUP(N220,setup!$A$8:$H$58,8))</f>
        <v/>
      </c>
    </row>
    <row r="221" spans="1:15" x14ac:dyDescent="0.25">
      <c r="A221" s="6"/>
      <c r="O221" s="7" t="str">
        <f ca="1">getCodigoBackend(N221,A221,VLOOKUP(N221,setup!$A$8:$H$58,2),VLOOKUP(N221,setup!$A$8:$H$58,3),VLOOKUP(N221,setup!$A$8:$H$58,4),VLOOKUP(N221,setup!$A$8:$H$58,5),VLOOKUP(N221,setup!$A$8:$H$58,6),VLOOKUP(N221,setup!$A$8:$H$58,7), VLOOKUP(0,setup!$A$8:$H$58,2),VLOOKUP(0,setup!$A$8:$H$58,5),VLOOKUP(N221,setup!$A$8:$H$58,8))</f>
        <v/>
      </c>
    </row>
    <row r="222" spans="1:15" x14ac:dyDescent="0.25">
      <c r="A222" s="6"/>
      <c r="O222" s="7" t="str">
        <f ca="1">getCodigoBackend(N222,A222,VLOOKUP(N222,setup!$A$8:$H$58,2),VLOOKUP(N222,setup!$A$8:$H$58,3),VLOOKUP(N222,setup!$A$8:$H$58,4),VLOOKUP(N222,setup!$A$8:$H$58,5),VLOOKUP(N222,setup!$A$8:$H$58,6),VLOOKUP(N222,setup!$A$8:$H$58,7), VLOOKUP(0,setup!$A$8:$H$58,2),VLOOKUP(0,setup!$A$8:$H$58,5),VLOOKUP(N222,setup!$A$8:$H$58,8))</f>
        <v/>
      </c>
    </row>
    <row r="223" spans="1:15" x14ac:dyDescent="0.25">
      <c r="A223" s="6"/>
      <c r="O223" s="7" t="str">
        <f ca="1">getCodigoBackend(N223,A223,VLOOKUP(N223,setup!$A$8:$H$58,2),VLOOKUP(N223,setup!$A$8:$H$58,3),VLOOKUP(N223,setup!$A$8:$H$58,4),VLOOKUP(N223,setup!$A$8:$H$58,5),VLOOKUP(N223,setup!$A$8:$H$58,6),VLOOKUP(N223,setup!$A$8:$H$58,7), VLOOKUP(0,setup!$A$8:$H$58,2),VLOOKUP(0,setup!$A$8:$H$58,5),VLOOKUP(N223,setup!$A$8:$H$58,8))</f>
        <v/>
      </c>
    </row>
    <row r="224" spans="1:15" x14ac:dyDescent="0.25">
      <c r="A224" s="6"/>
      <c r="O224" s="7" t="str">
        <f ca="1">getCodigoBackend(N224,A224,VLOOKUP(N224,setup!$A$8:$H$58,2),VLOOKUP(N224,setup!$A$8:$H$58,3),VLOOKUP(N224,setup!$A$8:$H$58,4),VLOOKUP(N224,setup!$A$8:$H$58,5),VLOOKUP(N224,setup!$A$8:$H$58,6),VLOOKUP(N224,setup!$A$8:$H$58,7), VLOOKUP(0,setup!$A$8:$H$58,2),VLOOKUP(0,setup!$A$8:$H$58,5),VLOOKUP(N224,setup!$A$8:$H$58,8))</f>
        <v/>
      </c>
    </row>
    <row r="225" spans="1:15" x14ac:dyDescent="0.25">
      <c r="A225" s="6"/>
      <c r="O225" s="7" t="str">
        <f ca="1">getCodigoBackend(N225,A225,VLOOKUP(N225,setup!$A$8:$H$58,2),VLOOKUP(N225,setup!$A$8:$H$58,3),VLOOKUP(N225,setup!$A$8:$H$58,4),VLOOKUP(N225,setup!$A$8:$H$58,5),VLOOKUP(N225,setup!$A$8:$H$58,6),VLOOKUP(N225,setup!$A$8:$H$58,7), VLOOKUP(0,setup!$A$8:$H$58,2),VLOOKUP(0,setup!$A$8:$H$58,5),VLOOKUP(N225,setup!$A$8:$H$58,8))</f>
        <v/>
      </c>
    </row>
    <row r="226" spans="1:15" x14ac:dyDescent="0.25">
      <c r="A226" s="6"/>
      <c r="O226" s="7" t="str">
        <f ca="1">getCodigoBackend(N226,A226,VLOOKUP(N226,setup!$A$8:$H$58,2),VLOOKUP(N226,setup!$A$8:$H$58,3),VLOOKUP(N226,setup!$A$8:$H$58,4),VLOOKUP(N226,setup!$A$8:$H$58,5),VLOOKUP(N226,setup!$A$8:$H$58,6),VLOOKUP(N226,setup!$A$8:$H$58,7), VLOOKUP(0,setup!$A$8:$H$58,2),VLOOKUP(0,setup!$A$8:$H$58,5),VLOOKUP(N226,setup!$A$8:$H$58,8))</f>
        <v/>
      </c>
    </row>
    <row r="227" spans="1:15" x14ac:dyDescent="0.25">
      <c r="A227" s="6"/>
      <c r="O227" s="7" t="str">
        <f ca="1">getCodigoBackend(N227,A227,VLOOKUP(N227,setup!$A$8:$H$58,2),VLOOKUP(N227,setup!$A$8:$H$58,3),VLOOKUP(N227,setup!$A$8:$H$58,4),VLOOKUP(N227,setup!$A$8:$H$58,5),VLOOKUP(N227,setup!$A$8:$H$58,6),VLOOKUP(N227,setup!$A$8:$H$58,7), VLOOKUP(0,setup!$A$8:$H$58,2),VLOOKUP(0,setup!$A$8:$H$58,5),VLOOKUP(N227,setup!$A$8:$H$58,8))</f>
        <v/>
      </c>
    </row>
    <row r="228" spans="1:15" x14ac:dyDescent="0.25">
      <c r="A228" s="6"/>
      <c r="O228" s="7" t="str">
        <f ca="1">getCodigoBackend(N228,A228,VLOOKUP(N228,setup!$A$8:$H$58,2),VLOOKUP(N228,setup!$A$8:$H$58,3),VLOOKUP(N228,setup!$A$8:$H$58,4),VLOOKUP(N228,setup!$A$8:$H$58,5),VLOOKUP(N228,setup!$A$8:$H$58,6),VLOOKUP(N228,setup!$A$8:$H$58,7), VLOOKUP(0,setup!$A$8:$H$58,2),VLOOKUP(0,setup!$A$8:$H$58,5),VLOOKUP(N228,setup!$A$8:$H$58,8))</f>
        <v/>
      </c>
    </row>
    <row r="229" spans="1:15" x14ac:dyDescent="0.25">
      <c r="A229" s="6"/>
      <c r="O229" s="7" t="str">
        <f ca="1">getCodigoBackend(N229,A229,VLOOKUP(N229,setup!$A$8:$H$58,2),VLOOKUP(N229,setup!$A$8:$H$58,3),VLOOKUP(N229,setup!$A$8:$H$58,4),VLOOKUP(N229,setup!$A$8:$H$58,5),VLOOKUP(N229,setup!$A$8:$H$58,6),VLOOKUP(N229,setup!$A$8:$H$58,7), VLOOKUP(0,setup!$A$8:$H$58,2),VLOOKUP(0,setup!$A$8:$H$58,5),VLOOKUP(N229,setup!$A$8:$H$58,8))</f>
        <v/>
      </c>
    </row>
    <row r="230" spans="1:15" x14ac:dyDescent="0.25">
      <c r="A230" s="6"/>
      <c r="O230" s="7" t="str">
        <f ca="1">getCodigoBackend(N230,A230,VLOOKUP(N230,setup!$A$8:$H$58,2),VLOOKUP(N230,setup!$A$8:$H$58,3),VLOOKUP(N230,setup!$A$8:$H$58,4),VLOOKUP(N230,setup!$A$8:$H$58,5),VLOOKUP(N230,setup!$A$8:$H$58,6),VLOOKUP(N230,setup!$A$8:$H$58,7), VLOOKUP(0,setup!$A$8:$H$58,2),VLOOKUP(0,setup!$A$8:$H$58,5),VLOOKUP(N230,setup!$A$8:$H$58,8))</f>
        <v/>
      </c>
    </row>
    <row r="231" spans="1:15" x14ac:dyDescent="0.25">
      <c r="A231" s="6"/>
      <c r="O231" s="7" t="str">
        <f ca="1">getCodigoBackend(N231,A231,VLOOKUP(N231,setup!$A$8:$H$58,2),VLOOKUP(N231,setup!$A$8:$H$58,3),VLOOKUP(N231,setup!$A$8:$H$58,4),VLOOKUP(N231,setup!$A$8:$H$58,5),VLOOKUP(N231,setup!$A$8:$H$58,6),VLOOKUP(N231,setup!$A$8:$H$58,7), VLOOKUP(0,setup!$A$8:$H$58,2),VLOOKUP(0,setup!$A$8:$H$58,5),VLOOKUP(N231,setup!$A$8:$H$58,8))</f>
        <v/>
      </c>
    </row>
    <row r="232" spans="1:15" x14ac:dyDescent="0.25">
      <c r="A232" s="6"/>
      <c r="O232" s="7" t="str">
        <f ca="1">getCodigoBackend(N232,A232,VLOOKUP(N232,setup!$A$8:$H$58,2),VLOOKUP(N232,setup!$A$8:$H$58,3),VLOOKUP(N232,setup!$A$8:$H$58,4),VLOOKUP(N232,setup!$A$8:$H$58,5),VLOOKUP(N232,setup!$A$8:$H$58,6),VLOOKUP(N232,setup!$A$8:$H$58,7), VLOOKUP(0,setup!$A$8:$H$58,2),VLOOKUP(0,setup!$A$8:$H$58,5),VLOOKUP(N232,setup!$A$8:$H$58,8))</f>
        <v/>
      </c>
    </row>
    <row r="233" spans="1:15" x14ac:dyDescent="0.25">
      <c r="A233" s="6"/>
      <c r="O233" s="7" t="str">
        <f ca="1">getCodigoBackend(N233,A233,VLOOKUP(N233,setup!$A$8:$H$58,2),VLOOKUP(N233,setup!$A$8:$H$58,3),VLOOKUP(N233,setup!$A$8:$H$58,4),VLOOKUP(N233,setup!$A$8:$H$58,5),VLOOKUP(N233,setup!$A$8:$H$58,6),VLOOKUP(N233,setup!$A$8:$H$58,7), VLOOKUP(0,setup!$A$8:$H$58,2),VLOOKUP(0,setup!$A$8:$H$58,5),VLOOKUP(N233,setup!$A$8:$H$58,8))</f>
        <v/>
      </c>
    </row>
    <row r="234" spans="1:15" x14ac:dyDescent="0.25">
      <c r="A234" s="6"/>
      <c r="O234" s="7" t="str">
        <f ca="1">getCodigoBackend(N234,A234,VLOOKUP(N234,setup!$A$8:$H$58,2),VLOOKUP(N234,setup!$A$8:$H$58,3),VLOOKUP(N234,setup!$A$8:$H$58,4),VLOOKUP(N234,setup!$A$8:$H$58,5),VLOOKUP(N234,setup!$A$8:$H$58,6),VLOOKUP(N234,setup!$A$8:$H$58,7), VLOOKUP(0,setup!$A$8:$H$58,2),VLOOKUP(0,setup!$A$8:$H$58,5),VLOOKUP(N234,setup!$A$8:$H$58,8))</f>
        <v/>
      </c>
    </row>
    <row r="235" spans="1:15" x14ac:dyDescent="0.25">
      <c r="A235" s="6"/>
      <c r="O235" s="7" t="str">
        <f ca="1">getCodigoBackend(N235,A235,VLOOKUP(N235,setup!$A$8:$H$58,2),VLOOKUP(N235,setup!$A$8:$H$58,3),VLOOKUP(N235,setup!$A$8:$H$58,4),VLOOKUP(N235,setup!$A$8:$H$58,5),VLOOKUP(N235,setup!$A$8:$H$58,6),VLOOKUP(N235,setup!$A$8:$H$58,7), VLOOKUP(0,setup!$A$8:$H$58,2),VLOOKUP(0,setup!$A$8:$H$58,5),VLOOKUP(N235,setup!$A$8:$H$58,8))</f>
        <v/>
      </c>
    </row>
    <row r="236" spans="1:15" x14ac:dyDescent="0.25">
      <c r="A236" s="6"/>
      <c r="O236" s="7" t="str">
        <f ca="1">getCodigoBackend(N236,A236,VLOOKUP(N236,setup!$A$8:$H$58,2),VLOOKUP(N236,setup!$A$8:$H$58,3),VLOOKUP(N236,setup!$A$8:$H$58,4),VLOOKUP(N236,setup!$A$8:$H$58,5),VLOOKUP(N236,setup!$A$8:$H$58,6),VLOOKUP(N236,setup!$A$8:$H$58,7), VLOOKUP(0,setup!$A$8:$H$58,2),VLOOKUP(0,setup!$A$8:$H$58,5),VLOOKUP(N236,setup!$A$8:$H$58,8))</f>
        <v/>
      </c>
    </row>
    <row r="237" spans="1:15" x14ac:dyDescent="0.25">
      <c r="A237" s="6"/>
      <c r="O237" s="7" t="str">
        <f ca="1">getCodigoBackend(N237,A237,VLOOKUP(N237,setup!$A$8:$H$58,2),VLOOKUP(N237,setup!$A$8:$H$58,3),VLOOKUP(N237,setup!$A$8:$H$58,4),VLOOKUP(N237,setup!$A$8:$H$58,5),VLOOKUP(N237,setup!$A$8:$H$58,6),VLOOKUP(N237,setup!$A$8:$H$58,7), VLOOKUP(0,setup!$A$8:$H$58,2),VLOOKUP(0,setup!$A$8:$H$58,5),VLOOKUP(N237,setup!$A$8:$H$58,8))</f>
        <v/>
      </c>
    </row>
    <row r="238" spans="1:15" x14ac:dyDescent="0.25">
      <c r="A238" s="6"/>
      <c r="O238" s="7" t="str">
        <f ca="1">getCodigoBackend(N238,A238,VLOOKUP(N238,setup!$A$8:$H$58,2),VLOOKUP(N238,setup!$A$8:$H$58,3),VLOOKUP(N238,setup!$A$8:$H$58,4),VLOOKUP(N238,setup!$A$8:$H$58,5),VLOOKUP(N238,setup!$A$8:$H$58,6),VLOOKUP(N238,setup!$A$8:$H$58,7), VLOOKUP(0,setup!$A$8:$H$58,2),VLOOKUP(0,setup!$A$8:$H$58,5),VLOOKUP(N238,setup!$A$8:$H$58,8))</f>
        <v/>
      </c>
    </row>
    <row r="239" spans="1:15" x14ac:dyDescent="0.25">
      <c r="A239" s="6"/>
      <c r="O239" s="7" t="str">
        <f ca="1">getCodigoBackend(N239,A239,VLOOKUP(N239,setup!$A$8:$H$58,2),VLOOKUP(N239,setup!$A$8:$H$58,3),VLOOKUP(N239,setup!$A$8:$H$58,4),VLOOKUP(N239,setup!$A$8:$H$58,5),VLOOKUP(N239,setup!$A$8:$H$58,6),VLOOKUP(N239,setup!$A$8:$H$58,7), VLOOKUP(0,setup!$A$8:$H$58,2),VLOOKUP(0,setup!$A$8:$H$58,5),VLOOKUP(N239,setup!$A$8:$H$58,8))</f>
        <v/>
      </c>
    </row>
    <row r="240" spans="1:15" x14ac:dyDescent="0.25">
      <c r="A240" s="6"/>
      <c r="O240" s="7" t="str">
        <f ca="1">getCodigoBackend(N240,A240,VLOOKUP(N240,setup!$A$8:$H$58,2),VLOOKUP(N240,setup!$A$8:$H$58,3),VLOOKUP(N240,setup!$A$8:$H$58,4),VLOOKUP(N240,setup!$A$8:$H$58,5),VLOOKUP(N240,setup!$A$8:$H$58,6),VLOOKUP(N240,setup!$A$8:$H$58,7), VLOOKUP(0,setup!$A$8:$H$58,2),VLOOKUP(0,setup!$A$8:$H$58,5),VLOOKUP(N240,setup!$A$8:$H$58,8))</f>
        <v/>
      </c>
    </row>
    <row r="241" spans="1:15" x14ac:dyDescent="0.25">
      <c r="A241" s="6"/>
      <c r="O241" s="7" t="str">
        <f ca="1">getCodigoBackend(N241,A241,VLOOKUP(N241,setup!$A$8:$H$58,2),VLOOKUP(N241,setup!$A$8:$H$58,3),VLOOKUP(N241,setup!$A$8:$H$58,4),VLOOKUP(N241,setup!$A$8:$H$58,5),VLOOKUP(N241,setup!$A$8:$H$58,6),VLOOKUP(N241,setup!$A$8:$H$58,7), VLOOKUP(0,setup!$A$8:$H$58,2),VLOOKUP(0,setup!$A$8:$H$58,5),VLOOKUP(N241,setup!$A$8:$H$58,8))</f>
        <v/>
      </c>
    </row>
    <row r="242" spans="1:15" x14ac:dyDescent="0.25">
      <c r="A242" s="6"/>
      <c r="O242" s="7" t="str">
        <f ca="1">getCodigoBackend(N242,A242,VLOOKUP(N242,setup!$A$8:$H$58,2),VLOOKUP(N242,setup!$A$8:$H$58,3),VLOOKUP(N242,setup!$A$8:$H$58,4),VLOOKUP(N242,setup!$A$8:$H$58,5),VLOOKUP(N242,setup!$A$8:$H$58,6),VLOOKUP(N242,setup!$A$8:$H$58,7), VLOOKUP(0,setup!$A$8:$H$58,2),VLOOKUP(0,setup!$A$8:$H$58,5),VLOOKUP(N242,setup!$A$8:$H$58,8))</f>
        <v/>
      </c>
    </row>
    <row r="243" spans="1:15" x14ac:dyDescent="0.25">
      <c r="A243" s="2"/>
      <c r="O243" s="7" t="str">
        <f ca="1">getCodigoBackend(N243,A243,VLOOKUP(N243,setup!$A$8:$H$58,2),VLOOKUP(N243,setup!$A$8:$H$58,3),VLOOKUP(N243,setup!$A$8:$H$58,4),VLOOKUP(N243,setup!$A$8:$H$58,5),VLOOKUP(N243,setup!$A$8:$H$58,6),VLOOKUP(N243,setup!$A$8:$H$58,7), VLOOKUP(0,setup!$A$8:$H$58,2),VLOOKUP(0,setup!$A$8:$H$58,5),VLOOKUP(N243,setup!$A$8:$H$58,8))</f>
        <v/>
      </c>
    </row>
    <row r="244" spans="1:15" x14ac:dyDescent="0.25">
      <c r="A244" s="2"/>
      <c r="O244" s="7" t="str">
        <f ca="1">getCodigoBackend(N244,A244,VLOOKUP(N244,setup!$A$8:$H$58,2),VLOOKUP(N244,setup!$A$8:$H$58,3),VLOOKUP(N244,setup!$A$8:$H$58,4),VLOOKUP(N244,setup!$A$8:$H$58,5),VLOOKUP(N244,setup!$A$8:$H$58,6),VLOOKUP(N244,setup!$A$8:$H$58,7), VLOOKUP(0,setup!$A$8:$H$58,2),VLOOKUP(0,setup!$A$8:$H$58,5),VLOOKUP(N244,setup!$A$8:$H$58,8))</f>
        <v/>
      </c>
    </row>
    <row r="245" spans="1:15" x14ac:dyDescent="0.25">
      <c r="A245" s="3"/>
      <c r="O245" s="7" t="str">
        <f ca="1">getCodigoBackend(N245,A245,VLOOKUP(N245,setup!$A$8:$H$58,2),VLOOKUP(N245,setup!$A$8:$H$58,3),VLOOKUP(N245,setup!$A$8:$H$58,4),VLOOKUP(N245,setup!$A$8:$H$58,5),VLOOKUP(N245,setup!$A$8:$H$58,6),VLOOKUP(N245,setup!$A$8:$H$58,7), VLOOKUP(0,setup!$A$8:$H$58,2),VLOOKUP(0,setup!$A$8:$H$58,5),VLOOKUP(N245,setup!$A$8:$H$58,8))</f>
        <v/>
      </c>
    </row>
    <row r="246" spans="1:15" x14ac:dyDescent="0.25">
      <c r="A246" s="2"/>
      <c r="O246" s="7" t="str">
        <f ca="1">getCodigoBackend(N246,A246,VLOOKUP(N246,setup!$A$8:$H$58,2),VLOOKUP(N246,setup!$A$8:$H$58,3),VLOOKUP(N246,setup!$A$8:$H$58,4),VLOOKUP(N246,setup!$A$8:$H$58,5),VLOOKUP(N246,setup!$A$8:$H$58,6),VLOOKUP(N246,setup!$A$8:$H$58,7), VLOOKUP(0,setup!$A$8:$H$58,2),VLOOKUP(0,setup!$A$8:$H$58,5),VLOOKUP(N246,setup!$A$8:$H$58,8))</f>
        <v/>
      </c>
    </row>
    <row r="247" spans="1:15" x14ac:dyDescent="0.25">
      <c r="A247" s="6"/>
      <c r="O247" s="7" t="str">
        <f ca="1">getCodigoBackend(N247,A247,VLOOKUP(N247,setup!$A$8:$H$58,2),VLOOKUP(N247,setup!$A$8:$H$58,3),VLOOKUP(N247,setup!$A$8:$H$58,4),VLOOKUP(N247,setup!$A$8:$H$58,5),VLOOKUP(N247,setup!$A$8:$H$58,6),VLOOKUP(N247,setup!$A$8:$H$58,7), VLOOKUP(0,setup!$A$8:$H$58,2),VLOOKUP(0,setup!$A$8:$H$58,5),VLOOKUP(N247,setup!$A$8:$H$58,8))</f>
        <v/>
      </c>
    </row>
    <row r="248" spans="1:15" x14ac:dyDescent="0.25">
      <c r="A248" s="5"/>
      <c r="O248" s="7" t="str">
        <f ca="1">getCodigoBackend(N248,A248,VLOOKUP(N248,setup!$A$8:$H$58,2),VLOOKUP(N248,setup!$A$8:$H$58,3),VLOOKUP(N248,setup!$A$8:$H$58,4),VLOOKUP(N248,setup!$A$8:$H$58,5),VLOOKUP(N248,setup!$A$8:$H$58,6),VLOOKUP(N248,setup!$A$8:$H$58,7), VLOOKUP(0,setup!$A$8:$H$58,2),VLOOKUP(0,setup!$A$8:$H$58,5),VLOOKUP(N248,setup!$A$8:$H$58,8))</f>
        <v/>
      </c>
    </row>
    <row r="249" spans="1:15" x14ac:dyDescent="0.25">
      <c r="A249" s="6"/>
      <c r="O249" s="7" t="str">
        <f ca="1">getCodigoBackend(N249,A249,VLOOKUP(N249,setup!$A$8:$H$58,2),VLOOKUP(N249,setup!$A$8:$H$58,3),VLOOKUP(N249,setup!$A$8:$H$58,4),VLOOKUP(N249,setup!$A$8:$H$58,5),VLOOKUP(N249,setup!$A$8:$H$58,6),VLOOKUP(N249,setup!$A$8:$H$58,7), VLOOKUP(0,setup!$A$8:$H$58,2),VLOOKUP(0,setup!$A$8:$H$58,5),VLOOKUP(N249,setup!$A$8:$H$58,8))</f>
        <v/>
      </c>
    </row>
    <row r="250" spans="1:15" x14ac:dyDescent="0.25">
      <c r="A250" s="8"/>
      <c r="O250" s="7" t="str">
        <f ca="1">getCodigoBackend(N250,A250,VLOOKUP(N250,setup!$A$8:$H$58,2),VLOOKUP(N250,setup!$A$8:$H$58,3),VLOOKUP(N250,setup!$A$8:$H$58,4),VLOOKUP(N250,setup!$A$8:$H$58,5),VLOOKUP(N250,setup!$A$8:$H$58,6),VLOOKUP(N250,setup!$A$8:$H$58,7), VLOOKUP(0,setup!$A$8:$H$58,2),VLOOKUP(0,setup!$A$8:$H$58,5),VLOOKUP(N250,setup!$A$8:$H$58,8))</f>
        <v/>
      </c>
    </row>
    <row r="251" spans="1:15" x14ac:dyDescent="0.25">
      <c r="A251" s="8"/>
      <c r="O251" s="7" t="str">
        <f ca="1">getCodigoBackend(N251,A251,VLOOKUP(N251,setup!$A$8:$H$58,2),VLOOKUP(N251,setup!$A$8:$H$58,3),VLOOKUP(N251,setup!$A$8:$H$58,4),VLOOKUP(N251,setup!$A$8:$H$58,5),VLOOKUP(N251,setup!$A$8:$H$58,6),VLOOKUP(N251,setup!$A$8:$H$58,7), VLOOKUP(0,setup!$A$8:$H$58,2),VLOOKUP(0,setup!$A$8:$H$58,5),VLOOKUP(N251,setup!$A$8:$H$58,8))</f>
        <v/>
      </c>
    </row>
    <row r="252" spans="1:15" x14ac:dyDescent="0.25">
      <c r="A252" s="8"/>
      <c r="O252" s="7" t="str">
        <f ca="1">getCodigoBackend(N252,A252,VLOOKUP(N252,setup!$A$8:$H$58,2),VLOOKUP(N252,setup!$A$8:$H$58,3),VLOOKUP(N252,setup!$A$8:$H$58,4),VLOOKUP(N252,setup!$A$8:$H$58,5),VLOOKUP(N252,setup!$A$8:$H$58,6),VLOOKUP(N252,setup!$A$8:$H$58,7), VLOOKUP(0,setup!$A$8:$H$58,2),VLOOKUP(0,setup!$A$8:$H$58,5),VLOOKUP(N252,setup!$A$8:$H$58,8))</f>
        <v/>
      </c>
    </row>
    <row r="253" spans="1:15" x14ac:dyDescent="0.25">
      <c r="A253" s="8"/>
      <c r="O253" s="7" t="str">
        <f ca="1">getCodigoBackend(N253,A253,VLOOKUP(N253,setup!$A$8:$H$58,2),VLOOKUP(N253,setup!$A$8:$H$58,3),VLOOKUP(N253,setup!$A$8:$H$58,4),VLOOKUP(N253,setup!$A$8:$H$58,5),VLOOKUP(N253,setup!$A$8:$H$58,6),VLOOKUP(N253,setup!$A$8:$H$58,7), VLOOKUP(0,setup!$A$8:$H$58,2),VLOOKUP(0,setup!$A$8:$H$58,5),VLOOKUP(N253,setup!$A$8:$H$58,8))</f>
        <v/>
      </c>
    </row>
    <row r="254" spans="1:15" x14ac:dyDescent="0.25">
      <c r="A254" s="8"/>
      <c r="O254" s="7" t="str">
        <f ca="1">getCodigoBackend(N254,A254,VLOOKUP(N254,setup!$A$8:$H$58,2),VLOOKUP(N254,setup!$A$8:$H$58,3),VLOOKUP(N254,setup!$A$8:$H$58,4),VLOOKUP(N254,setup!$A$8:$H$58,5),VLOOKUP(N254,setup!$A$8:$H$58,6),VLOOKUP(N254,setup!$A$8:$H$58,7), VLOOKUP(0,setup!$A$8:$H$58,2),VLOOKUP(0,setup!$A$8:$H$58,5),VLOOKUP(N254,setup!$A$8:$H$58,8))</f>
        <v/>
      </c>
    </row>
    <row r="255" spans="1:15" x14ac:dyDescent="0.25">
      <c r="A255" s="8"/>
      <c r="O255" s="7" t="str">
        <f ca="1">getCodigoBackend(N255,A255,VLOOKUP(N255,setup!$A$8:$H$58,2),VLOOKUP(N255,setup!$A$8:$H$58,3),VLOOKUP(N255,setup!$A$8:$H$58,4),VLOOKUP(N255,setup!$A$8:$H$58,5),VLOOKUP(N255,setup!$A$8:$H$58,6),VLOOKUP(N255,setup!$A$8:$H$58,7), VLOOKUP(0,setup!$A$8:$H$58,2),VLOOKUP(0,setup!$A$8:$H$58,5),VLOOKUP(N255,setup!$A$8:$H$58,8))</f>
        <v/>
      </c>
    </row>
    <row r="256" spans="1:15" x14ac:dyDescent="0.25">
      <c r="A256" s="8"/>
      <c r="O256" s="7" t="str">
        <f ca="1">getCodigoBackend(N256,A256,VLOOKUP(N256,setup!$A$8:$H$58,2),VLOOKUP(N256,setup!$A$8:$H$58,3),VLOOKUP(N256,setup!$A$8:$H$58,4),VLOOKUP(N256,setup!$A$8:$H$58,5),VLOOKUP(N256,setup!$A$8:$H$58,6),VLOOKUP(N256,setup!$A$8:$H$58,7), VLOOKUP(0,setup!$A$8:$H$58,2),VLOOKUP(0,setup!$A$8:$H$58,5),VLOOKUP(N256,setup!$A$8:$H$58,8))</f>
        <v/>
      </c>
    </row>
    <row r="257" spans="1:15" x14ac:dyDescent="0.25">
      <c r="A257" s="8"/>
      <c r="O257" s="7" t="str">
        <f ca="1">getCodigoBackend(N257,A257,VLOOKUP(N257,setup!$A$8:$H$58,2),VLOOKUP(N257,setup!$A$8:$H$58,3),VLOOKUP(N257,setup!$A$8:$H$58,4),VLOOKUP(N257,setup!$A$8:$H$58,5),VLOOKUP(N257,setup!$A$8:$H$58,6),VLOOKUP(N257,setup!$A$8:$H$58,7), VLOOKUP(0,setup!$A$8:$H$58,2),VLOOKUP(0,setup!$A$8:$H$58,5),VLOOKUP(N257,setup!$A$8:$H$58,8))</f>
        <v/>
      </c>
    </row>
    <row r="258" spans="1:15" x14ac:dyDescent="0.25">
      <c r="A258" s="8"/>
      <c r="O258" s="7" t="str">
        <f ca="1">getCodigoBackend(N258,A258,VLOOKUP(N258,setup!$A$8:$H$58,2),VLOOKUP(N258,setup!$A$8:$H$58,3),VLOOKUP(N258,setup!$A$8:$H$58,4),VLOOKUP(N258,setup!$A$8:$H$58,5),VLOOKUP(N258,setup!$A$8:$H$58,6),VLOOKUP(N258,setup!$A$8:$H$58,7), VLOOKUP(0,setup!$A$8:$H$58,2),VLOOKUP(0,setup!$A$8:$H$58,5),VLOOKUP(N258,setup!$A$8:$H$58,8))</f>
        <v/>
      </c>
    </row>
    <row r="259" spans="1:15" x14ac:dyDescent="0.25">
      <c r="A259" s="8"/>
      <c r="O259" s="7" t="str">
        <f ca="1">getCodigoBackend(N259,A259,VLOOKUP(N259,setup!$A$8:$H$58,2),VLOOKUP(N259,setup!$A$8:$H$58,3),VLOOKUP(N259,setup!$A$8:$H$58,4),VLOOKUP(N259,setup!$A$8:$H$58,5),VLOOKUP(N259,setup!$A$8:$H$58,6),VLOOKUP(N259,setup!$A$8:$H$58,7), VLOOKUP(0,setup!$A$8:$H$58,2),VLOOKUP(0,setup!$A$8:$H$58,5),VLOOKUP(N259,setup!$A$8:$H$58,8))</f>
        <v/>
      </c>
    </row>
    <row r="260" spans="1:15" x14ac:dyDescent="0.25">
      <c r="A260" s="8"/>
      <c r="O260" s="7" t="str">
        <f ca="1">getCodigoBackend(N260,A260,VLOOKUP(N260,setup!$A$8:$H$58,2),VLOOKUP(N260,setup!$A$8:$H$58,3),VLOOKUP(N260,setup!$A$8:$H$58,4),VLOOKUP(N260,setup!$A$8:$H$58,5),VLOOKUP(N260,setup!$A$8:$H$58,6),VLOOKUP(N260,setup!$A$8:$H$58,7), VLOOKUP(0,setup!$A$8:$H$58,2),VLOOKUP(0,setup!$A$8:$H$58,5),VLOOKUP(N260,setup!$A$8:$H$58,8))</f>
        <v/>
      </c>
    </row>
    <row r="261" spans="1:15" x14ac:dyDescent="0.25">
      <c r="A261" s="8"/>
      <c r="O261" s="7" t="str">
        <f ca="1">getCodigoBackend(N261,A261,VLOOKUP(N261,setup!$A$8:$H$58,2),VLOOKUP(N261,setup!$A$8:$H$58,3),VLOOKUP(N261,setup!$A$8:$H$58,4),VLOOKUP(N261,setup!$A$8:$H$58,5),VLOOKUP(N261,setup!$A$8:$H$58,6),VLOOKUP(N261,setup!$A$8:$H$58,7), VLOOKUP(0,setup!$A$8:$H$58,2),VLOOKUP(0,setup!$A$8:$H$58,5),VLOOKUP(N261,setup!$A$8:$H$58,8))</f>
        <v/>
      </c>
    </row>
    <row r="262" spans="1:15" x14ac:dyDescent="0.25">
      <c r="A262" s="8"/>
      <c r="O262" s="7" t="str">
        <f ca="1">getCodigoBackend(N262,A262,VLOOKUP(N262,setup!$A$8:$H$58,2),VLOOKUP(N262,setup!$A$8:$H$58,3),VLOOKUP(N262,setup!$A$8:$H$58,4),VLOOKUP(N262,setup!$A$8:$H$58,5),VLOOKUP(N262,setup!$A$8:$H$58,6),VLOOKUP(N262,setup!$A$8:$H$58,7), VLOOKUP(0,setup!$A$8:$H$58,2),VLOOKUP(0,setup!$A$8:$H$58,5),VLOOKUP(N262,setup!$A$8:$H$58,8))</f>
        <v/>
      </c>
    </row>
    <row r="263" spans="1:15" x14ac:dyDescent="0.25">
      <c r="A263" s="8"/>
      <c r="O263" s="7" t="str">
        <f ca="1">getCodigoBackend(N263,A263,VLOOKUP(N263,setup!$A$8:$H$58,2),VLOOKUP(N263,setup!$A$8:$H$58,3),VLOOKUP(N263,setup!$A$8:$H$58,4),VLOOKUP(N263,setup!$A$8:$H$58,5),VLOOKUP(N263,setup!$A$8:$H$58,6),VLOOKUP(N263,setup!$A$8:$H$58,7), VLOOKUP(0,setup!$A$8:$H$58,2),VLOOKUP(0,setup!$A$8:$H$58,5),VLOOKUP(N263,setup!$A$8:$H$58,8))</f>
        <v/>
      </c>
    </row>
    <row r="264" spans="1:15" x14ac:dyDescent="0.25">
      <c r="A264" s="8"/>
      <c r="O264" s="7" t="str">
        <f ca="1">getCodigoBackend(N264,A264,VLOOKUP(N264,setup!$A$8:$H$58,2),VLOOKUP(N264,setup!$A$8:$H$58,3),VLOOKUP(N264,setup!$A$8:$H$58,4),VLOOKUP(N264,setup!$A$8:$H$58,5),VLOOKUP(N264,setup!$A$8:$H$58,6),VLOOKUP(N264,setup!$A$8:$H$58,7), VLOOKUP(0,setup!$A$8:$H$58,2),VLOOKUP(0,setup!$A$8:$H$58,5),VLOOKUP(N264,setup!$A$8:$H$58,8))</f>
        <v/>
      </c>
    </row>
    <row r="265" spans="1:15" x14ac:dyDescent="0.25">
      <c r="A265" s="8"/>
      <c r="O265" s="7" t="str">
        <f ca="1">getCodigoBackend(N265,A265,VLOOKUP(N265,setup!$A$8:$H$58,2),VLOOKUP(N265,setup!$A$8:$H$58,3),VLOOKUP(N265,setup!$A$8:$H$58,4),VLOOKUP(N265,setup!$A$8:$H$58,5),VLOOKUP(N265,setup!$A$8:$H$58,6),VLOOKUP(N265,setup!$A$8:$H$58,7), VLOOKUP(0,setup!$A$8:$H$58,2),VLOOKUP(0,setup!$A$8:$H$58,5),VLOOKUP(N265,setup!$A$8:$H$58,8))</f>
        <v/>
      </c>
    </row>
    <row r="266" spans="1:15" x14ac:dyDescent="0.25">
      <c r="A266" s="8"/>
      <c r="O266" s="7" t="str">
        <f ca="1">getCodigoBackend(N266,A266,VLOOKUP(N266,setup!$A$8:$H$58,2),VLOOKUP(N266,setup!$A$8:$H$58,3),VLOOKUP(N266,setup!$A$8:$H$58,4),VLOOKUP(N266,setup!$A$8:$H$58,5),VLOOKUP(N266,setup!$A$8:$H$58,6),VLOOKUP(N266,setup!$A$8:$H$58,7), VLOOKUP(0,setup!$A$8:$H$58,2),VLOOKUP(0,setup!$A$8:$H$58,5),VLOOKUP(N266,setup!$A$8:$H$58,8))</f>
        <v/>
      </c>
    </row>
    <row r="267" spans="1:15" x14ac:dyDescent="0.25">
      <c r="A267" s="8"/>
      <c r="O267" s="7" t="str">
        <f ca="1">getCodigoBackend(N267,A267,VLOOKUP(N267,setup!$A$8:$H$58,2),VLOOKUP(N267,setup!$A$8:$H$58,3),VLOOKUP(N267,setup!$A$8:$H$58,4),VLOOKUP(N267,setup!$A$8:$H$58,5),VLOOKUP(N267,setup!$A$8:$H$58,6),VLOOKUP(N267,setup!$A$8:$H$58,7), VLOOKUP(0,setup!$A$8:$H$58,2),VLOOKUP(0,setup!$A$8:$H$58,5),VLOOKUP(N267,setup!$A$8:$H$58,8))</f>
        <v/>
      </c>
    </row>
    <row r="268" spans="1:15" x14ac:dyDescent="0.25">
      <c r="A268" s="8"/>
      <c r="O268" s="7" t="str">
        <f ca="1">getCodigoBackend(N268,A268,VLOOKUP(N268,setup!$A$8:$H$58,2),VLOOKUP(N268,setup!$A$8:$H$58,3),VLOOKUP(N268,setup!$A$8:$H$58,4),VLOOKUP(N268,setup!$A$8:$H$58,5),VLOOKUP(N268,setup!$A$8:$H$58,6),VLOOKUP(N268,setup!$A$8:$H$58,7), VLOOKUP(0,setup!$A$8:$H$58,2),VLOOKUP(0,setup!$A$8:$H$58,5),VLOOKUP(N268,setup!$A$8:$H$58,8))</f>
        <v/>
      </c>
    </row>
    <row r="269" spans="1:15" x14ac:dyDescent="0.25">
      <c r="A269" s="8"/>
      <c r="O269" s="7" t="str">
        <f ca="1">getCodigoBackend(N269,A269,VLOOKUP(N269,setup!$A$8:$H$58,2),VLOOKUP(N269,setup!$A$8:$H$58,3),VLOOKUP(N269,setup!$A$8:$H$58,4),VLOOKUP(N269,setup!$A$8:$H$58,5),VLOOKUP(N269,setup!$A$8:$H$58,6),VLOOKUP(N269,setup!$A$8:$H$58,7), VLOOKUP(0,setup!$A$8:$H$58,2),VLOOKUP(0,setup!$A$8:$H$58,5),VLOOKUP(N269,setup!$A$8:$H$58,8))</f>
        <v/>
      </c>
    </row>
    <row r="270" spans="1:15" x14ac:dyDescent="0.25">
      <c r="A270" s="8"/>
      <c r="O270" s="7" t="str">
        <f ca="1">getCodigoBackend(N270,A270,VLOOKUP(N270,setup!$A$8:$H$58,2),VLOOKUP(N270,setup!$A$8:$H$58,3),VLOOKUP(N270,setup!$A$8:$H$58,4),VLOOKUP(N270,setup!$A$8:$H$58,5),VLOOKUP(N270,setup!$A$8:$H$58,6),VLOOKUP(N270,setup!$A$8:$H$58,7), VLOOKUP(0,setup!$A$8:$H$58,2),VLOOKUP(0,setup!$A$8:$H$58,5),VLOOKUP(N270,setup!$A$8:$H$58,8))</f>
        <v/>
      </c>
    </row>
    <row r="271" spans="1:15" x14ac:dyDescent="0.25">
      <c r="A271" s="8"/>
      <c r="O271" s="7" t="str">
        <f ca="1">getCodigoBackend(N271,A271,VLOOKUP(N271,setup!$A$8:$H$58,2),VLOOKUP(N271,setup!$A$8:$H$58,3),VLOOKUP(N271,setup!$A$8:$H$58,4),VLOOKUP(N271,setup!$A$8:$H$58,5),VLOOKUP(N271,setup!$A$8:$H$58,6),VLOOKUP(N271,setup!$A$8:$H$58,7), VLOOKUP(0,setup!$A$8:$H$58,2),VLOOKUP(0,setup!$A$8:$H$58,5),VLOOKUP(N271,setup!$A$8:$H$58,8))</f>
        <v/>
      </c>
    </row>
    <row r="272" spans="1:15" x14ac:dyDescent="0.25">
      <c r="A272" s="8"/>
      <c r="O272" s="7" t="str">
        <f ca="1">getCodigoBackend(N272,A272,VLOOKUP(N272,setup!$A$8:$H$58,2),VLOOKUP(N272,setup!$A$8:$H$58,3),VLOOKUP(N272,setup!$A$8:$H$58,4),VLOOKUP(N272,setup!$A$8:$H$58,5),VLOOKUP(N272,setup!$A$8:$H$58,6),VLOOKUP(N272,setup!$A$8:$H$58,7), VLOOKUP(0,setup!$A$8:$H$58,2),VLOOKUP(0,setup!$A$8:$H$58,5),VLOOKUP(N272,setup!$A$8:$H$58,8))</f>
        <v/>
      </c>
    </row>
    <row r="273" spans="1:15" x14ac:dyDescent="0.25">
      <c r="A273" s="8"/>
      <c r="O273" s="7" t="str">
        <f ca="1">getCodigoBackend(N273,A273,VLOOKUP(N273,setup!$A$8:$H$58,2),VLOOKUP(N273,setup!$A$8:$H$58,3),VLOOKUP(N273,setup!$A$8:$H$58,4),VLOOKUP(N273,setup!$A$8:$H$58,5),VLOOKUP(N273,setup!$A$8:$H$58,6),VLOOKUP(N273,setup!$A$8:$H$58,7), VLOOKUP(0,setup!$A$8:$H$58,2),VLOOKUP(0,setup!$A$8:$H$58,5),VLOOKUP(N273,setup!$A$8:$H$58,8))</f>
        <v/>
      </c>
    </row>
    <row r="274" spans="1:15" x14ac:dyDescent="0.25">
      <c r="A274" s="8"/>
      <c r="O274" s="7" t="str">
        <f ca="1">getCodigoBackend(N274,A274,VLOOKUP(N274,setup!$A$8:$H$58,2),VLOOKUP(N274,setup!$A$8:$H$58,3),VLOOKUP(N274,setup!$A$8:$H$58,4),VLOOKUP(N274,setup!$A$8:$H$58,5),VLOOKUP(N274,setup!$A$8:$H$58,6),VLOOKUP(N274,setup!$A$8:$H$58,7), VLOOKUP(0,setup!$A$8:$H$58,2),VLOOKUP(0,setup!$A$8:$H$58,5),VLOOKUP(N274,setup!$A$8:$H$58,8))</f>
        <v/>
      </c>
    </row>
    <row r="275" spans="1:15" x14ac:dyDescent="0.25">
      <c r="A275" s="8"/>
      <c r="O275" s="7" t="str">
        <f ca="1">getCodigoBackend(N275,A275,VLOOKUP(N275,setup!$A$8:$H$58,2),VLOOKUP(N275,setup!$A$8:$H$58,3),VLOOKUP(N275,setup!$A$8:$H$58,4),VLOOKUP(N275,setup!$A$8:$H$58,5),VLOOKUP(N275,setup!$A$8:$H$58,6),VLOOKUP(N275,setup!$A$8:$H$58,7), VLOOKUP(0,setup!$A$8:$H$58,2),VLOOKUP(0,setup!$A$8:$H$58,5),VLOOKUP(N275,setup!$A$8:$H$58,8))</f>
        <v/>
      </c>
    </row>
    <row r="276" spans="1:15" x14ac:dyDescent="0.25">
      <c r="A276" s="8"/>
      <c r="O276" s="7" t="str">
        <f ca="1">getCodigoBackend(N276,A276,VLOOKUP(N276,setup!$A$8:$H$58,2),VLOOKUP(N276,setup!$A$8:$H$58,3),VLOOKUP(N276,setup!$A$8:$H$58,4),VLOOKUP(N276,setup!$A$8:$H$58,5),VLOOKUP(N276,setup!$A$8:$H$58,6),VLOOKUP(N276,setup!$A$8:$H$58,7), VLOOKUP(0,setup!$A$8:$H$58,2),VLOOKUP(0,setup!$A$8:$H$58,5),VLOOKUP(N276,setup!$A$8:$H$58,8))</f>
        <v/>
      </c>
    </row>
    <row r="277" spans="1:15" x14ac:dyDescent="0.25">
      <c r="A277" s="8"/>
      <c r="O277" s="7" t="str">
        <f ca="1">getCodigoBackend(N277,A277,VLOOKUP(N277,setup!$A$8:$H$58,2),VLOOKUP(N277,setup!$A$8:$H$58,3),VLOOKUP(N277,setup!$A$8:$H$58,4),VLOOKUP(N277,setup!$A$8:$H$58,5),VLOOKUP(N277,setup!$A$8:$H$58,6),VLOOKUP(N277,setup!$A$8:$H$58,7), VLOOKUP(0,setup!$A$8:$H$58,2),VLOOKUP(0,setup!$A$8:$H$58,5),VLOOKUP(N277,setup!$A$8:$H$58,8))</f>
        <v/>
      </c>
    </row>
    <row r="278" spans="1:15" x14ac:dyDescent="0.25">
      <c r="A278" s="8"/>
      <c r="O278" s="7" t="str">
        <f ca="1">getCodigoBackend(N278,A278,VLOOKUP(N278,setup!$A$8:$H$58,2),VLOOKUP(N278,setup!$A$8:$H$58,3),VLOOKUP(N278,setup!$A$8:$H$58,4),VLOOKUP(N278,setup!$A$8:$H$58,5),VLOOKUP(N278,setup!$A$8:$H$58,6),VLOOKUP(N278,setup!$A$8:$H$58,7), VLOOKUP(0,setup!$A$8:$H$58,2),VLOOKUP(0,setup!$A$8:$H$58,5),VLOOKUP(N278,setup!$A$8:$H$58,8))</f>
        <v/>
      </c>
    </row>
    <row r="279" spans="1:15" x14ac:dyDescent="0.25">
      <c r="A279" s="8"/>
      <c r="O279" s="7" t="str">
        <f ca="1">getCodigoBackend(N279,A279,VLOOKUP(N279,setup!$A$8:$H$58,2),VLOOKUP(N279,setup!$A$8:$H$58,3),VLOOKUP(N279,setup!$A$8:$H$58,4),VLOOKUP(N279,setup!$A$8:$H$58,5),VLOOKUP(N279,setup!$A$8:$H$58,6),VLOOKUP(N279,setup!$A$8:$H$58,7), VLOOKUP(0,setup!$A$8:$H$58,2),VLOOKUP(0,setup!$A$8:$H$58,5),VLOOKUP(N279,setup!$A$8:$H$58,8))</f>
        <v/>
      </c>
    </row>
    <row r="280" spans="1:15" x14ac:dyDescent="0.25">
      <c r="A280" s="8"/>
      <c r="O280" s="7" t="str">
        <f ca="1">getCodigoBackend(N280,A280,VLOOKUP(N280,setup!$A$8:$H$58,2),VLOOKUP(N280,setup!$A$8:$H$58,3),VLOOKUP(N280,setup!$A$8:$H$58,4),VLOOKUP(N280,setup!$A$8:$H$58,5),VLOOKUP(N280,setup!$A$8:$H$58,6),VLOOKUP(N280,setup!$A$8:$H$58,7), VLOOKUP(0,setup!$A$8:$H$58,2),VLOOKUP(0,setup!$A$8:$H$58,5),VLOOKUP(N280,setup!$A$8:$H$58,8))</f>
        <v/>
      </c>
    </row>
    <row r="281" spans="1:15" x14ac:dyDescent="0.25">
      <c r="A281" s="8"/>
      <c r="O281" s="7" t="str">
        <f ca="1">getCodigoBackend(N281,A281,VLOOKUP(N281,setup!$A$8:$H$58,2),VLOOKUP(N281,setup!$A$8:$H$58,3),VLOOKUP(N281,setup!$A$8:$H$58,4),VLOOKUP(N281,setup!$A$8:$H$58,5),VLOOKUP(N281,setup!$A$8:$H$58,6),VLOOKUP(N281,setup!$A$8:$H$58,7), VLOOKUP(0,setup!$A$8:$H$58,2),VLOOKUP(0,setup!$A$8:$H$58,5),VLOOKUP(N281,setup!$A$8:$H$58,8))</f>
        <v/>
      </c>
    </row>
    <row r="282" spans="1:15" x14ac:dyDescent="0.25">
      <c r="A282" s="8"/>
      <c r="O282" s="7" t="str">
        <f ca="1">getCodigoBackend(N282,A282,VLOOKUP(N282,setup!$A$8:$H$58,2),VLOOKUP(N282,setup!$A$8:$H$58,3),VLOOKUP(N282,setup!$A$8:$H$58,4),VLOOKUP(N282,setup!$A$8:$H$58,5),VLOOKUP(N282,setup!$A$8:$H$58,6),VLOOKUP(N282,setup!$A$8:$H$58,7), VLOOKUP(0,setup!$A$8:$H$58,2),VLOOKUP(0,setup!$A$8:$H$58,5),VLOOKUP(N282,setup!$A$8:$H$58,8))</f>
        <v/>
      </c>
    </row>
    <row r="283" spans="1:15" x14ac:dyDescent="0.25">
      <c r="A283" s="8"/>
      <c r="O283" s="7" t="str">
        <f ca="1">getCodigoBackend(N283,A283,VLOOKUP(N283,setup!$A$8:$H$58,2),VLOOKUP(N283,setup!$A$8:$H$58,3),VLOOKUP(N283,setup!$A$8:$H$58,4),VLOOKUP(N283,setup!$A$8:$H$58,5),VLOOKUP(N283,setup!$A$8:$H$58,6),VLOOKUP(N283,setup!$A$8:$H$58,7), VLOOKUP(0,setup!$A$8:$H$58,2),VLOOKUP(0,setup!$A$8:$H$58,5),VLOOKUP(N283,setup!$A$8:$H$58,8))</f>
        <v/>
      </c>
    </row>
    <row r="284" spans="1:15" x14ac:dyDescent="0.25">
      <c r="A284" s="8"/>
      <c r="O284" s="7" t="str">
        <f ca="1">getCodigoBackend(N284,A284,VLOOKUP(N284,setup!$A$8:$H$58,2),VLOOKUP(N284,setup!$A$8:$H$58,3),VLOOKUP(N284,setup!$A$8:$H$58,4),VLOOKUP(N284,setup!$A$8:$H$58,5),VLOOKUP(N284,setup!$A$8:$H$58,6),VLOOKUP(N284,setup!$A$8:$H$58,7), VLOOKUP(0,setup!$A$8:$H$58,2),VLOOKUP(0,setup!$A$8:$H$58,5),VLOOKUP(N284,setup!$A$8:$H$58,8))</f>
        <v/>
      </c>
    </row>
    <row r="285" spans="1:15" x14ac:dyDescent="0.25">
      <c r="A285" s="8"/>
      <c r="O285" s="7" t="str">
        <f ca="1">getCodigoBackend(N285,A285,VLOOKUP(N285,setup!$A$8:$H$58,2),VLOOKUP(N285,setup!$A$8:$H$58,3),VLOOKUP(N285,setup!$A$8:$H$58,4),VLOOKUP(N285,setup!$A$8:$H$58,5),VLOOKUP(N285,setup!$A$8:$H$58,6),VLOOKUP(N285,setup!$A$8:$H$58,7), VLOOKUP(0,setup!$A$8:$H$58,2),VLOOKUP(0,setup!$A$8:$H$58,5),VLOOKUP(N285,setup!$A$8:$H$58,8))</f>
        <v/>
      </c>
    </row>
    <row r="286" spans="1:15" x14ac:dyDescent="0.25">
      <c r="A286" s="8"/>
      <c r="O286" s="7" t="str">
        <f ca="1">getCodigoBackend(N286,A286,VLOOKUP(N286,setup!$A$8:$H$58,2),VLOOKUP(N286,setup!$A$8:$H$58,3),VLOOKUP(N286,setup!$A$8:$H$58,4),VLOOKUP(N286,setup!$A$8:$H$58,5),VLOOKUP(N286,setup!$A$8:$H$58,6),VLOOKUP(N286,setup!$A$8:$H$58,7), VLOOKUP(0,setup!$A$8:$H$58,2),VLOOKUP(0,setup!$A$8:$H$58,5),VLOOKUP(N286,setup!$A$8:$H$58,8))</f>
        <v/>
      </c>
    </row>
    <row r="287" spans="1:15" x14ac:dyDescent="0.25">
      <c r="A287" s="8"/>
      <c r="O287" s="7" t="str">
        <f ca="1">getCodigoBackend(N287,A287,VLOOKUP(N287,setup!$A$8:$H$58,2),VLOOKUP(N287,setup!$A$8:$H$58,3),VLOOKUP(N287,setup!$A$8:$H$58,4),VLOOKUP(N287,setup!$A$8:$H$58,5),VLOOKUP(N287,setup!$A$8:$H$58,6),VLOOKUP(N287,setup!$A$8:$H$58,7), VLOOKUP(0,setup!$A$8:$H$58,2),VLOOKUP(0,setup!$A$8:$H$58,5),VLOOKUP(N287,setup!$A$8:$H$58,8))</f>
        <v/>
      </c>
    </row>
    <row r="288" spans="1:15" x14ac:dyDescent="0.25">
      <c r="A288" s="8"/>
      <c r="O288" s="7" t="str">
        <f ca="1">getCodigoBackend(N288,A288,VLOOKUP(N288,setup!$A$8:$H$58,2),VLOOKUP(N288,setup!$A$8:$H$58,3),VLOOKUP(N288,setup!$A$8:$H$58,4),VLOOKUP(N288,setup!$A$8:$H$58,5),VLOOKUP(N288,setup!$A$8:$H$58,6),VLOOKUP(N288,setup!$A$8:$H$58,7), VLOOKUP(0,setup!$A$8:$H$58,2),VLOOKUP(0,setup!$A$8:$H$58,5),VLOOKUP(N288,setup!$A$8:$H$58,8))</f>
        <v/>
      </c>
    </row>
    <row r="289" spans="1:15" x14ac:dyDescent="0.25">
      <c r="A289" s="8"/>
      <c r="O289" s="7" t="str">
        <f ca="1">getCodigoBackend(N289,A289,VLOOKUP(N289,setup!$A$8:$H$58,2),VLOOKUP(N289,setup!$A$8:$H$58,3),VLOOKUP(N289,setup!$A$8:$H$58,4),VLOOKUP(N289,setup!$A$8:$H$58,5),VLOOKUP(N289,setup!$A$8:$H$58,6),VLOOKUP(N289,setup!$A$8:$H$58,7), VLOOKUP(0,setup!$A$8:$H$58,2),VLOOKUP(0,setup!$A$8:$H$58,5),VLOOKUP(N289,setup!$A$8:$H$58,8))</f>
        <v/>
      </c>
    </row>
    <row r="290" spans="1:15" x14ac:dyDescent="0.25">
      <c r="A290" s="8"/>
      <c r="O290" s="7" t="str">
        <f ca="1">getCodigoBackend(N290,A290,VLOOKUP(N290,setup!$A$8:$H$58,2),VLOOKUP(N290,setup!$A$8:$H$58,3),VLOOKUP(N290,setup!$A$8:$H$58,4),VLOOKUP(N290,setup!$A$8:$H$58,5),VLOOKUP(N290,setup!$A$8:$H$58,6),VLOOKUP(N290,setup!$A$8:$H$58,7), VLOOKUP(0,setup!$A$8:$H$58,2),VLOOKUP(0,setup!$A$8:$H$58,5),VLOOKUP(N290,setup!$A$8:$H$58,8))</f>
        <v/>
      </c>
    </row>
    <row r="291" spans="1:15" x14ac:dyDescent="0.25">
      <c r="A291" s="8"/>
      <c r="O291" s="7" t="str">
        <f ca="1">getCodigoBackend(N291,A291,VLOOKUP(N291,setup!$A$8:$H$58,2),VLOOKUP(N291,setup!$A$8:$H$58,3),VLOOKUP(N291,setup!$A$8:$H$58,4),VLOOKUP(N291,setup!$A$8:$H$58,5),VLOOKUP(N291,setup!$A$8:$H$58,6),VLOOKUP(N291,setup!$A$8:$H$58,7), VLOOKUP(0,setup!$A$8:$H$58,2),VLOOKUP(0,setup!$A$8:$H$58,5),VLOOKUP(N291,setup!$A$8:$H$58,8))</f>
        <v/>
      </c>
    </row>
    <row r="292" spans="1:15" x14ac:dyDescent="0.25">
      <c r="A292" s="8"/>
      <c r="O292" s="7" t="str">
        <f ca="1">getCodigoBackend(N292,A292,VLOOKUP(N292,setup!$A$8:$H$58,2),VLOOKUP(N292,setup!$A$8:$H$58,3),VLOOKUP(N292,setup!$A$8:$H$58,4),VLOOKUP(N292,setup!$A$8:$H$58,5),VLOOKUP(N292,setup!$A$8:$H$58,6),VLOOKUP(N292,setup!$A$8:$H$58,7), VLOOKUP(0,setup!$A$8:$H$58,2),VLOOKUP(0,setup!$A$8:$H$58,5),VLOOKUP(N292,setup!$A$8:$H$58,8))</f>
        <v/>
      </c>
    </row>
    <row r="293" spans="1:15" x14ac:dyDescent="0.25">
      <c r="A293" s="8"/>
      <c r="O293" s="7" t="str">
        <f ca="1">getCodigoBackend(N293,A293,VLOOKUP(N293,setup!$A$8:$H$58,2),VLOOKUP(N293,setup!$A$8:$H$58,3),VLOOKUP(N293,setup!$A$8:$H$58,4),VLOOKUP(N293,setup!$A$8:$H$58,5),VLOOKUP(N293,setup!$A$8:$H$58,6),VLOOKUP(N293,setup!$A$8:$H$58,7), VLOOKUP(0,setup!$A$8:$H$58,2),VLOOKUP(0,setup!$A$8:$H$58,5),VLOOKUP(N293,setup!$A$8:$H$58,8))</f>
        <v/>
      </c>
    </row>
    <row r="294" spans="1:15" x14ac:dyDescent="0.25">
      <c r="A294" s="8"/>
      <c r="O294" s="7" t="str">
        <f ca="1">getCodigoBackend(N294,A294,VLOOKUP(N294,setup!$A$8:$H$58,2),VLOOKUP(N294,setup!$A$8:$H$58,3),VLOOKUP(N294,setup!$A$8:$H$58,4),VLOOKUP(N294,setup!$A$8:$H$58,5),VLOOKUP(N294,setup!$A$8:$H$58,6),VLOOKUP(N294,setup!$A$8:$H$58,7), VLOOKUP(0,setup!$A$8:$H$58,2),VLOOKUP(0,setup!$A$8:$H$58,5),VLOOKUP(N294,setup!$A$8:$H$58,8))</f>
        <v/>
      </c>
    </row>
    <row r="295" spans="1:15" x14ac:dyDescent="0.25">
      <c r="A295" s="8"/>
      <c r="O295" s="7" t="str">
        <f ca="1">getCodigoBackend(N295,A295,VLOOKUP(N295,setup!$A$8:$H$58,2),VLOOKUP(N295,setup!$A$8:$H$58,3),VLOOKUP(N295,setup!$A$8:$H$58,4),VLOOKUP(N295,setup!$A$8:$H$58,5),VLOOKUP(N295,setup!$A$8:$H$58,6),VLOOKUP(N295,setup!$A$8:$H$58,7), VLOOKUP(0,setup!$A$8:$H$58,2),VLOOKUP(0,setup!$A$8:$H$58,5),VLOOKUP(N295,setup!$A$8:$H$58,8))</f>
        <v/>
      </c>
    </row>
    <row r="296" spans="1:15" x14ac:dyDescent="0.25">
      <c r="A296" s="8"/>
      <c r="O296" s="7" t="str">
        <f ca="1">getCodigoBackend(N296,A296,VLOOKUP(N296,setup!$A$8:$H$58,2),VLOOKUP(N296,setup!$A$8:$H$58,3),VLOOKUP(N296,setup!$A$8:$H$58,4),VLOOKUP(N296,setup!$A$8:$H$58,5),VLOOKUP(N296,setup!$A$8:$H$58,6),VLOOKUP(N296,setup!$A$8:$H$58,7), VLOOKUP(0,setup!$A$8:$H$58,2),VLOOKUP(0,setup!$A$8:$H$58,5),VLOOKUP(N296,setup!$A$8:$H$58,8))</f>
        <v/>
      </c>
    </row>
    <row r="297" spans="1:15" x14ac:dyDescent="0.25">
      <c r="A297" s="8"/>
      <c r="O297" s="7" t="str">
        <f ca="1">getCodigoBackend(N297,A297,VLOOKUP(N297,setup!$A$8:$H$58,2),VLOOKUP(N297,setup!$A$8:$H$58,3),VLOOKUP(N297,setup!$A$8:$H$58,4),VLOOKUP(N297,setup!$A$8:$H$58,5),VLOOKUP(N297,setup!$A$8:$H$58,6),VLOOKUP(N297,setup!$A$8:$H$58,7), VLOOKUP(0,setup!$A$8:$H$58,2),VLOOKUP(0,setup!$A$8:$H$58,5),VLOOKUP(N297,setup!$A$8:$H$58,8))</f>
        <v/>
      </c>
    </row>
    <row r="298" spans="1:15" x14ac:dyDescent="0.25">
      <c r="A298" s="8"/>
      <c r="O298" s="7" t="str">
        <f ca="1">getCodigoBackend(N298,A298,VLOOKUP(N298,setup!$A$8:$H$58,2),VLOOKUP(N298,setup!$A$8:$H$58,3),VLOOKUP(N298,setup!$A$8:$H$58,4),VLOOKUP(N298,setup!$A$8:$H$58,5),VLOOKUP(N298,setup!$A$8:$H$58,6),VLOOKUP(N298,setup!$A$8:$H$58,7), VLOOKUP(0,setup!$A$8:$H$58,2),VLOOKUP(0,setup!$A$8:$H$58,5),VLOOKUP(N298,setup!$A$8:$H$58,8))</f>
        <v/>
      </c>
    </row>
    <row r="299" spans="1:15" x14ac:dyDescent="0.25">
      <c r="A299" s="8"/>
      <c r="O299" s="7" t="str">
        <f ca="1">getCodigoBackend(N299,A299,VLOOKUP(N299,setup!$A$8:$H$58,2),VLOOKUP(N299,setup!$A$8:$H$58,3),VLOOKUP(N299,setup!$A$8:$H$58,4),VLOOKUP(N299,setup!$A$8:$H$58,5),VLOOKUP(N299,setup!$A$8:$H$58,6),VLOOKUP(N299,setup!$A$8:$H$58,7), VLOOKUP(0,setup!$A$8:$H$58,2),VLOOKUP(0,setup!$A$8:$H$58,5),VLOOKUP(N299,setup!$A$8:$H$58,8))</f>
        <v/>
      </c>
    </row>
    <row r="300" spans="1:15" x14ac:dyDescent="0.25">
      <c r="A300" s="8"/>
      <c r="O300" s="7" t="str">
        <f ca="1">getCodigoBackend(N300,A300,VLOOKUP(N300,setup!$A$8:$H$58,2),VLOOKUP(N300,setup!$A$8:$H$58,3),VLOOKUP(N300,setup!$A$8:$H$58,4),VLOOKUP(N300,setup!$A$8:$H$58,5),VLOOKUP(N300,setup!$A$8:$H$58,6),VLOOKUP(N300,setup!$A$8:$H$58,7), VLOOKUP(0,setup!$A$8:$H$58,2),VLOOKUP(0,setup!$A$8:$H$58,5),VLOOKUP(N300,setup!$A$8:$H$58,8))</f>
        <v/>
      </c>
    </row>
    <row r="301" spans="1:15" x14ac:dyDescent="0.25">
      <c r="A301" s="1"/>
      <c r="O301" s="7" t="str">
        <f ca="1">getCodigoBackend(N301,A301,VLOOKUP(N301,setup!$A$8:$H$58,2),VLOOKUP(N301,setup!$A$8:$H$58,3),VLOOKUP(N301,setup!$A$8:$H$58,4),VLOOKUP(N301,setup!$A$8:$H$58,5),VLOOKUP(N301,setup!$A$8:$H$58,6),VLOOKUP(N301,setup!$A$8:$H$58,7), VLOOKUP(0,setup!$A$8:$H$58,2),VLOOKUP(0,setup!$A$8:$H$58,5),VLOOKUP(N301,setup!$A$8:$H$58,8))</f>
        <v/>
      </c>
    </row>
    <row r="302" spans="1:15" x14ac:dyDescent="0.25">
      <c r="A302" s="1"/>
      <c r="O302" s="7" t="str">
        <f ca="1">getCodigoBackend(N302,A302,VLOOKUP(N302,setup!$A$8:$H$58,2),VLOOKUP(N302,setup!$A$8:$H$58,3),VLOOKUP(N302,setup!$A$8:$H$58,4),VLOOKUP(N302,setup!$A$8:$H$58,5),VLOOKUP(N302,setup!$A$8:$H$58,6),VLOOKUP(N302,setup!$A$8:$H$58,7), VLOOKUP(0,setup!$A$8:$H$58,2),VLOOKUP(0,setup!$A$8:$H$58,5),VLOOKUP(N302,setup!$A$8:$H$58,8))</f>
        <v/>
      </c>
    </row>
    <row r="303" spans="1:15" x14ac:dyDescent="0.25">
      <c r="A303" s="1"/>
      <c r="O303" s="7" t="str">
        <f ca="1">getCodigoBackend(N303,A303,VLOOKUP(N303,setup!$A$8:$H$58,2),VLOOKUP(N303,setup!$A$8:$H$58,3),VLOOKUP(N303,setup!$A$8:$H$58,4),VLOOKUP(N303,setup!$A$8:$H$58,5),VLOOKUP(N303,setup!$A$8:$H$58,6),VLOOKUP(N303,setup!$A$8:$H$58,7), VLOOKUP(0,setup!$A$8:$H$58,2),VLOOKUP(0,setup!$A$8:$H$58,5),VLOOKUP(N303,setup!$A$8:$H$58,8))</f>
        <v/>
      </c>
    </row>
    <row r="304" spans="1:15" x14ac:dyDescent="0.25">
      <c r="A304" s="1"/>
      <c r="O304" s="7" t="str">
        <f ca="1">getCodigoBackend(N304,A304,VLOOKUP(N304,setup!$A$8:$H$58,2),VLOOKUP(N304,setup!$A$8:$H$58,3),VLOOKUP(N304,setup!$A$8:$H$58,4),VLOOKUP(N304,setup!$A$8:$H$58,5),VLOOKUP(N304,setup!$A$8:$H$58,6),VLOOKUP(N304,setup!$A$8:$H$58,7), VLOOKUP(0,setup!$A$8:$H$58,2),VLOOKUP(0,setup!$A$8:$H$58,5),VLOOKUP(N304,setup!$A$8:$H$58,8))</f>
        <v/>
      </c>
    </row>
    <row r="305" spans="1:15" x14ac:dyDescent="0.25">
      <c r="A305" s="6"/>
      <c r="O305" s="7" t="str">
        <f ca="1">getCodigoBackend(N305,A305,VLOOKUP(N305,setup!$A$8:$H$58,2),VLOOKUP(N305,setup!$A$8:$H$58,3),VLOOKUP(N305,setup!$A$8:$H$58,4),VLOOKUP(N305,setup!$A$8:$H$58,5),VLOOKUP(N305,setup!$A$8:$H$58,6),VLOOKUP(N305,setup!$A$8:$H$58,7), VLOOKUP(0,setup!$A$8:$H$58,2),VLOOKUP(0,setup!$A$8:$H$58,5),VLOOKUP(N305,setup!$A$8:$H$58,8))</f>
        <v/>
      </c>
    </row>
    <row r="306" spans="1:15" x14ac:dyDescent="0.25">
      <c r="A306" s="6"/>
      <c r="O306" s="7" t="str">
        <f ca="1">getCodigoBackend(N306,A306,VLOOKUP(N306,setup!$A$8:$H$58,2),VLOOKUP(N306,setup!$A$8:$H$58,3),VLOOKUP(N306,setup!$A$8:$H$58,4),VLOOKUP(N306,setup!$A$8:$H$58,5),VLOOKUP(N306,setup!$A$8:$H$58,6),VLOOKUP(N306,setup!$A$8:$H$58,7), VLOOKUP(0,setup!$A$8:$H$58,2),VLOOKUP(0,setup!$A$8:$H$58,5),VLOOKUP(N306,setup!$A$8:$H$58,8))</f>
        <v/>
      </c>
    </row>
    <row r="307" spans="1:15" x14ac:dyDescent="0.25">
      <c r="A307" s="3"/>
      <c r="O307" s="7" t="str">
        <f ca="1">getCodigoBackend(N307,A307,VLOOKUP(N307,setup!$A$8:$H$58,2),VLOOKUP(N307,setup!$A$8:$H$58,3),VLOOKUP(N307,setup!$A$8:$H$58,4),VLOOKUP(N307,setup!$A$8:$H$58,5),VLOOKUP(N307,setup!$A$8:$H$58,6),VLOOKUP(N307,setup!$A$8:$H$58,7), VLOOKUP(0,setup!$A$8:$H$58,2),VLOOKUP(0,setup!$A$8:$H$58,5),VLOOKUP(N307,setup!$A$8:$H$58,8))</f>
        <v/>
      </c>
    </row>
    <row r="308" spans="1:15" x14ac:dyDescent="0.25">
      <c r="A308" s="3"/>
      <c r="O308" s="7" t="str">
        <f ca="1">getCodigoBackend(N308,A308,VLOOKUP(N308,setup!$A$8:$H$58,2),VLOOKUP(N308,setup!$A$8:$H$58,3),VLOOKUP(N308,setup!$A$8:$H$58,4),VLOOKUP(N308,setup!$A$8:$H$58,5),VLOOKUP(N308,setup!$A$8:$H$58,6),VLOOKUP(N308,setup!$A$8:$H$58,7), VLOOKUP(0,setup!$A$8:$H$58,2),VLOOKUP(0,setup!$A$8:$H$58,5),VLOOKUP(N308,setup!$A$8:$H$58,8))</f>
        <v/>
      </c>
    </row>
    <row r="309" spans="1:15" x14ac:dyDescent="0.25">
      <c r="A309" s="6"/>
      <c r="O309" s="7" t="str">
        <f ca="1">getCodigoBackend(N309,A309,VLOOKUP(N309,setup!$A$8:$H$58,2),VLOOKUP(N309,setup!$A$8:$H$58,3),VLOOKUP(N309,setup!$A$8:$H$58,4),VLOOKUP(N309,setup!$A$8:$H$58,5),VLOOKUP(N309,setup!$A$8:$H$58,6),VLOOKUP(N309,setup!$A$8:$H$58,7), VLOOKUP(0,setup!$A$8:$H$58,2),VLOOKUP(0,setup!$A$8:$H$58,5),VLOOKUP(N309,setup!$A$8:$H$58,8))</f>
        <v/>
      </c>
    </row>
    <row r="310" spans="1:15" x14ac:dyDescent="0.25">
      <c r="A310" s="2"/>
      <c r="O310" s="7" t="str">
        <f ca="1">getCodigoBackend(N310,A310,VLOOKUP(N310,setup!$A$8:$H$58,2),VLOOKUP(N310,setup!$A$8:$H$58,3),VLOOKUP(N310,setup!$A$8:$H$58,4),VLOOKUP(N310,setup!$A$8:$H$58,5),VLOOKUP(N310,setup!$A$8:$H$58,6),VLOOKUP(N310,setup!$A$8:$H$58,7), VLOOKUP(0,setup!$A$8:$H$58,2),VLOOKUP(0,setup!$A$8:$H$58,5),VLOOKUP(N310,setup!$A$8:$H$58,8))</f>
        <v/>
      </c>
    </row>
    <row r="311" spans="1:15" x14ac:dyDescent="0.25">
      <c r="O311" t="str">
        <f>SUBSTITUTE(SUBSTITUTE(SUBSTITUTE(SUBSTITUTE(A311,"${dto}",setup!$C$3),"${pk}",setup!$E$8),"${tabela}",setup!$C$2),CONCATENATE("${",N311,"}"),VLOOKUP(N311,setup!$A$8:$E$58,5))</f>
        <v/>
      </c>
    </row>
    <row r="312" spans="1:15" x14ac:dyDescent="0.25">
      <c r="O312" t="str">
        <f>SUBSTITUTE(SUBSTITUTE(SUBSTITUTE(SUBSTITUTE(A312,"${dto}",setup!$C$3),"${pk}",setup!$E$8),"${tabela}",setup!$C$2),CONCATENATE("${",N312,"}"),VLOOKUP(N312,setup!$A$8:$E$58,5))</f>
        <v/>
      </c>
    </row>
    <row r="313" spans="1:15" x14ac:dyDescent="0.25">
      <c r="O313" t="str">
        <f>SUBSTITUTE(SUBSTITUTE(SUBSTITUTE(SUBSTITUTE(A313,"${dto}",setup!$C$3),"${pk}",setup!$E$8),"${tabela}",setup!$C$2),CONCATENATE("${",N313,"}"),VLOOKUP(N313,setup!$A$8:$E$58,5))</f>
        <v/>
      </c>
    </row>
    <row r="314" spans="1:15" x14ac:dyDescent="0.25">
      <c r="O314" t="str">
        <f>SUBSTITUTE(SUBSTITUTE(SUBSTITUTE(SUBSTITUTE(A314,"${dto}",setup!$C$3),"${pk}",setup!$E$8),"${tabela}",setup!$C$2),CONCATENATE("${",N314,"}"),VLOOKUP(N314,setup!$A$8:$E$58,5))</f>
        <v/>
      </c>
    </row>
    <row r="315" spans="1:15" x14ac:dyDescent="0.25">
      <c r="O315" t="str">
        <f>SUBSTITUTE(SUBSTITUTE(SUBSTITUTE(SUBSTITUTE(A315,"${dto}",setup!$C$3),"${pk}",setup!$E$8),"${tabela}",setup!$C$2),CONCATENATE("${",N315,"}"),VLOOKUP(N315,setup!$A$8:$E$58,5))</f>
        <v/>
      </c>
    </row>
    <row r="316" spans="1:15" x14ac:dyDescent="0.25">
      <c r="O316" t="str">
        <f>SUBSTITUTE(SUBSTITUTE(SUBSTITUTE(SUBSTITUTE(A316,"${dto}",setup!$C$3),"${pk}",setup!$E$8),"${tabela}",setup!$C$2),CONCATENATE("${",N316,"}"),VLOOKUP(N316,setup!$A$8:$E$58,5))</f>
        <v/>
      </c>
    </row>
    <row r="317" spans="1:15" x14ac:dyDescent="0.25">
      <c r="O317" t="str">
        <f>SUBSTITUTE(SUBSTITUTE(SUBSTITUTE(SUBSTITUTE(A317,"${dto}",setup!$C$3),"${pk}",setup!$E$8),"${tabela}",setup!$C$2),CONCATENATE("${",N317,"}"),VLOOKUP(N317,setup!$A$8:$E$58,5))</f>
        <v/>
      </c>
    </row>
    <row r="318" spans="1:15" x14ac:dyDescent="0.25">
      <c r="O318" t="str">
        <f>SUBSTITUTE(SUBSTITUTE(SUBSTITUTE(SUBSTITUTE(A318,"${dto}",setup!$C$3),"${pk}",setup!$E$8),"${tabela}",setup!$C$2),CONCATENATE("${",N318,"}"),VLOOKUP(N318,setup!$A$8:$E$58,5))</f>
        <v/>
      </c>
    </row>
    <row r="319" spans="1:15" x14ac:dyDescent="0.25">
      <c r="O319" t="str">
        <f>SUBSTITUTE(SUBSTITUTE(SUBSTITUTE(SUBSTITUTE(A319,"${dto}",setup!$C$3),"${pk}",setup!$E$8),"${tabela}",setup!$C$2),CONCATENATE("${",N319,"}"),VLOOKUP(N319,setup!$A$8:$E$58,5))</f>
        <v/>
      </c>
    </row>
    <row r="320" spans="1:15" x14ac:dyDescent="0.25">
      <c r="O320" t="str">
        <f>SUBSTITUTE(SUBSTITUTE(SUBSTITUTE(SUBSTITUTE(A320,"${dto}",setup!$C$3),"${pk}",setup!$E$8),"${tabela}",setup!$C$2),CONCATENATE("${",N320,"}"),VLOOKUP(N320,setup!$A$8:$E$58,5))</f>
        <v/>
      </c>
    </row>
    <row r="321" spans="15:15" x14ac:dyDescent="0.25">
      <c r="O321" t="str">
        <f>SUBSTITUTE(SUBSTITUTE(SUBSTITUTE(SUBSTITUTE(A321,"${dto}",setup!$C$3),"${pk}",setup!$E$8),"${tabela}",setup!$C$2),CONCATENATE("${",N321,"}"),VLOOKUP(N321,setup!$A$8:$E$58,5))</f>
        <v/>
      </c>
    </row>
  </sheetData>
  <pageMargins left="0.7" right="0.7" top="0.75" bottom="0.75" header="0.3" footer="0.3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BCEDEB-CCAE-4C01-B246-006BD9E4B58C}">
  <sheetPr codeName="Sheet19"/>
  <dimension ref="A7:O431"/>
  <sheetViews>
    <sheetView topLeftCell="A28" workbookViewId="0">
      <selection activeCell="A36" sqref="A36:A38"/>
    </sheetView>
  </sheetViews>
  <sheetFormatPr defaultRowHeight="15" x14ac:dyDescent="0.25"/>
  <sheetData>
    <row r="7" spans="1:15" x14ac:dyDescent="0.25">
      <c r="A7" s="17" t="s">
        <v>200</v>
      </c>
      <c r="O7" s="7" t="str">
        <f ca="1">getCodigoBackend(N7,A7,VLOOKUP(N7,setup!$A$8:$H$58,2),VLOOKUP(N7,setup!$A$8:$H$58,3),VLOOKUP(N7,setup!$A$8:$H$58,4),VLOOKUP(N7,setup!$A$8:$H$58,5),VLOOKUP(N7,setup!$A$8:$H$58,6),VLOOKUP(N7,setup!$A$8:$H$58,7), VLOOKUP(0,setup!$A$8:$H$58,2),VLOOKUP(0,setup!$A$8:$H$58,5),VLOOKUP(N7,setup!$A$8:$H$58,8))</f>
        <v>import 'package:flutter/cupertino.dart';</v>
      </c>
    </row>
    <row r="8" spans="1:15" x14ac:dyDescent="0.25">
      <c r="A8" s="17" t="s">
        <v>140</v>
      </c>
      <c r="O8" s="7" t="str">
        <f ca="1">getCodigoBackend(N8,A8,VLOOKUP(N8,setup!$A$8:$H$58,2),VLOOKUP(N8,setup!$A$8:$H$58,3),VLOOKUP(N8,setup!$A$8:$H$58,4),VLOOKUP(N8,setup!$A$8:$H$58,5),VLOOKUP(N8,setup!$A$8:$H$58,6),VLOOKUP(N8,setup!$A$8:$H$58,7), VLOOKUP(0,setup!$A$8:$H$58,2),VLOOKUP(0,setup!$A$8:$H$58,5),VLOOKUP(N8,setup!$A$8:$H$58,8))</f>
        <v>import 'package:flutter/material.dart';</v>
      </c>
    </row>
    <row r="9" spans="1:15" x14ac:dyDescent="0.25">
      <c r="A9" s="17" t="s">
        <v>201</v>
      </c>
      <c r="O9" s="7" t="str">
        <f ca="1">getCodigoBackend(N9,A9,VLOOKUP(N9,setup!$A$8:$H$58,2),VLOOKUP(N9,setup!$A$8:$H$58,3),VLOOKUP(N9,setup!$A$8:$H$58,4),VLOOKUP(N9,setup!$A$8:$H$58,5),VLOOKUP(N9,setup!$A$8:$H$58,6),VLOOKUP(N9,setup!$A$8:$H$58,7), VLOOKUP(0,setup!$A$8:$H$58,2),VLOOKUP(0,setup!$A$8:$H$58,5),VLOOKUP(N9,setup!$A$8:$H$58,8))</f>
        <v>import 'package:flutter/rendering.dart';</v>
      </c>
    </row>
    <row r="10" spans="1:15" x14ac:dyDescent="0.25">
      <c r="A10" s="17" t="s">
        <v>202</v>
      </c>
      <c r="O10" s="7" t="str">
        <f ca="1">getCodigoBackend(N10,A10,VLOOKUP(N10,setup!$A$8:$H$58,2),VLOOKUP(N10,setup!$A$8:$H$58,3),VLOOKUP(N10,setup!$A$8:$H$58,4),VLOOKUP(N10,setup!$A$8:$H$58,5),VLOOKUP(N10,setup!$A$8:$H$58,6),VLOOKUP(N10,setup!$A$8:$H$58,7), VLOOKUP(0,setup!$A$8:$H$58,2),VLOOKUP(0,setup!$A$8:$H$58,5),VLOOKUP(N10,setup!$A$8:$H$58,8))</f>
        <v>import 'package:flutter/widgets.dart';</v>
      </c>
    </row>
    <row r="11" spans="1:15" x14ac:dyDescent="0.25">
      <c r="A11" s="17" t="s">
        <v>264</v>
      </c>
      <c r="O11" s="7" t="str">
        <f ca="1">getCodigoBackend(N11,A11,VLOOKUP(N11,setup!$A$8:$H$58,2),VLOOKUP(N11,setup!$A$8:$H$58,3),VLOOKUP(N11,setup!$A$8:$H$58,4),VLOOKUP(N11,setup!$A$8:$H$58,5),VLOOKUP(N11,setup!$A$8:$H$58,6),VLOOKUP(N11,setup!$A$8:$H$58,7), VLOOKUP(0,setup!$A$8:$H$58,2),VLOOKUP(0,setup!$A$8:$H$58,5),VLOOKUP(N11,setup!$A$8:$H$58,8))</f>
        <v>import 'package:junta10/br/com/jcv/linker/classes/ui/common/common-flatbutton-function.dart';</v>
      </c>
    </row>
    <row r="12" spans="1:15" x14ac:dyDescent="0.25">
      <c r="A12" s="17" t="s">
        <v>265</v>
      </c>
      <c r="O12" s="7" t="str">
        <f ca="1">getCodigoBackend(N12,A12,VLOOKUP(N12,setup!$A$8:$H$58,2),VLOOKUP(N12,setup!$A$8:$H$58,3),VLOOKUP(N12,setup!$A$8:$H$58,4),VLOOKUP(N12,setup!$A$8:$H$58,5),VLOOKUP(N12,setup!$A$8:$H$58,6),VLOOKUP(N12,setup!$A$8:$H$58,7), VLOOKUP(0,setup!$A$8:$H$58,2),VLOOKUP(0,setup!$A$8:$H$58,5),VLOOKUP(N12,setup!$A$8:$H$58,8))</f>
        <v>import 'package:junta10/br/com/jcv/linker/classes/ui/common/common-image-circle.dart';</v>
      </c>
    </row>
    <row r="13" spans="1:15" x14ac:dyDescent="0.25">
      <c r="A13" s="17" t="s">
        <v>314</v>
      </c>
      <c r="O13" s="7" t="str">
        <f ca="1">getCodigoBackend(N13,A13,VLOOKUP(N13,setup!$A$8:$H$58,2),VLOOKUP(N13,setup!$A$8:$H$58,3),VLOOKUP(N13,setup!$A$8:$H$58,4),VLOOKUP(N13,setup!$A$8:$H$58,5),VLOOKUP(N13,setup!$A$8:$H$58,6),VLOOKUP(N13,setup!$A$8:$H$58,7), VLOOKUP(0,setup!$A$8:$H$58,2),VLOOKUP(0,setup!$A$8:$H$58,5),VLOOKUP(N13,setup!$A$8:$H$58,8))</f>
        <v>import '../style/text_styles.dart';</v>
      </c>
    </row>
    <row r="14" spans="1:15" x14ac:dyDescent="0.25">
      <c r="A14" s="17" t="s">
        <v>330</v>
      </c>
      <c r="O14" s="7" t="str">
        <f ca="1">getCodigoBackend(N14,A14,VLOOKUP(N14,setup!$A$8:$H$58,2),VLOOKUP(N14,setup!$A$8:$H$58,3),VLOOKUP(N14,setup!$A$8:$H$58,4),VLOOKUP(N14,setup!$A$8:$H$58,5),VLOOKUP(N14,setup!$A$8:$H$58,6),VLOOKUP(N14,setup!$A$8:$H$58,7), VLOOKUP(0,setup!$A$8:$H$58,2),VLOOKUP(0,setup!$A$8:$H$58,5),VLOOKUP(N14,setup!$A$8:$H$58,8))</f>
        <v>import '../style/icons.dart';</v>
      </c>
    </row>
    <row r="15" spans="1:15" x14ac:dyDescent="0.25">
      <c r="A15" s="17" t="s">
        <v>144</v>
      </c>
      <c r="O15" s="7" t="str">
        <f ca="1">getCodigoBackend(N15,A15,VLOOKUP(N15,setup!$A$8:$H$58,2),VLOOKUP(N15,setup!$A$8:$H$58,3),VLOOKUP(N15,setup!$A$8:$H$58,4),VLOOKUP(N15,setup!$A$8:$H$58,5),VLOOKUP(N15,setup!$A$8:$H$58,6),VLOOKUP(N15,setup!$A$8:$H$58,7), VLOOKUP(0,setup!$A$8:$H$58,2),VLOOKUP(0,setup!$A$8:$H$58,5),VLOOKUP(N15,setup!$A$8:$H$58,8))</f>
        <v>import 'package:junta10/br/com/jcv/linker/classes/storages/cacheSession.dart';</v>
      </c>
    </row>
    <row r="16" spans="1:15" x14ac:dyDescent="0.25">
      <c r="A16" s="17" t="s">
        <v>331</v>
      </c>
      <c r="O16" s="7" t="str">
        <f ca="1">getCodigoBackend(N16,A16,VLOOKUP(N16,setup!$A$8:$H$58,2),VLOOKUP(N16,setup!$A$8:$H$58,3),VLOOKUP(N16,setup!$A$8:$H$58,4),VLOOKUP(N16,setup!$A$8:$H$58,5),VLOOKUP(N16,setup!$A$8:$H$58,6),VLOOKUP(N16,setup!$A$8:$H$58,7), VLOOKUP(0,setup!$A$8:$H$58,2),VLOOKUP(0,setup!$A$8:$H$58,5),VLOOKUP(N16,setup!$A$8:$H$58,8))</f>
        <v>import 'package:http/http.dart' as http;</v>
      </c>
    </row>
    <row r="17" spans="1:15" x14ac:dyDescent="0.25">
      <c r="A17" s="17" t="s">
        <v>332</v>
      </c>
      <c r="O17" s="7" t="str">
        <f ca="1">getCodigoBackend(N17,A17,VLOOKUP(N17,setup!$A$8:$H$58,2),VLOOKUP(N17,setup!$A$8:$H$58,3),VLOOKUP(N17,setup!$A$8:$H$58,4),VLOOKUP(N17,setup!$A$8:$H$58,5),VLOOKUP(N17,setup!$A$8:$H$58,6),VLOOKUP(N17,setup!$A$8:$H$58,7), VLOOKUP(0,setup!$A$8:$H$58,2),VLOOKUP(0,setup!$A$8:$H$58,5),VLOOKUP(N17,setup!$A$8:$H$58,8))</f>
        <v>import 'dart:async';</v>
      </c>
    </row>
    <row r="18" spans="1:15" x14ac:dyDescent="0.25">
      <c r="A18" s="17" t="s">
        <v>333</v>
      </c>
      <c r="O18" s="7" t="str">
        <f ca="1">getCodigoBackend(N18,A18,VLOOKUP(N18,setup!$A$8:$H$58,2),VLOOKUP(N18,setup!$A$8:$H$58,3),VLOOKUP(N18,setup!$A$8:$H$58,4),VLOOKUP(N18,setup!$A$8:$H$58,5),VLOOKUP(N18,setup!$A$8:$H$58,6),VLOOKUP(N18,setup!$A$8:$H$58,7), VLOOKUP(0,setup!$A$8:$H$58,2),VLOOKUP(0,setup!$A$8:$H$58,5),VLOOKUP(N18,setup!$A$8:$H$58,8))</f>
        <v>import 'dart:convert';</v>
      </c>
    </row>
    <row r="19" spans="1:15" x14ac:dyDescent="0.25">
      <c r="A19" s="16"/>
      <c r="O19" s="7" t="str">
        <f ca="1">getCodigoBackend(N19,A19,VLOOKUP(N19,setup!$A$8:$H$58,2),VLOOKUP(N19,setup!$A$8:$H$58,3),VLOOKUP(N19,setup!$A$8:$H$58,4),VLOOKUP(N19,setup!$A$8:$H$58,5),VLOOKUP(N19,setup!$A$8:$H$58,6),VLOOKUP(N19,setup!$A$8:$H$58,7), VLOOKUP(0,setup!$A$8:$H$58,2),VLOOKUP(0,setup!$A$8:$H$58,5),VLOOKUP(N19,setup!$A$8:$H$58,8))</f>
        <v/>
      </c>
    </row>
    <row r="20" spans="1:15" x14ac:dyDescent="0.25">
      <c r="A20" s="17" t="s">
        <v>214</v>
      </c>
      <c r="O20" s="7" t="str">
        <f ca="1">getCodigoBackend(N20,A20,VLOOKUP(N20,setup!$A$8:$H$58,2),VLOOKUP(N20,setup!$A$8:$H$58,3),VLOOKUP(N20,setup!$A$8:$H$58,4),VLOOKUP(N20,setup!$A$8:$H$58,5),VLOOKUP(N20,setup!$A$8:$H$58,6),VLOOKUP(N20,setup!$A$8:$H$58,7), VLOOKUP(0,setup!$A$8:$H$58,2),VLOOKUP(0,setup!$A$8:$H$58,5),VLOOKUP(N20,setup!$A$8:$H$58,8))</f>
        <v>class UsuarioPublicidadeUI extends StatefulWidget {</v>
      </c>
    </row>
    <row r="21" spans="1:15" x14ac:dyDescent="0.25">
      <c r="A21" s="16"/>
      <c r="O21" s="7" t="str">
        <f ca="1">getCodigoBackend(N21,A21,VLOOKUP(N21,setup!$A$8:$H$58,2),VLOOKUP(N21,setup!$A$8:$H$58,3),VLOOKUP(N21,setup!$A$8:$H$58,4),VLOOKUP(N21,setup!$A$8:$H$58,5),VLOOKUP(N21,setup!$A$8:$H$58,6),VLOOKUP(N21,setup!$A$8:$H$58,7), VLOOKUP(0,setup!$A$8:$H$58,2),VLOOKUP(0,setup!$A$8:$H$58,5),VLOOKUP(N21,setup!$A$8:$H$58,8))</f>
        <v/>
      </c>
    </row>
    <row r="22" spans="1:15" x14ac:dyDescent="0.25">
      <c r="A22" s="15" t="s">
        <v>216</v>
      </c>
      <c r="O22" s="7" t="str">
        <f ca="1">getCodigoBackend(N22,A22,VLOOKUP(N22,setup!$A$8:$H$58,2),VLOOKUP(N22,setup!$A$8:$H$58,3),VLOOKUP(N22,setup!$A$8:$H$58,4),VLOOKUP(N22,setup!$A$8:$H$58,5),VLOOKUP(N22,setup!$A$8:$H$58,6),VLOOKUP(N22,setup!$A$8:$H$58,7), VLOOKUP(0,setup!$A$8:$H$58,2),VLOOKUP(0,setup!$A$8:$H$58,5),VLOOKUP(N22,setup!$A$8:$H$58,8))</f>
        <v xml:space="preserve">  dynamic _usuariopublicidadeVO;</v>
      </c>
    </row>
    <row r="23" spans="1:15" x14ac:dyDescent="0.25">
      <c r="A23" s="16"/>
      <c r="O23" s="7" t="str">
        <f ca="1">getCodigoBackend(N23,A23,VLOOKUP(N23,setup!$A$8:$H$58,2),VLOOKUP(N23,setup!$A$8:$H$58,3),VLOOKUP(N23,setup!$A$8:$H$58,4),VLOOKUP(N23,setup!$A$8:$H$58,5),VLOOKUP(N23,setup!$A$8:$H$58,6),VLOOKUP(N23,setup!$A$8:$H$58,7), VLOOKUP(0,setup!$A$8:$H$58,2),VLOOKUP(0,setup!$A$8:$H$58,5),VLOOKUP(N23,setup!$A$8:$H$58,8))</f>
        <v/>
      </c>
    </row>
    <row r="24" spans="1:15" x14ac:dyDescent="0.25">
      <c r="A24" s="15" t="s">
        <v>217</v>
      </c>
      <c r="O24" s="7" t="str">
        <f ca="1">getCodigoBackend(N24,A24,VLOOKUP(N24,setup!$A$8:$H$58,2),VLOOKUP(N24,setup!$A$8:$H$58,3),VLOOKUP(N24,setup!$A$8:$H$58,4),VLOOKUP(N24,setup!$A$8:$H$58,5),VLOOKUP(N24,setup!$A$8:$H$58,6),VLOOKUP(N24,setup!$A$8:$H$58,7), VLOOKUP(0,setup!$A$8:$H$58,2),VLOOKUP(0,setup!$A$8:$H$58,5),VLOOKUP(N24,setup!$A$8:$H$58,8))</f>
        <v xml:space="preserve">  UsuarioPublicidadeUI(this._usuariopublicidadeVO);</v>
      </c>
    </row>
    <row r="25" spans="1:15" x14ac:dyDescent="0.25">
      <c r="A25" s="16"/>
      <c r="O25" s="7" t="str">
        <f ca="1">getCodigoBackend(N25,A25,VLOOKUP(N25,setup!$A$8:$H$58,2),VLOOKUP(N25,setup!$A$8:$H$58,3),VLOOKUP(N25,setup!$A$8:$H$58,4),VLOOKUP(N25,setup!$A$8:$H$58,5),VLOOKUP(N25,setup!$A$8:$H$58,6),VLOOKUP(N25,setup!$A$8:$H$58,7), VLOOKUP(0,setup!$A$8:$H$58,2),VLOOKUP(0,setup!$A$8:$H$58,5),VLOOKUP(N25,setup!$A$8:$H$58,8))</f>
        <v/>
      </c>
    </row>
    <row r="26" spans="1:15" x14ac:dyDescent="0.25">
      <c r="A26" s="15" t="s">
        <v>65</v>
      </c>
      <c r="O26" s="7" t="str">
        <f ca="1">getCodigoBackend(N26,A26,VLOOKUP(N26,setup!$A$8:$H$58,2),VLOOKUP(N26,setup!$A$8:$H$58,3),VLOOKUP(N26,setup!$A$8:$H$58,4),VLOOKUP(N26,setup!$A$8:$H$58,5),VLOOKUP(N26,setup!$A$8:$H$58,6),VLOOKUP(N26,setup!$A$8:$H$58,7), VLOOKUP(0,setup!$A$8:$H$58,2),VLOOKUP(0,setup!$A$8:$H$58,5),VLOOKUP(N26,setup!$A$8:$H$58,8))</f>
        <v xml:space="preserve">  @override</v>
      </c>
    </row>
    <row r="27" spans="1:15" x14ac:dyDescent="0.25">
      <c r="A27" s="15" t="s">
        <v>205</v>
      </c>
      <c r="O27" s="7" t="str">
        <f ca="1">getCodigoBackend(N27,A27,VLOOKUP(N27,setup!$A$8:$H$58,2),VLOOKUP(N27,setup!$A$8:$H$58,3),VLOOKUP(N27,setup!$A$8:$H$58,4),VLOOKUP(N27,setup!$A$8:$H$58,5),VLOOKUP(N27,setup!$A$8:$H$58,6),VLOOKUP(N27,setup!$A$8:$H$58,7), VLOOKUP(0,setup!$A$8:$H$58,2),VLOOKUP(0,setup!$A$8:$H$58,5),VLOOKUP(N27,setup!$A$8:$H$58,8))</f>
        <v xml:space="preserve">  _UsuarioPublicidadeUIState createState() =&gt; _UsuarioPublicidadeUIState();</v>
      </c>
    </row>
    <row r="28" spans="1:15" x14ac:dyDescent="0.25">
      <c r="A28" s="15" t="s">
        <v>16</v>
      </c>
      <c r="O28" s="7" t="str">
        <f ca="1">getCodigoBackend(N28,A28,VLOOKUP(N28,setup!$A$8:$H$58,2),VLOOKUP(N28,setup!$A$8:$H$58,3),VLOOKUP(N28,setup!$A$8:$H$58,4),VLOOKUP(N28,setup!$A$8:$H$58,5),VLOOKUP(N28,setup!$A$8:$H$58,6),VLOOKUP(N28,setup!$A$8:$H$58,7), VLOOKUP(0,setup!$A$8:$H$58,2),VLOOKUP(0,setup!$A$8:$H$58,5),VLOOKUP(N28,setup!$A$8:$H$58,8))</f>
        <v>}</v>
      </c>
    </row>
    <row r="29" spans="1:15" x14ac:dyDescent="0.25">
      <c r="A29" s="16"/>
      <c r="O29" s="7" t="str">
        <f ca="1">getCodigoBackend(N29,A29,VLOOKUP(N29,setup!$A$8:$H$58,2),VLOOKUP(N29,setup!$A$8:$H$58,3),VLOOKUP(N29,setup!$A$8:$H$58,4),VLOOKUP(N29,setup!$A$8:$H$58,5),VLOOKUP(N29,setup!$A$8:$H$58,6),VLOOKUP(N29,setup!$A$8:$H$58,7), VLOOKUP(0,setup!$A$8:$H$58,2),VLOOKUP(0,setup!$A$8:$H$58,5),VLOOKUP(N29,setup!$A$8:$H$58,8))</f>
        <v/>
      </c>
    </row>
    <row r="30" spans="1:15" x14ac:dyDescent="0.25">
      <c r="A30" s="17" t="s">
        <v>215</v>
      </c>
      <c r="O30" s="7" t="str">
        <f ca="1">getCodigoBackend(N30,A30,VLOOKUP(N30,setup!$A$8:$H$58,2),VLOOKUP(N30,setup!$A$8:$H$58,3),VLOOKUP(N30,setup!$A$8:$H$58,4),VLOOKUP(N30,setup!$A$8:$H$58,5),VLOOKUP(N30,setup!$A$8:$H$58,6),VLOOKUP(N30,setup!$A$8:$H$58,7), VLOOKUP(0,setup!$A$8:$H$58,2),VLOOKUP(0,setup!$A$8:$H$58,5),VLOOKUP(N30,setup!$A$8:$H$58,8))</f>
        <v>class _UsuarioPublicidadeUIState extends State&lt;UsuarioPublicidadeUI&gt; {</v>
      </c>
    </row>
    <row r="31" spans="1:15" x14ac:dyDescent="0.25">
      <c r="A31" s="16"/>
      <c r="O31" s="7" t="str">
        <f ca="1">getCodigoBackend(N31,A31,VLOOKUP(N31,setup!$A$8:$H$58,2),VLOOKUP(N31,setup!$A$8:$H$58,3),VLOOKUP(N31,setup!$A$8:$H$58,4),VLOOKUP(N31,setup!$A$8:$H$58,5),VLOOKUP(N31,setup!$A$8:$H$58,6),VLOOKUP(N31,setup!$A$8:$H$58,7), VLOOKUP(0,setup!$A$8:$H$58,2),VLOOKUP(0,setup!$A$8:$H$58,5),VLOOKUP(N31,setup!$A$8:$H$58,8))</f>
        <v/>
      </c>
    </row>
    <row r="32" spans="1:15" x14ac:dyDescent="0.25">
      <c r="A32" s="15" t="s">
        <v>67</v>
      </c>
      <c r="O32" s="7" t="str">
        <f ca="1">getCodigoBackend(N32,A32,VLOOKUP(N32,setup!$A$8:$H$58,2),VLOOKUP(N32,setup!$A$8:$H$58,3),VLOOKUP(N32,setup!$A$8:$H$58,4),VLOOKUP(N32,setup!$A$8:$H$58,5),VLOOKUP(N32,setup!$A$8:$H$58,6),VLOOKUP(N32,setup!$A$8:$H$58,7), VLOOKUP(0,setup!$A$8:$H$58,2),VLOOKUP(0,setup!$A$8:$H$58,5),VLOOKUP(N32,setup!$A$8:$H$58,8))</f>
        <v xml:space="preserve">  String _token;</v>
      </c>
    </row>
    <row r="33" spans="1:15" x14ac:dyDescent="0.25">
      <c r="A33" s="15" t="s">
        <v>68</v>
      </c>
      <c r="O33" s="7" t="str">
        <f ca="1">getCodigoBackend(N33,A33,VLOOKUP(N33,setup!$A$8:$H$58,2),VLOOKUP(N33,setup!$A$8:$H$58,3),VLOOKUP(N33,setup!$A$8:$H$58,4),VLOOKUP(N33,setup!$A$8:$H$58,5),VLOOKUP(N33,setup!$A$8:$H$58,6),VLOOKUP(N33,setup!$A$8:$H$58,7), VLOOKUP(0,setup!$A$8:$H$58,2),VLOOKUP(0,setup!$A$8:$H$58,5),VLOOKUP(N33,setup!$A$8:$H$58,8))</f>
        <v xml:space="preserve">  String _urlControlador;</v>
      </c>
    </row>
    <row r="34" spans="1:15" x14ac:dyDescent="0.25">
      <c r="A34" s="15" t="s">
        <v>266</v>
      </c>
      <c r="O34" s="7" t="str">
        <f ca="1">getCodigoBackend(N34,A34,VLOOKUP(N34,setup!$A$8:$H$58,2),VLOOKUP(N34,setup!$A$8:$H$58,3),VLOOKUP(N34,setup!$A$8:$H$58,4),VLOOKUP(N34,setup!$A$8:$H$58,5),VLOOKUP(N34,setup!$A$8:$H$58,6),VLOOKUP(N34,setup!$A$8:$H$58,7), VLOOKUP(0,setup!$A$8:$H$58,2),VLOOKUP(0,setup!$A$8:$H$58,5),VLOOKUP(N34,setup!$A$8:$H$58,8))</f>
        <v xml:space="preserve">   bool _isVisibleActionBtn = false;</v>
      </c>
    </row>
    <row r="35" spans="1:15" x14ac:dyDescent="0.25">
      <c r="A35" s="6" t="s">
        <v>334</v>
      </c>
      <c r="O35" s="7" t="str">
        <f ca="1">getCodigoBackend(N35,A35,VLOOKUP(N35,setup!$A$8:$H$58,2),VLOOKUP(N35,setup!$A$8:$H$58,3),VLOOKUP(N35,setup!$A$8:$H$58,4),VLOOKUP(N35,setup!$A$8:$H$58,5),VLOOKUP(N35,setup!$A$8:$H$58,6),VLOOKUP(N35,setup!$A$8:$H$58,7), VLOOKUP(0,setup!$A$8:$H$58,2),VLOOKUP(0,setup!$A$8:$H$58,5),VLOOKUP(N35,setup!$A$8:$H$58,8))</f>
        <v>  String _uspu_id;</v>
      </c>
    </row>
    <row r="36" spans="1:15" x14ac:dyDescent="0.25">
      <c r="A36" s="20" t="s">
        <v>145</v>
      </c>
      <c r="O36" s="7" t="str">
        <f ca="1">getCodigoBackend(N36,A36,VLOOKUP(N36,setup!$A$8:$H$58,2),VLOOKUP(N36,setup!$A$8:$H$58,3),VLOOKUP(N36,setup!$A$8:$H$58,4),VLOOKUP(N36,setup!$A$8:$H$58,5),VLOOKUP(N36,setup!$A$8:$H$58,6),VLOOKUP(N36,setup!$A$8:$H$58,7), VLOOKUP(0,setup!$A$8:$H$58,2),VLOOKUP(0,setup!$A$8:$H$58,5),VLOOKUP(N36,setup!$A$8:$H$58,8))</f>
        <v xml:space="preserve">  @override</v>
      </c>
    </row>
    <row r="37" spans="1:15" x14ac:dyDescent="0.25">
      <c r="A37" s="18" t="s">
        <v>69</v>
      </c>
      <c r="O37" s="7" t="str">
        <f ca="1">getCodigoBackend(N37,A37,VLOOKUP(N37,setup!$A$8:$H$58,2),VLOOKUP(N37,setup!$A$8:$H$58,3),VLOOKUP(N37,setup!$A$8:$H$58,4),VLOOKUP(N37,setup!$A$8:$H$58,5),VLOOKUP(N37,setup!$A$8:$H$58,6),VLOOKUP(N37,setup!$A$8:$H$58,7), VLOOKUP(0,setup!$A$8:$H$58,2),VLOOKUP(0,setup!$A$8:$H$58,5),VLOOKUP(N37,setup!$A$8:$H$58,8))</f>
        <v xml:space="preserve">  void initState(){</v>
      </c>
    </row>
    <row r="38" spans="1:15" x14ac:dyDescent="0.25">
      <c r="A38" s="18" t="s">
        <v>373</v>
      </c>
      <c r="O38" s="7" t="str">
        <f ca="1">getCodigoBackend(N38,A38,VLOOKUP(N38,setup!$A$8:$H$58,2),VLOOKUP(N38,setup!$A$8:$H$58,3),VLOOKUP(N38,setup!$A$8:$H$58,4),VLOOKUP(N38,setup!$A$8:$H$58,5),VLOOKUP(N38,setup!$A$8:$H$58,6),VLOOKUP(N38,setup!$A$8:$H$58,7), VLOOKUP(0,setup!$A$8:$H$58,2),VLOOKUP(0,setup!$A$8:$H$58,5),VLOOKUP(N38,setup!$A$8:$H$58,8))</f>
        <v xml:space="preserve">    super.initState();</v>
      </c>
    </row>
    <row r="39" spans="1:15" x14ac:dyDescent="0.25">
      <c r="A39" s="15" t="s">
        <v>207</v>
      </c>
      <c r="O39" s="7" t="str">
        <f ca="1">getCodigoBackend(N39,A39,VLOOKUP(N39,setup!$A$8:$H$58,2),VLOOKUP(N39,setup!$A$8:$H$58,3),VLOOKUP(N39,setup!$A$8:$H$58,4),VLOOKUP(N39,setup!$A$8:$H$58,5),VLOOKUP(N39,setup!$A$8:$H$58,6),VLOOKUP(N39,setup!$A$8:$H$58,7), VLOOKUP(0,setup!$A$8:$H$58,2),VLOOKUP(0,setup!$A$8:$H$58,5),VLOOKUP(N39,setup!$A$8:$H$58,8))</f>
        <v xml:space="preserve">    _token = CacheSession().getSession()['tokenid'];</v>
      </c>
    </row>
    <row r="40" spans="1:15" x14ac:dyDescent="0.25">
      <c r="A40" s="15" t="s">
        <v>208</v>
      </c>
      <c r="O40" s="7" t="str">
        <f ca="1">getCodigoBackend(N40,A40,VLOOKUP(N40,setup!$A$8:$H$58,2),VLOOKUP(N40,setup!$A$8:$H$58,3),VLOOKUP(N40,setup!$A$8:$H$58,4),VLOOKUP(N40,setup!$A$8:$H$58,5),VLOOKUP(N40,setup!$A$8:$H$58,6),VLOOKUP(N40,setup!$A$8:$H$58,7), VLOOKUP(0,setup!$A$8:$H$58,2),VLOOKUP(0,setup!$A$8:$H$58,5),VLOOKUP(N40,setup!$A$8:$H$58,8))</f>
        <v xml:space="preserve">    _urlControlador = CacheSession().getSession()['urlControlador'];</v>
      </c>
    </row>
    <row r="41" spans="1:15" x14ac:dyDescent="0.25">
      <c r="A41" s="15" t="s">
        <v>41</v>
      </c>
      <c r="O41" s="7" t="str">
        <f ca="1">getCodigoBackend(N41,A41,VLOOKUP(N41,setup!$A$8:$H$58,2),VLOOKUP(N41,setup!$A$8:$H$58,3),VLOOKUP(N41,setup!$A$8:$H$58,4),VLOOKUP(N41,setup!$A$8:$H$58,5),VLOOKUP(N41,setup!$A$8:$H$58,6),VLOOKUP(N41,setup!$A$8:$H$58,7), VLOOKUP(0,setup!$A$8:$H$58,2),VLOOKUP(0,setup!$A$8:$H$58,5),VLOOKUP(N41,setup!$A$8:$H$58,8))</f>
        <v xml:space="preserve">  }</v>
      </c>
    </row>
    <row r="42" spans="1:15" x14ac:dyDescent="0.25">
      <c r="A42" s="15"/>
      <c r="O42" s="7" t="str">
        <f ca="1">getCodigoBackend(N42,A42,VLOOKUP(N42,setup!$A$8:$H$58,2),VLOOKUP(N42,setup!$A$8:$H$58,3),VLOOKUP(N42,setup!$A$8:$H$58,4),VLOOKUP(N42,setup!$A$8:$H$58,5),VLOOKUP(N42,setup!$A$8:$H$58,6),VLOOKUP(N42,setup!$A$8:$H$58,7), VLOOKUP(0,setup!$A$8:$H$58,2),VLOOKUP(0,setup!$A$8:$H$58,5),VLOOKUP(N42,setup!$A$8:$H$58,8))</f>
        <v/>
      </c>
    </row>
    <row r="43" spans="1:15" x14ac:dyDescent="0.25">
      <c r="A43" s="15" t="s">
        <v>341</v>
      </c>
      <c r="O43" s="7" t="str">
        <f ca="1">getCodigoBackend(N43,A43,VLOOKUP(N43,setup!$A$8:$H$58,2),VLOOKUP(N43,setup!$A$8:$H$58,3),VLOOKUP(N43,setup!$A$8:$H$58,4),VLOOKUP(N43,setup!$A$8:$H$58,5),VLOOKUP(N43,setup!$A$8:$H$58,6),VLOOKUP(N43,setup!$A$8:$H$58,7), VLOOKUP(0,setup!$A$8:$H$58,2),VLOOKUP(0,setup!$A$8:$H$58,5),VLOOKUP(N43,setup!$A$8:$H$58,8))</f>
        <v xml:space="preserve">  // Realizar a execução no backend do botão cancelar na CRUD</v>
      </c>
    </row>
    <row r="44" spans="1:15" x14ac:dyDescent="0.25">
      <c r="A44" s="6" t="s">
        <v>335</v>
      </c>
      <c r="O44" s="7" t="str">
        <f ca="1">getCodigoBackend(N44,A44,VLOOKUP(N44,setup!$A$8:$H$58,2),VLOOKUP(N44,setup!$A$8:$H$58,3),VLOOKUP(N44,setup!$A$8:$H$58,4),VLOOKUP(N44,setup!$A$8:$H$58,5),VLOOKUP(N44,setup!$A$8:$H$58,6),VLOOKUP(N44,setup!$A$8:$H$58,7), VLOOKUP(0,setup!$A$8:$H$58,2),VLOOKUP(0,setup!$A$8:$H$58,5),VLOOKUP(N44,setup!$A$8:$H$58,8))</f>
        <v>  Future&lt;Map&gt; _realizarCancelarClick() async {</v>
      </c>
    </row>
    <row r="45" spans="1:15" x14ac:dyDescent="0.25">
      <c r="A45" s="6" t="s">
        <v>336</v>
      </c>
      <c r="O45" s="7" t="str">
        <f ca="1">getCodigoBackend(N45,A45,VLOOKUP(N45,setup!$A$8:$H$58,2),VLOOKUP(N45,setup!$A$8:$H$58,3),VLOOKUP(N45,setup!$A$8:$H$58,4),VLOOKUP(N45,setup!$A$8:$H$58,5),VLOOKUP(N45,setup!$A$8:$H$58,6),VLOOKUP(N45,setup!$A$8:$H$58,7), VLOOKUP(0,setup!$A$8:$H$58,2),VLOOKUP(0,setup!$A$8:$H$58,5),VLOOKUP(N45,setup!$A$8:$H$58,8))</f>
        <v>    http.Response response;</v>
      </c>
    </row>
    <row r="46" spans="1:15" x14ac:dyDescent="0.25">
      <c r="A46" s="6" t="s">
        <v>337</v>
      </c>
      <c r="O46" s="7" t="str">
        <f ca="1">getCodigoBackend(N46,A46,VLOOKUP(N46,setup!$A$8:$H$58,2),VLOOKUP(N46,setup!$A$8:$H$58,3),VLOOKUP(N46,setup!$A$8:$H$58,4),VLOOKUP(N46,setup!$A$8:$H$58,5),VLOOKUP(N46,setup!$A$8:$H$58,6),VLOOKUP(N46,setup!$A$8:$H$58,7), VLOOKUP(0,setup!$A$8:$H$58,2),VLOOKUP(0,setup!$A$8:$H$58,5),VLOOKUP(N46,setup!$A$8:$H$58,8))</f>
        <v>    // Solicita a requisição na URL por enquanto sem callback</v>
      </c>
    </row>
    <row r="47" spans="1:15" x14ac:dyDescent="0.25">
      <c r="A47" s="6" t="s">
        <v>372</v>
      </c>
      <c r="O47" s="7" t="str">
        <f ca="1">getCodigoBackend(N47,A47,VLOOKUP(N47,setup!$A$8:$H$58,2),VLOOKUP(N47,setup!$A$8:$H$58,3),VLOOKUP(N47,setup!$A$8:$H$58,4),VLOOKUP(N47,setup!$A$8:$H$58,5),VLOOKUP(N47,setup!$A$8:$H$58,6),VLOOKUP(N47,setup!$A$8:$H$58,7), VLOOKUP(0,setup!$A$8:$H$58,2),VLOOKUP(0,setup!$A$8:$H$58,5),VLOOKUP(N47,setup!$A$8:$H$58,8))</f>
        <v>    String url='${_urlControlador}appUsuarioPublicidadeCancelar.php?tokenid=${_token}&amp;uspu_id=${_uspu_id}';</v>
      </c>
    </row>
    <row r="48" spans="1:15" x14ac:dyDescent="0.25">
      <c r="A48" s="6" t="s">
        <v>338</v>
      </c>
      <c r="O48" s="7" t="str">
        <f ca="1">getCodigoBackend(N48,A48,VLOOKUP(N48,setup!$A$8:$H$58,2),VLOOKUP(N48,setup!$A$8:$H$58,3),VLOOKUP(N48,setup!$A$8:$H$58,4),VLOOKUP(N48,setup!$A$8:$H$58,5),VLOOKUP(N48,setup!$A$8:$H$58,6),VLOOKUP(N48,setup!$A$8:$H$58,7), VLOOKUP(0,setup!$A$8:$H$58,2),VLOOKUP(0,setup!$A$8:$H$58,5),VLOOKUP(N48,setup!$A$8:$H$58,8))</f>
        <v>    response = await http.get('$url');</v>
      </c>
    </row>
    <row r="49" spans="1:15" x14ac:dyDescent="0.25">
      <c r="A49" s="6" t="s">
        <v>339</v>
      </c>
      <c r="O49" s="7" t="str">
        <f ca="1">getCodigoBackend(N49,A49,VLOOKUP(N49,setup!$A$8:$H$58,2),VLOOKUP(N49,setup!$A$8:$H$58,3),VLOOKUP(N49,setup!$A$8:$H$58,4),VLOOKUP(N49,setup!$A$8:$H$58,5),VLOOKUP(N49,setup!$A$8:$H$58,6),VLOOKUP(N49,setup!$A$8:$H$58,7), VLOOKUP(0,setup!$A$8:$H$58,2),VLOOKUP(0,setup!$A$8:$H$58,5),VLOOKUP(N49,setup!$A$8:$H$58,8))</f>
        <v>    return json.decode(response.body);</v>
      </c>
    </row>
    <row r="50" spans="1:15" x14ac:dyDescent="0.25">
      <c r="A50" s="6" t="s">
        <v>340</v>
      </c>
      <c r="O50" s="7" t="str">
        <f ca="1">getCodigoBackend(N50,A50,VLOOKUP(N50,setup!$A$8:$H$58,2),VLOOKUP(N50,setup!$A$8:$H$58,3),VLOOKUP(N50,setup!$A$8:$H$58,4),VLOOKUP(N50,setup!$A$8:$H$58,5),VLOOKUP(N50,setup!$A$8:$H$58,6),VLOOKUP(N50,setup!$A$8:$H$58,7), VLOOKUP(0,setup!$A$8:$H$58,2),VLOOKUP(0,setup!$A$8:$H$58,5),VLOOKUP(N50,setup!$A$8:$H$58,8))</f>
        <v>  }</v>
      </c>
    </row>
    <row r="51" spans="1:15" x14ac:dyDescent="0.25">
      <c r="A51" s="6"/>
      <c r="O51" s="7" t="str">
        <f ca="1">getCodigoBackend(N51,A51,VLOOKUP(N51,setup!$A$8:$H$58,2),VLOOKUP(N51,setup!$A$8:$H$58,3),VLOOKUP(N51,setup!$A$8:$H$58,4),VLOOKUP(N51,setup!$A$8:$H$58,5),VLOOKUP(N51,setup!$A$8:$H$58,6),VLOOKUP(N51,setup!$A$8:$H$58,7), VLOOKUP(0,setup!$A$8:$H$58,2),VLOOKUP(0,setup!$A$8:$H$58,5),VLOOKUP(N51,setup!$A$8:$H$58,8))</f>
        <v/>
      </c>
    </row>
    <row r="52" spans="1:15" x14ac:dyDescent="0.25">
      <c r="A52" s="15" t="s">
        <v>370</v>
      </c>
      <c r="O52" s="7" t="str">
        <f ca="1">getCodigoBackend(N52,A52,VLOOKUP(N52,setup!$A$8:$H$58,2),VLOOKUP(N52,setup!$A$8:$H$58,3),VLOOKUP(N52,setup!$A$8:$H$58,4),VLOOKUP(N52,setup!$A$8:$H$58,5),VLOOKUP(N52,setup!$A$8:$H$58,6),VLOOKUP(N52,setup!$A$8:$H$58,7), VLOOKUP(0,setup!$A$8:$H$58,2),VLOOKUP(0,setup!$A$8:$H$58,5),VLOOKUP(N52,setup!$A$8:$H$58,8))</f>
        <v xml:space="preserve">  // Realizar a execução no backend do botão Habilitar na CRUD</v>
      </c>
    </row>
    <row r="53" spans="1:15" x14ac:dyDescent="0.25">
      <c r="A53" s="6" t="s">
        <v>369</v>
      </c>
      <c r="O53" s="7" t="str">
        <f ca="1">getCodigoBackend(N53,A53,VLOOKUP(N53,setup!$A$8:$H$58,2),VLOOKUP(N53,setup!$A$8:$H$58,3),VLOOKUP(N53,setup!$A$8:$H$58,4),VLOOKUP(N53,setup!$A$8:$H$58,5),VLOOKUP(N53,setup!$A$8:$H$58,6),VLOOKUP(N53,setup!$A$8:$H$58,7), VLOOKUP(0,setup!$A$8:$H$58,2),VLOOKUP(0,setup!$A$8:$H$58,5),VLOOKUP(N53,setup!$A$8:$H$58,8))</f>
        <v>  Future&lt;Map&gt; _realizarHabilitarClick() async {</v>
      </c>
    </row>
    <row r="54" spans="1:15" x14ac:dyDescent="0.25">
      <c r="A54" s="6" t="s">
        <v>336</v>
      </c>
      <c r="O54" s="7" t="str">
        <f ca="1">getCodigoBackend(N54,A54,VLOOKUP(N54,setup!$A$8:$H$58,2),VLOOKUP(N54,setup!$A$8:$H$58,3),VLOOKUP(N54,setup!$A$8:$H$58,4),VLOOKUP(N54,setup!$A$8:$H$58,5),VLOOKUP(N54,setup!$A$8:$H$58,6),VLOOKUP(N54,setup!$A$8:$H$58,7), VLOOKUP(0,setup!$A$8:$H$58,2),VLOOKUP(0,setup!$A$8:$H$58,5),VLOOKUP(N54,setup!$A$8:$H$58,8))</f>
        <v>    http.Response response;</v>
      </c>
    </row>
    <row r="55" spans="1:15" x14ac:dyDescent="0.25">
      <c r="A55" s="6" t="s">
        <v>337</v>
      </c>
      <c r="O55" s="7" t="str">
        <f ca="1">getCodigoBackend(N55,A55,VLOOKUP(N55,setup!$A$8:$H$58,2),VLOOKUP(N55,setup!$A$8:$H$58,3),VLOOKUP(N55,setup!$A$8:$H$58,4),VLOOKUP(N55,setup!$A$8:$H$58,5),VLOOKUP(N55,setup!$A$8:$H$58,6),VLOOKUP(N55,setup!$A$8:$H$58,7), VLOOKUP(0,setup!$A$8:$H$58,2),VLOOKUP(0,setup!$A$8:$H$58,5),VLOOKUP(N55,setup!$A$8:$H$58,8))</f>
        <v>    // Solicita a requisição na URL por enquanto sem callback</v>
      </c>
    </row>
    <row r="56" spans="1:15" x14ac:dyDescent="0.25">
      <c r="A56" s="6" t="s">
        <v>371</v>
      </c>
      <c r="O56" s="7" t="str">
        <f ca="1">getCodigoBackend(N56,A56,VLOOKUP(N56,setup!$A$8:$H$58,2),VLOOKUP(N56,setup!$A$8:$H$58,3),VLOOKUP(N56,setup!$A$8:$H$58,4),VLOOKUP(N56,setup!$A$8:$H$58,5),VLOOKUP(N56,setup!$A$8:$H$58,6),VLOOKUP(N56,setup!$A$8:$H$58,7), VLOOKUP(0,setup!$A$8:$H$58,2),VLOOKUP(0,setup!$A$8:$H$58,5),VLOOKUP(N56,setup!$A$8:$H$58,8))</f>
        <v>    String url='${_urlControlador}appUsuarioPublicidadeHabilitar.php?tokenid=${_token}&amp;uspu_id=${_uspu_id}';</v>
      </c>
    </row>
    <row r="57" spans="1:15" x14ac:dyDescent="0.25">
      <c r="A57" s="6" t="s">
        <v>338</v>
      </c>
      <c r="O57" s="7" t="str">
        <f ca="1">getCodigoBackend(N57,A57,VLOOKUP(N57,setup!$A$8:$H$58,2),VLOOKUP(N57,setup!$A$8:$H$58,3),VLOOKUP(N57,setup!$A$8:$H$58,4),VLOOKUP(N57,setup!$A$8:$H$58,5),VLOOKUP(N57,setup!$A$8:$H$58,6),VLOOKUP(N57,setup!$A$8:$H$58,7), VLOOKUP(0,setup!$A$8:$H$58,2),VLOOKUP(0,setup!$A$8:$H$58,5),VLOOKUP(N57,setup!$A$8:$H$58,8))</f>
        <v>    response = await http.get('$url');</v>
      </c>
    </row>
    <row r="58" spans="1:15" x14ac:dyDescent="0.25">
      <c r="A58" s="6" t="s">
        <v>339</v>
      </c>
      <c r="O58" s="7" t="str">
        <f ca="1">getCodigoBackend(N58,A58,VLOOKUP(N58,setup!$A$8:$H$58,2),VLOOKUP(N58,setup!$A$8:$H$58,3),VLOOKUP(N58,setup!$A$8:$H$58,4),VLOOKUP(N58,setup!$A$8:$H$58,5),VLOOKUP(N58,setup!$A$8:$H$58,6),VLOOKUP(N58,setup!$A$8:$H$58,7), VLOOKUP(0,setup!$A$8:$H$58,2),VLOOKUP(0,setup!$A$8:$H$58,5),VLOOKUP(N58,setup!$A$8:$H$58,8))</f>
        <v>    return json.decode(response.body);</v>
      </c>
    </row>
    <row r="59" spans="1:15" x14ac:dyDescent="0.25">
      <c r="A59" s="6" t="s">
        <v>340</v>
      </c>
      <c r="O59" s="7" t="str">
        <f ca="1">getCodigoBackend(N59,A59,VLOOKUP(N59,setup!$A$8:$H$58,2),VLOOKUP(N59,setup!$A$8:$H$58,3),VLOOKUP(N59,setup!$A$8:$H$58,4),VLOOKUP(N59,setup!$A$8:$H$58,5),VLOOKUP(N59,setup!$A$8:$H$58,6),VLOOKUP(N59,setup!$A$8:$H$58,7), VLOOKUP(0,setup!$A$8:$H$58,2),VLOOKUP(0,setup!$A$8:$H$58,5),VLOOKUP(N59,setup!$A$8:$H$58,8))</f>
        <v>  }</v>
      </c>
    </row>
    <row r="60" spans="1:15" x14ac:dyDescent="0.25">
      <c r="A60" s="6"/>
      <c r="O60" s="7" t="str">
        <f ca="1">getCodigoBackend(N60,A60,VLOOKUP(N60,setup!$A$8:$H$58,2),VLOOKUP(N60,setup!$A$8:$H$58,3),VLOOKUP(N60,setup!$A$8:$H$58,4),VLOOKUP(N60,setup!$A$8:$H$58,5),VLOOKUP(N60,setup!$A$8:$H$58,6),VLOOKUP(N60,setup!$A$8:$H$58,7), VLOOKUP(0,setup!$A$8:$H$58,2),VLOOKUP(0,setup!$A$8:$H$58,5),VLOOKUP(N60,setup!$A$8:$H$58,8))</f>
        <v/>
      </c>
    </row>
    <row r="61" spans="1:15" x14ac:dyDescent="0.25">
      <c r="A61" s="6"/>
      <c r="O61" s="7" t="str">
        <f ca="1">getCodigoBackend(N61,A61,VLOOKUP(N61,setup!$A$8:$H$58,2),VLOOKUP(N61,setup!$A$8:$H$58,3),VLOOKUP(N61,setup!$A$8:$H$58,4),VLOOKUP(N61,setup!$A$8:$H$58,5),VLOOKUP(N61,setup!$A$8:$H$58,6),VLOOKUP(N61,setup!$A$8:$H$58,7), VLOOKUP(0,setup!$A$8:$H$58,2),VLOOKUP(0,setup!$A$8:$H$58,5),VLOOKUP(N61,setup!$A$8:$H$58,8))</f>
        <v/>
      </c>
    </row>
    <row r="62" spans="1:15" x14ac:dyDescent="0.25">
      <c r="A62" s="6"/>
      <c r="O62" s="7" t="str">
        <f ca="1">getCodigoBackend(N62,A62,VLOOKUP(N62,setup!$A$8:$H$58,2),VLOOKUP(N62,setup!$A$8:$H$58,3),VLOOKUP(N62,setup!$A$8:$H$58,4),VLOOKUP(N62,setup!$A$8:$H$58,5),VLOOKUP(N62,setup!$A$8:$H$58,6),VLOOKUP(N62,setup!$A$8:$H$58,7), VLOOKUP(0,setup!$A$8:$H$58,2),VLOOKUP(0,setup!$A$8:$H$58,5),VLOOKUP(N62,setup!$A$8:$H$58,8))</f>
        <v/>
      </c>
    </row>
    <row r="63" spans="1:15" x14ac:dyDescent="0.25">
      <c r="A63" s="15"/>
      <c r="O63" s="7" t="str">
        <f ca="1">getCodigoBackend(N63,A63,VLOOKUP(N63,setup!$A$8:$H$58,2),VLOOKUP(N63,setup!$A$8:$H$58,3),VLOOKUP(N63,setup!$A$8:$H$58,4),VLOOKUP(N63,setup!$A$8:$H$58,5),VLOOKUP(N63,setup!$A$8:$H$58,6),VLOOKUP(N63,setup!$A$8:$H$58,7), VLOOKUP(0,setup!$A$8:$H$58,2),VLOOKUP(0,setup!$A$8:$H$58,5),VLOOKUP(N63,setup!$A$8:$H$58,8))</f>
        <v/>
      </c>
    </row>
    <row r="64" spans="1:15" x14ac:dyDescent="0.25">
      <c r="A64" s="16"/>
      <c r="O64" s="7" t="str">
        <f ca="1">getCodigoBackend(N64,A64,VLOOKUP(N64,setup!$A$8:$H$58,2),VLOOKUP(N64,setup!$A$8:$H$58,3),VLOOKUP(N64,setup!$A$8:$H$58,4),VLOOKUP(N64,setup!$A$8:$H$58,5),VLOOKUP(N64,setup!$A$8:$H$58,6),VLOOKUP(N64,setup!$A$8:$H$58,7), VLOOKUP(0,setup!$A$8:$H$58,2),VLOOKUP(0,setup!$A$8:$H$58,5),VLOOKUP(N64,setup!$A$8:$H$58,8))</f>
        <v/>
      </c>
    </row>
    <row r="65" spans="1:15" x14ac:dyDescent="0.25">
      <c r="A65" s="15" t="s">
        <v>65</v>
      </c>
      <c r="O65" s="7" t="str">
        <f ca="1">getCodigoBackend(N65,A65,VLOOKUP(N65,setup!$A$8:$H$58,2),VLOOKUP(N65,setup!$A$8:$H$58,3),VLOOKUP(N65,setup!$A$8:$H$58,4),VLOOKUP(N65,setup!$A$8:$H$58,5),VLOOKUP(N65,setup!$A$8:$H$58,6),VLOOKUP(N65,setup!$A$8:$H$58,7), VLOOKUP(0,setup!$A$8:$H$58,2),VLOOKUP(0,setup!$A$8:$H$58,5),VLOOKUP(N65,setup!$A$8:$H$58,8))</f>
        <v xml:space="preserve">  @override</v>
      </c>
    </row>
    <row r="66" spans="1:15" x14ac:dyDescent="0.25">
      <c r="A66" s="15" t="s">
        <v>72</v>
      </c>
      <c r="O66" s="7" t="str">
        <f ca="1">getCodigoBackend(N66,A66,VLOOKUP(N66,setup!$A$8:$H$58,2),VLOOKUP(N66,setup!$A$8:$H$58,3),VLOOKUP(N66,setup!$A$8:$H$58,4),VLOOKUP(N66,setup!$A$8:$H$58,5),VLOOKUP(N66,setup!$A$8:$H$58,6),VLOOKUP(N66,setup!$A$8:$H$58,7), VLOOKUP(0,setup!$A$8:$H$58,2),VLOOKUP(0,setup!$A$8:$H$58,5),VLOOKUP(N66,setup!$A$8:$H$58,8))</f>
        <v xml:space="preserve">  Widget build(BuildContext context) {</v>
      </c>
    </row>
    <row r="67" spans="1:15" x14ac:dyDescent="0.25">
      <c r="A67" s="15"/>
      <c r="O67" s="7" t="str">
        <f ca="1">getCodigoBackend(N67,A67,VLOOKUP(N67,setup!$A$8:$H$58,2),VLOOKUP(N67,setup!$A$8:$H$58,3),VLOOKUP(N67,setup!$A$8:$H$58,4),VLOOKUP(N67,setup!$A$8:$H$58,5),VLOOKUP(N67,setup!$A$8:$H$58,6),VLOOKUP(N67,setup!$A$8:$H$58,7), VLOOKUP(0,setup!$A$8:$H$58,2),VLOOKUP(0,setup!$A$8:$H$58,5),VLOOKUP(N67,setup!$A$8:$H$58,8))</f>
        <v/>
      </c>
    </row>
    <row r="68" spans="1:15" x14ac:dyDescent="0.25">
      <c r="A68" s="6" t="s">
        <v>313</v>
      </c>
      <c r="O68" s="7" t="str">
        <f ca="1">getCodigoBackend(N68,A68,VLOOKUP(N68,setup!$A$8:$H$58,2),VLOOKUP(N68,setup!$A$8:$H$58,3),VLOOKUP(N68,setup!$A$8:$H$58,4),VLOOKUP(N68,setup!$A$8:$H$58,5),VLOOKUP(N68,setup!$A$8:$H$58,6),VLOOKUP(N68,setup!$A$8:$H$58,7), VLOOKUP(0,setup!$A$8:$H$58,2),VLOOKUP(0,setup!$A$8:$H$58,5),VLOOKUP(N68,setup!$A$8:$H$58,8))</f>
        <v>    // Armazena predefinições da telado dispositivo</v>
      </c>
    </row>
    <row r="69" spans="1:15" x14ac:dyDescent="0.25">
      <c r="A69" s="6" t="s">
        <v>310</v>
      </c>
      <c r="O69" s="7" t="str">
        <f ca="1">getCodigoBackend(N69,A69,VLOOKUP(N69,setup!$A$8:$H$58,2),VLOOKUP(N69,setup!$A$8:$H$58,3),VLOOKUP(N69,setup!$A$8:$H$58,4),VLOOKUP(N69,setup!$A$8:$H$58,5),VLOOKUP(N69,setup!$A$8:$H$58,6),VLOOKUP(N69,setup!$A$8:$H$58,7), VLOOKUP(0,setup!$A$8:$H$58,2),VLOOKUP(0,setup!$A$8:$H$58,5),VLOOKUP(N69,setup!$A$8:$H$58,8))</f>
        <v>    Size size= MediaQuery.of(context).size;</v>
      </c>
    </row>
    <row r="70" spans="1:15" x14ac:dyDescent="0.25">
      <c r="A70" s="6" t="s">
        <v>311</v>
      </c>
      <c r="O70" s="7" t="str">
        <f ca="1">getCodigoBackend(N70,A70,VLOOKUP(N70,setup!$A$8:$H$58,2),VLOOKUP(N70,setup!$A$8:$H$58,3),VLOOKUP(N70,setup!$A$8:$H$58,4),VLOOKUP(N70,setup!$A$8:$H$58,5),VLOOKUP(N70,setup!$A$8:$H$58,6),VLOOKUP(N70,setup!$A$8:$H$58,7), VLOOKUP(0,setup!$A$8:$H$58,2),VLOOKUP(0,setup!$A$8:$H$58,5),VLOOKUP(N70,setup!$A$8:$H$58,8))</f>
        <v>    double screenWidth = size.width;</v>
      </c>
    </row>
    <row r="71" spans="1:15" x14ac:dyDescent="0.25">
      <c r="A71" s="6" t="s">
        <v>312</v>
      </c>
      <c r="O71" s="7" t="str">
        <f ca="1">getCodigoBackend(N71,A71,VLOOKUP(N71,setup!$A$8:$H$58,2),VLOOKUP(N71,setup!$A$8:$H$58,3),VLOOKUP(N71,setup!$A$8:$H$58,4),VLOOKUP(N71,setup!$A$8:$H$58,5),VLOOKUP(N71,setup!$A$8:$H$58,6),VLOOKUP(N71,setup!$A$8:$H$58,7), VLOOKUP(0,setup!$A$8:$H$58,2),VLOOKUP(0,setup!$A$8:$H$58,5),VLOOKUP(N71,setup!$A$8:$H$58,8))</f>
        <v>    double screenHeight = size.height;</v>
      </c>
    </row>
    <row r="72" spans="1:15" x14ac:dyDescent="0.25">
      <c r="A72" s="15"/>
      <c r="O72" s="7" t="str">
        <f ca="1">getCodigoBackend(N72,A72,VLOOKUP(N72,setup!$A$8:$H$58,2),VLOOKUP(N72,setup!$A$8:$H$58,3),VLOOKUP(N72,setup!$A$8:$H$58,4),VLOOKUP(N72,setup!$A$8:$H$58,5),VLOOKUP(N72,setup!$A$8:$H$58,6),VLOOKUP(N72,setup!$A$8:$H$58,7), VLOOKUP(0,setup!$A$8:$H$58,2),VLOOKUP(0,setup!$A$8:$H$58,5),VLOOKUP(N72,setup!$A$8:$H$58,8))</f>
        <v/>
      </c>
    </row>
    <row r="73" spans="1:15" x14ac:dyDescent="0.25">
      <c r="A73" s="6" t="s">
        <v>267</v>
      </c>
      <c r="O73" s="7" t="str">
        <f ca="1">getCodigoBackend(N73,A73,VLOOKUP(N73,setup!$A$8:$H$58,2),VLOOKUP(N73,setup!$A$8:$H$58,3),VLOOKUP(N73,setup!$A$8:$H$58,4),VLOOKUP(N73,setup!$A$8:$H$58,5),VLOOKUP(N73,setup!$A$8:$H$58,6),VLOOKUP(N73,setup!$A$8:$H$58,7), VLOOKUP(0,setup!$A$8:$H$58,2),VLOOKUP(0,setup!$A$8:$H$58,5),VLOOKUP(N73,setup!$A$8:$H$58,8))</f>
        <v>    // Toolbar com botões de ação</v>
      </c>
    </row>
    <row r="74" spans="1:15" x14ac:dyDescent="0.25">
      <c r="A74" s="6" t="s">
        <v>268</v>
      </c>
      <c r="O74" s="7" t="str">
        <f ca="1">getCodigoBackend(N74,A74,VLOOKUP(N74,setup!$A$8:$H$58,2),VLOOKUP(N74,setup!$A$8:$H$58,3),VLOOKUP(N74,setup!$A$8:$H$58,4),VLOOKUP(N74,setup!$A$8:$H$58,5),VLOOKUP(N74,setup!$A$8:$H$58,6),VLOOKUP(N74,setup!$A$8:$H$58,7), VLOOKUP(0,setup!$A$8:$H$58,2),VLOOKUP(0,setup!$A$8:$H$58,5),VLOOKUP(N74,setup!$A$8:$H$58,8))</f>
        <v>    Widget _widActionBtn = Row(</v>
      </c>
    </row>
    <row r="75" spans="1:15" x14ac:dyDescent="0.25">
      <c r="A75" s="6" t="s">
        <v>269</v>
      </c>
      <c r="O75" s="7" t="str">
        <f ca="1">getCodigoBackend(N75,A75,VLOOKUP(N75,setup!$A$8:$H$58,2),VLOOKUP(N75,setup!$A$8:$H$58,3),VLOOKUP(N75,setup!$A$8:$H$58,4),VLOOKUP(N75,setup!$A$8:$H$58,5),VLOOKUP(N75,setup!$A$8:$H$58,6),VLOOKUP(N75,setup!$A$8:$H$58,7), VLOOKUP(0,setup!$A$8:$H$58,2),VLOOKUP(0,setup!$A$8:$H$58,5),VLOOKUP(N75,setup!$A$8:$H$58,8))</f>
        <v>      mainAxisAlignment: MainAxisAlignment.spaceBetween,</v>
      </c>
    </row>
    <row r="76" spans="1:15" x14ac:dyDescent="0.25">
      <c r="A76" s="6" t="s">
        <v>270</v>
      </c>
      <c r="O76" s="7" t="str">
        <f ca="1">getCodigoBackend(N76,A76,VLOOKUP(N76,setup!$A$8:$H$58,2),VLOOKUP(N76,setup!$A$8:$H$58,3),VLOOKUP(N76,setup!$A$8:$H$58,4),VLOOKUP(N76,setup!$A$8:$H$58,5),VLOOKUP(N76,setup!$A$8:$H$58,6),VLOOKUP(N76,setup!$A$8:$H$58,7), VLOOKUP(0,setup!$A$8:$H$58,2),VLOOKUP(0,setup!$A$8:$H$58,5),VLOOKUP(N76,setup!$A$8:$H$58,8))</f>
        <v>      children: &lt;Widget&gt;[</v>
      </c>
    </row>
    <row r="77" spans="1:15" x14ac:dyDescent="0.25">
      <c r="A77" s="6" t="s">
        <v>321</v>
      </c>
      <c r="O77" s="7" t="str">
        <f ca="1">getCodigoBackend(N77,A77,VLOOKUP(N77,setup!$A$8:$H$58,2),VLOOKUP(N77,setup!$A$8:$H$58,3),VLOOKUP(N77,setup!$A$8:$H$58,4),VLOOKUP(N77,setup!$A$8:$H$58,5),VLOOKUP(N77,setup!$A$8:$H$58,6),VLOOKUP(N77,setup!$A$8:$H$58,7), VLOOKUP(0,setup!$A$8:$H$58,2),VLOOKUP(0,setup!$A$8:$H$58,5),VLOOKUP(N77,setup!$A$8:$H$58,8))</f>
        <v>        CommonFlatButtonFunction(Icon(Icons.edit, color: Colors.white), "Editar", (){</v>
      </c>
    </row>
    <row r="78" spans="1:15" x14ac:dyDescent="0.25">
      <c r="A78" s="26" t="s">
        <v>329</v>
      </c>
      <c r="O78" s="7" t="str">
        <f ca="1">getCodigoBackend(N78,A78,VLOOKUP(N78,setup!$A$8:$H$58,2),VLOOKUP(N78,setup!$A$8:$H$58,3),VLOOKUP(N78,setup!$A$8:$H$58,4),VLOOKUP(N78,setup!$A$8:$H$58,5),VLOOKUP(N78,setup!$A$8:$H$58,6),VLOOKUP(N78,setup!$A$8:$H$58,7), VLOOKUP(0,setup!$A$8:$H$58,2),VLOOKUP(0,setup!$A$8:$H$58,5),VLOOKUP(N78,setup!$A$8:$H$58,8))</f>
        <v xml:space="preserve">        UsuarioPublicidadeVOPost uspuvopost = new UsuarioPublicidadeVOPost();</v>
      </c>
    </row>
    <row r="79" spans="1:15" x14ac:dyDescent="0.25">
      <c r="A79" s="26" t="s">
        <v>326</v>
      </c>
      <c r="N79">
        <v>0</v>
      </c>
      <c r="O79" s="7" t="str">
        <f ca="1">getCodigoBackend(N79,A79,VLOOKUP(N79,setup!$A$8:$H$58,2),VLOOKUP(N79,setup!$A$8:$H$58,3),VLOOKUP(N79,setup!$A$8:$H$58,4),VLOOKUP(N79,setup!$A$8:$H$58,5),VLOOKUP(N79,setup!$A$8:$H$58,6),VLOOKUP(N79,setup!$A$8:$H$58,7), VLOOKUP(0,setup!$A$8:$H$58,2),VLOOKUP(0,setup!$A$8:$H$58,5),VLOOKUP(N79,setup!$A$8:$H$58,8))</f>
        <v xml:space="preserve">        uspuvopost.id = widget._usuariopublicidadeVO['id'];</v>
      </c>
    </row>
    <row r="80" spans="1:15" x14ac:dyDescent="0.25">
      <c r="A80" s="26" t="s">
        <v>326</v>
      </c>
      <c r="N80">
        <f>N79+1</f>
        <v>1</v>
      </c>
      <c r="O80" s="7" t="str">
        <f ca="1">getCodigoBackend(N80,A80,VLOOKUP(N80,setup!$A$8:$H$58,2),VLOOKUP(N80,setup!$A$8:$H$58,3),VLOOKUP(N80,setup!$A$8:$H$58,4),VLOOKUP(N80,setup!$A$8:$H$58,5),VLOOKUP(N80,setup!$A$8:$H$58,6),VLOOKUP(N80,setup!$A$8:$H$58,7), VLOOKUP(0,setup!$A$8:$H$58,2),VLOOKUP(0,setup!$A$8:$H$58,5),VLOOKUP(N80,setup!$A$8:$H$58,8))</f>
        <v xml:space="preserve">        uspuvopost.id_usuario = widget._usuariopublicidadeVO['id_usuario'];</v>
      </c>
    </row>
    <row r="81" spans="1:15" x14ac:dyDescent="0.25">
      <c r="A81" s="26" t="s">
        <v>326</v>
      </c>
      <c r="N81">
        <f t="shared" ref="N81:N120" si="0">N80+1</f>
        <v>2</v>
      </c>
      <c r="O81" s="7" t="str">
        <f ca="1">getCodigoBackend(N81,A81,VLOOKUP(N81,setup!$A$8:$H$58,2),VLOOKUP(N81,setup!$A$8:$H$58,3),VLOOKUP(N81,setup!$A$8:$H$58,4),VLOOKUP(N81,setup!$A$8:$H$58,5),VLOOKUP(N81,setup!$A$8:$H$58,6),VLOOKUP(N81,setup!$A$8:$H$58,7), VLOOKUP(0,setup!$A$8:$H$58,2),VLOOKUP(0,setup!$A$8:$H$58,5),VLOOKUP(N81,setup!$A$8:$H$58,8))</f>
        <v xml:space="preserve">        uspuvopost.titulo = widget._usuariopublicidadeVO['titulo'];</v>
      </c>
    </row>
    <row r="82" spans="1:15" x14ac:dyDescent="0.25">
      <c r="A82" s="26" t="s">
        <v>326</v>
      </c>
      <c r="N82">
        <f t="shared" si="0"/>
        <v>3</v>
      </c>
      <c r="O82" s="7" t="str">
        <f ca="1">getCodigoBackend(N82,A82,VLOOKUP(N82,setup!$A$8:$H$58,2),VLOOKUP(N82,setup!$A$8:$H$58,3),VLOOKUP(N82,setup!$A$8:$H$58,4),VLOOKUP(N82,setup!$A$8:$H$58,5),VLOOKUP(N82,setup!$A$8:$H$58,6),VLOOKUP(N82,setup!$A$8:$H$58,7), VLOOKUP(0,setup!$A$8:$H$58,2),VLOOKUP(0,setup!$A$8:$H$58,5),VLOOKUP(N82,setup!$A$8:$H$58,8))</f>
        <v xml:space="preserve">        uspuvopost.descricao = widget._usuariopublicidadeVO['descricao'];</v>
      </c>
    </row>
    <row r="83" spans="1:15" x14ac:dyDescent="0.25">
      <c r="A83" s="26" t="s">
        <v>326</v>
      </c>
      <c r="N83">
        <f t="shared" si="0"/>
        <v>4</v>
      </c>
      <c r="O83" s="7" t="str">
        <f ca="1">getCodigoBackend(N83,A83,VLOOKUP(N83,setup!$A$8:$H$58,2),VLOOKUP(N83,setup!$A$8:$H$58,3),VLOOKUP(N83,setup!$A$8:$H$58,4),VLOOKUP(N83,setup!$A$8:$H$58,5),VLOOKUP(N83,setup!$A$8:$H$58,6),VLOOKUP(N83,setup!$A$8:$H$58,7), VLOOKUP(0,setup!$A$8:$H$58,2),VLOOKUP(0,setup!$A$8:$H$58,5),VLOOKUP(N83,setup!$A$8:$H$58,8))</f>
        <v xml:space="preserve">        uspuvopost.dataInicio = widget._usuariopublicidadeVO['dataInicio'];</v>
      </c>
    </row>
    <row r="84" spans="1:15" x14ac:dyDescent="0.25">
      <c r="A84" s="26" t="s">
        <v>326</v>
      </c>
      <c r="N84">
        <f t="shared" si="0"/>
        <v>5</v>
      </c>
      <c r="O84" s="7" t="str">
        <f ca="1">getCodigoBackend(N84,A84,VLOOKUP(N84,setup!$A$8:$H$58,2),VLOOKUP(N84,setup!$A$8:$H$58,3),VLOOKUP(N84,setup!$A$8:$H$58,4),VLOOKUP(N84,setup!$A$8:$H$58,5),VLOOKUP(N84,setup!$A$8:$H$58,6),VLOOKUP(N84,setup!$A$8:$H$58,7), VLOOKUP(0,setup!$A$8:$H$58,2),VLOOKUP(0,setup!$A$8:$H$58,5),VLOOKUP(N84,setup!$A$8:$H$58,8))</f>
        <v xml:space="preserve">        uspuvopost.dataTermino = widget._usuariopublicidadeVO['dataTermino'];</v>
      </c>
    </row>
    <row r="85" spans="1:15" x14ac:dyDescent="0.25">
      <c r="A85" s="26" t="s">
        <v>326</v>
      </c>
      <c r="N85">
        <f t="shared" si="0"/>
        <v>6</v>
      </c>
      <c r="O85" s="7" t="str">
        <f ca="1">getCodigoBackend(N85,A85,VLOOKUP(N85,setup!$A$8:$H$58,2),VLOOKUP(N85,setup!$A$8:$H$58,3),VLOOKUP(N85,setup!$A$8:$H$58,4),VLOOKUP(N85,setup!$A$8:$H$58,5),VLOOKUP(N85,setup!$A$8:$H$58,6),VLOOKUP(N85,setup!$A$8:$H$58,7), VLOOKUP(0,setup!$A$8:$H$58,2),VLOOKUP(0,setup!$A$8:$H$58,5),VLOOKUP(N85,setup!$A$8:$H$58,8))</f>
        <v xml:space="preserve">        uspuvopost.vlNormal = widget._usuariopublicidadeVO['vlNormal'];</v>
      </c>
    </row>
    <row r="86" spans="1:15" x14ac:dyDescent="0.25">
      <c r="A86" s="26" t="s">
        <v>326</v>
      </c>
      <c r="N86">
        <f t="shared" si="0"/>
        <v>7</v>
      </c>
      <c r="O86" s="7" t="str">
        <f ca="1">getCodigoBackend(N86,A86,VLOOKUP(N86,setup!$A$8:$H$58,2),VLOOKUP(N86,setup!$A$8:$H$58,3),VLOOKUP(N86,setup!$A$8:$H$58,4),VLOOKUP(N86,setup!$A$8:$H$58,5),VLOOKUP(N86,setup!$A$8:$H$58,6),VLOOKUP(N86,setup!$A$8:$H$58,7), VLOOKUP(0,setup!$A$8:$H$58,2),VLOOKUP(0,setup!$A$8:$H$58,5),VLOOKUP(N86,setup!$A$8:$H$58,8))</f>
        <v xml:space="preserve">        uspuvopost.vlPromo = widget._usuariopublicidadeVO['vlPromo'];</v>
      </c>
    </row>
    <row r="87" spans="1:15" x14ac:dyDescent="0.25">
      <c r="A87" s="26" t="s">
        <v>326</v>
      </c>
      <c r="N87">
        <f t="shared" si="0"/>
        <v>8</v>
      </c>
      <c r="O87" s="7" t="str">
        <f ca="1">getCodigoBackend(N87,A87,VLOOKUP(N87,setup!$A$8:$H$58,2),VLOOKUP(N87,setup!$A$8:$H$58,3),VLOOKUP(N87,setup!$A$8:$H$58,4),VLOOKUP(N87,setup!$A$8:$H$58,5),VLOOKUP(N87,setup!$A$8:$H$58,6),VLOOKUP(N87,setup!$A$8:$H$58,7), VLOOKUP(0,setup!$A$8:$H$58,2),VLOOKUP(0,setup!$A$8:$H$58,5),VLOOKUP(N87,setup!$A$8:$H$58,8))</f>
        <v xml:space="preserve">        uspuvopost.observacao = widget._usuariopublicidadeVO['observacao'];</v>
      </c>
    </row>
    <row r="88" spans="1:15" x14ac:dyDescent="0.25">
      <c r="A88" s="26" t="s">
        <v>326</v>
      </c>
      <c r="N88">
        <f t="shared" si="0"/>
        <v>9</v>
      </c>
      <c r="O88" s="7" t="str">
        <f ca="1">getCodigoBackend(N88,A88,VLOOKUP(N88,setup!$A$8:$H$58,2),VLOOKUP(N88,setup!$A$8:$H$58,3),VLOOKUP(N88,setup!$A$8:$H$58,4),VLOOKUP(N88,setup!$A$8:$H$58,5),VLOOKUP(N88,setup!$A$8:$H$58,6),VLOOKUP(N88,setup!$A$8:$H$58,7), VLOOKUP(0,setup!$A$8:$H$58,2),VLOOKUP(0,setup!$A$8:$H$58,5),VLOOKUP(N88,setup!$A$8:$H$58,8))</f>
        <v xml:space="preserve">        uspuvopost.dataRemover = widget._usuariopublicidadeVO['dataRemover'];</v>
      </c>
    </row>
    <row r="89" spans="1:15" x14ac:dyDescent="0.25">
      <c r="A89" s="26" t="s">
        <v>326</v>
      </c>
      <c r="N89">
        <f t="shared" si="0"/>
        <v>10</v>
      </c>
      <c r="O89" s="7" t="e">
        <f>getCodigoBackend(N89,A89,VLOOKUP(N89,setup!$A$8:$H$58,2),VLOOKUP(N89,setup!$A$8:$H$58,3),VLOOKUP(N89,setup!$A$8:$H$58,4),VLOOKUP(N89,setup!$A$8:$H$58,5),VLOOKUP(N89,setup!$A$8:$H$58,6),VLOOKUP(N89,setup!$A$8:$H$58,7), VLOOKUP(0,setup!$A$8:$H$58,2),VLOOKUP(0,setup!$A$8:$H$58,5),VLOOKUP(N89,setup!$A$8:$H$58,8))</f>
        <v>#VALUE!</v>
      </c>
    </row>
    <row r="90" spans="1:15" x14ac:dyDescent="0.25">
      <c r="A90" s="26" t="s">
        <v>326</v>
      </c>
      <c r="N90">
        <f t="shared" si="0"/>
        <v>11</v>
      </c>
      <c r="O90" s="7" t="e">
        <f>getCodigoBackend(N90,A90,VLOOKUP(N90,setup!$A$8:$H$58,2),VLOOKUP(N90,setup!$A$8:$H$58,3),VLOOKUP(N90,setup!$A$8:$H$58,4),VLOOKUP(N90,setup!$A$8:$H$58,5),VLOOKUP(N90,setup!$A$8:$H$58,6),VLOOKUP(N90,setup!$A$8:$H$58,7), VLOOKUP(0,setup!$A$8:$H$58,2),VLOOKUP(0,setup!$A$8:$H$58,5),VLOOKUP(N90,setup!$A$8:$H$58,8))</f>
        <v>#VALUE!</v>
      </c>
    </row>
    <row r="91" spans="1:15" x14ac:dyDescent="0.25">
      <c r="A91" s="26" t="s">
        <v>326</v>
      </c>
      <c r="N91">
        <f t="shared" si="0"/>
        <v>12</v>
      </c>
      <c r="O91" s="7" t="e">
        <f>getCodigoBackend(N91,A91,VLOOKUP(N91,setup!$A$8:$H$58,2),VLOOKUP(N91,setup!$A$8:$H$58,3),VLOOKUP(N91,setup!$A$8:$H$58,4),VLOOKUP(N91,setup!$A$8:$H$58,5),VLOOKUP(N91,setup!$A$8:$H$58,6),VLOOKUP(N91,setup!$A$8:$H$58,7), VLOOKUP(0,setup!$A$8:$H$58,2),VLOOKUP(0,setup!$A$8:$H$58,5),VLOOKUP(N91,setup!$A$8:$H$58,8))</f>
        <v>#VALUE!</v>
      </c>
    </row>
    <row r="92" spans="1:15" x14ac:dyDescent="0.25">
      <c r="A92" s="26" t="s">
        <v>326</v>
      </c>
      <c r="N92">
        <f t="shared" si="0"/>
        <v>13</v>
      </c>
      <c r="O92" s="7" t="e">
        <f>getCodigoBackend(N92,A92,VLOOKUP(N92,setup!$A$8:$H$58,2),VLOOKUP(N92,setup!$A$8:$H$58,3),VLOOKUP(N92,setup!$A$8:$H$58,4),VLOOKUP(N92,setup!$A$8:$H$58,5),VLOOKUP(N92,setup!$A$8:$H$58,6),VLOOKUP(N92,setup!$A$8:$H$58,7), VLOOKUP(0,setup!$A$8:$H$58,2),VLOOKUP(0,setup!$A$8:$H$58,5),VLOOKUP(N92,setup!$A$8:$H$58,8))</f>
        <v>#VALUE!</v>
      </c>
    </row>
    <row r="93" spans="1:15" x14ac:dyDescent="0.25">
      <c r="A93" s="26" t="s">
        <v>326</v>
      </c>
      <c r="N93">
        <f t="shared" si="0"/>
        <v>14</v>
      </c>
      <c r="O93" s="7" t="e">
        <f>getCodigoBackend(N93,A93,VLOOKUP(N93,setup!$A$8:$H$58,2),VLOOKUP(N93,setup!$A$8:$H$58,3),VLOOKUP(N93,setup!$A$8:$H$58,4),VLOOKUP(N93,setup!$A$8:$H$58,5),VLOOKUP(N93,setup!$A$8:$H$58,6),VLOOKUP(N93,setup!$A$8:$H$58,7), VLOOKUP(0,setup!$A$8:$H$58,2),VLOOKUP(0,setup!$A$8:$H$58,5),VLOOKUP(N93,setup!$A$8:$H$58,8))</f>
        <v>#VALUE!</v>
      </c>
    </row>
    <row r="94" spans="1:15" x14ac:dyDescent="0.25">
      <c r="A94" s="26" t="s">
        <v>326</v>
      </c>
      <c r="N94">
        <f t="shared" si="0"/>
        <v>15</v>
      </c>
      <c r="O94" s="7" t="e">
        <f>getCodigoBackend(N94,A94,VLOOKUP(N94,setup!$A$8:$H$58,2),VLOOKUP(N94,setup!$A$8:$H$58,3),VLOOKUP(N94,setup!$A$8:$H$58,4),VLOOKUP(N94,setup!$A$8:$H$58,5),VLOOKUP(N94,setup!$A$8:$H$58,6),VLOOKUP(N94,setup!$A$8:$H$58,7), VLOOKUP(0,setup!$A$8:$H$58,2),VLOOKUP(0,setup!$A$8:$H$58,5),VLOOKUP(N94,setup!$A$8:$H$58,8))</f>
        <v>#VALUE!</v>
      </c>
    </row>
    <row r="95" spans="1:15" x14ac:dyDescent="0.25">
      <c r="A95" s="26" t="s">
        <v>326</v>
      </c>
      <c r="N95">
        <f t="shared" si="0"/>
        <v>16</v>
      </c>
      <c r="O95" s="7" t="e">
        <f>getCodigoBackend(N95,A95,VLOOKUP(N95,setup!$A$8:$H$58,2),VLOOKUP(N95,setup!$A$8:$H$58,3),VLOOKUP(N95,setup!$A$8:$H$58,4),VLOOKUP(N95,setup!$A$8:$H$58,5),VLOOKUP(N95,setup!$A$8:$H$58,6),VLOOKUP(N95,setup!$A$8:$H$58,7), VLOOKUP(0,setup!$A$8:$H$58,2),VLOOKUP(0,setup!$A$8:$H$58,5),VLOOKUP(N95,setup!$A$8:$H$58,8))</f>
        <v>#VALUE!</v>
      </c>
    </row>
    <row r="96" spans="1:15" x14ac:dyDescent="0.25">
      <c r="A96" s="26" t="s">
        <v>326</v>
      </c>
      <c r="N96">
        <f t="shared" si="0"/>
        <v>17</v>
      </c>
      <c r="O96" s="7" t="e">
        <f>getCodigoBackend(N96,A96,VLOOKUP(N96,setup!$A$8:$H$58,2),VLOOKUP(N96,setup!$A$8:$H$58,3),VLOOKUP(N96,setup!$A$8:$H$58,4),VLOOKUP(N96,setup!$A$8:$H$58,5),VLOOKUP(N96,setup!$A$8:$H$58,6),VLOOKUP(N96,setup!$A$8:$H$58,7), VLOOKUP(0,setup!$A$8:$H$58,2),VLOOKUP(0,setup!$A$8:$H$58,5),VLOOKUP(N96,setup!$A$8:$H$58,8))</f>
        <v>#VALUE!</v>
      </c>
    </row>
    <row r="97" spans="1:15" x14ac:dyDescent="0.25">
      <c r="A97" s="26" t="s">
        <v>326</v>
      </c>
      <c r="N97">
        <f t="shared" si="0"/>
        <v>18</v>
      </c>
      <c r="O97" s="7" t="e">
        <f>getCodigoBackend(N97,A97,VLOOKUP(N97,setup!$A$8:$H$58,2),VLOOKUP(N97,setup!$A$8:$H$58,3),VLOOKUP(N97,setup!$A$8:$H$58,4),VLOOKUP(N97,setup!$A$8:$H$58,5),VLOOKUP(N97,setup!$A$8:$H$58,6),VLOOKUP(N97,setup!$A$8:$H$58,7), VLOOKUP(0,setup!$A$8:$H$58,2),VLOOKUP(0,setup!$A$8:$H$58,5),VLOOKUP(N97,setup!$A$8:$H$58,8))</f>
        <v>#VALUE!</v>
      </c>
    </row>
    <row r="98" spans="1:15" x14ac:dyDescent="0.25">
      <c r="A98" s="26" t="s">
        <v>326</v>
      </c>
      <c r="N98">
        <f t="shared" si="0"/>
        <v>19</v>
      </c>
      <c r="O98" s="7" t="e">
        <f>getCodigoBackend(N98,A98,VLOOKUP(N98,setup!$A$8:$H$58,2),VLOOKUP(N98,setup!$A$8:$H$58,3),VLOOKUP(N98,setup!$A$8:$H$58,4),VLOOKUP(N98,setup!$A$8:$H$58,5),VLOOKUP(N98,setup!$A$8:$H$58,6),VLOOKUP(N98,setup!$A$8:$H$58,7), VLOOKUP(0,setup!$A$8:$H$58,2),VLOOKUP(0,setup!$A$8:$H$58,5),VLOOKUP(N98,setup!$A$8:$H$58,8))</f>
        <v>#VALUE!</v>
      </c>
    </row>
    <row r="99" spans="1:15" x14ac:dyDescent="0.25">
      <c r="A99" s="26" t="s">
        <v>326</v>
      </c>
      <c r="N99">
        <f t="shared" si="0"/>
        <v>20</v>
      </c>
      <c r="O99" s="7" t="e">
        <f>getCodigoBackend(N99,A99,VLOOKUP(N99,setup!$A$8:$H$58,2),VLOOKUP(N99,setup!$A$8:$H$58,3),VLOOKUP(N99,setup!$A$8:$H$58,4),VLOOKUP(N99,setup!$A$8:$H$58,5),VLOOKUP(N99,setup!$A$8:$H$58,6),VLOOKUP(N99,setup!$A$8:$H$58,7), VLOOKUP(0,setup!$A$8:$H$58,2),VLOOKUP(0,setup!$A$8:$H$58,5),VLOOKUP(N99,setup!$A$8:$H$58,8))</f>
        <v>#VALUE!</v>
      </c>
    </row>
    <row r="100" spans="1:15" x14ac:dyDescent="0.25">
      <c r="A100" s="26" t="s">
        <v>326</v>
      </c>
      <c r="N100">
        <f t="shared" si="0"/>
        <v>21</v>
      </c>
      <c r="O100" s="7" t="e">
        <f>getCodigoBackend(N100,A100,VLOOKUP(N100,setup!$A$8:$H$58,2),VLOOKUP(N100,setup!$A$8:$H$58,3),VLOOKUP(N100,setup!$A$8:$H$58,4),VLOOKUP(N100,setup!$A$8:$H$58,5),VLOOKUP(N100,setup!$A$8:$H$58,6),VLOOKUP(N100,setup!$A$8:$H$58,7), VLOOKUP(0,setup!$A$8:$H$58,2),VLOOKUP(0,setup!$A$8:$H$58,5),VLOOKUP(N100,setup!$A$8:$H$58,8))</f>
        <v>#VALUE!</v>
      </c>
    </row>
    <row r="101" spans="1:15" x14ac:dyDescent="0.25">
      <c r="A101" s="26" t="s">
        <v>326</v>
      </c>
      <c r="N101">
        <f t="shared" si="0"/>
        <v>22</v>
      </c>
      <c r="O101" s="7" t="e">
        <f>getCodigoBackend(N101,A101,VLOOKUP(N101,setup!$A$8:$H$58,2),VLOOKUP(N101,setup!$A$8:$H$58,3),VLOOKUP(N101,setup!$A$8:$H$58,4),VLOOKUP(N101,setup!$A$8:$H$58,5),VLOOKUP(N101,setup!$A$8:$H$58,6),VLOOKUP(N101,setup!$A$8:$H$58,7), VLOOKUP(0,setup!$A$8:$H$58,2),VLOOKUP(0,setup!$A$8:$H$58,5),VLOOKUP(N101,setup!$A$8:$H$58,8))</f>
        <v>#VALUE!</v>
      </c>
    </row>
    <row r="102" spans="1:15" x14ac:dyDescent="0.25">
      <c r="A102" s="26" t="s">
        <v>326</v>
      </c>
      <c r="N102">
        <f t="shared" si="0"/>
        <v>23</v>
      </c>
      <c r="O102" s="7" t="e">
        <f>getCodigoBackend(N102,A102,VLOOKUP(N102,setup!$A$8:$H$58,2),VLOOKUP(N102,setup!$A$8:$H$58,3),VLOOKUP(N102,setup!$A$8:$H$58,4),VLOOKUP(N102,setup!$A$8:$H$58,5),VLOOKUP(N102,setup!$A$8:$H$58,6),VLOOKUP(N102,setup!$A$8:$H$58,7), VLOOKUP(0,setup!$A$8:$H$58,2),VLOOKUP(0,setup!$A$8:$H$58,5),VLOOKUP(N102,setup!$A$8:$H$58,8))</f>
        <v>#VALUE!</v>
      </c>
    </row>
    <row r="103" spans="1:15" x14ac:dyDescent="0.25">
      <c r="A103" s="26" t="s">
        <v>326</v>
      </c>
      <c r="N103">
        <f t="shared" si="0"/>
        <v>24</v>
      </c>
      <c r="O103" s="7" t="e">
        <f>getCodigoBackend(N103,A103,VLOOKUP(N103,setup!$A$8:$H$58,2),VLOOKUP(N103,setup!$A$8:$H$58,3),VLOOKUP(N103,setup!$A$8:$H$58,4),VLOOKUP(N103,setup!$A$8:$H$58,5),VLOOKUP(N103,setup!$A$8:$H$58,6),VLOOKUP(N103,setup!$A$8:$H$58,7), VLOOKUP(0,setup!$A$8:$H$58,2),VLOOKUP(0,setup!$A$8:$H$58,5),VLOOKUP(N103,setup!$A$8:$H$58,8))</f>
        <v>#VALUE!</v>
      </c>
    </row>
    <row r="104" spans="1:15" x14ac:dyDescent="0.25">
      <c r="A104" s="26" t="s">
        <v>326</v>
      </c>
      <c r="N104">
        <f t="shared" si="0"/>
        <v>25</v>
      </c>
      <c r="O104" s="7" t="e">
        <f>getCodigoBackend(N104,A104,VLOOKUP(N104,setup!$A$8:$H$58,2),VLOOKUP(N104,setup!$A$8:$H$58,3),VLOOKUP(N104,setup!$A$8:$H$58,4),VLOOKUP(N104,setup!$A$8:$H$58,5),VLOOKUP(N104,setup!$A$8:$H$58,6),VLOOKUP(N104,setup!$A$8:$H$58,7), VLOOKUP(0,setup!$A$8:$H$58,2),VLOOKUP(0,setup!$A$8:$H$58,5),VLOOKUP(N104,setup!$A$8:$H$58,8))</f>
        <v>#VALUE!</v>
      </c>
    </row>
    <row r="105" spans="1:15" x14ac:dyDescent="0.25">
      <c r="A105" s="26" t="s">
        <v>326</v>
      </c>
      <c r="N105">
        <f t="shared" si="0"/>
        <v>26</v>
      </c>
      <c r="O105" s="7" t="e">
        <f>getCodigoBackend(N105,A105,VLOOKUP(N105,setup!$A$8:$H$58,2),VLOOKUP(N105,setup!$A$8:$H$58,3),VLOOKUP(N105,setup!$A$8:$H$58,4),VLOOKUP(N105,setup!$A$8:$H$58,5),VLOOKUP(N105,setup!$A$8:$H$58,6),VLOOKUP(N105,setup!$A$8:$H$58,7), VLOOKUP(0,setup!$A$8:$H$58,2),VLOOKUP(0,setup!$A$8:$H$58,5),VLOOKUP(N105,setup!$A$8:$H$58,8))</f>
        <v>#VALUE!</v>
      </c>
    </row>
    <row r="106" spans="1:15" x14ac:dyDescent="0.25">
      <c r="A106" s="26" t="s">
        <v>326</v>
      </c>
      <c r="N106">
        <f t="shared" si="0"/>
        <v>27</v>
      </c>
      <c r="O106" s="7" t="e">
        <f>getCodigoBackend(N106,A106,VLOOKUP(N106,setup!$A$8:$H$58,2),VLOOKUP(N106,setup!$A$8:$H$58,3),VLOOKUP(N106,setup!$A$8:$H$58,4),VLOOKUP(N106,setup!$A$8:$H$58,5),VLOOKUP(N106,setup!$A$8:$H$58,6),VLOOKUP(N106,setup!$A$8:$H$58,7), VLOOKUP(0,setup!$A$8:$H$58,2),VLOOKUP(0,setup!$A$8:$H$58,5),VLOOKUP(N106,setup!$A$8:$H$58,8))</f>
        <v>#VALUE!</v>
      </c>
    </row>
    <row r="107" spans="1:15" x14ac:dyDescent="0.25">
      <c r="A107" s="26" t="s">
        <v>326</v>
      </c>
      <c r="N107">
        <f t="shared" si="0"/>
        <v>28</v>
      </c>
      <c r="O107" s="7" t="e">
        <f>getCodigoBackend(N107,A107,VLOOKUP(N107,setup!$A$8:$H$58,2),VLOOKUP(N107,setup!$A$8:$H$58,3),VLOOKUP(N107,setup!$A$8:$H$58,4),VLOOKUP(N107,setup!$A$8:$H$58,5),VLOOKUP(N107,setup!$A$8:$H$58,6),VLOOKUP(N107,setup!$A$8:$H$58,7), VLOOKUP(0,setup!$A$8:$H$58,2),VLOOKUP(0,setup!$A$8:$H$58,5),VLOOKUP(N107,setup!$A$8:$H$58,8))</f>
        <v>#VALUE!</v>
      </c>
    </row>
    <row r="108" spans="1:15" x14ac:dyDescent="0.25">
      <c r="A108" s="26" t="s">
        <v>326</v>
      </c>
      <c r="N108">
        <f t="shared" si="0"/>
        <v>29</v>
      </c>
      <c r="O108" s="7" t="e">
        <f>getCodigoBackend(N108,A108,VLOOKUP(N108,setup!$A$8:$H$58,2),VLOOKUP(N108,setup!$A$8:$H$58,3),VLOOKUP(N108,setup!$A$8:$H$58,4),VLOOKUP(N108,setup!$A$8:$H$58,5),VLOOKUP(N108,setup!$A$8:$H$58,6),VLOOKUP(N108,setup!$A$8:$H$58,7), VLOOKUP(0,setup!$A$8:$H$58,2),VLOOKUP(0,setup!$A$8:$H$58,5),VLOOKUP(N108,setup!$A$8:$H$58,8))</f>
        <v>#VALUE!</v>
      </c>
    </row>
    <row r="109" spans="1:15" x14ac:dyDescent="0.25">
      <c r="A109" s="26" t="s">
        <v>326</v>
      </c>
      <c r="N109">
        <f t="shared" si="0"/>
        <v>30</v>
      </c>
      <c r="O109" s="7" t="e">
        <f>getCodigoBackend(N109,A109,VLOOKUP(N109,setup!$A$8:$H$58,2),VLOOKUP(N109,setup!$A$8:$H$58,3),VLOOKUP(N109,setup!$A$8:$H$58,4),VLOOKUP(N109,setup!$A$8:$H$58,5),VLOOKUP(N109,setup!$A$8:$H$58,6),VLOOKUP(N109,setup!$A$8:$H$58,7), VLOOKUP(0,setup!$A$8:$H$58,2),VLOOKUP(0,setup!$A$8:$H$58,5),VLOOKUP(N109,setup!$A$8:$H$58,8))</f>
        <v>#VALUE!</v>
      </c>
    </row>
    <row r="110" spans="1:15" x14ac:dyDescent="0.25">
      <c r="A110" s="26" t="s">
        <v>326</v>
      </c>
      <c r="N110">
        <f t="shared" si="0"/>
        <v>31</v>
      </c>
      <c r="O110" s="7" t="e">
        <f>getCodigoBackend(N110,A110,VLOOKUP(N110,setup!$A$8:$H$58,2),VLOOKUP(N110,setup!$A$8:$H$58,3),VLOOKUP(N110,setup!$A$8:$H$58,4),VLOOKUP(N110,setup!$A$8:$H$58,5),VLOOKUP(N110,setup!$A$8:$H$58,6),VLOOKUP(N110,setup!$A$8:$H$58,7), VLOOKUP(0,setup!$A$8:$H$58,2),VLOOKUP(0,setup!$A$8:$H$58,5),VLOOKUP(N110,setup!$A$8:$H$58,8))</f>
        <v>#VALUE!</v>
      </c>
    </row>
    <row r="111" spans="1:15" x14ac:dyDescent="0.25">
      <c r="A111" s="26" t="s">
        <v>326</v>
      </c>
      <c r="N111">
        <f t="shared" si="0"/>
        <v>32</v>
      </c>
      <c r="O111" s="7" t="e">
        <f>getCodigoBackend(N111,A111,VLOOKUP(N111,setup!$A$8:$H$58,2),VLOOKUP(N111,setup!$A$8:$H$58,3),VLOOKUP(N111,setup!$A$8:$H$58,4),VLOOKUP(N111,setup!$A$8:$H$58,5),VLOOKUP(N111,setup!$A$8:$H$58,6),VLOOKUP(N111,setup!$A$8:$H$58,7), VLOOKUP(0,setup!$A$8:$H$58,2),VLOOKUP(0,setup!$A$8:$H$58,5),VLOOKUP(N111,setup!$A$8:$H$58,8))</f>
        <v>#VALUE!</v>
      </c>
    </row>
    <row r="112" spans="1:15" x14ac:dyDescent="0.25">
      <c r="A112" s="26" t="s">
        <v>326</v>
      </c>
      <c r="N112">
        <f t="shared" si="0"/>
        <v>33</v>
      </c>
      <c r="O112" s="7" t="e">
        <f>getCodigoBackend(N112,A112,VLOOKUP(N112,setup!$A$8:$H$58,2),VLOOKUP(N112,setup!$A$8:$H$58,3),VLOOKUP(N112,setup!$A$8:$H$58,4),VLOOKUP(N112,setup!$A$8:$H$58,5),VLOOKUP(N112,setup!$A$8:$H$58,6),VLOOKUP(N112,setup!$A$8:$H$58,7), VLOOKUP(0,setup!$A$8:$H$58,2),VLOOKUP(0,setup!$A$8:$H$58,5),VLOOKUP(N112,setup!$A$8:$H$58,8))</f>
        <v>#VALUE!</v>
      </c>
    </row>
    <row r="113" spans="1:15" x14ac:dyDescent="0.25">
      <c r="A113" s="26" t="s">
        <v>326</v>
      </c>
      <c r="N113">
        <f t="shared" si="0"/>
        <v>34</v>
      </c>
      <c r="O113" s="7" t="e">
        <f>getCodigoBackend(N113,A113,VLOOKUP(N113,setup!$A$8:$H$58,2),VLOOKUP(N113,setup!$A$8:$H$58,3),VLOOKUP(N113,setup!$A$8:$H$58,4),VLOOKUP(N113,setup!$A$8:$H$58,5),VLOOKUP(N113,setup!$A$8:$H$58,6),VLOOKUP(N113,setup!$A$8:$H$58,7), VLOOKUP(0,setup!$A$8:$H$58,2),VLOOKUP(0,setup!$A$8:$H$58,5),VLOOKUP(N113,setup!$A$8:$H$58,8))</f>
        <v>#VALUE!</v>
      </c>
    </row>
    <row r="114" spans="1:15" x14ac:dyDescent="0.25">
      <c r="A114" s="26" t="s">
        <v>326</v>
      </c>
      <c r="N114">
        <f t="shared" si="0"/>
        <v>35</v>
      </c>
      <c r="O114" s="7" t="e">
        <f>getCodigoBackend(N114,A114,VLOOKUP(N114,setup!$A$8:$H$58,2),VLOOKUP(N114,setup!$A$8:$H$58,3),VLOOKUP(N114,setup!$A$8:$H$58,4),VLOOKUP(N114,setup!$A$8:$H$58,5),VLOOKUP(N114,setup!$A$8:$H$58,6),VLOOKUP(N114,setup!$A$8:$H$58,7), VLOOKUP(0,setup!$A$8:$H$58,2),VLOOKUP(0,setup!$A$8:$H$58,5),VLOOKUP(N114,setup!$A$8:$H$58,8))</f>
        <v>#VALUE!</v>
      </c>
    </row>
    <row r="115" spans="1:15" x14ac:dyDescent="0.25">
      <c r="A115" s="26" t="s">
        <v>326</v>
      </c>
      <c r="N115">
        <f t="shared" si="0"/>
        <v>36</v>
      </c>
      <c r="O115" s="7" t="e">
        <f>getCodigoBackend(N115,A115,VLOOKUP(N115,setup!$A$8:$H$58,2),VLOOKUP(N115,setup!$A$8:$H$58,3),VLOOKUP(N115,setup!$A$8:$H$58,4),VLOOKUP(N115,setup!$A$8:$H$58,5),VLOOKUP(N115,setup!$A$8:$H$58,6),VLOOKUP(N115,setup!$A$8:$H$58,7), VLOOKUP(0,setup!$A$8:$H$58,2),VLOOKUP(0,setup!$A$8:$H$58,5),VLOOKUP(N115,setup!$A$8:$H$58,8))</f>
        <v>#VALUE!</v>
      </c>
    </row>
    <row r="116" spans="1:15" x14ac:dyDescent="0.25">
      <c r="A116" s="26" t="s">
        <v>326</v>
      </c>
      <c r="N116">
        <f t="shared" si="0"/>
        <v>37</v>
      </c>
      <c r="O116" s="7" t="e">
        <f>getCodigoBackend(N116,A116,VLOOKUP(N116,setup!$A$8:$H$58,2),VLOOKUP(N116,setup!$A$8:$H$58,3),VLOOKUP(N116,setup!$A$8:$H$58,4),VLOOKUP(N116,setup!$A$8:$H$58,5),VLOOKUP(N116,setup!$A$8:$H$58,6),VLOOKUP(N116,setup!$A$8:$H$58,7), VLOOKUP(0,setup!$A$8:$H$58,2),VLOOKUP(0,setup!$A$8:$H$58,5),VLOOKUP(N116,setup!$A$8:$H$58,8))</f>
        <v>#VALUE!</v>
      </c>
    </row>
    <row r="117" spans="1:15" x14ac:dyDescent="0.25">
      <c r="A117" s="26" t="s">
        <v>326</v>
      </c>
      <c r="N117">
        <f t="shared" si="0"/>
        <v>38</v>
      </c>
      <c r="O117" s="7" t="e">
        <f>getCodigoBackend(N117,A117,VLOOKUP(N117,setup!$A$8:$H$58,2),VLOOKUP(N117,setup!$A$8:$H$58,3),VLOOKUP(N117,setup!$A$8:$H$58,4),VLOOKUP(N117,setup!$A$8:$H$58,5),VLOOKUP(N117,setup!$A$8:$H$58,6),VLOOKUP(N117,setup!$A$8:$H$58,7), VLOOKUP(0,setup!$A$8:$H$58,2),VLOOKUP(0,setup!$A$8:$H$58,5),VLOOKUP(N117,setup!$A$8:$H$58,8))</f>
        <v>#VALUE!</v>
      </c>
    </row>
    <row r="118" spans="1:15" x14ac:dyDescent="0.25">
      <c r="A118" s="26" t="s">
        <v>326</v>
      </c>
      <c r="N118">
        <f t="shared" si="0"/>
        <v>39</v>
      </c>
      <c r="O118" s="7" t="e">
        <f>getCodigoBackend(N118,A118,VLOOKUP(N118,setup!$A$8:$H$58,2),VLOOKUP(N118,setup!$A$8:$H$58,3),VLOOKUP(N118,setup!$A$8:$H$58,4),VLOOKUP(N118,setup!$A$8:$H$58,5),VLOOKUP(N118,setup!$A$8:$H$58,6),VLOOKUP(N118,setup!$A$8:$H$58,7), VLOOKUP(0,setup!$A$8:$H$58,2),VLOOKUP(0,setup!$A$8:$H$58,5),VLOOKUP(N118,setup!$A$8:$H$58,8))</f>
        <v>#VALUE!</v>
      </c>
    </row>
    <row r="119" spans="1:15" x14ac:dyDescent="0.25">
      <c r="A119" s="26" t="s">
        <v>326</v>
      </c>
      <c r="N119">
        <f t="shared" si="0"/>
        <v>40</v>
      </c>
      <c r="O119" s="7" t="e">
        <f>getCodigoBackend(N119,A119,VLOOKUP(N119,setup!$A$8:$H$58,2),VLOOKUP(N119,setup!$A$8:$H$58,3),VLOOKUP(N119,setup!$A$8:$H$58,4),VLOOKUP(N119,setup!$A$8:$H$58,5),VLOOKUP(N119,setup!$A$8:$H$58,6),VLOOKUP(N119,setup!$A$8:$H$58,7), VLOOKUP(0,setup!$A$8:$H$58,2),VLOOKUP(0,setup!$A$8:$H$58,5),VLOOKUP(N119,setup!$A$8:$H$58,8))</f>
        <v>#VALUE!</v>
      </c>
    </row>
    <row r="120" spans="1:15" x14ac:dyDescent="0.25">
      <c r="A120" s="26" t="s">
        <v>326</v>
      </c>
      <c r="N120">
        <f t="shared" si="0"/>
        <v>41</v>
      </c>
      <c r="O120" s="7" t="e">
        <f>getCodigoBackend(N120,A120,VLOOKUP(N120,setup!$A$8:$H$58,2),VLOOKUP(N120,setup!$A$8:$H$58,3),VLOOKUP(N120,setup!$A$8:$H$58,4),VLOOKUP(N120,setup!$A$8:$H$58,5),VLOOKUP(N120,setup!$A$8:$H$58,6),VLOOKUP(N120,setup!$A$8:$H$58,7), VLOOKUP(0,setup!$A$8:$H$58,2),VLOOKUP(0,setup!$A$8:$H$58,5),VLOOKUP(N120,setup!$A$8:$H$58,8))</f>
        <v>#VALUE!</v>
      </c>
    </row>
    <row r="121" spans="1:15" x14ac:dyDescent="0.25">
      <c r="A121" s="26" t="s">
        <v>326</v>
      </c>
      <c r="N121">
        <f t="shared" ref="N121:N129" si="1">N120+1</f>
        <v>42</v>
      </c>
      <c r="O121" s="7" t="e">
        <f>getCodigoBackend(N121,A121,VLOOKUP(N121,setup!$A$8:$H$58,2),VLOOKUP(N121,setup!$A$8:$H$58,3),VLOOKUP(N121,setup!$A$8:$H$58,4),VLOOKUP(N121,setup!$A$8:$H$58,5),VLOOKUP(N121,setup!$A$8:$H$58,6),VLOOKUP(N121,setup!$A$8:$H$58,7), VLOOKUP(0,setup!$A$8:$H$58,2),VLOOKUP(0,setup!$A$8:$H$58,5),VLOOKUP(N121,setup!$A$8:$H$58,8))</f>
        <v>#VALUE!</v>
      </c>
    </row>
    <row r="122" spans="1:15" x14ac:dyDescent="0.25">
      <c r="A122" s="26" t="s">
        <v>326</v>
      </c>
      <c r="N122">
        <f t="shared" si="1"/>
        <v>43</v>
      </c>
      <c r="O122" s="7" t="e">
        <f>getCodigoBackend(N122,A122,VLOOKUP(N122,setup!$A$8:$H$58,2),VLOOKUP(N122,setup!$A$8:$H$58,3),VLOOKUP(N122,setup!$A$8:$H$58,4),VLOOKUP(N122,setup!$A$8:$H$58,5),VLOOKUP(N122,setup!$A$8:$H$58,6),VLOOKUP(N122,setup!$A$8:$H$58,7), VLOOKUP(0,setup!$A$8:$H$58,2),VLOOKUP(0,setup!$A$8:$H$58,5),VLOOKUP(N122,setup!$A$8:$H$58,8))</f>
        <v>#VALUE!</v>
      </c>
    </row>
    <row r="123" spans="1:15" x14ac:dyDescent="0.25">
      <c r="A123" s="26" t="s">
        <v>326</v>
      </c>
      <c r="N123">
        <f t="shared" si="1"/>
        <v>44</v>
      </c>
      <c r="O123" s="7" t="e">
        <f>getCodigoBackend(N123,A123,VLOOKUP(N123,setup!$A$8:$H$58,2),VLOOKUP(N123,setup!$A$8:$H$58,3),VLOOKUP(N123,setup!$A$8:$H$58,4),VLOOKUP(N123,setup!$A$8:$H$58,5),VLOOKUP(N123,setup!$A$8:$H$58,6),VLOOKUP(N123,setup!$A$8:$H$58,7), VLOOKUP(0,setup!$A$8:$H$58,2),VLOOKUP(0,setup!$A$8:$H$58,5),VLOOKUP(N123,setup!$A$8:$H$58,8))</f>
        <v>#VALUE!</v>
      </c>
    </row>
    <row r="124" spans="1:15" x14ac:dyDescent="0.25">
      <c r="A124" s="26" t="s">
        <v>326</v>
      </c>
      <c r="N124">
        <f t="shared" si="1"/>
        <v>45</v>
      </c>
      <c r="O124" s="7" t="e">
        <f>getCodigoBackend(N124,A124,VLOOKUP(N124,setup!$A$8:$H$58,2),VLOOKUP(N124,setup!$A$8:$H$58,3),VLOOKUP(N124,setup!$A$8:$H$58,4),VLOOKUP(N124,setup!$A$8:$H$58,5),VLOOKUP(N124,setup!$A$8:$H$58,6),VLOOKUP(N124,setup!$A$8:$H$58,7), VLOOKUP(0,setup!$A$8:$H$58,2),VLOOKUP(0,setup!$A$8:$H$58,5),VLOOKUP(N124,setup!$A$8:$H$58,8))</f>
        <v>#VALUE!</v>
      </c>
    </row>
    <row r="125" spans="1:15" x14ac:dyDescent="0.25">
      <c r="A125" s="26" t="s">
        <v>326</v>
      </c>
      <c r="N125">
        <f t="shared" si="1"/>
        <v>46</v>
      </c>
      <c r="O125" s="7" t="e">
        <f>getCodigoBackend(N125,A125,VLOOKUP(N125,setup!$A$8:$H$58,2),VLOOKUP(N125,setup!$A$8:$H$58,3),VLOOKUP(N125,setup!$A$8:$H$58,4),VLOOKUP(N125,setup!$A$8:$H$58,5),VLOOKUP(N125,setup!$A$8:$H$58,6),VLOOKUP(N125,setup!$A$8:$H$58,7), VLOOKUP(0,setup!$A$8:$H$58,2),VLOOKUP(0,setup!$A$8:$H$58,5),VLOOKUP(N125,setup!$A$8:$H$58,8))</f>
        <v>#VALUE!</v>
      </c>
    </row>
    <row r="126" spans="1:15" x14ac:dyDescent="0.25">
      <c r="A126" s="26" t="s">
        <v>326</v>
      </c>
      <c r="N126">
        <f t="shared" si="1"/>
        <v>47</v>
      </c>
      <c r="O126" s="7" t="e">
        <f>getCodigoBackend(N126,A126,VLOOKUP(N126,setup!$A$8:$H$58,2),VLOOKUP(N126,setup!$A$8:$H$58,3),VLOOKUP(N126,setup!$A$8:$H$58,4),VLOOKUP(N126,setup!$A$8:$H$58,5),VLOOKUP(N126,setup!$A$8:$H$58,6),VLOOKUP(N126,setup!$A$8:$H$58,7), VLOOKUP(0,setup!$A$8:$H$58,2),VLOOKUP(0,setup!$A$8:$H$58,5),VLOOKUP(N126,setup!$A$8:$H$58,8))</f>
        <v>#VALUE!</v>
      </c>
    </row>
    <row r="127" spans="1:15" x14ac:dyDescent="0.25">
      <c r="A127" s="26" t="s">
        <v>326</v>
      </c>
      <c r="N127">
        <f t="shared" si="1"/>
        <v>48</v>
      </c>
      <c r="O127" s="7" t="str">
        <f ca="1">getCodigoBackend(N127,A127,VLOOKUP(N127,setup!$A$8:$H$58,2),VLOOKUP(N127,setup!$A$8:$H$58,3),VLOOKUP(N127,setup!$A$8:$H$58,4),VLOOKUP(N127,setup!$A$8:$H$58,5),VLOOKUP(N127,setup!$A$8:$H$58,6),VLOOKUP(N127,setup!$A$8:$H$58,7), VLOOKUP(0,setup!$A$8:$H$58,2),VLOOKUP(0,setup!$A$8:$H$58,5),VLOOKUP(N127,setup!$A$8:$H$58,8))</f>
        <v xml:space="preserve">        uspuvopost.status = widget._usuariopublicidadeVO['status'];</v>
      </c>
    </row>
    <row r="128" spans="1:15" x14ac:dyDescent="0.25">
      <c r="A128" s="26" t="s">
        <v>326</v>
      </c>
      <c r="N128">
        <f t="shared" si="1"/>
        <v>49</v>
      </c>
      <c r="O128" s="7" t="str">
        <f ca="1">getCodigoBackend(N128,A128,VLOOKUP(N128,setup!$A$8:$H$58,2),VLOOKUP(N128,setup!$A$8:$H$58,3),VLOOKUP(N128,setup!$A$8:$H$58,4),VLOOKUP(N128,setup!$A$8:$H$58,5),VLOOKUP(N128,setup!$A$8:$H$58,6),VLOOKUP(N128,setup!$A$8:$H$58,7), VLOOKUP(0,setup!$A$8:$H$58,2),VLOOKUP(0,setup!$A$8:$H$58,5),VLOOKUP(N128,setup!$A$8:$H$58,8))</f>
        <v xml:space="preserve">        uspuvopost.dataCadastro = widget._usuariopublicidadeVO['dataCadastro'];</v>
      </c>
    </row>
    <row r="129" spans="1:15" x14ac:dyDescent="0.25">
      <c r="A129" s="26" t="s">
        <v>326</v>
      </c>
      <c r="N129">
        <f t="shared" si="1"/>
        <v>50</v>
      </c>
      <c r="O129" s="7" t="str">
        <f ca="1">getCodigoBackend(N129,A129,VLOOKUP(N129,setup!$A$8:$H$58,2),VLOOKUP(N129,setup!$A$8:$H$58,3),VLOOKUP(N129,setup!$A$8:$H$58,4),VLOOKUP(N129,setup!$A$8:$H$58,5),VLOOKUP(N129,setup!$A$8:$H$58,6),VLOOKUP(N129,setup!$A$8:$H$58,7), VLOOKUP(0,setup!$A$8:$H$58,2),VLOOKUP(0,setup!$A$8:$H$58,5),VLOOKUP(N129,setup!$A$8:$H$58,8))</f>
        <v xml:space="preserve">        uspuvopost.dataAtualizacao = widget._usuariopublicidadeVO['dataAtualizacao'];</v>
      </c>
    </row>
    <row r="130" spans="1:15" x14ac:dyDescent="0.25">
      <c r="A130" s="26"/>
      <c r="O130" s="7" t="str">
        <f ca="1">getCodigoBackend(N130,A130,VLOOKUP(N130,setup!$A$8:$H$58,2),VLOOKUP(N130,setup!$A$8:$H$58,3),VLOOKUP(N130,setup!$A$8:$H$58,4),VLOOKUP(N130,setup!$A$8:$H$58,5),VLOOKUP(N130,setup!$A$8:$H$58,6),VLOOKUP(N130,setup!$A$8:$H$58,7), VLOOKUP(0,setup!$A$8:$H$58,2),VLOOKUP(0,setup!$A$8:$H$58,5),VLOOKUP(N130,setup!$A$8:$H$58,8))</f>
        <v/>
      </c>
    </row>
    <row r="131" spans="1:15" x14ac:dyDescent="0.25">
      <c r="A131" s="26" t="s">
        <v>328</v>
      </c>
      <c r="O131" s="7" t="str">
        <f ca="1">getCodigoBackend(N131,A131,VLOOKUP(N131,setup!$A$8:$H$58,2),VLOOKUP(N131,setup!$A$8:$H$58,3),VLOOKUP(N131,setup!$A$8:$H$58,4),VLOOKUP(N131,setup!$A$8:$H$58,5),VLOOKUP(N131,setup!$A$8:$H$58,6),VLOOKUP(N131,setup!$A$8:$H$58,7), VLOOKUP(0,setup!$A$8:$H$58,2),VLOOKUP(0,setup!$A$8:$H$58,5),VLOOKUP(N131,setup!$A$8:$H$58,8))</f>
        <v xml:space="preserve">        // Navega para a pagina UsuarioPublicidadePageCRUD Solicitada ao clicar no botão Editar</v>
      </c>
    </row>
    <row r="132" spans="1:15" x14ac:dyDescent="0.25">
      <c r="A132" s="26" t="s">
        <v>322</v>
      </c>
      <c r="O132" s="7" t="str">
        <f ca="1">getCodigoBackend(N132,A132,VLOOKUP(N132,setup!$A$8:$H$58,2),VLOOKUP(N132,setup!$A$8:$H$58,3),VLOOKUP(N132,setup!$A$8:$H$58,4),VLOOKUP(N132,setup!$A$8:$H$58,5),VLOOKUP(N132,setup!$A$8:$H$58,6),VLOOKUP(N132,setup!$A$8:$H$58,7), VLOOKUP(0,setup!$A$8:$H$58,2),VLOOKUP(0,setup!$A$8:$H$58,5),VLOOKUP(N132,setup!$A$8:$H$58,8))</f>
        <v xml:space="preserve">        Navigator.push(</v>
      </c>
    </row>
    <row r="133" spans="1:15" x14ac:dyDescent="0.25">
      <c r="A133" s="26" t="s">
        <v>324</v>
      </c>
      <c r="O133" s="7" t="str">
        <f ca="1">getCodigoBackend(N133,A133,VLOOKUP(N133,setup!$A$8:$H$58,2),VLOOKUP(N133,setup!$A$8:$H$58,3),VLOOKUP(N133,setup!$A$8:$H$58,4),VLOOKUP(N133,setup!$A$8:$H$58,5),VLOOKUP(N133,setup!$A$8:$H$58,6),VLOOKUP(N133,setup!$A$8:$H$58,7), VLOOKUP(0,setup!$A$8:$H$58,2),VLOOKUP(0,setup!$A$8:$H$58,5),VLOOKUP(N133,setup!$A$8:$H$58,8))</f>
        <v xml:space="preserve">           context,</v>
      </c>
    </row>
    <row r="134" spans="1:15" x14ac:dyDescent="0.25">
      <c r="A134" s="26" t="s">
        <v>327</v>
      </c>
      <c r="O134" s="7" t="str">
        <f ca="1">getCodigoBackend(N134,A134,VLOOKUP(N134,setup!$A$8:$H$58,2),VLOOKUP(N134,setup!$A$8:$H$58,3),VLOOKUP(N134,setup!$A$8:$H$58,4),VLOOKUP(N134,setup!$A$8:$H$58,5),VLOOKUP(N134,setup!$A$8:$H$58,6),VLOOKUP(N134,setup!$A$8:$H$58,7), VLOOKUP(0,setup!$A$8:$H$58,2),VLOOKUP(0,setup!$A$8:$H$58,5),VLOOKUP(N134,setup!$A$8:$H$58,8))</f>
        <v xml:space="preserve">           MaterialPageRoute(builder: (context) =&gt; new UsuarioPublicidadePageCRUD(usuariopublicidadeVO: uspuvopost),</v>
      </c>
    </row>
    <row r="135" spans="1:15" x14ac:dyDescent="0.25">
      <c r="A135" s="26" t="s">
        <v>325</v>
      </c>
      <c r="O135" s="7" t="str">
        <f ca="1">getCodigoBackend(N135,A135,VLOOKUP(N135,setup!$A$8:$H$58,2),VLOOKUP(N135,setup!$A$8:$H$58,3),VLOOKUP(N135,setup!$A$8:$H$58,4),VLOOKUP(N135,setup!$A$8:$H$58,5),VLOOKUP(N135,setup!$A$8:$H$58,6),VLOOKUP(N135,setup!$A$8:$H$58,7), VLOOKUP(0,setup!$A$8:$H$58,2),VLOOKUP(0,setup!$A$8:$H$58,5),VLOOKUP(N135,setup!$A$8:$H$58,8))</f>
        <v xml:space="preserve">           )</v>
      </c>
    </row>
    <row r="136" spans="1:15" x14ac:dyDescent="0.25">
      <c r="A136" s="26" t="s">
        <v>323</v>
      </c>
      <c r="O136" s="7" t="str">
        <f ca="1">getCodigoBackend(N136,A136,VLOOKUP(N136,setup!$A$8:$H$58,2),VLOOKUP(N136,setup!$A$8:$H$58,3),VLOOKUP(N136,setup!$A$8:$H$58,4),VLOOKUP(N136,setup!$A$8:$H$58,5),VLOOKUP(N136,setup!$A$8:$H$58,6),VLOOKUP(N136,setup!$A$8:$H$58,7), VLOOKUP(0,setup!$A$8:$H$58,2),VLOOKUP(0,setup!$A$8:$H$58,5),VLOOKUP(N136,setup!$A$8:$H$58,8))</f>
        <v xml:space="preserve">        );</v>
      </c>
    </row>
    <row r="137" spans="1:15" x14ac:dyDescent="0.25">
      <c r="A137" s="6"/>
      <c r="O137" s="7" t="str">
        <f ca="1">getCodigoBackend(N137,A137,VLOOKUP(N137,setup!$A$8:$H$58,2),VLOOKUP(N137,setup!$A$8:$H$58,3),VLOOKUP(N137,setup!$A$8:$H$58,4),VLOOKUP(N137,setup!$A$8:$H$58,5),VLOOKUP(N137,setup!$A$8:$H$58,6),VLOOKUP(N137,setup!$A$8:$H$58,7), VLOOKUP(0,setup!$A$8:$H$58,2),VLOOKUP(0,setup!$A$8:$H$58,5),VLOOKUP(N137,setup!$A$8:$H$58,8))</f>
        <v/>
      </c>
    </row>
    <row r="138" spans="1:15" x14ac:dyDescent="0.25">
      <c r="A138" s="6" t="s">
        <v>320</v>
      </c>
      <c r="O138" s="7" t="str">
        <f ca="1">getCodigoBackend(N138,A138,VLOOKUP(N138,setup!$A$8:$H$58,2),VLOOKUP(N138,setup!$A$8:$H$58,3),VLOOKUP(N138,setup!$A$8:$H$58,4),VLOOKUP(N138,setup!$A$8:$H$58,5),VLOOKUP(N138,setup!$A$8:$H$58,6),VLOOKUP(N138,setup!$A$8:$H$58,7), VLOOKUP(0,setup!$A$8:$H$58,2),VLOOKUP(0,setup!$A$8:$H$58,5),VLOOKUP(N138,setup!$A$8:$H$58,8))</f>
        <v xml:space="preserve">        }),</v>
      </c>
    </row>
    <row r="139" spans="1:15" x14ac:dyDescent="0.25">
      <c r="A139" s="6"/>
      <c r="O139" s="7" t="str">
        <f ca="1">getCodigoBackend(N139,A139,VLOOKUP(N139,setup!$A$8:$H$58,2),VLOOKUP(N139,setup!$A$8:$H$58,3),VLOOKUP(N139,setup!$A$8:$H$58,4),VLOOKUP(N139,setup!$A$8:$H$58,5),VLOOKUP(N139,setup!$A$8:$H$58,6),VLOOKUP(N139,setup!$A$8:$H$58,7), VLOOKUP(0,setup!$A$8:$H$58,2),VLOOKUP(0,setup!$A$8:$H$58,5),VLOOKUP(N139,setup!$A$8:$H$58,8))</f>
        <v/>
      </c>
    </row>
    <row r="140" spans="1:15" x14ac:dyDescent="0.25">
      <c r="A140" s="6" t="s">
        <v>342</v>
      </c>
      <c r="O140" s="7" t="str">
        <f ca="1">getCodigoBackend(N140,A140,VLOOKUP(N140,setup!$A$8:$H$58,2),VLOOKUP(N140,setup!$A$8:$H$58,3),VLOOKUP(N140,setup!$A$8:$H$58,4),VLOOKUP(N140,setup!$A$8:$H$58,5),VLOOKUP(N140,setup!$A$8:$H$58,6),VLOOKUP(N140,setup!$A$8:$H$58,7), VLOOKUP(0,setup!$A$8:$H$58,2),VLOOKUP(0,setup!$A$8:$H$58,5),VLOOKUP(N140,setup!$A$8:$H$58,8))</f>
        <v xml:space="preserve">        // Botão Cancelar / Habilitar</v>
      </c>
    </row>
    <row r="141" spans="1:15" x14ac:dyDescent="0.25">
      <c r="A141" s="6" t="s">
        <v>361</v>
      </c>
      <c r="O141" s="7" t="str">
        <f ca="1">getCodigoBackend(N141,A141,VLOOKUP(N141,setup!$A$8:$H$58,2),VLOOKUP(N141,setup!$A$8:$H$58,3),VLOOKUP(N141,setup!$A$8:$H$58,4),VLOOKUP(N141,setup!$A$8:$H$58,5),VLOOKUP(N141,setup!$A$8:$H$58,6),VLOOKUP(N141,setup!$A$8:$H$58,7), VLOOKUP(0,setup!$A$8:$H$58,2),VLOOKUP(0,setup!$A$8:$H$58,5),VLOOKUP(N141,setup!$A$8:$H$58,8))</f>
        <v>            widget._usuariopublicidadeVO['status'] == "A" </v>
      </c>
    </row>
    <row r="142" spans="1:15" x14ac:dyDescent="0.25">
      <c r="A142" s="6" t="s">
        <v>343</v>
      </c>
      <c r="O142" s="7" t="str">
        <f ca="1">getCodigoBackend(N142,A142,VLOOKUP(N142,setup!$A$8:$H$58,2),VLOOKUP(N142,setup!$A$8:$H$58,3),VLOOKUP(N142,setup!$A$8:$H$58,4),VLOOKUP(N142,setup!$A$8:$H$58,5),VLOOKUP(N142,setup!$A$8:$H$58,6),VLOOKUP(N142,setup!$A$8:$H$58,7), VLOOKUP(0,setup!$A$8:$H$58,2),VLOOKUP(0,setup!$A$8:$H$58,5),VLOOKUP(N142,setup!$A$8:$H$58,8))</f>
        <v>            ? CommonFlatButtonFunction(Icon(Icons.cancel, color: Colors.white), "Cancelar", ()  {</v>
      </c>
    </row>
    <row r="143" spans="1:15" x14ac:dyDescent="0.25">
      <c r="A143" s="6" t="s">
        <v>344</v>
      </c>
      <c r="O143" s="7" t="str">
        <f ca="1">getCodigoBackend(N143,A143,VLOOKUP(N143,setup!$A$8:$H$58,2),VLOOKUP(N143,setup!$A$8:$H$58,3),VLOOKUP(N143,setup!$A$8:$H$58,4),VLOOKUP(N143,setup!$A$8:$H$58,5),VLOOKUP(N143,setup!$A$8:$H$58,6),VLOOKUP(N143,setup!$A$8:$H$58,7), VLOOKUP(0,setup!$A$8:$H$58,2),VLOOKUP(0,setup!$A$8:$H$58,5),VLOOKUP(N143,setup!$A$8:$H$58,8))</f>
        <v>              CommonShowDialogYesNo csdyn = new CommonShowDialogYesNo(</v>
      </c>
    </row>
    <row r="144" spans="1:15" x14ac:dyDescent="0.25">
      <c r="A144" s="6" t="s">
        <v>345</v>
      </c>
      <c r="O144" s="7" t="str">
        <f ca="1">getCodigoBackend(N144,A144,VLOOKUP(N144,setup!$A$8:$H$58,2),VLOOKUP(N144,setup!$A$8:$H$58,3),VLOOKUP(N144,setup!$A$8:$H$58,4),VLOOKUP(N144,setup!$A$8:$H$58,5),VLOOKUP(N144,setup!$A$8:$H$58,6),VLOOKUP(N144,setup!$A$8:$H$58,7), VLOOKUP(0,setup!$A$8:$H$58,2),VLOOKUP(0,setup!$A$8:$H$58,5),VLOOKUP(N144,setup!$A$8:$H$58,8))</f>
        <v>                context: context,</v>
      </c>
    </row>
    <row r="145" spans="1:15" x14ac:dyDescent="0.25">
      <c r="A145" s="6" t="s">
        <v>346</v>
      </c>
      <c r="O145" s="7" t="str">
        <f ca="1">getCodigoBackend(N145,A145,VLOOKUP(N145,setup!$A$8:$H$58,2),VLOOKUP(N145,setup!$A$8:$H$58,3),VLOOKUP(N145,setup!$A$8:$H$58,4),VLOOKUP(N145,setup!$A$8:$H$58,5),VLOOKUP(N145,setup!$A$8:$H$58,6),VLOOKUP(N145,setup!$A$8:$H$58,7), VLOOKUP(0,setup!$A$8:$H$58,2),VLOOKUP(0,setup!$A$8:$H$58,5),VLOOKUP(N145,setup!$A$8:$H$58,8))</f>
        <v>                icon: iconDialogQuestion,</v>
      </c>
    </row>
    <row r="146" spans="1:15" x14ac:dyDescent="0.25">
      <c r="A146" s="6" t="s">
        <v>363</v>
      </c>
      <c r="O146" s="7" t="str">
        <f ca="1">getCodigoBackend(N146,A146,VLOOKUP(N146,setup!$A$8:$H$58,2),VLOOKUP(N146,setup!$A$8:$H$58,3),VLOOKUP(N146,setup!$A$8:$H$58,4),VLOOKUP(N146,setup!$A$8:$H$58,5),VLOOKUP(N146,setup!$A$8:$H$58,6),VLOOKUP(N146,setup!$A$8:$H$58,7), VLOOKUP(0,setup!$A$8:$H$58,2),VLOOKUP(0,setup!$A$8:$H$58,5),VLOOKUP(N146,setup!$A$8:$H$58,8))</f>
        <v>                msg: "Tem certeza de CANCELAR este item?",</v>
      </c>
    </row>
    <row r="147" spans="1:15" x14ac:dyDescent="0.25">
      <c r="A147" s="6" t="s">
        <v>347</v>
      </c>
      <c r="O147" s="7" t="str">
        <f ca="1">getCodigoBackend(N147,A147,VLOOKUP(N147,setup!$A$8:$H$58,2),VLOOKUP(N147,setup!$A$8:$H$58,3),VLOOKUP(N147,setup!$A$8:$H$58,4),VLOOKUP(N147,setup!$A$8:$H$58,5),VLOOKUP(N147,setup!$A$8:$H$58,6),VLOOKUP(N147,setup!$A$8:$H$58,7), VLOOKUP(0,setup!$A$8:$H$58,2),VLOOKUP(0,setup!$A$8:$H$58,5),VLOOKUP(N147,setup!$A$8:$H$58,8))</f>
        <v>                textYes: "Sim",</v>
      </c>
    </row>
    <row r="148" spans="1:15" x14ac:dyDescent="0.25">
      <c r="A148" s="6" t="s">
        <v>348</v>
      </c>
      <c r="O148" s="7" t="str">
        <f ca="1">getCodigoBackend(N148,A148,VLOOKUP(N148,setup!$A$8:$H$58,2),VLOOKUP(N148,setup!$A$8:$H$58,3),VLOOKUP(N148,setup!$A$8:$H$58,4),VLOOKUP(N148,setup!$A$8:$H$58,5),VLOOKUP(N148,setup!$A$8:$H$58,6),VLOOKUP(N148,setup!$A$8:$H$58,7), VLOOKUP(0,setup!$A$8:$H$58,2),VLOOKUP(0,setup!$A$8:$H$58,5),VLOOKUP(N148,setup!$A$8:$H$58,8))</f>
        <v>                textNo: "Não",</v>
      </c>
    </row>
    <row r="149" spans="1:15" x14ac:dyDescent="0.25">
      <c r="A149" s="6" t="s">
        <v>349</v>
      </c>
      <c r="O149" s="7" t="str">
        <f ca="1">getCodigoBackend(N149,A149,VLOOKUP(N149,setup!$A$8:$H$58,2),VLOOKUP(N149,setup!$A$8:$H$58,3),VLOOKUP(N149,setup!$A$8:$H$58,4),VLOOKUP(N149,setup!$A$8:$H$58,5),VLOOKUP(N149,setup!$A$8:$H$58,6),VLOOKUP(N149,setup!$A$8:$H$58,7), VLOOKUP(0,setup!$A$8:$H$58,2),VLOOKUP(0,setup!$A$8:$H$58,5),VLOOKUP(N149,setup!$A$8:$H$58,8))</f>
        <v>              );</v>
      </c>
    </row>
    <row r="150" spans="1:15" x14ac:dyDescent="0.25">
      <c r="A150" s="6" t="s">
        <v>350</v>
      </c>
      <c r="O150" s="7" t="str">
        <f ca="1">getCodigoBackend(N150,A150,VLOOKUP(N150,setup!$A$8:$H$58,2),VLOOKUP(N150,setup!$A$8:$H$58,3),VLOOKUP(N150,setup!$A$8:$H$58,4),VLOOKUP(N150,setup!$A$8:$H$58,5),VLOOKUP(N150,setup!$A$8:$H$58,6),VLOOKUP(N150,setup!$A$8:$H$58,7), VLOOKUP(0,setup!$A$8:$H$58,2),VLOOKUP(0,setup!$A$8:$H$58,5),VLOOKUP(N150,setup!$A$8:$H$58,8))</f>
        <v>              csdyn.showDialogYesNo().then((mapa) async {</v>
      </c>
    </row>
    <row r="151" spans="1:15" x14ac:dyDescent="0.25">
      <c r="A151" s="6" t="s">
        <v>351</v>
      </c>
      <c r="O151" s="7" t="str">
        <f ca="1">getCodigoBackend(N151,A151,VLOOKUP(N151,setup!$A$8:$H$58,2),VLOOKUP(N151,setup!$A$8:$H$58,3),VLOOKUP(N151,setup!$A$8:$H$58,4),VLOOKUP(N151,setup!$A$8:$H$58,5),VLOOKUP(N151,setup!$A$8:$H$58,6),VLOOKUP(N151,setup!$A$8:$H$58,7), VLOOKUP(0,setup!$A$8:$H$58,2),VLOOKUP(0,setup!$A$8:$H$58,5),VLOOKUP(N151,setup!$A$8:$H$58,8))</f>
        <v>              if(csdyn.getChoice() == 'Y'){</v>
      </c>
    </row>
    <row r="152" spans="1:15" x14ac:dyDescent="0.25">
      <c r="A152" s="6" t="s">
        <v>362</v>
      </c>
      <c r="O152" s="7" t="str">
        <f ca="1">getCodigoBackend(N152,A152,VLOOKUP(N152,setup!$A$8:$H$58,2),VLOOKUP(N152,setup!$A$8:$H$58,3),VLOOKUP(N152,setup!$A$8:$H$58,4),VLOOKUP(N152,setup!$A$8:$H$58,5),VLOOKUP(N152,setup!$A$8:$H$58,6),VLOOKUP(N152,setup!$A$8:$H$58,7), VLOOKUP(0,setup!$A$8:$H$58,2),VLOOKUP(0,setup!$A$8:$H$58,5),VLOOKUP(N152,setup!$A$8:$H$58,8))</f>
        <v>                  _uspu_id = widget._usuariopublicidadeVO['id'].toString();</v>
      </c>
    </row>
    <row r="153" spans="1:15" x14ac:dyDescent="0.25">
      <c r="A153" s="6" t="s">
        <v>352</v>
      </c>
      <c r="O153" s="7" t="str">
        <f ca="1">getCodigoBackend(N153,A153,VLOOKUP(N153,setup!$A$8:$H$58,2),VLOOKUP(N153,setup!$A$8:$H$58,3),VLOOKUP(N153,setup!$A$8:$H$58,4),VLOOKUP(N153,setup!$A$8:$H$58,5),VLOOKUP(N153,setup!$A$8:$H$58,6),VLOOKUP(N153,setup!$A$8:$H$58,7), VLOOKUP(0,setup!$A$8:$H$58,2),VLOOKUP(0,setup!$A$8:$H$58,5),VLOOKUP(N153,setup!$A$8:$H$58,8))</f>
        <v>                  Map mapa  = await _realizarCancelarClick();</v>
      </c>
    </row>
    <row r="154" spans="1:15" x14ac:dyDescent="0.25">
      <c r="A154" s="6" t="s">
        <v>353</v>
      </c>
      <c r="O154" s="7" t="str">
        <f ca="1">getCodigoBackend(N154,A154,VLOOKUP(N154,setup!$A$8:$H$58,2),VLOOKUP(N154,setup!$A$8:$H$58,3),VLOOKUP(N154,setup!$A$8:$H$58,4),VLOOKUP(N154,setup!$A$8:$H$58,5),VLOOKUP(N154,setup!$A$8:$H$58,6),VLOOKUP(N154,setup!$A$8:$H$58,7), VLOOKUP(0,setup!$A$8:$H$58,2),VLOOKUP(0,setup!$A$8:$H$58,5),VLOOKUP(N154,setup!$A$8:$H$58,8))</f>
        <v>                  CommonShowDialogYesNo retorno = await new CommonShowDialogYesNo(</v>
      </c>
    </row>
    <row r="155" spans="1:15" x14ac:dyDescent="0.25">
      <c r="A155" s="6" t="s">
        <v>354</v>
      </c>
      <c r="O155" s="7" t="str">
        <f ca="1">getCodigoBackend(N155,A155,VLOOKUP(N155,setup!$A$8:$H$58,2),VLOOKUP(N155,setup!$A$8:$H$58,3),VLOOKUP(N155,setup!$A$8:$H$58,4),VLOOKUP(N155,setup!$A$8:$H$58,5),VLOOKUP(N155,setup!$A$8:$H$58,6),VLOOKUP(N155,setup!$A$8:$H$58,7), VLOOKUP(0,setup!$A$8:$H$58,2),VLOOKUP(0,setup!$A$8:$H$58,5),VLOOKUP(N155,setup!$A$8:$H$58,8))</f>
        <v>                    context: context,</v>
      </c>
    </row>
    <row r="156" spans="1:15" x14ac:dyDescent="0.25">
      <c r="A156" s="6" t="s">
        <v>355</v>
      </c>
      <c r="O156" s="7" t="str">
        <f ca="1">getCodigoBackend(N156,A156,VLOOKUP(N156,setup!$A$8:$H$58,2),VLOOKUP(N156,setup!$A$8:$H$58,3),VLOOKUP(N156,setup!$A$8:$H$58,4),VLOOKUP(N156,setup!$A$8:$H$58,5),VLOOKUP(N156,setup!$A$8:$H$58,6),VLOOKUP(N156,setup!$A$8:$H$58,7), VLOOKUP(0,setup!$A$8:$H$58,2),VLOOKUP(0,setup!$A$8:$H$58,5),VLOOKUP(N156,setup!$A$8:$H$58,8))</f>
        <v>                    icon: mapa['msgcode'] == 'MSG-0001' ? iconReturnBackendSuccess : iconReturnBackendFail,</v>
      </c>
    </row>
    <row r="157" spans="1:15" x14ac:dyDescent="0.25">
      <c r="A157" s="6" t="s">
        <v>356</v>
      </c>
      <c r="O157" s="7" t="str">
        <f ca="1">getCodigoBackend(N157,A157,VLOOKUP(N157,setup!$A$8:$H$58,2),VLOOKUP(N157,setup!$A$8:$H$58,3),VLOOKUP(N157,setup!$A$8:$H$58,4),VLOOKUP(N157,setup!$A$8:$H$58,5),VLOOKUP(N157,setup!$A$8:$H$58,6),VLOOKUP(N157,setup!$A$8:$H$58,7), VLOOKUP(0,setup!$A$8:$H$58,2),VLOOKUP(0,setup!$A$8:$H$58,5),VLOOKUP(N157,setup!$A$8:$H$58,8))</f>
        <v>                    msg: mapa['msgcodeString'],</v>
      </c>
    </row>
    <row r="158" spans="1:15" x14ac:dyDescent="0.25">
      <c r="A158" s="6" t="s">
        <v>357</v>
      </c>
      <c r="O158" s="7" t="str">
        <f ca="1">getCodigoBackend(N158,A158,VLOOKUP(N158,setup!$A$8:$H$58,2),VLOOKUP(N158,setup!$A$8:$H$58,3),VLOOKUP(N158,setup!$A$8:$H$58,4),VLOOKUP(N158,setup!$A$8:$H$58,5),VLOOKUP(N158,setup!$A$8:$H$58,6),VLOOKUP(N158,setup!$A$8:$H$58,7), VLOOKUP(0,setup!$A$8:$H$58,2),VLOOKUP(0,setup!$A$8:$H$58,5),VLOOKUP(N158,setup!$A$8:$H$58,8))</f>
        <v>                  ).showDialogYesNo();</v>
      </c>
    </row>
    <row r="159" spans="1:15" x14ac:dyDescent="0.25">
      <c r="A159" s="6" t="s">
        <v>358</v>
      </c>
      <c r="O159" s="7" t="str">
        <f ca="1">getCodigoBackend(N159,A159,VLOOKUP(N159,setup!$A$8:$H$58,2),VLOOKUP(N159,setup!$A$8:$H$58,3),VLOOKUP(N159,setup!$A$8:$H$58,4),VLOOKUP(N159,setup!$A$8:$H$58,5),VLOOKUP(N159,setup!$A$8:$H$58,6),VLOOKUP(N159,setup!$A$8:$H$58,7), VLOOKUP(0,setup!$A$8:$H$58,2),VLOOKUP(0,setup!$A$8:$H$58,5),VLOOKUP(N159,setup!$A$8:$H$58,8))</f>
        <v>                } /*getChoice() */</v>
      </c>
    </row>
    <row r="160" spans="1:15" x14ac:dyDescent="0.25">
      <c r="A160" s="6" t="s">
        <v>359</v>
      </c>
      <c r="O160" s="7" t="str">
        <f ca="1">getCodigoBackend(N160,A160,VLOOKUP(N160,setup!$A$8:$H$58,2),VLOOKUP(N160,setup!$A$8:$H$58,3),VLOOKUP(N160,setup!$A$8:$H$58,4),VLOOKUP(N160,setup!$A$8:$H$58,5),VLOOKUP(N160,setup!$A$8:$H$58,6),VLOOKUP(N160,setup!$A$8:$H$58,7), VLOOKUP(0,setup!$A$8:$H$58,2),VLOOKUP(0,setup!$A$8:$H$58,5),VLOOKUP(N160,setup!$A$8:$H$58,8))</f>
        <v>              });</v>
      </c>
    </row>
    <row r="161" spans="1:15" x14ac:dyDescent="0.25">
      <c r="A161" s="6" t="s">
        <v>360</v>
      </c>
      <c r="O161" s="7" t="str">
        <f ca="1">getCodigoBackend(N161,A161,VLOOKUP(N161,setup!$A$8:$H$58,2),VLOOKUP(N161,setup!$A$8:$H$58,3),VLOOKUP(N161,setup!$A$8:$H$58,4),VLOOKUP(N161,setup!$A$8:$H$58,5),VLOOKUP(N161,setup!$A$8:$H$58,6),VLOOKUP(N161,setup!$A$8:$H$58,7), VLOOKUP(0,setup!$A$8:$H$58,2),VLOOKUP(0,setup!$A$8:$H$58,5),VLOOKUP(N161,setup!$A$8:$H$58,8))</f>
        <v>            })</v>
      </c>
    </row>
    <row r="162" spans="1:15" x14ac:dyDescent="0.25">
      <c r="A162" s="6" t="s">
        <v>364</v>
      </c>
      <c r="O162" s="7" t="str">
        <f ca="1">getCodigoBackend(N162,A162,VLOOKUP(N162,setup!$A$8:$H$58,2),VLOOKUP(N162,setup!$A$8:$H$58,3),VLOOKUP(N162,setup!$A$8:$H$58,4),VLOOKUP(N162,setup!$A$8:$H$58,5),VLOOKUP(N162,setup!$A$8:$H$58,6),VLOOKUP(N162,setup!$A$8:$H$58,7), VLOOKUP(0,setup!$A$8:$H$58,2),VLOOKUP(0,setup!$A$8:$H$58,5),VLOOKUP(N162,setup!$A$8:$H$58,8))</f>
        <v>            : CommonFlatButtonFunction(Icon(Icons.check_circle, color: Colors.white), "Habilitar", (){</v>
      </c>
    </row>
    <row r="163" spans="1:15" x14ac:dyDescent="0.25">
      <c r="A163" s="6" t="s">
        <v>344</v>
      </c>
      <c r="O163" s="7" t="str">
        <f ca="1">getCodigoBackend(N163,A163,VLOOKUP(N163,setup!$A$8:$H$58,2),VLOOKUP(N163,setup!$A$8:$H$58,3),VLOOKUP(N163,setup!$A$8:$H$58,4),VLOOKUP(N163,setup!$A$8:$H$58,5),VLOOKUP(N163,setup!$A$8:$H$58,6),VLOOKUP(N163,setup!$A$8:$H$58,7), VLOOKUP(0,setup!$A$8:$H$58,2),VLOOKUP(0,setup!$A$8:$H$58,5),VLOOKUP(N163,setup!$A$8:$H$58,8))</f>
        <v>              CommonShowDialogYesNo csdyn = new CommonShowDialogYesNo(</v>
      </c>
    </row>
    <row r="164" spans="1:15" x14ac:dyDescent="0.25">
      <c r="A164" s="6" t="s">
        <v>345</v>
      </c>
      <c r="O164" s="7" t="str">
        <f ca="1">getCodigoBackend(N164,A164,VLOOKUP(N164,setup!$A$8:$H$58,2),VLOOKUP(N164,setup!$A$8:$H$58,3),VLOOKUP(N164,setup!$A$8:$H$58,4),VLOOKUP(N164,setup!$A$8:$H$58,5),VLOOKUP(N164,setup!$A$8:$H$58,6),VLOOKUP(N164,setup!$A$8:$H$58,7), VLOOKUP(0,setup!$A$8:$H$58,2),VLOOKUP(0,setup!$A$8:$H$58,5),VLOOKUP(N164,setup!$A$8:$H$58,8))</f>
        <v>                context: context,</v>
      </c>
    </row>
    <row r="165" spans="1:15" x14ac:dyDescent="0.25">
      <c r="A165" s="6" t="s">
        <v>346</v>
      </c>
      <c r="O165" s="7" t="str">
        <f ca="1">getCodigoBackend(N165,A165,VLOOKUP(N165,setup!$A$8:$H$58,2),VLOOKUP(N165,setup!$A$8:$H$58,3),VLOOKUP(N165,setup!$A$8:$H$58,4),VLOOKUP(N165,setup!$A$8:$H$58,5),VLOOKUP(N165,setup!$A$8:$H$58,6),VLOOKUP(N165,setup!$A$8:$H$58,7), VLOOKUP(0,setup!$A$8:$H$58,2),VLOOKUP(0,setup!$A$8:$H$58,5),VLOOKUP(N165,setup!$A$8:$H$58,8))</f>
        <v>                icon: iconDialogQuestion,</v>
      </c>
    </row>
    <row r="166" spans="1:15" x14ac:dyDescent="0.25">
      <c r="A166" s="6" t="s">
        <v>365</v>
      </c>
      <c r="O166" s="7" t="str">
        <f ca="1">getCodigoBackend(N166,A166,VLOOKUP(N166,setup!$A$8:$H$58,2),VLOOKUP(N166,setup!$A$8:$H$58,3),VLOOKUP(N166,setup!$A$8:$H$58,4),VLOOKUP(N166,setup!$A$8:$H$58,5),VLOOKUP(N166,setup!$A$8:$H$58,6),VLOOKUP(N166,setup!$A$8:$H$58,7), VLOOKUP(0,setup!$A$8:$H$58,2),VLOOKUP(0,setup!$A$8:$H$58,5),VLOOKUP(N166,setup!$A$8:$H$58,8))</f>
        <v>                msg: "Tem certeza de HABILITAR este item?",</v>
      </c>
    </row>
    <row r="167" spans="1:15" x14ac:dyDescent="0.25">
      <c r="A167" s="6" t="s">
        <v>347</v>
      </c>
      <c r="O167" s="7" t="str">
        <f ca="1">getCodigoBackend(N167,A167,VLOOKUP(N167,setup!$A$8:$H$58,2),VLOOKUP(N167,setup!$A$8:$H$58,3),VLOOKUP(N167,setup!$A$8:$H$58,4),VLOOKUP(N167,setup!$A$8:$H$58,5),VLOOKUP(N167,setup!$A$8:$H$58,6),VLOOKUP(N167,setup!$A$8:$H$58,7), VLOOKUP(0,setup!$A$8:$H$58,2),VLOOKUP(0,setup!$A$8:$H$58,5),VLOOKUP(N167,setup!$A$8:$H$58,8))</f>
        <v>                textYes: "Sim",</v>
      </c>
    </row>
    <row r="168" spans="1:15" x14ac:dyDescent="0.25">
      <c r="A168" s="6" t="s">
        <v>348</v>
      </c>
      <c r="O168" s="7" t="str">
        <f ca="1">getCodigoBackend(N168,A168,VLOOKUP(N168,setup!$A$8:$H$58,2),VLOOKUP(N168,setup!$A$8:$H$58,3),VLOOKUP(N168,setup!$A$8:$H$58,4),VLOOKUP(N168,setup!$A$8:$H$58,5),VLOOKUP(N168,setup!$A$8:$H$58,6),VLOOKUP(N168,setup!$A$8:$H$58,7), VLOOKUP(0,setup!$A$8:$H$58,2),VLOOKUP(0,setup!$A$8:$H$58,5),VLOOKUP(N168,setup!$A$8:$H$58,8))</f>
        <v>                textNo: "Não",</v>
      </c>
    </row>
    <row r="169" spans="1:15" x14ac:dyDescent="0.25">
      <c r="A169" s="6" t="s">
        <v>349</v>
      </c>
      <c r="O169" s="7" t="str">
        <f ca="1">getCodigoBackend(N169,A169,VLOOKUP(N169,setup!$A$8:$H$58,2),VLOOKUP(N169,setup!$A$8:$H$58,3),VLOOKUP(N169,setup!$A$8:$H$58,4),VLOOKUP(N169,setup!$A$8:$H$58,5),VLOOKUP(N169,setup!$A$8:$H$58,6),VLOOKUP(N169,setup!$A$8:$H$58,7), VLOOKUP(0,setup!$A$8:$H$58,2),VLOOKUP(0,setup!$A$8:$H$58,5),VLOOKUP(N169,setup!$A$8:$H$58,8))</f>
        <v>              );</v>
      </c>
    </row>
    <row r="170" spans="1:15" x14ac:dyDescent="0.25">
      <c r="A170" s="6" t="s">
        <v>350</v>
      </c>
      <c r="O170" s="7" t="str">
        <f ca="1">getCodigoBackend(N170,A170,VLOOKUP(N170,setup!$A$8:$H$58,2),VLOOKUP(N170,setup!$A$8:$H$58,3),VLOOKUP(N170,setup!$A$8:$H$58,4),VLOOKUP(N170,setup!$A$8:$H$58,5),VLOOKUP(N170,setup!$A$8:$H$58,6),VLOOKUP(N170,setup!$A$8:$H$58,7), VLOOKUP(0,setup!$A$8:$H$58,2),VLOOKUP(0,setup!$A$8:$H$58,5),VLOOKUP(N170,setup!$A$8:$H$58,8))</f>
        <v>              csdyn.showDialogYesNo().then((mapa) async {</v>
      </c>
    </row>
    <row r="171" spans="1:15" x14ac:dyDescent="0.25">
      <c r="A171" s="6" t="s">
        <v>351</v>
      </c>
      <c r="O171" s="7" t="str">
        <f ca="1">getCodigoBackend(N171,A171,VLOOKUP(N171,setup!$A$8:$H$58,2),VLOOKUP(N171,setup!$A$8:$H$58,3),VLOOKUP(N171,setup!$A$8:$H$58,4),VLOOKUP(N171,setup!$A$8:$H$58,5),VLOOKUP(N171,setup!$A$8:$H$58,6),VLOOKUP(N171,setup!$A$8:$H$58,7), VLOOKUP(0,setup!$A$8:$H$58,2),VLOOKUP(0,setup!$A$8:$H$58,5),VLOOKUP(N171,setup!$A$8:$H$58,8))</f>
        <v>              if(csdyn.getChoice() == 'Y'){</v>
      </c>
    </row>
    <row r="172" spans="1:15" x14ac:dyDescent="0.25">
      <c r="A172" s="6" t="s">
        <v>362</v>
      </c>
      <c r="O172" s="7" t="str">
        <f ca="1">getCodigoBackend(N172,A172,VLOOKUP(N172,setup!$A$8:$H$58,2),VLOOKUP(N172,setup!$A$8:$H$58,3),VLOOKUP(N172,setup!$A$8:$H$58,4),VLOOKUP(N172,setup!$A$8:$H$58,5),VLOOKUP(N172,setup!$A$8:$H$58,6),VLOOKUP(N172,setup!$A$8:$H$58,7), VLOOKUP(0,setup!$A$8:$H$58,2),VLOOKUP(0,setup!$A$8:$H$58,5),VLOOKUP(N172,setup!$A$8:$H$58,8))</f>
        <v>                  _uspu_id = widget._usuariopublicidadeVO['id'].toString();</v>
      </c>
    </row>
    <row r="173" spans="1:15" x14ac:dyDescent="0.25">
      <c r="A173" s="6" t="s">
        <v>366</v>
      </c>
      <c r="O173" s="7" t="str">
        <f ca="1">getCodigoBackend(N173,A173,VLOOKUP(N173,setup!$A$8:$H$58,2),VLOOKUP(N173,setup!$A$8:$H$58,3),VLOOKUP(N173,setup!$A$8:$H$58,4),VLOOKUP(N173,setup!$A$8:$H$58,5),VLOOKUP(N173,setup!$A$8:$H$58,6),VLOOKUP(N173,setup!$A$8:$H$58,7), VLOOKUP(0,setup!$A$8:$H$58,2),VLOOKUP(0,setup!$A$8:$H$58,5),VLOOKUP(N173,setup!$A$8:$H$58,8))</f>
        <v>                  Map mapa  = await _realizarHabilitarClick();</v>
      </c>
    </row>
    <row r="174" spans="1:15" x14ac:dyDescent="0.25">
      <c r="A174" s="6" t="s">
        <v>353</v>
      </c>
      <c r="O174" s="7" t="str">
        <f ca="1">getCodigoBackend(N174,A174,VLOOKUP(N174,setup!$A$8:$H$58,2),VLOOKUP(N174,setup!$A$8:$H$58,3),VLOOKUP(N174,setup!$A$8:$H$58,4),VLOOKUP(N174,setup!$A$8:$H$58,5),VLOOKUP(N174,setup!$A$8:$H$58,6),VLOOKUP(N174,setup!$A$8:$H$58,7), VLOOKUP(0,setup!$A$8:$H$58,2),VLOOKUP(0,setup!$A$8:$H$58,5),VLOOKUP(N174,setup!$A$8:$H$58,8))</f>
        <v>                  CommonShowDialogYesNo retorno = await new CommonShowDialogYesNo(</v>
      </c>
    </row>
    <row r="175" spans="1:15" x14ac:dyDescent="0.25">
      <c r="A175" s="6" t="s">
        <v>354</v>
      </c>
      <c r="O175" s="7" t="str">
        <f ca="1">getCodigoBackend(N175,A175,VLOOKUP(N175,setup!$A$8:$H$58,2),VLOOKUP(N175,setup!$A$8:$H$58,3),VLOOKUP(N175,setup!$A$8:$H$58,4),VLOOKUP(N175,setup!$A$8:$H$58,5),VLOOKUP(N175,setup!$A$8:$H$58,6),VLOOKUP(N175,setup!$A$8:$H$58,7), VLOOKUP(0,setup!$A$8:$H$58,2),VLOOKUP(0,setup!$A$8:$H$58,5),VLOOKUP(N175,setup!$A$8:$H$58,8))</f>
        <v>                    context: context,</v>
      </c>
    </row>
    <row r="176" spans="1:15" x14ac:dyDescent="0.25">
      <c r="A176" s="6" t="s">
        <v>355</v>
      </c>
      <c r="O176" s="7" t="str">
        <f ca="1">getCodigoBackend(N176,A176,VLOOKUP(N176,setup!$A$8:$H$58,2),VLOOKUP(N176,setup!$A$8:$H$58,3),VLOOKUP(N176,setup!$A$8:$H$58,4),VLOOKUP(N176,setup!$A$8:$H$58,5),VLOOKUP(N176,setup!$A$8:$H$58,6),VLOOKUP(N176,setup!$A$8:$H$58,7), VLOOKUP(0,setup!$A$8:$H$58,2),VLOOKUP(0,setup!$A$8:$H$58,5),VLOOKUP(N176,setup!$A$8:$H$58,8))</f>
        <v>                    icon: mapa['msgcode'] == 'MSG-0001' ? iconReturnBackendSuccess : iconReturnBackendFail,</v>
      </c>
    </row>
    <row r="177" spans="1:15" x14ac:dyDescent="0.25">
      <c r="A177" s="6" t="s">
        <v>356</v>
      </c>
      <c r="O177" s="7" t="str">
        <f ca="1">getCodigoBackend(N177,A177,VLOOKUP(N177,setup!$A$8:$H$58,2),VLOOKUP(N177,setup!$A$8:$H$58,3),VLOOKUP(N177,setup!$A$8:$H$58,4),VLOOKUP(N177,setup!$A$8:$H$58,5),VLOOKUP(N177,setup!$A$8:$H$58,6),VLOOKUP(N177,setup!$A$8:$H$58,7), VLOOKUP(0,setup!$A$8:$H$58,2),VLOOKUP(0,setup!$A$8:$H$58,5),VLOOKUP(N177,setup!$A$8:$H$58,8))</f>
        <v>                    msg: mapa['msgcodeString'],</v>
      </c>
    </row>
    <row r="178" spans="1:15" x14ac:dyDescent="0.25">
      <c r="A178" s="6" t="s">
        <v>357</v>
      </c>
      <c r="O178" s="7" t="str">
        <f ca="1">getCodigoBackend(N178,A178,VLOOKUP(N178,setup!$A$8:$H$58,2),VLOOKUP(N178,setup!$A$8:$H$58,3),VLOOKUP(N178,setup!$A$8:$H$58,4),VLOOKUP(N178,setup!$A$8:$H$58,5),VLOOKUP(N178,setup!$A$8:$H$58,6),VLOOKUP(N178,setup!$A$8:$H$58,7), VLOOKUP(0,setup!$A$8:$H$58,2),VLOOKUP(0,setup!$A$8:$H$58,5),VLOOKUP(N178,setup!$A$8:$H$58,8))</f>
        <v>                  ).showDialogYesNo();</v>
      </c>
    </row>
    <row r="179" spans="1:15" x14ac:dyDescent="0.25">
      <c r="A179" s="6" t="s">
        <v>358</v>
      </c>
      <c r="O179" s="7" t="str">
        <f ca="1">getCodigoBackend(N179,A179,VLOOKUP(N179,setup!$A$8:$H$58,2),VLOOKUP(N179,setup!$A$8:$H$58,3),VLOOKUP(N179,setup!$A$8:$H$58,4),VLOOKUP(N179,setup!$A$8:$H$58,5),VLOOKUP(N179,setup!$A$8:$H$58,6),VLOOKUP(N179,setup!$A$8:$H$58,7), VLOOKUP(0,setup!$A$8:$H$58,2),VLOOKUP(0,setup!$A$8:$H$58,5),VLOOKUP(N179,setup!$A$8:$H$58,8))</f>
        <v>                } /*getChoice() */</v>
      </c>
    </row>
    <row r="180" spans="1:15" x14ac:dyDescent="0.25">
      <c r="A180" s="6" t="s">
        <v>367</v>
      </c>
      <c r="O180" s="7" t="str">
        <f ca="1">getCodigoBackend(N180,A180,VLOOKUP(N180,setup!$A$8:$H$58,2),VLOOKUP(N180,setup!$A$8:$H$58,3),VLOOKUP(N180,setup!$A$8:$H$58,4),VLOOKUP(N180,setup!$A$8:$H$58,5),VLOOKUP(N180,setup!$A$8:$H$58,6),VLOOKUP(N180,setup!$A$8:$H$58,7), VLOOKUP(0,setup!$A$8:$H$58,2),VLOOKUP(0,setup!$A$8:$H$58,5),VLOOKUP(N180,setup!$A$8:$H$58,8))</f>
        <v>              });              </v>
      </c>
    </row>
    <row r="181" spans="1:15" x14ac:dyDescent="0.25">
      <c r="A181" s="6" t="s">
        <v>368</v>
      </c>
      <c r="O181" s="7" t="str">
        <f ca="1">getCodigoBackend(N181,A181,VLOOKUP(N181,setup!$A$8:$H$58,2),VLOOKUP(N181,setup!$A$8:$H$58,3),VLOOKUP(N181,setup!$A$8:$H$58,4),VLOOKUP(N181,setup!$A$8:$H$58,5),VLOOKUP(N181,setup!$A$8:$H$58,6),VLOOKUP(N181,setup!$A$8:$H$58,7), VLOOKUP(0,setup!$A$8:$H$58,2),VLOOKUP(0,setup!$A$8:$H$58,5),VLOOKUP(N181,setup!$A$8:$H$58,8))</f>
        <v>            }),</v>
      </c>
    </row>
    <row r="182" spans="1:15" x14ac:dyDescent="0.25">
      <c r="A182" s="6" t="s">
        <v>271</v>
      </c>
      <c r="O182" s="7" t="str">
        <f ca="1">getCodigoBackend(N182,A182,VLOOKUP(N182,setup!$A$8:$H$58,2),VLOOKUP(N182,setup!$A$8:$H$58,3),VLOOKUP(N182,setup!$A$8:$H$58,4),VLOOKUP(N182,setup!$A$8:$H$58,5),VLOOKUP(N182,setup!$A$8:$H$58,6),VLOOKUP(N182,setup!$A$8:$H$58,7), VLOOKUP(0,setup!$A$8:$H$58,2),VLOOKUP(0,setup!$A$8:$H$58,5),VLOOKUP(N182,setup!$A$8:$H$58,8))</f>
        <v>      ],</v>
      </c>
    </row>
    <row r="183" spans="1:15" x14ac:dyDescent="0.25">
      <c r="A183" s="6" t="s">
        <v>245</v>
      </c>
      <c r="O183" s="7" t="str">
        <f ca="1">getCodigoBackend(N183,A183,VLOOKUP(N183,setup!$A$8:$H$58,2),VLOOKUP(N183,setup!$A$8:$H$58,3),VLOOKUP(N183,setup!$A$8:$H$58,4),VLOOKUP(N183,setup!$A$8:$H$58,5),VLOOKUP(N183,setup!$A$8:$H$58,6),VLOOKUP(N183,setup!$A$8:$H$58,7), VLOOKUP(0,setup!$A$8:$H$58,2),VLOOKUP(0,setup!$A$8:$H$58,5),VLOOKUP(N183,setup!$A$8:$H$58,8))</f>
        <v>    );</v>
      </c>
    </row>
    <row r="184" spans="1:15" x14ac:dyDescent="0.25">
      <c r="A184" s="16"/>
      <c r="O184" s="7" t="str">
        <f ca="1">getCodigoBackend(N184,A184,VLOOKUP(N184,setup!$A$8:$H$58,2),VLOOKUP(N184,setup!$A$8:$H$58,3),VLOOKUP(N184,setup!$A$8:$H$58,4),VLOOKUP(N184,setup!$A$8:$H$58,5),VLOOKUP(N184,setup!$A$8:$H$58,6),VLOOKUP(N184,setup!$A$8:$H$58,7), VLOOKUP(0,setup!$A$8:$H$58,2),VLOOKUP(0,setup!$A$8:$H$58,5),VLOOKUP(N184,setup!$A$8:$H$58,8))</f>
        <v/>
      </c>
    </row>
    <row r="185" spans="1:15" x14ac:dyDescent="0.25">
      <c r="A185" s="16" t="s">
        <v>272</v>
      </c>
      <c r="O185" s="7" t="str">
        <f ca="1">getCodigoBackend(N185,A185,VLOOKUP(N185,setup!$A$8:$H$58,2),VLOOKUP(N185,setup!$A$8:$H$58,3),VLOOKUP(N185,setup!$A$8:$H$58,4),VLOOKUP(N185,setup!$A$8:$H$58,5),VLOOKUP(N185,setup!$A$8:$H$58,6),VLOOKUP(N185,setup!$A$8:$H$58,7), VLOOKUP(0,setup!$A$8:$H$58,2),VLOOKUP(0,setup!$A$8:$H$58,5),VLOOKUP(N185,setup!$A$8:$H$58,8))</f>
        <v xml:space="preserve">    return Container(</v>
      </c>
    </row>
    <row r="186" spans="1:15" x14ac:dyDescent="0.25">
      <c r="A186" s="16" t="s">
        <v>273</v>
      </c>
      <c r="O186" s="7" t="str">
        <f ca="1">getCodigoBackend(N186,A186,VLOOKUP(N186,setup!$A$8:$H$58,2),VLOOKUP(N186,setup!$A$8:$H$58,3),VLOOKUP(N186,setup!$A$8:$H$58,4),VLOOKUP(N186,setup!$A$8:$H$58,5),VLOOKUP(N186,setup!$A$8:$H$58,6),VLOOKUP(N186,setup!$A$8:$H$58,7), VLOOKUP(0,setup!$A$8:$H$58,2),VLOOKUP(0,setup!$A$8:$H$58,5),VLOOKUP(N186,setup!$A$8:$H$58,8))</f>
        <v xml:space="preserve">        padding: EdgeInsets.symmetric(horizontal: 4, vertical: 2),</v>
      </c>
    </row>
    <row r="187" spans="1:15" x14ac:dyDescent="0.25">
      <c r="A187" s="16" t="s">
        <v>209</v>
      </c>
      <c r="O187" s="7" t="str">
        <f ca="1">getCodigoBackend(N187,A187,VLOOKUP(N187,setup!$A$8:$H$58,2),VLOOKUP(N187,setup!$A$8:$H$58,3),VLOOKUP(N187,setup!$A$8:$H$58,4),VLOOKUP(N187,setup!$A$8:$H$58,5),VLOOKUP(N187,setup!$A$8:$H$58,6),VLOOKUP(N187,setup!$A$8:$H$58,7), VLOOKUP(0,setup!$A$8:$H$58,2),VLOOKUP(0,setup!$A$8:$H$58,5),VLOOKUP(N187,setup!$A$8:$H$58,8))</f>
        <v xml:space="preserve">        child: Card(</v>
      </c>
    </row>
    <row r="188" spans="1:15" x14ac:dyDescent="0.25">
      <c r="A188" s="16" t="s">
        <v>210</v>
      </c>
      <c r="O188" s="7" t="str">
        <f ca="1">getCodigoBackend(N188,A188,VLOOKUP(N188,setup!$A$8:$H$58,2),VLOOKUP(N188,setup!$A$8:$H$58,3),VLOOKUP(N188,setup!$A$8:$H$58,4),VLOOKUP(N188,setup!$A$8:$H$58,5),VLOOKUP(N188,setup!$A$8:$H$58,6),VLOOKUP(N188,setup!$A$8:$H$58,7), VLOOKUP(0,setup!$A$8:$H$58,2),VLOOKUP(0,setup!$A$8:$H$58,5),VLOOKUP(N188,setup!$A$8:$H$58,8))</f>
        <v xml:space="preserve">          child: Padding(</v>
      </c>
    </row>
    <row r="189" spans="1:15" x14ac:dyDescent="0.25">
      <c r="A189" s="16" t="s">
        <v>274</v>
      </c>
      <c r="O189" s="7" t="str">
        <f ca="1">getCodigoBackend(N189,A189,VLOOKUP(N189,setup!$A$8:$H$58,2),VLOOKUP(N189,setup!$A$8:$H$58,3),VLOOKUP(N189,setup!$A$8:$H$58,4),VLOOKUP(N189,setup!$A$8:$H$58,5),VLOOKUP(N189,setup!$A$8:$H$58,6),VLOOKUP(N189,setup!$A$8:$H$58,7), VLOOKUP(0,setup!$A$8:$H$58,2),VLOOKUP(0,setup!$A$8:$H$58,5),VLOOKUP(N189,setup!$A$8:$H$58,8))</f>
        <v xml:space="preserve">            padding: EdgeInsets.symmetric(horizontal:8.0, vertical: 10.0),</v>
      </c>
    </row>
    <row r="190" spans="1:15" x14ac:dyDescent="0.25">
      <c r="A190" s="16" t="s">
        <v>211</v>
      </c>
      <c r="O190" s="7" t="str">
        <f ca="1">getCodigoBackend(N190,A190,VLOOKUP(N190,setup!$A$8:$H$58,2),VLOOKUP(N190,setup!$A$8:$H$58,3),VLOOKUP(N190,setup!$A$8:$H$58,4),VLOOKUP(N190,setup!$A$8:$H$58,5),VLOOKUP(N190,setup!$A$8:$H$58,6),VLOOKUP(N190,setup!$A$8:$H$58,7), VLOOKUP(0,setup!$A$8:$H$58,2),VLOOKUP(0,setup!$A$8:$H$58,5),VLOOKUP(N190,setup!$A$8:$H$58,8))</f>
        <v xml:space="preserve">            child: Column(</v>
      </c>
    </row>
    <row r="191" spans="1:15" x14ac:dyDescent="0.25">
      <c r="A191" s="16" t="s">
        <v>212</v>
      </c>
      <c r="O191" s="7" t="str">
        <f ca="1">getCodigoBackend(N191,A191,VLOOKUP(N191,setup!$A$8:$H$58,2),VLOOKUP(N191,setup!$A$8:$H$58,3),VLOOKUP(N191,setup!$A$8:$H$58,4),VLOOKUP(N191,setup!$A$8:$H$58,5),VLOOKUP(N191,setup!$A$8:$H$58,6),VLOOKUP(N191,setup!$A$8:$H$58,7), VLOOKUP(0,setup!$A$8:$H$58,2),VLOOKUP(0,setup!$A$8:$H$58,5),VLOOKUP(N191,setup!$A$8:$H$58,8))</f>
        <v xml:space="preserve">              mainAxisAlignment: MainAxisAlignment.start,</v>
      </c>
    </row>
    <row r="192" spans="1:15" x14ac:dyDescent="0.25">
      <c r="A192" s="16" t="s">
        <v>213</v>
      </c>
      <c r="O192" s="7" t="str">
        <f ca="1">getCodigoBackend(N192,A192,VLOOKUP(N192,setup!$A$8:$H$58,2),VLOOKUP(N192,setup!$A$8:$H$58,3),VLOOKUP(N192,setup!$A$8:$H$58,4),VLOOKUP(N192,setup!$A$8:$H$58,5),VLOOKUP(N192,setup!$A$8:$H$58,6),VLOOKUP(N192,setup!$A$8:$H$58,7), VLOOKUP(0,setup!$A$8:$H$58,2),VLOOKUP(0,setup!$A$8:$H$58,5),VLOOKUP(N192,setup!$A$8:$H$58,8))</f>
        <v xml:space="preserve">              crossAxisAlignment: CrossAxisAlignment.start,</v>
      </c>
    </row>
    <row r="193" spans="1:15" x14ac:dyDescent="0.25">
      <c r="A193" s="16" t="s">
        <v>203</v>
      </c>
      <c r="O193" s="7" t="str">
        <f ca="1">getCodigoBackend(N193,A193,VLOOKUP(N193,setup!$A$8:$H$58,2),VLOOKUP(N193,setup!$A$8:$H$58,3),VLOOKUP(N193,setup!$A$8:$H$58,4),VLOOKUP(N193,setup!$A$8:$H$58,5),VLOOKUP(N193,setup!$A$8:$H$58,6),VLOOKUP(N193,setup!$A$8:$H$58,7), VLOOKUP(0,setup!$A$8:$H$58,2),VLOOKUP(0,setup!$A$8:$H$58,5),VLOOKUP(N193,setup!$A$8:$H$58,8))</f>
        <v xml:space="preserve">              children: &lt;Widget&gt;[</v>
      </c>
    </row>
    <row r="194" spans="1:15" x14ac:dyDescent="0.25">
      <c r="A194" s="16" t="s">
        <v>249</v>
      </c>
      <c r="O194" s="7" t="str">
        <f ca="1">getCodigoBackend(N194,A194,VLOOKUP(N194,setup!$A$8:$H$58,2),VLOOKUP(N194,setup!$A$8:$H$58,3),VLOOKUP(N194,setup!$A$8:$H$58,4),VLOOKUP(N194,setup!$A$8:$H$58,5),VLOOKUP(N194,setup!$A$8:$H$58,6),VLOOKUP(N194,setup!$A$8:$H$58,7), VLOOKUP(0,setup!$A$8:$H$58,2),VLOOKUP(0,setup!$A$8:$H$58,5),VLOOKUP(N194,setup!$A$8:$H$58,8))</f>
        <v xml:space="preserve">                Row(</v>
      </c>
    </row>
    <row r="195" spans="1:15" x14ac:dyDescent="0.25">
      <c r="A195" s="16" t="s">
        <v>309</v>
      </c>
      <c r="O195" s="7" t="str">
        <f ca="1">getCodigoBackend(N195,A195,VLOOKUP(N195,setup!$A$8:$H$58,2),VLOOKUP(N195,setup!$A$8:$H$58,3),VLOOKUP(N195,setup!$A$8:$H$58,4),VLOOKUP(N195,setup!$A$8:$H$58,5),VLOOKUP(N195,setup!$A$8:$H$58,6),VLOOKUP(N195,setup!$A$8:$H$58,7), VLOOKUP(0,setup!$A$8:$H$58,2),VLOOKUP(0,setup!$A$8:$H$58,5),VLOOKUP(N195,setup!$A$8:$H$58,8))</f>
        <v>                  crossAxisAlignment: CrossAxisAlignment.start,</v>
      </c>
    </row>
    <row r="196" spans="1:15" x14ac:dyDescent="0.25">
      <c r="A196" s="16" t="s">
        <v>250</v>
      </c>
      <c r="O196" s="7" t="str">
        <f ca="1">getCodigoBackend(N196,A196,VLOOKUP(N196,setup!$A$8:$H$58,2),VLOOKUP(N196,setup!$A$8:$H$58,3),VLOOKUP(N196,setup!$A$8:$H$58,4),VLOOKUP(N196,setup!$A$8:$H$58,5),VLOOKUP(N196,setup!$A$8:$H$58,6),VLOOKUP(N196,setup!$A$8:$H$58,7), VLOOKUP(0,setup!$A$8:$H$58,2),VLOOKUP(0,setup!$A$8:$H$58,5),VLOOKUP(N196,setup!$A$8:$H$58,8))</f>
        <v xml:space="preserve">                  children: &lt;Widget&gt;[</v>
      </c>
    </row>
    <row r="197" spans="1:15" x14ac:dyDescent="0.25">
      <c r="A197" s="16" t="s">
        <v>251</v>
      </c>
      <c r="O197" s="7" t="str">
        <f ca="1">getCodigoBackend(N197,A197,VLOOKUP(N197,setup!$A$8:$H$58,2),VLOOKUP(N197,setup!$A$8:$H$58,3),VLOOKUP(N197,setup!$A$8:$H$58,4),VLOOKUP(N197,setup!$A$8:$H$58,5),VLOOKUP(N197,setup!$A$8:$H$58,6),VLOOKUP(N197,setup!$A$8:$H$58,7), VLOOKUP(0,setup!$A$8:$H$58,2),VLOOKUP(0,setup!$A$8:$H$58,5),VLOOKUP(N197,setup!$A$8:$H$58,8))</f>
        <v xml:space="preserve">                    new CommonImageCircle("no-user.png"</v>
      </c>
    </row>
    <row r="198" spans="1:15" x14ac:dyDescent="0.25">
      <c r="A198" s="16" t="s">
        <v>252</v>
      </c>
      <c r="O198" s="7" t="str">
        <f ca="1">getCodigoBackend(N198,A198,VLOOKUP(N198,setup!$A$8:$H$58,2),VLOOKUP(N198,setup!$A$8:$H$58,3),VLOOKUP(N198,setup!$A$8:$H$58,4),VLOOKUP(N198,setup!$A$8:$H$58,5),VLOOKUP(N198,setup!$A$8:$H$58,6),VLOOKUP(N198,setup!$A$8:$H$58,7), VLOOKUP(0,setup!$A$8:$H$58,2),VLOOKUP(0,setup!$A$8:$H$58,5),VLOOKUP(N198,setup!$A$8:$H$58,8))</f>
        <v xml:space="preserve">                        ,heightcic: 64</v>
      </c>
    </row>
    <row r="199" spans="1:15" x14ac:dyDescent="0.25">
      <c r="A199" s="16" t="s">
        <v>253</v>
      </c>
      <c r="O199" s="7" t="str">
        <f ca="1">getCodigoBackend(N199,A199,VLOOKUP(N199,setup!$A$8:$H$58,2),VLOOKUP(N199,setup!$A$8:$H$58,3),VLOOKUP(N199,setup!$A$8:$H$58,4),VLOOKUP(N199,setup!$A$8:$H$58,5),VLOOKUP(N199,setup!$A$8:$H$58,6),VLOOKUP(N199,setup!$A$8:$H$58,7), VLOOKUP(0,setup!$A$8:$H$58,2),VLOOKUP(0,setup!$A$8:$H$58,5),VLOOKUP(N199,setup!$A$8:$H$58,8))</f>
        <v xml:space="preserve">                        ,widthcic: 64</v>
      </c>
    </row>
    <row r="200" spans="1:15" x14ac:dyDescent="0.25">
      <c r="A200" s="16" t="s">
        <v>254</v>
      </c>
      <c r="O200" s="7" t="str">
        <f ca="1">getCodigoBackend(N200,A200,VLOOKUP(N200,setup!$A$8:$H$58,2),VLOOKUP(N200,setup!$A$8:$H$58,3),VLOOKUP(N200,setup!$A$8:$H$58,4),VLOOKUP(N200,setup!$A$8:$H$58,5),VLOOKUP(N200,setup!$A$8:$H$58,6),VLOOKUP(N200,setup!$A$8:$H$58,7), VLOOKUP(0,setup!$A$8:$H$58,2),VLOOKUP(0,setup!$A$8:$H$58,5),VLOOKUP(N200,setup!$A$8:$H$58,8))</f>
        <v xml:space="preserve">                        ,bordercolorcic: Colors.transparent),</v>
      </c>
    </row>
    <row r="201" spans="1:15" x14ac:dyDescent="0.25">
      <c r="A201" s="16" t="s">
        <v>255</v>
      </c>
      <c r="O201" s="7" t="str">
        <f ca="1">getCodigoBackend(N201,A201,VLOOKUP(N201,setup!$A$8:$H$58,2),VLOOKUP(N201,setup!$A$8:$H$58,3),VLOOKUP(N201,setup!$A$8:$H$58,4),VLOOKUP(N201,setup!$A$8:$H$58,5),VLOOKUP(N201,setup!$A$8:$H$58,6),VLOOKUP(N201,setup!$A$8:$H$58,7), VLOOKUP(0,setup!$A$8:$H$58,2),VLOOKUP(0,setup!$A$8:$H$58,5),VLOOKUP(N201,setup!$A$8:$H$58,8))</f>
        <v xml:space="preserve">                    SizedBox(width: 8,),</v>
      </c>
    </row>
    <row r="202" spans="1:15" x14ac:dyDescent="0.25">
      <c r="A202" s="16" t="s">
        <v>256</v>
      </c>
      <c r="O202" s="7" t="str">
        <f ca="1">getCodigoBackend(N202,A202,VLOOKUP(N202,setup!$A$8:$H$58,2),VLOOKUP(N202,setup!$A$8:$H$58,3),VLOOKUP(N202,setup!$A$8:$H$58,4),VLOOKUP(N202,setup!$A$8:$H$58,5),VLOOKUP(N202,setup!$A$8:$H$58,6),VLOOKUP(N202,setup!$A$8:$H$58,7), VLOOKUP(0,setup!$A$8:$H$58,2),VLOOKUP(0,setup!$A$8:$H$58,5),VLOOKUP(N202,setup!$A$8:$H$58,8))</f>
        <v xml:space="preserve">                    Column(</v>
      </c>
    </row>
    <row r="203" spans="1:15" x14ac:dyDescent="0.25">
      <c r="A203" s="16" t="s">
        <v>257</v>
      </c>
      <c r="O203" s="7" t="str">
        <f ca="1">getCodigoBackend(N203,A203,VLOOKUP(N203,setup!$A$8:$H$58,2),VLOOKUP(N203,setup!$A$8:$H$58,3),VLOOKUP(N203,setup!$A$8:$H$58,4),VLOOKUP(N203,setup!$A$8:$H$58,5),VLOOKUP(N203,setup!$A$8:$H$58,6),VLOOKUP(N203,setup!$A$8:$H$58,7), VLOOKUP(0,setup!$A$8:$H$58,2),VLOOKUP(0,setup!$A$8:$H$58,5),VLOOKUP(N203,setup!$A$8:$H$58,8))</f>
        <v xml:space="preserve">                      crossAxisAlignment: CrossAxisAlignment.start,</v>
      </c>
    </row>
    <row r="204" spans="1:15" x14ac:dyDescent="0.25">
      <c r="A204" s="16" t="s">
        <v>258</v>
      </c>
      <c r="O204" s="7" t="str">
        <f ca="1">getCodigoBackend(N204,A204,VLOOKUP(N204,setup!$A$8:$H$58,2),VLOOKUP(N204,setup!$A$8:$H$58,3),VLOOKUP(N204,setup!$A$8:$H$58,4),VLOOKUP(N204,setup!$A$8:$H$58,5),VLOOKUP(N204,setup!$A$8:$H$58,6),VLOOKUP(N204,setup!$A$8:$H$58,7), VLOOKUP(0,setup!$A$8:$H$58,2),VLOOKUP(0,setup!$A$8:$H$58,5),VLOOKUP(N204,setup!$A$8:$H$58,8))</f>
        <v xml:space="preserve">                      children: &lt;Widget&gt;[</v>
      </c>
    </row>
    <row r="205" spans="1:15" x14ac:dyDescent="0.25">
      <c r="A205" s="16" t="s">
        <v>275</v>
      </c>
      <c r="O205" s="7" t="str">
        <f ca="1">getCodigoBackend(N205,A205,VLOOKUP(N205,setup!$A$8:$H$58,2),VLOOKUP(N205,setup!$A$8:$H$58,3),VLOOKUP(N205,setup!$A$8:$H$58,4),VLOOKUP(N205,setup!$A$8:$H$58,5),VLOOKUP(N205,setup!$A$8:$H$58,6),VLOOKUP(N205,setup!$A$8:$H$58,7), VLOOKUP(0,setup!$A$8:$H$58,2),VLOOKUP(0,setup!$A$8:$H$58,5),VLOOKUP(N205,setup!$A$8:$H$58,8))</f>
        <v xml:space="preserve">                        Text("Titulo principal" ,</v>
      </c>
    </row>
    <row r="206" spans="1:15" x14ac:dyDescent="0.25">
      <c r="A206" s="16" t="s">
        <v>276</v>
      </c>
      <c r="O206" s="7" t="str">
        <f ca="1">getCodigoBackend(N206,A206,VLOOKUP(N206,setup!$A$8:$H$58,2),VLOOKUP(N206,setup!$A$8:$H$58,3),VLOOKUP(N206,setup!$A$8:$H$58,4),VLOOKUP(N206,setup!$A$8:$H$58,5),VLOOKUP(N206,setup!$A$8:$H$58,6),VLOOKUP(N206,setup!$A$8:$H$58,7), VLOOKUP(0,setup!$A$8:$H$58,2),VLOOKUP(0,setup!$A$8:$H$58,5),VLOOKUP(N206,setup!$A$8:$H$58,8))</f>
        <v xml:space="preserve">                            style: TextStyle(fontStyle: FontStyle.italic, color: Colors.black45)),</v>
      </c>
    </row>
    <row r="207" spans="1:15" x14ac:dyDescent="0.25">
      <c r="A207" s="16" t="s">
        <v>285</v>
      </c>
      <c r="O207" s="7" t="str">
        <f ca="1">getCodigoBackend(N207,A207,VLOOKUP(N207,setup!$A$8:$H$58,2),VLOOKUP(N207,setup!$A$8:$H$58,3),VLOOKUP(N207,setup!$A$8:$H$58,4),VLOOKUP(N207,setup!$A$8:$H$58,5),VLOOKUP(N207,setup!$A$8:$H$58,6),VLOOKUP(N207,setup!$A$8:$H$58,7), VLOOKUP(0,setup!$A$8:$H$58,2),VLOOKUP(0,setup!$A$8:$H$58,5),VLOOKUP(N207,setup!$A$8:$H$58,8))</f>
        <v xml:space="preserve">                        Text(widget._usuariopublicidadeVO['statusdesc'].toUpperCase(),</v>
      </c>
    </row>
    <row r="208" spans="1:15" x14ac:dyDescent="0.25">
      <c r="A208" s="16" t="s">
        <v>277</v>
      </c>
      <c r="O208" s="7" t="str">
        <f ca="1">getCodigoBackend(N208,A208,VLOOKUP(N208,setup!$A$8:$H$58,2),VLOOKUP(N208,setup!$A$8:$H$58,3),VLOOKUP(N208,setup!$A$8:$H$58,4),VLOOKUP(N208,setup!$A$8:$H$58,5),VLOOKUP(N208,setup!$A$8:$H$58,6),VLOOKUP(N208,setup!$A$8:$H$58,7), VLOOKUP(0,setup!$A$8:$H$58,2),VLOOKUP(0,setup!$A$8:$H$58,5),VLOOKUP(N208,setup!$A$8:$H$58,8))</f>
        <v xml:space="preserve">                            style: TextStyle(fontSize: 16, color: Colors.red)),</v>
      </c>
    </row>
    <row r="209" spans="1:15" x14ac:dyDescent="0.25">
      <c r="A209" s="16" t="s">
        <v>315</v>
      </c>
      <c r="N209">
        <v>0</v>
      </c>
      <c r="O209" s="7" t="str">
        <f ca="1">getCodigoBackend(N209,A209,VLOOKUP(N209,setup!$A$8:$H$58,2),VLOOKUP(N209,setup!$A$8:$H$58,3),VLOOKUP(N209,setup!$A$8:$H$58,4),VLOOKUP(N209,setup!$A$8:$H$58,5),VLOOKUP(N209,setup!$A$8:$H$58,6),VLOOKUP(N209,setup!$A$8:$H$58,7), VLOOKUP(0,setup!$A$8:$H$58,2),VLOOKUP(0,setup!$A$8:$H$58,5),VLOOKUP(N209,setup!$A$8:$H$58,8))</f>
        <v xml:space="preserve">                        Container(width: screenWidth * 0.55,Text(widget._usuariopublicidadeVO['id'] ,style: uiTextStylePadrao)),</v>
      </c>
    </row>
    <row r="210" spans="1:15" x14ac:dyDescent="0.25">
      <c r="A210" s="16" t="s">
        <v>315</v>
      </c>
      <c r="N210">
        <f>N209+1</f>
        <v>1</v>
      </c>
      <c r="O210" s="7" t="str">
        <f ca="1">getCodigoBackend(N210,A210,VLOOKUP(N210,setup!$A$8:$H$58,2),VLOOKUP(N210,setup!$A$8:$H$58,3),VLOOKUP(N210,setup!$A$8:$H$58,4),VLOOKUP(N210,setup!$A$8:$H$58,5),VLOOKUP(N210,setup!$A$8:$H$58,6),VLOOKUP(N210,setup!$A$8:$H$58,7), VLOOKUP(0,setup!$A$8:$H$58,2),VLOOKUP(0,setup!$A$8:$H$58,5),VLOOKUP(N210,setup!$A$8:$H$58,8))</f>
        <v xml:space="preserve">                        Container(width: screenWidth * 0.55,Text(widget._usuariopublicidadeVO['id_usuario'] ,style: uiTextStylePadrao)),</v>
      </c>
    </row>
    <row r="211" spans="1:15" x14ac:dyDescent="0.25">
      <c r="A211" s="16" t="s">
        <v>315</v>
      </c>
      <c r="N211">
        <f t="shared" ref="N211:N259" si="2">N210+1</f>
        <v>2</v>
      </c>
      <c r="O211" s="7" t="str">
        <f ca="1">getCodigoBackend(N211,A211,VLOOKUP(N211,setup!$A$8:$H$58,2),VLOOKUP(N211,setup!$A$8:$H$58,3),VLOOKUP(N211,setup!$A$8:$H$58,4),VLOOKUP(N211,setup!$A$8:$H$58,5),VLOOKUP(N211,setup!$A$8:$H$58,6),VLOOKUP(N211,setup!$A$8:$H$58,7), VLOOKUP(0,setup!$A$8:$H$58,2),VLOOKUP(0,setup!$A$8:$H$58,5),VLOOKUP(N211,setup!$A$8:$H$58,8))</f>
        <v xml:space="preserve">                        Container(width: screenWidth * 0.55,Text(widget._usuariopublicidadeVO['titulo'] ,style: uiTextStylePadrao)),</v>
      </c>
    </row>
    <row r="212" spans="1:15" x14ac:dyDescent="0.25">
      <c r="A212" s="16" t="s">
        <v>315</v>
      </c>
      <c r="N212">
        <f t="shared" si="2"/>
        <v>3</v>
      </c>
      <c r="O212" s="7" t="str">
        <f ca="1">getCodigoBackend(N212,A212,VLOOKUP(N212,setup!$A$8:$H$58,2),VLOOKUP(N212,setup!$A$8:$H$58,3),VLOOKUP(N212,setup!$A$8:$H$58,4),VLOOKUP(N212,setup!$A$8:$H$58,5),VLOOKUP(N212,setup!$A$8:$H$58,6),VLOOKUP(N212,setup!$A$8:$H$58,7), VLOOKUP(0,setup!$A$8:$H$58,2),VLOOKUP(0,setup!$A$8:$H$58,5),VLOOKUP(N212,setup!$A$8:$H$58,8))</f>
        <v xml:space="preserve">                        Container(width: screenWidth * 0.55,Text(widget._usuariopublicidadeVO['descricao'] ,style: uiTextStylePadrao)),</v>
      </c>
    </row>
    <row r="213" spans="1:15" x14ac:dyDescent="0.25">
      <c r="A213" s="16" t="s">
        <v>315</v>
      </c>
      <c r="N213">
        <f t="shared" si="2"/>
        <v>4</v>
      </c>
      <c r="O213" s="7" t="str">
        <f ca="1">getCodigoBackend(N213,A213,VLOOKUP(N213,setup!$A$8:$H$58,2),VLOOKUP(N213,setup!$A$8:$H$58,3),VLOOKUP(N213,setup!$A$8:$H$58,4),VLOOKUP(N213,setup!$A$8:$H$58,5),VLOOKUP(N213,setup!$A$8:$H$58,6),VLOOKUP(N213,setup!$A$8:$H$58,7), VLOOKUP(0,setup!$A$8:$H$58,2),VLOOKUP(0,setup!$A$8:$H$58,5),VLOOKUP(N213,setup!$A$8:$H$58,8))</f>
        <v xml:space="preserve">                        Container(width: screenWidth * 0.55,Text(widget._usuariopublicidadeVO['dataInicio'] ,style: uiTextStylePadrao)),</v>
      </c>
    </row>
    <row r="214" spans="1:15" x14ac:dyDescent="0.25">
      <c r="A214" s="16" t="s">
        <v>315</v>
      </c>
      <c r="N214">
        <f t="shared" si="2"/>
        <v>5</v>
      </c>
      <c r="O214" s="7" t="str">
        <f ca="1">getCodigoBackend(N214,A214,VLOOKUP(N214,setup!$A$8:$H$58,2),VLOOKUP(N214,setup!$A$8:$H$58,3),VLOOKUP(N214,setup!$A$8:$H$58,4),VLOOKUP(N214,setup!$A$8:$H$58,5),VLOOKUP(N214,setup!$A$8:$H$58,6),VLOOKUP(N214,setup!$A$8:$H$58,7), VLOOKUP(0,setup!$A$8:$H$58,2),VLOOKUP(0,setup!$A$8:$H$58,5),VLOOKUP(N214,setup!$A$8:$H$58,8))</f>
        <v xml:space="preserve">                        Container(width: screenWidth * 0.55,Text(widget._usuariopublicidadeVO['dataTermino'] ,style: uiTextStylePadrao)),</v>
      </c>
    </row>
    <row r="215" spans="1:15" x14ac:dyDescent="0.25">
      <c r="A215" s="16" t="s">
        <v>315</v>
      </c>
      <c r="N215">
        <f t="shared" si="2"/>
        <v>6</v>
      </c>
      <c r="O215" s="7" t="str">
        <f ca="1">getCodigoBackend(N215,A215,VLOOKUP(N215,setup!$A$8:$H$58,2),VLOOKUP(N215,setup!$A$8:$H$58,3),VLOOKUP(N215,setup!$A$8:$H$58,4),VLOOKUP(N215,setup!$A$8:$H$58,5),VLOOKUP(N215,setup!$A$8:$H$58,6),VLOOKUP(N215,setup!$A$8:$H$58,7), VLOOKUP(0,setup!$A$8:$H$58,2),VLOOKUP(0,setup!$A$8:$H$58,5),VLOOKUP(N215,setup!$A$8:$H$58,8))</f>
        <v xml:space="preserve">                        Container(width: screenWidth * 0.55,Text(widget._usuariopublicidadeVO['vlNormal'] ,style: uiTextStylePadrao)),</v>
      </c>
    </row>
    <row r="216" spans="1:15" x14ac:dyDescent="0.25">
      <c r="A216" s="16" t="s">
        <v>315</v>
      </c>
      <c r="N216">
        <f t="shared" si="2"/>
        <v>7</v>
      </c>
      <c r="O216" s="7" t="str">
        <f ca="1">getCodigoBackend(N216,A216,VLOOKUP(N216,setup!$A$8:$H$58,2),VLOOKUP(N216,setup!$A$8:$H$58,3),VLOOKUP(N216,setup!$A$8:$H$58,4),VLOOKUP(N216,setup!$A$8:$H$58,5),VLOOKUP(N216,setup!$A$8:$H$58,6),VLOOKUP(N216,setup!$A$8:$H$58,7), VLOOKUP(0,setup!$A$8:$H$58,2),VLOOKUP(0,setup!$A$8:$H$58,5),VLOOKUP(N216,setup!$A$8:$H$58,8))</f>
        <v xml:space="preserve">                        Container(width: screenWidth * 0.55,Text(widget._usuariopublicidadeVO['vlPromo'] ,style: uiTextStylePadrao)),</v>
      </c>
    </row>
    <row r="217" spans="1:15" x14ac:dyDescent="0.25">
      <c r="A217" s="16" t="s">
        <v>315</v>
      </c>
      <c r="N217">
        <f t="shared" si="2"/>
        <v>8</v>
      </c>
      <c r="O217" s="7" t="str">
        <f ca="1">getCodigoBackend(N217,A217,VLOOKUP(N217,setup!$A$8:$H$58,2),VLOOKUP(N217,setup!$A$8:$H$58,3),VLOOKUP(N217,setup!$A$8:$H$58,4),VLOOKUP(N217,setup!$A$8:$H$58,5),VLOOKUP(N217,setup!$A$8:$H$58,6),VLOOKUP(N217,setup!$A$8:$H$58,7), VLOOKUP(0,setup!$A$8:$H$58,2),VLOOKUP(0,setup!$A$8:$H$58,5),VLOOKUP(N217,setup!$A$8:$H$58,8))</f>
        <v xml:space="preserve">                        Container(width: screenWidth * 0.55,Text(widget._usuariopublicidadeVO['observacao'] ,style: uiTextStylePadrao)),</v>
      </c>
    </row>
    <row r="218" spans="1:15" x14ac:dyDescent="0.25">
      <c r="A218" s="16" t="s">
        <v>315</v>
      </c>
      <c r="N218">
        <f t="shared" si="2"/>
        <v>9</v>
      </c>
      <c r="O218" s="7" t="str">
        <f ca="1">getCodigoBackend(N218,A218,VLOOKUP(N218,setup!$A$8:$H$58,2),VLOOKUP(N218,setup!$A$8:$H$58,3),VLOOKUP(N218,setup!$A$8:$H$58,4),VLOOKUP(N218,setup!$A$8:$H$58,5),VLOOKUP(N218,setup!$A$8:$H$58,6),VLOOKUP(N218,setup!$A$8:$H$58,7), VLOOKUP(0,setup!$A$8:$H$58,2),VLOOKUP(0,setup!$A$8:$H$58,5),VLOOKUP(N218,setup!$A$8:$H$58,8))</f>
        <v xml:space="preserve">                        Container(width: screenWidth * 0.55,Text(widget._usuariopublicidadeVO['dataRemover'] ,style: uiTextStylePadrao)),</v>
      </c>
    </row>
    <row r="219" spans="1:15" x14ac:dyDescent="0.25">
      <c r="A219" s="16" t="s">
        <v>315</v>
      </c>
      <c r="N219">
        <f t="shared" si="2"/>
        <v>10</v>
      </c>
      <c r="O219" s="7" t="e">
        <f>getCodigoBackend(N219,A219,VLOOKUP(N219,setup!$A$8:$H$58,2),VLOOKUP(N219,setup!$A$8:$H$58,3),VLOOKUP(N219,setup!$A$8:$H$58,4),VLOOKUP(N219,setup!$A$8:$H$58,5),VLOOKUP(N219,setup!$A$8:$H$58,6),VLOOKUP(N219,setup!$A$8:$H$58,7), VLOOKUP(0,setup!$A$8:$H$58,2),VLOOKUP(0,setup!$A$8:$H$58,5),VLOOKUP(N219,setup!$A$8:$H$58,8))</f>
        <v>#VALUE!</v>
      </c>
    </row>
    <row r="220" spans="1:15" x14ac:dyDescent="0.25">
      <c r="A220" s="16" t="s">
        <v>315</v>
      </c>
      <c r="N220">
        <f t="shared" si="2"/>
        <v>11</v>
      </c>
      <c r="O220" s="7" t="e">
        <f>getCodigoBackend(N220,A220,VLOOKUP(N220,setup!$A$8:$H$58,2),VLOOKUP(N220,setup!$A$8:$H$58,3),VLOOKUP(N220,setup!$A$8:$H$58,4),VLOOKUP(N220,setup!$A$8:$H$58,5),VLOOKUP(N220,setup!$A$8:$H$58,6),VLOOKUP(N220,setup!$A$8:$H$58,7), VLOOKUP(0,setup!$A$8:$H$58,2),VLOOKUP(0,setup!$A$8:$H$58,5),VLOOKUP(N220,setup!$A$8:$H$58,8))</f>
        <v>#VALUE!</v>
      </c>
    </row>
    <row r="221" spans="1:15" x14ac:dyDescent="0.25">
      <c r="A221" s="16" t="s">
        <v>315</v>
      </c>
      <c r="N221">
        <f t="shared" si="2"/>
        <v>12</v>
      </c>
      <c r="O221" s="7" t="e">
        <f>getCodigoBackend(N221,A221,VLOOKUP(N221,setup!$A$8:$H$58,2),VLOOKUP(N221,setup!$A$8:$H$58,3),VLOOKUP(N221,setup!$A$8:$H$58,4),VLOOKUP(N221,setup!$A$8:$H$58,5),VLOOKUP(N221,setup!$A$8:$H$58,6),VLOOKUP(N221,setup!$A$8:$H$58,7), VLOOKUP(0,setup!$A$8:$H$58,2),VLOOKUP(0,setup!$A$8:$H$58,5),VLOOKUP(N221,setup!$A$8:$H$58,8))</f>
        <v>#VALUE!</v>
      </c>
    </row>
    <row r="222" spans="1:15" x14ac:dyDescent="0.25">
      <c r="A222" s="16" t="s">
        <v>315</v>
      </c>
      <c r="N222">
        <f t="shared" si="2"/>
        <v>13</v>
      </c>
      <c r="O222" s="7" t="e">
        <f>getCodigoBackend(N222,A222,VLOOKUP(N222,setup!$A$8:$H$58,2),VLOOKUP(N222,setup!$A$8:$H$58,3),VLOOKUP(N222,setup!$A$8:$H$58,4),VLOOKUP(N222,setup!$A$8:$H$58,5),VLOOKUP(N222,setup!$A$8:$H$58,6),VLOOKUP(N222,setup!$A$8:$H$58,7), VLOOKUP(0,setup!$A$8:$H$58,2),VLOOKUP(0,setup!$A$8:$H$58,5),VLOOKUP(N222,setup!$A$8:$H$58,8))</f>
        <v>#VALUE!</v>
      </c>
    </row>
    <row r="223" spans="1:15" x14ac:dyDescent="0.25">
      <c r="A223" s="16" t="s">
        <v>315</v>
      </c>
      <c r="N223">
        <f t="shared" si="2"/>
        <v>14</v>
      </c>
      <c r="O223" s="7" t="e">
        <f>getCodigoBackend(N223,A223,VLOOKUP(N223,setup!$A$8:$H$58,2),VLOOKUP(N223,setup!$A$8:$H$58,3),VLOOKUP(N223,setup!$A$8:$H$58,4),VLOOKUP(N223,setup!$A$8:$H$58,5),VLOOKUP(N223,setup!$A$8:$H$58,6),VLOOKUP(N223,setup!$A$8:$H$58,7), VLOOKUP(0,setup!$A$8:$H$58,2),VLOOKUP(0,setup!$A$8:$H$58,5),VLOOKUP(N223,setup!$A$8:$H$58,8))</f>
        <v>#VALUE!</v>
      </c>
    </row>
    <row r="224" spans="1:15" x14ac:dyDescent="0.25">
      <c r="A224" s="16" t="s">
        <v>315</v>
      </c>
      <c r="N224">
        <f t="shared" si="2"/>
        <v>15</v>
      </c>
      <c r="O224" s="7" t="e">
        <f>getCodigoBackend(N224,A224,VLOOKUP(N224,setup!$A$8:$H$58,2),VLOOKUP(N224,setup!$A$8:$H$58,3),VLOOKUP(N224,setup!$A$8:$H$58,4),VLOOKUP(N224,setup!$A$8:$H$58,5),VLOOKUP(N224,setup!$A$8:$H$58,6),VLOOKUP(N224,setup!$A$8:$H$58,7), VLOOKUP(0,setup!$A$8:$H$58,2),VLOOKUP(0,setup!$A$8:$H$58,5),VLOOKUP(N224,setup!$A$8:$H$58,8))</f>
        <v>#VALUE!</v>
      </c>
    </row>
    <row r="225" spans="1:15" x14ac:dyDescent="0.25">
      <c r="A225" s="16" t="s">
        <v>315</v>
      </c>
      <c r="N225">
        <f t="shared" si="2"/>
        <v>16</v>
      </c>
      <c r="O225" s="7" t="e">
        <f>getCodigoBackend(N225,A225,VLOOKUP(N225,setup!$A$8:$H$58,2),VLOOKUP(N225,setup!$A$8:$H$58,3),VLOOKUP(N225,setup!$A$8:$H$58,4),VLOOKUP(N225,setup!$A$8:$H$58,5),VLOOKUP(N225,setup!$A$8:$H$58,6),VLOOKUP(N225,setup!$A$8:$H$58,7), VLOOKUP(0,setup!$A$8:$H$58,2),VLOOKUP(0,setup!$A$8:$H$58,5),VLOOKUP(N225,setup!$A$8:$H$58,8))</f>
        <v>#VALUE!</v>
      </c>
    </row>
    <row r="226" spans="1:15" x14ac:dyDescent="0.25">
      <c r="A226" s="16" t="s">
        <v>315</v>
      </c>
      <c r="N226">
        <f t="shared" si="2"/>
        <v>17</v>
      </c>
      <c r="O226" s="7" t="e">
        <f>getCodigoBackend(N226,A226,VLOOKUP(N226,setup!$A$8:$H$58,2),VLOOKUP(N226,setup!$A$8:$H$58,3),VLOOKUP(N226,setup!$A$8:$H$58,4),VLOOKUP(N226,setup!$A$8:$H$58,5),VLOOKUP(N226,setup!$A$8:$H$58,6),VLOOKUP(N226,setup!$A$8:$H$58,7), VLOOKUP(0,setup!$A$8:$H$58,2),VLOOKUP(0,setup!$A$8:$H$58,5),VLOOKUP(N226,setup!$A$8:$H$58,8))</f>
        <v>#VALUE!</v>
      </c>
    </row>
    <row r="227" spans="1:15" x14ac:dyDescent="0.25">
      <c r="A227" s="16" t="s">
        <v>315</v>
      </c>
      <c r="N227">
        <f t="shared" si="2"/>
        <v>18</v>
      </c>
      <c r="O227" s="7" t="e">
        <f>getCodigoBackend(N227,A227,VLOOKUP(N227,setup!$A$8:$H$58,2),VLOOKUP(N227,setup!$A$8:$H$58,3),VLOOKUP(N227,setup!$A$8:$H$58,4),VLOOKUP(N227,setup!$A$8:$H$58,5),VLOOKUP(N227,setup!$A$8:$H$58,6),VLOOKUP(N227,setup!$A$8:$H$58,7), VLOOKUP(0,setup!$A$8:$H$58,2),VLOOKUP(0,setup!$A$8:$H$58,5),VLOOKUP(N227,setup!$A$8:$H$58,8))</f>
        <v>#VALUE!</v>
      </c>
    </row>
    <row r="228" spans="1:15" x14ac:dyDescent="0.25">
      <c r="A228" s="16" t="s">
        <v>315</v>
      </c>
      <c r="N228">
        <f t="shared" si="2"/>
        <v>19</v>
      </c>
      <c r="O228" s="7" t="e">
        <f>getCodigoBackend(N228,A228,VLOOKUP(N228,setup!$A$8:$H$58,2),VLOOKUP(N228,setup!$A$8:$H$58,3),VLOOKUP(N228,setup!$A$8:$H$58,4),VLOOKUP(N228,setup!$A$8:$H$58,5),VLOOKUP(N228,setup!$A$8:$H$58,6),VLOOKUP(N228,setup!$A$8:$H$58,7), VLOOKUP(0,setup!$A$8:$H$58,2),VLOOKUP(0,setup!$A$8:$H$58,5),VLOOKUP(N228,setup!$A$8:$H$58,8))</f>
        <v>#VALUE!</v>
      </c>
    </row>
    <row r="229" spans="1:15" x14ac:dyDescent="0.25">
      <c r="A229" s="16" t="s">
        <v>315</v>
      </c>
      <c r="N229">
        <f t="shared" si="2"/>
        <v>20</v>
      </c>
      <c r="O229" s="7" t="e">
        <f>getCodigoBackend(N229,A229,VLOOKUP(N229,setup!$A$8:$H$58,2),VLOOKUP(N229,setup!$A$8:$H$58,3),VLOOKUP(N229,setup!$A$8:$H$58,4),VLOOKUP(N229,setup!$A$8:$H$58,5),VLOOKUP(N229,setup!$A$8:$H$58,6),VLOOKUP(N229,setup!$A$8:$H$58,7), VLOOKUP(0,setup!$A$8:$H$58,2),VLOOKUP(0,setup!$A$8:$H$58,5),VLOOKUP(N229,setup!$A$8:$H$58,8))</f>
        <v>#VALUE!</v>
      </c>
    </row>
    <row r="230" spans="1:15" x14ac:dyDescent="0.25">
      <c r="A230" s="16" t="s">
        <v>315</v>
      </c>
      <c r="N230">
        <f t="shared" si="2"/>
        <v>21</v>
      </c>
      <c r="O230" s="7" t="e">
        <f>getCodigoBackend(N230,A230,VLOOKUP(N230,setup!$A$8:$H$58,2),VLOOKUP(N230,setup!$A$8:$H$58,3),VLOOKUP(N230,setup!$A$8:$H$58,4),VLOOKUP(N230,setup!$A$8:$H$58,5),VLOOKUP(N230,setup!$A$8:$H$58,6),VLOOKUP(N230,setup!$A$8:$H$58,7), VLOOKUP(0,setup!$A$8:$H$58,2),VLOOKUP(0,setup!$A$8:$H$58,5),VLOOKUP(N230,setup!$A$8:$H$58,8))</f>
        <v>#VALUE!</v>
      </c>
    </row>
    <row r="231" spans="1:15" x14ac:dyDescent="0.25">
      <c r="A231" s="16" t="s">
        <v>315</v>
      </c>
      <c r="N231">
        <f t="shared" si="2"/>
        <v>22</v>
      </c>
      <c r="O231" s="7" t="e">
        <f>getCodigoBackend(N231,A231,VLOOKUP(N231,setup!$A$8:$H$58,2),VLOOKUP(N231,setup!$A$8:$H$58,3),VLOOKUP(N231,setup!$A$8:$H$58,4),VLOOKUP(N231,setup!$A$8:$H$58,5),VLOOKUP(N231,setup!$A$8:$H$58,6),VLOOKUP(N231,setup!$A$8:$H$58,7), VLOOKUP(0,setup!$A$8:$H$58,2),VLOOKUP(0,setup!$A$8:$H$58,5),VLOOKUP(N231,setup!$A$8:$H$58,8))</f>
        <v>#VALUE!</v>
      </c>
    </row>
    <row r="232" spans="1:15" x14ac:dyDescent="0.25">
      <c r="A232" s="16" t="s">
        <v>315</v>
      </c>
      <c r="N232">
        <f t="shared" si="2"/>
        <v>23</v>
      </c>
      <c r="O232" s="7" t="e">
        <f>getCodigoBackend(N232,A232,VLOOKUP(N232,setup!$A$8:$H$58,2),VLOOKUP(N232,setup!$A$8:$H$58,3),VLOOKUP(N232,setup!$A$8:$H$58,4),VLOOKUP(N232,setup!$A$8:$H$58,5),VLOOKUP(N232,setup!$A$8:$H$58,6),VLOOKUP(N232,setup!$A$8:$H$58,7), VLOOKUP(0,setup!$A$8:$H$58,2),VLOOKUP(0,setup!$A$8:$H$58,5),VLOOKUP(N232,setup!$A$8:$H$58,8))</f>
        <v>#VALUE!</v>
      </c>
    </row>
    <row r="233" spans="1:15" x14ac:dyDescent="0.25">
      <c r="A233" s="16" t="s">
        <v>315</v>
      </c>
      <c r="N233">
        <f t="shared" si="2"/>
        <v>24</v>
      </c>
      <c r="O233" s="7" t="e">
        <f>getCodigoBackend(N233,A233,VLOOKUP(N233,setup!$A$8:$H$58,2),VLOOKUP(N233,setup!$A$8:$H$58,3),VLOOKUP(N233,setup!$A$8:$H$58,4),VLOOKUP(N233,setup!$A$8:$H$58,5),VLOOKUP(N233,setup!$A$8:$H$58,6),VLOOKUP(N233,setup!$A$8:$H$58,7), VLOOKUP(0,setup!$A$8:$H$58,2),VLOOKUP(0,setup!$A$8:$H$58,5),VLOOKUP(N233,setup!$A$8:$H$58,8))</f>
        <v>#VALUE!</v>
      </c>
    </row>
    <row r="234" spans="1:15" x14ac:dyDescent="0.25">
      <c r="A234" s="16" t="s">
        <v>315</v>
      </c>
      <c r="N234">
        <f t="shared" si="2"/>
        <v>25</v>
      </c>
      <c r="O234" s="7" t="e">
        <f>getCodigoBackend(N234,A234,VLOOKUP(N234,setup!$A$8:$H$58,2),VLOOKUP(N234,setup!$A$8:$H$58,3),VLOOKUP(N234,setup!$A$8:$H$58,4),VLOOKUP(N234,setup!$A$8:$H$58,5),VLOOKUP(N234,setup!$A$8:$H$58,6),VLOOKUP(N234,setup!$A$8:$H$58,7), VLOOKUP(0,setup!$A$8:$H$58,2),VLOOKUP(0,setup!$A$8:$H$58,5),VLOOKUP(N234,setup!$A$8:$H$58,8))</f>
        <v>#VALUE!</v>
      </c>
    </row>
    <row r="235" spans="1:15" x14ac:dyDescent="0.25">
      <c r="A235" s="16" t="s">
        <v>315</v>
      </c>
      <c r="N235">
        <f t="shared" si="2"/>
        <v>26</v>
      </c>
      <c r="O235" s="7" t="e">
        <f>getCodigoBackend(N235,A235,VLOOKUP(N235,setup!$A$8:$H$58,2),VLOOKUP(N235,setup!$A$8:$H$58,3),VLOOKUP(N235,setup!$A$8:$H$58,4),VLOOKUP(N235,setup!$A$8:$H$58,5),VLOOKUP(N235,setup!$A$8:$H$58,6),VLOOKUP(N235,setup!$A$8:$H$58,7), VLOOKUP(0,setup!$A$8:$H$58,2),VLOOKUP(0,setup!$A$8:$H$58,5),VLOOKUP(N235,setup!$A$8:$H$58,8))</f>
        <v>#VALUE!</v>
      </c>
    </row>
    <row r="236" spans="1:15" x14ac:dyDescent="0.25">
      <c r="A236" s="16" t="s">
        <v>315</v>
      </c>
      <c r="N236">
        <f t="shared" si="2"/>
        <v>27</v>
      </c>
      <c r="O236" s="7" t="e">
        <f>getCodigoBackend(N236,A236,VLOOKUP(N236,setup!$A$8:$H$58,2),VLOOKUP(N236,setup!$A$8:$H$58,3),VLOOKUP(N236,setup!$A$8:$H$58,4),VLOOKUP(N236,setup!$A$8:$H$58,5),VLOOKUP(N236,setup!$A$8:$H$58,6),VLOOKUP(N236,setup!$A$8:$H$58,7), VLOOKUP(0,setup!$A$8:$H$58,2),VLOOKUP(0,setup!$A$8:$H$58,5),VLOOKUP(N236,setup!$A$8:$H$58,8))</f>
        <v>#VALUE!</v>
      </c>
    </row>
    <row r="237" spans="1:15" x14ac:dyDescent="0.25">
      <c r="A237" s="16" t="s">
        <v>315</v>
      </c>
      <c r="N237">
        <f t="shared" si="2"/>
        <v>28</v>
      </c>
      <c r="O237" s="7" t="e">
        <f>getCodigoBackend(N237,A237,VLOOKUP(N237,setup!$A$8:$H$58,2),VLOOKUP(N237,setup!$A$8:$H$58,3),VLOOKUP(N237,setup!$A$8:$H$58,4),VLOOKUP(N237,setup!$A$8:$H$58,5),VLOOKUP(N237,setup!$A$8:$H$58,6),VLOOKUP(N237,setup!$A$8:$H$58,7), VLOOKUP(0,setup!$A$8:$H$58,2),VLOOKUP(0,setup!$A$8:$H$58,5),VLOOKUP(N237,setup!$A$8:$H$58,8))</f>
        <v>#VALUE!</v>
      </c>
    </row>
    <row r="238" spans="1:15" x14ac:dyDescent="0.25">
      <c r="A238" s="16" t="s">
        <v>315</v>
      </c>
      <c r="N238">
        <f t="shared" si="2"/>
        <v>29</v>
      </c>
      <c r="O238" s="7" t="e">
        <f>getCodigoBackend(N238,A238,VLOOKUP(N238,setup!$A$8:$H$58,2),VLOOKUP(N238,setup!$A$8:$H$58,3),VLOOKUP(N238,setup!$A$8:$H$58,4),VLOOKUP(N238,setup!$A$8:$H$58,5),VLOOKUP(N238,setup!$A$8:$H$58,6),VLOOKUP(N238,setup!$A$8:$H$58,7), VLOOKUP(0,setup!$A$8:$H$58,2),VLOOKUP(0,setup!$A$8:$H$58,5),VLOOKUP(N238,setup!$A$8:$H$58,8))</f>
        <v>#VALUE!</v>
      </c>
    </row>
    <row r="239" spans="1:15" x14ac:dyDescent="0.25">
      <c r="A239" s="16" t="s">
        <v>315</v>
      </c>
      <c r="N239">
        <f t="shared" si="2"/>
        <v>30</v>
      </c>
      <c r="O239" s="7" t="e">
        <f>getCodigoBackend(N239,A239,VLOOKUP(N239,setup!$A$8:$H$58,2),VLOOKUP(N239,setup!$A$8:$H$58,3),VLOOKUP(N239,setup!$A$8:$H$58,4),VLOOKUP(N239,setup!$A$8:$H$58,5),VLOOKUP(N239,setup!$A$8:$H$58,6),VLOOKUP(N239,setup!$A$8:$H$58,7), VLOOKUP(0,setup!$A$8:$H$58,2),VLOOKUP(0,setup!$A$8:$H$58,5),VLOOKUP(N239,setup!$A$8:$H$58,8))</f>
        <v>#VALUE!</v>
      </c>
    </row>
    <row r="240" spans="1:15" x14ac:dyDescent="0.25">
      <c r="A240" s="16" t="s">
        <v>315</v>
      </c>
      <c r="N240">
        <f t="shared" si="2"/>
        <v>31</v>
      </c>
      <c r="O240" s="7" t="e">
        <f>getCodigoBackend(N240,A240,VLOOKUP(N240,setup!$A$8:$H$58,2),VLOOKUP(N240,setup!$A$8:$H$58,3),VLOOKUP(N240,setup!$A$8:$H$58,4),VLOOKUP(N240,setup!$A$8:$H$58,5),VLOOKUP(N240,setup!$A$8:$H$58,6),VLOOKUP(N240,setup!$A$8:$H$58,7), VLOOKUP(0,setup!$A$8:$H$58,2),VLOOKUP(0,setup!$A$8:$H$58,5),VLOOKUP(N240,setup!$A$8:$H$58,8))</f>
        <v>#VALUE!</v>
      </c>
    </row>
    <row r="241" spans="1:15" x14ac:dyDescent="0.25">
      <c r="A241" s="16" t="s">
        <v>315</v>
      </c>
      <c r="N241">
        <f t="shared" si="2"/>
        <v>32</v>
      </c>
      <c r="O241" s="7" t="e">
        <f>getCodigoBackend(N241,A241,VLOOKUP(N241,setup!$A$8:$H$58,2),VLOOKUP(N241,setup!$A$8:$H$58,3),VLOOKUP(N241,setup!$A$8:$H$58,4),VLOOKUP(N241,setup!$A$8:$H$58,5),VLOOKUP(N241,setup!$A$8:$H$58,6),VLOOKUP(N241,setup!$A$8:$H$58,7), VLOOKUP(0,setup!$A$8:$H$58,2),VLOOKUP(0,setup!$A$8:$H$58,5),VLOOKUP(N241,setup!$A$8:$H$58,8))</f>
        <v>#VALUE!</v>
      </c>
    </row>
    <row r="242" spans="1:15" x14ac:dyDescent="0.25">
      <c r="A242" s="16" t="s">
        <v>315</v>
      </c>
      <c r="N242">
        <f t="shared" si="2"/>
        <v>33</v>
      </c>
      <c r="O242" s="7" t="e">
        <f>getCodigoBackend(N242,A242,VLOOKUP(N242,setup!$A$8:$H$58,2),VLOOKUP(N242,setup!$A$8:$H$58,3),VLOOKUP(N242,setup!$A$8:$H$58,4),VLOOKUP(N242,setup!$A$8:$H$58,5),VLOOKUP(N242,setup!$A$8:$H$58,6),VLOOKUP(N242,setup!$A$8:$H$58,7), VLOOKUP(0,setup!$A$8:$H$58,2),VLOOKUP(0,setup!$A$8:$H$58,5),VLOOKUP(N242,setup!$A$8:$H$58,8))</f>
        <v>#VALUE!</v>
      </c>
    </row>
    <row r="243" spans="1:15" x14ac:dyDescent="0.25">
      <c r="A243" s="16" t="s">
        <v>315</v>
      </c>
      <c r="N243">
        <f t="shared" si="2"/>
        <v>34</v>
      </c>
      <c r="O243" s="7" t="e">
        <f>getCodigoBackend(N243,A243,VLOOKUP(N243,setup!$A$8:$H$58,2),VLOOKUP(N243,setup!$A$8:$H$58,3),VLOOKUP(N243,setup!$A$8:$H$58,4),VLOOKUP(N243,setup!$A$8:$H$58,5),VLOOKUP(N243,setup!$A$8:$H$58,6),VLOOKUP(N243,setup!$A$8:$H$58,7), VLOOKUP(0,setup!$A$8:$H$58,2),VLOOKUP(0,setup!$A$8:$H$58,5),VLOOKUP(N243,setup!$A$8:$H$58,8))</f>
        <v>#VALUE!</v>
      </c>
    </row>
    <row r="244" spans="1:15" x14ac:dyDescent="0.25">
      <c r="A244" s="16" t="s">
        <v>315</v>
      </c>
      <c r="N244">
        <f t="shared" si="2"/>
        <v>35</v>
      </c>
      <c r="O244" s="7" t="e">
        <f>getCodigoBackend(N244,A244,VLOOKUP(N244,setup!$A$8:$H$58,2),VLOOKUP(N244,setup!$A$8:$H$58,3),VLOOKUP(N244,setup!$A$8:$H$58,4),VLOOKUP(N244,setup!$A$8:$H$58,5),VLOOKUP(N244,setup!$A$8:$H$58,6),VLOOKUP(N244,setup!$A$8:$H$58,7), VLOOKUP(0,setup!$A$8:$H$58,2),VLOOKUP(0,setup!$A$8:$H$58,5),VLOOKUP(N244,setup!$A$8:$H$58,8))</f>
        <v>#VALUE!</v>
      </c>
    </row>
    <row r="245" spans="1:15" x14ac:dyDescent="0.25">
      <c r="A245" s="16" t="s">
        <v>315</v>
      </c>
      <c r="N245">
        <f t="shared" si="2"/>
        <v>36</v>
      </c>
      <c r="O245" s="7" t="e">
        <f>getCodigoBackend(N245,A245,VLOOKUP(N245,setup!$A$8:$H$58,2),VLOOKUP(N245,setup!$A$8:$H$58,3),VLOOKUP(N245,setup!$A$8:$H$58,4),VLOOKUP(N245,setup!$A$8:$H$58,5),VLOOKUP(N245,setup!$A$8:$H$58,6),VLOOKUP(N245,setup!$A$8:$H$58,7), VLOOKUP(0,setup!$A$8:$H$58,2),VLOOKUP(0,setup!$A$8:$H$58,5),VLOOKUP(N245,setup!$A$8:$H$58,8))</f>
        <v>#VALUE!</v>
      </c>
    </row>
    <row r="246" spans="1:15" x14ac:dyDescent="0.25">
      <c r="A246" s="16" t="s">
        <v>315</v>
      </c>
      <c r="N246">
        <f t="shared" si="2"/>
        <v>37</v>
      </c>
      <c r="O246" s="7" t="e">
        <f>getCodigoBackend(N246,A246,VLOOKUP(N246,setup!$A$8:$H$58,2),VLOOKUP(N246,setup!$A$8:$H$58,3),VLOOKUP(N246,setup!$A$8:$H$58,4),VLOOKUP(N246,setup!$A$8:$H$58,5),VLOOKUP(N246,setup!$A$8:$H$58,6),VLOOKUP(N246,setup!$A$8:$H$58,7), VLOOKUP(0,setup!$A$8:$H$58,2),VLOOKUP(0,setup!$A$8:$H$58,5),VLOOKUP(N246,setup!$A$8:$H$58,8))</f>
        <v>#VALUE!</v>
      </c>
    </row>
    <row r="247" spans="1:15" x14ac:dyDescent="0.25">
      <c r="A247" s="16" t="s">
        <v>315</v>
      </c>
      <c r="N247">
        <f t="shared" si="2"/>
        <v>38</v>
      </c>
      <c r="O247" s="7" t="e">
        <f>getCodigoBackend(N247,A247,VLOOKUP(N247,setup!$A$8:$H$58,2),VLOOKUP(N247,setup!$A$8:$H$58,3),VLOOKUP(N247,setup!$A$8:$H$58,4),VLOOKUP(N247,setup!$A$8:$H$58,5),VLOOKUP(N247,setup!$A$8:$H$58,6),VLOOKUP(N247,setup!$A$8:$H$58,7), VLOOKUP(0,setup!$A$8:$H$58,2),VLOOKUP(0,setup!$A$8:$H$58,5),VLOOKUP(N247,setup!$A$8:$H$58,8))</f>
        <v>#VALUE!</v>
      </c>
    </row>
    <row r="248" spans="1:15" x14ac:dyDescent="0.25">
      <c r="A248" s="16" t="s">
        <v>315</v>
      </c>
      <c r="N248">
        <f t="shared" si="2"/>
        <v>39</v>
      </c>
      <c r="O248" s="7" t="e">
        <f>getCodigoBackend(N248,A248,VLOOKUP(N248,setup!$A$8:$H$58,2),VLOOKUP(N248,setup!$A$8:$H$58,3),VLOOKUP(N248,setup!$A$8:$H$58,4),VLOOKUP(N248,setup!$A$8:$H$58,5),VLOOKUP(N248,setup!$A$8:$H$58,6),VLOOKUP(N248,setup!$A$8:$H$58,7), VLOOKUP(0,setup!$A$8:$H$58,2),VLOOKUP(0,setup!$A$8:$H$58,5),VLOOKUP(N248,setup!$A$8:$H$58,8))</f>
        <v>#VALUE!</v>
      </c>
    </row>
    <row r="249" spans="1:15" x14ac:dyDescent="0.25">
      <c r="A249" s="16" t="s">
        <v>315</v>
      </c>
      <c r="N249">
        <f t="shared" si="2"/>
        <v>40</v>
      </c>
      <c r="O249" s="7" t="e">
        <f>getCodigoBackend(N249,A249,VLOOKUP(N249,setup!$A$8:$H$58,2),VLOOKUP(N249,setup!$A$8:$H$58,3),VLOOKUP(N249,setup!$A$8:$H$58,4),VLOOKUP(N249,setup!$A$8:$H$58,5),VLOOKUP(N249,setup!$A$8:$H$58,6),VLOOKUP(N249,setup!$A$8:$H$58,7), VLOOKUP(0,setup!$A$8:$H$58,2),VLOOKUP(0,setup!$A$8:$H$58,5),VLOOKUP(N249,setup!$A$8:$H$58,8))</f>
        <v>#VALUE!</v>
      </c>
    </row>
    <row r="250" spans="1:15" x14ac:dyDescent="0.25">
      <c r="A250" s="16" t="s">
        <v>315</v>
      </c>
      <c r="N250">
        <f t="shared" si="2"/>
        <v>41</v>
      </c>
      <c r="O250" s="7" t="e">
        <f>getCodigoBackend(N250,A250,VLOOKUP(N250,setup!$A$8:$H$58,2),VLOOKUP(N250,setup!$A$8:$H$58,3),VLOOKUP(N250,setup!$A$8:$H$58,4),VLOOKUP(N250,setup!$A$8:$H$58,5),VLOOKUP(N250,setup!$A$8:$H$58,6),VLOOKUP(N250,setup!$A$8:$H$58,7), VLOOKUP(0,setup!$A$8:$H$58,2),VLOOKUP(0,setup!$A$8:$H$58,5),VLOOKUP(N250,setup!$A$8:$H$58,8))</f>
        <v>#VALUE!</v>
      </c>
    </row>
    <row r="251" spans="1:15" x14ac:dyDescent="0.25">
      <c r="A251" s="16" t="s">
        <v>315</v>
      </c>
      <c r="N251">
        <f t="shared" si="2"/>
        <v>42</v>
      </c>
      <c r="O251" s="7" t="e">
        <f>getCodigoBackend(N251,A251,VLOOKUP(N251,setup!$A$8:$H$58,2),VLOOKUP(N251,setup!$A$8:$H$58,3),VLOOKUP(N251,setup!$A$8:$H$58,4),VLOOKUP(N251,setup!$A$8:$H$58,5),VLOOKUP(N251,setup!$A$8:$H$58,6),VLOOKUP(N251,setup!$A$8:$H$58,7), VLOOKUP(0,setup!$A$8:$H$58,2),VLOOKUP(0,setup!$A$8:$H$58,5),VLOOKUP(N251,setup!$A$8:$H$58,8))</f>
        <v>#VALUE!</v>
      </c>
    </row>
    <row r="252" spans="1:15" x14ac:dyDescent="0.25">
      <c r="A252" s="16" t="s">
        <v>315</v>
      </c>
      <c r="N252">
        <f t="shared" si="2"/>
        <v>43</v>
      </c>
      <c r="O252" s="7" t="e">
        <f>getCodigoBackend(N252,A252,VLOOKUP(N252,setup!$A$8:$H$58,2),VLOOKUP(N252,setup!$A$8:$H$58,3),VLOOKUP(N252,setup!$A$8:$H$58,4),VLOOKUP(N252,setup!$A$8:$H$58,5),VLOOKUP(N252,setup!$A$8:$H$58,6),VLOOKUP(N252,setup!$A$8:$H$58,7), VLOOKUP(0,setup!$A$8:$H$58,2),VLOOKUP(0,setup!$A$8:$H$58,5),VLOOKUP(N252,setup!$A$8:$H$58,8))</f>
        <v>#VALUE!</v>
      </c>
    </row>
    <row r="253" spans="1:15" x14ac:dyDescent="0.25">
      <c r="A253" s="16" t="s">
        <v>315</v>
      </c>
      <c r="N253">
        <f t="shared" si="2"/>
        <v>44</v>
      </c>
      <c r="O253" s="7" t="e">
        <f>getCodigoBackend(N253,A253,VLOOKUP(N253,setup!$A$8:$H$58,2),VLOOKUP(N253,setup!$A$8:$H$58,3),VLOOKUP(N253,setup!$A$8:$H$58,4),VLOOKUP(N253,setup!$A$8:$H$58,5),VLOOKUP(N253,setup!$A$8:$H$58,6),VLOOKUP(N253,setup!$A$8:$H$58,7), VLOOKUP(0,setup!$A$8:$H$58,2),VLOOKUP(0,setup!$A$8:$H$58,5),VLOOKUP(N253,setup!$A$8:$H$58,8))</f>
        <v>#VALUE!</v>
      </c>
    </row>
    <row r="254" spans="1:15" x14ac:dyDescent="0.25">
      <c r="A254" s="16" t="s">
        <v>315</v>
      </c>
      <c r="N254">
        <f t="shared" si="2"/>
        <v>45</v>
      </c>
      <c r="O254" s="7" t="e">
        <f>getCodigoBackend(N254,A254,VLOOKUP(N254,setup!$A$8:$H$58,2),VLOOKUP(N254,setup!$A$8:$H$58,3),VLOOKUP(N254,setup!$A$8:$H$58,4),VLOOKUP(N254,setup!$A$8:$H$58,5),VLOOKUP(N254,setup!$A$8:$H$58,6),VLOOKUP(N254,setup!$A$8:$H$58,7), VLOOKUP(0,setup!$A$8:$H$58,2),VLOOKUP(0,setup!$A$8:$H$58,5),VLOOKUP(N254,setup!$A$8:$H$58,8))</f>
        <v>#VALUE!</v>
      </c>
    </row>
    <row r="255" spans="1:15" x14ac:dyDescent="0.25">
      <c r="A255" s="16" t="s">
        <v>315</v>
      </c>
      <c r="N255">
        <f t="shared" si="2"/>
        <v>46</v>
      </c>
      <c r="O255" s="7" t="e">
        <f>getCodigoBackend(N255,A255,VLOOKUP(N255,setup!$A$8:$H$58,2),VLOOKUP(N255,setup!$A$8:$H$58,3),VLOOKUP(N255,setup!$A$8:$H$58,4),VLOOKUP(N255,setup!$A$8:$H$58,5),VLOOKUP(N255,setup!$A$8:$H$58,6),VLOOKUP(N255,setup!$A$8:$H$58,7), VLOOKUP(0,setup!$A$8:$H$58,2),VLOOKUP(0,setup!$A$8:$H$58,5),VLOOKUP(N255,setup!$A$8:$H$58,8))</f>
        <v>#VALUE!</v>
      </c>
    </row>
    <row r="256" spans="1:15" x14ac:dyDescent="0.25">
      <c r="A256" s="16" t="s">
        <v>315</v>
      </c>
      <c r="N256">
        <f t="shared" si="2"/>
        <v>47</v>
      </c>
      <c r="O256" s="7" t="e">
        <f>getCodigoBackend(N256,A256,VLOOKUP(N256,setup!$A$8:$H$58,2),VLOOKUP(N256,setup!$A$8:$H$58,3),VLOOKUP(N256,setup!$A$8:$H$58,4),VLOOKUP(N256,setup!$A$8:$H$58,5),VLOOKUP(N256,setup!$A$8:$H$58,6),VLOOKUP(N256,setup!$A$8:$H$58,7), VLOOKUP(0,setup!$A$8:$H$58,2),VLOOKUP(0,setup!$A$8:$H$58,5),VLOOKUP(N256,setup!$A$8:$H$58,8))</f>
        <v>#VALUE!</v>
      </c>
    </row>
    <row r="257" spans="1:15" x14ac:dyDescent="0.25">
      <c r="A257" s="16" t="s">
        <v>315</v>
      </c>
      <c r="N257">
        <f t="shared" si="2"/>
        <v>48</v>
      </c>
      <c r="O257" s="7" t="str">
        <f ca="1">getCodigoBackend(N257,A257,VLOOKUP(N257,setup!$A$8:$H$58,2),VLOOKUP(N257,setup!$A$8:$H$58,3),VLOOKUP(N257,setup!$A$8:$H$58,4),VLOOKUP(N257,setup!$A$8:$H$58,5),VLOOKUP(N257,setup!$A$8:$H$58,6),VLOOKUP(N257,setup!$A$8:$H$58,7), VLOOKUP(0,setup!$A$8:$H$58,2),VLOOKUP(0,setup!$A$8:$H$58,5),VLOOKUP(N257,setup!$A$8:$H$58,8))</f>
        <v xml:space="preserve">                        Container(width: screenWidth * 0.55,Text(widget._usuariopublicidadeVO['status'] ,style: uiTextStylePadrao)),</v>
      </c>
    </row>
    <row r="258" spans="1:15" x14ac:dyDescent="0.25">
      <c r="A258" s="16" t="s">
        <v>315</v>
      </c>
      <c r="N258">
        <f t="shared" si="2"/>
        <v>49</v>
      </c>
      <c r="O258" s="7" t="str">
        <f ca="1">getCodigoBackend(N258,A258,VLOOKUP(N258,setup!$A$8:$H$58,2),VLOOKUP(N258,setup!$A$8:$H$58,3),VLOOKUP(N258,setup!$A$8:$H$58,4),VLOOKUP(N258,setup!$A$8:$H$58,5),VLOOKUP(N258,setup!$A$8:$H$58,6),VLOOKUP(N258,setup!$A$8:$H$58,7), VLOOKUP(0,setup!$A$8:$H$58,2),VLOOKUP(0,setup!$A$8:$H$58,5),VLOOKUP(N258,setup!$A$8:$H$58,8))</f>
        <v xml:space="preserve">                        Container(width: screenWidth * 0.55,Text(widget._usuariopublicidadeVO['dataCadastro'] ,style: uiTextStylePadrao)),</v>
      </c>
    </row>
    <row r="259" spans="1:15" x14ac:dyDescent="0.25">
      <c r="A259" s="16" t="s">
        <v>315</v>
      </c>
      <c r="N259">
        <f t="shared" si="2"/>
        <v>50</v>
      </c>
      <c r="O259" s="7" t="str">
        <f ca="1">getCodigoBackend(N259,A259,VLOOKUP(N259,setup!$A$8:$H$58,2),VLOOKUP(N259,setup!$A$8:$H$58,3),VLOOKUP(N259,setup!$A$8:$H$58,4),VLOOKUP(N259,setup!$A$8:$H$58,5),VLOOKUP(N259,setup!$A$8:$H$58,6),VLOOKUP(N259,setup!$A$8:$H$58,7), VLOOKUP(0,setup!$A$8:$H$58,2),VLOOKUP(0,setup!$A$8:$H$58,5),VLOOKUP(N259,setup!$A$8:$H$58,8))</f>
        <v xml:space="preserve">                        Container(width: screenWidth * 0.55,Text(widget._usuariopublicidadeVO['dataAtualizacao'] ,style: uiTextStylePadrao)),</v>
      </c>
    </row>
    <row r="260" spans="1:15" x14ac:dyDescent="0.25">
      <c r="A260" s="16" t="s">
        <v>259</v>
      </c>
      <c r="O260" s="7" t="str">
        <f ca="1">getCodigoBackend(N260,A260,VLOOKUP(N260,setup!$A$8:$H$58,2),VLOOKUP(N260,setup!$A$8:$H$58,3),VLOOKUP(N260,setup!$A$8:$H$58,4),VLOOKUP(N260,setup!$A$8:$H$58,5),VLOOKUP(N260,setup!$A$8:$H$58,6),VLOOKUP(N260,setup!$A$8:$H$58,7), VLOOKUP(0,setup!$A$8:$H$58,2),VLOOKUP(0,setup!$A$8:$H$58,5),VLOOKUP(N260,setup!$A$8:$H$58,8))</f>
        <v xml:space="preserve">                      ],</v>
      </c>
    </row>
    <row r="261" spans="1:15" x14ac:dyDescent="0.25">
      <c r="A261" s="16" t="s">
        <v>260</v>
      </c>
      <c r="O261" s="7" t="str">
        <f ca="1">getCodigoBackend(N261,A261,VLOOKUP(N261,setup!$A$8:$H$58,2),VLOOKUP(N261,setup!$A$8:$H$58,3),VLOOKUP(N261,setup!$A$8:$H$58,4),VLOOKUP(N261,setup!$A$8:$H$58,5),VLOOKUP(N261,setup!$A$8:$H$58,6),VLOOKUP(N261,setup!$A$8:$H$58,7), VLOOKUP(0,setup!$A$8:$H$58,2),VLOOKUP(0,setup!$A$8:$H$58,5),VLOOKUP(N261,setup!$A$8:$H$58,8))</f>
        <v xml:space="preserve">                    ),</v>
      </c>
    </row>
    <row r="262" spans="1:15" x14ac:dyDescent="0.25">
      <c r="A262" s="16" t="s">
        <v>278</v>
      </c>
      <c r="O262" s="7" t="str">
        <f ca="1">getCodigoBackend(N262,A262,VLOOKUP(N262,setup!$A$8:$H$58,2),VLOOKUP(N262,setup!$A$8:$H$58,3),VLOOKUP(N262,setup!$A$8:$H$58,4),VLOOKUP(N262,setup!$A$8:$H$58,5),VLOOKUP(N262,setup!$A$8:$H$58,6),VLOOKUP(N262,setup!$A$8:$H$58,7), VLOOKUP(0,setup!$A$8:$H$58,2),VLOOKUP(0,setup!$A$8:$H$58,5),VLOOKUP(N262,setup!$A$8:$H$58,8))</f>
        <v xml:space="preserve">                    IconButton(icon: Icon(Icons.arrow_drop_down), onPressed: (){</v>
      </c>
    </row>
    <row r="263" spans="1:15" x14ac:dyDescent="0.25">
      <c r="A263" s="16" t="s">
        <v>279</v>
      </c>
      <c r="O263" s="7" t="str">
        <f ca="1">getCodigoBackend(N263,A263,VLOOKUP(N263,setup!$A$8:$H$58,2),VLOOKUP(N263,setup!$A$8:$H$58,3),VLOOKUP(N263,setup!$A$8:$H$58,4),VLOOKUP(N263,setup!$A$8:$H$58,5),VLOOKUP(N263,setup!$A$8:$H$58,6),VLOOKUP(N263,setup!$A$8:$H$58,7), VLOOKUP(0,setup!$A$8:$H$58,2),VLOOKUP(0,setup!$A$8:$H$58,5),VLOOKUP(N263,setup!$A$8:$H$58,8))</f>
        <v xml:space="preserve">                      setState(() {</v>
      </c>
    </row>
    <row r="264" spans="1:15" x14ac:dyDescent="0.25">
      <c r="A264" s="15" t="s">
        <v>280</v>
      </c>
      <c r="O264" s="7" t="str">
        <f ca="1">getCodigoBackend(N264,A264,VLOOKUP(N264,setup!$A$8:$H$58,2),VLOOKUP(N264,setup!$A$8:$H$58,3),VLOOKUP(N264,setup!$A$8:$H$58,4),VLOOKUP(N264,setup!$A$8:$H$58,5),VLOOKUP(N264,setup!$A$8:$H$58,6),VLOOKUP(N264,setup!$A$8:$H$58,7), VLOOKUP(0,setup!$A$8:$H$58,2),VLOOKUP(0,setup!$A$8:$H$58,5),VLOOKUP(N264,setup!$A$8:$H$58,8))</f>
        <v xml:space="preserve">                         _isVisibleActionBtn = !_isVisibleActionBtn;</v>
      </c>
    </row>
    <row r="265" spans="1:15" x14ac:dyDescent="0.25">
      <c r="A265" s="15"/>
      <c r="O265" s="7" t="str">
        <f ca="1">getCodigoBackend(N265,A265,VLOOKUP(N265,setup!$A$8:$H$58,2),VLOOKUP(N265,setup!$A$8:$H$58,3),VLOOKUP(N265,setup!$A$8:$H$58,4),VLOOKUP(N265,setup!$A$8:$H$58,5),VLOOKUP(N265,setup!$A$8:$H$58,6),VLOOKUP(N265,setup!$A$8:$H$58,7), VLOOKUP(0,setup!$A$8:$H$58,2),VLOOKUP(0,setup!$A$8:$H$58,5),VLOOKUP(N265,setup!$A$8:$H$58,8))</f>
        <v/>
      </c>
    </row>
    <row r="266" spans="1:15" x14ac:dyDescent="0.25">
      <c r="A266" s="15" t="s">
        <v>281</v>
      </c>
      <c r="O266" s="7" t="str">
        <f ca="1">getCodigoBackend(N266,A266,VLOOKUP(N266,setup!$A$8:$H$58,2),VLOOKUP(N266,setup!$A$8:$H$58,3),VLOOKUP(N266,setup!$A$8:$H$58,4),VLOOKUP(N266,setup!$A$8:$H$58,5),VLOOKUP(N266,setup!$A$8:$H$58,6),VLOOKUP(N266,setup!$A$8:$H$58,7), VLOOKUP(0,setup!$A$8:$H$58,2),VLOOKUP(0,setup!$A$8:$H$58,5),VLOOKUP(N266,setup!$A$8:$H$58,8))</f>
        <v xml:space="preserve">                      });</v>
      </c>
    </row>
    <row r="267" spans="1:15" x14ac:dyDescent="0.25">
      <c r="A267" s="15" t="s">
        <v>282</v>
      </c>
      <c r="O267" s="7" t="str">
        <f ca="1">getCodigoBackend(N267,A267,VLOOKUP(N267,setup!$A$8:$H$58,2),VLOOKUP(N267,setup!$A$8:$H$58,3),VLOOKUP(N267,setup!$A$8:$H$58,4),VLOOKUP(N267,setup!$A$8:$H$58,5),VLOOKUP(N267,setup!$A$8:$H$58,6),VLOOKUP(N267,setup!$A$8:$H$58,7), VLOOKUP(0,setup!$A$8:$H$58,2),VLOOKUP(0,setup!$A$8:$H$58,5),VLOOKUP(N267,setup!$A$8:$H$58,8))</f>
        <v xml:space="preserve">                    },)</v>
      </c>
    </row>
    <row r="268" spans="1:15" x14ac:dyDescent="0.25">
      <c r="A268" s="15" t="s">
        <v>261</v>
      </c>
      <c r="O268" s="7" t="str">
        <f ca="1">getCodigoBackend(N268,A268,VLOOKUP(N268,setup!$A$8:$H$58,2),VLOOKUP(N268,setup!$A$8:$H$58,3),VLOOKUP(N268,setup!$A$8:$H$58,4),VLOOKUP(N268,setup!$A$8:$H$58,5),VLOOKUP(N268,setup!$A$8:$H$58,6),VLOOKUP(N268,setup!$A$8:$H$58,7), VLOOKUP(0,setup!$A$8:$H$58,2),VLOOKUP(0,setup!$A$8:$H$58,5),VLOOKUP(N268,setup!$A$8:$H$58,8))</f>
        <v xml:space="preserve">                  ],</v>
      </c>
    </row>
    <row r="269" spans="1:15" x14ac:dyDescent="0.25">
      <c r="A269" s="15" t="s">
        <v>262</v>
      </c>
      <c r="O269" s="7" t="str">
        <f ca="1">getCodigoBackend(N269,A269,VLOOKUP(N269,setup!$A$8:$H$58,2),VLOOKUP(N269,setup!$A$8:$H$58,3),VLOOKUP(N269,setup!$A$8:$H$58,4),VLOOKUP(N269,setup!$A$8:$H$58,5),VLOOKUP(N269,setup!$A$8:$H$58,6),VLOOKUP(N269,setup!$A$8:$H$58,7), VLOOKUP(0,setup!$A$8:$H$58,2),VLOOKUP(0,setup!$A$8:$H$58,5),VLOOKUP(N269,setup!$A$8:$H$58,8))</f>
        <v xml:space="preserve">                ),</v>
      </c>
    </row>
    <row r="270" spans="1:15" x14ac:dyDescent="0.25">
      <c r="A270" s="15" t="s">
        <v>283</v>
      </c>
      <c r="O270" s="7" t="str">
        <f ca="1">getCodigoBackend(N270,A270,VLOOKUP(N270,setup!$A$8:$H$58,2),VLOOKUP(N270,setup!$A$8:$H$58,3),VLOOKUP(N270,setup!$A$8:$H$58,4),VLOOKUP(N270,setup!$A$8:$H$58,5),VLOOKUP(N270,setup!$A$8:$H$58,6),VLOOKUP(N270,setup!$A$8:$H$58,7), VLOOKUP(0,setup!$A$8:$H$58,2),VLOOKUP(0,setup!$A$8:$H$58,5),VLOOKUP(N270,setup!$A$8:$H$58,8))</f>
        <v xml:space="preserve">                SizedBox(height: 10,),</v>
      </c>
    </row>
    <row r="271" spans="1:15" x14ac:dyDescent="0.25">
      <c r="A271" s="15" t="s">
        <v>284</v>
      </c>
      <c r="O271" s="7" t="str">
        <f ca="1">getCodigoBackend(N271,A271,VLOOKUP(N271,setup!$A$8:$H$58,2),VLOOKUP(N271,setup!$A$8:$H$58,3),VLOOKUP(N271,setup!$A$8:$H$58,4),VLOOKUP(N271,setup!$A$8:$H$58,5),VLOOKUP(N271,setup!$A$8:$H$58,6),VLOOKUP(N271,setup!$A$8:$H$58,7), VLOOKUP(0,setup!$A$8:$H$58,2),VLOOKUP(0,setup!$A$8:$H$58,5),VLOOKUP(N271,setup!$A$8:$H$58,8))</f>
        <v xml:space="preserve">                _isVisibleActionBtn ? _widActionBtn : Container(height: 0, width: 0,)</v>
      </c>
    </row>
    <row r="272" spans="1:15" x14ac:dyDescent="0.25">
      <c r="A272" s="15" t="s">
        <v>204</v>
      </c>
      <c r="O272" s="7" t="str">
        <f ca="1">getCodigoBackend(N272,A272,VLOOKUP(N272,setup!$A$8:$H$58,2),VLOOKUP(N272,setup!$A$8:$H$58,3),VLOOKUP(N272,setup!$A$8:$H$58,4),VLOOKUP(N272,setup!$A$8:$H$58,5),VLOOKUP(N272,setup!$A$8:$H$58,6),VLOOKUP(N272,setup!$A$8:$H$58,7), VLOOKUP(0,setup!$A$8:$H$58,2),VLOOKUP(0,setup!$A$8:$H$58,5),VLOOKUP(N272,setup!$A$8:$H$58,8))</f>
        <v xml:space="preserve">              ],</v>
      </c>
    </row>
    <row r="273" spans="1:15" x14ac:dyDescent="0.25">
      <c r="A273" s="25" t="s">
        <v>74</v>
      </c>
      <c r="O273" s="7" t="str">
        <f ca="1">getCodigoBackend(N273,A273,VLOOKUP(N273,setup!$A$8:$H$58,2),VLOOKUP(N273,setup!$A$8:$H$58,3),VLOOKUP(N273,setup!$A$8:$H$58,4),VLOOKUP(N273,setup!$A$8:$H$58,5),VLOOKUP(N273,setup!$A$8:$H$58,6),VLOOKUP(N273,setup!$A$8:$H$58,7), VLOOKUP(0,setup!$A$8:$H$58,2),VLOOKUP(0,setup!$A$8:$H$58,5),VLOOKUP(N273,setup!$A$8:$H$58,8))</f>
        <v xml:space="preserve">            ),</v>
      </c>
    </row>
    <row r="274" spans="1:15" x14ac:dyDescent="0.25">
      <c r="A274" s="25" t="s">
        <v>75</v>
      </c>
      <c r="O274" s="7" t="str">
        <f ca="1">getCodigoBackend(N274,A274,VLOOKUP(N274,setup!$A$8:$H$58,2),VLOOKUP(N274,setup!$A$8:$H$58,3),VLOOKUP(N274,setup!$A$8:$H$58,4),VLOOKUP(N274,setup!$A$8:$H$58,5),VLOOKUP(N274,setup!$A$8:$H$58,6),VLOOKUP(N274,setup!$A$8:$H$58,7), VLOOKUP(0,setup!$A$8:$H$58,2),VLOOKUP(0,setup!$A$8:$H$58,5),VLOOKUP(N274,setup!$A$8:$H$58,8))</f>
        <v xml:space="preserve">          ),</v>
      </c>
    </row>
    <row r="275" spans="1:15" x14ac:dyDescent="0.25">
      <c r="A275" s="25" t="s">
        <v>76</v>
      </c>
      <c r="O275" s="7" t="str">
        <f ca="1">getCodigoBackend(N275,A275,VLOOKUP(N275,setup!$A$8:$H$58,2),VLOOKUP(N275,setup!$A$8:$H$58,3),VLOOKUP(N275,setup!$A$8:$H$58,4),VLOOKUP(N275,setup!$A$8:$H$58,5),VLOOKUP(N275,setup!$A$8:$H$58,6),VLOOKUP(N275,setup!$A$8:$H$58,7), VLOOKUP(0,setup!$A$8:$H$58,2),VLOOKUP(0,setup!$A$8:$H$58,5),VLOOKUP(N275,setup!$A$8:$H$58,8))</f>
        <v xml:space="preserve">        )</v>
      </c>
    </row>
    <row r="276" spans="1:15" x14ac:dyDescent="0.25">
      <c r="A276" s="25" t="s">
        <v>40</v>
      </c>
      <c r="O276" s="7" t="str">
        <f ca="1">getCodigoBackend(N276,A276,VLOOKUP(N276,setup!$A$8:$H$58,2),VLOOKUP(N276,setup!$A$8:$H$58,3),VLOOKUP(N276,setup!$A$8:$H$58,4),VLOOKUP(N276,setup!$A$8:$H$58,5),VLOOKUP(N276,setup!$A$8:$H$58,6),VLOOKUP(N276,setup!$A$8:$H$58,7), VLOOKUP(0,setup!$A$8:$H$58,2),VLOOKUP(0,setup!$A$8:$H$58,5),VLOOKUP(N276,setup!$A$8:$H$58,8))</f>
        <v xml:space="preserve">    );</v>
      </c>
    </row>
    <row r="277" spans="1:15" x14ac:dyDescent="0.25">
      <c r="A277" s="15" t="s">
        <v>41</v>
      </c>
      <c r="O277" s="7" t="str">
        <f ca="1">getCodigoBackend(N277,A277,VLOOKUP(N277,setup!$A$8:$H$58,2),VLOOKUP(N277,setup!$A$8:$H$58,3),VLOOKUP(N277,setup!$A$8:$H$58,4),VLOOKUP(N277,setup!$A$8:$H$58,5),VLOOKUP(N277,setup!$A$8:$H$58,6),VLOOKUP(N277,setup!$A$8:$H$58,7), VLOOKUP(0,setup!$A$8:$H$58,2),VLOOKUP(0,setup!$A$8:$H$58,5),VLOOKUP(N277,setup!$A$8:$H$58,8))</f>
        <v xml:space="preserve">  }</v>
      </c>
    </row>
    <row r="278" spans="1:15" x14ac:dyDescent="0.25">
      <c r="A278" s="15" t="s">
        <v>16</v>
      </c>
      <c r="O278" s="7" t="str">
        <f ca="1">getCodigoBackend(N278,A278,VLOOKUP(N278,setup!$A$8:$H$58,2),VLOOKUP(N278,setup!$A$8:$H$58,3),VLOOKUP(N278,setup!$A$8:$H$58,4),VLOOKUP(N278,setup!$A$8:$H$58,5),VLOOKUP(N278,setup!$A$8:$H$58,6),VLOOKUP(N278,setup!$A$8:$H$58,7), VLOOKUP(0,setup!$A$8:$H$58,2),VLOOKUP(0,setup!$A$8:$H$58,5),VLOOKUP(N278,setup!$A$8:$H$58,8))</f>
        <v>}</v>
      </c>
    </row>
    <row r="279" spans="1:15" x14ac:dyDescent="0.25">
      <c r="A279" s="20"/>
      <c r="O279" s="7" t="str">
        <f ca="1">getCodigoBackend(N279,A279,VLOOKUP(N279,setup!$A$8:$H$58,2),VLOOKUP(N279,setup!$A$8:$H$58,3),VLOOKUP(N279,setup!$A$8:$H$58,4),VLOOKUP(N279,setup!$A$8:$H$58,5),VLOOKUP(N279,setup!$A$8:$H$58,6),VLOOKUP(N279,setup!$A$8:$H$58,7), VLOOKUP(0,setup!$A$8:$H$58,2),VLOOKUP(0,setup!$A$8:$H$58,5),VLOOKUP(N279,setup!$A$8:$H$58,8))</f>
        <v/>
      </c>
    </row>
    <row r="280" spans="1:15" x14ac:dyDescent="0.25">
      <c r="A280" s="20"/>
      <c r="O280" s="7" t="str">
        <f ca="1">getCodigoBackend(N280,A280,VLOOKUP(N280,setup!$A$8:$H$58,2),VLOOKUP(N280,setup!$A$8:$H$58,3),VLOOKUP(N280,setup!$A$8:$H$58,4),VLOOKUP(N280,setup!$A$8:$H$58,5),VLOOKUP(N280,setup!$A$8:$H$58,6),VLOOKUP(N280,setup!$A$8:$H$58,7), VLOOKUP(0,setup!$A$8:$H$58,2),VLOOKUP(0,setup!$A$8:$H$58,5),VLOOKUP(N280,setup!$A$8:$H$58,8))</f>
        <v/>
      </c>
    </row>
    <row r="281" spans="1:15" x14ac:dyDescent="0.25">
      <c r="A281" s="20"/>
      <c r="O281" s="7" t="str">
        <f ca="1">getCodigoBackend(N281,A281,VLOOKUP(N281,setup!$A$8:$H$58,2),VLOOKUP(N281,setup!$A$8:$H$58,3),VLOOKUP(N281,setup!$A$8:$H$58,4),VLOOKUP(N281,setup!$A$8:$H$58,5),VLOOKUP(N281,setup!$A$8:$H$58,6),VLOOKUP(N281,setup!$A$8:$H$58,7), VLOOKUP(0,setup!$A$8:$H$58,2),VLOOKUP(0,setup!$A$8:$H$58,5),VLOOKUP(N281,setup!$A$8:$H$58,8))</f>
        <v/>
      </c>
    </row>
    <row r="282" spans="1:15" x14ac:dyDescent="0.25">
      <c r="A282" s="20"/>
      <c r="O282" s="7" t="str">
        <f ca="1">getCodigoBackend(N282,A282,VLOOKUP(N282,setup!$A$8:$H$58,2),VLOOKUP(N282,setup!$A$8:$H$58,3),VLOOKUP(N282,setup!$A$8:$H$58,4),VLOOKUP(N282,setup!$A$8:$H$58,5),VLOOKUP(N282,setup!$A$8:$H$58,6),VLOOKUP(N282,setup!$A$8:$H$58,7), VLOOKUP(0,setup!$A$8:$H$58,2),VLOOKUP(0,setup!$A$8:$H$58,5),VLOOKUP(N282,setup!$A$8:$H$58,8))</f>
        <v/>
      </c>
    </row>
    <row r="283" spans="1:15" x14ac:dyDescent="0.25">
      <c r="A283" s="20"/>
      <c r="O283" s="7" t="str">
        <f ca="1">getCodigoBackend(N283,A283,VLOOKUP(N283,setup!$A$8:$H$58,2),VLOOKUP(N283,setup!$A$8:$H$58,3),VLOOKUP(N283,setup!$A$8:$H$58,4),VLOOKUP(N283,setup!$A$8:$H$58,5),VLOOKUP(N283,setup!$A$8:$H$58,6),VLOOKUP(N283,setup!$A$8:$H$58,7), VLOOKUP(0,setup!$A$8:$H$58,2),VLOOKUP(0,setup!$A$8:$H$58,5),VLOOKUP(N283,setup!$A$8:$H$58,8))</f>
        <v/>
      </c>
    </row>
    <row r="284" spans="1:15" x14ac:dyDescent="0.25">
      <c r="A284" s="20"/>
      <c r="O284" s="7" t="str">
        <f ca="1">getCodigoBackend(N284,A284,VLOOKUP(N284,setup!$A$8:$H$58,2),VLOOKUP(N284,setup!$A$8:$H$58,3),VLOOKUP(N284,setup!$A$8:$H$58,4),VLOOKUP(N284,setup!$A$8:$H$58,5),VLOOKUP(N284,setup!$A$8:$H$58,6),VLOOKUP(N284,setup!$A$8:$H$58,7), VLOOKUP(0,setup!$A$8:$H$58,2),VLOOKUP(0,setup!$A$8:$H$58,5),VLOOKUP(N284,setup!$A$8:$H$58,8))</f>
        <v/>
      </c>
    </row>
    <row r="285" spans="1:15" x14ac:dyDescent="0.25">
      <c r="A285" s="20"/>
      <c r="O285" s="7" t="str">
        <f ca="1">getCodigoBackend(N285,A285,VLOOKUP(N285,setup!$A$8:$H$58,2),VLOOKUP(N285,setup!$A$8:$H$58,3),VLOOKUP(N285,setup!$A$8:$H$58,4),VLOOKUP(N285,setup!$A$8:$H$58,5),VLOOKUP(N285,setup!$A$8:$H$58,6),VLOOKUP(N285,setup!$A$8:$H$58,7), VLOOKUP(0,setup!$A$8:$H$58,2),VLOOKUP(0,setup!$A$8:$H$58,5),VLOOKUP(N285,setup!$A$8:$H$58,8))</f>
        <v/>
      </c>
    </row>
    <row r="286" spans="1:15" x14ac:dyDescent="0.25">
      <c r="A286" s="20"/>
      <c r="O286" s="7" t="str">
        <f ca="1">getCodigoBackend(N286,A286,VLOOKUP(N286,setup!$A$8:$H$58,2),VLOOKUP(N286,setup!$A$8:$H$58,3),VLOOKUP(N286,setup!$A$8:$H$58,4),VLOOKUP(N286,setup!$A$8:$H$58,5),VLOOKUP(N286,setup!$A$8:$H$58,6),VLOOKUP(N286,setup!$A$8:$H$58,7), VLOOKUP(0,setup!$A$8:$H$58,2),VLOOKUP(0,setup!$A$8:$H$58,5),VLOOKUP(N286,setup!$A$8:$H$58,8))</f>
        <v/>
      </c>
    </row>
    <row r="287" spans="1:15" x14ac:dyDescent="0.25">
      <c r="A287" s="20"/>
      <c r="O287" s="7" t="str">
        <f ca="1">getCodigoBackend(N287,A287,VLOOKUP(N287,setup!$A$8:$H$58,2),VLOOKUP(N287,setup!$A$8:$H$58,3),VLOOKUP(N287,setup!$A$8:$H$58,4),VLOOKUP(N287,setup!$A$8:$H$58,5),VLOOKUP(N287,setup!$A$8:$H$58,6),VLOOKUP(N287,setup!$A$8:$H$58,7), VLOOKUP(0,setup!$A$8:$H$58,2),VLOOKUP(0,setup!$A$8:$H$58,5),VLOOKUP(N287,setup!$A$8:$H$58,8))</f>
        <v/>
      </c>
    </row>
    <row r="288" spans="1:15" x14ac:dyDescent="0.25">
      <c r="A288" s="20"/>
      <c r="O288" s="7" t="str">
        <f ca="1">getCodigoBackend(N288,A288,VLOOKUP(N288,setup!$A$8:$H$58,2),VLOOKUP(N288,setup!$A$8:$H$58,3),VLOOKUP(N288,setup!$A$8:$H$58,4),VLOOKUP(N288,setup!$A$8:$H$58,5),VLOOKUP(N288,setup!$A$8:$H$58,6),VLOOKUP(N288,setup!$A$8:$H$58,7), VLOOKUP(0,setup!$A$8:$H$58,2),VLOOKUP(0,setup!$A$8:$H$58,5),VLOOKUP(N288,setup!$A$8:$H$58,8))</f>
        <v/>
      </c>
    </row>
    <row r="289" spans="1:15" x14ac:dyDescent="0.25">
      <c r="A289" s="20"/>
      <c r="O289" s="7" t="str">
        <f ca="1">getCodigoBackend(N289,A289,VLOOKUP(N289,setup!$A$8:$H$58,2),VLOOKUP(N289,setup!$A$8:$H$58,3),VLOOKUP(N289,setup!$A$8:$H$58,4),VLOOKUP(N289,setup!$A$8:$H$58,5),VLOOKUP(N289,setup!$A$8:$H$58,6),VLOOKUP(N289,setup!$A$8:$H$58,7), VLOOKUP(0,setup!$A$8:$H$58,2),VLOOKUP(0,setup!$A$8:$H$58,5),VLOOKUP(N289,setup!$A$8:$H$58,8))</f>
        <v/>
      </c>
    </row>
    <row r="290" spans="1:15" x14ac:dyDescent="0.25">
      <c r="A290" s="20"/>
      <c r="O290" s="7" t="str">
        <f ca="1">getCodigoBackend(N290,A290,VLOOKUP(N290,setup!$A$8:$H$58,2),VLOOKUP(N290,setup!$A$8:$H$58,3),VLOOKUP(N290,setup!$A$8:$H$58,4),VLOOKUP(N290,setup!$A$8:$H$58,5),VLOOKUP(N290,setup!$A$8:$H$58,6),VLOOKUP(N290,setup!$A$8:$H$58,7), VLOOKUP(0,setup!$A$8:$H$58,2),VLOOKUP(0,setup!$A$8:$H$58,5),VLOOKUP(N290,setup!$A$8:$H$58,8))</f>
        <v/>
      </c>
    </row>
    <row r="291" spans="1:15" x14ac:dyDescent="0.25">
      <c r="A291" s="20"/>
      <c r="O291" s="7" t="str">
        <f ca="1">getCodigoBackend(N291,A291,VLOOKUP(N291,setup!$A$8:$H$58,2),VLOOKUP(N291,setup!$A$8:$H$58,3),VLOOKUP(N291,setup!$A$8:$H$58,4),VLOOKUP(N291,setup!$A$8:$H$58,5),VLOOKUP(N291,setup!$A$8:$H$58,6),VLOOKUP(N291,setup!$A$8:$H$58,7), VLOOKUP(0,setup!$A$8:$H$58,2),VLOOKUP(0,setup!$A$8:$H$58,5),VLOOKUP(N291,setup!$A$8:$H$58,8))</f>
        <v/>
      </c>
    </row>
    <row r="292" spans="1:15" x14ac:dyDescent="0.25">
      <c r="A292" s="20"/>
      <c r="O292" s="7" t="str">
        <f ca="1">getCodigoBackend(N292,A292,VLOOKUP(N292,setup!$A$8:$H$58,2),VLOOKUP(N292,setup!$A$8:$H$58,3),VLOOKUP(N292,setup!$A$8:$H$58,4),VLOOKUP(N292,setup!$A$8:$H$58,5),VLOOKUP(N292,setup!$A$8:$H$58,6),VLOOKUP(N292,setup!$A$8:$H$58,7), VLOOKUP(0,setup!$A$8:$H$58,2),VLOOKUP(0,setup!$A$8:$H$58,5),VLOOKUP(N292,setup!$A$8:$H$58,8))</f>
        <v/>
      </c>
    </row>
    <row r="293" spans="1:15" x14ac:dyDescent="0.25">
      <c r="A293" s="20"/>
      <c r="O293" s="7" t="str">
        <f ca="1">getCodigoBackend(N293,A293,VLOOKUP(N293,setup!$A$8:$H$58,2),VLOOKUP(N293,setup!$A$8:$H$58,3),VLOOKUP(N293,setup!$A$8:$H$58,4),VLOOKUP(N293,setup!$A$8:$H$58,5),VLOOKUP(N293,setup!$A$8:$H$58,6),VLOOKUP(N293,setup!$A$8:$H$58,7), VLOOKUP(0,setup!$A$8:$H$58,2),VLOOKUP(0,setup!$A$8:$H$58,5),VLOOKUP(N293,setup!$A$8:$H$58,8))</f>
        <v/>
      </c>
    </row>
    <row r="294" spans="1:15" x14ac:dyDescent="0.25">
      <c r="A294" s="20"/>
      <c r="O294" s="7" t="str">
        <f ca="1">getCodigoBackend(N294,A294,VLOOKUP(N294,setup!$A$8:$H$58,2),VLOOKUP(N294,setup!$A$8:$H$58,3),VLOOKUP(N294,setup!$A$8:$H$58,4),VLOOKUP(N294,setup!$A$8:$H$58,5),VLOOKUP(N294,setup!$A$8:$H$58,6),VLOOKUP(N294,setup!$A$8:$H$58,7), VLOOKUP(0,setup!$A$8:$H$58,2),VLOOKUP(0,setup!$A$8:$H$58,5),VLOOKUP(N294,setup!$A$8:$H$58,8))</f>
        <v/>
      </c>
    </row>
    <row r="295" spans="1:15" x14ac:dyDescent="0.25">
      <c r="A295" s="20"/>
      <c r="O295" s="7" t="str">
        <f ca="1">getCodigoBackend(N295,A295,VLOOKUP(N295,setup!$A$8:$H$58,2),VLOOKUP(N295,setup!$A$8:$H$58,3),VLOOKUP(N295,setup!$A$8:$H$58,4),VLOOKUP(N295,setup!$A$8:$H$58,5),VLOOKUP(N295,setup!$A$8:$H$58,6),VLOOKUP(N295,setup!$A$8:$H$58,7), VLOOKUP(0,setup!$A$8:$H$58,2),VLOOKUP(0,setup!$A$8:$H$58,5),VLOOKUP(N295,setup!$A$8:$H$58,8))</f>
        <v/>
      </c>
    </row>
    <row r="296" spans="1:15" x14ac:dyDescent="0.25">
      <c r="A296" s="20"/>
      <c r="O296" s="7" t="str">
        <f ca="1">getCodigoBackend(N296,A296,VLOOKUP(N296,setup!$A$8:$H$58,2),VLOOKUP(N296,setup!$A$8:$H$58,3),VLOOKUP(N296,setup!$A$8:$H$58,4),VLOOKUP(N296,setup!$A$8:$H$58,5),VLOOKUP(N296,setup!$A$8:$H$58,6),VLOOKUP(N296,setup!$A$8:$H$58,7), VLOOKUP(0,setup!$A$8:$H$58,2),VLOOKUP(0,setup!$A$8:$H$58,5),VLOOKUP(N296,setup!$A$8:$H$58,8))</f>
        <v/>
      </c>
    </row>
    <row r="297" spans="1:15" x14ac:dyDescent="0.25">
      <c r="A297" s="20"/>
      <c r="O297" s="7" t="str">
        <f ca="1">getCodigoBackend(N297,A297,VLOOKUP(N297,setup!$A$8:$H$58,2),VLOOKUP(N297,setup!$A$8:$H$58,3),VLOOKUP(N297,setup!$A$8:$H$58,4),VLOOKUP(N297,setup!$A$8:$H$58,5),VLOOKUP(N297,setup!$A$8:$H$58,6),VLOOKUP(N297,setup!$A$8:$H$58,7), VLOOKUP(0,setup!$A$8:$H$58,2),VLOOKUP(0,setup!$A$8:$H$58,5),VLOOKUP(N297,setup!$A$8:$H$58,8))</f>
        <v/>
      </c>
    </row>
    <row r="298" spans="1:15" x14ac:dyDescent="0.25">
      <c r="A298" s="20"/>
      <c r="O298" s="7" t="str">
        <f ca="1">getCodigoBackend(N298,A298,VLOOKUP(N298,setup!$A$8:$H$58,2),VLOOKUP(N298,setup!$A$8:$H$58,3),VLOOKUP(N298,setup!$A$8:$H$58,4),VLOOKUP(N298,setup!$A$8:$H$58,5),VLOOKUP(N298,setup!$A$8:$H$58,6),VLOOKUP(N298,setup!$A$8:$H$58,7), VLOOKUP(0,setup!$A$8:$H$58,2),VLOOKUP(0,setup!$A$8:$H$58,5),VLOOKUP(N298,setup!$A$8:$H$58,8))</f>
        <v/>
      </c>
    </row>
    <row r="299" spans="1:15" x14ac:dyDescent="0.25">
      <c r="A299" s="24"/>
      <c r="O299" s="7" t="str">
        <f ca="1">getCodigoBackend(N299,A299,VLOOKUP(N299,setup!$A$8:$H$58,2),VLOOKUP(N299,setup!$A$8:$H$58,3),VLOOKUP(N299,setup!$A$8:$H$58,4),VLOOKUP(N299,setup!$A$8:$H$58,5),VLOOKUP(N299,setup!$A$8:$H$58,6),VLOOKUP(N299,setup!$A$8:$H$58,7), VLOOKUP(0,setup!$A$8:$H$58,2),VLOOKUP(0,setup!$A$8:$H$58,5),VLOOKUP(N299,setup!$A$8:$H$58,8))</f>
        <v/>
      </c>
    </row>
    <row r="300" spans="1:15" x14ac:dyDescent="0.25">
      <c r="A300" s="20"/>
      <c r="O300" s="7" t="str">
        <f ca="1">getCodigoBackend(N300,A300,VLOOKUP(N300,setup!$A$8:$H$58,2),VLOOKUP(N300,setup!$A$8:$H$58,3),VLOOKUP(N300,setup!$A$8:$H$58,4),VLOOKUP(N300,setup!$A$8:$H$58,5),VLOOKUP(N300,setup!$A$8:$H$58,6),VLOOKUP(N300,setup!$A$8:$H$58,7), VLOOKUP(0,setup!$A$8:$H$58,2),VLOOKUP(0,setup!$A$8:$H$58,5),VLOOKUP(N300,setup!$A$8:$H$58,8))</f>
        <v/>
      </c>
    </row>
    <row r="301" spans="1:15" x14ac:dyDescent="0.25">
      <c r="A301" s="20"/>
      <c r="O301" s="7" t="str">
        <f ca="1">getCodigoBackend(N301,A301,VLOOKUP(N301,setup!$A$8:$H$58,2),VLOOKUP(N301,setup!$A$8:$H$58,3),VLOOKUP(N301,setup!$A$8:$H$58,4),VLOOKUP(N301,setup!$A$8:$H$58,5),VLOOKUP(N301,setup!$A$8:$H$58,6),VLOOKUP(N301,setup!$A$8:$H$58,7), VLOOKUP(0,setup!$A$8:$H$58,2),VLOOKUP(0,setup!$A$8:$H$58,5),VLOOKUP(N301,setup!$A$8:$H$58,8))</f>
        <v/>
      </c>
    </row>
    <row r="302" spans="1:15" x14ac:dyDescent="0.25">
      <c r="A302" s="20"/>
      <c r="O302" s="7" t="str">
        <f ca="1">getCodigoBackend(N302,A302,VLOOKUP(N302,setup!$A$8:$H$58,2),VLOOKUP(N302,setup!$A$8:$H$58,3),VLOOKUP(N302,setup!$A$8:$H$58,4),VLOOKUP(N302,setup!$A$8:$H$58,5),VLOOKUP(N302,setup!$A$8:$H$58,6),VLOOKUP(N302,setup!$A$8:$H$58,7), VLOOKUP(0,setup!$A$8:$H$58,2),VLOOKUP(0,setup!$A$8:$H$58,5),VLOOKUP(N302,setup!$A$8:$H$58,8))</f>
        <v/>
      </c>
    </row>
    <row r="303" spans="1:15" x14ac:dyDescent="0.25">
      <c r="A303" s="24"/>
      <c r="O303" s="7" t="str">
        <f ca="1">getCodigoBackend(N303,A303,VLOOKUP(N303,setup!$A$8:$H$58,2),VLOOKUP(N303,setup!$A$8:$H$58,3),VLOOKUP(N303,setup!$A$8:$H$58,4),VLOOKUP(N303,setup!$A$8:$H$58,5),VLOOKUP(N303,setup!$A$8:$H$58,6),VLOOKUP(N303,setup!$A$8:$H$58,7), VLOOKUP(0,setup!$A$8:$H$58,2),VLOOKUP(0,setup!$A$8:$H$58,5),VLOOKUP(N303,setup!$A$8:$H$58,8))</f>
        <v/>
      </c>
    </row>
    <row r="304" spans="1:15" x14ac:dyDescent="0.25">
      <c r="A304" s="20"/>
      <c r="O304" s="7" t="str">
        <f ca="1">getCodigoBackend(N304,A304,VLOOKUP(N304,setup!$A$8:$H$58,2),VLOOKUP(N304,setup!$A$8:$H$58,3),VLOOKUP(N304,setup!$A$8:$H$58,4),VLOOKUP(N304,setup!$A$8:$H$58,5),VLOOKUP(N304,setup!$A$8:$H$58,6),VLOOKUP(N304,setup!$A$8:$H$58,7), VLOOKUP(0,setup!$A$8:$H$58,2),VLOOKUP(0,setup!$A$8:$H$58,5),VLOOKUP(N304,setup!$A$8:$H$58,8))</f>
        <v/>
      </c>
    </row>
    <row r="305" spans="1:15" x14ac:dyDescent="0.25">
      <c r="A305" s="20"/>
      <c r="O305" s="7" t="str">
        <f ca="1">getCodigoBackend(N305,A305,VLOOKUP(N305,setup!$A$8:$H$58,2),VLOOKUP(N305,setup!$A$8:$H$58,3),VLOOKUP(N305,setup!$A$8:$H$58,4),VLOOKUP(N305,setup!$A$8:$H$58,5),VLOOKUP(N305,setup!$A$8:$H$58,6),VLOOKUP(N305,setup!$A$8:$H$58,7), VLOOKUP(0,setup!$A$8:$H$58,2),VLOOKUP(0,setup!$A$8:$H$58,5),VLOOKUP(N305,setup!$A$8:$H$58,8))</f>
        <v/>
      </c>
    </row>
    <row r="306" spans="1:15" x14ac:dyDescent="0.25">
      <c r="A306" s="20"/>
      <c r="O306" s="7" t="str">
        <f ca="1">getCodigoBackend(N306,A306,VLOOKUP(N306,setup!$A$8:$H$58,2),VLOOKUP(N306,setup!$A$8:$H$58,3),VLOOKUP(N306,setup!$A$8:$H$58,4),VLOOKUP(N306,setup!$A$8:$H$58,5),VLOOKUP(N306,setup!$A$8:$H$58,6),VLOOKUP(N306,setup!$A$8:$H$58,7), VLOOKUP(0,setup!$A$8:$H$58,2),VLOOKUP(0,setup!$A$8:$H$58,5),VLOOKUP(N306,setup!$A$8:$H$58,8))</f>
        <v/>
      </c>
    </row>
    <row r="307" spans="1:15" x14ac:dyDescent="0.25">
      <c r="A307" s="19"/>
      <c r="O307" s="7" t="str">
        <f ca="1">getCodigoBackend(N307,A307,VLOOKUP(N307,setup!$A$8:$H$58,2),VLOOKUP(N307,setup!$A$8:$H$58,3),VLOOKUP(N307,setup!$A$8:$H$58,4),VLOOKUP(N307,setup!$A$8:$H$58,5),VLOOKUP(N307,setup!$A$8:$H$58,6),VLOOKUP(N307,setup!$A$8:$H$58,7), VLOOKUP(0,setup!$A$8:$H$58,2),VLOOKUP(0,setup!$A$8:$H$58,5),VLOOKUP(N307,setup!$A$8:$H$58,8))</f>
        <v/>
      </c>
    </row>
    <row r="308" spans="1:15" x14ac:dyDescent="0.25">
      <c r="A308" s="20"/>
      <c r="O308" s="7" t="str">
        <f ca="1">getCodigoBackend(N308,A308,VLOOKUP(N308,setup!$A$8:$H$58,2),VLOOKUP(N308,setup!$A$8:$H$58,3),VLOOKUP(N308,setup!$A$8:$H$58,4),VLOOKUP(N308,setup!$A$8:$H$58,5),VLOOKUP(N308,setup!$A$8:$H$58,6),VLOOKUP(N308,setup!$A$8:$H$58,7), VLOOKUP(0,setup!$A$8:$H$58,2),VLOOKUP(0,setup!$A$8:$H$58,5),VLOOKUP(N308,setup!$A$8:$H$58,8))</f>
        <v/>
      </c>
    </row>
    <row r="309" spans="1:15" x14ac:dyDescent="0.25">
      <c r="A309" s="20"/>
      <c r="O309" s="7" t="str">
        <f ca="1">getCodigoBackend(N309,A309,VLOOKUP(N309,setup!$A$8:$H$58,2),VLOOKUP(N309,setup!$A$8:$H$58,3),VLOOKUP(N309,setup!$A$8:$H$58,4),VLOOKUP(N309,setup!$A$8:$H$58,5),VLOOKUP(N309,setup!$A$8:$H$58,6),VLOOKUP(N309,setup!$A$8:$H$58,7), VLOOKUP(0,setup!$A$8:$H$58,2),VLOOKUP(0,setup!$A$8:$H$58,5),VLOOKUP(N309,setup!$A$8:$H$58,8))</f>
        <v/>
      </c>
    </row>
    <row r="310" spans="1:15" x14ac:dyDescent="0.25">
      <c r="A310" s="20"/>
      <c r="O310" s="7" t="str">
        <f ca="1">getCodigoBackend(N310,A310,VLOOKUP(N310,setup!$A$8:$H$58,2),VLOOKUP(N310,setup!$A$8:$H$58,3),VLOOKUP(N310,setup!$A$8:$H$58,4),VLOOKUP(N310,setup!$A$8:$H$58,5),VLOOKUP(N310,setup!$A$8:$H$58,6),VLOOKUP(N310,setup!$A$8:$H$58,7), VLOOKUP(0,setup!$A$8:$H$58,2),VLOOKUP(0,setup!$A$8:$H$58,5),VLOOKUP(N310,setup!$A$8:$H$58,8))</f>
        <v/>
      </c>
    </row>
    <row r="311" spans="1:15" x14ac:dyDescent="0.25">
      <c r="A311" s="20"/>
      <c r="O311" s="7" t="str">
        <f ca="1">getCodigoBackend(N311,A311,VLOOKUP(N311,setup!$A$8:$H$58,2),VLOOKUP(N311,setup!$A$8:$H$58,3),VLOOKUP(N311,setup!$A$8:$H$58,4),VLOOKUP(N311,setup!$A$8:$H$58,5),VLOOKUP(N311,setup!$A$8:$H$58,6),VLOOKUP(N311,setup!$A$8:$H$58,7), VLOOKUP(0,setup!$A$8:$H$58,2),VLOOKUP(0,setup!$A$8:$H$58,5),VLOOKUP(N311,setup!$A$8:$H$58,8))</f>
        <v/>
      </c>
    </row>
    <row r="312" spans="1:15" x14ac:dyDescent="0.25">
      <c r="A312" s="20"/>
      <c r="O312" s="7" t="str">
        <f ca="1">getCodigoBackend(N312,A312,VLOOKUP(N312,setup!$A$8:$H$58,2),VLOOKUP(N312,setup!$A$8:$H$58,3),VLOOKUP(N312,setup!$A$8:$H$58,4),VLOOKUP(N312,setup!$A$8:$H$58,5),VLOOKUP(N312,setup!$A$8:$H$58,6),VLOOKUP(N312,setup!$A$8:$H$58,7), VLOOKUP(0,setup!$A$8:$H$58,2),VLOOKUP(0,setup!$A$8:$H$58,5),VLOOKUP(N312,setup!$A$8:$H$58,8))</f>
        <v/>
      </c>
    </row>
    <row r="313" spans="1:15" x14ac:dyDescent="0.25">
      <c r="A313" s="20"/>
      <c r="O313" s="7" t="str">
        <f ca="1">getCodigoBackend(N313,A313,VLOOKUP(N313,setup!$A$8:$H$58,2),VLOOKUP(N313,setup!$A$8:$H$58,3),VLOOKUP(N313,setup!$A$8:$H$58,4),VLOOKUP(N313,setup!$A$8:$H$58,5),VLOOKUP(N313,setup!$A$8:$H$58,6),VLOOKUP(N313,setup!$A$8:$H$58,7), VLOOKUP(0,setup!$A$8:$H$58,2),VLOOKUP(0,setup!$A$8:$H$58,5),VLOOKUP(N313,setup!$A$8:$H$58,8))</f>
        <v/>
      </c>
    </row>
    <row r="314" spans="1:15" x14ac:dyDescent="0.25">
      <c r="A314" s="20"/>
      <c r="O314" s="7" t="str">
        <f ca="1">getCodigoBackend(N314,A314,VLOOKUP(N314,setup!$A$8:$H$58,2),VLOOKUP(N314,setup!$A$8:$H$58,3),VLOOKUP(N314,setup!$A$8:$H$58,4),VLOOKUP(N314,setup!$A$8:$H$58,5),VLOOKUP(N314,setup!$A$8:$H$58,6),VLOOKUP(N314,setup!$A$8:$H$58,7), VLOOKUP(0,setup!$A$8:$H$58,2),VLOOKUP(0,setup!$A$8:$H$58,5),VLOOKUP(N314,setup!$A$8:$H$58,8))</f>
        <v/>
      </c>
    </row>
    <row r="315" spans="1:15" x14ac:dyDescent="0.25">
      <c r="A315" s="20"/>
      <c r="O315" s="7" t="str">
        <f ca="1">getCodigoBackend(N315,A315,VLOOKUP(N315,setup!$A$8:$H$58,2),VLOOKUP(N315,setup!$A$8:$H$58,3),VLOOKUP(N315,setup!$A$8:$H$58,4),VLOOKUP(N315,setup!$A$8:$H$58,5),VLOOKUP(N315,setup!$A$8:$H$58,6),VLOOKUP(N315,setup!$A$8:$H$58,7), VLOOKUP(0,setup!$A$8:$H$58,2),VLOOKUP(0,setup!$A$8:$H$58,5),VLOOKUP(N315,setup!$A$8:$H$58,8))</f>
        <v/>
      </c>
    </row>
    <row r="316" spans="1:15" x14ac:dyDescent="0.25">
      <c r="A316" s="20"/>
      <c r="O316" s="7" t="str">
        <f ca="1">getCodigoBackend(N316,A316,VLOOKUP(N316,setup!$A$8:$H$58,2),VLOOKUP(N316,setup!$A$8:$H$58,3),VLOOKUP(N316,setup!$A$8:$H$58,4),VLOOKUP(N316,setup!$A$8:$H$58,5),VLOOKUP(N316,setup!$A$8:$H$58,6),VLOOKUP(N316,setup!$A$8:$H$58,7), VLOOKUP(0,setup!$A$8:$H$58,2),VLOOKUP(0,setup!$A$8:$H$58,5),VLOOKUP(N316,setup!$A$8:$H$58,8))</f>
        <v/>
      </c>
    </row>
    <row r="317" spans="1:15" x14ac:dyDescent="0.25">
      <c r="A317" s="6"/>
      <c r="O317" s="7" t="str">
        <f ca="1">getCodigoBackend(N317,A317,VLOOKUP(N317,setup!$A$8:$H$58,2),VLOOKUP(N317,setup!$A$8:$H$58,3),VLOOKUP(N317,setup!$A$8:$H$58,4),VLOOKUP(N317,setup!$A$8:$H$58,5),VLOOKUP(N317,setup!$A$8:$H$58,6),VLOOKUP(N317,setup!$A$8:$H$58,7), VLOOKUP(0,setup!$A$8:$H$58,2),VLOOKUP(0,setup!$A$8:$H$58,5),VLOOKUP(N317,setup!$A$8:$H$58,8))</f>
        <v/>
      </c>
    </row>
    <row r="318" spans="1:15" x14ac:dyDescent="0.25">
      <c r="A318" s="6"/>
      <c r="O318" s="7" t="str">
        <f ca="1">getCodigoBackend(N318,A318,VLOOKUP(N318,setup!$A$8:$H$58,2),VLOOKUP(N318,setup!$A$8:$H$58,3),VLOOKUP(N318,setup!$A$8:$H$58,4),VLOOKUP(N318,setup!$A$8:$H$58,5),VLOOKUP(N318,setup!$A$8:$H$58,6),VLOOKUP(N318,setup!$A$8:$H$58,7), VLOOKUP(0,setup!$A$8:$H$58,2),VLOOKUP(0,setup!$A$8:$H$58,5),VLOOKUP(N318,setup!$A$8:$H$58,8))</f>
        <v/>
      </c>
    </row>
    <row r="319" spans="1:15" x14ac:dyDescent="0.25">
      <c r="A319" s="6"/>
      <c r="O319" s="7" t="str">
        <f ca="1">getCodigoBackend(N319,A319,VLOOKUP(N319,setup!$A$8:$H$58,2),VLOOKUP(N319,setup!$A$8:$H$58,3),VLOOKUP(N319,setup!$A$8:$H$58,4),VLOOKUP(N319,setup!$A$8:$H$58,5),VLOOKUP(N319,setup!$A$8:$H$58,6),VLOOKUP(N319,setup!$A$8:$H$58,7), VLOOKUP(0,setup!$A$8:$H$58,2),VLOOKUP(0,setup!$A$8:$H$58,5),VLOOKUP(N319,setup!$A$8:$H$58,8))</f>
        <v/>
      </c>
    </row>
    <row r="320" spans="1:15" x14ac:dyDescent="0.25">
      <c r="A320" s="6"/>
      <c r="O320" s="7" t="str">
        <f ca="1">getCodigoBackend(N320,A320,VLOOKUP(N320,setup!$A$8:$H$58,2),VLOOKUP(N320,setup!$A$8:$H$58,3),VLOOKUP(N320,setup!$A$8:$H$58,4),VLOOKUP(N320,setup!$A$8:$H$58,5),VLOOKUP(N320,setup!$A$8:$H$58,6),VLOOKUP(N320,setup!$A$8:$H$58,7), VLOOKUP(0,setup!$A$8:$H$58,2),VLOOKUP(0,setup!$A$8:$H$58,5),VLOOKUP(N320,setup!$A$8:$H$58,8))</f>
        <v/>
      </c>
    </row>
    <row r="321" spans="1:15" x14ac:dyDescent="0.25">
      <c r="A321" s="6"/>
      <c r="O321" s="7" t="str">
        <f ca="1">getCodigoBackend(N321,A321,VLOOKUP(N321,setup!$A$8:$H$58,2),VLOOKUP(N321,setup!$A$8:$H$58,3),VLOOKUP(N321,setup!$A$8:$H$58,4),VLOOKUP(N321,setup!$A$8:$H$58,5),VLOOKUP(N321,setup!$A$8:$H$58,6),VLOOKUP(N321,setup!$A$8:$H$58,7), VLOOKUP(0,setup!$A$8:$H$58,2),VLOOKUP(0,setup!$A$8:$H$58,5),VLOOKUP(N321,setup!$A$8:$H$58,8))</f>
        <v/>
      </c>
    </row>
    <row r="322" spans="1:15" x14ac:dyDescent="0.25">
      <c r="A322" s="6"/>
      <c r="O322" s="7" t="str">
        <f ca="1">getCodigoBackend(N322,A322,VLOOKUP(N322,setup!$A$8:$H$58,2),VLOOKUP(N322,setup!$A$8:$H$58,3),VLOOKUP(N322,setup!$A$8:$H$58,4),VLOOKUP(N322,setup!$A$8:$H$58,5),VLOOKUP(N322,setup!$A$8:$H$58,6),VLOOKUP(N322,setup!$A$8:$H$58,7), VLOOKUP(0,setup!$A$8:$H$58,2),VLOOKUP(0,setup!$A$8:$H$58,5),VLOOKUP(N322,setup!$A$8:$H$58,8))</f>
        <v/>
      </c>
    </row>
    <row r="323" spans="1:15" x14ac:dyDescent="0.25">
      <c r="A323" s="6"/>
      <c r="O323" s="7" t="str">
        <f ca="1">getCodigoBackend(N323,A323,VLOOKUP(N323,setup!$A$8:$H$58,2),VLOOKUP(N323,setup!$A$8:$H$58,3),VLOOKUP(N323,setup!$A$8:$H$58,4),VLOOKUP(N323,setup!$A$8:$H$58,5),VLOOKUP(N323,setup!$A$8:$H$58,6),VLOOKUP(N323,setup!$A$8:$H$58,7), VLOOKUP(0,setup!$A$8:$H$58,2),VLOOKUP(0,setup!$A$8:$H$58,5),VLOOKUP(N323,setup!$A$8:$H$58,8))</f>
        <v/>
      </c>
    </row>
    <row r="324" spans="1:15" x14ac:dyDescent="0.25">
      <c r="A324" s="6"/>
      <c r="O324" s="7" t="str">
        <f ca="1">getCodigoBackend(N324,A324,VLOOKUP(N324,setup!$A$8:$H$58,2),VLOOKUP(N324,setup!$A$8:$H$58,3),VLOOKUP(N324,setup!$A$8:$H$58,4),VLOOKUP(N324,setup!$A$8:$H$58,5),VLOOKUP(N324,setup!$A$8:$H$58,6),VLOOKUP(N324,setup!$A$8:$H$58,7), VLOOKUP(0,setup!$A$8:$H$58,2),VLOOKUP(0,setup!$A$8:$H$58,5),VLOOKUP(N324,setup!$A$8:$H$58,8))</f>
        <v/>
      </c>
    </row>
    <row r="325" spans="1:15" x14ac:dyDescent="0.25">
      <c r="A325" s="6"/>
      <c r="O325" s="7" t="str">
        <f ca="1">getCodigoBackend(N325,A325,VLOOKUP(N325,setup!$A$8:$H$58,2),VLOOKUP(N325,setup!$A$8:$H$58,3),VLOOKUP(N325,setup!$A$8:$H$58,4),VLOOKUP(N325,setup!$A$8:$H$58,5),VLOOKUP(N325,setup!$A$8:$H$58,6),VLOOKUP(N325,setup!$A$8:$H$58,7), VLOOKUP(0,setup!$A$8:$H$58,2),VLOOKUP(0,setup!$A$8:$H$58,5),VLOOKUP(N325,setup!$A$8:$H$58,8))</f>
        <v/>
      </c>
    </row>
    <row r="326" spans="1:15" x14ac:dyDescent="0.25">
      <c r="A326" s="6"/>
      <c r="O326" s="7" t="str">
        <f ca="1">getCodigoBackend(N326,A326,VLOOKUP(N326,setup!$A$8:$H$58,2),VLOOKUP(N326,setup!$A$8:$H$58,3),VLOOKUP(N326,setup!$A$8:$H$58,4),VLOOKUP(N326,setup!$A$8:$H$58,5),VLOOKUP(N326,setup!$A$8:$H$58,6),VLOOKUP(N326,setup!$A$8:$H$58,7), VLOOKUP(0,setup!$A$8:$H$58,2),VLOOKUP(0,setup!$A$8:$H$58,5),VLOOKUP(N326,setup!$A$8:$H$58,8))</f>
        <v/>
      </c>
    </row>
    <row r="327" spans="1:15" x14ac:dyDescent="0.25">
      <c r="A327" s="6"/>
      <c r="O327" s="7" t="str">
        <f ca="1">getCodigoBackend(N327,A327,VLOOKUP(N327,setup!$A$8:$H$58,2),VLOOKUP(N327,setup!$A$8:$H$58,3),VLOOKUP(N327,setup!$A$8:$H$58,4),VLOOKUP(N327,setup!$A$8:$H$58,5),VLOOKUP(N327,setup!$A$8:$H$58,6),VLOOKUP(N327,setup!$A$8:$H$58,7), VLOOKUP(0,setup!$A$8:$H$58,2),VLOOKUP(0,setup!$A$8:$H$58,5),VLOOKUP(N327,setup!$A$8:$H$58,8))</f>
        <v/>
      </c>
    </row>
    <row r="328" spans="1:15" x14ac:dyDescent="0.25">
      <c r="A328" s="6"/>
      <c r="O328" s="7" t="str">
        <f ca="1">getCodigoBackend(N328,A328,VLOOKUP(N328,setup!$A$8:$H$58,2),VLOOKUP(N328,setup!$A$8:$H$58,3),VLOOKUP(N328,setup!$A$8:$H$58,4),VLOOKUP(N328,setup!$A$8:$H$58,5),VLOOKUP(N328,setup!$A$8:$H$58,6),VLOOKUP(N328,setup!$A$8:$H$58,7), VLOOKUP(0,setup!$A$8:$H$58,2),VLOOKUP(0,setup!$A$8:$H$58,5),VLOOKUP(N328,setup!$A$8:$H$58,8))</f>
        <v/>
      </c>
    </row>
    <row r="329" spans="1:15" x14ac:dyDescent="0.25">
      <c r="A329" s="6"/>
      <c r="O329" s="7" t="str">
        <f ca="1">getCodigoBackend(N329,A329,VLOOKUP(N329,setup!$A$8:$H$58,2),VLOOKUP(N329,setup!$A$8:$H$58,3),VLOOKUP(N329,setup!$A$8:$H$58,4),VLOOKUP(N329,setup!$A$8:$H$58,5),VLOOKUP(N329,setup!$A$8:$H$58,6),VLOOKUP(N329,setup!$A$8:$H$58,7), VLOOKUP(0,setup!$A$8:$H$58,2),VLOOKUP(0,setup!$A$8:$H$58,5),VLOOKUP(N329,setup!$A$8:$H$58,8))</f>
        <v/>
      </c>
    </row>
    <row r="330" spans="1:15" x14ac:dyDescent="0.25">
      <c r="A330" s="6"/>
      <c r="O330" s="7" t="str">
        <f ca="1">getCodigoBackend(N330,A330,VLOOKUP(N330,setup!$A$8:$H$58,2),VLOOKUP(N330,setup!$A$8:$H$58,3),VLOOKUP(N330,setup!$A$8:$H$58,4),VLOOKUP(N330,setup!$A$8:$H$58,5),VLOOKUP(N330,setup!$A$8:$H$58,6),VLOOKUP(N330,setup!$A$8:$H$58,7), VLOOKUP(0,setup!$A$8:$H$58,2),VLOOKUP(0,setup!$A$8:$H$58,5),VLOOKUP(N330,setup!$A$8:$H$58,8))</f>
        <v/>
      </c>
    </row>
    <row r="331" spans="1:15" x14ac:dyDescent="0.25">
      <c r="A331" s="6"/>
      <c r="O331" s="7" t="str">
        <f ca="1">getCodigoBackend(N331,A331,VLOOKUP(N331,setup!$A$8:$H$58,2),VLOOKUP(N331,setup!$A$8:$H$58,3),VLOOKUP(N331,setup!$A$8:$H$58,4),VLOOKUP(N331,setup!$A$8:$H$58,5),VLOOKUP(N331,setup!$A$8:$H$58,6),VLOOKUP(N331,setup!$A$8:$H$58,7), VLOOKUP(0,setup!$A$8:$H$58,2),VLOOKUP(0,setup!$A$8:$H$58,5),VLOOKUP(N331,setup!$A$8:$H$58,8))</f>
        <v/>
      </c>
    </row>
    <row r="332" spans="1:15" x14ac:dyDescent="0.25">
      <c r="A332" s="6"/>
      <c r="O332" s="7" t="str">
        <f ca="1">getCodigoBackend(N332,A332,VLOOKUP(N332,setup!$A$8:$H$58,2),VLOOKUP(N332,setup!$A$8:$H$58,3),VLOOKUP(N332,setup!$A$8:$H$58,4),VLOOKUP(N332,setup!$A$8:$H$58,5),VLOOKUP(N332,setup!$A$8:$H$58,6),VLOOKUP(N332,setup!$A$8:$H$58,7), VLOOKUP(0,setup!$A$8:$H$58,2),VLOOKUP(0,setup!$A$8:$H$58,5),VLOOKUP(N332,setup!$A$8:$H$58,8))</f>
        <v/>
      </c>
    </row>
    <row r="333" spans="1:15" x14ac:dyDescent="0.25">
      <c r="A333" s="6"/>
      <c r="O333" s="7" t="str">
        <f ca="1">getCodigoBackend(N333,A333,VLOOKUP(N333,setup!$A$8:$H$58,2),VLOOKUP(N333,setup!$A$8:$H$58,3),VLOOKUP(N333,setup!$A$8:$H$58,4),VLOOKUP(N333,setup!$A$8:$H$58,5),VLOOKUP(N333,setup!$A$8:$H$58,6),VLOOKUP(N333,setup!$A$8:$H$58,7), VLOOKUP(0,setup!$A$8:$H$58,2),VLOOKUP(0,setup!$A$8:$H$58,5),VLOOKUP(N333,setup!$A$8:$H$58,8))</f>
        <v/>
      </c>
    </row>
    <row r="334" spans="1:15" x14ac:dyDescent="0.25">
      <c r="A334" s="6"/>
      <c r="O334" s="7" t="str">
        <f ca="1">getCodigoBackend(N334,A334,VLOOKUP(N334,setup!$A$8:$H$58,2),VLOOKUP(N334,setup!$A$8:$H$58,3),VLOOKUP(N334,setup!$A$8:$H$58,4),VLOOKUP(N334,setup!$A$8:$H$58,5),VLOOKUP(N334,setup!$A$8:$H$58,6),VLOOKUP(N334,setup!$A$8:$H$58,7), VLOOKUP(0,setup!$A$8:$H$58,2),VLOOKUP(0,setup!$A$8:$H$58,5),VLOOKUP(N334,setup!$A$8:$H$58,8))</f>
        <v/>
      </c>
    </row>
    <row r="335" spans="1:15" x14ac:dyDescent="0.25">
      <c r="A335" s="6"/>
      <c r="O335" s="7" t="str">
        <f ca="1">getCodigoBackend(N335,A335,VLOOKUP(N335,setup!$A$8:$H$58,2),VLOOKUP(N335,setup!$A$8:$H$58,3),VLOOKUP(N335,setup!$A$8:$H$58,4),VLOOKUP(N335,setup!$A$8:$H$58,5),VLOOKUP(N335,setup!$A$8:$H$58,6),VLOOKUP(N335,setup!$A$8:$H$58,7), VLOOKUP(0,setup!$A$8:$H$58,2),VLOOKUP(0,setup!$A$8:$H$58,5),VLOOKUP(N335,setup!$A$8:$H$58,8))</f>
        <v/>
      </c>
    </row>
    <row r="336" spans="1:15" x14ac:dyDescent="0.25">
      <c r="A336" s="6"/>
      <c r="O336" s="7" t="str">
        <f ca="1">getCodigoBackend(N336,A336,VLOOKUP(N336,setup!$A$8:$H$58,2),VLOOKUP(N336,setup!$A$8:$H$58,3),VLOOKUP(N336,setup!$A$8:$H$58,4),VLOOKUP(N336,setup!$A$8:$H$58,5),VLOOKUP(N336,setup!$A$8:$H$58,6),VLOOKUP(N336,setup!$A$8:$H$58,7), VLOOKUP(0,setup!$A$8:$H$58,2),VLOOKUP(0,setup!$A$8:$H$58,5),VLOOKUP(N336,setup!$A$8:$H$58,8))</f>
        <v/>
      </c>
    </row>
    <row r="337" spans="1:15" x14ac:dyDescent="0.25">
      <c r="A337" s="6"/>
      <c r="O337" s="7" t="str">
        <f ca="1">getCodigoBackend(N337,A337,VLOOKUP(N337,setup!$A$8:$H$58,2),VLOOKUP(N337,setup!$A$8:$H$58,3),VLOOKUP(N337,setup!$A$8:$H$58,4),VLOOKUP(N337,setup!$A$8:$H$58,5),VLOOKUP(N337,setup!$A$8:$H$58,6),VLOOKUP(N337,setup!$A$8:$H$58,7), VLOOKUP(0,setup!$A$8:$H$58,2),VLOOKUP(0,setup!$A$8:$H$58,5),VLOOKUP(N337,setup!$A$8:$H$58,8))</f>
        <v/>
      </c>
    </row>
    <row r="338" spans="1:15" x14ac:dyDescent="0.25">
      <c r="A338" s="6"/>
      <c r="O338" s="7" t="str">
        <f ca="1">getCodigoBackend(N338,A338,VLOOKUP(N338,setup!$A$8:$H$58,2),VLOOKUP(N338,setup!$A$8:$H$58,3),VLOOKUP(N338,setup!$A$8:$H$58,4),VLOOKUP(N338,setup!$A$8:$H$58,5),VLOOKUP(N338,setup!$A$8:$H$58,6),VLOOKUP(N338,setup!$A$8:$H$58,7), VLOOKUP(0,setup!$A$8:$H$58,2),VLOOKUP(0,setup!$A$8:$H$58,5),VLOOKUP(N338,setup!$A$8:$H$58,8))</f>
        <v/>
      </c>
    </row>
    <row r="339" spans="1:15" x14ac:dyDescent="0.25">
      <c r="A339" s="6"/>
      <c r="O339" s="7" t="str">
        <f ca="1">getCodigoBackend(N339,A339,VLOOKUP(N339,setup!$A$8:$H$58,2),VLOOKUP(N339,setup!$A$8:$H$58,3),VLOOKUP(N339,setup!$A$8:$H$58,4),VLOOKUP(N339,setup!$A$8:$H$58,5),VLOOKUP(N339,setup!$A$8:$H$58,6),VLOOKUP(N339,setup!$A$8:$H$58,7), VLOOKUP(0,setup!$A$8:$H$58,2),VLOOKUP(0,setup!$A$8:$H$58,5),VLOOKUP(N339,setup!$A$8:$H$58,8))</f>
        <v/>
      </c>
    </row>
    <row r="340" spans="1:15" x14ac:dyDescent="0.25">
      <c r="A340" s="6"/>
      <c r="O340" s="7" t="str">
        <f ca="1">getCodigoBackend(N340,A340,VLOOKUP(N340,setup!$A$8:$H$58,2),VLOOKUP(N340,setup!$A$8:$H$58,3),VLOOKUP(N340,setup!$A$8:$H$58,4),VLOOKUP(N340,setup!$A$8:$H$58,5),VLOOKUP(N340,setup!$A$8:$H$58,6),VLOOKUP(N340,setup!$A$8:$H$58,7), VLOOKUP(0,setup!$A$8:$H$58,2),VLOOKUP(0,setup!$A$8:$H$58,5),VLOOKUP(N340,setup!$A$8:$H$58,8))</f>
        <v/>
      </c>
    </row>
    <row r="341" spans="1:15" x14ac:dyDescent="0.25">
      <c r="A341" s="6"/>
      <c r="O341" s="7" t="str">
        <f ca="1">getCodigoBackend(N341,A341,VLOOKUP(N341,setup!$A$8:$H$58,2),VLOOKUP(N341,setup!$A$8:$H$58,3),VLOOKUP(N341,setup!$A$8:$H$58,4),VLOOKUP(N341,setup!$A$8:$H$58,5),VLOOKUP(N341,setup!$A$8:$H$58,6),VLOOKUP(N341,setup!$A$8:$H$58,7), VLOOKUP(0,setup!$A$8:$H$58,2),VLOOKUP(0,setup!$A$8:$H$58,5),VLOOKUP(N341,setup!$A$8:$H$58,8))</f>
        <v/>
      </c>
    </row>
    <row r="342" spans="1:15" x14ac:dyDescent="0.25">
      <c r="A342" s="6"/>
      <c r="O342" s="7" t="str">
        <f ca="1">getCodigoBackend(N342,A342,VLOOKUP(N342,setup!$A$8:$H$58,2),VLOOKUP(N342,setup!$A$8:$H$58,3),VLOOKUP(N342,setup!$A$8:$H$58,4),VLOOKUP(N342,setup!$A$8:$H$58,5),VLOOKUP(N342,setup!$A$8:$H$58,6),VLOOKUP(N342,setup!$A$8:$H$58,7), VLOOKUP(0,setup!$A$8:$H$58,2),VLOOKUP(0,setup!$A$8:$H$58,5),VLOOKUP(N342,setup!$A$8:$H$58,8))</f>
        <v/>
      </c>
    </row>
    <row r="343" spans="1:15" x14ac:dyDescent="0.25">
      <c r="A343" s="6"/>
      <c r="O343" s="7" t="str">
        <f ca="1">getCodigoBackend(N343,A343,VLOOKUP(N343,setup!$A$8:$H$58,2),VLOOKUP(N343,setup!$A$8:$H$58,3),VLOOKUP(N343,setup!$A$8:$H$58,4),VLOOKUP(N343,setup!$A$8:$H$58,5),VLOOKUP(N343,setup!$A$8:$H$58,6),VLOOKUP(N343,setup!$A$8:$H$58,7), VLOOKUP(0,setup!$A$8:$H$58,2),VLOOKUP(0,setup!$A$8:$H$58,5),VLOOKUP(N343,setup!$A$8:$H$58,8))</f>
        <v/>
      </c>
    </row>
    <row r="344" spans="1:15" x14ac:dyDescent="0.25">
      <c r="A344" s="6"/>
      <c r="O344" s="7" t="str">
        <f ca="1">getCodigoBackend(N344,A344,VLOOKUP(N344,setup!$A$8:$H$58,2),VLOOKUP(N344,setup!$A$8:$H$58,3),VLOOKUP(N344,setup!$A$8:$H$58,4),VLOOKUP(N344,setup!$A$8:$H$58,5),VLOOKUP(N344,setup!$A$8:$H$58,6),VLOOKUP(N344,setup!$A$8:$H$58,7), VLOOKUP(0,setup!$A$8:$H$58,2),VLOOKUP(0,setup!$A$8:$H$58,5),VLOOKUP(N344,setup!$A$8:$H$58,8))</f>
        <v/>
      </c>
    </row>
    <row r="345" spans="1:15" x14ac:dyDescent="0.25">
      <c r="A345" s="6"/>
      <c r="O345" s="7" t="str">
        <f ca="1">getCodigoBackend(N345,A345,VLOOKUP(N345,setup!$A$8:$H$58,2),VLOOKUP(N345,setup!$A$8:$H$58,3),VLOOKUP(N345,setup!$A$8:$H$58,4),VLOOKUP(N345,setup!$A$8:$H$58,5),VLOOKUP(N345,setup!$A$8:$H$58,6),VLOOKUP(N345,setup!$A$8:$H$58,7), VLOOKUP(0,setup!$A$8:$H$58,2),VLOOKUP(0,setup!$A$8:$H$58,5),VLOOKUP(N345,setup!$A$8:$H$58,8))</f>
        <v/>
      </c>
    </row>
    <row r="346" spans="1:15" x14ac:dyDescent="0.25">
      <c r="A346" s="6"/>
      <c r="O346" s="7" t="str">
        <f ca="1">getCodigoBackend(N346,A346,VLOOKUP(N346,setup!$A$8:$H$58,2),VLOOKUP(N346,setup!$A$8:$H$58,3),VLOOKUP(N346,setup!$A$8:$H$58,4),VLOOKUP(N346,setup!$A$8:$H$58,5),VLOOKUP(N346,setup!$A$8:$H$58,6),VLOOKUP(N346,setup!$A$8:$H$58,7), VLOOKUP(0,setup!$A$8:$H$58,2),VLOOKUP(0,setup!$A$8:$H$58,5),VLOOKUP(N346,setup!$A$8:$H$58,8))</f>
        <v/>
      </c>
    </row>
    <row r="347" spans="1:15" x14ac:dyDescent="0.25">
      <c r="A347" s="6"/>
      <c r="O347" s="7" t="str">
        <f ca="1">getCodigoBackend(N347,A347,VLOOKUP(N347,setup!$A$8:$H$58,2),VLOOKUP(N347,setup!$A$8:$H$58,3),VLOOKUP(N347,setup!$A$8:$H$58,4),VLOOKUP(N347,setup!$A$8:$H$58,5),VLOOKUP(N347,setup!$A$8:$H$58,6),VLOOKUP(N347,setup!$A$8:$H$58,7), VLOOKUP(0,setup!$A$8:$H$58,2),VLOOKUP(0,setup!$A$8:$H$58,5),VLOOKUP(N347,setup!$A$8:$H$58,8))</f>
        <v/>
      </c>
    </row>
    <row r="348" spans="1:15" x14ac:dyDescent="0.25">
      <c r="A348" s="6"/>
      <c r="O348" s="7" t="str">
        <f ca="1">getCodigoBackend(N348,A348,VLOOKUP(N348,setup!$A$8:$H$58,2),VLOOKUP(N348,setup!$A$8:$H$58,3),VLOOKUP(N348,setup!$A$8:$H$58,4),VLOOKUP(N348,setup!$A$8:$H$58,5),VLOOKUP(N348,setup!$A$8:$H$58,6),VLOOKUP(N348,setup!$A$8:$H$58,7), VLOOKUP(0,setup!$A$8:$H$58,2),VLOOKUP(0,setup!$A$8:$H$58,5),VLOOKUP(N348,setup!$A$8:$H$58,8))</f>
        <v/>
      </c>
    </row>
    <row r="349" spans="1:15" x14ac:dyDescent="0.25">
      <c r="A349" s="6"/>
      <c r="O349" s="7" t="str">
        <f ca="1">getCodigoBackend(N349,A349,VLOOKUP(N349,setup!$A$8:$H$58,2),VLOOKUP(N349,setup!$A$8:$H$58,3),VLOOKUP(N349,setup!$A$8:$H$58,4),VLOOKUP(N349,setup!$A$8:$H$58,5),VLOOKUP(N349,setup!$A$8:$H$58,6),VLOOKUP(N349,setup!$A$8:$H$58,7), VLOOKUP(0,setup!$A$8:$H$58,2),VLOOKUP(0,setup!$A$8:$H$58,5),VLOOKUP(N349,setup!$A$8:$H$58,8))</f>
        <v/>
      </c>
    </row>
    <row r="350" spans="1:15" x14ac:dyDescent="0.25">
      <c r="A350" s="6"/>
      <c r="O350" s="7" t="str">
        <f ca="1">getCodigoBackend(N350,A350,VLOOKUP(N350,setup!$A$8:$H$58,2),VLOOKUP(N350,setup!$A$8:$H$58,3),VLOOKUP(N350,setup!$A$8:$H$58,4),VLOOKUP(N350,setup!$A$8:$H$58,5),VLOOKUP(N350,setup!$A$8:$H$58,6),VLOOKUP(N350,setup!$A$8:$H$58,7), VLOOKUP(0,setup!$A$8:$H$58,2),VLOOKUP(0,setup!$A$8:$H$58,5),VLOOKUP(N350,setup!$A$8:$H$58,8))</f>
        <v/>
      </c>
    </row>
    <row r="351" spans="1:15" x14ac:dyDescent="0.25">
      <c r="A351" s="6"/>
      <c r="O351" s="7" t="str">
        <f ca="1">getCodigoBackend(N351,A351,VLOOKUP(N351,setup!$A$8:$H$58,2),VLOOKUP(N351,setup!$A$8:$H$58,3),VLOOKUP(N351,setup!$A$8:$H$58,4),VLOOKUP(N351,setup!$A$8:$H$58,5),VLOOKUP(N351,setup!$A$8:$H$58,6),VLOOKUP(N351,setup!$A$8:$H$58,7), VLOOKUP(0,setup!$A$8:$H$58,2),VLOOKUP(0,setup!$A$8:$H$58,5),VLOOKUP(N351,setup!$A$8:$H$58,8))</f>
        <v/>
      </c>
    </row>
    <row r="352" spans="1:15" x14ac:dyDescent="0.25">
      <c r="A352" s="6"/>
      <c r="O352" s="7" t="str">
        <f ca="1">getCodigoBackend(N352,A352,VLOOKUP(N352,setup!$A$8:$H$58,2),VLOOKUP(N352,setup!$A$8:$H$58,3),VLOOKUP(N352,setup!$A$8:$H$58,4),VLOOKUP(N352,setup!$A$8:$H$58,5),VLOOKUP(N352,setup!$A$8:$H$58,6),VLOOKUP(N352,setup!$A$8:$H$58,7), VLOOKUP(0,setup!$A$8:$H$58,2),VLOOKUP(0,setup!$A$8:$H$58,5),VLOOKUP(N352,setup!$A$8:$H$58,8))</f>
        <v/>
      </c>
    </row>
    <row r="353" spans="1:15" x14ac:dyDescent="0.25">
      <c r="A353" s="2"/>
      <c r="O353" s="7" t="str">
        <f ca="1">getCodigoBackend(N353,A353,VLOOKUP(N353,setup!$A$8:$H$58,2),VLOOKUP(N353,setup!$A$8:$H$58,3),VLOOKUP(N353,setup!$A$8:$H$58,4),VLOOKUP(N353,setup!$A$8:$H$58,5),VLOOKUP(N353,setup!$A$8:$H$58,6),VLOOKUP(N353,setup!$A$8:$H$58,7), VLOOKUP(0,setup!$A$8:$H$58,2),VLOOKUP(0,setup!$A$8:$H$58,5),VLOOKUP(N353,setup!$A$8:$H$58,8))</f>
        <v/>
      </c>
    </row>
    <row r="354" spans="1:15" x14ac:dyDescent="0.25">
      <c r="A354" s="2"/>
      <c r="O354" s="7" t="str">
        <f ca="1">getCodigoBackend(N354,A354,VLOOKUP(N354,setup!$A$8:$H$58,2),VLOOKUP(N354,setup!$A$8:$H$58,3),VLOOKUP(N354,setup!$A$8:$H$58,4),VLOOKUP(N354,setup!$A$8:$H$58,5),VLOOKUP(N354,setup!$A$8:$H$58,6),VLOOKUP(N354,setup!$A$8:$H$58,7), VLOOKUP(0,setup!$A$8:$H$58,2),VLOOKUP(0,setup!$A$8:$H$58,5),VLOOKUP(N354,setup!$A$8:$H$58,8))</f>
        <v/>
      </c>
    </row>
    <row r="355" spans="1:15" x14ac:dyDescent="0.25">
      <c r="A355" s="3"/>
      <c r="O355" s="7" t="str">
        <f ca="1">getCodigoBackend(N355,A355,VLOOKUP(N355,setup!$A$8:$H$58,2),VLOOKUP(N355,setup!$A$8:$H$58,3),VLOOKUP(N355,setup!$A$8:$H$58,4),VLOOKUP(N355,setup!$A$8:$H$58,5),VLOOKUP(N355,setup!$A$8:$H$58,6),VLOOKUP(N355,setup!$A$8:$H$58,7), VLOOKUP(0,setup!$A$8:$H$58,2),VLOOKUP(0,setup!$A$8:$H$58,5),VLOOKUP(N355,setup!$A$8:$H$58,8))</f>
        <v/>
      </c>
    </row>
    <row r="356" spans="1:15" x14ac:dyDescent="0.25">
      <c r="A356" s="2"/>
      <c r="O356" s="7" t="str">
        <f ca="1">getCodigoBackend(N356,A356,VLOOKUP(N356,setup!$A$8:$H$58,2),VLOOKUP(N356,setup!$A$8:$H$58,3),VLOOKUP(N356,setup!$A$8:$H$58,4),VLOOKUP(N356,setup!$A$8:$H$58,5),VLOOKUP(N356,setup!$A$8:$H$58,6),VLOOKUP(N356,setup!$A$8:$H$58,7), VLOOKUP(0,setup!$A$8:$H$58,2),VLOOKUP(0,setup!$A$8:$H$58,5),VLOOKUP(N356,setup!$A$8:$H$58,8))</f>
        <v/>
      </c>
    </row>
    <row r="357" spans="1:15" x14ac:dyDescent="0.25">
      <c r="A357" s="6"/>
      <c r="O357" s="7" t="str">
        <f ca="1">getCodigoBackend(N357,A357,VLOOKUP(N357,setup!$A$8:$H$58,2),VLOOKUP(N357,setup!$A$8:$H$58,3),VLOOKUP(N357,setup!$A$8:$H$58,4),VLOOKUP(N357,setup!$A$8:$H$58,5),VLOOKUP(N357,setup!$A$8:$H$58,6),VLOOKUP(N357,setup!$A$8:$H$58,7), VLOOKUP(0,setup!$A$8:$H$58,2),VLOOKUP(0,setup!$A$8:$H$58,5),VLOOKUP(N357,setup!$A$8:$H$58,8))</f>
        <v/>
      </c>
    </row>
    <row r="358" spans="1:15" x14ac:dyDescent="0.25">
      <c r="A358" s="5"/>
      <c r="O358" s="7" t="str">
        <f ca="1">getCodigoBackend(N358,A358,VLOOKUP(N358,setup!$A$8:$H$58,2),VLOOKUP(N358,setup!$A$8:$H$58,3),VLOOKUP(N358,setup!$A$8:$H$58,4),VLOOKUP(N358,setup!$A$8:$H$58,5),VLOOKUP(N358,setup!$A$8:$H$58,6),VLOOKUP(N358,setup!$A$8:$H$58,7), VLOOKUP(0,setup!$A$8:$H$58,2),VLOOKUP(0,setup!$A$8:$H$58,5),VLOOKUP(N358,setup!$A$8:$H$58,8))</f>
        <v/>
      </c>
    </row>
    <row r="359" spans="1:15" x14ac:dyDescent="0.25">
      <c r="A359" s="6"/>
      <c r="O359" s="7" t="str">
        <f ca="1">getCodigoBackend(N359,A359,VLOOKUP(N359,setup!$A$8:$H$58,2),VLOOKUP(N359,setup!$A$8:$H$58,3),VLOOKUP(N359,setup!$A$8:$H$58,4),VLOOKUP(N359,setup!$A$8:$H$58,5),VLOOKUP(N359,setup!$A$8:$H$58,6),VLOOKUP(N359,setup!$A$8:$H$58,7), VLOOKUP(0,setup!$A$8:$H$58,2),VLOOKUP(0,setup!$A$8:$H$58,5),VLOOKUP(N359,setup!$A$8:$H$58,8))</f>
        <v/>
      </c>
    </row>
    <row r="360" spans="1:15" x14ac:dyDescent="0.25">
      <c r="A360" s="8"/>
      <c r="O360" s="7" t="str">
        <f ca="1">getCodigoBackend(N360,A360,VLOOKUP(N360,setup!$A$8:$H$58,2),VLOOKUP(N360,setup!$A$8:$H$58,3),VLOOKUP(N360,setup!$A$8:$H$58,4),VLOOKUP(N360,setup!$A$8:$H$58,5),VLOOKUP(N360,setup!$A$8:$H$58,6),VLOOKUP(N360,setup!$A$8:$H$58,7), VLOOKUP(0,setup!$A$8:$H$58,2),VLOOKUP(0,setup!$A$8:$H$58,5),VLOOKUP(N360,setup!$A$8:$H$58,8))</f>
        <v/>
      </c>
    </row>
    <row r="361" spans="1:15" x14ac:dyDescent="0.25">
      <c r="A361" s="8"/>
      <c r="O361" s="7" t="str">
        <f ca="1">getCodigoBackend(N361,A361,VLOOKUP(N361,setup!$A$8:$H$58,2),VLOOKUP(N361,setup!$A$8:$H$58,3),VLOOKUP(N361,setup!$A$8:$H$58,4),VLOOKUP(N361,setup!$A$8:$H$58,5),VLOOKUP(N361,setup!$A$8:$H$58,6),VLOOKUP(N361,setup!$A$8:$H$58,7), VLOOKUP(0,setup!$A$8:$H$58,2),VLOOKUP(0,setup!$A$8:$H$58,5),VLOOKUP(N361,setup!$A$8:$H$58,8))</f>
        <v/>
      </c>
    </row>
    <row r="362" spans="1:15" x14ac:dyDescent="0.25">
      <c r="A362" s="8"/>
      <c r="O362" s="7" t="str">
        <f ca="1">getCodigoBackend(N362,A362,VLOOKUP(N362,setup!$A$8:$H$58,2),VLOOKUP(N362,setup!$A$8:$H$58,3),VLOOKUP(N362,setup!$A$8:$H$58,4),VLOOKUP(N362,setup!$A$8:$H$58,5),VLOOKUP(N362,setup!$A$8:$H$58,6),VLOOKUP(N362,setup!$A$8:$H$58,7), VLOOKUP(0,setup!$A$8:$H$58,2),VLOOKUP(0,setup!$A$8:$H$58,5),VLOOKUP(N362,setup!$A$8:$H$58,8))</f>
        <v/>
      </c>
    </row>
    <row r="363" spans="1:15" x14ac:dyDescent="0.25">
      <c r="A363" s="8"/>
      <c r="O363" s="7" t="str">
        <f ca="1">getCodigoBackend(N363,A363,VLOOKUP(N363,setup!$A$8:$H$58,2),VLOOKUP(N363,setup!$A$8:$H$58,3),VLOOKUP(N363,setup!$A$8:$H$58,4),VLOOKUP(N363,setup!$A$8:$H$58,5),VLOOKUP(N363,setup!$A$8:$H$58,6),VLOOKUP(N363,setup!$A$8:$H$58,7), VLOOKUP(0,setup!$A$8:$H$58,2),VLOOKUP(0,setup!$A$8:$H$58,5),VLOOKUP(N363,setup!$A$8:$H$58,8))</f>
        <v/>
      </c>
    </row>
    <row r="364" spans="1:15" x14ac:dyDescent="0.25">
      <c r="A364" s="8"/>
      <c r="O364" s="7" t="str">
        <f ca="1">getCodigoBackend(N364,A364,VLOOKUP(N364,setup!$A$8:$H$58,2),VLOOKUP(N364,setup!$A$8:$H$58,3),VLOOKUP(N364,setup!$A$8:$H$58,4),VLOOKUP(N364,setup!$A$8:$H$58,5),VLOOKUP(N364,setup!$A$8:$H$58,6),VLOOKUP(N364,setup!$A$8:$H$58,7), VLOOKUP(0,setup!$A$8:$H$58,2),VLOOKUP(0,setup!$A$8:$H$58,5),VLOOKUP(N364,setup!$A$8:$H$58,8))</f>
        <v/>
      </c>
    </row>
    <row r="365" spans="1:15" x14ac:dyDescent="0.25">
      <c r="A365" s="8"/>
      <c r="O365" s="7" t="str">
        <f ca="1">getCodigoBackend(N365,A365,VLOOKUP(N365,setup!$A$8:$H$58,2),VLOOKUP(N365,setup!$A$8:$H$58,3),VLOOKUP(N365,setup!$A$8:$H$58,4),VLOOKUP(N365,setup!$A$8:$H$58,5),VLOOKUP(N365,setup!$A$8:$H$58,6),VLOOKUP(N365,setup!$A$8:$H$58,7), VLOOKUP(0,setup!$A$8:$H$58,2),VLOOKUP(0,setup!$A$8:$H$58,5),VLOOKUP(N365,setup!$A$8:$H$58,8))</f>
        <v/>
      </c>
    </row>
    <row r="366" spans="1:15" x14ac:dyDescent="0.25">
      <c r="A366" s="8"/>
      <c r="O366" s="7" t="str">
        <f ca="1">getCodigoBackend(N366,A366,VLOOKUP(N366,setup!$A$8:$H$58,2),VLOOKUP(N366,setup!$A$8:$H$58,3),VLOOKUP(N366,setup!$A$8:$H$58,4),VLOOKUP(N366,setup!$A$8:$H$58,5),VLOOKUP(N366,setup!$A$8:$H$58,6),VLOOKUP(N366,setup!$A$8:$H$58,7), VLOOKUP(0,setup!$A$8:$H$58,2),VLOOKUP(0,setup!$A$8:$H$58,5),VLOOKUP(N366,setup!$A$8:$H$58,8))</f>
        <v/>
      </c>
    </row>
    <row r="367" spans="1:15" x14ac:dyDescent="0.25">
      <c r="A367" s="8"/>
      <c r="O367" s="7" t="str">
        <f ca="1">getCodigoBackend(N367,A367,VLOOKUP(N367,setup!$A$8:$H$58,2),VLOOKUP(N367,setup!$A$8:$H$58,3),VLOOKUP(N367,setup!$A$8:$H$58,4),VLOOKUP(N367,setup!$A$8:$H$58,5),VLOOKUP(N367,setup!$A$8:$H$58,6),VLOOKUP(N367,setup!$A$8:$H$58,7), VLOOKUP(0,setup!$A$8:$H$58,2),VLOOKUP(0,setup!$A$8:$H$58,5),VLOOKUP(N367,setup!$A$8:$H$58,8))</f>
        <v/>
      </c>
    </row>
    <row r="368" spans="1:15" x14ac:dyDescent="0.25">
      <c r="A368" s="8"/>
      <c r="O368" s="7" t="str">
        <f ca="1">getCodigoBackend(N368,A368,VLOOKUP(N368,setup!$A$8:$H$58,2),VLOOKUP(N368,setup!$A$8:$H$58,3),VLOOKUP(N368,setup!$A$8:$H$58,4),VLOOKUP(N368,setup!$A$8:$H$58,5),VLOOKUP(N368,setup!$A$8:$H$58,6),VLOOKUP(N368,setup!$A$8:$H$58,7), VLOOKUP(0,setup!$A$8:$H$58,2),VLOOKUP(0,setup!$A$8:$H$58,5),VLOOKUP(N368,setup!$A$8:$H$58,8))</f>
        <v/>
      </c>
    </row>
    <row r="369" spans="1:15" x14ac:dyDescent="0.25">
      <c r="A369" s="8"/>
      <c r="O369" s="7" t="str">
        <f ca="1">getCodigoBackend(N369,A369,VLOOKUP(N369,setup!$A$8:$H$58,2),VLOOKUP(N369,setup!$A$8:$H$58,3),VLOOKUP(N369,setup!$A$8:$H$58,4),VLOOKUP(N369,setup!$A$8:$H$58,5),VLOOKUP(N369,setup!$A$8:$H$58,6),VLOOKUP(N369,setup!$A$8:$H$58,7), VLOOKUP(0,setup!$A$8:$H$58,2),VLOOKUP(0,setup!$A$8:$H$58,5),VLOOKUP(N369,setup!$A$8:$H$58,8))</f>
        <v/>
      </c>
    </row>
    <row r="370" spans="1:15" x14ac:dyDescent="0.25">
      <c r="A370" s="8"/>
      <c r="O370" s="7" t="str">
        <f ca="1">getCodigoBackend(N370,A370,VLOOKUP(N370,setup!$A$8:$H$58,2),VLOOKUP(N370,setup!$A$8:$H$58,3),VLOOKUP(N370,setup!$A$8:$H$58,4),VLOOKUP(N370,setup!$A$8:$H$58,5),VLOOKUP(N370,setup!$A$8:$H$58,6),VLOOKUP(N370,setup!$A$8:$H$58,7), VLOOKUP(0,setup!$A$8:$H$58,2),VLOOKUP(0,setup!$A$8:$H$58,5),VLOOKUP(N370,setup!$A$8:$H$58,8))</f>
        <v/>
      </c>
    </row>
    <row r="371" spans="1:15" x14ac:dyDescent="0.25">
      <c r="A371" s="8"/>
      <c r="O371" s="7" t="str">
        <f ca="1">getCodigoBackend(N371,A371,VLOOKUP(N371,setup!$A$8:$H$58,2),VLOOKUP(N371,setup!$A$8:$H$58,3),VLOOKUP(N371,setup!$A$8:$H$58,4),VLOOKUP(N371,setup!$A$8:$H$58,5),VLOOKUP(N371,setup!$A$8:$H$58,6),VLOOKUP(N371,setup!$A$8:$H$58,7), VLOOKUP(0,setup!$A$8:$H$58,2),VLOOKUP(0,setup!$A$8:$H$58,5),VLOOKUP(N371,setup!$A$8:$H$58,8))</f>
        <v/>
      </c>
    </row>
    <row r="372" spans="1:15" x14ac:dyDescent="0.25">
      <c r="A372" s="8"/>
      <c r="O372" s="7" t="str">
        <f ca="1">getCodigoBackend(N372,A372,VLOOKUP(N372,setup!$A$8:$H$58,2),VLOOKUP(N372,setup!$A$8:$H$58,3),VLOOKUP(N372,setup!$A$8:$H$58,4),VLOOKUP(N372,setup!$A$8:$H$58,5),VLOOKUP(N372,setup!$A$8:$H$58,6),VLOOKUP(N372,setup!$A$8:$H$58,7), VLOOKUP(0,setup!$A$8:$H$58,2),VLOOKUP(0,setup!$A$8:$H$58,5),VLOOKUP(N372,setup!$A$8:$H$58,8))</f>
        <v/>
      </c>
    </row>
    <row r="373" spans="1:15" x14ac:dyDescent="0.25">
      <c r="A373" s="8"/>
      <c r="O373" s="7" t="str">
        <f ca="1">getCodigoBackend(N373,A373,VLOOKUP(N373,setup!$A$8:$H$58,2),VLOOKUP(N373,setup!$A$8:$H$58,3),VLOOKUP(N373,setup!$A$8:$H$58,4),VLOOKUP(N373,setup!$A$8:$H$58,5),VLOOKUP(N373,setup!$A$8:$H$58,6),VLOOKUP(N373,setup!$A$8:$H$58,7), VLOOKUP(0,setup!$A$8:$H$58,2),VLOOKUP(0,setup!$A$8:$H$58,5),VLOOKUP(N373,setup!$A$8:$H$58,8))</f>
        <v/>
      </c>
    </row>
    <row r="374" spans="1:15" x14ac:dyDescent="0.25">
      <c r="A374" s="8"/>
      <c r="O374" s="7" t="str">
        <f ca="1">getCodigoBackend(N374,A374,VLOOKUP(N374,setup!$A$8:$H$58,2),VLOOKUP(N374,setup!$A$8:$H$58,3),VLOOKUP(N374,setup!$A$8:$H$58,4),VLOOKUP(N374,setup!$A$8:$H$58,5),VLOOKUP(N374,setup!$A$8:$H$58,6),VLOOKUP(N374,setup!$A$8:$H$58,7), VLOOKUP(0,setup!$A$8:$H$58,2),VLOOKUP(0,setup!$A$8:$H$58,5),VLOOKUP(N374,setup!$A$8:$H$58,8))</f>
        <v/>
      </c>
    </row>
    <row r="375" spans="1:15" x14ac:dyDescent="0.25">
      <c r="A375" s="8"/>
      <c r="O375" s="7" t="str">
        <f ca="1">getCodigoBackend(N375,A375,VLOOKUP(N375,setup!$A$8:$H$58,2),VLOOKUP(N375,setup!$A$8:$H$58,3),VLOOKUP(N375,setup!$A$8:$H$58,4),VLOOKUP(N375,setup!$A$8:$H$58,5),VLOOKUP(N375,setup!$A$8:$H$58,6),VLOOKUP(N375,setup!$A$8:$H$58,7), VLOOKUP(0,setup!$A$8:$H$58,2),VLOOKUP(0,setup!$A$8:$H$58,5),VLOOKUP(N375,setup!$A$8:$H$58,8))</f>
        <v/>
      </c>
    </row>
    <row r="376" spans="1:15" x14ac:dyDescent="0.25">
      <c r="A376" s="8"/>
      <c r="O376" s="7" t="str">
        <f ca="1">getCodigoBackend(N376,A376,VLOOKUP(N376,setup!$A$8:$H$58,2),VLOOKUP(N376,setup!$A$8:$H$58,3),VLOOKUP(N376,setup!$A$8:$H$58,4),VLOOKUP(N376,setup!$A$8:$H$58,5),VLOOKUP(N376,setup!$A$8:$H$58,6),VLOOKUP(N376,setup!$A$8:$H$58,7), VLOOKUP(0,setup!$A$8:$H$58,2),VLOOKUP(0,setup!$A$8:$H$58,5),VLOOKUP(N376,setup!$A$8:$H$58,8))</f>
        <v/>
      </c>
    </row>
    <row r="377" spans="1:15" x14ac:dyDescent="0.25">
      <c r="A377" s="8"/>
      <c r="O377" s="7" t="str">
        <f ca="1">getCodigoBackend(N377,A377,VLOOKUP(N377,setup!$A$8:$H$58,2),VLOOKUP(N377,setup!$A$8:$H$58,3),VLOOKUP(N377,setup!$A$8:$H$58,4),VLOOKUP(N377,setup!$A$8:$H$58,5),VLOOKUP(N377,setup!$A$8:$H$58,6),VLOOKUP(N377,setup!$A$8:$H$58,7), VLOOKUP(0,setup!$A$8:$H$58,2),VLOOKUP(0,setup!$A$8:$H$58,5),VLOOKUP(N377,setup!$A$8:$H$58,8))</f>
        <v/>
      </c>
    </row>
    <row r="378" spans="1:15" x14ac:dyDescent="0.25">
      <c r="A378" s="8"/>
      <c r="O378" s="7" t="str">
        <f ca="1">getCodigoBackend(N378,A378,VLOOKUP(N378,setup!$A$8:$H$58,2),VLOOKUP(N378,setup!$A$8:$H$58,3),VLOOKUP(N378,setup!$A$8:$H$58,4),VLOOKUP(N378,setup!$A$8:$H$58,5),VLOOKUP(N378,setup!$A$8:$H$58,6),VLOOKUP(N378,setup!$A$8:$H$58,7), VLOOKUP(0,setup!$A$8:$H$58,2),VLOOKUP(0,setup!$A$8:$H$58,5),VLOOKUP(N378,setup!$A$8:$H$58,8))</f>
        <v/>
      </c>
    </row>
    <row r="379" spans="1:15" x14ac:dyDescent="0.25">
      <c r="A379" s="8"/>
      <c r="O379" s="7" t="str">
        <f ca="1">getCodigoBackend(N379,A379,VLOOKUP(N379,setup!$A$8:$H$58,2),VLOOKUP(N379,setup!$A$8:$H$58,3),VLOOKUP(N379,setup!$A$8:$H$58,4),VLOOKUP(N379,setup!$A$8:$H$58,5),VLOOKUP(N379,setup!$A$8:$H$58,6),VLOOKUP(N379,setup!$A$8:$H$58,7), VLOOKUP(0,setup!$A$8:$H$58,2),VLOOKUP(0,setup!$A$8:$H$58,5),VLOOKUP(N379,setup!$A$8:$H$58,8))</f>
        <v/>
      </c>
    </row>
    <row r="380" spans="1:15" x14ac:dyDescent="0.25">
      <c r="A380" s="8"/>
      <c r="O380" s="7" t="str">
        <f ca="1">getCodigoBackend(N380,A380,VLOOKUP(N380,setup!$A$8:$H$58,2),VLOOKUP(N380,setup!$A$8:$H$58,3),VLOOKUP(N380,setup!$A$8:$H$58,4),VLOOKUP(N380,setup!$A$8:$H$58,5),VLOOKUP(N380,setup!$A$8:$H$58,6),VLOOKUP(N380,setup!$A$8:$H$58,7), VLOOKUP(0,setup!$A$8:$H$58,2),VLOOKUP(0,setup!$A$8:$H$58,5),VLOOKUP(N380,setup!$A$8:$H$58,8))</f>
        <v/>
      </c>
    </row>
    <row r="381" spans="1:15" x14ac:dyDescent="0.25">
      <c r="A381" s="8"/>
      <c r="O381" s="7" t="str">
        <f ca="1">getCodigoBackend(N381,A381,VLOOKUP(N381,setup!$A$8:$H$58,2),VLOOKUP(N381,setup!$A$8:$H$58,3),VLOOKUP(N381,setup!$A$8:$H$58,4),VLOOKUP(N381,setup!$A$8:$H$58,5),VLOOKUP(N381,setup!$A$8:$H$58,6),VLOOKUP(N381,setup!$A$8:$H$58,7), VLOOKUP(0,setup!$A$8:$H$58,2),VLOOKUP(0,setup!$A$8:$H$58,5),VLOOKUP(N381,setup!$A$8:$H$58,8))</f>
        <v/>
      </c>
    </row>
    <row r="382" spans="1:15" x14ac:dyDescent="0.25">
      <c r="A382" s="8"/>
      <c r="O382" s="7" t="str">
        <f ca="1">getCodigoBackend(N382,A382,VLOOKUP(N382,setup!$A$8:$H$58,2),VLOOKUP(N382,setup!$A$8:$H$58,3),VLOOKUP(N382,setup!$A$8:$H$58,4),VLOOKUP(N382,setup!$A$8:$H$58,5),VLOOKUP(N382,setup!$A$8:$H$58,6),VLOOKUP(N382,setup!$A$8:$H$58,7), VLOOKUP(0,setup!$A$8:$H$58,2),VLOOKUP(0,setup!$A$8:$H$58,5),VLOOKUP(N382,setup!$A$8:$H$58,8))</f>
        <v/>
      </c>
    </row>
    <row r="383" spans="1:15" x14ac:dyDescent="0.25">
      <c r="A383" s="8"/>
      <c r="O383" s="7" t="str">
        <f ca="1">getCodigoBackend(N383,A383,VLOOKUP(N383,setup!$A$8:$H$58,2),VLOOKUP(N383,setup!$A$8:$H$58,3),VLOOKUP(N383,setup!$A$8:$H$58,4),VLOOKUP(N383,setup!$A$8:$H$58,5),VLOOKUP(N383,setup!$A$8:$H$58,6),VLOOKUP(N383,setup!$A$8:$H$58,7), VLOOKUP(0,setup!$A$8:$H$58,2),VLOOKUP(0,setup!$A$8:$H$58,5),VLOOKUP(N383,setup!$A$8:$H$58,8))</f>
        <v/>
      </c>
    </row>
    <row r="384" spans="1:15" x14ac:dyDescent="0.25">
      <c r="A384" s="8"/>
      <c r="O384" s="7" t="str">
        <f ca="1">getCodigoBackend(N384,A384,VLOOKUP(N384,setup!$A$8:$H$58,2),VLOOKUP(N384,setup!$A$8:$H$58,3),VLOOKUP(N384,setup!$A$8:$H$58,4),VLOOKUP(N384,setup!$A$8:$H$58,5),VLOOKUP(N384,setup!$A$8:$H$58,6),VLOOKUP(N384,setup!$A$8:$H$58,7), VLOOKUP(0,setup!$A$8:$H$58,2),VLOOKUP(0,setup!$A$8:$H$58,5),VLOOKUP(N384,setup!$A$8:$H$58,8))</f>
        <v/>
      </c>
    </row>
    <row r="385" spans="1:15" x14ac:dyDescent="0.25">
      <c r="A385" s="8"/>
      <c r="O385" s="7" t="str">
        <f ca="1">getCodigoBackend(N385,A385,VLOOKUP(N385,setup!$A$8:$H$58,2),VLOOKUP(N385,setup!$A$8:$H$58,3),VLOOKUP(N385,setup!$A$8:$H$58,4),VLOOKUP(N385,setup!$A$8:$H$58,5),VLOOKUP(N385,setup!$A$8:$H$58,6),VLOOKUP(N385,setup!$A$8:$H$58,7), VLOOKUP(0,setup!$A$8:$H$58,2),VLOOKUP(0,setup!$A$8:$H$58,5),VLOOKUP(N385,setup!$A$8:$H$58,8))</f>
        <v/>
      </c>
    </row>
    <row r="386" spans="1:15" x14ac:dyDescent="0.25">
      <c r="A386" s="8"/>
      <c r="O386" s="7" t="str">
        <f ca="1">getCodigoBackend(N386,A386,VLOOKUP(N386,setup!$A$8:$H$58,2),VLOOKUP(N386,setup!$A$8:$H$58,3),VLOOKUP(N386,setup!$A$8:$H$58,4),VLOOKUP(N386,setup!$A$8:$H$58,5),VLOOKUP(N386,setup!$A$8:$H$58,6),VLOOKUP(N386,setup!$A$8:$H$58,7), VLOOKUP(0,setup!$A$8:$H$58,2),VLOOKUP(0,setup!$A$8:$H$58,5),VLOOKUP(N386,setup!$A$8:$H$58,8))</f>
        <v/>
      </c>
    </row>
    <row r="387" spans="1:15" x14ac:dyDescent="0.25">
      <c r="A387" s="8"/>
      <c r="O387" s="7" t="str">
        <f ca="1">getCodigoBackend(N387,A387,VLOOKUP(N387,setup!$A$8:$H$58,2),VLOOKUP(N387,setup!$A$8:$H$58,3),VLOOKUP(N387,setup!$A$8:$H$58,4),VLOOKUP(N387,setup!$A$8:$H$58,5),VLOOKUP(N387,setup!$A$8:$H$58,6),VLOOKUP(N387,setup!$A$8:$H$58,7), VLOOKUP(0,setup!$A$8:$H$58,2),VLOOKUP(0,setup!$A$8:$H$58,5),VLOOKUP(N387,setup!$A$8:$H$58,8))</f>
        <v/>
      </c>
    </row>
    <row r="388" spans="1:15" x14ac:dyDescent="0.25">
      <c r="A388" s="8"/>
      <c r="O388" s="7" t="str">
        <f ca="1">getCodigoBackend(N388,A388,VLOOKUP(N388,setup!$A$8:$H$58,2),VLOOKUP(N388,setup!$A$8:$H$58,3),VLOOKUP(N388,setup!$A$8:$H$58,4),VLOOKUP(N388,setup!$A$8:$H$58,5),VLOOKUP(N388,setup!$A$8:$H$58,6),VLOOKUP(N388,setup!$A$8:$H$58,7), VLOOKUP(0,setup!$A$8:$H$58,2),VLOOKUP(0,setup!$A$8:$H$58,5),VLOOKUP(N388,setup!$A$8:$H$58,8))</f>
        <v/>
      </c>
    </row>
    <row r="389" spans="1:15" x14ac:dyDescent="0.25">
      <c r="A389" s="8"/>
      <c r="O389" s="7" t="str">
        <f ca="1">getCodigoBackend(N389,A389,VLOOKUP(N389,setup!$A$8:$H$58,2),VLOOKUP(N389,setup!$A$8:$H$58,3),VLOOKUP(N389,setup!$A$8:$H$58,4),VLOOKUP(N389,setup!$A$8:$H$58,5),VLOOKUP(N389,setup!$A$8:$H$58,6),VLOOKUP(N389,setup!$A$8:$H$58,7), VLOOKUP(0,setup!$A$8:$H$58,2),VLOOKUP(0,setup!$A$8:$H$58,5),VLOOKUP(N389,setup!$A$8:$H$58,8))</f>
        <v/>
      </c>
    </row>
    <row r="390" spans="1:15" x14ac:dyDescent="0.25">
      <c r="A390" s="8"/>
      <c r="O390" s="7" t="str">
        <f ca="1">getCodigoBackend(N390,A390,VLOOKUP(N390,setup!$A$8:$H$58,2),VLOOKUP(N390,setup!$A$8:$H$58,3),VLOOKUP(N390,setup!$A$8:$H$58,4),VLOOKUP(N390,setup!$A$8:$H$58,5),VLOOKUP(N390,setup!$A$8:$H$58,6),VLOOKUP(N390,setup!$A$8:$H$58,7), VLOOKUP(0,setup!$A$8:$H$58,2),VLOOKUP(0,setup!$A$8:$H$58,5),VLOOKUP(N390,setup!$A$8:$H$58,8))</f>
        <v/>
      </c>
    </row>
    <row r="391" spans="1:15" x14ac:dyDescent="0.25">
      <c r="A391" s="8"/>
      <c r="O391" s="7" t="str">
        <f ca="1">getCodigoBackend(N391,A391,VLOOKUP(N391,setup!$A$8:$H$58,2),VLOOKUP(N391,setup!$A$8:$H$58,3),VLOOKUP(N391,setup!$A$8:$H$58,4),VLOOKUP(N391,setup!$A$8:$H$58,5),VLOOKUP(N391,setup!$A$8:$H$58,6),VLOOKUP(N391,setup!$A$8:$H$58,7), VLOOKUP(0,setup!$A$8:$H$58,2),VLOOKUP(0,setup!$A$8:$H$58,5),VLOOKUP(N391,setup!$A$8:$H$58,8))</f>
        <v/>
      </c>
    </row>
    <row r="392" spans="1:15" x14ac:dyDescent="0.25">
      <c r="A392" s="8"/>
      <c r="O392" s="7" t="str">
        <f ca="1">getCodigoBackend(N392,A392,VLOOKUP(N392,setup!$A$8:$H$58,2),VLOOKUP(N392,setup!$A$8:$H$58,3),VLOOKUP(N392,setup!$A$8:$H$58,4),VLOOKUP(N392,setup!$A$8:$H$58,5),VLOOKUP(N392,setup!$A$8:$H$58,6),VLOOKUP(N392,setup!$A$8:$H$58,7), VLOOKUP(0,setup!$A$8:$H$58,2),VLOOKUP(0,setup!$A$8:$H$58,5),VLOOKUP(N392,setup!$A$8:$H$58,8))</f>
        <v/>
      </c>
    </row>
    <row r="393" spans="1:15" x14ac:dyDescent="0.25">
      <c r="A393" s="8"/>
      <c r="O393" s="7" t="str">
        <f ca="1">getCodigoBackend(N393,A393,VLOOKUP(N393,setup!$A$8:$H$58,2),VLOOKUP(N393,setup!$A$8:$H$58,3),VLOOKUP(N393,setup!$A$8:$H$58,4),VLOOKUP(N393,setup!$A$8:$H$58,5),VLOOKUP(N393,setup!$A$8:$H$58,6),VLOOKUP(N393,setup!$A$8:$H$58,7), VLOOKUP(0,setup!$A$8:$H$58,2),VLOOKUP(0,setup!$A$8:$H$58,5),VLOOKUP(N393,setup!$A$8:$H$58,8))</f>
        <v/>
      </c>
    </row>
    <row r="394" spans="1:15" x14ac:dyDescent="0.25">
      <c r="A394" s="8"/>
      <c r="O394" s="7" t="str">
        <f ca="1">getCodigoBackend(N394,A394,VLOOKUP(N394,setup!$A$8:$H$58,2),VLOOKUP(N394,setup!$A$8:$H$58,3),VLOOKUP(N394,setup!$A$8:$H$58,4),VLOOKUP(N394,setup!$A$8:$H$58,5),VLOOKUP(N394,setup!$A$8:$H$58,6),VLOOKUP(N394,setup!$A$8:$H$58,7), VLOOKUP(0,setup!$A$8:$H$58,2),VLOOKUP(0,setup!$A$8:$H$58,5),VLOOKUP(N394,setup!$A$8:$H$58,8))</f>
        <v/>
      </c>
    </row>
    <row r="395" spans="1:15" x14ac:dyDescent="0.25">
      <c r="A395" s="8"/>
      <c r="O395" s="7" t="str">
        <f ca="1">getCodigoBackend(N395,A395,VLOOKUP(N395,setup!$A$8:$H$58,2),VLOOKUP(N395,setup!$A$8:$H$58,3),VLOOKUP(N395,setup!$A$8:$H$58,4),VLOOKUP(N395,setup!$A$8:$H$58,5),VLOOKUP(N395,setup!$A$8:$H$58,6),VLOOKUP(N395,setup!$A$8:$H$58,7), VLOOKUP(0,setup!$A$8:$H$58,2),VLOOKUP(0,setup!$A$8:$H$58,5),VLOOKUP(N395,setup!$A$8:$H$58,8))</f>
        <v/>
      </c>
    </row>
    <row r="396" spans="1:15" x14ac:dyDescent="0.25">
      <c r="A396" s="8"/>
      <c r="O396" s="7" t="str">
        <f ca="1">getCodigoBackend(N396,A396,VLOOKUP(N396,setup!$A$8:$H$58,2),VLOOKUP(N396,setup!$A$8:$H$58,3),VLOOKUP(N396,setup!$A$8:$H$58,4),VLOOKUP(N396,setup!$A$8:$H$58,5),VLOOKUP(N396,setup!$A$8:$H$58,6),VLOOKUP(N396,setup!$A$8:$H$58,7), VLOOKUP(0,setup!$A$8:$H$58,2),VLOOKUP(0,setup!$A$8:$H$58,5),VLOOKUP(N396,setup!$A$8:$H$58,8))</f>
        <v/>
      </c>
    </row>
    <row r="397" spans="1:15" x14ac:dyDescent="0.25">
      <c r="A397" s="8"/>
      <c r="O397" s="7" t="str">
        <f ca="1">getCodigoBackend(N397,A397,VLOOKUP(N397,setup!$A$8:$H$58,2),VLOOKUP(N397,setup!$A$8:$H$58,3),VLOOKUP(N397,setup!$A$8:$H$58,4),VLOOKUP(N397,setup!$A$8:$H$58,5),VLOOKUP(N397,setup!$A$8:$H$58,6),VLOOKUP(N397,setup!$A$8:$H$58,7), VLOOKUP(0,setup!$A$8:$H$58,2),VLOOKUP(0,setup!$A$8:$H$58,5),VLOOKUP(N397,setup!$A$8:$H$58,8))</f>
        <v/>
      </c>
    </row>
    <row r="398" spans="1:15" x14ac:dyDescent="0.25">
      <c r="A398" s="8"/>
      <c r="O398" s="7" t="str">
        <f ca="1">getCodigoBackend(N398,A398,VLOOKUP(N398,setup!$A$8:$H$58,2),VLOOKUP(N398,setup!$A$8:$H$58,3),VLOOKUP(N398,setup!$A$8:$H$58,4),VLOOKUP(N398,setup!$A$8:$H$58,5),VLOOKUP(N398,setup!$A$8:$H$58,6),VLOOKUP(N398,setup!$A$8:$H$58,7), VLOOKUP(0,setup!$A$8:$H$58,2),VLOOKUP(0,setup!$A$8:$H$58,5),VLOOKUP(N398,setup!$A$8:$H$58,8))</f>
        <v/>
      </c>
    </row>
    <row r="399" spans="1:15" x14ac:dyDescent="0.25">
      <c r="A399" s="8"/>
      <c r="O399" s="7" t="str">
        <f ca="1">getCodigoBackend(N399,A399,VLOOKUP(N399,setup!$A$8:$H$58,2),VLOOKUP(N399,setup!$A$8:$H$58,3),VLOOKUP(N399,setup!$A$8:$H$58,4),VLOOKUP(N399,setup!$A$8:$H$58,5),VLOOKUP(N399,setup!$A$8:$H$58,6),VLOOKUP(N399,setup!$A$8:$H$58,7), VLOOKUP(0,setup!$A$8:$H$58,2),VLOOKUP(0,setup!$A$8:$H$58,5),VLOOKUP(N399,setup!$A$8:$H$58,8))</f>
        <v/>
      </c>
    </row>
    <row r="400" spans="1:15" x14ac:dyDescent="0.25">
      <c r="A400" s="8"/>
      <c r="O400" s="7" t="str">
        <f ca="1">getCodigoBackend(N400,A400,VLOOKUP(N400,setup!$A$8:$H$58,2),VLOOKUP(N400,setup!$A$8:$H$58,3),VLOOKUP(N400,setup!$A$8:$H$58,4),VLOOKUP(N400,setup!$A$8:$H$58,5),VLOOKUP(N400,setup!$A$8:$H$58,6),VLOOKUP(N400,setup!$A$8:$H$58,7), VLOOKUP(0,setup!$A$8:$H$58,2),VLOOKUP(0,setup!$A$8:$H$58,5),VLOOKUP(N400,setup!$A$8:$H$58,8))</f>
        <v/>
      </c>
    </row>
    <row r="401" spans="1:15" x14ac:dyDescent="0.25">
      <c r="A401" s="8"/>
      <c r="O401" s="7" t="str">
        <f ca="1">getCodigoBackend(N401,A401,VLOOKUP(N401,setup!$A$8:$H$58,2),VLOOKUP(N401,setup!$A$8:$H$58,3),VLOOKUP(N401,setup!$A$8:$H$58,4),VLOOKUP(N401,setup!$A$8:$H$58,5),VLOOKUP(N401,setup!$A$8:$H$58,6),VLOOKUP(N401,setup!$A$8:$H$58,7), VLOOKUP(0,setup!$A$8:$H$58,2),VLOOKUP(0,setup!$A$8:$H$58,5),VLOOKUP(N401,setup!$A$8:$H$58,8))</f>
        <v/>
      </c>
    </row>
    <row r="402" spans="1:15" x14ac:dyDescent="0.25">
      <c r="A402" s="8"/>
      <c r="O402" s="7" t="str">
        <f ca="1">getCodigoBackend(N402,A402,VLOOKUP(N402,setup!$A$8:$H$58,2),VLOOKUP(N402,setup!$A$8:$H$58,3),VLOOKUP(N402,setup!$A$8:$H$58,4),VLOOKUP(N402,setup!$A$8:$H$58,5),VLOOKUP(N402,setup!$A$8:$H$58,6),VLOOKUP(N402,setup!$A$8:$H$58,7), VLOOKUP(0,setup!$A$8:$H$58,2),VLOOKUP(0,setup!$A$8:$H$58,5),VLOOKUP(N402,setup!$A$8:$H$58,8))</f>
        <v/>
      </c>
    </row>
    <row r="403" spans="1:15" x14ac:dyDescent="0.25">
      <c r="A403" s="8"/>
      <c r="O403" s="7" t="str">
        <f ca="1">getCodigoBackend(N403,A403,VLOOKUP(N403,setup!$A$8:$H$58,2),VLOOKUP(N403,setup!$A$8:$H$58,3),VLOOKUP(N403,setup!$A$8:$H$58,4),VLOOKUP(N403,setup!$A$8:$H$58,5),VLOOKUP(N403,setup!$A$8:$H$58,6),VLOOKUP(N403,setup!$A$8:$H$58,7), VLOOKUP(0,setup!$A$8:$H$58,2),VLOOKUP(0,setup!$A$8:$H$58,5),VLOOKUP(N403,setup!$A$8:$H$58,8))</f>
        <v/>
      </c>
    </row>
    <row r="404" spans="1:15" x14ac:dyDescent="0.25">
      <c r="A404" s="8"/>
      <c r="O404" s="7" t="str">
        <f ca="1">getCodigoBackend(N404,A404,VLOOKUP(N404,setup!$A$8:$H$58,2),VLOOKUP(N404,setup!$A$8:$H$58,3),VLOOKUP(N404,setup!$A$8:$H$58,4),VLOOKUP(N404,setup!$A$8:$H$58,5),VLOOKUP(N404,setup!$A$8:$H$58,6),VLOOKUP(N404,setup!$A$8:$H$58,7), VLOOKUP(0,setup!$A$8:$H$58,2),VLOOKUP(0,setup!$A$8:$H$58,5),VLOOKUP(N404,setup!$A$8:$H$58,8))</f>
        <v/>
      </c>
    </row>
    <row r="405" spans="1:15" x14ac:dyDescent="0.25">
      <c r="A405" s="8"/>
      <c r="O405" s="7" t="str">
        <f ca="1">getCodigoBackend(N405,A405,VLOOKUP(N405,setup!$A$8:$H$58,2),VLOOKUP(N405,setup!$A$8:$H$58,3),VLOOKUP(N405,setup!$A$8:$H$58,4),VLOOKUP(N405,setup!$A$8:$H$58,5),VLOOKUP(N405,setup!$A$8:$H$58,6),VLOOKUP(N405,setup!$A$8:$H$58,7), VLOOKUP(0,setup!$A$8:$H$58,2),VLOOKUP(0,setup!$A$8:$H$58,5),VLOOKUP(N405,setup!$A$8:$H$58,8))</f>
        <v/>
      </c>
    </row>
    <row r="406" spans="1:15" x14ac:dyDescent="0.25">
      <c r="A406" s="8"/>
      <c r="O406" s="7" t="str">
        <f ca="1">getCodigoBackend(N406,A406,VLOOKUP(N406,setup!$A$8:$H$58,2),VLOOKUP(N406,setup!$A$8:$H$58,3),VLOOKUP(N406,setup!$A$8:$H$58,4),VLOOKUP(N406,setup!$A$8:$H$58,5),VLOOKUP(N406,setup!$A$8:$H$58,6),VLOOKUP(N406,setup!$A$8:$H$58,7), VLOOKUP(0,setup!$A$8:$H$58,2),VLOOKUP(0,setup!$A$8:$H$58,5),VLOOKUP(N406,setup!$A$8:$H$58,8))</f>
        <v/>
      </c>
    </row>
    <row r="407" spans="1:15" x14ac:dyDescent="0.25">
      <c r="A407" s="8"/>
      <c r="O407" s="7" t="str">
        <f ca="1">getCodigoBackend(N407,A407,VLOOKUP(N407,setup!$A$8:$H$58,2),VLOOKUP(N407,setup!$A$8:$H$58,3),VLOOKUP(N407,setup!$A$8:$H$58,4),VLOOKUP(N407,setup!$A$8:$H$58,5),VLOOKUP(N407,setup!$A$8:$H$58,6),VLOOKUP(N407,setup!$A$8:$H$58,7), VLOOKUP(0,setup!$A$8:$H$58,2),VLOOKUP(0,setup!$A$8:$H$58,5),VLOOKUP(N407,setup!$A$8:$H$58,8))</f>
        <v/>
      </c>
    </row>
    <row r="408" spans="1:15" x14ac:dyDescent="0.25">
      <c r="A408" s="8"/>
      <c r="O408" s="7" t="str">
        <f ca="1">getCodigoBackend(N408,A408,VLOOKUP(N408,setup!$A$8:$H$58,2),VLOOKUP(N408,setup!$A$8:$H$58,3),VLOOKUP(N408,setup!$A$8:$H$58,4),VLOOKUP(N408,setup!$A$8:$H$58,5),VLOOKUP(N408,setup!$A$8:$H$58,6),VLOOKUP(N408,setup!$A$8:$H$58,7), VLOOKUP(0,setup!$A$8:$H$58,2),VLOOKUP(0,setup!$A$8:$H$58,5),VLOOKUP(N408,setup!$A$8:$H$58,8))</f>
        <v/>
      </c>
    </row>
    <row r="409" spans="1:15" x14ac:dyDescent="0.25">
      <c r="A409" s="8"/>
      <c r="O409" s="7" t="str">
        <f ca="1">getCodigoBackend(N409,A409,VLOOKUP(N409,setup!$A$8:$H$58,2),VLOOKUP(N409,setup!$A$8:$H$58,3),VLOOKUP(N409,setup!$A$8:$H$58,4),VLOOKUP(N409,setup!$A$8:$H$58,5),VLOOKUP(N409,setup!$A$8:$H$58,6),VLOOKUP(N409,setup!$A$8:$H$58,7), VLOOKUP(0,setup!$A$8:$H$58,2),VLOOKUP(0,setup!$A$8:$H$58,5),VLOOKUP(N409,setup!$A$8:$H$58,8))</f>
        <v/>
      </c>
    </row>
    <row r="410" spans="1:15" x14ac:dyDescent="0.25">
      <c r="A410" s="8"/>
      <c r="O410" s="7" t="str">
        <f ca="1">getCodigoBackend(N410,A410,VLOOKUP(N410,setup!$A$8:$H$58,2),VLOOKUP(N410,setup!$A$8:$H$58,3),VLOOKUP(N410,setup!$A$8:$H$58,4),VLOOKUP(N410,setup!$A$8:$H$58,5),VLOOKUP(N410,setup!$A$8:$H$58,6),VLOOKUP(N410,setup!$A$8:$H$58,7), VLOOKUP(0,setup!$A$8:$H$58,2),VLOOKUP(0,setup!$A$8:$H$58,5),VLOOKUP(N410,setup!$A$8:$H$58,8))</f>
        <v/>
      </c>
    </row>
    <row r="411" spans="1:15" x14ac:dyDescent="0.25">
      <c r="A411" s="1"/>
      <c r="O411" s="7" t="str">
        <f ca="1">getCodigoBackend(N411,A411,VLOOKUP(N411,setup!$A$8:$H$58,2),VLOOKUP(N411,setup!$A$8:$H$58,3),VLOOKUP(N411,setup!$A$8:$H$58,4),VLOOKUP(N411,setup!$A$8:$H$58,5),VLOOKUP(N411,setup!$A$8:$H$58,6),VLOOKUP(N411,setup!$A$8:$H$58,7), VLOOKUP(0,setup!$A$8:$H$58,2),VLOOKUP(0,setup!$A$8:$H$58,5),VLOOKUP(N411,setup!$A$8:$H$58,8))</f>
        <v/>
      </c>
    </row>
    <row r="412" spans="1:15" x14ac:dyDescent="0.25">
      <c r="A412" s="1"/>
      <c r="O412" s="7" t="str">
        <f ca="1">getCodigoBackend(N412,A412,VLOOKUP(N412,setup!$A$8:$H$58,2),VLOOKUP(N412,setup!$A$8:$H$58,3),VLOOKUP(N412,setup!$A$8:$H$58,4),VLOOKUP(N412,setup!$A$8:$H$58,5),VLOOKUP(N412,setup!$A$8:$H$58,6),VLOOKUP(N412,setup!$A$8:$H$58,7), VLOOKUP(0,setup!$A$8:$H$58,2),VLOOKUP(0,setup!$A$8:$H$58,5),VLOOKUP(N412,setup!$A$8:$H$58,8))</f>
        <v/>
      </c>
    </row>
    <row r="413" spans="1:15" x14ac:dyDescent="0.25">
      <c r="A413" s="1"/>
      <c r="O413" s="7" t="str">
        <f ca="1">getCodigoBackend(N413,A413,VLOOKUP(N413,setup!$A$8:$H$58,2),VLOOKUP(N413,setup!$A$8:$H$58,3),VLOOKUP(N413,setup!$A$8:$H$58,4),VLOOKUP(N413,setup!$A$8:$H$58,5),VLOOKUP(N413,setup!$A$8:$H$58,6),VLOOKUP(N413,setup!$A$8:$H$58,7), VLOOKUP(0,setup!$A$8:$H$58,2),VLOOKUP(0,setup!$A$8:$H$58,5),VLOOKUP(N413,setup!$A$8:$H$58,8))</f>
        <v/>
      </c>
    </row>
    <row r="414" spans="1:15" x14ac:dyDescent="0.25">
      <c r="A414" s="1"/>
      <c r="O414" s="7" t="str">
        <f ca="1">getCodigoBackend(N414,A414,VLOOKUP(N414,setup!$A$8:$H$58,2),VLOOKUP(N414,setup!$A$8:$H$58,3),VLOOKUP(N414,setup!$A$8:$H$58,4),VLOOKUP(N414,setup!$A$8:$H$58,5),VLOOKUP(N414,setup!$A$8:$H$58,6),VLOOKUP(N414,setup!$A$8:$H$58,7), VLOOKUP(0,setup!$A$8:$H$58,2),VLOOKUP(0,setup!$A$8:$H$58,5),VLOOKUP(N414,setup!$A$8:$H$58,8))</f>
        <v/>
      </c>
    </row>
    <row r="415" spans="1:15" x14ac:dyDescent="0.25">
      <c r="A415" s="6"/>
      <c r="O415" s="7" t="str">
        <f ca="1">getCodigoBackend(N415,A415,VLOOKUP(N415,setup!$A$8:$H$58,2),VLOOKUP(N415,setup!$A$8:$H$58,3),VLOOKUP(N415,setup!$A$8:$H$58,4),VLOOKUP(N415,setup!$A$8:$H$58,5),VLOOKUP(N415,setup!$A$8:$H$58,6),VLOOKUP(N415,setup!$A$8:$H$58,7), VLOOKUP(0,setup!$A$8:$H$58,2),VLOOKUP(0,setup!$A$8:$H$58,5),VLOOKUP(N415,setup!$A$8:$H$58,8))</f>
        <v/>
      </c>
    </row>
    <row r="416" spans="1:15" x14ac:dyDescent="0.25">
      <c r="A416" s="6"/>
      <c r="O416" s="7" t="str">
        <f ca="1">getCodigoBackend(N416,A416,VLOOKUP(N416,setup!$A$8:$H$58,2),VLOOKUP(N416,setup!$A$8:$H$58,3),VLOOKUP(N416,setup!$A$8:$H$58,4),VLOOKUP(N416,setup!$A$8:$H$58,5),VLOOKUP(N416,setup!$A$8:$H$58,6),VLOOKUP(N416,setup!$A$8:$H$58,7), VLOOKUP(0,setup!$A$8:$H$58,2),VLOOKUP(0,setup!$A$8:$H$58,5),VLOOKUP(N416,setup!$A$8:$H$58,8))</f>
        <v/>
      </c>
    </row>
    <row r="417" spans="1:15" x14ac:dyDescent="0.25">
      <c r="A417" s="3"/>
      <c r="O417" s="7" t="str">
        <f ca="1">getCodigoBackend(N417,A417,VLOOKUP(N417,setup!$A$8:$H$58,2),VLOOKUP(N417,setup!$A$8:$H$58,3),VLOOKUP(N417,setup!$A$8:$H$58,4),VLOOKUP(N417,setup!$A$8:$H$58,5),VLOOKUP(N417,setup!$A$8:$H$58,6),VLOOKUP(N417,setup!$A$8:$H$58,7), VLOOKUP(0,setup!$A$8:$H$58,2),VLOOKUP(0,setup!$A$8:$H$58,5),VLOOKUP(N417,setup!$A$8:$H$58,8))</f>
        <v/>
      </c>
    </row>
    <row r="418" spans="1:15" x14ac:dyDescent="0.25">
      <c r="A418" s="3"/>
      <c r="O418" s="7" t="str">
        <f ca="1">getCodigoBackend(N418,A418,VLOOKUP(N418,setup!$A$8:$H$58,2),VLOOKUP(N418,setup!$A$8:$H$58,3),VLOOKUP(N418,setup!$A$8:$H$58,4),VLOOKUP(N418,setup!$A$8:$H$58,5),VLOOKUP(N418,setup!$A$8:$H$58,6),VLOOKUP(N418,setup!$A$8:$H$58,7), VLOOKUP(0,setup!$A$8:$H$58,2),VLOOKUP(0,setup!$A$8:$H$58,5),VLOOKUP(N418,setup!$A$8:$H$58,8))</f>
        <v/>
      </c>
    </row>
    <row r="419" spans="1:15" x14ac:dyDescent="0.25">
      <c r="A419" s="6"/>
      <c r="O419" s="7" t="str">
        <f ca="1">getCodigoBackend(N419,A419,VLOOKUP(N419,setup!$A$8:$H$58,2),VLOOKUP(N419,setup!$A$8:$H$58,3),VLOOKUP(N419,setup!$A$8:$H$58,4),VLOOKUP(N419,setup!$A$8:$H$58,5),VLOOKUP(N419,setup!$A$8:$H$58,6),VLOOKUP(N419,setup!$A$8:$H$58,7), VLOOKUP(0,setup!$A$8:$H$58,2),VLOOKUP(0,setup!$A$8:$H$58,5),VLOOKUP(N419,setup!$A$8:$H$58,8))</f>
        <v/>
      </c>
    </row>
    <row r="420" spans="1:15" x14ac:dyDescent="0.25">
      <c r="A420" s="2"/>
      <c r="O420" s="7" t="str">
        <f ca="1">getCodigoBackend(N420,A420,VLOOKUP(N420,setup!$A$8:$H$58,2),VLOOKUP(N420,setup!$A$8:$H$58,3),VLOOKUP(N420,setup!$A$8:$H$58,4),VLOOKUP(N420,setup!$A$8:$H$58,5),VLOOKUP(N420,setup!$A$8:$H$58,6),VLOOKUP(N420,setup!$A$8:$H$58,7), VLOOKUP(0,setup!$A$8:$H$58,2),VLOOKUP(0,setup!$A$8:$H$58,5),VLOOKUP(N420,setup!$A$8:$H$58,8))</f>
        <v/>
      </c>
    </row>
    <row r="421" spans="1:15" x14ac:dyDescent="0.25">
      <c r="O421" t="str">
        <f>SUBSTITUTE(SUBSTITUTE(SUBSTITUTE(SUBSTITUTE(A421,"${dto}",setup!$C$3),"${pk}",setup!$E$8),"${tabela}",setup!$C$2),CONCATENATE("${",N421,"}"),VLOOKUP(N421,setup!$A$8:$E$58,5))</f>
        <v/>
      </c>
    </row>
    <row r="422" spans="1:15" x14ac:dyDescent="0.25">
      <c r="O422" t="str">
        <f>SUBSTITUTE(SUBSTITUTE(SUBSTITUTE(SUBSTITUTE(A422,"${dto}",setup!$C$3),"${pk}",setup!$E$8),"${tabela}",setup!$C$2),CONCATENATE("${",N422,"}"),VLOOKUP(N422,setup!$A$8:$E$58,5))</f>
        <v/>
      </c>
    </row>
    <row r="423" spans="1:15" x14ac:dyDescent="0.25">
      <c r="O423" t="str">
        <f>SUBSTITUTE(SUBSTITUTE(SUBSTITUTE(SUBSTITUTE(A423,"${dto}",setup!$C$3),"${pk}",setup!$E$8),"${tabela}",setup!$C$2),CONCATENATE("${",N423,"}"),VLOOKUP(N423,setup!$A$8:$E$58,5))</f>
        <v/>
      </c>
    </row>
    <row r="424" spans="1:15" x14ac:dyDescent="0.25">
      <c r="O424" t="str">
        <f>SUBSTITUTE(SUBSTITUTE(SUBSTITUTE(SUBSTITUTE(A424,"${dto}",setup!$C$3),"${pk}",setup!$E$8),"${tabela}",setup!$C$2),CONCATENATE("${",N424,"}"),VLOOKUP(N424,setup!$A$8:$E$58,5))</f>
        <v/>
      </c>
    </row>
    <row r="425" spans="1:15" x14ac:dyDescent="0.25">
      <c r="O425" t="str">
        <f>SUBSTITUTE(SUBSTITUTE(SUBSTITUTE(SUBSTITUTE(A425,"${dto}",setup!$C$3),"${pk}",setup!$E$8),"${tabela}",setup!$C$2),CONCATENATE("${",N425,"}"),VLOOKUP(N425,setup!$A$8:$E$58,5))</f>
        <v/>
      </c>
    </row>
    <row r="426" spans="1:15" x14ac:dyDescent="0.25">
      <c r="O426" t="str">
        <f>SUBSTITUTE(SUBSTITUTE(SUBSTITUTE(SUBSTITUTE(A426,"${dto}",setup!$C$3),"${pk}",setup!$E$8),"${tabela}",setup!$C$2),CONCATENATE("${",N426,"}"),VLOOKUP(N426,setup!$A$8:$E$58,5))</f>
        <v/>
      </c>
    </row>
    <row r="427" spans="1:15" x14ac:dyDescent="0.25">
      <c r="O427" t="str">
        <f>SUBSTITUTE(SUBSTITUTE(SUBSTITUTE(SUBSTITUTE(A427,"${dto}",setup!$C$3),"${pk}",setup!$E$8),"${tabela}",setup!$C$2),CONCATENATE("${",N427,"}"),VLOOKUP(N427,setup!$A$8:$E$58,5))</f>
        <v/>
      </c>
    </row>
    <row r="428" spans="1:15" x14ac:dyDescent="0.25">
      <c r="O428" t="str">
        <f>SUBSTITUTE(SUBSTITUTE(SUBSTITUTE(SUBSTITUTE(A428,"${dto}",setup!$C$3),"${pk}",setup!$E$8),"${tabela}",setup!$C$2),CONCATENATE("${",N428,"}"),VLOOKUP(N428,setup!$A$8:$E$58,5))</f>
        <v/>
      </c>
    </row>
    <row r="429" spans="1:15" x14ac:dyDescent="0.25">
      <c r="O429" t="str">
        <f>SUBSTITUTE(SUBSTITUTE(SUBSTITUTE(SUBSTITUTE(A429,"${dto}",setup!$C$3),"${pk}",setup!$E$8),"${tabela}",setup!$C$2),CONCATENATE("${",N429,"}"),VLOOKUP(N429,setup!$A$8:$E$58,5))</f>
        <v/>
      </c>
    </row>
    <row r="430" spans="1:15" x14ac:dyDescent="0.25">
      <c r="O430" t="str">
        <f>SUBSTITUTE(SUBSTITUTE(SUBSTITUTE(SUBSTITUTE(A430,"${dto}",setup!$C$3),"${pk}",setup!$E$8),"${tabela}",setup!$C$2),CONCATENATE("${",N430,"}"),VLOOKUP(N430,setup!$A$8:$E$58,5))</f>
        <v/>
      </c>
    </row>
    <row r="431" spans="1:15" x14ac:dyDescent="0.25">
      <c r="O431" t="str">
        <f>SUBSTITUTE(SUBSTITUTE(SUBSTITUTE(SUBSTITUTE(A431,"${dto}",setup!$C$3),"${pk}",setup!$E$8),"${tabela}",setup!$C$2),CONCATENATE("${",N431,"}"),VLOOKUP(N431,setup!$A$8:$E$58,5))</f>
        <v/>
      </c>
    </row>
  </sheetData>
  <pageMargins left="0.7" right="0.7" top="0.75" bottom="0.75" header="0.3" footer="0.3"/>
  <pageSetup paperSize="9"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73A3E7-B6A9-48A8-BE10-C54E85020B92}">
  <sheetPr codeName="Sheet15"/>
  <dimension ref="A1:O409"/>
  <sheetViews>
    <sheetView tabSelected="1" topLeftCell="A193" workbookViewId="0">
      <selection activeCell="A6" sqref="A6"/>
    </sheetView>
  </sheetViews>
  <sheetFormatPr defaultRowHeight="15" x14ac:dyDescent="0.25"/>
  <sheetData>
    <row r="1" spans="1:15" x14ac:dyDescent="0.25">
      <c r="O1" s="15"/>
    </row>
    <row r="2" spans="1:15" x14ac:dyDescent="0.25">
      <c r="O2" s="15"/>
    </row>
    <row r="3" spans="1:15" x14ac:dyDescent="0.25">
      <c r="A3" t="s">
        <v>17</v>
      </c>
      <c r="O3" s="15"/>
    </row>
    <row r="4" spans="1:15" x14ac:dyDescent="0.25">
      <c r="O4" s="15"/>
    </row>
    <row r="5" spans="1:15" x14ac:dyDescent="0.25">
      <c r="O5" s="15"/>
    </row>
    <row r="6" spans="1:15" x14ac:dyDescent="0.25">
      <c r="O6" s="15"/>
    </row>
    <row r="7" spans="1:15" x14ac:dyDescent="0.25">
      <c r="O7" s="15" t="str">
        <f ca="1">getCodigoBackend(N7,A7,VLOOKUP(N7,setup!$A$8:$H$58,2),VLOOKUP(N7,setup!$A$8:$H$58,3),VLOOKUP(N7,setup!$A$8:$H$58,4),VLOOKUP(N7,setup!$A$8:$H$58,5),VLOOKUP(N7,setup!$A$8:$H$58,6),VLOOKUP(N7,setup!$A$8:$H$58,7), VLOOKUP(0,setup!$A$8:$H$58,2),VLOOKUP(0,setup!$A$8:$H$58,5),VLOOKUP(N7,setup!$A$8:$H$58,8))</f>
        <v/>
      </c>
    </row>
    <row r="8" spans="1:15" x14ac:dyDescent="0.25">
      <c r="A8" t="s">
        <v>34</v>
      </c>
      <c r="O8" s="15" t="str">
        <f ca="1">getCodigoBackend(N8,A8,VLOOKUP(N8,setup!$A$8:$H$58,2),VLOOKUP(N8,setup!$A$8:$H$58,3),VLOOKUP(N8,setup!$A$8:$H$58,4),VLOOKUP(N8,setup!$A$8:$H$58,5),VLOOKUP(N8,setup!$A$8:$H$58,6),VLOOKUP(N8,setup!$A$8:$H$58,7), VLOOKUP(0,setup!$A$8:$H$58,2),VLOOKUP(0,setup!$A$8:$H$58,5),VLOOKUP(N8,setup!$A$8:$H$58,8))</f>
        <v>import 'package:flutter/material.dart';</v>
      </c>
    </row>
    <row r="9" spans="1:15" x14ac:dyDescent="0.25">
      <c r="A9" t="s">
        <v>54</v>
      </c>
      <c r="O9" s="15" t="str">
        <f ca="1">getCodigoBackend(N9,A9,VLOOKUP(N9,setup!$A$8:$H$58,2),VLOOKUP(N9,setup!$A$8:$H$58,3),VLOOKUP(N9,setup!$A$8:$H$58,4),VLOOKUP(N9,setup!$A$8:$H$58,5),VLOOKUP(N9,setup!$A$8:$H$58,6),VLOOKUP(N9,setup!$A$8:$H$58,7), VLOOKUP(0,setup!$A$8:$H$58,2),VLOOKUP(0,setup!$A$8:$H$58,5),VLOOKUP(N9,setup!$A$8:$H$58,8))</f>
        <v>import 'package:http/http.dart' as http;</v>
      </c>
    </row>
    <row r="10" spans="1:15" x14ac:dyDescent="0.25">
      <c r="A10" t="s">
        <v>55</v>
      </c>
      <c r="O10" s="15" t="str">
        <f ca="1">getCodigoBackend(N10,A10,VLOOKUP(N10,setup!$A$8:$H$58,2),VLOOKUP(N10,setup!$A$8:$H$58,3),VLOOKUP(N10,setup!$A$8:$H$58,4),VLOOKUP(N10,setup!$A$8:$H$58,5),VLOOKUP(N10,setup!$A$8:$H$58,6),VLOOKUP(N10,setup!$A$8:$H$58,7), VLOOKUP(0,setup!$A$8:$H$58,2),VLOOKUP(0,setup!$A$8:$H$58,5),VLOOKUP(N10,setup!$A$8:$H$58,8))</f>
        <v>import 'dart:convert';</v>
      </c>
    </row>
    <row r="11" spans="1:15" x14ac:dyDescent="0.25">
      <c r="A11" s="2" t="s">
        <v>227</v>
      </c>
      <c r="O11" s="15" t="str">
        <f ca="1">getCodigoBackend(N11,A11,VLOOKUP(N11,setup!$A$8:$H$58,2),VLOOKUP(N11,setup!$A$8:$H$58,3),VLOOKUP(N11,setup!$A$8:$H$58,4),VLOOKUP(N11,setup!$A$8:$H$58,5),VLOOKUP(N11,setup!$A$8:$H$58,6),VLOOKUP(N11,setup!$A$8:$H$58,7), VLOOKUP(0,setup!$A$8:$H$58,2),VLOOKUP(0,setup!$A$8:$H$58,5),VLOOKUP(N11,setup!$A$8:$H$58,8))</f>
        <v>import 'package:junta10/br/com/jcv/linker/classes/usuariopublicidade/UsuarioPublicidadeVOPost.dart';</v>
      </c>
    </row>
    <row r="12" spans="1:15" x14ac:dyDescent="0.25">
      <c r="A12" s="4" t="s">
        <v>56</v>
      </c>
      <c r="O12" s="15" t="str">
        <f ca="1">getCodigoBackend(N12,A12,VLOOKUP(N12,setup!$A$8:$H$58,2),VLOOKUP(N12,setup!$A$8:$H$58,3),VLOOKUP(N12,setup!$A$8:$H$58,4),VLOOKUP(N12,setup!$A$8:$H$58,5),VLOOKUP(N12,setup!$A$8:$H$58,6),VLOOKUP(N12,setup!$A$8:$H$58,7), VLOOKUP(0,setup!$A$8:$H$58,2),VLOOKUP(0,setup!$A$8:$H$58,5),VLOOKUP(N12,setup!$A$8:$H$58,8))</f>
        <v>import 'package:junta10/br/com/jcv/linker/classes/storages/cacheSession.dart';</v>
      </c>
    </row>
    <row r="13" spans="1:15" x14ac:dyDescent="0.25">
      <c r="A13" s="5" t="s">
        <v>57</v>
      </c>
      <c r="O13" s="15" t="str">
        <f ca="1">getCodigoBackend(N13,A13,VLOOKUP(N13,setup!$A$8:$H$58,2),VLOOKUP(N13,setup!$A$8:$H$58,3),VLOOKUP(N13,setup!$A$8:$H$58,4),VLOOKUP(N13,setup!$A$8:$H$58,5),VLOOKUP(N13,setup!$A$8:$H$58,6),VLOOKUP(N13,setup!$A$8:$H$58,7), VLOOKUP(0,setup!$A$8:$H$58,2),VLOOKUP(0,setup!$A$8:$H$58,5),VLOOKUP(N13,setup!$A$8:$H$58,8))</f>
        <v>import 'package:junta10/br/com/jcv/linker/classes/ui/common/common-actionbutton.dart';</v>
      </c>
    </row>
    <row r="14" spans="1:15" x14ac:dyDescent="0.25">
      <c r="A14" s="4" t="s">
        <v>58</v>
      </c>
      <c r="O14" s="15" t="str">
        <f ca="1">getCodigoBackend(N14,A14,VLOOKUP(N14,setup!$A$8:$H$58,2),VLOOKUP(N14,setup!$A$8:$H$58,3),VLOOKUP(N14,setup!$A$8:$H$58,4),VLOOKUP(N14,setup!$A$8:$H$58,5),VLOOKUP(N14,setup!$A$8:$H$58,6),VLOOKUP(N14,setup!$A$8:$H$58,7), VLOOKUP(0,setup!$A$8:$H$58,2),VLOOKUP(0,setup!$A$8:$H$58,5),VLOOKUP(N14,setup!$A$8:$H$58,8))</f>
        <v>import 'package:junta10/br/com/jcv/linker/classes/ui/common/common-showdialog.dart';</v>
      </c>
    </row>
    <row r="15" spans="1:15" x14ac:dyDescent="0.25">
      <c r="A15" s="4"/>
      <c r="O15" s="15" t="str">
        <f ca="1">getCodigoBackend(N15,A15,VLOOKUP(N15,setup!$A$8:$H$58,2),VLOOKUP(N15,setup!$A$8:$H$58,3),VLOOKUP(N15,setup!$A$8:$H$58,4),VLOOKUP(N15,setup!$A$8:$H$58,5),VLOOKUP(N15,setup!$A$8:$H$58,6),VLOOKUP(N15,setup!$A$8:$H$58,7), VLOOKUP(0,setup!$A$8:$H$58,2),VLOOKUP(0,setup!$A$8:$H$58,5),VLOOKUP(N15,setup!$A$8:$H$58,8))</f>
        <v/>
      </c>
    </row>
    <row r="16" spans="1:15" x14ac:dyDescent="0.25">
      <c r="A16" s="4" t="s">
        <v>106</v>
      </c>
      <c r="O16" s="15" t="str">
        <f ca="1">getCodigoBackend(N16,A16,VLOOKUP(N16,setup!$A$8:$H$58,2),VLOOKUP(N16,setup!$A$8:$H$58,3),VLOOKUP(N16,setup!$A$8:$H$58,4),VLOOKUP(N16,setup!$A$8:$H$58,5),VLOOKUP(N16,setup!$A$8:$H$58,6),VLOOKUP(N16,setup!$A$8:$H$58,7), VLOOKUP(0,setup!$A$8:$H$58,2),VLOOKUP(0,setup!$A$8:$H$58,5),VLOOKUP(N16,setup!$A$8:$H$58,8))</f>
        <v>Future&lt;UsuarioPublicidadeVOPost&gt; createPost(String url, {Map body}) async {</v>
      </c>
    </row>
    <row r="17" spans="1:15" x14ac:dyDescent="0.25">
      <c r="A17" s="4" t="s">
        <v>59</v>
      </c>
      <c r="O17" s="15" t="str">
        <f ca="1">getCodigoBackend(N17,A17,VLOOKUP(N17,setup!$A$8:$H$58,2),VLOOKUP(N17,setup!$A$8:$H$58,3),VLOOKUP(N17,setup!$A$8:$H$58,4),VLOOKUP(N17,setup!$A$8:$H$58,5),VLOOKUP(N17,setup!$A$8:$H$58,6),VLOOKUP(N17,setup!$A$8:$H$58,7), VLOOKUP(0,setup!$A$8:$H$58,2),VLOOKUP(0,setup!$A$8:$H$58,5),VLOOKUP(N17,setup!$A$8:$H$58,8))</f>
        <v xml:space="preserve">  return http.post(url, body: body).then((http.Response response) {</v>
      </c>
    </row>
    <row r="18" spans="1:15" x14ac:dyDescent="0.25">
      <c r="A18" s="4" t="s">
        <v>60</v>
      </c>
      <c r="O18" s="15" t="str">
        <f ca="1">getCodigoBackend(N18,A18,VLOOKUP(N18,setup!$A$8:$H$58,2),VLOOKUP(N18,setup!$A$8:$H$58,3),VLOOKUP(N18,setup!$A$8:$H$58,4),VLOOKUP(N18,setup!$A$8:$H$58,5),VLOOKUP(N18,setup!$A$8:$H$58,6),VLOOKUP(N18,setup!$A$8:$H$58,7), VLOOKUP(0,setup!$A$8:$H$58,2),VLOOKUP(0,setup!$A$8:$H$58,5),VLOOKUP(N18,setup!$A$8:$H$58,8))</f>
        <v xml:space="preserve">    final int statusCode = response.statusCode;</v>
      </c>
    </row>
    <row r="19" spans="1:15" x14ac:dyDescent="0.25">
      <c r="A19" s="4" t="s">
        <v>61</v>
      </c>
      <c r="O19" s="15" t="str">
        <f ca="1">getCodigoBackend(N19,A19,VLOOKUP(N19,setup!$A$8:$H$58,2),VLOOKUP(N19,setup!$A$8:$H$58,3),VLOOKUP(N19,setup!$A$8:$H$58,4),VLOOKUP(N19,setup!$A$8:$H$58,5),VLOOKUP(N19,setup!$A$8:$H$58,6),VLOOKUP(N19,setup!$A$8:$H$58,7), VLOOKUP(0,setup!$A$8:$H$58,2),VLOOKUP(0,setup!$A$8:$H$58,5),VLOOKUP(N19,setup!$A$8:$H$58,8))</f>
        <v xml:space="preserve"> </v>
      </c>
    </row>
    <row r="20" spans="1:15" x14ac:dyDescent="0.25">
      <c r="A20" s="4" t="s">
        <v>62</v>
      </c>
      <c r="O20" s="15" t="str">
        <f ca="1">getCodigoBackend(N20,A20,VLOOKUP(N20,setup!$A$8:$H$58,2),VLOOKUP(N20,setup!$A$8:$H$58,3),VLOOKUP(N20,setup!$A$8:$H$58,4),VLOOKUP(N20,setup!$A$8:$H$58,5),VLOOKUP(N20,setup!$A$8:$H$58,6),VLOOKUP(N20,setup!$A$8:$H$58,7), VLOOKUP(0,setup!$A$8:$H$58,2),VLOOKUP(0,setup!$A$8:$H$58,5),VLOOKUP(N20,setup!$A$8:$H$58,8))</f>
        <v xml:space="preserve">    if (statusCode &lt; 200 || statusCode &gt; 400 || json == null) {</v>
      </c>
    </row>
    <row r="21" spans="1:15" x14ac:dyDescent="0.25">
      <c r="A21" s="4" t="s">
        <v>63</v>
      </c>
      <c r="O21" s="15" t="str">
        <f ca="1">getCodigoBackend(N21,A21,VLOOKUP(N21,setup!$A$8:$H$58,2),VLOOKUP(N21,setup!$A$8:$H$58,3),VLOOKUP(N21,setup!$A$8:$H$58,4),VLOOKUP(N21,setup!$A$8:$H$58,5),VLOOKUP(N21,setup!$A$8:$H$58,6),VLOOKUP(N21,setup!$A$8:$H$58,7), VLOOKUP(0,setup!$A$8:$H$58,2),VLOOKUP(0,setup!$A$8:$H$58,5),VLOOKUP(N21,setup!$A$8:$H$58,8))</f>
        <v xml:space="preserve">      throw new Exception("Erro ao submeter dados ao servidor.");</v>
      </c>
    </row>
    <row r="22" spans="1:15" x14ac:dyDescent="0.25">
      <c r="A22" s="4" t="s">
        <v>33</v>
      </c>
      <c r="O22" s="15" t="str">
        <f ca="1">getCodigoBackend(N22,A22,VLOOKUP(N22,setup!$A$8:$H$58,2),VLOOKUP(N22,setup!$A$8:$H$58,3),VLOOKUP(N22,setup!$A$8:$H$58,4),VLOOKUP(N22,setup!$A$8:$H$58,5),VLOOKUP(N22,setup!$A$8:$H$58,6),VLOOKUP(N22,setup!$A$8:$H$58,7), VLOOKUP(0,setup!$A$8:$H$58,2),VLOOKUP(0,setup!$A$8:$H$58,5),VLOOKUP(N22,setup!$A$8:$H$58,8))</f>
        <v xml:space="preserve">    }</v>
      </c>
    </row>
    <row r="23" spans="1:15" x14ac:dyDescent="0.25">
      <c r="A23" s="4" t="s">
        <v>107</v>
      </c>
      <c r="O23" s="15" t="str">
        <f ca="1">getCodigoBackend(N23,A23,VLOOKUP(N23,setup!$A$8:$H$58,2),VLOOKUP(N23,setup!$A$8:$H$58,3),VLOOKUP(N23,setup!$A$8:$H$58,4),VLOOKUP(N23,setup!$A$8:$H$58,5),VLOOKUP(N23,setup!$A$8:$H$58,6),VLOOKUP(N23,setup!$A$8:$H$58,7), VLOOKUP(0,setup!$A$8:$H$58,2),VLOOKUP(0,setup!$A$8:$H$58,5),VLOOKUP(N23,setup!$A$8:$H$58,8))</f>
        <v xml:space="preserve">    return UsuarioPublicidadeVOPost.fromJson(json.decode(response.body));</v>
      </c>
    </row>
    <row r="24" spans="1:15" x14ac:dyDescent="0.25">
      <c r="A24" s="4" t="s">
        <v>64</v>
      </c>
      <c r="O24" s="15" t="str">
        <f ca="1">getCodigoBackend(N24,A24,VLOOKUP(N24,setup!$A$8:$H$58,2),VLOOKUP(N24,setup!$A$8:$H$58,3),VLOOKUP(N24,setup!$A$8:$H$58,4),VLOOKUP(N24,setup!$A$8:$H$58,5),VLOOKUP(N24,setup!$A$8:$H$58,6),VLOOKUP(N24,setup!$A$8:$H$58,7), VLOOKUP(0,setup!$A$8:$H$58,2),VLOOKUP(0,setup!$A$8:$H$58,5),VLOOKUP(N24,setup!$A$8:$H$58,8))</f>
        <v xml:space="preserve">  });</v>
      </c>
    </row>
    <row r="25" spans="1:15" x14ac:dyDescent="0.25">
      <c r="A25" s="4" t="s">
        <v>16</v>
      </c>
      <c r="O25" s="15" t="str">
        <f ca="1">getCodigoBackend(N25,A25,VLOOKUP(N25,setup!$A$8:$H$58,2),VLOOKUP(N25,setup!$A$8:$H$58,3),VLOOKUP(N25,setup!$A$8:$H$58,4),VLOOKUP(N25,setup!$A$8:$H$58,5),VLOOKUP(N25,setup!$A$8:$H$58,6),VLOOKUP(N25,setup!$A$8:$H$58,7), VLOOKUP(0,setup!$A$8:$H$58,2),VLOOKUP(0,setup!$A$8:$H$58,5),VLOOKUP(N25,setup!$A$8:$H$58,8))</f>
        <v>}</v>
      </c>
    </row>
    <row r="26" spans="1:15" x14ac:dyDescent="0.25">
      <c r="A26" s="4"/>
      <c r="O26" s="15" t="str">
        <f ca="1">getCodigoBackend(N26,A26,VLOOKUP(N26,setup!$A$8:$H$58,2),VLOOKUP(N26,setup!$A$8:$H$58,3),VLOOKUP(N26,setup!$A$8:$H$58,4),VLOOKUP(N26,setup!$A$8:$H$58,5),VLOOKUP(N26,setup!$A$8:$H$58,6),VLOOKUP(N26,setup!$A$8:$H$58,7), VLOOKUP(0,setup!$A$8:$H$58,2),VLOOKUP(0,setup!$A$8:$H$58,5),VLOOKUP(N26,setup!$A$8:$H$58,8))</f>
        <v/>
      </c>
    </row>
    <row r="27" spans="1:15" x14ac:dyDescent="0.25">
      <c r="A27" s="4" t="s">
        <v>132</v>
      </c>
      <c r="O27" s="15" t="str">
        <f ca="1">getCodigoBackend(N27,A27,VLOOKUP(N27,setup!$A$8:$H$58,2),VLOOKUP(N27,setup!$A$8:$H$58,3),VLOOKUP(N27,setup!$A$8:$H$58,4),VLOOKUP(N27,setup!$A$8:$H$58,5),VLOOKUP(N27,setup!$A$8:$H$58,6),VLOOKUP(N27,setup!$A$8:$H$58,7), VLOOKUP(0,setup!$A$8:$H$58,2),VLOOKUP(0,setup!$A$8:$H$58,5),VLOOKUP(N27,setup!$A$8:$H$58,8))</f>
        <v>class UsuarioPublicidadePageCRUD extends StatefulWidget {</v>
      </c>
    </row>
    <row r="28" spans="1:15" x14ac:dyDescent="0.25">
      <c r="A28" s="4"/>
      <c r="O28" s="15" t="str">
        <f ca="1">getCodigoBackend(N28,A28,VLOOKUP(N28,setup!$A$8:$H$58,2),VLOOKUP(N28,setup!$A$8:$H$58,3),VLOOKUP(N28,setup!$A$8:$H$58,4),VLOOKUP(N28,setup!$A$8:$H$58,5),VLOOKUP(N28,setup!$A$8:$H$58,6),VLOOKUP(N28,setup!$A$8:$H$58,7), VLOOKUP(0,setup!$A$8:$H$58,2),VLOOKUP(0,setup!$A$8:$H$58,5),VLOOKUP(N28,setup!$A$8:$H$58,8))</f>
        <v/>
      </c>
    </row>
    <row r="29" spans="1:15" x14ac:dyDescent="0.25">
      <c r="A29" s="4"/>
      <c r="O29" s="15" t="str">
        <f ca="1">getCodigoBackend(N29,A29,VLOOKUP(N29,setup!$A$8:$H$58,2),VLOOKUP(N29,setup!$A$8:$H$58,3),VLOOKUP(N29,setup!$A$8:$H$58,4),VLOOKUP(N29,setup!$A$8:$H$58,5),VLOOKUP(N29,setup!$A$8:$H$58,6),VLOOKUP(N29,setup!$A$8:$H$58,7), VLOOKUP(0,setup!$A$8:$H$58,2),VLOOKUP(0,setup!$A$8:$H$58,5),VLOOKUP(N29,setup!$A$8:$H$58,8))</f>
        <v/>
      </c>
    </row>
    <row r="30" spans="1:15" x14ac:dyDescent="0.25">
      <c r="A30" s="4" t="s">
        <v>120</v>
      </c>
      <c r="O30" s="15" t="str">
        <f ca="1">getCodigoBackend(N30,A30,VLOOKUP(N30,setup!$A$8:$H$58,2),VLOOKUP(N30,setup!$A$8:$H$58,3),VLOOKUP(N30,setup!$A$8:$H$58,4),VLOOKUP(N30,setup!$A$8:$H$58,5),VLOOKUP(N30,setup!$A$8:$H$58,6),VLOOKUP(N30,setup!$A$8:$H$58,7), VLOOKUP(0,setup!$A$8:$H$58,2),VLOOKUP(0,setup!$A$8:$H$58,5),VLOOKUP(N30,setup!$A$8:$H$58,8))</f>
        <v xml:space="preserve">  UsuarioPublicidadeVOPost usuariopublicidadeVO;</v>
      </c>
    </row>
    <row r="31" spans="1:15" x14ac:dyDescent="0.25">
      <c r="A31" s="4"/>
      <c r="O31" s="15"/>
    </row>
    <row r="32" spans="1:15" x14ac:dyDescent="0.25">
      <c r="A32" s="4" t="s">
        <v>133</v>
      </c>
      <c r="O32" s="15" t="str">
        <f ca="1">getCodigoBackend(N32,A32,VLOOKUP(N32,setup!$A$8:$H$58,2),VLOOKUP(N32,setup!$A$8:$H$58,3),VLOOKUP(N32,setup!$A$8:$H$58,4),VLOOKUP(N32,setup!$A$8:$H$58,5),VLOOKUP(N32,setup!$A$8:$H$58,6),VLOOKUP(N32,setup!$A$8:$H$58,7), VLOOKUP(0,setup!$A$8:$H$58,2),VLOOKUP(0,setup!$A$8:$H$58,5),VLOOKUP(N32,setup!$A$8:$H$58,8))</f>
        <v xml:space="preserve">  UsuarioPublicidadePageCRUD({this.usuariopublicidadeVO});</v>
      </c>
    </row>
    <row r="33" spans="1:15" x14ac:dyDescent="0.25">
      <c r="A33" s="4"/>
      <c r="O33" s="15" t="str">
        <f ca="1">getCodigoBackend(N33,A33,VLOOKUP(N33,setup!$A$8:$H$58,2),VLOOKUP(N33,setup!$A$8:$H$58,3),VLOOKUP(N33,setup!$A$8:$H$58,4),VLOOKUP(N33,setup!$A$8:$H$58,5),VLOOKUP(N33,setup!$A$8:$H$58,6),VLOOKUP(N33,setup!$A$8:$H$58,7), VLOOKUP(0,setup!$A$8:$H$58,2),VLOOKUP(0,setup!$A$8:$H$58,5),VLOOKUP(N33,setup!$A$8:$H$58,8))</f>
        <v/>
      </c>
    </row>
    <row r="34" spans="1:15" x14ac:dyDescent="0.25">
      <c r="A34" s="4" t="s">
        <v>65</v>
      </c>
      <c r="O34" s="15" t="str">
        <f ca="1">getCodigoBackend(N34,A34,VLOOKUP(N34,setup!$A$8:$H$58,2),VLOOKUP(N34,setup!$A$8:$H$58,3),VLOOKUP(N34,setup!$A$8:$H$58,4),VLOOKUP(N34,setup!$A$8:$H$58,5),VLOOKUP(N34,setup!$A$8:$H$58,6),VLOOKUP(N34,setup!$A$8:$H$58,7), VLOOKUP(0,setup!$A$8:$H$58,2),VLOOKUP(0,setup!$A$8:$H$58,5),VLOOKUP(N34,setup!$A$8:$H$58,8))</f>
        <v xml:space="preserve">  @override</v>
      </c>
    </row>
    <row r="35" spans="1:15" x14ac:dyDescent="0.25">
      <c r="A35" s="4" t="s">
        <v>134</v>
      </c>
      <c r="O35" s="15" t="str">
        <f ca="1">getCodigoBackend(N35,A35,VLOOKUP(N35,setup!$A$8:$H$58,2),VLOOKUP(N35,setup!$A$8:$H$58,3),VLOOKUP(N35,setup!$A$8:$H$58,4),VLOOKUP(N35,setup!$A$8:$H$58,5),VLOOKUP(N35,setup!$A$8:$H$58,6),VLOOKUP(N35,setup!$A$8:$H$58,7), VLOOKUP(0,setup!$A$8:$H$58,2),VLOOKUP(0,setup!$A$8:$H$58,5),VLOOKUP(N35,setup!$A$8:$H$58,8))</f>
        <v xml:space="preserve">  _UsuarioPublicidadePageCRUDState createState() =&gt; _UsuarioPublicidadePageCRUDState();</v>
      </c>
    </row>
    <row r="36" spans="1:15" x14ac:dyDescent="0.25">
      <c r="A36" s="4" t="s">
        <v>16</v>
      </c>
      <c r="O36" s="15" t="str">
        <f ca="1">getCodigoBackend(N36,A36,VLOOKUP(N36,setup!$A$8:$H$58,2),VLOOKUP(N36,setup!$A$8:$H$58,3),VLOOKUP(N36,setup!$A$8:$H$58,4),VLOOKUP(N36,setup!$A$8:$H$58,5),VLOOKUP(N36,setup!$A$8:$H$58,6),VLOOKUP(N36,setup!$A$8:$H$58,7), VLOOKUP(0,setup!$A$8:$H$58,2),VLOOKUP(0,setup!$A$8:$H$58,5),VLOOKUP(N36,setup!$A$8:$H$58,8))</f>
        <v>}</v>
      </c>
    </row>
    <row r="37" spans="1:15" x14ac:dyDescent="0.25">
      <c r="A37" s="4"/>
      <c r="O37" s="15" t="str">
        <f ca="1">getCodigoBackend(N37,A37,VLOOKUP(N37,setup!$A$8:$H$58,2),VLOOKUP(N37,setup!$A$8:$H$58,3),VLOOKUP(N37,setup!$A$8:$H$58,4),VLOOKUP(N37,setup!$A$8:$H$58,5),VLOOKUP(N37,setup!$A$8:$H$58,6),VLOOKUP(N37,setup!$A$8:$H$58,7), VLOOKUP(0,setup!$A$8:$H$58,2),VLOOKUP(0,setup!$A$8:$H$58,5),VLOOKUP(N37,setup!$A$8:$H$58,8))</f>
        <v/>
      </c>
    </row>
    <row r="38" spans="1:15" x14ac:dyDescent="0.25">
      <c r="A38" s="4" t="s">
        <v>135</v>
      </c>
      <c r="O38" s="15" t="str">
        <f ca="1">getCodigoBackend(N38,A38,VLOOKUP(N38,setup!$A$8:$H$58,2),VLOOKUP(N38,setup!$A$8:$H$58,3),VLOOKUP(N38,setup!$A$8:$H$58,4),VLOOKUP(N38,setup!$A$8:$H$58,5),VLOOKUP(N38,setup!$A$8:$H$58,6),VLOOKUP(N38,setup!$A$8:$H$58,7), VLOOKUP(0,setup!$A$8:$H$58,2),VLOOKUP(0,setup!$A$8:$H$58,5),VLOOKUP(N38,setup!$A$8:$H$58,8))</f>
        <v>class _UsuarioPublicidadePageCRUDState extends State&lt;UsuarioPublicidadePageCRUD&gt; {</v>
      </c>
    </row>
    <row r="39" spans="1:15" x14ac:dyDescent="0.25">
      <c r="A39" s="4"/>
      <c r="O39" s="15" t="str">
        <f ca="1">getCodigoBackend(N39,A39,VLOOKUP(N39,setup!$A$8:$H$58,2),VLOOKUP(N39,setup!$A$8:$H$58,3),VLOOKUP(N39,setup!$A$8:$H$58,4),VLOOKUP(N39,setup!$A$8:$H$58,5),VLOOKUP(N39,setup!$A$8:$H$58,6),VLOOKUP(N39,setup!$A$8:$H$58,7), VLOOKUP(0,setup!$A$8:$H$58,2),VLOOKUP(0,setup!$A$8:$H$58,5),VLOOKUP(N39,setup!$A$8:$H$58,8))</f>
        <v/>
      </c>
    </row>
    <row r="40" spans="1:15" x14ac:dyDescent="0.25">
      <c r="A40" s="4" t="s">
        <v>66</v>
      </c>
      <c r="O40" s="15" t="str">
        <f ca="1">getCodigoBackend(N40,A40,VLOOKUP(N40,setup!$A$8:$H$58,2),VLOOKUP(N40,setup!$A$8:$H$58,3),VLOOKUP(N40,setup!$A$8:$H$58,4),VLOOKUP(N40,setup!$A$8:$H$58,5),VLOOKUP(N40,setup!$A$8:$H$58,6),VLOOKUP(N40,setup!$A$8:$H$58,7), VLOOKUP(0,setup!$A$8:$H$58,2),VLOOKUP(0,setup!$A$8:$H$58,5),VLOOKUP(N40,setup!$A$8:$H$58,8))</f>
        <v xml:space="preserve">  int _value;</v>
      </c>
    </row>
    <row r="41" spans="1:15" x14ac:dyDescent="0.25">
      <c r="A41" s="4" t="s">
        <v>67</v>
      </c>
      <c r="O41" s="15" t="str">
        <f ca="1">getCodigoBackend(N41,A41,VLOOKUP(N41,setup!$A$8:$H$58,2),VLOOKUP(N41,setup!$A$8:$H$58,3),VLOOKUP(N41,setup!$A$8:$H$58,4),VLOOKUP(N41,setup!$A$8:$H$58,5),VLOOKUP(N41,setup!$A$8:$H$58,6),VLOOKUP(N41,setup!$A$8:$H$58,7), VLOOKUP(0,setup!$A$8:$H$58,2),VLOOKUP(0,setup!$A$8:$H$58,5),VLOOKUP(N41,setup!$A$8:$H$58,8))</f>
        <v xml:space="preserve">  String _token;</v>
      </c>
    </row>
    <row r="42" spans="1:15" x14ac:dyDescent="0.25">
      <c r="A42" s="4" t="s">
        <v>68</v>
      </c>
      <c r="O42" s="15" t="str">
        <f ca="1">getCodigoBackend(N42,A42,VLOOKUP(N42,setup!$A$8:$H$58,2),VLOOKUP(N42,setup!$A$8:$H$58,3),VLOOKUP(N42,setup!$A$8:$H$58,4),VLOOKUP(N42,setup!$A$8:$H$58,5),VLOOKUP(N42,setup!$A$8:$H$58,6),VLOOKUP(N42,setup!$A$8:$H$58,7), VLOOKUP(0,setup!$A$8:$H$58,2),VLOOKUP(0,setup!$A$8:$H$58,5),VLOOKUP(N42,setup!$A$8:$H$58,8))</f>
        <v xml:space="preserve">  String _urlControlador;</v>
      </c>
    </row>
    <row r="43" spans="1:15" x14ac:dyDescent="0.25">
      <c r="A43" s="15" t="s">
        <v>127</v>
      </c>
      <c r="O43" s="15" t="str">
        <f ca="1">getCodigoBackend(N43,A43,VLOOKUP(N43,setup!$A$8:$H$58,2),VLOOKUP(N43,setup!$A$8:$H$58,3),VLOOKUP(N43,setup!$A$8:$H$58,4),VLOOKUP(N43,setup!$A$8:$H$58,5),VLOOKUP(N43,setup!$A$8:$H$58,6),VLOOKUP(N43,setup!$A$8:$H$58,7), VLOOKUP(0,setup!$A$8:$H$58,2),VLOOKUP(0,setup!$A$8:$H$58,5),VLOOKUP(N43,setup!$A$8:$H$58,8))</f>
        <v xml:space="preserve">  bool _iscadastro = true;</v>
      </c>
    </row>
    <row r="44" spans="1:15" x14ac:dyDescent="0.25">
      <c r="A44" s="15"/>
      <c r="O44" s="15" t="str">
        <f ca="1">getCodigoBackend(N44,A44,VLOOKUP(N44,setup!$A$8:$H$58,2),VLOOKUP(N44,setup!$A$8:$H$58,3),VLOOKUP(N44,setup!$A$8:$H$58,4),VLOOKUP(N44,setup!$A$8:$H$58,5),VLOOKUP(N44,setup!$A$8:$H$58,6),VLOOKUP(N44,setup!$A$8:$H$58,7), VLOOKUP(0,setup!$A$8:$H$58,2),VLOOKUP(0,setup!$A$8:$H$58,5),VLOOKUP(N44,setup!$A$8:$H$58,8))</f>
        <v/>
      </c>
    </row>
    <row r="45" spans="1:15" x14ac:dyDescent="0.25">
      <c r="A45" s="6" t="s">
        <v>119</v>
      </c>
      <c r="O45" s="15" t="str">
        <f ca="1">getCodigoBackend(N45,A45,VLOOKUP(N45,setup!$A$8:$H$58,2),VLOOKUP(N45,setup!$A$8:$H$58,3),VLOOKUP(N45,setup!$A$8:$H$58,4),VLOOKUP(N45,setup!$A$8:$H$58,5),VLOOKUP(N45,setup!$A$8:$H$58,6),VLOOKUP(N45,setup!$A$8:$H$58,7), VLOOKUP(0,setup!$A$8:$H$58,2),VLOOKUP(0,setup!$A$8:$H$58,5),VLOOKUP(N45,setup!$A$8:$H$58,8))</f>
        <v xml:space="preserve">    // ============================================================================</v>
      </c>
    </row>
    <row r="46" spans="1:15" x14ac:dyDescent="0.25">
      <c r="A46" s="6" t="s">
        <v>123</v>
      </c>
      <c r="O46" s="15" t="str">
        <f ca="1">getCodigoBackend(N46,A46,VLOOKUP(N46,setup!$A$8:$H$58,2),VLOOKUP(N46,setup!$A$8:$H$58,3),VLOOKUP(N46,setup!$A$8:$H$58,4),VLOOKUP(N46,setup!$A$8:$H$58,5),VLOOKUP(N46,setup!$A$8:$H$58,6),VLOOKUP(N46,setup!$A$8:$H$58,7), VLOOKUP(0,setup!$A$8:$H$58,2),VLOOKUP(0,setup!$A$8:$H$58,5),VLOOKUP(N46,setup!$A$8:$H$58,8))</f>
        <v xml:space="preserve">    // inicializa os controladores de campos com os respectivos atributos</v>
      </c>
    </row>
    <row r="47" spans="1:15" x14ac:dyDescent="0.25">
      <c r="A47" s="6" t="s">
        <v>119</v>
      </c>
      <c r="O47" s="15" t="str">
        <f ca="1">getCodigoBackend(N47,A47,VLOOKUP(N47,setup!$A$8:$H$58,2),VLOOKUP(N47,setup!$A$8:$H$58,3),VLOOKUP(N47,setup!$A$8:$H$58,4),VLOOKUP(N47,setup!$A$8:$H$58,5),VLOOKUP(N47,setup!$A$8:$H$58,6),VLOOKUP(N47,setup!$A$8:$H$58,7), VLOOKUP(0,setup!$A$8:$H$58,2),VLOOKUP(0,setup!$A$8:$H$58,5),VLOOKUP(N47,setup!$A$8:$H$58,8))</f>
        <v xml:space="preserve">    // ============================================================================</v>
      </c>
    </row>
    <row r="48" spans="1:15" x14ac:dyDescent="0.25">
      <c r="A48" s="4" t="s">
        <v>108</v>
      </c>
      <c r="N48">
        <v>0</v>
      </c>
      <c r="O48" s="15" t="str">
        <f ca="1">getCodigoBackend(N48,A48,VLOOKUP(N48,setup!$A$8:$H$58,2),VLOOKUP(N48,setup!$A$8:$H$58,3),VLOOKUP(N48,setup!$A$8:$H$58,4),VLOOKUP(N48,setup!$A$8:$H$58,5),VLOOKUP(N48,setup!$A$8:$H$58,6),VLOOKUP(N48,setup!$A$8:$H$58,7), VLOOKUP(0,setup!$A$8:$H$58,2),VLOOKUP(0,setup!$A$8:$H$58,5),VLOOKUP(N48,setup!$A$8:$H$58,8))</f>
        <v xml:space="preserve">  TextEditingController tecid = new TextEditingController();</v>
      </c>
    </row>
    <row r="49" spans="1:15" x14ac:dyDescent="0.25">
      <c r="A49" s="4" t="s">
        <v>108</v>
      </c>
      <c r="N49">
        <f>N48+1</f>
        <v>1</v>
      </c>
      <c r="O49" s="15" t="str">
        <f ca="1">getCodigoBackend(N49,A49,VLOOKUP(N49,setup!$A$8:$H$58,2),VLOOKUP(N49,setup!$A$8:$H$58,3),VLOOKUP(N49,setup!$A$8:$H$58,4),VLOOKUP(N49,setup!$A$8:$H$58,5),VLOOKUP(N49,setup!$A$8:$H$58,6),VLOOKUP(N49,setup!$A$8:$H$58,7), VLOOKUP(0,setup!$A$8:$H$58,2),VLOOKUP(0,setup!$A$8:$H$58,5),VLOOKUP(N49,setup!$A$8:$H$58,8))</f>
        <v xml:space="preserve">  TextEditingController tecid_usuario = new TextEditingController();</v>
      </c>
    </row>
    <row r="50" spans="1:15" x14ac:dyDescent="0.25">
      <c r="A50" s="4" t="s">
        <v>108</v>
      </c>
      <c r="N50">
        <f t="shared" ref="N50:N70" si="0">N49+1</f>
        <v>2</v>
      </c>
      <c r="O50" s="15" t="str">
        <f ca="1">getCodigoBackend(N50,A50,VLOOKUP(N50,setup!$A$8:$H$58,2),VLOOKUP(N50,setup!$A$8:$H$58,3),VLOOKUP(N50,setup!$A$8:$H$58,4),VLOOKUP(N50,setup!$A$8:$H$58,5),VLOOKUP(N50,setup!$A$8:$H$58,6),VLOOKUP(N50,setup!$A$8:$H$58,7), VLOOKUP(0,setup!$A$8:$H$58,2),VLOOKUP(0,setup!$A$8:$H$58,5),VLOOKUP(N50,setup!$A$8:$H$58,8))</f>
        <v xml:space="preserve">  TextEditingController tectitulo = new TextEditingController();</v>
      </c>
    </row>
    <row r="51" spans="1:15" x14ac:dyDescent="0.25">
      <c r="A51" s="4" t="s">
        <v>108</v>
      </c>
      <c r="N51">
        <f t="shared" si="0"/>
        <v>3</v>
      </c>
      <c r="O51" s="15" t="str">
        <f ca="1">getCodigoBackend(N51,A51,VLOOKUP(N51,setup!$A$8:$H$58,2),VLOOKUP(N51,setup!$A$8:$H$58,3),VLOOKUP(N51,setup!$A$8:$H$58,4),VLOOKUP(N51,setup!$A$8:$H$58,5),VLOOKUP(N51,setup!$A$8:$H$58,6),VLOOKUP(N51,setup!$A$8:$H$58,7), VLOOKUP(0,setup!$A$8:$H$58,2),VLOOKUP(0,setup!$A$8:$H$58,5),VLOOKUP(N51,setup!$A$8:$H$58,8))</f>
        <v xml:space="preserve">  TextEditingController tecdescricao = new TextEditingController();</v>
      </c>
    </row>
    <row r="52" spans="1:15" x14ac:dyDescent="0.25">
      <c r="A52" s="4" t="s">
        <v>108</v>
      </c>
      <c r="N52">
        <f t="shared" si="0"/>
        <v>4</v>
      </c>
      <c r="O52" s="15" t="str">
        <f ca="1">getCodigoBackend(N52,A52,VLOOKUP(N52,setup!$A$8:$H$58,2),VLOOKUP(N52,setup!$A$8:$H$58,3),VLOOKUP(N52,setup!$A$8:$H$58,4),VLOOKUP(N52,setup!$A$8:$H$58,5),VLOOKUP(N52,setup!$A$8:$H$58,6),VLOOKUP(N52,setup!$A$8:$H$58,7), VLOOKUP(0,setup!$A$8:$H$58,2),VLOOKUP(0,setup!$A$8:$H$58,5),VLOOKUP(N52,setup!$A$8:$H$58,8))</f>
        <v xml:space="preserve">  TextEditingController tecdataInicio = new TextEditingController();</v>
      </c>
    </row>
    <row r="53" spans="1:15" x14ac:dyDescent="0.25">
      <c r="A53" s="4" t="s">
        <v>108</v>
      </c>
      <c r="N53">
        <f t="shared" si="0"/>
        <v>5</v>
      </c>
      <c r="O53" s="15" t="str">
        <f ca="1">getCodigoBackend(N53,A53,VLOOKUP(N53,setup!$A$8:$H$58,2),VLOOKUP(N53,setup!$A$8:$H$58,3),VLOOKUP(N53,setup!$A$8:$H$58,4),VLOOKUP(N53,setup!$A$8:$H$58,5),VLOOKUP(N53,setup!$A$8:$H$58,6),VLOOKUP(N53,setup!$A$8:$H$58,7), VLOOKUP(0,setup!$A$8:$H$58,2),VLOOKUP(0,setup!$A$8:$H$58,5),VLOOKUP(N53,setup!$A$8:$H$58,8))</f>
        <v xml:space="preserve">  TextEditingController tecdataTermino = new TextEditingController();</v>
      </c>
    </row>
    <row r="54" spans="1:15" x14ac:dyDescent="0.25">
      <c r="A54" s="4" t="s">
        <v>108</v>
      </c>
      <c r="N54">
        <f t="shared" si="0"/>
        <v>6</v>
      </c>
      <c r="O54" s="15" t="str">
        <f ca="1">getCodigoBackend(N54,A54,VLOOKUP(N54,setup!$A$8:$H$58,2),VLOOKUP(N54,setup!$A$8:$H$58,3),VLOOKUP(N54,setup!$A$8:$H$58,4),VLOOKUP(N54,setup!$A$8:$H$58,5),VLOOKUP(N54,setup!$A$8:$H$58,6),VLOOKUP(N54,setup!$A$8:$H$58,7), VLOOKUP(0,setup!$A$8:$H$58,2),VLOOKUP(0,setup!$A$8:$H$58,5),VLOOKUP(N54,setup!$A$8:$H$58,8))</f>
        <v xml:space="preserve">  TextEditingController tecvlNormal = new TextEditingController();</v>
      </c>
    </row>
    <row r="55" spans="1:15" x14ac:dyDescent="0.25">
      <c r="A55" s="4" t="s">
        <v>108</v>
      </c>
      <c r="N55">
        <f t="shared" si="0"/>
        <v>7</v>
      </c>
      <c r="O55" s="15" t="str">
        <f ca="1">getCodigoBackend(N55,A55,VLOOKUP(N55,setup!$A$8:$H$58,2),VLOOKUP(N55,setup!$A$8:$H$58,3),VLOOKUP(N55,setup!$A$8:$H$58,4),VLOOKUP(N55,setup!$A$8:$H$58,5),VLOOKUP(N55,setup!$A$8:$H$58,6),VLOOKUP(N55,setup!$A$8:$H$58,7), VLOOKUP(0,setup!$A$8:$H$58,2),VLOOKUP(0,setup!$A$8:$H$58,5),VLOOKUP(N55,setup!$A$8:$H$58,8))</f>
        <v xml:space="preserve">  TextEditingController tecvlPromo = new TextEditingController();</v>
      </c>
    </row>
    <row r="56" spans="1:15" x14ac:dyDescent="0.25">
      <c r="A56" s="4" t="s">
        <v>108</v>
      </c>
      <c r="N56">
        <f t="shared" si="0"/>
        <v>8</v>
      </c>
      <c r="O56" s="15" t="str">
        <f ca="1">getCodigoBackend(N56,A56,VLOOKUP(N56,setup!$A$8:$H$58,2),VLOOKUP(N56,setup!$A$8:$H$58,3),VLOOKUP(N56,setup!$A$8:$H$58,4),VLOOKUP(N56,setup!$A$8:$H$58,5),VLOOKUP(N56,setup!$A$8:$H$58,6),VLOOKUP(N56,setup!$A$8:$H$58,7), VLOOKUP(0,setup!$A$8:$H$58,2),VLOOKUP(0,setup!$A$8:$H$58,5),VLOOKUP(N56,setup!$A$8:$H$58,8))</f>
        <v xml:space="preserve">  TextEditingController tecobservacao = new TextEditingController();</v>
      </c>
    </row>
    <row r="57" spans="1:15" x14ac:dyDescent="0.25">
      <c r="A57" s="4" t="s">
        <v>108</v>
      </c>
      <c r="N57">
        <f t="shared" si="0"/>
        <v>9</v>
      </c>
      <c r="O57" s="15" t="str">
        <f ca="1">getCodigoBackend(N57,A57,VLOOKUP(N57,setup!$A$8:$H$58,2),VLOOKUP(N57,setup!$A$8:$H$58,3),VLOOKUP(N57,setup!$A$8:$H$58,4),VLOOKUP(N57,setup!$A$8:$H$58,5),VLOOKUP(N57,setup!$A$8:$H$58,6),VLOOKUP(N57,setup!$A$8:$H$58,7), VLOOKUP(0,setup!$A$8:$H$58,2),VLOOKUP(0,setup!$A$8:$H$58,5),VLOOKUP(N57,setup!$A$8:$H$58,8))</f>
        <v xml:space="preserve">  TextEditingController tecdataRemover = new TextEditingController();</v>
      </c>
    </row>
    <row r="58" spans="1:15" x14ac:dyDescent="0.25">
      <c r="A58" s="4" t="s">
        <v>108</v>
      </c>
      <c r="N58">
        <f t="shared" si="0"/>
        <v>10</v>
      </c>
      <c r="O58" s="15" t="e">
        <f>getCodigoBackend(N58,A58,VLOOKUP(N58,setup!$A$8:$H$58,2),VLOOKUP(N58,setup!$A$8:$H$58,3),VLOOKUP(N58,setup!$A$8:$H$58,4),VLOOKUP(N58,setup!$A$8:$H$58,5),VLOOKUP(N58,setup!$A$8:$H$58,6),VLOOKUP(N58,setup!$A$8:$H$58,7), VLOOKUP(0,setup!$A$8:$H$58,2),VLOOKUP(0,setup!$A$8:$H$58,5),VLOOKUP(N58,setup!$A$8:$H$58,8))</f>
        <v>#VALUE!</v>
      </c>
    </row>
    <row r="59" spans="1:15" x14ac:dyDescent="0.25">
      <c r="A59" s="4" t="s">
        <v>108</v>
      </c>
      <c r="N59">
        <f t="shared" si="0"/>
        <v>11</v>
      </c>
      <c r="O59" s="15" t="e">
        <f>getCodigoBackend(N59,A59,VLOOKUP(N59,setup!$A$8:$H$58,2),VLOOKUP(N59,setup!$A$8:$H$58,3),VLOOKUP(N59,setup!$A$8:$H$58,4),VLOOKUP(N59,setup!$A$8:$H$58,5),VLOOKUP(N59,setup!$A$8:$H$58,6),VLOOKUP(N59,setup!$A$8:$H$58,7), VLOOKUP(0,setup!$A$8:$H$58,2),VLOOKUP(0,setup!$A$8:$H$58,5),VLOOKUP(N59,setup!$A$8:$H$58,8))</f>
        <v>#VALUE!</v>
      </c>
    </row>
    <row r="60" spans="1:15" x14ac:dyDescent="0.25">
      <c r="A60" s="4" t="s">
        <v>108</v>
      </c>
      <c r="N60">
        <f t="shared" si="0"/>
        <v>12</v>
      </c>
      <c r="O60" s="15" t="e">
        <f>getCodigoBackend(N60,A60,VLOOKUP(N60,setup!$A$8:$H$58,2),VLOOKUP(N60,setup!$A$8:$H$58,3),VLOOKUP(N60,setup!$A$8:$H$58,4),VLOOKUP(N60,setup!$A$8:$H$58,5),VLOOKUP(N60,setup!$A$8:$H$58,6),VLOOKUP(N60,setup!$A$8:$H$58,7), VLOOKUP(0,setup!$A$8:$H$58,2),VLOOKUP(0,setup!$A$8:$H$58,5),VLOOKUP(N60,setup!$A$8:$H$58,8))</f>
        <v>#VALUE!</v>
      </c>
    </row>
    <row r="61" spans="1:15" x14ac:dyDescent="0.25">
      <c r="A61" s="4" t="s">
        <v>108</v>
      </c>
      <c r="N61">
        <f t="shared" si="0"/>
        <v>13</v>
      </c>
      <c r="O61" s="15" t="e">
        <f>getCodigoBackend(N61,A61,VLOOKUP(N61,setup!$A$8:$H$58,2),VLOOKUP(N61,setup!$A$8:$H$58,3),VLOOKUP(N61,setup!$A$8:$H$58,4),VLOOKUP(N61,setup!$A$8:$H$58,5),VLOOKUP(N61,setup!$A$8:$H$58,6),VLOOKUP(N61,setup!$A$8:$H$58,7), VLOOKUP(0,setup!$A$8:$H$58,2),VLOOKUP(0,setup!$A$8:$H$58,5),VLOOKUP(N61,setup!$A$8:$H$58,8))</f>
        <v>#VALUE!</v>
      </c>
    </row>
    <row r="62" spans="1:15" x14ac:dyDescent="0.25">
      <c r="A62" s="4" t="s">
        <v>108</v>
      </c>
      <c r="N62">
        <f t="shared" si="0"/>
        <v>14</v>
      </c>
      <c r="O62" s="15" t="e">
        <f>getCodigoBackend(N62,A62,VLOOKUP(N62,setup!$A$8:$H$58,2),VLOOKUP(N62,setup!$A$8:$H$58,3),VLOOKUP(N62,setup!$A$8:$H$58,4),VLOOKUP(N62,setup!$A$8:$H$58,5),VLOOKUP(N62,setup!$A$8:$H$58,6),VLOOKUP(N62,setup!$A$8:$H$58,7), VLOOKUP(0,setup!$A$8:$H$58,2),VLOOKUP(0,setup!$A$8:$H$58,5),VLOOKUP(N62,setup!$A$8:$H$58,8))</f>
        <v>#VALUE!</v>
      </c>
    </row>
    <row r="63" spans="1:15" x14ac:dyDescent="0.25">
      <c r="A63" s="4" t="s">
        <v>108</v>
      </c>
      <c r="N63">
        <f t="shared" si="0"/>
        <v>15</v>
      </c>
      <c r="O63" s="15" t="e">
        <f>getCodigoBackend(N63,A63,VLOOKUP(N63,setup!$A$8:$H$58,2),VLOOKUP(N63,setup!$A$8:$H$58,3),VLOOKUP(N63,setup!$A$8:$H$58,4),VLOOKUP(N63,setup!$A$8:$H$58,5),VLOOKUP(N63,setup!$A$8:$H$58,6),VLOOKUP(N63,setup!$A$8:$H$58,7), VLOOKUP(0,setup!$A$8:$H$58,2),VLOOKUP(0,setup!$A$8:$H$58,5),VLOOKUP(N63,setup!$A$8:$H$58,8))</f>
        <v>#VALUE!</v>
      </c>
    </row>
    <row r="64" spans="1:15" x14ac:dyDescent="0.25">
      <c r="A64" s="4" t="s">
        <v>108</v>
      </c>
      <c r="N64">
        <f t="shared" si="0"/>
        <v>16</v>
      </c>
      <c r="O64" s="15" t="e">
        <f>getCodigoBackend(N64,A64,VLOOKUP(N64,setup!$A$8:$H$58,2),VLOOKUP(N64,setup!$A$8:$H$58,3),VLOOKUP(N64,setup!$A$8:$H$58,4),VLOOKUP(N64,setup!$A$8:$H$58,5),VLOOKUP(N64,setup!$A$8:$H$58,6),VLOOKUP(N64,setup!$A$8:$H$58,7), VLOOKUP(0,setup!$A$8:$H$58,2),VLOOKUP(0,setup!$A$8:$H$58,5),VLOOKUP(N64,setup!$A$8:$H$58,8))</f>
        <v>#VALUE!</v>
      </c>
    </row>
    <row r="65" spans="1:15" x14ac:dyDescent="0.25">
      <c r="A65" s="4" t="s">
        <v>108</v>
      </c>
      <c r="N65">
        <f t="shared" si="0"/>
        <v>17</v>
      </c>
      <c r="O65" s="15" t="e">
        <f>getCodigoBackend(N65,A65,VLOOKUP(N65,setup!$A$8:$H$58,2),VLOOKUP(N65,setup!$A$8:$H$58,3),VLOOKUP(N65,setup!$A$8:$H$58,4),VLOOKUP(N65,setup!$A$8:$H$58,5),VLOOKUP(N65,setup!$A$8:$H$58,6),VLOOKUP(N65,setup!$A$8:$H$58,7), VLOOKUP(0,setup!$A$8:$H$58,2),VLOOKUP(0,setup!$A$8:$H$58,5),VLOOKUP(N65,setup!$A$8:$H$58,8))</f>
        <v>#VALUE!</v>
      </c>
    </row>
    <row r="66" spans="1:15" x14ac:dyDescent="0.25">
      <c r="A66" s="4" t="s">
        <v>108</v>
      </c>
      <c r="N66">
        <f t="shared" si="0"/>
        <v>18</v>
      </c>
      <c r="O66" s="15" t="e">
        <f>getCodigoBackend(N66,A66,VLOOKUP(N66,setup!$A$8:$H$58,2),VLOOKUP(N66,setup!$A$8:$H$58,3),VLOOKUP(N66,setup!$A$8:$H$58,4),VLOOKUP(N66,setup!$A$8:$H$58,5),VLOOKUP(N66,setup!$A$8:$H$58,6),VLOOKUP(N66,setup!$A$8:$H$58,7), VLOOKUP(0,setup!$A$8:$H$58,2),VLOOKUP(0,setup!$A$8:$H$58,5),VLOOKUP(N66,setup!$A$8:$H$58,8))</f>
        <v>#VALUE!</v>
      </c>
    </row>
    <row r="67" spans="1:15" x14ac:dyDescent="0.25">
      <c r="A67" s="4" t="s">
        <v>108</v>
      </c>
      <c r="N67">
        <f t="shared" si="0"/>
        <v>19</v>
      </c>
      <c r="O67" s="15" t="e">
        <f>getCodigoBackend(N67,A67,VLOOKUP(N67,setup!$A$8:$H$58,2),VLOOKUP(N67,setup!$A$8:$H$58,3),VLOOKUP(N67,setup!$A$8:$H$58,4),VLOOKUP(N67,setup!$A$8:$H$58,5),VLOOKUP(N67,setup!$A$8:$H$58,6),VLOOKUP(N67,setup!$A$8:$H$58,7), VLOOKUP(0,setup!$A$8:$H$58,2),VLOOKUP(0,setup!$A$8:$H$58,5),VLOOKUP(N67,setup!$A$8:$H$58,8))</f>
        <v>#VALUE!</v>
      </c>
    </row>
    <row r="68" spans="1:15" x14ac:dyDescent="0.25">
      <c r="A68" s="4" t="s">
        <v>108</v>
      </c>
      <c r="N68">
        <f t="shared" si="0"/>
        <v>20</v>
      </c>
      <c r="O68" s="15" t="e">
        <f>getCodigoBackend(N68,A68,VLOOKUP(N68,setup!$A$8:$H$58,2),VLOOKUP(N68,setup!$A$8:$H$58,3),VLOOKUP(N68,setup!$A$8:$H$58,4),VLOOKUP(N68,setup!$A$8:$H$58,5),VLOOKUP(N68,setup!$A$8:$H$58,6),VLOOKUP(N68,setup!$A$8:$H$58,7), VLOOKUP(0,setup!$A$8:$H$58,2),VLOOKUP(0,setup!$A$8:$H$58,5),VLOOKUP(N68,setup!$A$8:$H$58,8))</f>
        <v>#VALUE!</v>
      </c>
    </row>
    <row r="69" spans="1:15" x14ac:dyDescent="0.25">
      <c r="A69" s="4" t="s">
        <v>108</v>
      </c>
      <c r="N69">
        <f t="shared" si="0"/>
        <v>21</v>
      </c>
      <c r="O69" s="15" t="e">
        <f>getCodigoBackend(N69,A69,VLOOKUP(N69,setup!$A$8:$H$58,2),VLOOKUP(N69,setup!$A$8:$H$58,3),VLOOKUP(N69,setup!$A$8:$H$58,4),VLOOKUP(N69,setup!$A$8:$H$58,5),VLOOKUP(N69,setup!$A$8:$H$58,6),VLOOKUP(N69,setup!$A$8:$H$58,7), VLOOKUP(0,setup!$A$8:$H$58,2),VLOOKUP(0,setup!$A$8:$H$58,5),VLOOKUP(N69,setup!$A$8:$H$58,8))</f>
        <v>#VALUE!</v>
      </c>
    </row>
    <row r="70" spans="1:15" x14ac:dyDescent="0.25">
      <c r="A70" s="4" t="s">
        <v>108</v>
      </c>
      <c r="N70">
        <f t="shared" si="0"/>
        <v>22</v>
      </c>
      <c r="O70" s="15" t="e">
        <f>getCodigoBackend(N70,A70,VLOOKUP(N70,setup!$A$8:$H$58,2),VLOOKUP(N70,setup!$A$8:$H$58,3),VLOOKUP(N70,setup!$A$8:$H$58,4),VLOOKUP(N70,setup!$A$8:$H$58,5),VLOOKUP(N70,setup!$A$8:$H$58,6),VLOOKUP(N70,setup!$A$8:$H$58,7), VLOOKUP(0,setup!$A$8:$H$58,2),VLOOKUP(0,setup!$A$8:$H$58,5),VLOOKUP(N70,setup!$A$8:$H$58,8))</f>
        <v>#VALUE!</v>
      </c>
    </row>
    <row r="71" spans="1:15" x14ac:dyDescent="0.25">
      <c r="A71" s="4" t="s">
        <v>108</v>
      </c>
      <c r="N71">
        <f t="shared" ref="N71:N91" si="1">N70+1</f>
        <v>23</v>
      </c>
      <c r="O71" s="15" t="e">
        <f>getCodigoBackend(N71,A71,VLOOKUP(N71,setup!$A$8:$H$58,2),VLOOKUP(N71,setup!$A$8:$H$58,3),VLOOKUP(N71,setup!$A$8:$H$58,4),VLOOKUP(N71,setup!$A$8:$H$58,5),VLOOKUP(N71,setup!$A$8:$H$58,6),VLOOKUP(N71,setup!$A$8:$H$58,7), VLOOKUP(0,setup!$A$8:$H$58,2),VLOOKUP(0,setup!$A$8:$H$58,5),VLOOKUP(N71,setup!$A$8:$H$58,8))</f>
        <v>#VALUE!</v>
      </c>
    </row>
    <row r="72" spans="1:15" x14ac:dyDescent="0.25">
      <c r="A72" s="4" t="s">
        <v>108</v>
      </c>
      <c r="N72">
        <f t="shared" si="1"/>
        <v>24</v>
      </c>
      <c r="O72" s="15" t="e">
        <f>getCodigoBackend(N72,A72,VLOOKUP(N72,setup!$A$8:$H$58,2),VLOOKUP(N72,setup!$A$8:$H$58,3),VLOOKUP(N72,setup!$A$8:$H$58,4),VLOOKUP(N72,setup!$A$8:$H$58,5),VLOOKUP(N72,setup!$A$8:$H$58,6),VLOOKUP(N72,setup!$A$8:$H$58,7), VLOOKUP(0,setup!$A$8:$H$58,2),VLOOKUP(0,setup!$A$8:$H$58,5),VLOOKUP(N72,setup!$A$8:$H$58,8))</f>
        <v>#VALUE!</v>
      </c>
    </row>
    <row r="73" spans="1:15" x14ac:dyDescent="0.25">
      <c r="A73" s="4" t="s">
        <v>108</v>
      </c>
      <c r="N73">
        <f t="shared" si="1"/>
        <v>25</v>
      </c>
      <c r="O73" s="15" t="e">
        <f>getCodigoBackend(N73,A73,VLOOKUP(N73,setup!$A$8:$H$58,2),VLOOKUP(N73,setup!$A$8:$H$58,3),VLOOKUP(N73,setup!$A$8:$H$58,4),VLOOKUP(N73,setup!$A$8:$H$58,5),VLOOKUP(N73,setup!$A$8:$H$58,6),VLOOKUP(N73,setup!$A$8:$H$58,7), VLOOKUP(0,setup!$A$8:$H$58,2),VLOOKUP(0,setup!$A$8:$H$58,5),VLOOKUP(N73,setup!$A$8:$H$58,8))</f>
        <v>#VALUE!</v>
      </c>
    </row>
    <row r="74" spans="1:15" x14ac:dyDescent="0.25">
      <c r="A74" s="4" t="s">
        <v>108</v>
      </c>
      <c r="N74">
        <f t="shared" si="1"/>
        <v>26</v>
      </c>
      <c r="O74" s="15" t="e">
        <f>getCodigoBackend(N74,A74,VLOOKUP(N74,setup!$A$8:$H$58,2),VLOOKUP(N74,setup!$A$8:$H$58,3),VLOOKUP(N74,setup!$A$8:$H$58,4),VLOOKUP(N74,setup!$A$8:$H$58,5),VLOOKUP(N74,setup!$A$8:$H$58,6),VLOOKUP(N74,setup!$A$8:$H$58,7), VLOOKUP(0,setup!$A$8:$H$58,2),VLOOKUP(0,setup!$A$8:$H$58,5),VLOOKUP(N74,setup!$A$8:$H$58,8))</f>
        <v>#VALUE!</v>
      </c>
    </row>
    <row r="75" spans="1:15" x14ac:dyDescent="0.25">
      <c r="A75" s="4" t="s">
        <v>108</v>
      </c>
      <c r="N75">
        <f t="shared" si="1"/>
        <v>27</v>
      </c>
      <c r="O75" s="15" t="e">
        <f>getCodigoBackend(N75,A75,VLOOKUP(N75,setup!$A$8:$H$58,2),VLOOKUP(N75,setup!$A$8:$H$58,3),VLOOKUP(N75,setup!$A$8:$H$58,4),VLOOKUP(N75,setup!$A$8:$H$58,5),VLOOKUP(N75,setup!$A$8:$H$58,6),VLOOKUP(N75,setup!$A$8:$H$58,7), VLOOKUP(0,setup!$A$8:$H$58,2),VLOOKUP(0,setup!$A$8:$H$58,5),VLOOKUP(N75,setup!$A$8:$H$58,8))</f>
        <v>#VALUE!</v>
      </c>
    </row>
    <row r="76" spans="1:15" x14ac:dyDescent="0.25">
      <c r="A76" s="4" t="s">
        <v>108</v>
      </c>
      <c r="N76">
        <f t="shared" si="1"/>
        <v>28</v>
      </c>
      <c r="O76" s="15" t="e">
        <f>getCodigoBackend(N76,A76,VLOOKUP(N76,setup!$A$8:$H$58,2),VLOOKUP(N76,setup!$A$8:$H$58,3),VLOOKUP(N76,setup!$A$8:$H$58,4),VLOOKUP(N76,setup!$A$8:$H$58,5),VLOOKUP(N76,setup!$A$8:$H$58,6),VLOOKUP(N76,setup!$A$8:$H$58,7), VLOOKUP(0,setup!$A$8:$H$58,2),VLOOKUP(0,setup!$A$8:$H$58,5),VLOOKUP(N76,setup!$A$8:$H$58,8))</f>
        <v>#VALUE!</v>
      </c>
    </row>
    <row r="77" spans="1:15" x14ac:dyDescent="0.25">
      <c r="A77" s="4" t="s">
        <v>108</v>
      </c>
      <c r="N77">
        <f t="shared" si="1"/>
        <v>29</v>
      </c>
      <c r="O77" s="15" t="e">
        <f>getCodigoBackend(N77,A77,VLOOKUP(N77,setup!$A$8:$H$58,2),VLOOKUP(N77,setup!$A$8:$H$58,3),VLOOKUP(N77,setup!$A$8:$H$58,4),VLOOKUP(N77,setup!$A$8:$H$58,5),VLOOKUP(N77,setup!$A$8:$H$58,6),VLOOKUP(N77,setup!$A$8:$H$58,7), VLOOKUP(0,setup!$A$8:$H$58,2),VLOOKUP(0,setup!$A$8:$H$58,5),VLOOKUP(N77,setup!$A$8:$H$58,8))</f>
        <v>#VALUE!</v>
      </c>
    </row>
    <row r="78" spans="1:15" x14ac:dyDescent="0.25">
      <c r="A78" s="4" t="s">
        <v>108</v>
      </c>
      <c r="N78">
        <f t="shared" si="1"/>
        <v>30</v>
      </c>
      <c r="O78" s="15" t="e">
        <f>getCodigoBackend(N78,A78,VLOOKUP(N78,setup!$A$8:$H$58,2),VLOOKUP(N78,setup!$A$8:$H$58,3),VLOOKUP(N78,setup!$A$8:$H$58,4),VLOOKUP(N78,setup!$A$8:$H$58,5),VLOOKUP(N78,setup!$A$8:$H$58,6),VLOOKUP(N78,setup!$A$8:$H$58,7), VLOOKUP(0,setup!$A$8:$H$58,2),VLOOKUP(0,setup!$A$8:$H$58,5),VLOOKUP(N78,setup!$A$8:$H$58,8))</f>
        <v>#VALUE!</v>
      </c>
    </row>
    <row r="79" spans="1:15" x14ac:dyDescent="0.25">
      <c r="A79" s="4" t="s">
        <v>108</v>
      </c>
      <c r="N79">
        <f t="shared" si="1"/>
        <v>31</v>
      </c>
      <c r="O79" s="15" t="e">
        <f>getCodigoBackend(N79,A79,VLOOKUP(N79,setup!$A$8:$H$58,2),VLOOKUP(N79,setup!$A$8:$H$58,3),VLOOKUP(N79,setup!$A$8:$H$58,4),VLOOKUP(N79,setup!$A$8:$H$58,5),VLOOKUP(N79,setup!$A$8:$H$58,6),VLOOKUP(N79,setup!$A$8:$H$58,7), VLOOKUP(0,setup!$A$8:$H$58,2),VLOOKUP(0,setup!$A$8:$H$58,5),VLOOKUP(N79,setup!$A$8:$H$58,8))</f>
        <v>#VALUE!</v>
      </c>
    </row>
    <row r="80" spans="1:15" x14ac:dyDescent="0.25">
      <c r="A80" s="4" t="s">
        <v>108</v>
      </c>
      <c r="N80">
        <f t="shared" si="1"/>
        <v>32</v>
      </c>
      <c r="O80" s="15" t="e">
        <f>getCodigoBackend(N80,A80,VLOOKUP(N80,setup!$A$8:$H$58,2),VLOOKUP(N80,setup!$A$8:$H$58,3),VLOOKUP(N80,setup!$A$8:$H$58,4),VLOOKUP(N80,setup!$A$8:$H$58,5),VLOOKUP(N80,setup!$A$8:$H$58,6),VLOOKUP(N80,setup!$A$8:$H$58,7), VLOOKUP(0,setup!$A$8:$H$58,2),VLOOKUP(0,setup!$A$8:$H$58,5),VLOOKUP(N80,setup!$A$8:$H$58,8))</f>
        <v>#VALUE!</v>
      </c>
    </row>
    <row r="81" spans="1:15" x14ac:dyDescent="0.25">
      <c r="A81" s="4" t="s">
        <v>108</v>
      </c>
      <c r="N81">
        <f t="shared" si="1"/>
        <v>33</v>
      </c>
      <c r="O81" s="15" t="e">
        <f>getCodigoBackend(N81,A81,VLOOKUP(N81,setup!$A$8:$H$58,2),VLOOKUP(N81,setup!$A$8:$H$58,3),VLOOKUP(N81,setup!$A$8:$H$58,4),VLOOKUP(N81,setup!$A$8:$H$58,5),VLOOKUP(N81,setup!$A$8:$H$58,6),VLOOKUP(N81,setup!$A$8:$H$58,7), VLOOKUP(0,setup!$A$8:$H$58,2),VLOOKUP(0,setup!$A$8:$H$58,5),VLOOKUP(N81,setup!$A$8:$H$58,8))</f>
        <v>#VALUE!</v>
      </c>
    </row>
    <row r="82" spans="1:15" x14ac:dyDescent="0.25">
      <c r="A82" s="4" t="s">
        <v>108</v>
      </c>
      <c r="N82">
        <f t="shared" si="1"/>
        <v>34</v>
      </c>
      <c r="O82" s="15" t="e">
        <f>getCodigoBackend(N82,A82,VLOOKUP(N82,setup!$A$8:$H$58,2),VLOOKUP(N82,setup!$A$8:$H$58,3),VLOOKUP(N82,setup!$A$8:$H$58,4),VLOOKUP(N82,setup!$A$8:$H$58,5),VLOOKUP(N82,setup!$A$8:$H$58,6),VLOOKUP(N82,setup!$A$8:$H$58,7), VLOOKUP(0,setup!$A$8:$H$58,2),VLOOKUP(0,setup!$A$8:$H$58,5),VLOOKUP(N82,setup!$A$8:$H$58,8))</f>
        <v>#VALUE!</v>
      </c>
    </row>
    <row r="83" spans="1:15" x14ac:dyDescent="0.25">
      <c r="A83" s="4" t="s">
        <v>108</v>
      </c>
      <c r="N83">
        <f t="shared" si="1"/>
        <v>35</v>
      </c>
      <c r="O83" s="15" t="e">
        <f>getCodigoBackend(N83,A83,VLOOKUP(N83,setup!$A$8:$H$58,2),VLOOKUP(N83,setup!$A$8:$H$58,3),VLOOKUP(N83,setup!$A$8:$H$58,4),VLOOKUP(N83,setup!$A$8:$H$58,5),VLOOKUP(N83,setup!$A$8:$H$58,6),VLOOKUP(N83,setup!$A$8:$H$58,7), VLOOKUP(0,setup!$A$8:$H$58,2),VLOOKUP(0,setup!$A$8:$H$58,5),VLOOKUP(N83,setup!$A$8:$H$58,8))</f>
        <v>#VALUE!</v>
      </c>
    </row>
    <row r="84" spans="1:15" x14ac:dyDescent="0.25">
      <c r="A84" s="4" t="s">
        <v>108</v>
      </c>
      <c r="N84">
        <f t="shared" si="1"/>
        <v>36</v>
      </c>
      <c r="O84" s="15" t="e">
        <f>getCodigoBackend(N84,A84,VLOOKUP(N84,setup!$A$8:$H$58,2),VLOOKUP(N84,setup!$A$8:$H$58,3),VLOOKUP(N84,setup!$A$8:$H$58,4),VLOOKUP(N84,setup!$A$8:$H$58,5),VLOOKUP(N84,setup!$A$8:$H$58,6),VLOOKUP(N84,setup!$A$8:$H$58,7), VLOOKUP(0,setup!$A$8:$H$58,2),VLOOKUP(0,setup!$A$8:$H$58,5),VLOOKUP(N84,setup!$A$8:$H$58,8))</f>
        <v>#VALUE!</v>
      </c>
    </row>
    <row r="85" spans="1:15" x14ac:dyDescent="0.25">
      <c r="A85" s="4" t="s">
        <v>108</v>
      </c>
      <c r="N85">
        <f t="shared" si="1"/>
        <v>37</v>
      </c>
      <c r="O85" s="15" t="e">
        <f>getCodigoBackend(N85,A85,VLOOKUP(N85,setup!$A$8:$H$58,2),VLOOKUP(N85,setup!$A$8:$H$58,3),VLOOKUP(N85,setup!$A$8:$H$58,4),VLOOKUP(N85,setup!$A$8:$H$58,5),VLOOKUP(N85,setup!$A$8:$H$58,6),VLOOKUP(N85,setup!$A$8:$H$58,7), VLOOKUP(0,setup!$A$8:$H$58,2),VLOOKUP(0,setup!$A$8:$H$58,5),VLOOKUP(N85,setup!$A$8:$H$58,8))</f>
        <v>#VALUE!</v>
      </c>
    </row>
    <row r="86" spans="1:15" x14ac:dyDescent="0.25">
      <c r="A86" s="4" t="s">
        <v>108</v>
      </c>
      <c r="N86">
        <f t="shared" si="1"/>
        <v>38</v>
      </c>
      <c r="O86" s="15" t="e">
        <f>getCodigoBackend(N86,A86,VLOOKUP(N86,setup!$A$8:$H$58,2),VLOOKUP(N86,setup!$A$8:$H$58,3),VLOOKUP(N86,setup!$A$8:$H$58,4),VLOOKUP(N86,setup!$A$8:$H$58,5),VLOOKUP(N86,setup!$A$8:$H$58,6),VLOOKUP(N86,setup!$A$8:$H$58,7), VLOOKUP(0,setup!$A$8:$H$58,2),VLOOKUP(0,setup!$A$8:$H$58,5),VLOOKUP(N86,setup!$A$8:$H$58,8))</f>
        <v>#VALUE!</v>
      </c>
    </row>
    <row r="87" spans="1:15" x14ac:dyDescent="0.25">
      <c r="A87" s="4" t="s">
        <v>108</v>
      </c>
      <c r="N87">
        <f t="shared" si="1"/>
        <v>39</v>
      </c>
      <c r="O87" s="15" t="e">
        <f>getCodigoBackend(N87,A87,VLOOKUP(N87,setup!$A$8:$H$58,2),VLOOKUP(N87,setup!$A$8:$H$58,3),VLOOKUP(N87,setup!$A$8:$H$58,4),VLOOKUP(N87,setup!$A$8:$H$58,5),VLOOKUP(N87,setup!$A$8:$H$58,6),VLOOKUP(N87,setup!$A$8:$H$58,7), VLOOKUP(0,setup!$A$8:$H$58,2),VLOOKUP(0,setup!$A$8:$H$58,5),VLOOKUP(N87,setup!$A$8:$H$58,8))</f>
        <v>#VALUE!</v>
      </c>
    </row>
    <row r="88" spans="1:15" x14ac:dyDescent="0.25">
      <c r="A88" s="4" t="s">
        <v>108</v>
      </c>
      <c r="N88">
        <f t="shared" si="1"/>
        <v>40</v>
      </c>
      <c r="O88" s="15" t="e">
        <f>getCodigoBackend(N88,A88,VLOOKUP(N88,setup!$A$8:$H$58,2),VLOOKUP(N88,setup!$A$8:$H$58,3),VLOOKUP(N88,setup!$A$8:$H$58,4),VLOOKUP(N88,setup!$A$8:$H$58,5),VLOOKUP(N88,setup!$A$8:$H$58,6),VLOOKUP(N88,setup!$A$8:$H$58,7), VLOOKUP(0,setup!$A$8:$H$58,2),VLOOKUP(0,setup!$A$8:$H$58,5),VLOOKUP(N88,setup!$A$8:$H$58,8))</f>
        <v>#VALUE!</v>
      </c>
    </row>
    <row r="89" spans="1:15" x14ac:dyDescent="0.25">
      <c r="A89" s="4" t="s">
        <v>108</v>
      </c>
      <c r="N89">
        <f t="shared" si="1"/>
        <v>41</v>
      </c>
      <c r="O89" s="15" t="e">
        <f>getCodigoBackend(N89,A89,VLOOKUP(N89,setup!$A$8:$H$58,2),VLOOKUP(N89,setup!$A$8:$H$58,3),VLOOKUP(N89,setup!$A$8:$H$58,4),VLOOKUP(N89,setup!$A$8:$H$58,5),VLOOKUP(N89,setup!$A$8:$H$58,6),VLOOKUP(N89,setup!$A$8:$H$58,7), VLOOKUP(0,setup!$A$8:$H$58,2),VLOOKUP(0,setup!$A$8:$H$58,5),VLOOKUP(N89,setup!$A$8:$H$58,8))</f>
        <v>#VALUE!</v>
      </c>
    </row>
    <row r="90" spans="1:15" x14ac:dyDescent="0.25">
      <c r="A90" s="4" t="s">
        <v>108</v>
      </c>
      <c r="N90">
        <f t="shared" si="1"/>
        <v>42</v>
      </c>
      <c r="O90" s="15" t="e">
        <f>getCodigoBackend(N90,A90,VLOOKUP(N90,setup!$A$8:$H$58,2),VLOOKUP(N90,setup!$A$8:$H$58,3),VLOOKUP(N90,setup!$A$8:$H$58,4),VLOOKUP(N90,setup!$A$8:$H$58,5),VLOOKUP(N90,setup!$A$8:$H$58,6),VLOOKUP(N90,setup!$A$8:$H$58,7), VLOOKUP(0,setup!$A$8:$H$58,2),VLOOKUP(0,setup!$A$8:$H$58,5),VLOOKUP(N90,setup!$A$8:$H$58,8))</f>
        <v>#VALUE!</v>
      </c>
    </row>
    <row r="91" spans="1:15" x14ac:dyDescent="0.25">
      <c r="A91" s="4" t="s">
        <v>108</v>
      </c>
      <c r="N91">
        <f t="shared" si="1"/>
        <v>43</v>
      </c>
      <c r="O91" s="15" t="e">
        <f>getCodigoBackend(N91,A91,VLOOKUP(N91,setup!$A$8:$H$58,2),VLOOKUP(N91,setup!$A$8:$H$58,3),VLOOKUP(N91,setup!$A$8:$H$58,4),VLOOKUP(N91,setup!$A$8:$H$58,5),VLOOKUP(N91,setup!$A$8:$H$58,6),VLOOKUP(N91,setup!$A$8:$H$58,7), VLOOKUP(0,setup!$A$8:$H$58,2),VLOOKUP(0,setup!$A$8:$H$58,5),VLOOKUP(N91,setup!$A$8:$H$58,8))</f>
        <v>#VALUE!</v>
      </c>
    </row>
    <row r="92" spans="1:15" x14ac:dyDescent="0.25">
      <c r="A92" s="4" t="s">
        <v>108</v>
      </c>
      <c r="N92">
        <f t="shared" ref="N92:N98" si="2">N91+1</f>
        <v>44</v>
      </c>
      <c r="O92" s="15" t="e">
        <f>getCodigoBackend(N92,A92,VLOOKUP(N92,setup!$A$8:$H$58,2),VLOOKUP(N92,setup!$A$8:$H$58,3),VLOOKUP(N92,setup!$A$8:$H$58,4),VLOOKUP(N92,setup!$A$8:$H$58,5),VLOOKUP(N92,setup!$A$8:$H$58,6),VLOOKUP(N92,setup!$A$8:$H$58,7), VLOOKUP(0,setup!$A$8:$H$58,2),VLOOKUP(0,setup!$A$8:$H$58,5),VLOOKUP(N92,setup!$A$8:$H$58,8))</f>
        <v>#VALUE!</v>
      </c>
    </row>
    <row r="93" spans="1:15" x14ac:dyDescent="0.25">
      <c r="A93" s="4" t="s">
        <v>108</v>
      </c>
      <c r="N93">
        <f t="shared" si="2"/>
        <v>45</v>
      </c>
      <c r="O93" s="15" t="e">
        <f>getCodigoBackend(N93,A93,VLOOKUP(N93,setup!$A$8:$H$58,2),VLOOKUP(N93,setup!$A$8:$H$58,3),VLOOKUP(N93,setup!$A$8:$H$58,4),VLOOKUP(N93,setup!$A$8:$H$58,5),VLOOKUP(N93,setup!$A$8:$H$58,6),VLOOKUP(N93,setup!$A$8:$H$58,7), VLOOKUP(0,setup!$A$8:$H$58,2),VLOOKUP(0,setup!$A$8:$H$58,5),VLOOKUP(N93,setup!$A$8:$H$58,8))</f>
        <v>#VALUE!</v>
      </c>
    </row>
    <row r="94" spans="1:15" x14ac:dyDescent="0.25">
      <c r="A94" s="4" t="s">
        <v>108</v>
      </c>
      <c r="N94">
        <f t="shared" si="2"/>
        <v>46</v>
      </c>
      <c r="O94" s="15" t="e">
        <f>getCodigoBackend(N94,A94,VLOOKUP(N94,setup!$A$8:$H$58,2),VLOOKUP(N94,setup!$A$8:$H$58,3),VLOOKUP(N94,setup!$A$8:$H$58,4),VLOOKUP(N94,setup!$A$8:$H$58,5),VLOOKUP(N94,setup!$A$8:$H$58,6),VLOOKUP(N94,setup!$A$8:$H$58,7), VLOOKUP(0,setup!$A$8:$H$58,2),VLOOKUP(0,setup!$A$8:$H$58,5),VLOOKUP(N94,setup!$A$8:$H$58,8))</f>
        <v>#VALUE!</v>
      </c>
    </row>
    <row r="95" spans="1:15" x14ac:dyDescent="0.25">
      <c r="A95" s="4" t="s">
        <v>108</v>
      </c>
      <c r="N95">
        <f t="shared" si="2"/>
        <v>47</v>
      </c>
      <c r="O95" s="15" t="e">
        <f>getCodigoBackend(N95,A95,VLOOKUP(N95,setup!$A$8:$H$58,2),VLOOKUP(N95,setup!$A$8:$H$58,3),VLOOKUP(N95,setup!$A$8:$H$58,4),VLOOKUP(N95,setup!$A$8:$H$58,5),VLOOKUP(N95,setup!$A$8:$H$58,6),VLOOKUP(N95,setup!$A$8:$H$58,7), VLOOKUP(0,setup!$A$8:$H$58,2),VLOOKUP(0,setup!$A$8:$H$58,5),VLOOKUP(N95,setup!$A$8:$H$58,8))</f>
        <v>#VALUE!</v>
      </c>
    </row>
    <row r="96" spans="1:15" x14ac:dyDescent="0.25">
      <c r="A96" s="4" t="s">
        <v>108</v>
      </c>
      <c r="N96">
        <f t="shared" si="2"/>
        <v>48</v>
      </c>
      <c r="O96" s="15" t="str">
        <f ca="1">getCodigoBackend(N96,A96,VLOOKUP(N96,setup!$A$8:$H$58,2),VLOOKUP(N96,setup!$A$8:$H$58,3),VLOOKUP(N96,setup!$A$8:$H$58,4),VLOOKUP(N96,setup!$A$8:$H$58,5),VLOOKUP(N96,setup!$A$8:$H$58,6),VLOOKUP(N96,setup!$A$8:$H$58,7), VLOOKUP(0,setup!$A$8:$H$58,2),VLOOKUP(0,setup!$A$8:$H$58,5),VLOOKUP(N96,setup!$A$8:$H$58,8))</f>
        <v xml:space="preserve">  TextEditingController tecstatus = new TextEditingController();</v>
      </c>
    </row>
    <row r="97" spans="1:15" x14ac:dyDescent="0.25">
      <c r="A97" s="4" t="s">
        <v>108</v>
      </c>
      <c r="N97">
        <f t="shared" si="2"/>
        <v>49</v>
      </c>
      <c r="O97" s="15" t="str">
        <f ca="1">getCodigoBackend(N97,A97,VLOOKUP(N97,setup!$A$8:$H$58,2),VLOOKUP(N97,setup!$A$8:$H$58,3),VLOOKUP(N97,setup!$A$8:$H$58,4),VLOOKUP(N97,setup!$A$8:$H$58,5),VLOOKUP(N97,setup!$A$8:$H$58,6),VLOOKUP(N97,setup!$A$8:$H$58,7), VLOOKUP(0,setup!$A$8:$H$58,2),VLOOKUP(0,setup!$A$8:$H$58,5),VLOOKUP(N97,setup!$A$8:$H$58,8))</f>
        <v xml:space="preserve">  TextEditingController tecdataCadastro = new TextEditingController();</v>
      </c>
    </row>
    <row r="98" spans="1:15" x14ac:dyDescent="0.25">
      <c r="A98" s="4" t="s">
        <v>108</v>
      </c>
      <c r="N98">
        <f t="shared" si="2"/>
        <v>50</v>
      </c>
      <c r="O98" s="15" t="str">
        <f ca="1">getCodigoBackend(N98,A98,VLOOKUP(N98,setup!$A$8:$H$58,2),VLOOKUP(N98,setup!$A$8:$H$58,3),VLOOKUP(N98,setup!$A$8:$H$58,4),VLOOKUP(N98,setup!$A$8:$H$58,5),VLOOKUP(N98,setup!$A$8:$H$58,6),VLOOKUP(N98,setup!$A$8:$H$58,7), VLOOKUP(0,setup!$A$8:$H$58,2),VLOOKUP(0,setup!$A$8:$H$58,5),VLOOKUP(N98,setup!$A$8:$H$58,8))</f>
        <v xml:space="preserve">  TextEditingController tecdataAtualizacao = new TextEditingController();</v>
      </c>
    </row>
    <row r="99" spans="1:15" x14ac:dyDescent="0.25">
      <c r="A99" s="4" t="s">
        <v>121</v>
      </c>
      <c r="O99" s="15" t="str">
        <f ca="1">getCodigoBackend(N99,A99,VLOOKUP(N99,setup!$A$8:$H$58,2),VLOOKUP(N99,setup!$A$8:$H$58,3),VLOOKUP(N99,setup!$A$8:$H$58,4),VLOOKUP(N99,setup!$A$8:$H$58,5),VLOOKUP(N99,setup!$A$8:$H$58,6),VLOOKUP(N99,setup!$A$8:$H$58,7), VLOOKUP(0,setup!$A$8:$H$58,2),VLOOKUP(0,setup!$A$8:$H$58,5),VLOOKUP(N99,setup!$A$8:$H$58,8))</f>
        <v xml:space="preserve">  /*</v>
      </c>
    </row>
    <row r="100" spans="1:15" x14ac:dyDescent="0.25">
      <c r="A100" s="6" t="s">
        <v>65</v>
      </c>
      <c r="O100" s="15" t="str">
        <f ca="1">getCodigoBackend(N100,A100,VLOOKUP(N100,setup!$A$8:$H$58,2),VLOOKUP(N100,setup!$A$8:$H$58,3),VLOOKUP(N100,setup!$A$8:$H$58,4),VLOOKUP(N100,setup!$A$8:$H$58,5),VLOOKUP(N100,setup!$A$8:$H$58,6),VLOOKUP(N100,setup!$A$8:$H$58,7), VLOOKUP(0,setup!$A$8:$H$58,2),VLOOKUP(0,setup!$A$8:$H$58,5),VLOOKUP(N100,setup!$A$8:$H$58,8))</f>
        <v xml:space="preserve">  @override</v>
      </c>
    </row>
    <row r="101" spans="1:15" x14ac:dyDescent="0.25">
      <c r="A101" s="6" t="s">
        <v>124</v>
      </c>
      <c r="O101" s="15" t="str">
        <f ca="1">getCodigoBackend(N101,A101,VLOOKUP(N101,setup!$A$8:$H$58,2),VLOOKUP(N101,setup!$A$8:$H$58,3),VLOOKUP(N101,setup!$A$8:$H$58,4),VLOOKUP(N101,setup!$A$8:$H$58,5),VLOOKUP(N101,setup!$A$8:$H$58,6),VLOOKUP(N101,setup!$A$8:$H$58,7), VLOOKUP(0,setup!$A$8:$H$58,2),VLOOKUP(0,setup!$A$8:$H$58,5),VLOOKUP(N101,setup!$A$8:$H$58,8))</f>
        <v xml:space="preserve">  @deprecated</v>
      </c>
    </row>
    <row r="102" spans="1:15" x14ac:dyDescent="0.25">
      <c r="A102" s="6" t="s">
        <v>69</v>
      </c>
      <c r="O102" s="15" t="str">
        <f ca="1">getCodigoBackend(N102,A102,VLOOKUP(N102,setup!$A$8:$H$58,2),VLOOKUP(N102,setup!$A$8:$H$58,3),VLOOKUP(N102,setup!$A$8:$H$58,4),VLOOKUP(N102,setup!$A$8:$H$58,5),VLOOKUP(N102,setup!$A$8:$H$58,6),VLOOKUP(N102,setup!$A$8:$H$58,7), VLOOKUP(0,setup!$A$8:$H$58,2),VLOOKUP(0,setup!$A$8:$H$58,5),VLOOKUP(N102,setup!$A$8:$H$58,8))</f>
        <v xml:space="preserve">  void initState(){</v>
      </c>
    </row>
    <row r="103" spans="1:15" x14ac:dyDescent="0.25">
      <c r="A103" s="6" t="s">
        <v>70</v>
      </c>
      <c r="O103" s="15" t="str">
        <f ca="1">getCodigoBackend(N103,A103,VLOOKUP(N103,setup!$A$8:$H$58,2),VLOOKUP(N103,setup!$A$8:$H$58,3),VLOOKUP(N103,setup!$A$8:$H$58,4),VLOOKUP(N103,setup!$A$8:$H$58,5),VLOOKUP(N103,setup!$A$8:$H$58,6),VLOOKUP(N103,setup!$A$8:$H$58,7), VLOOKUP(0,setup!$A$8:$H$58,2),VLOOKUP(0,setup!$A$8:$H$58,5),VLOOKUP(N103,setup!$A$8:$H$58,8))</f>
        <v xml:space="preserve">    _token = CacheSession().getSession()['tokenid'];</v>
      </c>
    </row>
    <row r="104" spans="1:15" x14ac:dyDescent="0.25">
      <c r="A104" s="6" t="s">
        <v>71</v>
      </c>
      <c r="O104" s="15" t="str">
        <f ca="1">getCodigoBackend(N104,A104,VLOOKUP(N104,setup!$A$8:$H$58,2),VLOOKUP(N104,setup!$A$8:$H$58,3),VLOOKUP(N104,setup!$A$8:$H$58,4),VLOOKUP(N104,setup!$A$8:$H$58,5),VLOOKUP(N104,setup!$A$8:$H$58,6),VLOOKUP(N104,setup!$A$8:$H$58,7), VLOOKUP(0,setup!$A$8:$H$58,2),VLOOKUP(0,setup!$A$8:$H$58,5),VLOOKUP(N104,setup!$A$8:$H$58,8))</f>
        <v xml:space="preserve">    _urlControlador = CacheSession().getSession()['urlControlador'];</v>
      </c>
    </row>
    <row r="105" spans="1:15" x14ac:dyDescent="0.25">
      <c r="A105" s="6" t="s">
        <v>109</v>
      </c>
      <c r="N105">
        <v>0</v>
      </c>
      <c r="O105" s="15" t="str">
        <f ca="1">getCodigoBackend(N105,A105,VLOOKUP(N105,setup!$A$8:$H$58,2),VLOOKUP(N105,setup!$A$8:$H$58,3),VLOOKUP(N105,setup!$A$8:$H$58,4),VLOOKUP(N105,setup!$A$8:$H$58,5),VLOOKUP(N105,setup!$A$8:$H$58,6),VLOOKUP(N105,setup!$A$8:$H$58,7), VLOOKUP(0,setup!$A$8:$H$58,2),VLOOKUP(0,setup!$A$8:$H$58,5),VLOOKUP(N105,setup!$A$8:$H$58,8))</f>
        <v xml:space="preserve">    tecid.text = widget.usuariopublicidade_full['id'];</v>
      </c>
    </row>
    <row r="106" spans="1:15" x14ac:dyDescent="0.25">
      <c r="A106" s="6" t="s">
        <v>109</v>
      </c>
      <c r="N106">
        <f>N105+1</f>
        <v>1</v>
      </c>
      <c r="O106" s="15" t="str">
        <f ca="1">getCodigoBackend(N106,A106,VLOOKUP(N106,setup!$A$8:$H$58,2),VLOOKUP(N106,setup!$A$8:$H$58,3),VLOOKUP(N106,setup!$A$8:$H$58,4),VLOOKUP(N106,setup!$A$8:$H$58,5),VLOOKUP(N106,setup!$A$8:$H$58,6),VLOOKUP(N106,setup!$A$8:$H$58,7), VLOOKUP(0,setup!$A$8:$H$58,2),VLOOKUP(0,setup!$A$8:$H$58,5),VLOOKUP(N106,setup!$A$8:$H$58,8))</f>
        <v xml:space="preserve">    tecid_usuario.text = widget.usuariopublicidade_full['id_usuario'];</v>
      </c>
    </row>
    <row r="107" spans="1:15" x14ac:dyDescent="0.25">
      <c r="A107" s="6" t="s">
        <v>109</v>
      </c>
      <c r="N107">
        <f t="shared" ref="N107:N142" si="3">N106+1</f>
        <v>2</v>
      </c>
      <c r="O107" s="15" t="str">
        <f ca="1">getCodigoBackend(N107,A107,VLOOKUP(N107,setup!$A$8:$H$58,2),VLOOKUP(N107,setup!$A$8:$H$58,3),VLOOKUP(N107,setup!$A$8:$H$58,4),VLOOKUP(N107,setup!$A$8:$H$58,5),VLOOKUP(N107,setup!$A$8:$H$58,6),VLOOKUP(N107,setup!$A$8:$H$58,7), VLOOKUP(0,setup!$A$8:$H$58,2),VLOOKUP(0,setup!$A$8:$H$58,5),VLOOKUP(N107,setup!$A$8:$H$58,8))</f>
        <v xml:space="preserve">    tectitulo.text = widget.usuariopublicidade_full['titulo'];</v>
      </c>
    </row>
    <row r="108" spans="1:15" x14ac:dyDescent="0.25">
      <c r="A108" s="6" t="s">
        <v>109</v>
      </c>
      <c r="N108">
        <f t="shared" si="3"/>
        <v>3</v>
      </c>
      <c r="O108" s="15" t="str">
        <f ca="1">getCodigoBackend(N108,A108,VLOOKUP(N108,setup!$A$8:$H$58,2),VLOOKUP(N108,setup!$A$8:$H$58,3),VLOOKUP(N108,setup!$A$8:$H$58,4),VLOOKUP(N108,setup!$A$8:$H$58,5),VLOOKUP(N108,setup!$A$8:$H$58,6),VLOOKUP(N108,setup!$A$8:$H$58,7), VLOOKUP(0,setup!$A$8:$H$58,2),VLOOKUP(0,setup!$A$8:$H$58,5),VLOOKUP(N108,setup!$A$8:$H$58,8))</f>
        <v xml:space="preserve">    tecdescricao.text = widget.usuariopublicidade_full['descricao'];</v>
      </c>
    </row>
    <row r="109" spans="1:15" x14ac:dyDescent="0.25">
      <c r="A109" s="6" t="s">
        <v>109</v>
      </c>
      <c r="N109">
        <f t="shared" si="3"/>
        <v>4</v>
      </c>
      <c r="O109" s="15" t="str">
        <f ca="1">getCodigoBackend(N109,A109,VLOOKUP(N109,setup!$A$8:$H$58,2),VLOOKUP(N109,setup!$A$8:$H$58,3),VLOOKUP(N109,setup!$A$8:$H$58,4),VLOOKUP(N109,setup!$A$8:$H$58,5),VLOOKUP(N109,setup!$A$8:$H$58,6),VLOOKUP(N109,setup!$A$8:$H$58,7), VLOOKUP(0,setup!$A$8:$H$58,2),VLOOKUP(0,setup!$A$8:$H$58,5),VLOOKUP(N109,setup!$A$8:$H$58,8))</f>
        <v xml:space="preserve">    tecdataInicio.text = widget.usuariopublicidade_full['dataInicio'];</v>
      </c>
    </row>
    <row r="110" spans="1:15" x14ac:dyDescent="0.25">
      <c r="A110" s="6" t="s">
        <v>109</v>
      </c>
      <c r="N110">
        <f t="shared" si="3"/>
        <v>5</v>
      </c>
      <c r="O110" s="15" t="str">
        <f ca="1">getCodigoBackend(N110,A110,VLOOKUP(N110,setup!$A$8:$H$58,2),VLOOKUP(N110,setup!$A$8:$H$58,3),VLOOKUP(N110,setup!$A$8:$H$58,4),VLOOKUP(N110,setup!$A$8:$H$58,5),VLOOKUP(N110,setup!$A$8:$H$58,6),VLOOKUP(N110,setup!$A$8:$H$58,7), VLOOKUP(0,setup!$A$8:$H$58,2),VLOOKUP(0,setup!$A$8:$H$58,5),VLOOKUP(N110,setup!$A$8:$H$58,8))</f>
        <v xml:space="preserve">    tecdataTermino.text = widget.usuariopublicidade_full['dataTermino'];</v>
      </c>
    </row>
    <row r="111" spans="1:15" x14ac:dyDescent="0.25">
      <c r="A111" s="6" t="s">
        <v>109</v>
      </c>
      <c r="N111">
        <f t="shared" si="3"/>
        <v>6</v>
      </c>
      <c r="O111" s="15" t="str">
        <f ca="1">getCodigoBackend(N111,A111,VLOOKUP(N111,setup!$A$8:$H$58,2),VLOOKUP(N111,setup!$A$8:$H$58,3),VLOOKUP(N111,setup!$A$8:$H$58,4),VLOOKUP(N111,setup!$A$8:$H$58,5),VLOOKUP(N111,setup!$A$8:$H$58,6),VLOOKUP(N111,setup!$A$8:$H$58,7), VLOOKUP(0,setup!$A$8:$H$58,2),VLOOKUP(0,setup!$A$8:$H$58,5),VLOOKUP(N111,setup!$A$8:$H$58,8))</f>
        <v xml:space="preserve">    tecvlNormal.text = widget.usuariopublicidade_full['vlNormal'];</v>
      </c>
    </row>
    <row r="112" spans="1:15" x14ac:dyDescent="0.25">
      <c r="A112" s="6" t="s">
        <v>109</v>
      </c>
      <c r="N112">
        <f t="shared" si="3"/>
        <v>7</v>
      </c>
      <c r="O112" s="15" t="str">
        <f ca="1">getCodigoBackend(N112,A112,VLOOKUP(N112,setup!$A$8:$H$58,2),VLOOKUP(N112,setup!$A$8:$H$58,3),VLOOKUP(N112,setup!$A$8:$H$58,4),VLOOKUP(N112,setup!$A$8:$H$58,5),VLOOKUP(N112,setup!$A$8:$H$58,6),VLOOKUP(N112,setup!$A$8:$H$58,7), VLOOKUP(0,setup!$A$8:$H$58,2),VLOOKUP(0,setup!$A$8:$H$58,5),VLOOKUP(N112,setup!$A$8:$H$58,8))</f>
        <v xml:space="preserve">    tecvlPromo.text = widget.usuariopublicidade_full['vlPromo'];</v>
      </c>
    </row>
    <row r="113" spans="1:15" x14ac:dyDescent="0.25">
      <c r="A113" s="6" t="s">
        <v>109</v>
      </c>
      <c r="N113">
        <f t="shared" si="3"/>
        <v>8</v>
      </c>
      <c r="O113" s="15" t="str">
        <f ca="1">getCodigoBackend(N113,A113,VLOOKUP(N113,setup!$A$8:$H$58,2),VLOOKUP(N113,setup!$A$8:$H$58,3),VLOOKUP(N113,setup!$A$8:$H$58,4),VLOOKUP(N113,setup!$A$8:$H$58,5),VLOOKUP(N113,setup!$A$8:$H$58,6),VLOOKUP(N113,setup!$A$8:$H$58,7), VLOOKUP(0,setup!$A$8:$H$58,2),VLOOKUP(0,setup!$A$8:$H$58,5),VLOOKUP(N113,setup!$A$8:$H$58,8))</f>
        <v xml:space="preserve">    tecobservacao.text = widget.usuariopublicidade_full['observacao'];</v>
      </c>
    </row>
    <row r="114" spans="1:15" x14ac:dyDescent="0.25">
      <c r="A114" s="6" t="s">
        <v>109</v>
      </c>
      <c r="N114">
        <f t="shared" si="3"/>
        <v>9</v>
      </c>
      <c r="O114" s="15" t="str">
        <f ca="1">getCodigoBackend(N114,A114,VLOOKUP(N114,setup!$A$8:$H$58,2),VLOOKUP(N114,setup!$A$8:$H$58,3),VLOOKUP(N114,setup!$A$8:$H$58,4),VLOOKUP(N114,setup!$A$8:$H$58,5),VLOOKUP(N114,setup!$A$8:$H$58,6),VLOOKUP(N114,setup!$A$8:$H$58,7), VLOOKUP(0,setup!$A$8:$H$58,2),VLOOKUP(0,setup!$A$8:$H$58,5),VLOOKUP(N114,setup!$A$8:$H$58,8))</f>
        <v xml:space="preserve">    tecdataRemover.text = widget.usuariopublicidade_full['dataRemover'];</v>
      </c>
    </row>
    <row r="115" spans="1:15" x14ac:dyDescent="0.25">
      <c r="A115" s="6" t="s">
        <v>109</v>
      </c>
      <c r="N115">
        <f t="shared" si="3"/>
        <v>10</v>
      </c>
      <c r="O115" s="15" t="e">
        <f>getCodigoBackend(N115,A115,VLOOKUP(N115,setup!$A$8:$H$58,2),VLOOKUP(N115,setup!$A$8:$H$58,3),VLOOKUP(N115,setup!$A$8:$H$58,4),VLOOKUP(N115,setup!$A$8:$H$58,5),VLOOKUP(N115,setup!$A$8:$H$58,6),VLOOKUP(N115,setup!$A$8:$H$58,7), VLOOKUP(0,setup!$A$8:$H$58,2),VLOOKUP(0,setup!$A$8:$H$58,5),VLOOKUP(N115,setup!$A$8:$H$58,8))</f>
        <v>#VALUE!</v>
      </c>
    </row>
    <row r="116" spans="1:15" x14ac:dyDescent="0.25">
      <c r="A116" s="6" t="s">
        <v>109</v>
      </c>
      <c r="N116">
        <f t="shared" si="3"/>
        <v>11</v>
      </c>
      <c r="O116" s="15" t="e">
        <f>getCodigoBackend(N116,A116,VLOOKUP(N116,setup!$A$8:$H$58,2),VLOOKUP(N116,setup!$A$8:$H$58,3),VLOOKUP(N116,setup!$A$8:$H$58,4),VLOOKUP(N116,setup!$A$8:$H$58,5),VLOOKUP(N116,setup!$A$8:$H$58,6),VLOOKUP(N116,setup!$A$8:$H$58,7), VLOOKUP(0,setup!$A$8:$H$58,2),VLOOKUP(0,setup!$A$8:$H$58,5),VLOOKUP(N116,setup!$A$8:$H$58,8))</f>
        <v>#VALUE!</v>
      </c>
    </row>
    <row r="117" spans="1:15" x14ac:dyDescent="0.25">
      <c r="A117" s="6" t="s">
        <v>109</v>
      </c>
      <c r="N117">
        <f t="shared" si="3"/>
        <v>12</v>
      </c>
      <c r="O117" s="15" t="e">
        <f>getCodigoBackend(N117,A117,VLOOKUP(N117,setup!$A$8:$H$58,2),VLOOKUP(N117,setup!$A$8:$H$58,3),VLOOKUP(N117,setup!$A$8:$H$58,4),VLOOKUP(N117,setup!$A$8:$H$58,5),VLOOKUP(N117,setup!$A$8:$H$58,6),VLOOKUP(N117,setup!$A$8:$H$58,7), VLOOKUP(0,setup!$A$8:$H$58,2),VLOOKUP(0,setup!$A$8:$H$58,5),VLOOKUP(N117,setup!$A$8:$H$58,8))</f>
        <v>#VALUE!</v>
      </c>
    </row>
    <row r="118" spans="1:15" x14ac:dyDescent="0.25">
      <c r="A118" s="6" t="s">
        <v>109</v>
      </c>
      <c r="N118">
        <f t="shared" si="3"/>
        <v>13</v>
      </c>
      <c r="O118" s="15" t="e">
        <f>getCodigoBackend(N118,A118,VLOOKUP(N118,setup!$A$8:$H$58,2),VLOOKUP(N118,setup!$A$8:$H$58,3),VLOOKUP(N118,setup!$A$8:$H$58,4),VLOOKUP(N118,setup!$A$8:$H$58,5),VLOOKUP(N118,setup!$A$8:$H$58,6),VLOOKUP(N118,setup!$A$8:$H$58,7), VLOOKUP(0,setup!$A$8:$H$58,2),VLOOKUP(0,setup!$A$8:$H$58,5),VLOOKUP(N118,setup!$A$8:$H$58,8))</f>
        <v>#VALUE!</v>
      </c>
    </row>
    <row r="119" spans="1:15" x14ac:dyDescent="0.25">
      <c r="A119" s="6" t="s">
        <v>109</v>
      </c>
      <c r="N119">
        <f t="shared" si="3"/>
        <v>14</v>
      </c>
      <c r="O119" s="15" t="e">
        <f>getCodigoBackend(N119,A119,VLOOKUP(N119,setup!$A$8:$H$58,2),VLOOKUP(N119,setup!$A$8:$H$58,3),VLOOKUP(N119,setup!$A$8:$H$58,4),VLOOKUP(N119,setup!$A$8:$H$58,5),VLOOKUP(N119,setup!$A$8:$H$58,6),VLOOKUP(N119,setup!$A$8:$H$58,7), VLOOKUP(0,setup!$A$8:$H$58,2),VLOOKUP(0,setup!$A$8:$H$58,5),VLOOKUP(N119,setup!$A$8:$H$58,8))</f>
        <v>#VALUE!</v>
      </c>
    </row>
    <row r="120" spans="1:15" x14ac:dyDescent="0.25">
      <c r="A120" s="6" t="s">
        <v>109</v>
      </c>
      <c r="N120">
        <f t="shared" si="3"/>
        <v>15</v>
      </c>
      <c r="O120" s="15" t="e">
        <f>getCodigoBackend(N120,A120,VLOOKUP(N120,setup!$A$8:$H$58,2),VLOOKUP(N120,setup!$A$8:$H$58,3),VLOOKUP(N120,setup!$A$8:$H$58,4),VLOOKUP(N120,setup!$A$8:$H$58,5),VLOOKUP(N120,setup!$A$8:$H$58,6),VLOOKUP(N120,setup!$A$8:$H$58,7), VLOOKUP(0,setup!$A$8:$H$58,2),VLOOKUP(0,setup!$A$8:$H$58,5),VLOOKUP(N120,setup!$A$8:$H$58,8))</f>
        <v>#VALUE!</v>
      </c>
    </row>
    <row r="121" spans="1:15" x14ac:dyDescent="0.25">
      <c r="A121" s="6" t="s">
        <v>109</v>
      </c>
      <c r="N121">
        <f t="shared" si="3"/>
        <v>16</v>
      </c>
      <c r="O121" s="15" t="e">
        <f>getCodigoBackend(N121,A121,VLOOKUP(N121,setup!$A$8:$H$58,2),VLOOKUP(N121,setup!$A$8:$H$58,3),VLOOKUP(N121,setup!$A$8:$H$58,4),VLOOKUP(N121,setup!$A$8:$H$58,5),VLOOKUP(N121,setup!$A$8:$H$58,6),VLOOKUP(N121,setup!$A$8:$H$58,7), VLOOKUP(0,setup!$A$8:$H$58,2),VLOOKUP(0,setup!$A$8:$H$58,5),VLOOKUP(N121,setup!$A$8:$H$58,8))</f>
        <v>#VALUE!</v>
      </c>
    </row>
    <row r="122" spans="1:15" x14ac:dyDescent="0.25">
      <c r="A122" s="6" t="s">
        <v>109</v>
      </c>
      <c r="N122">
        <f t="shared" si="3"/>
        <v>17</v>
      </c>
      <c r="O122" s="15" t="e">
        <f>getCodigoBackend(N122,A122,VLOOKUP(N122,setup!$A$8:$H$58,2),VLOOKUP(N122,setup!$A$8:$H$58,3),VLOOKUP(N122,setup!$A$8:$H$58,4),VLOOKUP(N122,setup!$A$8:$H$58,5),VLOOKUP(N122,setup!$A$8:$H$58,6),VLOOKUP(N122,setup!$A$8:$H$58,7), VLOOKUP(0,setup!$A$8:$H$58,2),VLOOKUP(0,setup!$A$8:$H$58,5),VLOOKUP(N122,setup!$A$8:$H$58,8))</f>
        <v>#VALUE!</v>
      </c>
    </row>
    <row r="123" spans="1:15" x14ac:dyDescent="0.25">
      <c r="A123" s="6" t="s">
        <v>109</v>
      </c>
      <c r="N123">
        <f t="shared" si="3"/>
        <v>18</v>
      </c>
      <c r="O123" s="15" t="e">
        <f>getCodigoBackend(N123,A123,VLOOKUP(N123,setup!$A$8:$H$58,2),VLOOKUP(N123,setup!$A$8:$H$58,3),VLOOKUP(N123,setup!$A$8:$H$58,4),VLOOKUP(N123,setup!$A$8:$H$58,5),VLOOKUP(N123,setup!$A$8:$H$58,6),VLOOKUP(N123,setup!$A$8:$H$58,7), VLOOKUP(0,setup!$A$8:$H$58,2),VLOOKUP(0,setup!$A$8:$H$58,5),VLOOKUP(N123,setup!$A$8:$H$58,8))</f>
        <v>#VALUE!</v>
      </c>
    </row>
    <row r="124" spans="1:15" x14ac:dyDescent="0.25">
      <c r="A124" s="6" t="s">
        <v>109</v>
      </c>
      <c r="N124">
        <f t="shared" si="3"/>
        <v>19</v>
      </c>
      <c r="O124" s="15" t="e">
        <f>getCodigoBackend(N124,A124,VLOOKUP(N124,setup!$A$8:$H$58,2),VLOOKUP(N124,setup!$A$8:$H$58,3),VLOOKUP(N124,setup!$A$8:$H$58,4),VLOOKUP(N124,setup!$A$8:$H$58,5),VLOOKUP(N124,setup!$A$8:$H$58,6),VLOOKUP(N124,setup!$A$8:$H$58,7), VLOOKUP(0,setup!$A$8:$H$58,2),VLOOKUP(0,setup!$A$8:$H$58,5),VLOOKUP(N124,setup!$A$8:$H$58,8))</f>
        <v>#VALUE!</v>
      </c>
    </row>
    <row r="125" spans="1:15" x14ac:dyDescent="0.25">
      <c r="A125" s="6" t="s">
        <v>109</v>
      </c>
      <c r="N125">
        <f t="shared" si="3"/>
        <v>20</v>
      </c>
      <c r="O125" s="15" t="e">
        <f>getCodigoBackend(N125,A125,VLOOKUP(N125,setup!$A$8:$H$58,2),VLOOKUP(N125,setup!$A$8:$H$58,3),VLOOKUP(N125,setup!$A$8:$H$58,4),VLOOKUP(N125,setup!$A$8:$H$58,5),VLOOKUP(N125,setup!$A$8:$H$58,6),VLOOKUP(N125,setup!$A$8:$H$58,7), VLOOKUP(0,setup!$A$8:$H$58,2),VLOOKUP(0,setup!$A$8:$H$58,5),VLOOKUP(N125,setup!$A$8:$H$58,8))</f>
        <v>#VALUE!</v>
      </c>
    </row>
    <row r="126" spans="1:15" x14ac:dyDescent="0.25">
      <c r="A126" s="6" t="s">
        <v>109</v>
      </c>
      <c r="N126">
        <f t="shared" si="3"/>
        <v>21</v>
      </c>
      <c r="O126" s="15" t="e">
        <f>getCodigoBackend(N126,A126,VLOOKUP(N126,setup!$A$8:$H$58,2),VLOOKUP(N126,setup!$A$8:$H$58,3),VLOOKUP(N126,setup!$A$8:$H$58,4),VLOOKUP(N126,setup!$A$8:$H$58,5),VLOOKUP(N126,setup!$A$8:$H$58,6),VLOOKUP(N126,setup!$A$8:$H$58,7), VLOOKUP(0,setup!$A$8:$H$58,2),VLOOKUP(0,setup!$A$8:$H$58,5),VLOOKUP(N126,setup!$A$8:$H$58,8))</f>
        <v>#VALUE!</v>
      </c>
    </row>
    <row r="127" spans="1:15" x14ac:dyDescent="0.25">
      <c r="A127" s="6" t="s">
        <v>109</v>
      </c>
      <c r="N127">
        <f t="shared" si="3"/>
        <v>22</v>
      </c>
      <c r="O127" s="15" t="e">
        <f>getCodigoBackend(N127,A127,VLOOKUP(N127,setup!$A$8:$H$58,2),VLOOKUP(N127,setup!$A$8:$H$58,3),VLOOKUP(N127,setup!$A$8:$H$58,4),VLOOKUP(N127,setup!$A$8:$H$58,5),VLOOKUP(N127,setup!$A$8:$H$58,6),VLOOKUP(N127,setup!$A$8:$H$58,7), VLOOKUP(0,setup!$A$8:$H$58,2),VLOOKUP(0,setup!$A$8:$H$58,5),VLOOKUP(N127,setup!$A$8:$H$58,8))</f>
        <v>#VALUE!</v>
      </c>
    </row>
    <row r="128" spans="1:15" x14ac:dyDescent="0.25">
      <c r="A128" s="6" t="s">
        <v>109</v>
      </c>
      <c r="N128">
        <f t="shared" si="3"/>
        <v>23</v>
      </c>
      <c r="O128" s="15" t="e">
        <f>getCodigoBackend(N128,A128,VLOOKUP(N128,setup!$A$8:$H$58,2),VLOOKUP(N128,setup!$A$8:$H$58,3),VLOOKUP(N128,setup!$A$8:$H$58,4),VLOOKUP(N128,setup!$A$8:$H$58,5),VLOOKUP(N128,setup!$A$8:$H$58,6),VLOOKUP(N128,setup!$A$8:$H$58,7), VLOOKUP(0,setup!$A$8:$H$58,2),VLOOKUP(0,setup!$A$8:$H$58,5),VLOOKUP(N128,setup!$A$8:$H$58,8))</f>
        <v>#VALUE!</v>
      </c>
    </row>
    <row r="129" spans="1:15" x14ac:dyDescent="0.25">
      <c r="A129" s="6" t="s">
        <v>109</v>
      </c>
      <c r="N129">
        <f t="shared" si="3"/>
        <v>24</v>
      </c>
      <c r="O129" s="15" t="e">
        <f>getCodigoBackend(N129,A129,VLOOKUP(N129,setup!$A$8:$H$58,2),VLOOKUP(N129,setup!$A$8:$H$58,3),VLOOKUP(N129,setup!$A$8:$H$58,4),VLOOKUP(N129,setup!$A$8:$H$58,5),VLOOKUP(N129,setup!$A$8:$H$58,6),VLOOKUP(N129,setup!$A$8:$H$58,7), VLOOKUP(0,setup!$A$8:$H$58,2),VLOOKUP(0,setup!$A$8:$H$58,5),VLOOKUP(N129,setup!$A$8:$H$58,8))</f>
        <v>#VALUE!</v>
      </c>
    </row>
    <row r="130" spans="1:15" x14ac:dyDescent="0.25">
      <c r="A130" s="6" t="s">
        <v>109</v>
      </c>
      <c r="N130">
        <f t="shared" si="3"/>
        <v>25</v>
      </c>
      <c r="O130" s="15" t="e">
        <f>getCodigoBackend(N130,A130,VLOOKUP(N130,setup!$A$8:$H$58,2),VLOOKUP(N130,setup!$A$8:$H$58,3),VLOOKUP(N130,setup!$A$8:$H$58,4),VLOOKUP(N130,setup!$A$8:$H$58,5),VLOOKUP(N130,setup!$A$8:$H$58,6),VLOOKUP(N130,setup!$A$8:$H$58,7), VLOOKUP(0,setup!$A$8:$H$58,2),VLOOKUP(0,setup!$A$8:$H$58,5),VLOOKUP(N130,setup!$A$8:$H$58,8))</f>
        <v>#VALUE!</v>
      </c>
    </row>
    <row r="131" spans="1:15" x14ac:dyDescent="0.25">
      <c r="A131" s="6" t="s">
        <v>109</v>
      </c>
      <c r="N131">
        <f t="shared" si="3"/>
        <v>26</v>
      </c>
      <c r="O131" s="15" t="e">
        <f>getCodigoBackend(N131,A131,VLOOKUP(N131,setup!$A$8:$H$58,2),VLOOKUP(N131,setup!$A$8:$H$58,3),VLOOKUP(N131,setup!$A$8:$H$58,4),VLOOKUP(N131,setup!$A$8:$H$58,5),VLOOKUP(N131,setup!$A$8:$H$58,6),VLOOKUP(N131,setup!$A$8:$H$58,7), VLOOKUP(0,setup!$A$8:$H$58,2),VLOOKUP(0,setup!$A$8:$H$58,5),VLOOKUP(N131,setup!$A$8:$H$58,8))</f>
        <v>#VALUE!</v>
      </c>
    </row>
    <row r="132" spans="1:15" x14ac:dyDescent="0.25">
      <c r="A132" s="6" t="s">
        <v>109</v>
      </c>
      <c r="N132">
        <f t="shared" si="3"/>
        <v>27</v>
      </c>
      <c r="O132" s="15" t="e">
        <f>getCodigoBackend(N132,A132,VLOOKUP(N132,setup!$A$8:$H$58,2),VLOOKUP(N132,setup!$A$8:$H$58,3),VLOOKUP(N132,setup!$A$8:$H$58,4),VLOOKUP(N132,setup!$A$8:$H$58,5),VLOOKUP(N132,setup!$A$8:$H$58,6),VLOOKUP(N132,setup!$A$8:$H$58,7), VLOOKUP(0,setup!$A$8:$H$58,2),VLOOKUP(0,setup!$A$8:$H$58,5),VLOOKUP(N132,setup!$A$8:$H$58,8))</f>
        <v>#VALUE!</v>
      </c>
    </row>
    <row r="133" spans="1:15" x14ac:dyDescent="0.25">
      <c r="A133" s="6" t="s">
        <v>109</v>
      </c>
      <c r="N133">
        <f t="shared" si="3"/>
        <v>28</v>
      </c>
      <c r="O133" s="15" t="e">
        <f>getCodigoBackend(N133,A133,VLOOKUP(N133,setup!$A$8:$H$58,2),VLOOKUP(N133,setup!$A$8:$H$58,3),VLOOKUP(N133,setup!$A$8:$H$58,4),VLOOKUP(N133,setup!$A$8:$H$58,5),VLOOKUP(N133,setup!$A$8:$H$58,6),VLOOKUP(N133,setup!$A$8:$H$58,7), VLOOKUP(0,setup!$A$8:$H$58,2),VLOOKUP(0,setup!$A$8:$H$58,5),VLOOKUP(N133,setup!$A$8:$H$58,8))</f>
        <v>#VALUE!</v>
      </c>
    </row>
    <row r="134" spans="1:15" x14ac:dyDescent="0.25">
      <c r="A134" s="6" t="s">
        <v>109</v>
      </c>
      <c r="N134">
        <f t="shared" si="3"/>
        <v>29</v>
      </c>
      <c r="O134" s="15" t="e">
        <f>getCodigoBackend(N134,A134,VLOOKUP(N134,setup!$A$8:$H$58,2),VLOOKUP(N134,setup!$A$8:$H$58,3),VLOOKUP(N134,setup!$A$8:$H$58,4),VLOOKUP(N134,setup!$A$8:$H$58,5),VLOOKUP(N134,setup!$A$8:$H$58,6),VLOOKUP(N134,setup!$A$8:$H$58,7), VLOOKUP(0,setup!$A$8:$H$58,2),VLOOKUP(0,setup!$A$8:$H$58,5),VLOOKUP(N134,setup!$A$8:$H$58,8))</f>
        <v>#VALUE!</v>
      </c>
    </row>
    <row r="135" spans="1:15" x14ac:dyDescent="0.25">
      <c r="A135" s="6" t="s">
        <v>109</v>
      </c>
      <c r="N135">
        <f t="shared" si="3"/>
        <v>30</v>
      </c>
      <c r="O135" s="15" t="e">
        <f>getCodigoBackend(N135,A135,VLOOKUP(N135,setup!$A$8:$H$58,2),VLOOKUP(N135,setup!$A$8:$H$58,3),VLOOKUP(N135,setup!$A$8:$H$58,4),VLOOKUP(N135,setup!$A$8:$H$58,5),VLOOKUP(N135,setup!$A$8:$H$58,6),VLOOKUP(N135,setup!$A$8:$H$58,7), VLOOKUP(0,setup!$A$8:$H$58,2),VLOOKUP(0,setup!$A$8:$H$58,5),VLOOKUP(N135,setup!$A$8:$H$58,8))</f>
        <v>#VALUE!</v>
      </c>
    </row>
    <row r="136" spans="1:15" x14ac:dyDescent="0.25">
      <c r="A136" s="6" t="s">
        <v>109</v>
      </c>
      <c r="N136">
        <f t="shared" si="3"/>
        <v>31</v>
      </c>
      <c r="O136" s="15" t="e">
        <f>getCodigoBackend(N136,A136,VLOOKUP(N136,setup!$A$8:$H$58,2),VLOOKUP(N136,setup!$A$8:$H$58,3),VLOOKUP(N136,setup!$A$8:$H$58,4),VLOOKUP(N136,setup!$A$8:$H$58,5),VLOOKUP(N136,setup!$A$8:$H$58,6),VLOOKUP(N136,setup!$A$8:$H$58,7), VLOOKUP(0,setup!$A$8:$H$58,2),VLOOKUP(0,setup!$A$8:$H$58,5),VLOOKUP(N136,setup!$A$8:$H$58,8))</f>
        <v>#VALUE!</v>
      </c>
    </row>
    <row r="137" spans="1:15" x14ac:dyDescent="0.25">
      <c r="A137" s="6" t="s">
        <v>109</v>
      </c>
      <c r="N137">
        <f t="shared" si="3"/>
        <v>32</v>
      </c>
      <c r="O137" s="15" t="e">
        <f>getCodigoBackend(N137,A137,VLOOKUP(N137,setup!$A$8:$H$58,2),VLOOKUP(N137,setup!$A$8:$H$58,3),VLOOKUP(N137,setup!$A$8:$H$58,4),VLOOKUP(N137,setup!$A$8:$H$58,5),VLOOKUP(N137,setup!$A$8:$H$58,6),VLOOKUP(N137,setup!$A$8:$H$58,7), VLOOKUP(0,setup!$A$8:$H$58,2),VLOOKUP(0,setup!$A$8:$H$58,5),VLOOKUP(N137,setup!$A$8:$H$58,8))</f>
        <v>#VALUE!</v>
      </c>
    </row>
    <row r="138" spans="1:15" x14ac:dyDescent="0.25">
      <c r="A138" s="6" t="s">
        <v>109</v>
      </c>
      <c r="N138">
        <f t="shared" si="3"/>
        <v>33</v>
      </c>
      <c r="O138" s="15" t="e">
        <f>getCodigoBackend(N138,A138,VLOOKUP(N138,setup!$A$8:$H$58,2),VLOOKUP(N138,setup!$A$8:$H$58,3),VLOOKUP(N138,setup!$A$8:$H$58,4),VLOOKUP(N138,setup!$A$8:$H$58,5),VLOOKUP(N138,setup!$A$8:$H$58,6),VLOOKUP(N138,setup!$A$8:$H$58,7), VLOOKUP(0,setup!$A$8:$H$58,2),VLOOKUP(0,setup!$A$8:$H$58,5),VLOOKUP(N138,setup!$A$8:$H$58,8))</f>
        <v>#VALUE!</v>
      </c>
    </row>
    <row r="139" spans="1:15" x14ac:dyDescent="0.25">
      <c r="A139" s="6" t="s">
        <v>109</v>
      </c>
      <c r="N139">
        <f t="shared" si="3"/>
        <v>34</v>
      </c>
      <c r="O139" s="15" t="e">
        <f>getCodigoBackend(N139,A139,VLOOKUP(N139,setup!$A$8:$H$58,2),VLOOKUP(N139,setup!$A$8:$H$58,3),VLOOKUP(N139,setup!$A$8:$H$58,4),VLOOKUP(N139,setup!$A$8:$H$58,5),VLOOKUP(N139,setup!$A$8:$H$58,6),VLOOKUP(N139,setup!$A$8:$H$58,7), VLOOKUP(0,setup!$A$8:$H$58,2),VLOOKUP(0,setup!$A$8:$H$58,5),VLOOKUP(N139,setup!$A$8:$H$58,8))</f>
        <v>#VALUE!</v>
      </c>
    </row>
    <row r="140" spans="1:15" x14ac:dyDescent="0.25">
      <c r="A140" s="6" t="s">
        <v>109</v>
      </c>
      <c r="N140">
        <f t="shared" si="3"/>
        <v>35</v>
      </c>
      <c r="O140" s="15" t="e">
        <f>getCodigoBackend(N140,A140,VLOOKUP(N140,setup!$A$8:$H$58,2),VLOOKUP(N140,setup!$A$8:$H$58,3),VLOOKUP(N140,setup!$A$8:$H$58,4),VLOOKUP(N140,setup!$A$8:$H$58,5),VLOOKUP(N140,setup!$A$8:$H$58,6),VLOOKUP(N140,setup!$A$8:$H$58,7), VLOOKUP(0,setup!$A$8:$H$58,2),VLOOKUP(0,setup!$A$8:$H$58,5),VLOOKUP(N140,setup!$A$8:$H$58,8))</f>
        <v>#VALUE!</v>
      </c>
    </row>
    <row r="141" spans="1:15" x14ac:dyDescent="0.25">
      <c r="A141" s="6" t="s">
        <v>109</v>
      </c>
      <c r="N141">
        <f t="shared" si="3"/>
        <v>36</v>
      </c>
      <c r="O141" s="15" t="e">
        <f>getCodigoBackend(N141,A141,VLOOKUP(N141,setup!$A$8:$H$58,2),VLOOKUP(N141,setup!$A$8:$H$58,3),VLOOKUP(N141,setup!$A$8:$H$58,4),VLOOKUP(N141,setup!$A$8:$H$58,5),VLOOKUP(N141,setup!$A$8:$H$58,6),VLOOKUP(N141,setup!$A$8:$H$58,7), VLOOKUP(0,setup!$A$8:$H$58,2),VLOOKUP(0,setup!$A$8:$H$58,5),VLOOKUP(N141,setup!$A$8:$H$58,8))</f>
        <v>#VALUE!</v>
      </c>
    </row>
    <row r="142" spans="1:15" x14ac:dyDescent="0.25">
      <c r="A142" s="6" t="s">
        <v>109</v>
      </c>
      <c r="N142">
        <f t="shared" si="3"/>
        <v>37</v>
      </c>
      <c r="O142" s="15" t="e">
        <f>getCodigoBackend(N142,A142,VLOOKUP(N142,setup!$A$8:$H$58,2),VLOOKUP(N142,setup!$A$8:$H$58,3),VLOOKUP(N142,setup!$A$8:$H$58,4),VLOOKUP(N142,setup!$A$8:$H$58,5),VLOOKUP(N142,setup!$A$8:$H$58,6),VLOOKUP(N142,setup!$A$8:$H$58,7), VLOOKUP(0,setup!$A$8:$H$58,2),VLOOKUP(0,setup!$A$8:$H$58,5),VLOOKUP(N142,setup!$A$8:$H$58,8))</f>
        <v>#VALUE!</v>
      </c>
    </row>
    <row r="143" spans="1:15" x14ac:dyDescent="0.25">
      <c r="A143" s="6" t="s">
        <v>109</v>
      </c>
      <c r="N143">
        <f t="shared" ref="N143:N155" si="4">N142+1</f>
        <v>38</v>
      </c>
      <c r="O143" s="15" t="e">
        <f>getCodigoBackend(N143,A143,VLOOKUP(N143,setup!$A$8:$H$58,2),VLOOKUP(N143,setup!$A$8:$H$58,3),VLOOKUP(N143,setup!$A$8:$H$58,4),VLOOKUP(N143,setup!$A$8:$H$58,5),VLOOKUP(N143,setup!$A$8:$H$58,6),VLOOKUP(N143,setup!$A$8:$H$58,7), VLOOKUP(0,setup!$A$8:$H$58,2),VLOOKUP(0,setup!$A$8:$H$58,5),VLOOKUP(N143,setup!$A$8:$H$58,8))</f>
        <v>#VALUE!</v>
      </c>
    </row>
    <row r="144" spans="1:15" x14ac:dyDescent="0.25">
      <c r="A144" s="6" t="s">
        <v>109</v>
      </c>
      <c r="N144">
        <f t="shared" si="4"/>
        <v>39</v>
      </c>
      <c r="O144" s="15" t="e">
        <f>getCodigoBackend(N144,A144,VLOOKUP(N144,setup!$A$8:$H$58,2),VLOOKUP(N144,setup!$A$8:$H$58,3),VLOOKUP(N144,setup!$A$8:$H$58,4),VLOOKUP(N144,setup!$A$8:$H$58,5),VLOOKUP(N144,setup!$A$8:$H$58,6),VLOOKUP(N144,setup!$A$8:$H$58,7), VLOOKUP(0,setup!$A$8:$H$58,2),VLOOKUP(0,setup!$A$8:$H$58,5),VLOOKUP(N144,setup!$A$8:$H$58,8))</f>
        <v>#VALUE!</v>
      </c>
    </row>
    <row r="145" spans="1:15" x14ac:dyDescent="0.25">
      <c r="A145" s="6" t="s">
        <v>109</v>
      </c>
      <c r="N145">
        <f t="shared" si="4"/>
        <v>40</v>
      </c>
      <c r="O145" s="15" t="e">
        <f>getCodigoBackend(N145,A145,VLOOKUP(N145,setup!$A$8:$H$58,2),VLOOKUP(N145,setup!$A$8:$H$58,3),VLOOKUP(N145,setup!$A$8:$H$58,4),VLOOKUP(N145,setup!$A$8:$H$58,5),VLOOKUP(N145,setup!$A$8:$H$58,6),VLOOKUP(N145,setup!$A$8:$H$58,7), VLOOKUP(0,setup!$A$8:$H$58,2),VLOOKUP(0,setup!$A$8:$H$58,5),VLOOKUP(N145,setup!$A$8:$H$58,8))</f>
        <v>#VALUE!</v>
      </c>
    </row>
    <row r="146" spans="1:15" x14ac:dyDescent="0.25">
      <c r="A146" s="6" t="s">
        <v>109</v>
      </c>
      <c r="N146">
        <f t="shared" si="4"/>
        <v>41</v>
      </c>
      <c r="O146" s="15" t="e">
        <f>getCodigoBackend(N146,A146,VLOOKUP(N146,setup!$A$8:$H$58,2),VLOOKUP(N146,setup!$A$8:$H$58,3),VLOOKUP(N146,setup!$A$8:$H$58,4),VLOOKUP(N146,setup!$A$8:$H$58,5),VLOOKUP(N146,setup!$A$8:$H$58,6),VLOOKUP(N146,setup!$A$8:$H$58,7), VLOOKUP(0,setup!$A$8:$H$58,2),VLOOKUP(0,setup!$A$8:$H$58,5),VLOOKUP(N146,setup!$A$8:$H$58,8))</f>
        <v>#VALUE!</v>
      </c>
    </row>
    <row r="147" spans="1:15" x14ac:dyDescent="0.25">
      <c r="A147" s="6" t="s">
        <v>109</v>
      </c>
      <c r="N147">
        <f t="shared" si="4"/>
        <v>42</v>
      </c>
      <c r="O147" s="15" t="e">
        <f>getCodigoBackend(N147,A147,VLOOKUP(N147,setup!$A$8:$H$58,2),VLOOKUP(N147,setup!$A$8:$H$58,3),VLOOKUP(N147,setup!$A$8:$H$58,4),VLOOKUP(N147,setup!$A$8:$H$58,5),VLOOKUP(N147,setup!$A$8:$H$58,6),VLOOKUP(N147,setup!$A$8:$H$58,7), VLOOKUP(0,setup!$A$8:$H$58,2),VLOOKUP(0,setup!$A$8:$H$58,5),VLOOKUP(N147,setup!$A$8:$H$58,8))</f>
        <v>#VALUE!</v>
      </c>
    </row>
    <row r="148" spans="1:15" x14ac:dyDescent="0.25">
      <c r="A148" s="6" t="s">
        <v>109</v>
      </c>
      <c r="N148">
        <f t="shared" si="4"/>
        <v>43</v>
      </c>
      <c r="O148" s="15" t="e">
        <f>getCodigoBackend(N148,A148,VLOOKUP(N148,setup!$A$8:$H$58,2),VLOOKUP(N148,setup!$A$8:$H$58,3),VLOOKUP(N148,setup!$A$8:$H$58,4),VLOOKUP(N148,setup!$A$8:$H$58,5),VLOOKUP(N148,setup!$A$8:$H$58,6),VLOOKUP(N148,setup!$A$8:$H$58,7), VLOOKUP(0,setup!$A$8:$H$58,2),VLOOKUP(0,setup!$A$8:$H$58,5),VLOOKUP(N148,setup!$A$8:$H$58,8))</f>
        <v>#VALUE!</v>
      </c>
    </row>
    <row r="149" spans="1:15" x14ac:dyDescent="0.25">
      <c r="A149" s="6" t="s">
        <v>109</v>
      </c>
      <c r="N149">
        <f t="shared" si="4"/>
        <v>44</v>
      </c>
      <c r="O149" s="15" t="e">
        <f>getCodigoBackend(N149,A149,VLOOKUP(N149,setup!$A$8:$H$58,2),VLOOKUP(N149,setup!$A$8:$H$58,3),VLOOKUP(N149,setup!$A$8:$H$58,4),VLOOKUP(N149,setup!$A$8:$H$58,5),VLOOKUP(N149,setup!$A$8:$H$58,6),VLOOKUP(N149,setup!$A$8:$H$58,7), VLOOKUP(0,setup!$A$8:$H$58,2),VLOOKUP(0,setup!$A$8:$H$58,5),VLOOKUP(N149,setup!$A$8:$H$58,8))</f>
        <v>#VALUE!</v>
      </c>
    </row>
    <row r="150" spans="1:15" x14ac:dyDescent="0.25">
      <c r="A150" s="6" t="s">
        <v>109</v>
      </c>
      <c r="N150">
        <f t="shared" si="4"/>
        <v>45</v>
      </c>
      <c r="O150" s="15" t="e">
        <f>getCodigoBackend(N150,A150,VLOOKUP(N150,setup!$A$8:$H$58,2),VLOOKUP(N150,setup!$A$8:$H$58,3),VLOOKUP(N150,setup!$A$8:$H$58,4),VLOOKUP(N150,setup!$A$8:$H$58,5),VLOOKUP(N150,setup!$A$8:$H$58,6),VLOOKUP(N150,setup!$A$8:$H$58,7), VLOOKUP(0,setup!$A$8:$H$58,2),VLOOKUP(0,setup!$A$8:$H$58,5),VLOOKUP(N150,setup!$A$8:$H$58,8))</f>
        <v>#VALUE!</v>
      </c>
    </row>
    <row r="151" spans="1:15" x14ac:dyDescent="0.25">
      <c r="A151" s="6" t="s">
        <v>109</v>
      </c>
      <c r="N151">
        <f t="shared" si="4"/>
        <v>46</v>
      </c>
      <c r="O151" s="15" t="e">
        <f>getCodigoBackend(N151,A151,VLOOKUP(N151,setup!$A$8:$H$58,2),VLOOKUP(N151,setup!$A$8:$H$58,3),VLOOKUP(N151,setup!$A$8:$H$58,4),VLOOKUP(N151,setup!$A$8:$H$58,5),VLOOKUP(N151,setup!$A$8:$H$58,6),VLOOKUP(N151,setup!$A$8:$H$58,7), VLOOKUP(0,setup!$A$8:$H$58,2),VLOOKUP(0,setup!$A$8:$H$58,5),VLOOKUP(N151,setup!$A$8:$H$58,8))</f>
        <v>#VALUE!</v>
      </c>
    </row>
    <row r="152" spans="1:15" x14ac:dyDescent="0.25">
      <c r="A152" s="6" t="s">
        <v>109</v>
      </c>
      <c r="N152">
        <f t="shared" si="4"/>
        <v>47</v>
      </c>
      <c r="O152" s="15" t="e">
        <f>getCodigoBackend(N152,A152,VLOOKUP(N152,setup!$A$8:$H$58,2),VLOOKUP(N152,setup!$A$8:$H$58,3),VLOOKUP(N152,setup!$A$8:$H$58,4),VLOOKUP(N152,setup!$A$8:$H$58,5),VLOOKUP(N152,setup!$A$8:$H$58,6),VLOOKUP(N152,setup!$A$8:$H$58,7), VLOOKUP(0,setup!$A$8:$H$58,2),VLOOKUP(0,setup!$A$8:$H$58,5),VLOOKUP(N152,setup!$A$8:$H$58,8))</f>
        <v>#VALUE!</v>
      </c>
    </row>
    <row r="153" spans="1:15" x14ac:dyDescent="0.25">
      <c r="A153" s="6" t="s">
        <v>109</v>
      </c>
      <c r="N153">
        <f t="shared" si="4"/>
        <v>48</v>
      </c>
      <c r="O153" s="15" t="str">
        <f ca="1">getCodigoBackend(N153,A153,VLOOKUP(N153,setup!$A$8:$H$58,2),VLOOKUP(N153,setup!$A$8:$H$58,3),VLOOKUP(N153,setup!$A$8:$H$58,4),VLOOKUP(N153,setup!$A$8:$H$58,5),VLOOKUP(N153,setup!$A$8:$H$58,6),VLOOKUP(N153,setup!$A$8:$H$58,7), VLOOKUP(0,setup!$A$8:$H$58,2),VLOOKUP(0,setup!$A$8:$H$58,5),VLOOKUP(N153,setup!$A$8:$H$58,8))</f>
        <v xml:space="preserve">    tecstatus.text = widget.usuariopublicidade_full['status'];</v>
      </c>
    </row>
    <row r="154" spans="1:15" x14ac:dyDescent="0.25">
      <c r="A154" s="6" t="s">
        <v>109</v>
      </c>
      <c r="N154">
        <f t="shared" si="4"/>
        <v>49</v>
      </c>
      <c r="O154" s="15" t="str">
        <f ca="1">getCodigoBackend(N154,A154,VLOOKUP(N154,setup!$A$8:$H$58,2),VLOOKUP(N154,setup!$A$8:$H$58,3),VLOOKUP(N154,setup!$A$8:$H$58,4),VLOOKUP(N154,setup!$A$8:$H$58,5),VLOOKUP(N154,setup!$A$8:$H$58,6),VLOOKUP(N154,setup!$A$8:$H$58,7), VLOOKUP(0,setup!$A$8:$H$58,2),VLOOKUP(0,setup!$A$8:$H$58,5),VLOOKUP(N154,setup!$A$8:$H$58,8))</f>
        <v xml:space="preserve">    tecdataCadastro.text = widget.usuariopublicidade_full['dataCadastro'];</v>
      </c>
    </row>
    <row r="155" spans="1:15" x14ac:dyDescent="0.25">
      <c r="A155" s="6" t="s">
        <v>109</v>
      </c>
      <c r="N155">
        <f t="shared" si="4"/>
        <v>50</v>
      </c>
      <c r="O155" s="15" t="str">
        <f ca="1">getCodigoBackend(N155,A155,VLOOKUP(N155,setup!$A$8:$H$58,2),VLOOKUP(N155,setup!$A$8:$H$58,3),VLOOKUP(N155,setup!$A$8:$H$58,4),VLOOKUP(N155,setup!$A$8:$H$58,5),VLOOKUP(N155,setup!$A$8:$H$58,6),VLOOKUP(N155,setup!$A$8:$H$58,7), VLOOKUP(0,setup!$A$8:$H$58,2),VLOOKUP(0,setup!$A$8:$H$58,5),VLOOKUP(N155,setup!$A$8:$H$58,8))</f>
        <v xml:space="preserve">    tecdataAtualizacao.text = widget.usuariopublicidade_full['dataAtualizacao'];</v>
      </c>
    </row>
    <row r="156" spans="1:15" x14ac:dyDescent="0.25">
      <c r="A156" s="6" t="s">
        <v>41</v>
      </c>
      <c r="O156" s="15" t="str">
        <f ca="1">getCodigoBackend(N156,A156,VLOOKUP(N156,setup!$A$8:$H$58,2),VLOOKUP(N156,setup!$A$8:$H$58,3),VLOOKUP(N156,setup!$A$8:$H$58,4),VLOOKUP(N156,setup!$A$8:$H$58,5),VLOOKUP(N156,setup!$A$8:$H$58,6),VLOOKUP(N156,setup!$A$8:$H$58,7), VLOOKUP(0,setup!$A$8:$H$58,2),VLOOKUP(0,setup!$A$8:$H$58,5),VLOOKUP(N156,setup!$A$8:$H$58,8))</f>
        <v xml:space="preserve">  }</v>
      </c>
    </row>
    <row r="157" spans="1:15" x14ac:dyDescent="0.25">
      <c r="A157" s="6" t="s">
        <v>122</v>
      </c>
      <c r="O157" s="15" t="str">
        <f ca="1">getCodigoBackend(N157,A157,VLOOKUP(N157,setup!$A$8:$H$58,2),VLOOKUP(N157,setup!$A$8:$H$58,3),VLOOKUP(N157,setup!$A$8:$H$58,4),VLOOKUP(N157,setup!$A$8:$H$58,5),VLOOKUP(N157,setup!$A$8:$H$58,6),VLOOKUP(N157,setup!$A$8:$H$58,7), VLOOKUP(0,setup!$A$8:$H$58,2),VLOOKUP(0,setup!$A$8:$H$58,5),VLOOKUP(N157,setup!$A$8:$H$58,8))</f>
        <v xml:space="preserve">   */</v>
      </c>
    </row>
    <row r="158" spans="1:15" x14ac:dyDescent="0.25">
      <c r="A158" s="6"/>
      <c r="O158" s="15" t="str">
        <f ca="1">getCodigoBackend(N158,A158,VLOOKUP(N158,setup!$A$8:$H$58,2),VLOOKUP(N158,setup!$A$8:$H$58,3),VLOOKUP(N158,setup!$A$8:$H$58,4),VLOOKUP(N158,setup!$A$8:$H$58,5),VLOOKUP(N158,setup!$A$8:$H$58,6),VLOOKUP(N158,setup!$A$8:$H$58,7), VLOOKUP(0,setup!$A$8:$H$58,2),VLOOKUP(0,setup!$A$8:$H$58,5),VLOOKUP(N158,setup!$A$8:$H$58,8))</f>
        <v/>
      </c>
    </row>
    <row r="159" spans="1:15" x14ac:dyDescent="0.25">
      <c r="A159" s="6" t="s">
        <v>65</v>
      </c>
      <c r="O159" s="15" t="str">
        <f ca="1">getCodigoBackend(N159,A159,VLOOKUP(N159,setup!$A$8:$H$58,2),VLOOKUP(N159,setup!$A$8:$H$58,3),VLOOKUP(N159,setup!$A$8:$H$58,4),VLOOKUP(N159,setup!$A$8:$H$58,5),VLOOKUP(N159,setup!$A$8:$H$58,6),VLOOKUP(N159,setup!$A$8:$H$58,7), VLOOKUP(0,setup!$A$8:$H$58,2),VLOOKUP(0,setup!$A$8:$H$58,5),VLOOKUP(N159,setup!$A$8:$H$58,8))</f>
        <v xml:space="preserve">  @override</v>
      </c>
    </row>
    <row r="160" spans="1:15" x14ac:dyDescent="0.25">
      <c r="A160" s="6" t="s">
        <v>69</v>
      </c>
      <c r="O160" s="15" t="str">
        <f ca="1">getCodigoBackend(N160,A160,VLOOKUP(N160,setup!$A$8:$H$58,2),VLOOKUP(N160,setup!$A$8:$H$58,3),VLOOKUP(N160,setup!$A$8:$H$58,4),VLOOKUP(N160,setup!$A$8:$H$58,5),VLOOKUP(N160,setup!$A$8:$H$58,6),VLOOKUP(N160,setup!$A$8:$H$58,7), VLOOKUP(0,setup!$A$8:$H$58,2),VLOOKUP(0,setup!$A$8:$H$58,5),VLOOKUP(N160,setup!$A$8:$H$58,8))</f>
        <v xml:space="preserve">  void initState(){</v>
      </c>
    </row>
    <row r="161" spans="1:15" x14ac:dyDescent="0.25">
      <c r="A161" s="6" t="s">
        <v>70</v>
      </c>
      <c r="O161" s="15" t="str">
        <f ca="1">getCodigoBackend(N161,A161,VLOOKUP(N161,setup!$A$8:$H$58,2),VLOOKUP(N161,setup!$A$8:$H$58,3),VLOOKUP(N161,setup!$A$8:$H$58,4),VLOOKUP(N161,setup!$A$8:$H$58,5),VLOOKUP(N161,setup!$A$8:$H$58,6),VLOOKUP(N161,setup!$A$8:$H$58,7), VLOOKUP(0,setup!$A$8:$H$58,2),VLOOKUP(0,setup!$A$8:$H$58,5),VLOOKUP(N161,setup!$A$8:$H$58,8))</f>
        <v xml:space="preserve">    _token = CacheSession().getSession()['tokenid'];</v>
      </c>
    </row>
    <row r="162" spans="1:15" x14ac:dyDescent="0.25">
      <c r="A162" s="6" t="s">
        <v>71</v>
      </c>
      <c r="O162" s="15" t="str">
        <f ca="1">getCodigoBackend(N162,A162,VLOOKUP(N162,setup!$A$8:$H$58,2),VLOOKUP(N162,setup!$A$8:$H$58,3),VLOOKUP(N162,setup!$A$8:$H$58,4),VLOOKUP(N162,setup!$A$8:$H$58,5),VLOOKUP(N162,setup!$A$8:$H$58,6),VLOOKUP(N162,setup!$A$8:$H$58,7), VLOOKUP(0,setup!$A$8:$H$58,2),VLOOKUP(0,setup!$A$8:$H$58,5),VLOOKUP(N162,setup!$A$8:$H$58,8))</f>
        <v xml:space="preserve">    _urlControlador = CacheSession().getSession()['urlControlador'];</v>
      </c>
    </row>
    <row r="163" spans="1:15" x14ac:dyDescent="0.25">
      <c r="A163" s="14" t="s">
        <v>136</v>
      </c>
      <c r="O163" s="15" t="str">
        <f ca="1">getCodigoBackend(N163,A163,VLOOKUP(N163,setup!$A$8:$H$58,2),VLOOKUP(N163,setup!$A$8:$H$58,3),VLOOKUP(N163,setup!$A$8:$H$58,4),VLOOKUP(N163,setup!$A$8:$H$58,5),VLOOKUP(N163,setup!$A$8:$H$58,6),VLOOKUP(N163,setup!$A$8:$H$58,7), VLOOKUP(0,setup!$A$8:$H$58,2),VLOOKUP(0,setup!$A$8:$H$58,5),VLOOKUP(N163,setup!$A$8:$H$58,8))</f>
        <v xml:space="preserve">    _iscadastro = (widget.usuariopublicidadeVO == null);</v>
      </c>
    </row>
    <row r="164" spans="1:15" x14ac:dyDescent="0.25">
      <c r="A164" s="14"/>
      <c r="O164" s="15" t="str">
        <f ca="1">getCodigoBackend(N164,A164,VLOOKUP(N164,setup!$A$8:$H$58,2),VLOOKUP(N164,setup!$A$8:$H$58,3),VLOOKUP(N164,setup!$A$8:$H$58,4),VLOOKUP(N164,setup!$A$8:$H$58,5),VLOOKUP(N164,setup!$A$8:$H$58,6),VLOOKUP(N164,setup!$A$8:$H$58,7), VLOOKUP(0,setup!$A$8:$H$58,2),VLOOKUP(0,setup!$A$8:$H$58,5),VLOOKUP(N164,setup!$A$8:$H$58,8))</f>
        <v/>
      </c>
    </row>
    <row r="165" spans="1:15" x14ac:dyDescent="0.25">
      <c r="A165" s="6" t="s">
        <v>119</v>
      </c>
      <c r="O165" s="15" t="str">
        <f ca="1">getCodigoBackend(N165,A165,VLOOKUP(N165,setup!$A$8:$H$58,2),VLOOKUP(N165,setup!$A$8:$H$58,3),VLOOKUP(N165,setup!$A$8:$H$58,4),VLOOKUP(N165,setup!$A$8:$H$58,5),VLOOKUP(N165,setup!$A$8:$H$58,6),VLOOKUP(N165,setup!$A$8:$H$58,7), VLOOKUP(0,setup!$A$8:$H$58,2),VLOOKUP(0,setup!$A$8:$H$58,5),VLOOKUP(N165,setup!$A$8:$H$58,8))</f>
        <v xml:space="preserve">    // ============================================================================</v>
      </c>
    </row>
    <row r="166" spans="1:15" x14ac:dyDescent="0.25">
      <c r="A166" s="6" t="s">
        <v>123</v>
      </c>
      <c r="O166" s="15" t="str">
        <f ca="1">getCodigoBackend(N166,A166,VLOOKUP(N166,setup!$A$8:$H$58,2),VLOOKUP(N166,setup!$A$8:$H$58,3),VLOOKUP(N166,setup!$A$8:$H$58,4),VLOOKUP(N166,setup!$A$8:$H$58,5),VLOOKUP(N166,setup!$A$8:$H$58,6),VLOOKUP(N166,setup!$A$8:$H$58,7), VLOOKUP(0,setup!$A$8:$H$58,2),VLOOKUP(0,setup!$A$8:$H$58,5),VLOOKUP(N166,setup!$A$8:$H$58,8))</f>
        <v xml:space="preserve">    // inicializa os controladores de campos com os respectivos atributos</v>
      </c>
    </row>
    <row r="167" spans="1:15" x14ac:dyDescent="0.25">
      <c r="A167" s="6" t="s">
        <v>119</v>
      </c>
      <c r="O167" s="15" t="str">
        <f ca="1">getCodigoBackend(N167,A167,VLOOKUP(N167,setup!$A$8:$H$58,2),VLOOKUP(N167,setup!$A$8:$H$58,3),VLOOKUP(N167,setup!$A$8:$H$58,4),VLOOKUP(N167,setup!$A$8:$H$58,5),VLOOKUP(N167,setup!$A$8:$H$58,6),VLOOKUP(N167,setup!$A$8:$H$58,7), VLOOKUP(0,setup!$A$8:$H$58,2),VLOOKUP(0,setup!$A$8:$H$58,5),VLOOKUP(N167,setup!$A$8:$H$58,8))</f>
        <v xml:space="preserve">    // ============================================================================</v>
      </c>
    </row>
    <row r="168" spans="1:15" x14ac:dyDescent="0.25">
      <c r="A168" s="14" t="s">
        <v>128</v>
      </c>
      <c r="N168">
        <v>0</v>
      </c>
      <c r="O168" s="15" t="str">
        <f ca="1">getCodigoBackend(N168,A168,VLOOKUP(N168,setup!$A$8:$H$58,2),VLOOKUP(N168,setup!$A$8:$H$58,3),VLOOKUP(N168,setup!$A$8:$H$58,4),VLOOKUP(N168,setup!$A$8:$H$58,5),VLOOKUP(N168,setup!$A$8:$H$58,6),VLOOKUP(N168,setup!$A$8:$H$58,7), VLOOKUP(0,setup!$A$8:$H$58,2),VLOOKUP(0,setup!$A$8:$H$58,5),VLOOKUP(N168,setup!$A$8:$H$58,8))</f>
        <v xml:space="preserve">    tecid.text = _iscadastro ? '' : widget.usuariopublicidadeVO.id;</v>
      </c>
    </row>
    <row r="169" spans="1:15" x14ac:dyDescent="0.25">
      <c r="A169" s="14" t="s">
        <v>128</v>
      </c>
      <c r="N169">
        <f>N168+1</f>
        <v>1</v>
      </c>
      <c r="O169" s="15" t="str">
        <f ca="1">getCodigoBackend(N169,A169,VLOOKUP(N169,setup!$A$8:$H$58,2),VLOOKUP(N169,setup!$A$8:$H$58,3),VLOOKUP(N169,setup!$A$8:$H$58,4),VLOOKUP(N169,setup!$A$8:$H$58,5),VLOOKUP(N169,setup!$A$8:$H$58,6),VLOOKUP(N169,setup!$A$8:$H$58,7), VLOOKUP(0,setup!$A$8:$H$58,2),VLOOKUP(0,setup!$A$8:$H$58,5),VLOOKUP(N169,setup!$A$8:$H$58,8))</f>
        <v xml:space="preserve">    tecid_usuario.text = _iscadastro ? '' : widget.usuariopublicidadeVO.id_usuario;</v>
      </c>
    </row>
    <row r="170" spans="1:15" x14ac:dyDescent="0.25">
      <c r="A170" s="14" t="s">
        <v>128</v>
      </c>
      <c r="N170">
        <f t="shared" ref="N170:N209" si="5">N169+1</f>
        <v>2</v>
      </c>
      <c r="O170" s="15" t="str">
        <f ca="1">getCodigoBackend(N170,A170,VLOOKUP(N170,setup!$A$8:$H$58,2),VLOOKUP(N170,setup!$A$8:$H$58,3),VLOOKUP(N170,setup!$A$8:$H$58,4),VLOOKUP(N170,setup!$A$8:$H$58,5),VLOOKUP(N170,setup!$A$8:$H$58,6),VLOOKUP(N170,setup!$A$8:$H$58,7), VLOOKUP(0,setup!$A$8:$H$58,2),VLOOKUP(0,setup!$A$8:$H$58,5),VLOOKUP(N170,setup!$A$8:$H$58,8))</f>
        <v xml:space="preserve">    tectitulo.text = _iscadastro ? '' : widget.usuariopublicidadeVO.titulo;</v>
      </c>
    </row>
    <row r="171" spans="1:15" x14ac:dyDescent="0.25">
      <c r="A171" s="14" t="s">
        <v>128</v>
      </c>
      <c r="N171">
        <f t="shared" si="5"/>
        <v>3</v>
      </c>
      <c r="O171" s="15" t="str">
        <f ca="1">getCodigoBackend(N171,A171,VLOOKUP(N171,setup!$A$8:$H$58,2),VLOOKUP(N171,setup!$A$8:$H$58,3),VLOOKUP(N171,setup!$A$8:$H$58,4),VLOOKUP(N171,setup!$A$8:$H$58,5),VLOOKUP(N171,setup!$A$8:$H$58,6),VLOOKUP(N171,setup!$A$8:$H$58,7), VLOOKUP(0,setup!$A$8:$H$58,2),VLOOKUP(0,setup!$A$8:$H$58,5),VLOOKUP(N171,setup!$A$8:$H$58,8))</f>
        <v xml:space="preserve">    tecdescricao.text = _iscadastro ? '' : widget.usuariopublicidadeVO.descricao;</v>
      </c>
    </row>
    <row r="172" spans="1:15" x14ac:dyDescent="0.25">
      <c r="A172" s="14" t="s">
        <v>128</v>
      </c>
      <c r="N172">
        <f t="shared" si="5"/>
        <v>4</v>
      </c>
      <c r="O172" s="15" t="str">
        <f ca="1">getCodigoBackend(N172,A172,VLOOKUP(N172,setup!$A$8:$H$58,2),VLOOKUP(N172,setup!$A$8:$H$58,3),VLOOKUP(N172,setup!$A$8:$H$58,4),VLOOKUP(N172,setup!$A$8:$H$58,5),VLOOKUP(N172,setup!$A$8:$H$58,6),VLOOKUP(N172,setup!$A$8:$H$58,7), VLOOKUP(0,setup!$A$8:$H$58,2),VLOOKUP(0,setup!$A$8:$H$58,5),VLOOKUP(N172,setup!$A$8:$H$58,8))</f>
        <v xml:space="preserve">    tecdataInicio.text = _iscadastro ? '' : widget.usuariopublicidadeVO.dataInicio;</v>
      </c>
    </row>
    <row r="173" spans="1:15" x14ac:dyDescent="0.25">
      <c r="A173" s="14" t="s">
        <v>128</v>
      </c>
      <c r="N173">
        <f t="shared" si="5"/>
        <v>5</v>
      </c>
      <c r="O173" s="15" t="str">
        <f ca="1">getCodigoBackend(N173,A173,VLOOKUP(N173,setup!$A$8:$H$58,2),VLOOKUP(N173,setup!$A$8:$H$58,3),VLOOKUP(N173,setup!$A$8:$H$58,4),VLOOKUP(N173,setup!$A$8:$H$58,5),VLOOKUP(N173,setup!$A$8:$H$58,6),VLOOKUP(N173,setup!$A$8:$H$58,7), VLOOKUP(0,setup!$A$8:$H$58,2),VLOOKUP(0,setup!$A$8:$H$58,5),VLOOKUP(N173,setup!$A$8:$H$58,8))</f>
        <v xml:space="preserve">    tecdataTermino.text = _iscadastro ? '' : widget.usuariopublicidadeVO.dataTermino;</v>
      </c>
    </row>
    <row r="174" spans="1:15" x14ac:dyDescent="0.25">
      <c r="A174" s="14" t="s">
        <v>128</v>
      </c>
      <c r="N174">
        <f t="shared" si="5"/>
        <v>6</v>
      </c>
      <c r="O174" s="15" t="str">
        <f ca="1">getCodigoBackend(N174,A174,VLOOKUP(N174,setup!$A$8:$H$58,2),VLOOKUP(N174,setup!$A$8:$H$58,3),VLOOKUP(N174,setup!$A$8:$H$58,4),VLOOKUP(N174,setup!$A$8:$H$58,5),VLOOKUP(N174,setup!$A$8:$H$58,6),VLOOKUP(N174,setup!$A$8:$H$58,7), VLOOKUP(0,setup!$A$8:$H$58,2),VLOOKUP(0,setup!$A$8:$H$58,5),VLOOKUP(N174,setup!$A$8:$H$58,8))</f>
        <v xml:space="preserve">    tecvlNormal.text = _iscadastro ? '' : widget.usuariopublicidadeVO.vlNormal;</v>
      </c>
    </row>
    <row r="175" spans="1:15" x14ac:dyDescent="0.25">
      <c r="A175" s="14" t="s">
        <v>128</v>
      </c>
      <c r="N175">
        <f t="shared" si="5"/>
        <v>7</v>
      </c>
      <c r="O175" s="15" t="str">
        <f ca="1">getCodigoBackend(N175,A175,VLOOKUP(N175,setup!$A$8:$H$58,2),VLOOKUP(N175,setup!$A$8:$H$58,3),VLOOKUP(N175,setup!$A$8:$H$58,4),VLOOKUP(N175,setup!$A$8:$H$58,5),VLOOKUP(N175,setup!$A$8:$H$58,6),VLOOKUP(N175,setup!$A$8:$H$58,7), VLOOKUP(0,setup!$A$8:$H$58,2),VLOOKUP(0,setup!$A$8:$H$58,5),VLOOKUP(N175,setup!$A$8:$H$58,8))</f>
        <v xml:space="preserve">    tecvlPromo.text = _iscadastro ? '' : widget.usuariopublicidadeVO.vlPromo;</v>
      </c>
    </row>
    <row r="176" spans="1:15" x14ac:dyDescent="0.25">
      <c r="A176" s="14" t="s">
        <v>128</v>
      </c>
      <c r="N176">
        <f t="shared" si="5"/>
        <v>8</v>
      </c>
      <c r="O176" s="15" t="str">
        <f ca="1">getCodigoBackend(N176,A176,VLOOKUP(N176,setup!$A$8:$H$58,2),VLOOKUP(N176,setup!$A$8:$H$58,3),VLOOKUP(N176,setup!$A$8:$H$58,4),VLOOKUP(N176,setup!$A$8:$H$58,5),VLOOKUP(N176,setup!$A$8:$H$58,6),VLOOKUP(N176,setup!$A$8:$H$58,7), VLOOKUP(0,setup!$A$8:$H$58,2),VLOOKUP(0,setup!$A$8:$H$58,5),VLOOKUP(N176,setup!$A$8:$H$58,8))</f>
        <v xml:space="preserve">    tecobservacao.text = _iscadastro ? '' : widget.usuariopublicidadeVO.observacao;</v>
      </c>
    </row>
    <row r="177" spans="1:15" x14ac:dyDescent="0.25">
      <c r="A177" s="14" t="s">
        <v>128</v>
      </c>
      <c r="N177">
        <f t="shared" si="5"/>
        <v>9</v>
      </c>
      <c r="O177" s="15" t="str">
        <f ca="1">getCodigoBackend(N177,A177,VLOOKUP(N177,setup!$A$8:$H$58,2),VLOOKUP(N177,setup!$A$8:$H$58,3),VLOOKUP(N177,setup!$A$8:$H$58,4),VLOOKUP(N177,setup!$A$8:$H$58,5),VLOOKUP(N177,setup!$A$8:$H$58,6),VLOOKUP(N177,setup!$A$8:$H$58,7), VLOOKUP(0,setup!$A$8:$H$58,2),VLOOKUP(0,setup!$A$8:$H$58,5),VLOOKUP(N177,setup!$A$8:$H$58,8))</f>
        <v xml:space="preserve">    tecdataRemover.text = _iscadastro ? '' : widget.usuariopublicidadeVO.dataRemover;</v>
      </c>
    </row>
    <row r="178" spans="1:15" x14ac:dyDescent="0.25">
      <c r="A178" s="14" t="s">
        <v>128</v>
      </c>
      <c r="N178">
        <f t="shared" si="5"/>
        <v>10</v>
      </c>
      <c r="O178" s="15" t="e">
        <f>getCodigoBackend(N178,A178,VLOOKUP(N178,setup!$A$8:$H$58,2),VLOOKUP(N178,setup!$A$8:$H$58,3),VLOOKUP(N178,setup!$A$8:$H$58,4),VLOOKUP(N178,setup!$A$8:$H$58,5),VLOOKUP(N178,setup!$A$8:$H$58,6),VLOOKUP(N178,setup!$A$8:$H$58,7), VLOOKUP(0,setup!$A$8:$H$58,2),VLOOKUP(0,setup!$A$8:$H$58,5),VLOOKUP(N178,setup!$A$8:$H$58,8))</f>
        <v>#VALUE!</v>
      </c>
    </row>
    <row r="179" spans="1:15" x14ac:dyDescent="0.25">
      <c r="A179" s="14" t="s">
        <v>128</v>
      </c>
      <c r="N179">
        <f t="shared" si="5"/>
        <v>11</v>
      </c>
      <c r="O179" s="15" t="e">
        <f>getCodigoBackend(N179,A179,VLOOKUP(N179,setup!$A$8:$H$58,2),VLOOKUP(N179,setup!$A$8:$H$58,3),VLOOKUP(N179,setup!$A$8:$H$58,4),VLOOKUP(N179,setup!$A$8:$H$58,5),VLOOKUP(N179,setup!$A$8:$H$58,6),VLOOKUP(N179,setup!$A$8:$H$58,7), VLOOKUP(0,setup!$A$8:$H$58,2),VLOOKUP(0,setup!$A$8:$H$58,5),VLOOKUP(N179,setup!$A$8:$H$58,8))</f>
        <v>#VALUE!</v>
      </c>
    </row>
    <row r="180" spans="1:15" x14ac:dyDescent="0.25">
      <c r="A180" s="14" t="s">
        <v>128</v>
      </c>
      <c r="N180">
        <f t="shared" si="5"/>
        <v>12</v>
      </c>
      <c r="O180" s="15" t="e">
        <f>getCodigoBackend(N180,A180,VLOOKUP(N180,setup!$A$8:$H$58,2),VLOOKUP(N180,setup!$A$8:$H$58,3),VLOOKUP(N180,setup!$A$8:$H$58,4),VLOOKUP(N180,setup!$A$8:$H$58,5),VLOOKUP(N180,setup!$A$8:$H$58,6),VLOOKUP(N180,setup!$A$8:$H$58,7), VLOOKUP(0,setup!$A$8:$H$58,2),VLOOKUP(0,setup!$A$8:$H$58,5),VLOOKUP(N180,setup!$A$8:$H$58,8))</f>
        <v>#VALUE!</v>
      </c>
    </row>
    <row r="181" spans="1:15" x14ac:dyDescent="0.25">
      <c r="A181" s="14" t="s">
        <v>128</v>
      </c>
      <c r="N181">
        <f t="shared" si="5"/>
        <v>13</v>
      </c>
      <c r="O181" s="15" t="e">
        <f>getCodigoBackend(N181,A181,VLOOKUP(N181,setup!$A$8:$H$58,2),VLOOKUP(N181,setup!$A$8:$H$58,3),VLOOKUP(N181,setup!$A$8:$H$58,4),VLOOKUP(N181,setup!$A$8:$H$58,5),VLOOKUP(N181,setup!$A$8:$H$58,6),VLOOKUP(N181,setup!$A$8:$H$58,7), VLOOKUP(0,setup!$A$8:$H$58,2),VLOOKUP(0,setup!$A$8:$H$58,5),VLOOKUP(N181,setup!$A$8:$H$58,8))</f>
        <v>#VALUE!</v>
      </c>
    </row>
    <row r="182" spans="1:15" x14ac:dyDescent="0.25">
      <c r="A182" s="14" t="s">
        <v>128</v>
      </c>
      <c r="N182">
        <f t="shared" si="5"/>
        <v>14</v>
      </c>
      <c r="O182" s="15" t="e">
        <f>getCodigoBackend(N182,A182,VLOOKUP(N182,setup!$A$8:$H$58,2),VLOOKUP(N182,setup!$A$8:$H$58,3),VLOOKUP(N182,setup!$A$8:$H$58,4),VLOOKUP(N182,setup!$A$8:$H$58,5),VLOOKUP(N182,setup!$A$8:$H$58,6),VLOOKUP(N182,setup!$A$8:$H$58,7), VLOOKUP(0,setup!$A$8:$H$58,2),VLOOKUP(0,setup!$A$8:$H$58,5),VLOOKUP(N182,setup!$A$8:$H$58,8))</f>
        <v>#VALUE!</v>
      </c>
    </row>
    <row r="183" spans="1:15" x14ac:dyDescent="0.25">
      <c r="A183" s="14" t="s">
        <v>128</v>
      </c>
      <c r="N183">
        <f t="shared" si="5"/>
        <v>15</v>
      </c>
      <c r="O183" s="15" t="e">
        <f>getCodigoBackend(N183,A183,VLOOKUP(N183,setup!$A$8:$H$58,2),VLOOKUP(N183,setup!$A$8:$H$58,3),VLOOKUP(N183,setup!$A$8:$H$58,4),VLOOKUP(N183,setup!$A$8:$H$58,5),VLOOKUP(N183,setup!$A$8:$H$58,6),VLOOKUP(N183,setup!$A$8:$H$58,7), VLOOKUP(0,setup!$A$8:$H$58,2),VLOOKUP(0,setup!$A$8:$H$58,5),VLOOKUP(N183,setup!$A$8:$H$58,8))</f>
        <v>#VALUE!</v>
      </c>
    </row>
    <row r="184" spans="1:15" x14ac:dyDescent="0.25">
      <c r="A184" s="14" t="s">
        <v>128</v>
      </c>
      <c r="N184">
        <f t="shared" si="5"/>
        <v>16</v>
      </c>
      <c r="O184" s="15" t="e">
        <f>getCodigoBackend(N184,A184,VLOOKUP(N184,setup!$A$8:$H$58,2),VLOOKUP(N184,setup!$A$8:$H$58,3),VLOOKUP(N184,setup!$A$8:$H$58,4),VLOOKUP(N184,setup!$A$8:$H$58,5),VLOOKUP(N184,setup!$A$8:$H$58,6),VLOOKUP(N184,setup!$A$8:$H$58,7), VLOOKUP(0,setup!$A$8:$H$58,2),VLOOKUP(0,setup!$A$8:$H$58,5),VLOOKUP(N184,setup!$A$8:$H$58,8))</f>
        <v>#VALUE!</v>
      </c>
    </row>
    <row r="185" spans="1:15" x14ac:dyDescent="0.25">
      <c r="A185" s="14" t="s">
        <v>128</v>
      </c>
      <c r="N185">
        <f t="shared" si="5"/>
        <v>17</v>
      </c>
      <c r="O185" s="15" t="e">
        <f>getCodigoBackend(N185,A185,VLOOKUP(N185,setup!$A$8:$H$58,2),VLOOKUP(N185,setup!$A$8:$H$58,3),VLOOKUP(N185,setup!$A$8:$H$58,4),VLOOKUP(N185,setup!$A$8:$H$58,5),VLOOKUP(N185,setup!$A$8:$H$58,6),VLOOKUP(N185,setup!$A$8:$H$58,7), VLOOKUP(0,setup!$A$8:$H$58,2),VLOOKUP(0,setup!$A$8:$H$58,5),VLOOKUP(N185,setup!$A$8:$H$58,8))</f>
        <v>#VALUE!</v>
      </c>
    </row>
    <row r="186" spans="1:15" x14ac:dyDescent="0.25">
      <c r="A186" s="14" t="s">
        <v>128</v>
      </c>
      <c r="N186">
        <f t="shared" si="5"/>
        <v>18</v>
      </c>
      <c r="O186" s="15" t="e">
        <f>getCodigoBackend(N186,A186,VLOOKUP(N186,setup!$A$8:$H$58,2),VLOOKUP(N186,setup!$A$8:$H$58,3),VLOOKUP(N186,setup!$A$8:$H$58,4),VLOOKUP(N186,setup!$A$8:$H$58,5),VLOOKUP(N186,setup!$A$8:$H$58,6),VLOOKUP(N186,setup!$A$8:$H$58,7), VLOOKUP(0,setup!$A$8:$H$58,2),VLOOKUP(0,setup!$A$8:$H$58,5),VLOOKUP(N186,setup!$A$8:$H$58,8))</f>
        <v>#VALUE!</v>
      </c>
    </row>
    <row r="187" spans="1:15" x14ac:dyDescent="0.25">
      <c r="A187" s="14" t="s">
        <v>128</v>
      </c>
      <c r="N187">
        <f t="shared" si="5"/>
        <v>19</v>
      </c>
      <c r="O187" s="15" t="e">
        <f>getCodigoBackend(N187,A187,VLOOKUP(N187,setup!$A$8:$H$58,2),VLOOKUP(N187,setup!$A$8:$H$58,3),VLOOKUP(N187,setup!$A$8:$H$58,4),VLOOKUP(N187,setup!$A$8:$H$58,5),VLOOKUP(N187,setup!$A$8:$H$58,6),VLOOKUP(N187,setup!$A$8:$H$58,7), VLOOKUP(0,setup!$A$8:$H$58,2),VLOOKUP(0,setup!$A$8:$H$58,5),VLOOKUP(N187,setup!$A$8:$H$58,8))</f>
        <v>#VALUE!</v>
      </c>
    </row>
    <row r="188" spans="1:15" x14ac:dyDescent="0.25">
      <c r="A188" s="14" t="s">
        <v>128</v>
      </c>
      <c r="N188">
        <f t="shared" si="5"/>
        <v>20</v>
      </c>
      <c r="O188" s="15" t="e">
        <f>getCodigoBackend(N188,A188,VLOOKUP(N188,setup!$A$8:$H$58,2),VLOOKUP(N188,setup!$A$8:$H$58,3),VLOOKUP(N188,setup!$A$8:$H$58,4),VLOOKUP(N188,setup!$A$8:$H$58,5),VLOOKUP(N188,setup!$A$8:$H$58,6),VLOOKUP(N188,setup!$A$8:$H$58,7), VLOOKUP(0,setup!$A$8:$H$58,2),VLOOKUP(0,setup!$A$8:$H$58,5),VLOOKUP(N188,setup!$A$8:$H$58,8))</f>
        <v>#VALUE!</v>
      </c>
    </row>
    <row r="189" spans="1:15" x14ac:dyDescent="0.25">
      <c r="A189" s="14" t="s">
        <v>128</v>
      </c>
      <c r="N189">
        <f t="shared" si="5"/>
        <v>21</v>
      </c>
      <c r="O189" s="15" t="e">
        <f>getCodigoBackend(N189,A189,VLOOKUP(N189,setup!$A$8:$H$58,2),VLOOKUP(N189,setup!$A$8:$H$58,3),VLOOKUP(N189,setup!$A$8:$H$58,4),VLOOKUP(N189,setup!$A$8:$H$58,5),VLOOKUP(N189,setup!$A$8:$H$58,6),VLOOKUP(N189,setup!$A$8:$H$58,7), VLOOKUP(0,setup!$A$8:$H$58,2),VLOOKUP(0,setup!$A$8:$H$58,5),VLOOKUP(N189,setup!$A$8:$H$58,8))</f>
        <v>#VALUE!</v>
      </c>
    </row>
    <row r="190" spans="1:15" x14ac:dyDescent="0.25">
      <c r="A190" s="14" t="s">
        <v>128</v>
      </c>
      <c r="N190">
        <f t="shared" si="5"/>
        <v>22</v>
      </c>
      <c r="O190" s="15" t="e">
        <f>getCodigoBackend(N190,A190,VLOOKUP(N190,setup!$A$8:$H$58,2),VLOOKUP(N190,setup!$A$8:$H$58,3),VLOOKUP(N190,setup!$A$8:$H$58,4),VLOOKUP(N190,setup!$A$8:$H$58,5),VLOOKUP(N190,setup!$A$8:$H$58,6),VLOOKUP(N190,setup!$A$8:$H$58,7), VLOOKUP(0,setup!$A$8:$H$58,2),VLOOKUP(0,setup!$A$8:$H$58,5),VLOOKUP(N190,setup!$A$8:$H$58,8))</f>
        <v>#VALUE!</v>
      </c>
    </row>
    <row r="191" spans="1:15" x14ac:dyDescent="0.25">
      <c r="A191" s="14" t="s">
        <v>128</v>
      </c>
      <c r="N191">
        <f t="shared" si="5"/>
        <v>23</v>
      </c>
      <c r="O191" s="15" t="e">
        <f>getCodigoBackend(N191,A191,VLOOKUP(N191,setup!$A$8:$H$58,2),VLOOKUP(N191,setup!$A$8:$H$58,3),VLOOKUP(N191,setup!$A$8:$H$58,4),VLOOKUP(N191,setup!$A$8:$H$58,5),VLOOKUP(N191,setup!$A$8:$H$58,6),VLOOKUP(N191,setup!$A$8:$H$58,7), VLOOKUP(0,setup!$A$8:$H$58,2),VLOOKUP(0,setup!$A$8:$H$58,5),VLOOKUP(N191,setup!$A$8:$H$58,8))</f>
        <v>#VALUE!</v>
      </c>
    </row>
    <row r="192" spans="1:15" x14ac:dyDescent="0.25">
      <c r="A192" s="14" t="s">
        <v>128</v>
      </c>
      <c r="N192">
        <f t="shared" si="5"/>
        <v>24</v>
      </c>
      <c r="O192" s="15" t="e">
        <f>getCodigoBackend(N192,A192,VLOOKUP(N192,setup!$A$8:$H$58,2),VLOOKUP(N192,setup!$A$8:$H$58,3),VLOOKUP(N192,setup!$A$8:$H$58,4),VLOOKUP(N192,setup!$A$8:$H$58,5),VLOOKUP(N192,setup!$A$8:$H$58,6),VLOOKUP(N192,setup!$A$8:$H$58,7), VLOOKUP(0,setup!$A$8:$H$58,2),VLOOKUP(0,setup!$A$8:$H$58,5),VLOOKUP(N192,setup!$A$8:$H$58,8))</f>
        <v>#VALUE!</v>
      </c>
    </row>
    <row r="193" spans="1:15" x14ac:dyDescent="0.25">
      <c r="A193" s="14" t="s">
        <v>128</v>
      </c>
      <c r="N193">
        <f t="shared" si="5"/>
        <v>25</v>
      </c>
      <c r="O193" s="15" t="e">
        <f>getCodigoBackend(N193,A193,VLOOKUP(N193,setup!$A$8:$H$58,2),VLOOKUP(N193,setup!$A$8:$H$58,3),VLOOKUP(N193,setup!$A$8:$H$58,4),VLOOKUP(N193,setup!$A$8:$H$58,5),VLOOKUP(N193,setup!$A$8:$H$58,6),VLOOKUP(N193,setup!$A$8:$H$58,7), VLOOKUP(0,setup!$A$8:$H$58,2),VLOOKUP(0,setup!$A$8:$H$58,5),VLOOKUP(N193,setup!$A$8:$H$58,8))</f>
        <v>#VALUE!</v>
      </c>
    </row>
    <row r="194" spans="1:15" x14ac:dyDescent="0.25">
      <c r="A194" s="14" t="s">
        <v>128</v>
      </c>
      <c r="N194">
        <f t="shared" si="5"/>
        <v>26</v>
      </c>
      <c r="O194" s="15" t="e">
        <f>getCodigoBackend(N194,A194,VLOOKUP(N194,setup!$A$8:$H$58,2),VLOOKUP(N194,setup!$A$8:$H$58,3),VLOOKUP(N194,setup!$A$8:$H$58,4),VLOOKUP(N194,setup!$A$8:$H$58,5),VLOOKUP(N194,setup!$A$8:$H$58,6),VLOOKUP(N194,setup!$A$8:$H$58,7), VLOOKUP(0,setup!$A$8:$H$58,2),VLOOKUP(0,setup!$A$8:$H$58,5),VLOOKUP(N194,setup!$A$8:$H$58,8))</f>
        <v>#VALUE!</v>
      </c>
    </row>
    <row r="195" spans="1:15" x14ac:dyDescent="0.25">
      <c r="A195" s="14" t="s">
        <v>128</v>
      </c>
      <c r="N195">
        <f t="shared" si="5"/>
        <v>27</v>
      </c>
      <c r="O195" s="15" t="e">
        <f>getCodigoBackend(N195,A195,VLOOKUP(N195,setup!$A$8:$H$58,2),VLOOKUP(N195,setup!$A$8:$H$58,3),VLOOKUP(N195,setup!$A$8:$H$58,4),VLOOKUP(N195,setup!$A$8:$H$58,5),VLOOKUP(N195,setup!$A$8:$H$58,6),VLOOKUP(N195,setup!$A$8:$H$58,7), VLOOKUP(0,setup!$A$8:$H$58,2),VLOOKUP(0,setup!$A$8:$H$58,5),VLOOKUP(N195,setup!$A$8:$H$58,8))</f>
        <v>#VALUE!</v>
      </c>
    </row>
    <row r="196" spans="1:15" x14ac:dyDescent="0.25">
      <c r="A196" s="14" t="s">
        <v>128</v>
      </c>
      <c r="N196">
        <f t="shared" si="5"/>
        <v>28</v>
      </c>
      <c r="O196" s="15" t="e">
        <f>getCodigoBackend(N196,A196,VLOOKUP(N196,setup!$A$8:$H$58,2),VLOOKUP(N196,setup!$A$8:$H$58,3),VLOOKUP(N196,setup!$A$8:$H$58,4),VLOOKUP(N196,setup!$A$8:$H$58,5),VLOOKUP(N196,setup!$A$8:$H$58,6),VLOOKUP(N196,setup!$A$8:$H$58,7), VLOOKUP(0,setup!$A$8:$H$58,2),VLOOKUP(0,setup!$A$8:$H$58,5),VLOOKUP(N196,setup!$A$8:$H$58,8))</f>
        <v>#VALUE!</v>
      </c>
    </row>
    <row r="197" spans="1:15" x14ac:dyDescent="0.25">
      <c r="A197" s="14" t="s">
        <v>128</v>
      </c>
      <c r="N197">
        <f t="shared" si="5"/>
        <v>29</v>
      </c>
      <c r="O197" s="15" t="e">
        <f>getCodigoBackend(N197,A197,VLOOKUP(N197,setup!$A$8:$H$58,2),VLOOKUP(N197,setup!$A$8:$H$58,3),VLOOKUP(N197,setup!$A$8:$H$58,4),VLOOKUP(N197,setup!$A$8:$H$58,5),VLOOKUP(N197,setup!$A$8:$H$58,6),VLOOKUP(N197,setup!$A$8:$H$58,7), VLOOKUP(0,setup!$A$8:$H$58,2),VLOOKUP(0,setup!$A$8:$H$58,5),VLOOKUP(N197,setup!$A$8:$H$58,8))</f>
        <v>#VALUE!</v>
      </c>
    </row>
    <row r="198" spans="1:15" x14ac:dyDescent="0.25">
      <c r="A198" s="14" t="s">
        <v>128</v>
      </c>
      <c r="N198">
        <f t="shared" si="5"/>
        <v>30</v>
      </c>
      <c r="O198" s="15" t="e">
        <f>getCodigoBackend(N198,A198,VLOOKUP(N198,setup!$A$8:$H$58,2),VLOOKUP(N198,setup!$A$8:$H$58,3),VLOOKUP(N198,setup!$A$8:$H$58,4),VLOOKUP(N198,setup!$A$8:$H$58,5),VLOOKUP(N198,setup!$A$8:$H$58,6),VLOOKUP(N198,setup!$A$8:$H$58,7), VLOOKUP(0,setup!$A$8:$H$58,2),VLOOKUP(0,setup!$A$8:$H$58,5),VLOOKUP(N198,setup!$A$8:$H$58,8))</f>
        <v>#VALUE!</v>
      </c>
    </row>
    <row r="199" spans="1:15" x14ac:dyDescent="0.25">
      <c r="A199" s="14" t="s">
        <v>128</v>
      </c>
      <c r="N199">
        <f t="shared" si="5"/>
        <v>31</v>
      </c>
      <c r="O199" s="15" t="e">
        <f>getCodigoBackend(N199,A199,VLOOKUP(N199,setup!$A$8:$H$58,2),VLOOKUP(N199,setup!$A$8:$H$58,3),VLOOKUP(N199,setup!$A$8:$H$58,4),VLOOKUP(N199,setup!$A$8:$H$58,5),VLOOKUP(N199,setup!$A$8:$H$58,6),VLOOKUP(N199,setup!$A$8:$H$58,7), VLOOKUP(0,setup!$A$8:$H$58,2),VLOOKUP(0,setup!$A$8:$H$58,5),VLOOKUP(N199,setup!$A$8:$H$58,8))</f>
        <v>#VALUE!</v>
      </c>
    </row>
    <row r="200" spans="1:15" x14ac:dyDescent="0.25">
      <c r="A200" s="14" t="s">
        <v>128</v>
      </c>
      <c r="N200">
        <f t="shared" si="5"/>
        <v>32</v>
      </c>
      <c r="O200" s="15" t="e">
        <f>getCodigoBackend(N200,A200,VLOOKUP(N200,setup!$A$8:$H$58,2),VLOOKUP(N200,setup!$A$8:$H$58,3),VLOOKUP(N200,setup!$A$8:$H$58,4),VLOOKUP(N200,setup!$A$8:$H$58,5),VLOOKUP(N200,setup!$A$8:$H$58,6),VLOOKUP(N200,setup!$A$8:$H$58,7), VLOOKUP(0,setup!$A$8:$H$58,2),VLOOKUP(0,setup!$A$8:$H$58,5),VLOOKUP(N200,setup!$A$8:$H$58,8))</f>
        <v>#VALUE!</v>
      </c>
    </row>
    <row r="201" spans="1:15" x14ac:dyDescent="0.25">
      <c r="A201" s="14" t="s">
        <v>128</v>
      </c>
      <c r="N201">
        <f t="shared" si="5"/>
        <v>33</v>
      </c>
      <c r="O201" s="15" t="e">
        <f>getCodigoBackend(N201,A201,VLOOKUP(N201,setup!$A$8:$H$58,2),VLOOKUP(N201,setup!$A$8:$H$58,3),VLOOKUP(N201,setup!$A$8:$H$58,4),VLOOKUP(N201,setup!$A$8:$H$58,5),VLOOKUP(N201,setup!$A$8:$H$58,6),VLOOKUP(N201,setup!$A$8:$H$58,7), VLOOKUP(0,setup!$A$8:$H$58,2),VLOOKUP(0,setup!$A$8:$H$58,5),VLOOKUP(N201,setup!$A$8:$H$58,8))</f>
        <v>#VALUE!</v>
      </c>
    </row>
    <row r="202" spans="1:15" x14ac:dyDescent="0.25">
      <c r="A202" s="14" t="s">
        <v>128</v>
      </c>
      <c r="N202">
        <f t="shared" si="5"/>
        <v>34</v>
      </c>
      <c r="O202" s="15" t="e">
        <f>getCodigoBackend(N202,A202,VLOOKUP(N202,setup!$A$8:$H$58,2),VLOOKUP(N202,setup!$A$8:$H$58,3),VLOOKUP(N202,setup!$A$8:$H$58,4),VLOOKUP(N202,setup!$A$8:$H$58,5),VLOOKUP(N202,setup!$A$8:$H$58,6),VLOOKUP(N202,setup!$A$8:$H$58,7), VLOOKUP(0,setup!$A$8:$H$58,2),VLOOKUP(0,setup!$A$8:$H$58,5),VLOOKUP(N202,setup!$A$8:$H$58,8))</f>
        <v>#VALUE!</v>
      </c>
    </row>
    <row r="203" spans="1:15" x14ac:dyDescent="0.25">
      <c r="A203" s="14" t="s">
        <v>128</v>
      </c>
      <c r="N203">
        <f t="shared" si="5"/>
        <v>35</v>
      </c>
      <c r="O203" s="15" t="e">
        <f>getCodigoBackend(N203,A203,VLOOKUP(N203,setup!$A$8:$H$58,2),VLOOKUP(N203,setup!$A$8:$H$58,3),VLOOKUP(N203,setup!$A$8:$H$58,4),VLOOKUP(N203,setup!$A$8:$H$58,5),VLOOKUP(N203,setup!$A$8:$H$58,6),VLOOKUP(N203,setup!$A$8:$H$58,7), VLOOKUP(0,setup!$A$8:$H$58,2),VLOOKUP(0,setup!$A$8:$H$58,5),VLOOKUP(N203,setup!$A$8:$H$58,8))</f>
        <v>#VALUE!</v>
      </c>
    </row>
    <row r="204" spans="1:15" x14ac:dyDescent="0.25">
      <c r="A204" s="14" t="s">
        <v>128</v>
      </c>
      <c r="N204">
        <f t="shared" si="5"/>
        <v>36</v>
      </c>
      <c r="O204" s="15" t="e">
        <f>getCodigoBackend(N204,A204,VLOOKUP(N204,setup!$A$8:$H$58,2),VLOOKUP(N204,setup!$A$8:$H$58,3),VLOOKUP(N204,setup!$A$8:$H$58,4),VLOOKUP(N204,setup!$A$8:$H$58,5),VLOOKUP(N204,setup!$A$8:$H$58,6),VLOOKUP(N204,setup!$A$8:$H$58,7), VLOOKUP(0,setup!$A$8:$H$58,2),VLOOKUP(0,setup!$A$8:$H$58,5),VLOOKUP(N204,setup!$A$8:$H$58,8))</f>
        <v>#VALUE!</v>
      </c>
    </row>
    <row r="205" spans="1:15" x14ac:dyDescent="0.25">
      <c r="A205" s="14" t="s">
        <v>128</v>
      </c>
      <c r="N205">
        <f t="shared" si="5"/>
        <v>37</v>
      </c>
      <c r="O205" s="15" t="e">
        <f>getCodigoBackend(N205,A205,VLOOKUP(N205,setup!$A$8:$H$58,2),VLOOKUP(N205,setup!$A$8:$H$58,3),VLOOKUP(N205,setup!$A$8:$H$58,4),VLOOKUP(N205,setup!$A$8:$H$58,5),VLOOKUP(N205,setup!$A$8:$H$58,6),VLOOKUP(N205,setup!$A$8:$H$58,7), VLOOKUP(0,setup!$A$8:$H$58,2),VLOOKUP(0,setup!$A$8:$H$58,5),VLOOKUP(N205,setup!$A$8:$H$58,8))</f>
        <v>#VALUE!</v>
      </c>
    </row>
    <row r="206" spans="1:15" x14ac:dyDescent="0.25">
      <c r="A206" s="14" t="s">
        <v>128</v>
      </c>
      <c r="N206">
        <f t="shared" si="5"/>
        <v>38</v>
      </c>
      <c r="O206" s="15" t="e">
        <f>getCodigoBackend(N206,A206,VLOOKUP(N206,setup!$A$8:$H$58,2),VLOOKUP(N206,setup!$A$8:$H$58,3),VLOOKUP(N206,setup!$A$8:$H$58,4),VLOOKUP(N206,setup!$A$8:$H$58,5),VLOOKUP(N206,setup!$A$8:$H$58,6),VLOOKUP(N206,setup!$A$8:$H$58,7), VLOOKUP(0,setup!$A$8:$H$58,2),VLOOKUP(0,setup!$A$8:$H$58,5),VLOOKUP(N206,setup!$A$8:$H$58,8))</f>
        <v>#VALUE!</v>
      </c>
    </row>
    <row r="207" spans="1:15" x14ac:dyDescent="0.25">
      <c r="A207" s="14" t="s">
        <v>128</v>
      </c>
      <c r="N207">
        <f t="shared" si="5"/>
        <v>39</v>
      </c>
      <c r="O207" s="15" t="e">
        <f>getCodigoBackend(N207,A207,VLOOKUP(N207,setup!$A$8:$H$58,2),VLOOKUP(N207,setup!$A$8:$H$58,3),VLOOKUP(N207,setup!$A$8:$H$58,4),VLOOKUP(N207,setup!$A$8:$H$58,5),VLOOKUP(N207,setup!$A$8:$H$58,6),VLOOKUP(N207,setup!$A$8:$H$58,7), VLOOKUP(0,setup!$A$8:$H$58,2),VLOOKUP(0,setup!$A$8:$H$58,5),VLOOKUP(N207,setup!$A$8:$H$58,8))</f>
        <v>#VALUE!</v>
      </c>
    </row>
    <row r="208" spans="1:15" x14ac:dyDescent="0.25">
      <c r="A208" s="14" t="s">
        <v>128</v>
      </c>
      <c r="N208">
        <f t="shared" si="5"/>
        <v>40</v>
      </c>
      <c r="O208" s="15" t="e">
        <f>getCodigoBackend(N208,A208,VLOOKUP(N208,setup!$A$8:$H$58,2),VLOOKUP(N208,setup!$A$8:$H$58,3),VLOOKUP(N208,setup!$A$8:$H$58,4),VLOOKUP(N208,setup!$A$8:$H$58,5),VLOOKUP(N208,setup!$A$8:$H$58,6),VLOOKUP(N208,setup!$A$8:$H$58,7), VLOOKUP(0,setup!$A$8:$H$58,2),VLOOKUP(0,setup!$A$8:$H$58,5),VLOOKUP(N208,setup!$A$8:$H$58,8))</f>
        <v>#VALUE!</v>
      </c>
    </row>
    <row r="209" spans="1:15" x14ac:dyDescent="0.25">
      <c r="A209" s="14" t="s">
        <v>128</v>
      </c>
      <c r="N209">
        <f t="shared" si="5"/>
        <v>41</v>
      </c>
      <c r="O209" s="15" t="e">
        <f>getCodigoBackend(N209,A209,VLOOKUP(N209,setup!$A$8:$H$58,2),VLOOKUP(N209,setup!$A$8:$H$58,3),VLOOKUP(N209,setup!$A$8:$H$58,4),VLOOKUP(N209,setup!$A$8:$H$58,5),VLOOKUP(N209,setup!$A$8:$H$58,6),VLOOKUP(N209,setup!$A$8:$H$58,7), VLOOKUP(0,setup!$A$8:$H$58,2),VLOOKUP(0,setup!$A$8:$H$58,5),VLOOKUP(N209,setup!$A$8:$H$58,8))</f>
        <v>#VALUE!</v>
      </c>
    </row>
    <row r="210" spans="1:15" x14ac:dyDescent="0.25">
      <c r="A210" s="14" t="s">
        <v>128</v>
      </c>
      <c r="N210">
        <f t="shared" ref="N210:N218" si="6">N209+1</f>
        <v>42</v>
      </c>
      <c r="O210" s="15" t="e">
        <f>getCodigoBackend(N210,A210,VLOOKUP(N210,setup!$A$8:$H$58,2),VLOOKUP(N210,setup!$A$8:$H$58,3),VLOOKUP(N210,setup!$A$8:$H$58,4),VLOOKUP(N210,setup!$A$8:$H$58,5),VLOOKUP(N210,setup!$A$8:$H$58,6),VLOOKUP(N210,setup!$A$8:$H$58,7), VLOOKUP(0,setup!$A$8:$H$58,2),VLOOKUP(0,setup!$A$8:$H$58,5),VLOOKUP(N210,setup!$A$8:$H$58,8))</f>
        <v>#VALUE!</v>
      </c>
    </row>
    <row r="211" spans="1:15" x14ac:dyDescent="0.25">
      <c r="A211" s="14" t="s">
        <v>128</v>
      </c>
      <c r="N211">
        <f t="shared" si="6"/>
        <v>43</v>
      </c>
      <c r="O211" s="15" t="e">
        <f>getCodigoBackend(N211,A211,VLOOKUP(N211,setup!$A$8:$H$58,2),VLOOKUP(N211,setup!$A$8:$H$58,3),VLOOKUP(N211,setup!$A$8:$H$58,4),VLOOKUP(N211,setup!$A$8:$H$58,5),VLOOKUP(N211,setup!$A$8:$H$58,6),VLOOKUP(N211,setup!$A$8:$H$58,7), VLOOKUP(0,setup!$A$8:$H$58,2),VLOOKUP(0,setup!$A$8:$H$58,5),VLOOKUP(N211,setup!$A$8:$H$58,8))</f>
        <v>#VALUE!</v>
      </c>
    </row>
    <row r="212" spans="1:15" x14ac:dyDescent="0.25">
      <c r="A212" s="14" t="s">
        <v>128</v>
      </c>
      <c r="N212">
        <f t="shared" si="6"/>
        <v>44</v>
      </c>
      <c r="O212" s="15" t="e">
        <f>getCodigoBackend(N212,A212,VLOOKUP(N212,setup!$A$8:$H$58,2),VLOOKUP(N212,setup!$A$8:$H$58,3),VLOOKUP(N212,setup!$A$8:$H$58,4),VLOOKUP(N212,setup!$A$8:$H$58,5),VLOOKUP(N212,setup!$A$8:$H$58,6),VLOOKUP(N212,setup!$A$8:$H$58,7), VLOOKUP(0,setup!$A$8:$H$58,2),VLOOKUP(0,setup!$A$8:$H$58,5),VLOOKUP(N212,setup!$A$8:$H$58,8))</f>
        <v>#VALUE!</v>
      </c>
    </row>
    <row r="213" spans="1:15" x14ac:dyDescent="0.25">
      <c r="A213" s="14" t="s">
        <v>128</v>
      </c>
      <c r="N213">
        <f t="shared" si="6"/>
        <v>45</v>
      </c>
      <c r="O213" s="15" t="e">
        <f>getCodigoBackend(N213,A213,VLOOKUP(N213,setup!$A$8:$H$58,2),VLOOKUP(N213,setup!$A$8:$H$58,3),VLOOKUP(N213,setup!$A$8:$H$58,4),VLOOKUP(N213,setup!$A$8:$H$58,5),VLOOKUP(N213,setup!$A$8:$H$58,6),VLOOKUP(N213,setup!$A$8:$H$58,7), VLOOKUP(0,setup!$A$8:$H$58,2),VLOOKUP(0,setup!$A$8:$H$58,5),VLOOKUP(N213,setup!$A$8:$H$58,8))</f>
        <v>#VALUE!</v>
      </c>
    </row>
    <row r="214" spans="1:15" x14ac:dyDescent="0.25">
      <c r="A214" s="14" t="s">
        <v>128</v>
      </c>
      <c r="N214">
        <f t="shared" si="6"/>
        <v>46</v>
      </c>
      <c r="O214" s="15" t="e">
        <f>getCodigoBackend(N214,A214,VLOOKUP(N214,setup!$A$8:$H$58,2),VLOOKUP(N214,setup!$A$8:$H$58,3),VLOOKUP(N214,setup!$A$8:$H$58,4),VLOOKUP(N214,setup!$A$8:$H$58,5),VLOOKUP(N214,setup!$A$8:$H$58,6),VLOOKUP(N214,setup!$A$8:$H$58,7), VLOOKUP(0,setup!$A$8:$H$58,2),VLOOKUP(0,setup!$A$8:$H$58,5),VLOOKUP(N214,setup!$A$8:$H$58,8))</f>
        <v>#VALUE!</v>
      </c>
    </row>
    <row r="215" spans="1:15" x14ac:dyDescent="0.25">
      <c r="A215" s="14" t="s">
        <v>128</v>
      </c>
      <c r="N215">
        <f t="shared" si="6"/>
        <v>47</v>
      </c>
      <c r="O215" s="15" t="e">
        <f>getCodigoBackend(N215,A215,VLOOKUP(N215,setup!$A$8:$H$58,2),VLOOKUP(N215,setup!$A$8:$H$58,3),VLOOKUP(N215,setup!$A$8:$H$58,4),VLOOKUP(N215,setup!$A$8:$H$58,5),VLOOKUP(N215,setup!$A$8:$H$58,6),VLOOKUP(N215,setup!$A$8:$H$58,7), VLOOKUP(0,setup!$A$8:$H$58,2),VLOOKUP(0,setup!$A$8:$H$58,5),VLOOKUP(N215,setup!$A$8:$H$58,8))</f>
        <v>#VALUE!</v>
      </c>
    </row>
    <row r="216" spans="1:15" x14ac:dyDescent="0.25">
      <c r="A216" s="14" t="s">
        <v>128</v>
      </c>
      <c r="N216">
        <f t="shared" si="6"/>
        <v>48</v>
      </c>
      <c r="O216" s="15" t="str">
        <f ca="1">getCodigoBackend(N216,A216,VLOOKUP(N216,setup!$A$8:$H$58,2),VLOOKUP(N216,setup!$A$8:$H$58,3),VLOOKUP(N216,setup!$A$8:$H$58,4),VLOOKUP(N216,setup!$A$8:$H$58,5),VLOOKUP(N216,setup!$A$8:$H$58,6),VLOOKUP(N216,setup!$A$8:$H$58,7), VLOOKUP(0,setup!$A$8:$H$58,2),VLOOKUP(0,setup!$A$8:$H$58,5),VLOOKUP(N216,setup!$A$8:$H$58,8))</f>
        <v xml:space="preserve">    tecstatus.text = _iscadastro ? '' : widget.usuariopublicidadeVO.status;</v>
      </c>
    </row>
    <row r="217" spans="1:15" x14ac:dyDescent="0.25">
      <c r="A217" s="14" t="s">
        <v>128</v>
      </c>
      <c r="N217">
        <f t="shared" si="6"/>
        <v>49</v>
      </c>
      <c r="O217" s="15" t="str">
        <f ca="1">getCodigoBackend(N217,A217,VLOOKUP(N217,setup!$A$8:$H$58,2),VLOOKUP(N217,setup!$A$8:$H$58,3),VLOOKUP(N217,setup!$A$8:$H$58,4),VLOOKUP(N217,setup!$A$8:$H$58,5),VLOOKUP(N217,setup!$A$8:$H$58,6),VLOOKUP(N217,setup!$A$8:$H$58,7), VLOOKUP(0,setup!$A$8:$H$58,2),VLOOKUP(0,setup!$A$8:$H$58,5),VLOOKUP(N217,setup!$A$8:$H$58,8))</f>
        <v xml:space="preserve">    tecdataCadastro.text = _iscadastro ? '' : widget.usuariopublicidadeVO.dataCadastro;</v>
      </c>
    </row>
    <row r="218" spans="1:15" x14ac:dyDescent="0.25">
      <c r="A218" s="14" t="s">
        <v>128</v>
      </c>
      <c r="N218">
        <f t="shared" si="6"/>
        <v>50</v>
      </c>
      <c r="O218" s="15" t="str">
        <f ca="1">getCodigoBackend(N218,A218,VLOOKUP(N218,setup!$A$8:$H$58,2),VLOOKUP(N218,setup!$A$8:$H$58,3),VLOOKUP(N218,setup!$A$8:$H$58,4),VLOOKUP(N218,setup!$A$8:$H$58,5),VLOOKUP(N218,setup!$A$8:$H$58,6),VLOOKUP(N218,setup!$A$8:$H$58,7), VLOOKUP(0,setup!$A$8:$H$58,2),VLOOKUP(0,setup!$A$8:$H$58,5),VLOOKUP(N218,setup!$A$8:$H$58,8))</f>
        <v xml:space="preserve">    tecdataAtualizacao.text = _iscadastro ? '' : widget.usuariopublicidadeVO.dataAtualizacao;</v>
      </c>
    </row>
    <row r="219" spans="1:15" x14ac:dyDescent="0.25">
      <c r="A219" s="6"/>
      <c r="O219" s="15" t="str">
        <f ca="1">getCodigoBackend(N219,A219,VLOOKUP(N219,setup!$A$8:$H$58,2),VLOOKUP(N219,setup!$A$8:$H$58,3),VLOOKUP(N219,setup!$A$8:$H$58,4),VLOOKUP(N219,setup!$A$8:$H$58,5),VLOOKUP(N219,setup!$A$8:$H$58,6),VLOOKUP(N219,setup!$A$8:$H$58,7), VLOOKUP(0,setup!$A$8:$H$58,2),VLOOKUP(0,setup!$A$8:$H$58,5),VLOOKUP(N219,setup!$A$8:$H$58,8))</f>
        <v/>
      </c>
    </row>
    <row r="220" spans="1:15" x14ac:dyDescent="0.25">
      <c r="A220" s="14" t="s">
        <v>41</v>
      </c>
      <c r="O220" s="15" t="str">
        <f ca="1">getCodigoBackend(N220,A220,VLOOKUP(N220,setup!$A$8:$H$58,2),VLOOKUP(N220,setup!$A$8:$H$58,3),VLOOKUP(N220,setup!$A$8:$H$58,4),VLOOKUP(N220,setup!$A$8:$H$58,5),VLOOKUP(N220,setup!$A$8:$H$58,6),VLOOKUP(N220,setup!$A$8:$H$58,7), VLOOKUP(0,setup!$A$8:$H$58,2),VLOOKUP(0,setup!$A$8:$H$58,5),VLOOKUP(N220,setup!$A$8:$H$58,8))</f>
        <v xml:space="preserve">  }</v>
      </c>
    </row>
    <row r="221" spans="1:15" x14ac:dyDescent="0.25">
      <c r="A221" s="14"/>
      <c r="O221" s="15" t="str">
        <f ca="1">getCodigoBackend(N221,A221,VLOOKUP(N221,setup!$A$8:$H$58,2),VLOOKUP(N221,setup!$A$8:$H$58,3),VLOOKUP(N221,setup!$A$8:$H$58,4),VLOOKUP(N221,setup!$A$8:$H$58,5),VLOOKUP(N221,setup!$A$8:$H$58,6),VLOOKUP(N221,setup!$A$8:$H$58,7), VLOOKUP(0,setup!$A$8:$H$58,2),VLOOKUP(0,setup!$A$8:$H$58,5),VLOOKUP(N221,setup!$A$8:$H$58,8))</f>
        <v/>
      </c>
    </row>
    <row r="222" spans="1:15" x14ac:dyDescent="0.25">
      <c r="A222" s="6" t="s">
        <v>228</v>
      </c>
      <c r="O222" s="15" t="str">
        <f ca="1">getCodigoBackend(N222,A222,VLOOKUP(N222,setup!$A$8:$H$58,2),VLOOKUP(N222,setup!$A$8:$H$58,3),VLOOKUP(N222,setup!$A$8:$H$58,4),VLOOKUP(N222,setup!$A$8:$H$58,5),VLOOKUP(N222,setup!$A$8:$H$58,6),VLOOKUP(N222,setup!$A$8:$H$58,7), VLOOKUP(0,setup!$A$8:$H$58,2),VLOOKUP(0,setup!$A$8:$H$58,5),VLOOKUP(N222,setup!$A$8:$H$58,8))</f>
        <v>  // ===============================================</v>
      </c>
    </row>
    <row r="223" spans="1:15" x14ac:dyDescent="0.25">
      <c r="A223" s="6" t="s">
        <v>229</v>
      </c>
      <c r="O223" s="15" t="str">
        <f ca="1">getCodigoBackend(N223,A223,VLOOKUP(N223,setup!$A$8:$H$58,2),VLOOKUP(N223,setup!$A$8:$H$58,3),VLOOKUP(N223,setup!$A$8:$H$58,4),VLOOKUP(N223,setup!$A$8:$H$58,5),VLOOKUP(N223,setup!$A$8:$H$58,6),VLOOKUP(N223,setup!$A$8:$H$58,7), VLOOKUP(0,setup!$A$8:$H$58,2),VLOOKUP(0,setup!$A$8:$H$58,5),VLOOKUP(N223,setup!$A$8:$H$58,8))</f>
        <v>  // função que cria o widget  base entrada de dados</v>
      </c>
    </row>
    <row r="224" spans="1:15" x14ac:dyDescent="0.25">
      <c r="A224" s="6" t="s">
        <v>228</v>
      </c>
      <c r="O224" s="15" t="str">
        <f ca="1">getCodigoBackend(N224,A224,VLOOKUP(N224,setup!$A$8:$H$58,2),VLOOKUP(N224,setup!$A$8:$H$58,3),VLOOKUP(N224,setup!$A$8:$H$58,4),VLOOKUP(N224,setup!$A$8:$H$58,5),VLOOKUP(N224,setup!$A$8:$H$58,6),VLOOKUP(N224,setup!$A$8:$H$58,7), VLOOKUP(0,setup!$A$8:$H$58,2),VLOOKUP(0,setup!$A$8:$H$58,5),VLOOKUP(N224,setup!$A$8:$H$58,8))</f>
        <v>  // ===============================================</v>
      </c>
    </row>
    <row r="225" spans="1:15" x14ac:dyDescent="0.25">
      <c r="A225" s="6" t="s">
        <v>230</v>
      </c>
      <c r="O225" s="15" t="str">
        <f ca="1">getCodigoBackend(N225,A225,VLOOKUP(N225,setup!$A$8:$H$58,2),VLOOKUP(N225,setup!$A$8:$H$58,3),VLOOKUP(N225,setup!$A$8:$H$58,4),VLOOKUP(N225,setup!$A$8:$H$58,5),VLOOKUP(N225,setup!$A$8:$H$58,6),VLOOKUP(N225,setup!$A$8:$H$58,7), VLOOKUP(0,setup!$A$8:$H$58,2),VLOOKUP(0,setup!$A$8:$H$58,5),VLOOKUP(N225,setup!$A$8:$H$58,8))</f>
        <v>  Widget criarWidgetEntry({TextEditingController tec, TextInputType tit, String label}) =&gt; Padding(</v>
      </c>
    </row>
    <row r="226" spans="1:15" x14ac:dyDescent="0.25">
      <c r="A226" s="6" t="s">
        <v>231</v>
      </c>
      <c r="O226" s="15" t="str">
        <f ca="1">getCodigoBackend(N226,A226,VLOOKUP(N226,setup!$A$8:$H$58,2),VLOOKUP(N226,setup!$A$8:$H$58,3),VLOOKUP(N226,setup!$A$8:$H$58,4),VLOOKUP(N226,setup!$A$8:$H$58,5),VLOOKUP(N226,setup!$A$8:$H$58,6),VLOOKUP(N226,setup!$A$8:$H$58,7), VLOOKUP(0,setup!$A$8:$H$58,2),VLOOKUP(0,setup!$A$8:$H$58,5),VLOOKUP(N226,setup!$A$8:$H$58,8))</f>
        <v>      padding: EdgeInsets.only(top: 8.0),</v>
      </c>
    </row>
    <row r="227" spans="1:15" x14ac:dyDescent="0.25">
      <c r="A227" s="6" t="s">
        <v>232</v>
      </c>
      <c r="O227" s="15" t="str">
        <f ca="1">getCodigoBackend(N227,A227,VLOOKUP(N227,setup!$A$8:$H$58,2),VLOOKUP(N227,setup!$A$8:$H$58,3),VLOOKUP(N227,setup!$A$8:$H$58,4),VLOOKUP(N227,setup!$A$8:$H$58,5),VLOOKUP(N227,setup!$A$8:$H$58,6),VLOOKUP(N227,setup!$A$8:$H$58,7), VLOOKUP(0,setup!$A$8:$H$58,2),VLOOKUP(0,setup!$A$8:$H$58,5),VLOOKUP(N227,setup!$A$8:$H$58,8))</f>
        <v>      child: TextField(</v>
      </c>
    </row>
    <row r="228" spans="1:15" x14ac:dyDescent="0.25">
      <c r="A228" s="6" t="s">
        <v>233</v>
      </c>
      <c r="O228" s="15" t="str">
        <f ca="1">getCodigoBackend(N228,A228,VLOOKUP(N228,setup!$A$8:$H$58,2),VLOOKUP(N228,setup!$A$8:$H$58,3),VLOOKUP(N228,setup!$A$8:$H$58,4),VLOOKUP(N228,setup!$A$8:$H$58,5),VLOOKUP(N228,setup!$A$8:$H$58,6),VLOOKUP(N228,setup!$A$8:$H$58,7), VLOOKUP(0,setup!$A$8:$H$58,2),VLOOKUP(0,setup!$A$8:$H$58,5),VLOOKUP(N228,setup!$A$8:$H$58,8))</f>
        <v>          controller: tec,</v>
      </c>
    </row>
    <row r="229" spans="1:15" x14ac:dyDescent="0.25">
      <c r="A229" s="6" t="s">
        <v>234</v>
      </c>
      <c r="O229" s="15" t="str">
        <f ca="1">getCodigoBackend(N229,A229,VLOOKUP(N229,setup!$A$8:$H$58,2),VLOOKUP(N229,setup!$A$8:$H$58,3),VLOOKUP(N229,setup!$A$8:$H$58,4),VLOOKUP(N229,setup!$A$8:$H$58,5),VLOOKUP(N229,setup!$A$8:$H$58,6),VLOOKUP(N229,setup!$A$8:$H$58,7), VLOOKUP(0,setup!$A$8:$H$58,2),VLOOKUP(0,setup!$A$8:$H$58,5),VLOOKUP(N229,setup!$A$8:$H$58,8))</f>
        <v>          keyboardType: tit,</v>
      </c>
    </row>
    <row r="230" spans="1:15" x14ac:dyDescent="0.25">
      <c r="A230" s="6" t="s">
        <v>235</v>
      </c>
      <c r="O230" s="15" t="str">
        <f ca="1">getCodigoBackend(N230,A230,VLOOKUP(N230,setup!$A$8:$H$58,2),VLOOKUP(N230,setup!$A$8:$H$58,3),VLOOKUP(N230,setup!$A$8:$H$58,4),VLOOKUP(N230,setup!$A$8:$H$58,5),VLOOKUP(N230,setup!$A$8:$H$58,6),VLOOKUP(N230,setup!$A$8:$H$58,7), VLOOKUP(0,setup!$A$8:$H$58,2),VLOOKUP(0,setup!$A$8:$H$58,5),VLOOKUP(N230,setup!$A$8:$H$58,8))</f>
        <v>          decoration: InputDecoration(</v>
      </c>
    </row>
    <row r="231" spans="1:15" x14ac:dyDescent="0.25">
      <c r="A231" s="6" t="s">
        <v>236</v>
      </c>
      <c r="O231" s="15" t="str">
        <f ca="1">getCodigoBackend(N231,A231,VLOOKUP(N231,setup!$A$8:$H$58,2),VLOOKUP(N231,setup!$A$8:$H$58,3),VLOOKUP(N231,setup!$A$8:$H$58,4),VLOOKUP(N231,setup!$A$8:$H$58,5),VLOOKUP(N231,setup!$A$8:$H$58,6),VLOOKUP(N231,setup!$A$8:$H$58,7), VLOOKUP(0,setup!$A$8:$H$58,2),VLOOKUP(0,setup!$A$8:$H$58,5),VLOOKUP(N231,setup!$A$8:$H$58,8))</f>
        <v>                labelText: label,</v>
      </c>
    </row>
    <row r="232" spans="1:15" x14ac:dyDescent="0.25">
      <c r="A232" s="6" t="s">
        <v>237</v>
      </c>
      <c r="O232" s="15" t="str">
        <f ca="1">getCodigoBackend(N232,A232,VLOOKUP(N232,setup!$A$8:$H$58,2),VLOOKUP(N232,setup!$A$8:$H$58,3),VLOOKUP(N232,setup!$A$8:$H$58,4),VLOOKUP(N232,setup!$A$8:$H$58,5),VLOOKUP(N232,setup!$A$8:$H$58,6),VLOOKUP(N232,setup!$A$8:$H$58,7), VLOOKUP(0,setup!$A$8:$H$58,2),VLOOKUP(0,setup!$A$8:$H$58,5),VLOOKUP(N232,setup!$A$8:$H$58,8))</f>
        <v>                labelStyle: TextStyle(color: Colors.black),</v>
      </c>
    </row>
    <row r="233" spans="1:15" x14ac:dyDescent="0.25">
      <c r="A233" s="6" t="s">
        <v>238</v>
      </c>
      <c r="O233" s="15" t="str">
        <f ca="1">getCodigoBackend(N233,A233,VLOOKUP(N233,setup!$A$8:$H$58,2),VLOOKUP(N233,setup!$A$8:$H$58,3),VLOOKUP(N233,setup!$A$8:$H$58,4),VLOOKUP(N233,setup!$A$8:$H$58,5),VLOOKUP(N233,setup!$A$8:$H$58,6),VLOOKUP(N233,setup!$A$8:$H$58,7), VLOOKUP(0,setup!$A$8:$H$58,2),VLOOKUP(0,setup!$A$8:$H$58,5),VLOOKUP(N233,setup!$A$8:$H$58,8))</f>
        <v>                border: OutlineInputBorder()</v>
      </c>
    </row>
    <row r="234" spans="1:15" x14ac:dyDescent="0.25">
      <c r="A234" s="6" t="s">
        <v>239</v>
      </c>
      <c r="O234" s="15" t="str">
        <f ca="1">getCodigoBackend(N234,A234,VLOOKUP(N234,setup!$A$8:$H$58,2),VLOOKUP(N234,setup!$A$8:$H$58,3),VLOOKUP(N234,setup!$A$8:$H$58,4),VLOOKUP(N234,setup!$A$8:$H$58,5),VLOOKUP(N234,setup!$A$8:$H$58,6),VLOOKUP(N234,setup!$A$8:$H$58,7), VLOOKUP(0,setup!$A$8:$H$58,2),VLOOKUP(0,setup!$A$8:$H$58,5),VLOOKUP(N234,setup!$A$8:$H$58,8))</f>
        <v>            ),</v>
      </c>
    </row>
    <row r="235" spans="1:15" x14ac:dyDescent="0.25">
      <c r="A235" s="6" t="s">
        <v>240</v>
      </c>
      <c r="O235" s="15" t="str">
        <f ca="1">getCodigoBackend(N235,A235,VLOOKUP(N235,setup!$A$8:$H$58,2),VLOOKUP(N235,setup!$A$8:$H$58,3),VLOOKUP(N235,setup!$A$8:$H$58,4),VLOOKUP(N235,setup!$A$8:$H$58,5),VLOOKUP(N235,setup!$A$8:$H$58,6),VLOOKUP(N235,setup!$A$8:$H$58,7), VLOOKUP(0,setup!$A$8:$H$58,2),VLOOKUP(0,setup!$A$8:$H$58,5),VLOOKUP(N235,setup!$A$8:$H$58,8))</f>
        <v>          style: TextStyle(</v>
      </c>
    </row>
    <row r="236" spans="1:15" x14ac:dyDescent="0.25">
      <c r="A236" s="6" t="s">
        <v>241</v>
      </c>
      <c r="O236" s="15" t="str">
        <f ca="1">getCodigoBackend(N236,A236,VLOOKUP(N236,setup!$A$8:$H$58,2),VLOOKUP(N236,setup!$A$8:$H$58,3),VLOOKUP(N236,setup!$A$8:$H$58,4),VLOOKUP(N236,setup!$A$8:$H$58,5),VLOOKUP(N236,setup!$A$8:$H$58,6),VLOOKUP(N236,setup!$A$8:$H$58,7), VLOOKUP(0,setup!$A$8:$H$58,2),VLOOKUP(0,setup!$A$8:$H$58,5),VLOOKUP(N236,setup!$A$8:$H$58,8))</f>
        <v>            color: Colors.black,</v>
      </c>
    </row>
    <row r="237" spans="1:15" x14ac:dyDescent="0.25">
      <c r="A237" s="6" t="s">
        <v>242</v>
      </c>
      <c r="O237" s="15" t="str">
        <f ca="1">getCodigoBackend(N237,A237,VLOOKUP(N237,setup!$A$8:$H$58,2),VLOOKUP(N237,setup!$A$8:$H$58,3),VLOOKUP(N237,setup!$A$8:$H$58,4),VLOOKUP(N237,setup!$A$8:$H$58,5),VLOOKUP(N237,setup!$A$8:$H$58,6),VLOOKUP(N237,setup!$A$8:$H$58,7), VLOOKUP(0,setup!$A$8:$H$58,2),VLOOKUP(0,setup!$A$8:$H$58,5),VLOOKUP(N237,setup!$A$8:$H$58,8))</f>
        <v>            fontSize: 15.0</v>
      </c>
    </row>
    <row r="238" spans="1:15" x14ac:dyDescent="0.25">
      <c r="A238" s="6" t="s">
        <v>243</v>
      </c>
      <c r="O238" s="15" t="str">
        <f ca="1">getCodigoBackend(N238,A238,VLOOKUP(N238,setup!$A$8:$H$58,2),VLOOKUP(N238,setup!$A$8:$H$58,3),VLOOKUP(N238,setup!$A$8:$H$58,4),VLOOKUP(N238,setup!$A$8:$H$58,5),VLOOKUP(N238,setup!$A$8:$H$58,6),VLOOKUP(N238,setup!$A$8:$H$58,7), VLOOKUP(0,setup!$A$8:$H$58,2),VLOOKUP(0,setup!$A$8:$H$58,5),VLOOKUP(N238,setup!$A$8:$H$58,8))</f>
        <v>        ),</v>
      </c>
    </row>
    <row r="239" spans="1:15" x14ac:dyDescent="0.25">
      <c r="A239" s="6" t="s">
        <v>244</v>
      </c>
      <c r="O239" s="15" t="str">
        <f ca="1">getCodigoBackend(N239,A239,VLOOKUP(N239,setup!$A$8:$H$58,2),VLOOKUP(N239,setup!$A$8:$H$58,3),VLOOKUP(N239,setup!$A$8:$H$58,4),VLOOKUP(N239,setup!$A$8:$H$58,5),VLOOKUP(N239,setup!$A$8:$H$58,6),VLOOKUP(N239,setup!$A$8:$H$58,7), VLOOKUP(0,setup!$A$8:$H$58,2),VLOOKUP(0,setup!$A$8:$H$58,5),VLOOKUP(N239,setup!$A$8:$H$58,8))</f>
        <v>      ),</v>
      </c>
    </row>
    <row r="240" spans="1:15" x14ac:dyDescent="0.25">
      <c r="A240" s="6" t="s">
        <v>245</v>
      </c>
      <c r="O240" s="15" t="str">
        <f ca="1">getCodigoBackend(N240,A240,VLOOKUP(N240,setup!$A$8:$H$58,2),VLOOKUP(N240,setup!$A$8:$H$58,3),VLOOKUP(N240,setup!$A$8:$H$58,4),VLOOKUP(N240,setup!$A$8:$H$58,5),VLOOKUP(N240,setup!$A$8:$H$58,6),VLOOKUP(N240,setup!$A$8:$H$58,7), VLOOKUP(0,setup!$A$8:$H$58,2),VLOOKUP(0,setup!$A$8:$H$58,5),VLOOKUP(N240,setup!$A$8:$H$58,8))</f>
        <v>    );</v>
      </c>
    </row>
    <row r="241" spans="1:15" x14ac:dyDescent="0.25">
      <c r="A241" s="6" t="s">
        <v>246</v>
      </c>
      <c r="O241" s="15" t="str">
        <f ca="1">getCodigoBackend(N241,A241,VLOOKUP(N241,setup!$A$8:$H$58,2),VLOOKUP(N241,setup!$A$8:$H$58,3),VLOOKUP(N241,setup!$A$8:$H$58,4),VLOOKUP(N241,setup!$A$8:$H$58,5),VLOOKUP(N241,setup!$A$8:$H$58,6),VLOOKUP(N241,setup!$A$8:$H$58,7), VLOOKUP(0,setup!$A$8:$H$58,2),VLOOKUP(0,setup!$A$8:$H$58,5),VLOOKUP(N241,setup!$A$8:$H$58,8))</f>
        <v>  </v>
      </c>
    </row>
    <row r="242" spans="1:15" x14ac:dyDescent="0.25">
      <c r="A242" s="14"/>
      <c r="O242" s="15"/>
    </row>
    <row r="243" spans="1:15" x14ac:dyDescent="0.25">
      <c r="A243" s="6"/>
      <c r="O243" s="15" t="str">
        <f ca="1">getCodigoBackend(N243,A243,VLOOKUP(N243,setup!$A$8:$H$58,2),VLOOKUP(N243,setup!$A$8:$H$58,3),VLOOKUP(N243,setup!$A$8:$H$58,4),VLOOKUP(N243,setup!$A$8:$H$58,5),VLOOKUP(N243,setup!$A$8:$H$58,6),VLOOKUP(N243,setup!$A$8:$H$58,7), VLOOKUP(0,setup!$A$8:$H$58,2),VLOOKUP(0,setup!$A$8:$H$58,5),VLOOKUP(N243,setup!$A$8:$H$58,8))</f>
        <v/>
      </c>
    </row>
    <row r="244" spans="1:15" x14ac:dyDescent="0.25">
      <c r="A244" s="6" t="s">
        <v>65</v>
      </c>
      <c r="O244" s="15" t="str">
        <f ca="1">getCodigoBackend(N244,A244,VLOOKUP(N244,setup!$A$8:$H$58,2),VLOOKUP(N244,setup!$A$8:$H$58,3),VLOOKUP(N244,setup!$A$8:$H$58,4),VLOOKUP(N244,setup!$A$8:$H$58,5),VLOOKUP(N244,setup!$A$8:$H$58,6),VLOOKUP(N244,setup!$A$8:$H$58,7), VLOOKUP(0,setup!$A$8:$H$58,2),VLOOKUP(0,setup!$A$8:$H$58,5),VLOOKUP(N244,setup!$A$8:$H$58,8))</f>
        <v xml:space="preserve">  @override</v>
      </c>
    </row>
    <row r="245" spans="1:15" x14ac:dyDescent="0.25">
      <c r="A245" s="6" t="s">
        <v>72</v>
      </c>
      <c r="O245" s="15" t="str">
        <f ca="1">getCodigoBackend(N245,A245,VLOOKUP(N245,setup!$A$8:$H$58,2),VLOOKUP(N245,setup!$A$8:$H$58,3),VLOOKUP(N245,setup!$A$8:$H$58,4),VLOOKUP(N245,setup!$A$8:$H$58,5),VLOOKUP(N245,setup!$A$8:$H$58,6),VLOOKUP(N245,setup!$A$8:$H$58,7), VLOOKUP(0,setup!$A$8:$H$58,2),VLOOKUP(0,setup!$A$8:$H$58,5),VLOOKUP(N245,setup!$A$8:$H$58,8))</f>
        <v xml:space="preserve">  Widget build(BuildContext context) {</v>
      </c>
    </row>
    <row r="246" spans="1:15" x14ac:dyDescent="0.25">
      <c r="A246" s="6"/>
      <c r="O246" s="15" t="str">
        <f ca="1">getCodigoBackend(N246,A246,VLOOKUP(N246,setup!$A$8:$H$58,2),VLOOKUP(N246,setup!$A$8:$H$58,3),VLOOKUP(N246,setup!$A$8:$H$58,4),VLOOKUP(N246,setup!$A$8:$H$58,5),VLOOKUP(N246,setup!$A$8:$H$58,6),VLOOKUP(N246,setup!$A$8:$H$58,7), VLOOKUP(0,setup!$A$8:$H$58,2),VLOOKUP(0,setup!$A$8:$H$58,5),VLOOKUP(N246,setup!$A$8:$H$58,8))</f>
        <v/>
      </c>
    </row>
    <row r="247" spans="1:15" x14ac:dyDescent="0.25">
      <c r="A247" s="6" t="s">
        <v>110</v>
      </c>
      <c r="O247" s="15" t="str">
        <f ca="1">getCodigoBackend(N247,A247,VLOOKUP(N247,setup!$A$8:$H$58,2),VLOOKUP(N247,setup!$A$8:$H$58,3),VLOOKUP(N247,setup!$A$8:$H$58,4),VLOOKUP(N247,setup!$A$8:$H$58,5),VLOOKUP(N247,setup!$A$8:$H$58,6),VLOOKUP(N247,setup!$A$8:$H$58,7), VLOOKUP(0,setup!$A$8:$H$58,2),VLOOKUP(0,setup!$A$8:$H$58,5),VLOOKUP(N247,setup!$A$8:$H$58,8))</f>
        <v xml:space="preserve">    List&lt;Widget&gt; _lstCamposUsuarioPublicidade = [];</v>
      </c>
    </row>
    <row r="248" spans="1:15" x14ac:dyDescent="0.25">
      <c r="A248" s="6"/>
      <c r="O248" s="15" t="str">
        <f ca="1">getCodigoBackend(N248,A248,VLOOKUP(N248,setup!$A$8:$H$58,2),VLOOKUP(N248,setup!$A$8:$H$58,3),VLOOKUP(N248,setup!$A$8:$H$58,4),VLOOKUP(N248,setup!$A$8:$H$58,5),VLOOKUP(N248,setup!$A$8:$H$58,6),VLOOKUP(N248,setup!$A$8:$H$58,7), VLOOKUP(0,setup!$A$8:$H$58,2),VLOOKUP(0,setup!$A$8:$H$58,5),VLOOKUP(N248,setup!$A$8:$H$58,8))</f>
        <v/>
      </c>
    </row>
    <row r="249" spans="1:15" x14ac:dyDescent="0.25">
      <c r="A249" s="6" t="s">
        <v>119</v>
      </c>
      <c r="O249" s="15" t="str">
        <f ca="1">getCodigoBackend(N249,A249,VLOOKUP(N249,setup!$A$8:$H$58,2),VLOOKUP(N249,setup!$A$8:$H$58,3),VLOOKUP(N249,setup!$A$8:$H$58,4),VLOOKUP(N249,setup!$A$8:$H$58,5),VLOOKUP(N249,setup!$A$8:$H$58,6),VLOOKUP(N249,setup!$A$8:$H$58,7), VLOOKUP(0,setup!$A$8:$H$58,2),VLOOKUP(0,setup!$A$8:$H$58,5),VLOOKUP(N249,setup!$A$8:$H$58,8))</f>
        <v xml:space="preserve">    // ============================================================================</v>
      </c>
    </row>
    <row r="250" spans="1:15" x14ac:dyDescent="0.25">
      <c r="A250" s="6" t="s">
        <v>248</v>
      </c>
      <c r="O250" s="15" t="str">
        <f ca="1">getCodigoBackend(N250,A250,VLOOKUP(N250,setup!$A$8:$H$58,2),VLOOKUP(N250,setup!$A$8:$H$58,3),VLOOKUP(N250,setup!$A$8:$H$58,4),VLOOKUP(N250,setup!$A$8:$H$58,5),VLOOKUP(N250,setup!$A$8:$H$58,6),VLOOKUP(N250,setup!$A$8:$H$58,7), VLOOKUP(0,setup!$A$8:$H$58,2),VLOOKUP(0,setup!$A$8:$H$58,5),VLOOKUP(N250,setup!$A$8:$H$58,8))</f>
        <v xml:space="preserve">    // Criação dos campos que irão permitir a entrada de dados</v>
      </c>
    </row>
    <row r="251" spans="1:15" x14ac:dyDescent="0.25">
      <c r="A251" s="6" t="s">
        <v>119</v>
      </c>
      <c r="O251" s="15" t="str">
        <f ca="1">getCodigoBackend(N251,A251,VLOOKUP(N251,setup!$A$8:$H$58,2),VLOOKUP(N251,setup!$A$8:$H$58,3),VLOOKUP(N251,setup!$A$8:$H$58,4),VLOOKUP(N251,setup!$A$8:$H$58,5),VLOOKUP(N251,setup!$A$8:$H$58,6),VLOOKUP(N251,setup!$A$8:$H$58,7), VLOOKUP(0,setup!$A$8:$H$58,2),VLOOKUP(0,setup!$A$8:$H$58,5),VLOOKUP(N251,setup!$A$8:$H$58,8))</f>
        <v xml:space="preserve">    // ============================================================================</v>
      </c>
    </row>
    <row r="252" spans="1:15" x14ac:dyDescent="0.25">
      <c r="A252" s="6" t="s">
        <v>247</v>
      </c>
      <c r="N252">
        <v>0</v>
      </c>
      <c r="O252" s="15" t="str">
        <f ca="1">getCodigoBackend(N252,A252,VLOOKUP(N252,setup!$A$8:$H$58,2),VLOOKUP(N252,setup!$A$8:$H$58,3),VLOOKUP(N252,setup!$A$8:$H$58,4),VLOOKUP(N252,setup!$A$8:$H$58,5),VLOOKUP(N252,setup!$A$8:$H$58,6),VLOOKUP(N252,setup!$A$8:$H$58,7), VLOOKUP(0,setup!$A$8:$H$58,2),VLOOKUP(0,setup!$A$8:$H$58,5),VLOOKUP(N252,setup!$A$8:$H$58,8))</f>
        <v>    _lstCamposUsuarioPublicidade.add(criarWidgetEntry(tec: tecid, tit: TextInputType.text, label: "ID Usuário x Publicidade"));</v>
      </c>
    </row>
    <row r="253" spans="1:15" x14ac:dyDescent="0.25">
      <c r="A253" s="6" t="s">
        <v>247</v>
      </c>
      <c r="N253">
        <f t="shared" ref="N253:N284" si="7">N252+1</f>
        <v>1</v>
      </c>
      <c r="O253" s="15" t="str">
        <f ca="1">getCodigoBackend(N253,A253,VLOOKUP(N253,setup!$A$8:$H$58,2),VLOOKUP(N253,setup!$A$8:$H$58,3),VLOOKUP(N253,setup!$A$8:$H$58,4),VLOOKUP(N253,setup!$A$8:$H$58,5),VLOOKUP(N253,setup!$A$8:$H$58,6),VLOOKUP(N253,setup!$A$8:$H$58,7), VLOOKUP(0,setup!$A$8:$H$58,2),VLOOKUP(0,setup!$A$8:$H$58,5),VLOOKUP(N253,setup!$A$8:$H$58,8))</f>
        <v>    _lstCamposUsuarioPublicidade.add(criarWidgetEntry(tec: tecid_usuario, tit: TextInputType.text, label: "ID do usuário"));</v>
      </c>
    </row>
    <row r="254" spans="1:15" x14ac:dyDescent="0.25">
      <c r="A254" s="6" t="s">
        <v>247</v>
      </c>
      <c r="N254">
        <f t="shared" si="7"/>
        <v>2</v>
      </c>
      <c r="O254" s="15" t="str">
        <f ca="1">getCodigoBackend(N254,A254,VLOOKUP(N254,setup!$A$8:$H$58,2),VLOOKUP(N254,setup!$A$8:$H$58,3),VLOOKUP(N254,setup!$A$8:$H$58,4),VLOOKUP(N254,setup!$A$8:$H$58,5),VLOOKUP(N254,setup!$A$8:$H$58,6),VLOOKUP(N254,setup!$A$8:$H$58,7), VLOOKUP(0,setup!$A$8:$H$58,2),VLOOKUP(0,setup!$A$8:$H$58,5),VLOOKUP(N254,setup!$A$8:$H$58,8))</f>
        <v>    _lstCamposUsuarioPublicidade.add(criarWidgetEntry(tec: tectitulo, tit: TextInputType.text, label: "Título da publicidade"));</v>
      </c>
    </row>
    <row r="255" spans="1:15" x14ac:dyDescent="0.25">
      <c r="A255" s="6" t="s">
        <v>247</v>
      </c>
      <c r="N255">
        <f t="shared" si="7"/>
        <v>3</v>
      </c>
      <c r="O255" s="15" t="str">
        <f ca="1">getCodigoBackend(N255,A255,VLOOKUP(N255,setup!$A$8:$H$58,2),VLOOKUP(N255,setup!$A$8:$H$58,3),VLOOKUP(N255,setup!$A$8:$H$58,4),VLOOKUP(N255,setup!$A$8:$H$58,5),VLOOKUP(N255,setup!$A$8:$H$58,6),VLOOKUP(N255,setup!$A$8:$H$58,7), VLOOKUP(0,setup!$A$8:$H$58,2),VLOOKUP(0,setup!$A$8:$H$58,5),VLOOKUP(N255,setup!$A$8:$H$58,8))</f>
        <v>    _lstCamposUsuarioPublicidade.add(criarWidgetEntry(tec: tecdescricao, tit: TextInputType.text, label: "Descrição geral"));</v>
      </c>
    </row>
    <row r="256" spans="1:15" x14ac:dyDescent="0.25">
      <c r="A256" s="6" t="s">
        <v>247</v>
      </c>
      <c r="N256">
        <f t="shared" si="7"/>
        <v>4</v>
      </c>
      <c r="O256" s="15" t="str">
        <f ca="1">getCodigoBackend(N256,A256,VLOOKUP(N256,setup!$A$8:$H$58,2),VLOOKUP(N256,setup!$A$8:$H$58,3),VLOOKUP(N256,setup!$A$8:$H$58,4),VLOOKUP(N256,setup!$A$8:$H$58,5),VLOOKUP(N256,setup!$A$8:$H$58,6),VLOOKUP(N256,setup!$A$8:$H$58,7), VLOOKUP(0,setup!$A$8:$H$58,2),VLOOKUP(0,setup!$A$8:$H$58,5),VLOOKUP(N256,setup!$A$8:$H$58,8))</f>
        <v>    _lstCamposUsuarioPublicidade.add(criarWidgetEntry(tec: tecdataInicio, tit: TextInputType.text, label: "Data de início"));</v>
      </c>
    </row>
    <row r="257" spans="1:15" x14ac:dyDescent="0.25">
      <c r="A257" s="6" t="s">
        <v>247</v>
      </c>
      <c r="N257">
        <f t="shared" si="7"/>
        <v>5</v>
      </c>
      <c r="O257" s="15" t="str">
        <f ca="1">getCodigoBackend(N257,A257,VLOOKUP(N257,setup!$A$8:$H$58,2),VLOOKUP(N257,setup!$A$8:$H$58,3),VLOOKUP(N257,setup!$A$8:$H$58,4),VLOOKUP(N257,setup!$A$8:$H$58,5),VLOOKUP(N257,setup!$A$8:$H$58,6),VLOOKUP(N257,setup!$A$8:$H$58,7), VLOOKUP(0,setup!$A$8:$H$58,2),VLOOKUP(0,setup!$A$8:$H$58,5),VLOOKUP(N257,setup!$A$8:$H$58,8))</f>
        <v>    _lstCamposUsuarioPublicidade.add(criarWidgetEntry(tec: tecdataTermino, tit: TextInputType.text, label: "Data de término"));</v>
      </c>
    </row>
    <row r="258" spans="1:15" x14ac:dyDescent="0.25">
      <c r="A258" s="6" t="s">
        <v>247</v>
      </c>
      <c r="N258">
        <f t="shared" si="7"/>
        <v>6</v>
      </c>
      <c r="O258" s="15" t="str">
        <f ca="1">getCodigoBackend(N258,A258,VLOOKUP(N258,setup!$A$8:$H$58,2),VLOOKUP(N258,setup!$A$8:$H$58,3),VLOOKUP(N258,setup!$A$8:$H$58,4),VLOOKUP(N258,setup!$A$8:$H$58,5),VLOOKUP(N258,setup!$A$8:$H$58,6),VLOOKUP(N258,setup!$A$8:$H$58,7), VLOOKUP(0,setup!$A$8:$H$58,2),VLOOKUP(0,setup!$A$8:$H$58,5),VLOOKUP(N258,setup!$A$8:$H$58,8))</f>
        <v>    _lstCamposUsuarioPublicidade.add(criarWidgetEntry(tec: tecvlNormal, tit: TextInputType.text, label: "Valor do produto/serviço"));</v>
      </c>
    </row>
    <row r="259" spans="1:15" x14ac:dyDescent="0.25">
      <c r="A259" s="6" t="s">
        <v>247</v>
      </c>
      <c r="N259">
        <f t="shared" si="7"/>
        <v>7</v>
      </c>
      <c r="O259" s="15" t="str">
        <f ca="1">getCodigoBackend(N259,A259,VLOOKUP(N259,setup!$A$8:$H$58,2),VLOOKUP(N259,setup!$A$8:$H$58,3),VLOOKUP(N259,setup!$A$8:$H$58,4),VLOOKUP(N259,setup!$A$8:$H$58,5),VLOOKUP(N259,setup!$A$8:$H$58,6),VLOOKUP(N259,setup!$A$8:$H$58,7), VLOOKUP(0,setup!$A$8:$H$58,2),VLOOKUP(0,setup!$A$8:$H$58,5),VLOOKUP(N259,setup!$A$8:$H$58,8))</f>
        <v>    _lstCamposUsuarioPublicidade.add(criarWidgetEntry(tec: tecvlPromo, tit: TextInputType.text, label: "Valor promocional produto/serviço"));</v>
      </c>
    </row>
    <row r="260" spans="1:15" x14ac:dyDescent="0.25">
      <c r="A260" s="6" t="s">
        <v>247</v>
      </c>
      <c r="N260">
        <f t="shared" si="7"/>
        <v>8</v>
      </c>
      <c r="O260" s="15" t="str">
        <f ca="1">getCodigoBackend(N260,A260,VLOOKUP(N260,setup!$A$8:$H$58,2),VLOOKUP(N260,setup!$A$8:$H$58,3),VLOOKUP(N260,setup!$A$8:$H$58,4),VLOOKUP(N260,setup!$A$8:$H$58,5),VLOOKUP(N260,setup!$A$8:$H$58,6),VLOOKUP(N260,setup!$A$8:$H$58,7), VLOOKUP(0,setup!$A$8:$H$58,2),VLOOKUP(0,setup!$A$8:$H$58,5),VLOOKUP(N260,setup!$A$8:$H$58,8))</f>
        <v>    _lstCamposUsuarioPublicidade.add(criarWidgetEntry(tec: tecobservacao, tit: TextInputType.text, label: "Observação"));</v>
      </c>
    </row>
    <row r="261" spans="1:15" x14ac:dyDescent="0.25">
      <c r="A261" s="6" t="s">
        <v>247</v>
      </c>
      <c r="N261">
        <f t="shared" si="7"/>
        <v>9</v>
      </c>
      <c r="O261" s="15" t="str">
        <f ca="1">getCodigoBackend(N261,A261,VLOOKUP(N261,setup!$A$8:$H$58,2),VLOOKUP(N261,setup!$A$8:$H$58,3),VLOOKUP(N261,setup!$A$8:$H$58,4),VLOOKUP(N261,setup!$A$8:$H$58,5),VLOOKUP(N261,setup!$A$8:$H$58,6),VLOOKUP(N261,setup!$A$8:$H$58,7), VLOOKUP(0,setup!$A$8:$H$58,2),VLOOKUP(0,setup!$A$8:$H$58,5),VLOOKUP(N261,setup!$A$8:$H$58,8))</f>
        <v>    _lstCamposUsuarioPublicidade.add(criarWidgetEntry(tec: tecdataRemover, tit: TextInputType.text, label: "Data para apagar"));</v>
      </c>
    </row>
    <row r="262" spans="1:15" x14ac:dyDescent="0.25">
      <c r="A262" s="6" t="s">
        <v>247</v>
      </c>
      <c r="N262">
        <f t="shared" si="7"/>
        <v>10</v>
      </c>
      <c r="O262" s="15" t="e">
        <f>getCodigoBackend(N262,A262,VLOOKUP(N262,setup!$A$8:$H$58,2),VLOOKUP(N262,setup!$A$8:$H$58,3),VLOOKUP(N262,setup!$A$8:$H$58,4),VLOOKUP(N262,setup!$A$8:$H$58,5),VLOOKUP(N262,setup!$A$8:$H$58,6),VLOOKUP(N262,setup!$A$8:$H$58,7), VLOOKUP(0,setup!$A$8:$H$58,2),VLOOKUP(0,setup!$A$8:$H$58,5),VLOOKUP(N262,setup!$A$8:$H$58,8))</f>
        <v>#VALUE!</v>
      </c>
    </row>
    <row r="263" spans="1:15" x14ac:dyDescent="0.25">
      <c r="A263" s="6" t="s">
        <v>247</v>
      </c>
      <c r="N263">
        <f t="shared" si="7"/>
        <v>11</v>
      </c>
      <c r="O263" s="15" t="e">
        <f>getCodigoBackend(N263,A263,VLOOKUP(N263,setup!$A$8:$H$58,2),VLOOKUP(N263,setup!$A$8:$H$58,3),VLOOKUP(N263,setup!$A$8:$H$58,4),VLOOKUP(N263,setup!$A$8:$H$58,5),VLOOKUP(N263,setup!$A$8:$H$58,6),VLOOKUP(N263,setup!$A$8:$H$58,7), VLOOKUP(0,setup!$A$8:$H$58,2),VLOOKUP(0,setup!$A$8:$H$58,5),VLOOKUP(N263,setup!$A$8:$H$58,8))</f>
        <v>#VALUE!</v>
      </c>
    </row>
    <row r="264" spans="1:15" x14ac:dyDescent="0.25">
      <c r="A264" s="6" t="s">
        <v>247</v>
      </c>
      <c r="N264">
        <f t="shared" si="7"/>
        <v>12</v>
      </c>
      <c r="O264" s="15" t="e">
        <f>getCodigoBackend(N264,A264,VLOOKUP(N264,setup!$A$8:$H$58,2),VLOOKUP(N264,setup!$A$8:$H$58,3),VLOOKUP(N264,setup!$A$8:$H$58,4),VLOOKUP(N264,setup!$A$8:$H$58,5),VLOOKUP(N264,setup!$A$8:$H$58,6),VLOOKUP(N264,setup!$A$8:$H$58,7), VLOOKUP(0,setup!$A$8:$H$58,2),VLOOKUP(0,setup!$A$8:$H$58,5),VLOOKUP(N264,setup!$A$8:$H$58,8))</f>
        <v>#VALUE!</v>
      </c>
    </row>
    <row r="265" spans="1:15" x14ac:dyDescent="0.25">
      <c r="A265" s="6" t="s">
        <v>247</v>
      </c>
      <c r="N265">
        <f t="shared" si="7"/>
        <v>13</v>
      </c>
      <c r="O265" s="15" t="e">
        <f>getCodigoBackend(N265,A265,VLOOKUP(N265,setup!$A$8:$H$58,2),VLOOKUP(N265,setup!$A$8:$H$58,3),VLOOKUP(N265,setup!$A$8:$H$58,4),VLOOKUP(N265,setup!$A$8:$H$58,5),VLOOKUP(N265,setup!$A$8:$H$58,6),VLOOKUP(N265,setup!$A$8:$H$58,7), VLOOKUP(0,setup!$A$8:$H$58,2),VLOOKUP(0,setup!$A$8:$H$58,5),VLOOKUP(N265,setup!$A$8:$H$58,8))</f>
        <v>#VALUE!</v>
      </c>
    </row>
    <row r="266" spans="1:15" x14ac:dyDescent="0.25">
      <c r="A266" s="6" t="s">
        <v>247</v>
      </c>
      <c r="N266">
        <f t="shared" si="7"/>
        <v>14</v>
      </c>
      <c r="O266" s="15" t="e">
        <f>getCodigoBackend(N266,A266,VLOOKUP(N266,setup!$A$8:$H$58,2),VLOOKUP(N266,setup!$A$8:$H$58,3),VLOOKUP(N266,setup!$A$8:$H$58,4),VLOOKUP(N266,setup!$A$8:$H$58,5),VLOOKUP(N266,setup!$A$8:$H$58,6),VLOOKUP(N266,setup!$A$8:$H$58,7), VLOOKUP(0,setup!$A$8:$H$58,2),VLOOKUP(0,setup!$A$8:$H$58,5),VLOOKUP(N266,setup!$A$8:$H$58,8))</f>
        <v>#VALUE!</v>
      </c>
    </row>
    <row r="267" spans="1:15" x14ac:dyDescent="0.25">
      <c r="A267" s="6" t="s">
        <v>247</v>
      </c>
      <c r="N267">
        <f t="shared" si="7"/>
        <v>15</v>
      </c>
      <c r="O267" s="15" t="e">
        <f>getCodigoBackend(N267,A267,VLOOKUP(N267,setup!$A$8:$H$58,2),VLOOKUP(N267,setup!$A$8:$H$58,3),VLOOKUP(N267,setup!$A$8:$H$58,4),VLOOKUP(N267,setup!$A$8:$H$58,5),VLOOKUP(N267,setup!$A$8:$H$58,6),VLOOKUP(N267,setup!$A$8:$H$58,7), VLOOKUP(0,setup!$A$8:$H$58,2),VLOOKUP(0,setup!$A$8:$H$58,5),VLOOKUP(N267,setup!$A$8:$H$58,8))</f>
        <v>#VALUE!</v>
      </c>
    </row>
    <row r="268" spans="1:15" x14ac:dyDescent="0.25">
      <c r="A268" s="6" t="s">
        <v>247</v>
      </c>
      <c r="N268">
        <f t="shared" si="7"/>
        <v>16</v>
      </c>
      <c r="O268" s="15" t="e">
        <f>getCodigoBackend(N268,A268,VLOOKUP(N268,setup!$A$8:$H$58,2),VLOOKUP(N268,setup!$A$8:$H$58,3),VLOOKUP(N268,setup!$A$8:$H$58,4),VLOOKUP(N268,setup!$A$8:$H$58,5),VLOOKUP(N268,setup!$A$8:$H$58,6),VLOOKUP(N268,setup!$A$8:$H$58,7), VLOOKUP(0,setup!$A$8:$H$58,2),VLOOKUP(0,setup!$A$8:$H$58,5),VLOOKUP(N268,setup!$A$8:$H$58,8))</f>
        <v>#VALUE!</v>
      </c>
    </row>
    <row r="269" spans="1:15" x14ac:dyDescent="0.25">
      <c r="A269" s="6" t="s">
        <v>247</v>
      </c>
      <c r="N269">
        <f t="shared" si="7"/>
        <v>17</v>
      </c>
      <c r="O269" s="15" t="e">
        <f>getCodigoBackend(N269,A269,VLOOKUP(N269,setup!$A$8:$H$58,2),VLOOKUP(N269,setup!$A$8:$H$58,3),VLOOKUP(N269,setup!$A$8:$H$58,4),VLOOKUP(N269,setup!$A$8:$H$58,5),VLOOKUP(N269,setup!$A$8:$H$58,6),VLOOKUP(N269,setup!$A$8:$H$58,7), VLOOKUP(0,setup!$A$8:$H$58,2),VLOOKUP(0,setup!$A$8:$H$58,5),VLOOKUP(N269,setup!$A$8:$H$58,8))</f>
        <v>#VALUE!</v>
      </c>
    </row>
    <row r="270" spans="1:15" x14ac:dyDescent="0.25">
      <c r="A270" s="6" t="s">
        <v>247</v>
      </c>
      <c r="N270">
        <f t="shared" si="7"/>
        <v>18</v>
      </c>
      <c r="O270" s="15" t="e">
        <f>getCodigoBackend(N270,A270,VLOOKUP(N270,setup!$A$8:$H$58,2),VLOOKUP(N270,setup!$A$8:$H$58,3),VLOOKUP(N270,setup!$A$8:$H$58,4),VLOOKUP(N270,setup!$A$8:$H$58,5),VLOOKUP(N270,setup!$A$8:$H$58,6),VLOOKUP(N270,setup!$A$8:$H$58,7), VLOOKUP(0,setup!$A$8:$H$58,2),VLOOKUP(0,setup!$A$8:$H$58,5),VLOOKUP(N270,setup!$A$8:$H$58,8))</f>
        <v>#VALUE!</v>
      </c>
    </row>
    <row r="271" spans="1:15" x14ac:dyDescent="0.25">
      <c r="A271" s="6" t="s">
        <v>247</v>
      </c>
      <c r="N271">
        <f t="shared" si="7"/>
        <v>19</v>
      </c>
      <c r="O271" s="15" t="e">
        <f>getCodigoBackend(N271,A271,VLOOKUP(N271,setup!$A$8:$H$58,2),VLOOKUP(N271,setup!$A$8:$H$58,3),VLOOKUP(N271,setup!$A$8:$H$58,4),VLOOKUP(N271,setup!$A$8:$H$58,5),VLOOKUP(N271,setup!$A$8:$H$58,6),VLOOKUP(N271,setup!$A$8:$H$58,7), VLOOKUP(0,setup!$A$8:$H$58,2),VLOOKUP(0,setup!$A$8:$H$58,5),VLOOKUP(N271,setup!$A$8:$H$58,8))</f>
        <v>#VALUE!</v>
      </c>
    </row>
    <row r="272" spans="1:15" x14ac:dyDescent="0.25">
      <c r="A272" s="6" t="s">
        <v>247</v>
      </c>
      <c r="N272">
        <f t="shared" si="7"/>
        <v>20</v>
      </c>
      <c r="O272" s="15" t="e">
        <f>getCodigoBackend(N272,A272,VLOOKUP(N272,setup!$A$8:$H$58,2),VLOOKUP(N272,setup!$A$8:$H$58,3),VLOOKUP(N272,setup!$A$8:$H$58,4),VLOOKUP(N272,setup!$A$8:$H$58,5),VLOOKUP(N272,setup!$A$8:$H$58,6),VLOOKUP(N272,setup!$A$8:$H$58,7), VLOOKUP(0,setup!$A$8:$H$58,2),VLOOKUP(0,setup!$A$8:$H$58,5),VLOOKUP(N272,setup!$A$8:$H$58,8))</f>
        <v>#VALUE!</v>
      </c>
    </row>
    <row r="273" spans="1:15" x14ac:dyDescent="0.25">
      <c r="A273" s="6" t="s">
        <v>247</v>
      </c>
      <c r="N273">
        <f t="shared" si="7"/>
        <v>21</v>
      </c>
      <c r="O273" s="15" t="e">
        <f>getCodigoBackend(N273,A273,VLOOKUP(N273,setup!$A$8:$H$58,2),VLOOKUP(N273,setup!$A$8:$H$58,3),VLOOKUP(N273,setup!$A$8:$H$58,4),VLOOKUP(N273,setup!$A$8:$H$58,5),VLOOKUP(N273,setup!$A$8:$H$58,6),VLOOKUP(N273,setup!$A$8:$H$58,7), VLOOKUP(0,setup!$A$8:$H$58,2),VLOOKUP(0,setup!$A$8:$H$58,5),VLOOKUP(N273,setup!$A$8:$H$58,8))</f>
        <v>#VALUE!</v>
      </c>
    </row>
    <row r="274" spans="1:15" x14ac:dyDescent="0.25">
      <c r="A274" s="6" t="s">
        <v>247</v>
      </c>
      <c r="N274">
        <f t="shared" si="7"/>
        <v>22</v>
      </c>
      <c r="O274" s="15" t="e">
        <f>getCodigoBackend(N274,A274,VLOOKUP(N274,setup!$A$8:$H$58,2),VLOOKUP(N274,setup!$A$8:$H$58,3),VLOOKUP(N274,setup!$A$8:$H$58,4),VLOOKUP(N274,setup!$A$8:$H$58,5),VLOOKUP(N274,setup!$A$8:$H$58,6),VLOOKUP(N274,setup!$A$8:$H$58,7), VLOOKUP(0,setup!$A$8:$H$58,2),VLOOKUP(0,setup!$A$8:$H$58,5),VLOOKUP(N274,setup!$A$8:$H$58,8))</f>
        <v>#VALUE!</v>
      </c>
    </row>
    <row r="275" spans="1:15" x14ac:dyDescent="0.25">
      <c r="A275" s="6" t="s">
        <v>247</v>
      </c>
      <c r="N275">
        <f t="shared" si="7"/>
        <v>23</v>
      </c>
      <c r="O275" s="15" t="e">
        <f>getCodigoBackend(N275,A275,VLOOKUP(N275,setup!$A$8:$H$58,2),VLOOKUP(N275,setup!$A$8:$H$58,3),VLOOKUP(N275,setup!$A$8:$H$58,4),VLOOKUP(N275,setup!$A$8:$H$58,5),VLOOKUP(N275,setup!$A$8:$H$58,6),VLOOKUP(N275,setup!$A$8:$H$58,7), VLOOKUP(0,setup!$A$8:$H$58,2),VLOOKUP(0,setup!$A$8:$H$58,5),VLOOKUP(N275,setup!$A$8:$H$58,8))</f>
        <v>#VALUE!</v>
      </c>
    </row>
    <row r="276" spans="1:15" x14ac:dyDescent="0.25">
      <c r="A276" s="6" t="s">
        <v>247</v>
      </c>
      <c r="N276">
        <f t="shared" si="7"/>
        <v>24</v>
      </c>
      <c r="O276" s="15" t="e">
        <f>getCodigoBackend(N276,A276,VLOOKUP(N276,setup!$A$8:$H$58,2),VLOOKUP(N276,setup!$A$8:$H$58,3),VLOOKUP(N276,setup!$A$8:$H$58,4),VLOOKUP(N276,setup!$A$8:$H$58,5),VLOOKUP(N276,setup!$A$8:$H$58,6),VLOOKUP(N276,setup!$A$8:$H$58,7), VLOOKUP(0,setup!$A$8:$H$58,2),VLOOKUP(0,setup!$A$8:$H$58,5),VLOOKUP(N276,setup!$A$8:$H$58,8))</f>
        <v>#VALUE!</v>
      </c>
    </row>
    <row r="277" spans="1:15" x14ac:dyDescent="0.25">
      <c r="A277" s="6" t="s">
        <v>247</v>
      </c>
      <c r="N277">
        <f t="shared" si="7"/>
        <v>25</v>
      </c>
      <c r="O277" s="15" t="e">
        <f>getCodigoBackend(N277,A277,VLOOKUP(N277,setup!$A$8:$H$58,2),VLOOKUP(N277,setup!$A$8:$H$58,3),VLOOKUP(N277,setup!$A$8:$H$58,4),VLOOKUP(N277,setup!$A$8:$H$58,5),VLOOKUP(N277,setup!$A$8:$H$58,6),VLOOKUP(N277,setup!$A$8:$H$58,7), VLOOKUP(0,setup!$A$8:$H$58,2),VLOOKUP(0,setup!$A$8:$H$58,5),VLOOKUP(N277,setup!$A$8:$H$58,8))</f>
        <v>#VALUE!</v>
      </c>
    </row>
    <row r="278" spans="1:15" x14ac:dyDescent="0.25">
      <c r="A278" s="6" t="s">
        <v>247</v>
      </c>
      <c r="N278">
        <f t="shared" si="7"/>
        <v>26</v>
      </c>
      <c r="O278" s="15" t="e">
        <f>getCodigoBackend(N278,A278,VLOOKUP(N278,setup!$A$8:$H$58,2),VLOOKUP(N278,setup!$A$8:$H$58,3),VLOOKUP(N278,setup!$A$8:$H$58,4),VLOOKUP(N278,setup!$A$8:$H$58,5),VLOOKUP(N278,setup!$A$8:$H$58,6),VLOOKUP(N278,setup!$A$8:$H$58,7), VLOOKUP(0,setup!$A$8:$H$58,2),VLOOKUP(0,setup!$A$8:$H$58,5),VLOOKUP(N278,setup!$A$8:$H$58,8))</f>
        <v>#VALUE!</v>
      </c>
    </row>
    <row r="279" spans="1:15" x14ac:dyDescent="0.25">
      <c r="A279" s="6" t="s">
        <v>247</v>
      </c>
      <c r="N279">
        <f t="shared" si="7"/>
        <v>27</v>
      </c>
      <c r="O279" s="15" t="e">
        <f>getCodigoBackend(N279,A279,VLOOKUP(N279,setup!$A$8:$H$58,2),VLOOKUP(N279,setup!$A$8:$H$58,3),VLOOKUP(N279,setup!$A$8:$H$58,4),VLOOKUP(N279,setup!$A$8:$H$58,5),VLOOKUP(N279,setup!$A$8:$H$58,6),VLOOKUP(N279,setup!$A$8:$H$58,7), VLOOKUP(0,setup!$A$8:$H$58,2),VLOOKUP(0,setup!$A$8:$H$58,5),VLOOKUP(N279,setup!$A$8:$H$58,8))</f>
        <v>#VALUE!</v>
      </c>
    </row>
    <row r="280" spans="1:15" x14ac:dyDescent="0.25">
      <c r="A280" s="6" t="s">
        <v>247</v>
      </c>
      <c r="N280">
        <f t="shared" si="7"/>
        <v>28</v>
      </c>
      <c r="O280" s="15" t="e">
        <f>getCodigoBackend(N280,A280,VLOOKUP(N280,setup!$A$8:$H$58,2),VLOOKUP(N280,setup!$A$8:$H$58,3),VLOOKUP(N280,setup!$A$8:$H$58,4),VLOOKUP(N280,setup!$A$8:$H$58,5),VLOOKUP(N280,setup!$A$8:$H$58,6),VLOOKUP(N280,setup!$A$8:$H$58,7), VLOOKUP(0,setup!$A$8:$H$58,2),VLOOKUP(0,setup!$A$8:$H$58,5),VLOOKUP(N280,setup!$A$8:$H$58,8))</f>
        <v>#VALUE!</v>
      </c>
    </row>
    <row r="281" spans="1:15" x14ac:dyDescent="0.25">
      <c r="A281" s="6" t="s">
        <v>247</v>
      </c>
      <c r="N281">
        <f t="shared" si="7"/>
        <v>29</v>
      </c>
      <c r="O281" s="15" t="e">
        <f>getCodigoBackend(N281,A281,VLOOKUP(N281,setup!$A$8:$H$58,2),VLOOKUP(N281,setup!$A$8:$H$58,3),VLOOKUP(N281,setup!$A$8:$H$58,4),VLOOKUP(N281,setup!$A$8:$H$58,5),VLOOKUP(N281,setup!$A$8:$H$58,6),VLOOKUP(N281,setup!$A$8:$H$58,7), VLOOKUP(0,setup!$A$8:$H$58,2),VLOOKUP(0,setup!$A$8:$H$58,5),VLOOKUP(N281,setup!$A$8:$H$58,8))</f>
        <v>#VALUE!</v>
      </c>
    </row>
    <row r="282" spans="1:15" x14ac:dyDescent="0.25">
      <c r="A282" s="6" t="s">
        <v>247</v>
      </c>
      <c r="N282">
        <f t="shared" si="7"/>
        <v>30</v>
      </c>
      <c r="O282" s="15" t="e">
        <f>getCodigoBackend(N282,A282,VLOOKUP(N282,setup!$A$8:$H$58,2),VLOOKUP(N282,setup!$A$8:$H$58,3),VLOOKUP(N282,setup!$A$8:$H$58,4),VLOOKUP(N282,setup!$A$8:$H$58,5),VLOOKUP(N282,setup!$A$8:$H$58,6),VLOOKUP(N282,setup!$A$8:$H$58,7), VLOOKUP(0,setup!$A$8:$H$58,2),VLOOKUP(0,setup!$A$8:$H$58,5),VLOOKUP(N282,setup!$A$8:$H$58,8))</f>
        <v>#VALUE!</v>
      </c>
    </row>
    <row r="283" spans="1:15" x14ac:dyDescent="0.25">
      <c r="A283" s="6" t="s">
        <v>247</v>
      </c>
      <c r="N283">
        <f t="shared" si="7"/>
        <v>31</v>
      </c>
      <c r="O283" s="15" t="e">
        <f>getCodigoBackend(N283,A283,VLOOKUP(N283,setup!$A$8:$H$58,2),VLOOKUP(N283,setup!$A$8:$H$58,3),VLOOKUP(N283,setup!$A$8:$H$58,4),VLOOKUP(N283,setup!$A$8:$H$58,5),VLOOKUP(N283,setup!$A$8:$H$58,6),VLOOKUP(N283,setup!$A$8:$H$58,7), VLOOKUP(0,setup!$A$8:$H$58,2),VLOOKUP(0,setup!$A$8:$H$58,5),VLOOKUP(N283,setup!$A$8:$H$58,8))</f>
        <v>#VALUE!</v>
      </c>
    </row>
    <row r="284" spans="1:15" x14ac:dyDescent="0.25">
      <c r="A284" s="6" t="s">
        <v>247</v>
      </c>
      <c r="N284">
        <f t="shared" si="7"/>
        <v>32</v>
      </c>
      <c r="O284" s="15" t="e">
        <f>getCodigoBackend(N284,A284,VLOOKUP(N284,setup!$A$8:$H$58,2),VLOOKUP(N284,setup!$A$8:$H$58,3),VLOOKUP(N284,setup!$A$8:$H$58,4),VLOOKUP(N284,setup!$A$8:$H$58,5),VLOOKUP(N284,setup!$A$8:$H$58,6),VLOOKUP(N284,setup!$A$8:$H$58,7), VLOOKUP(0,setup!$A$8:$H$58,2),VLOOKUP(0,setup!$A$8:$H$58,5),VLOOKUP(N284,setup!$A$8:$H$58,8))</f>
        <v>#VALUE!</v>
      </c>
    </row>
    <row r="285" spans="1:15" x14ac:dyDescent="0.25">
      <c r="A285" s="6" t="s">
        <v>247</v>
      </c>
      <c r="N285">
        <f t="shared" ref="N285:N302" si="8">N284+1</f>
        <v>33</v>
      </c>
      <c r="O285" s="15" t="e">
        <f>getCodigoBackend(N285,A285,VLOOKUP(N285,setup!$A$8:$H$58,2),VLOOKUP(N285,setup!$A$8:$H$58,3),VLOOKUP(N285,setup!$A$8:$H$58,4),VLOOKUP(N285,setup!$A$8:$H$58,5),VLOOKUP(N285,setup!$A$8:$H$58,6),VLOOKUP(N285,setup!$A$8:$H$58,7), VLOOKUP(0,setup!$A$8:$H$58,2),VLOOKUP(0,setup!$A$8:$H$58,5),VLOOKUP(N285,setup!$A$8:$H$58,8))</f>
        <v>#VALUE!</v>
      </c>
    </row>
    <row r="286" spans="1:15" x14ac:dyDescent="0.25">
      <c r="A286" s="6" t="s">
        <v>247</v>
      </c>
      <c r="N286">
        <f t="shared" si="8"/>
        <v>34</v>
      </c>
      <c r="O286" s="15" t="e">
        <f>getCodigoBackend(N286,A286,VLOOKUP(N286,setup!$A$8:$H$58,2),VLOOKUP(N286,setup!$A$8:$H$58,3),VLOOKUP(N286,setup!$A$8:$H$58,4),VLOOKUP(N286,setup!$A$8:$H$58,5),VLOOKUP(N286,setup!$A$8:$H$58,6),VLOOKUP(N286,setup!$A$8:$H$58,7), VLOOKUP(0,setup!$A$8:$H$58,2),VLOOKUP(0,setup!$A$8:$H$58,5),VLOOKUP(N286,setup!$A$8:$H$58,8))</f>
        <v>#VALUE!</v>
      </c>
    </row>
    <row r="287" spans="1:15" x14ac:dyDescent="0.25">
      <c r="A287" s="6" t="s">
        <v>247</v>
      </c>
      <c r="N287">
        <f t="shared" si="8"/>
        <v>35</v>
      </c>
      <c r="O287" s="15" t="e">
        <f>getCodigoBackend(N287,A287,VLOOKUP(N287,setup!$A$8:$H$58,2),VLOOKUP(N287,setup!$A$8:$H$58,3),VLOOKUP(N287,setup!$A$8:$H$58,4),VLOOKUP(N287,setup!$A$8:$H$58,5),VLOOKUP(N287,setup!$A$8:$H$58,6),VLOOKUP(N287,setup!$A$8:$H$58,7), VLOOKUP(0,setup!$A$8:$H$58,2),VLOOKUP(0,setup!$A$8:$H$58,5),VLOOKUP(N287,setup!$A$8:$H$58,8))</f>
        <v>#VALUE!</v>
      </c>
    </row>
    <row r="288" spans="1:15" x14ac:dyDescent="0.25">
      <c r="A288" s="6" t="s">
        <v>247</v>
      </c>
      <c r="N288">
        <f t="shared" si="8"/>
        <v>36</v>
      </c>
      <c r="O288" s="15" t="e">
        <f>getCodigoBackend(N288,A288,VLOOKUP(N288,setup!$A$8:$H$58,2),VLOOKUP(N288,setup!$A$8:$H$58,3),VLOOKUP(N288,setup!$A$8:$H$58,4),VLOOKUP(N288,setup!$A$8:$H$58,5),VLOOKUP(N288,setup!$A$8:$H$58,6),VLOOKUP(N288,setup!$A$8:$H$58,7), VLOOKUP(0,setup!$A$8:$H$58,2),VLOOKUP(0,setup!$A$8:$H$58,5),VLOOKUP(N288,setup!$A$8:$H$58,8))</f>
        <v>#VALUE!</v>
      </c>
    </row>
    <row r="289" spans="1:15" x14ac:dyDescent="0.25">
      <c r="A289" s="6" t="s">
        <v>247</v>
      </c>
      <c r="N289">
        <f t="shared" si="8"/>
        <v>37</v>
      </c>
      <c r="O289" s="15" t="e">
        <f>getCodigoBackend(N289,A289,VLOOKUP(N289,setup!$A$8:$H$58,2),VLOOKUP(N289,setup!$A$8:$H$58,3),VLOOKUP(N289,setup!$A$8:$H$58,4),VLOOKUP(N289,setup!$A$8:$H$58,5),VLOOKUP(N289,setup!$A$8:$H$58,6),VLOOKUP(N289,setup!$A$8:$H$58,7), VLOOKUP(0,setup!$A$8:$H$58,2),VLOOKUP(0,setup!$A$8:$H$58,5),VLOOKUP(N289,setup!$A$8:$H$58,8))</f>
        <v>#VALUE!</v>
      </c>
    </row>
    <row r="290" spans="1:15" x14ac:dyDescent="0.25">
      <c r="A290" s="6" t="s">
        <v>247</v>
      </c>
      <c r="N290">
        <f t="shared" si="8"/>
        <v>38</v>
      </c>
      <c r="O290" s="15" t="e">
        <f>getCodigoBackend(N290,A290,VLOOKUP(N290,setup!$A$8:$H$58,2),VLOOKUP(N290,setup!$A$8:$H$58,3),VLOOKUP(N290,setup!$A$8:$H$58,4),VLOOKUP(N290,setup!$A$8:$H$58,5),VLOOKUP(N290,setup!$A$8:$H$58,6),VLOOKUP(N290,setup!$A$8:$H$58,7), VLOOKUP(0,setup!$A$8:$H$58,2),VLOOKUP(0,setup!$A$8:$H$58,5),VLOOKUP(N290,setup!$A$8:$H$58,8))</f>
        <v>#VALUE!</v>
      </c>
    </row>
    <row r="291" spans="1:15" x14ac:dyDescent="0.25">
      <c r="A291" s="6" t="s">
        <v>247</v>
      </c>
      <c r="N291">
        <f t="shared" si="8"/>
        <v>39</v>
      </c>
      <c r="O291" s="15" t="e">
        <f>getCodigoBackend(N291,A291,VLOOKUP(N291,setup!$A$8:$H$58,2),VLOOKUP(N291,setup!$A$8:$H$58,3),VLOOKUP(N291,setup!$A$8:$H$58,4),VLOOKUP(N291,setup!$A$8:$H$58,5),VLOOKUP(N291,setup!$A$8:$H$58,6),VLOOKUP(N291,setup!$A$8:$H$58,7), VLOOKUP(0,setup!$A$8:$H$58,2),VLOOKUP(0,setup!$A$8:$H$58,5),VLOOKUP(N291,setup!$A$8:$H$58,8))</f>
        <v>#VALUE!</v>
      </c>
    </row>
    <row r="292" spans="1:15" x14ac:dyDescent="0.25">
      <c r="A292" s="6" t="s">
        <v>247</v>
      </c>
      <c r="N292">
        <f t="shared" si="8"/>
        <v>40</v>
      </c>
      <c r="O292" s="15" t="e">
        <f>getCodigoBackend(N292,A292,VLOOKUP(N292,setup!$A$8:$H$58,2),VLOOKUP(N292,setup!$A$8:$H$58,3),VLOOKUP(N292,setup!$A$8:$H$58,4),VLOOKUP(N292,setup!$A$8:$H$58,5),VLOOKUP(N292,setup!$A$8:$H$58,6),VLOOKUP(N292,setup!$A$8:$H$58,7), VLOOKUP(0,setup!$A$8:$H$58,2),VLOOKUP(0,setup!$A$8:$H$58,5),VLOOKUP(N292,setup!$A$8:$H$58,8))</f>
        <v>#VALUE!</v>
      </c>
    </row>
    <row r="293" spans="1:15" x14ac:dyDescent="0.25">
      <c r="A293" s="6" t="s">
        <v>247</v>
      </c>
      <c r="N293">
        <f t="shared" si="8"/>
        <v>41</v>
      </c>
      <c r="O293" s="15" t="e">
        <f>getCodigoBackend(N293,A293,VLOOKUP(N293,setup!$A$8:$H$58,2),VLOOKUP(N293,setup!$A$8:$H$58,3),VLOOKUP(N293,setup!$A$8:$H$58,4),VLOOKUP(N293,setup!$A$8:$H$58,5),VLOOKUP(N293,setup!$A$8:$H$58,6),VLOOKUP(N293,setup!$A$8:$H$58,7), VLOOKUP(0,setup!$A$8:$H$58,2),VLOOKUP(0,setup!$A$8:$H$58,5),VLOOKUP(N293,setup!$A$8:$H$58,8))</f>
        <v>#VALUE!</v>
      </c>
    </row>
    <row r="294" spans="1:15" x14ac:dyDescent="0.25">
      <c r="A294" s="6" t="s">
        <v>247</v>
      </c>
      <c r="N294">
        <f t="shared" si="8"/>
        <v>42</v>
      </c>
      <c r="O294" s="15" t="e">
        <f>getCodigoBackend(N294,A294,VLOOKUP(N294,setup!$A$8:$H$58,2),VLOOKUP(N294,setup!$A$8:$H$58,3),VLOOKUP(N294,setup!$A$8:$H$58,4),VLOOKUP(N294,setup!$A$8:$H$58,5),VLOOKUP(N294,setup!$A$8:$H$58,6),VLOOKUP(N294,setup!$A$8:$H$58,7), VLOOKUP(0,setup!$A$8:$H$58,2),VLOOKUP(0,setup!$A$8:$H$58,5),VLOOKUP(N294,setup!$A$8:$H$58,8))</f>
        <v>#VALUE!</v>
      </c>
    </row>
    <row r="295" spans="1:15" x14ac:dyDescent="0.25">
      <c r="A295" s="6" t="s">
        <v>247</v>
      </c>
      <c r="N295">
        <f t="shared" si="8"/>
        <v>43</v>
      </c>
      <c r="O295" s="15" t="e">
        <f>getCodigoBackend(N295,A295,VLOOKUP(N295,setup!$A$8:$H$58,2),VLOOKUP(N295,setup!$A$8:$H$58,3),VLOOKUP(N295,setup!$A$8:$H$58,4),VLOOKUP(N295,setup!$A$8:$H$58,5),VLOOKUP(N295,setup!$A$8:$H$58,6),VLOOKUP(N295,setup!$A$8:$H$58,7), VLOOKUP(0,setup!$A$8:$H$58,2),VLOOKUP(0,setup!$A$8:$H$58,5),VLOOKUP(N295,setup!$A$8:$H$58,8))</f>
        <v>#VALUE!</v>
      </c>
    </row>
    <row r="296" spans="1:15" x14ac:dyDescent="0.25">
      <c r="A296" s="6" t="s">
        <v>247</v>
      </c>
      <c r="N296">
        <f t="shared" si="8"/>
        <v>44</v>
      </c>
      <c r="O296" s="15" t="e">
        <f>getCodigoBackend(N296,A296,VLOOKUP(N296,setup!$A$8:$H$58,2),VLOOKUP(N296,setup!$A$8:$H$58,3),VLOOKUP(N296,setup!$A$8:$H$58,4),VLOOKUP(N296,setup!$A$8:$H$58,5),VLOOKUP(N296,setup!$A$8:$H$58,6),VLOOKUP(N296,setup!$A$8:$H$58,7), VLOOKUP(0,setup!$A$8:$H$58,2),VLOOKUP(0,setup!$A$8:$H$58,5),VLOOKUP(N296,setup!$A$8:$H$58,8))</f>
        <v>#VALUE!</v>
      </c>
    </row>
    <row r="297" spans="1:15" x14ac:dyDescent="0.25">
      <c r="A297" s="6" t="s">
        <v>247</v>
      </c>
      <c r="N297">
        <f t="shared" si="8"/>
        <v>45</v>
      </c>
      <c r="O297" s="15" t="e">
        <f>getCodigoBackend(N297,A297,VLOOKUP(N297,setup!$A$8:$H$58,2),VLOOKUP(N297,setup!$A$8:$H$58,3),VLOOKUP(N297,setup!$A$8:$H$58,4),VLOOKUP(N297,setup!$A$8:$H$58,5),VLOOKUP(N297,setup!$A$8:$H$58,6),VLOOKUP(N297,setup!$A$8:$H$58,7), VLOOKUP(0,setup!$A$8:$H$58,2),VLOOKUP(0,setup!$A$8:$H$58,5),VLOOKUP(N297,setup!$A$8:$H$58,8))</f>
        <v>#VALUE!</v>
      </c>
    </row>
    <row r="298" spans="1:15" x14ac:dyDescent="0.25">
      <c r="A298" s="6" t="s">
        <v>247</v>
      </c>
      <c r="N298">
        <f t="shared" si="8"/>
        <v>46</v>
      </c>
      <c r="O298" s="15" t="e">
        <f>getCodigoBackend(N298,A298,VLOOKUP(N298,setup!$A$8:$H$58,2),VLOOKUP(N298,setup!$A$8:$H$58,3),VLOOKUP(N298,setup!$A$8:$H$58,4),VLOOKUP(N298,setup!$A$8:$H$58,5),VLOOKUP(N298,setup!$A$8:$H$58,6),VLOOKUP(N298,setup!$A$8:$H$58,7), VLOOKUP(0,setup!$A$8:$H$58,2),VLOOKUP(0,setup!$A$8:$H$58,5),VLOOKUP(N298,setup!$A$8:$H$58,8))</f>
        <v>#VALUE!</v>
      </c>
    </row>
    <row r="299" spans="1:15" x14ac:dyDescent="0.25">
      <c r="A299" s="6" t="s">
        <v>247</v>
      </c>
      <c r="N299">
        <f t="shared" si="8"/>
        <v>47</v>
      </c>
      <c r="O299" s="15" t="e">
        <f>getCodigoBackend(N299,A299,VLOOKUP(N299,setup!$A$8:$H$58,2),VLOOKUP(N299,setup!$A$8:$H$58,3),VLOOKUP(N299,setup!$A$8:$H$58,4),VLOOKUP(N299,setup!$A$8:$H$58,5),VLOOKUP(N299,setup!$A$8:$H$58,6),VLOOKUP(N299,setup!$A$8:$H$58,7), VLOOKUP(0,setup!$A$8:$H$58,2),VLOOKUP(0,setup!$A$8:$H$58,5),VLOOKUP(N299,setup!$A$8:$H$58,8))</f>
        <v>#VALUE!</v>
      </c>
    </row>
    <row r="300" spans="1:15" x14ac:dyDescent="0.25">
      <c r="A300" s="6" t="s">
        <v>247</v>
      </c>
      <c r="N300">
        <f t="shared" si="8"/>
        <v>48</v>
      </c>
      <c r="O300" s="15" t="str">
        <f ca="1">getCodigoBackend(N300,A300,VLOOKUP(N300,setup!$A$8:$H$58,2),VLOOKUP(N300,setup!$A$8:$H$58,3),VLOOKUP(N300,setup!$A$8:$H$58,4),VLOOKUP(N300,setup!$A$8:$H$58,5),VLOOKUP(N300,setup!$A$8:$H$58,6),VLOOKUP(N300,setup!$A$8:$H$58,7), VLOOKUP(0,setup!$A$8:$H$58,2),VLOOKUP(0,setup!$A$8:$H$58,5),VLOOKUP(N300,setup!$A$8:$H$58,8))</f>
        <v>    _lstCamposUsuarioPublicidade.add(criarWidgetEntry(tec: tecstatus, tit: TextInputType.text, label: "Status"));</v>
      </c>
    </row>
    <row r="301" spans="1:15" x14ac:dyDescent="0.25">
      <c r="A301" s="6" t="s">
        <v>247</v>
      </c>
      <c r="N301">
        <f t="shared" si="8"/>
        <v>49</v>
      </c>
      <c r="O301" s="15" t="str">
        <f ca="1">getCodigoBackend(N301,A301,VLOOKUP(N301,setup!$A$8:$H$58,2),VLOOKUP(N301,setup!$A$8:$H$58,3),VLOOKUP(N301,setup!$A$8:$H$58,4),VLOOKUP(N301,setup!$A$8:$H$58,5),VLOOKUP(N301,setup!$A$8:$H$58,6),VLOOKUP(N301,setup!$A$8:$H$58,7), VLOOKUP(0,setup!$A$8:$H$58,2),VLOOKUP(0,setup!$A$8:$H$58,5),VLOOKUP(N301,setup!$A$8:$H$58,8))</f>
        <v>    _lstCamposUsuarioPublicidade.add(criarWidgetEntry(tec: tecdataCadastro, tit: TextInputType.text, label: "Data de Cadastro"));</v>
      </c>
    </row>
    <row r="302" spans="1:15" x14ac:dyDescent="0.25">
      <c r="A302" s="6" t="s">
        <v>247</v>
      </c>
      <c r="N302">
        <f t="shared" si="8"/>
        <v>50</v>
      </c>
      <c r="O302" s="15" t="str">
        <f ca="1">getCodigoBackend(N302,A302,VLOOKUP(N302,setup!$A$8:$H$58,2),VLOOKUP(N302,setup!$A$8:$H$58,3),VLOOKUP(N302,setup!$A$8:$H$58,4),VLOOKUP(N302,setup!$A$8:$H$58,5),VLOOKUP(N302,setup!$A$8:$H$58,6),VLOOKUP(N302,setup!$A$8:$H$58,7), VLOOKUP(0,setup!$A$8:$H$58,2),VLOOKUP(0,setup!$A$8:$H$58,5),VLOOKUP(N302,setup!$A$8:$H$58,8))</f>
        <v>    _lstCamposUsuarioPublicidade.add(criarWidgetEntry(tec: tecdataAtualizacao, tit: TextInputType.text, label: "Data de Atualização"));</v>
      </c>
    </row>
    <row r="303" spans="1:15" x14ac:dyDescent="0.25">
      <c r="A303" s="6"/>
      <c r="O303" s="15" t="str">
        <f ca="1">getCodigoBackend(N303,A303,VLOOKUP(N303,setup!$A$8:$H$58,2),VLOOKUP(N303,setup!$A$8:$H$58,3),VLOOKUP(N303,setup!$A$8:$H$58,4),VLOOKUP(N303,setup!$A$8:$H$58,5),VLOOKUP(N303,setup!$A$8:$H$58,6),VLOOKUP(N303,setup!$A$8:$H$58,7), VLOOKUP(0,setup!$A$8:$H$58,2),VLOOKUP(0,setup!$A$8:$H$58,5),VLOOKUP(N303,setup!$A$8:$H$58,8))</f>
        <v/>
      </c>
    </row>
    <row r="304" spans="1:15" x14ac:dyDescent="0.25">
      <c r="A304" s="6" t="s">
        <v>126</v>
      </c>
      <c r="O304" s="15" t="str">
        <f ca="1">getCodigoBackend(N304,A304,VLOOKUP(N304,setup!$A$8:$H$58,2),VLOOKUP(N304,setup!$A$8:$H$58,3),VLOOKUP(N304,setup!$A$8:$H$58,4),VLOOKUP(N304,setup!$A$8:$H$58,5),VLOOKUP(N304,setup!$A$8:$H$58,6),VLOOKUP(N304,setup!$A$8:$H$58,7), VLOOKUP(0,setup!$A$8:$H$58,2),VLOOKUP(0,setup!$A$8:$H$58,5),VLOOKUP(N304,setup!$A$8:$H$58,8))</f>
        <v xml:space="preserve">    // ==================================================================================</v>
      </c>
    </row>
    <row r="305" spans="1:15" x14ac:dyDescent="0.25">
      <c r="A305" s="6" t="s">
        <v>125</v>
      </c>
      <c r="O305" s="15" t="str">
        <f ca="1">getCodigoBackend(N305,A305,VLOOKUP(N305,setup!$A$8:$H$58,2),VLOOKUP(N305,setup!$A$8:$H$58,3),VLOOKUP(N305,setup!$A$8:$H$58,4),VLOOKUP(N305,setup!$A$8:$H$58,5),VLOOKUP(N305,setup!$A$8:$H$58,6),VLOOKUP(N305,setup!$A$8:$H$58,7), VLOOKUP(0,setup!$A$8:$H$58,2),VLOOKUP(0,setup!$A$8:$H$58,5),VLOOKUP(N305,setup!$A$8:$H$58,8))</f>
        <v xml:space="preserve">    // Move os conteúdos dos controladores para um VO para enviar um Mapa JSON ao backend</v>
      </c>
    </row>
    <row r="306" spans="1:15" x14ac:dyDescent="0.25">
      <c r="A306" s="6" t="s">
        <v>126</v>
      </c>
      <c r="O306" s="15" t="str">
        <f ca="1">getCodigoBackend(N306,A306,VLOOKUP(N306,setup!$A$8:$H$58,2),VLOOKUP(N306,setup!$A$8:$H$58,3),VLOOKUP(N306,setup!$A$8:$H$58,4),VLOOKUP(N306,setup!$A$8:$H$58,5),VLOOKUP(N306,setup!$A$8:$H$58,6),VLOOKUP(N306,setup!$A$8:$H$58,7), VLOOKUP(0,setup!$A$8:$H$58,2),VLOOKUP(0,setup!$A$8:$H$58,5),VLOOKUP(N306,setup!$A$8:$H$58,8))</f>
        <v xml:space="preserve">    // ==================================================================================</v>
      </c>
    </row>
    <row r="307" spans="1:15" x14ac:dyDescent="0.25">
      <c r="A307" t="s">
        <v>111</v>
      </c>
      <c r="O307" s="15" t="str">
        <f ca="1">getCodigoBackend(N307,A307,VLOOKUP(N307,setup!$A$8:$H$58,2),VLOOKUP(N307,setup!$A$8:$H$58,3),VLOOKUP(N307,setup!$A$8:$H$58,4),VLOOKUP(N307,setup!$A$8:$H$58,5),VLOOKUP(N307,setup!$A$8:$H$58,6),VLOOKUP(N307,setup!$A$8:$H$58,7), VLOOKUP(0,setup!$A$8:$H$58,2),VLOOKUP(0,setup!$A$8:$H$58,5),VLOOKUP(N307,setup!$A$8:$H$58,8))</f>
        <v xml:space="preserve">    _lstCamposUsuarioPublicidade.add( </v>
      </c>
    </row>
    <row r="308" spans="1:15" x14ac:dyDescent="0.25">
      <c r="A308" t="s">
        <v>129</v>
      </c>
      <c r="O308" s="15" t="str">
        <f ca="1">getCodigoBackend(N308,A308,VLOOKUP(N308,setup!$A$8:$H$58,2),VLOOKUP(N308,setup!$A$8:$H$58,3),VLOOKUP(N308,setup!$A$8:$H$58,4),VLOOKUP(N308,setup!$A$8:$H$58,5),VLOOKUP(N308,setup!$A$8:$H$58,6),VLOOKUP(N308,setup!$A$8:$H$58,7), VLOOKUP(0,setup!$A$8:$H$58,2),VLOOKUP(0,setup!$A$8:$H$58,5),VLOOKUP(N308,setup!$A$8:$H$58,8))</f>
        <v xml:space="preserve">      new CommomActionButton(titulo: _iscadastro ? 'Salvar' : 'Enviar Modificações', </v>
      </c>
    </row>
    <row r="309" spans="1:15" x14ac:dyDescent="0.25">
      <c r="A309" t="s">
        <v>77</v>
      </c>
      <c r="O309" s="15" t="str">
        <f ca="1">getCodigoBackend(N309,A309,VLOOKUP(N309,setup!$A$8:$H$58,2),VLOOKUP(N309,setup!$A$8:$H$58,3),VLOOKUP(N309,setup!$A$8:$H$58,4),VLOOKUP(N309,setup!$A$8:$H$58,5),VLOOKUP(N309,setup!$A$8:$H$58,6),VLOOKUP(N309,setup!$A$8:$H$58,7), VLOOKUP(0,setup!$A$8:$H$58,2),VLOOKUP(0,setup!$A$8:$H$58,5),VLOOKUP(N309,setup!$A$8:$H$58,8))</f>
        <v xml:space="preserve">          onpressed: () async {</v>
      </c>
    </row>
    <row r="310" spans="1:15" x14ac:dyDescent="0.25">
      <c r="A310" t="s">
        <v>112</v>
      </c>
      <c r="O310" s="15" t="str">
        <f ca="1">getCodigoBackend(N310,A310,VLOOKUP(N310,setup!$A$8:$H$58,2),VLOOKUP(N310,setup!$A$8:$H$58,3),VLOOKUP(N310,setup!$A$8:$H$58,4),VLOOKUP(N310,setup!$A$8:$H$58,5),VLOOKUP(N310,setup!$A$8:$H$58,6),VLOOKUP(N310,setup!$A$8:$H$58,7), VLOOKUP(0,setup!$A$8:$H$58,2),VLOOKUP(0,setup!$A$8:$H$58,5),VLOOKUP(N310,setup!$A$8:$H$58,8))</f>
        <v xml:space="preserve">          UsuarioPublicidadeVOPost newPost = new UsuarioPublicidadeVOPost(</v>
      </c>
    </row>
    <row r="311" spans="1:15" x14ac:dyDescent="0.25">
      <c r="A311" t="s">
        <v>78</v>
      </c>
      <c r="O311" s="15" t="str">
        <f ca="1">getCodigoBackend(N311,A311,VLOOKUP(N311,setup!$A$8:$H$58,2),VLOOKUP(N311,setup!$A$8:$H$58,3),VLOOKUP(N311,setup!$A$8:$H$58,4),VLOOKUP(N311,setup!$A$8:$H$58,5),VLOOKUP(N311,setup!$A$8:$H$58,6),VLOOKUP(N311,setup!$A$8:$H$58,7), VLOOKUP(0,setup!$A$8:$H$58,2),VLOOKUP(0,setup!$A$8:$H$58,5),VLOOKUP(N311,setup!$A$8:$H$58,8))</f>
        <v xml:space="preserve">              tokenid: _token,</v>
      </c>
    </row>
    <row r="312" spans="1:15" x14ac:dyDescent="0.25">
      <c r="A312" t="s">
        <v>138</v>
      </c>
      <c r="N312">
        <v>0</v>
      </c>
      <c r="O312" s="15" t="str">
        <f ca="1">getCodigoBackend(N312,A312,VLOOKUP(N312,setup!$A$8:$H$58,2),VLOOKUP(N312,setup!$A$8:$H$58,3),VLOOKUP(N312,setup!$A$8:$H$58,4),VLOOKUP(N312,setup!$A$8:$H$58,5),VLOOKUP(N312,setup!$A$8:$H$58,6),VLOOKUP(N312,setup!$A$8:$H$58,7), VLOOKUP(0,setup!$A$8:$H$58,2),VLOOKUP(0,setup!$A$8:$H$58,5),VLOOKUP(N312,setup!$A$8:$H$58,8))</f>
        <v xml:space="preserve">              id: widget.usuariopublicidadeVO == null ? 0: widget.usuariopublicidadeVO.id,</v>
      </c>
    </row>
    <row r="313" spans="1:15" x14ac:dyDescent="0.25">
      <c r="A313" t="s">
        <v>113</v>
      </c>
      <c r="N313">
        <f>N312+1</f>
        <v>1</v>
      </c>
      <c r="O313" s="15" t="str">
        <f ca="1">getCodigoBackend(N313,A313,VLOOKUP(N313,setup!$A$8:$H$58,2),VLOOKUP(N313,setup!$A$8:$H$58,3),VLOOKUP(N313,setup!$A$8:$H$58,4),VLOOKUP(N313,setup!$A$8:$H$58,5),VLOOKUP(N313,setup!$A$8:$H$58,6),VLOOKUP(N313,setup!$A$8:$H$58,7), VLOOKUP(0,setup!$A$8:$H$58,2),VLOOKUP(0,setup!$A$8:$H$58,5),VLOOKUP(N313,setup!$A$8:$H$58,8))</f>
        <v xml:space="preserve">              id_usuario: tecid_usuario.text, </v>
      </c>
    </row>
    <row r="314" spans="1:15" x14ac:dyDescent="0.25">
      <c r="A314" t="s">
        <v>113</v>
      </c>
      <c r="N314">
        <f t="shared" ref="N314:N348" si="9">N313+1</f>
        <v>2</v>
      </c>
      <c r="O314" s="15" t="str">
        <f ca="1">getCodigoBackend(N314,A314,VLOOKUP(N314,setup!$A$8:$H$58,2),VLOOKUP(N314,setup!$A$8:$H$58,3),VLOOKUP(N314,setup!$A$8:$H$58,4),VLOOKUP(N314,setup!$A$8:$H$58,5),VLOOKUP(N314,setup!$A$8:$H$58,6),VLOOKUP(N314,setup!$A$8:$H$58,7), VLOOKUP(0,setup!$A$8:$H$58,2),VLOOKUP(0,setup!$A$8:$H$58,5),VLOOKUP(N314,setup!$A$8:$H$58,8))</f>
        <v xml:space="preserve">              titulo: tectitulo.text, </v>
      </c>
    </row>
    <row r="315" spans="1:15" x14ac:dyDescent="0.25">
      <c r="A315" t="s">
        <v>113</v>
      </c>
      <c r="N315">
        <f t="shared" si="9"/>
        <v>3</v>
      </c>
      <c r="O315" s="15" t="str">
        <f ca="1">getCodigoBackend(N315,A315,VLOOKUP(N315,setup!$A$8:$H$58,2),VLOOKUP(N315,setup!$A$8:$H$58,3),VLOOKUP(N315,setup!$A$8:$H$58,4),VLOOKUP(N315,setup!$A$8:$H$58,5),VLOOKUP(N315,setup!$A$8:$H$58,6),VLOOKUP(N315,setup!$A$8:$H$58,7), VLOOKUP(0,setup!$A$8:$H$58,2),VLOOKUP(0,setup!$A$8:$H$58,5),VLOOKUP(N315,setup!$A$8:$H$58,8))</f>
        <v xml:space="preserve">              descricao: tecdescricao.text, </v>
      </c>
    </row>
    <row r="316" spans="1:15" x14ac:dyDescent="0.25">
      <c r="A316" t="s">
        <v>113</v>
      </c>
      <c r="N316">
        <f t="shared" si="9"/>
        <v>4</v>
      </c>
      <c r="O316" s="15" t="str">
        <f ca="1">getCodigoBackend(N316,A316,VLOOKUP(N316,setup!$A$8:$H$58,2),VLOOKUP(N316,setup!$A$8:$H$58,3),VLOOKUP(N316,setup!$A$8:$H$58,4),VLOOKUP(N316,setup!$A$8:$H$58,5),VLOOKUP(N316,setup!$A$8:$H$58,6),VLOOKUP(N316,setup!$A$8:$H$58,7), VLOOKUP(0,setup!$A$8:$H$58,2),VLOOKUP(0,setup!$A$8:$H$58,5),VLOOKUP(N316,setup!$A$8:$H$58,8))</f>
        <v xml:space="preserve">              dataInicio: tecdataInicio.text, </v>
      </c>
    </row>
    <row r="317" spans="1:15" x14ac:dyDescent="0.25">
      <c r="A317" t="s">
        <v>113</v>
      </c>
      <c r="N317">
        <f t="shared" si="9"/>
        <v>5</v>
      </c>
      <c r="O317" s="15" t="str">
        <f ca="1">getCodigoBackend(N317,A317,VLOOKUP(N317,setup!$A$8:$H$58,2),VLOOKUP(N317,setup!$A$8:$H$58,3),VLOOKUP(N317,setup!$A$8:$H$58,4),VLOOKUP(N317,setup!$A$8:$H$58,5),VLOOKUP(N317,setup!$A$8:$H$58,6),VLOOKUP(N317,setup!$A$8:$H$58,7), VLOOKUP(0,setup!$A$8:$H$58,2),VLOOKUP(0,setup!$A$8:$H$58,5),VLOOKUP(N317,setup!$A$8:$H$58,8))</f>
        <v xml:space="preserve">              dataTermino: tecdataTermino.text, </v>
      </c>
    </row>
    <row r="318" spans="1:15" x14ac:dyDescent="0.25">
      <c r="A318" t="s">
        <v>113</v>
      </c>
      <c r="N318">
        <f t="shared" si="9"/>
        <v>6</v>
      </c>
      <c r="O318" s="15" t="str">
        <f ca="1">getCodigoBackend(N318,A318,VLOOKUP(N318,setup!$A$8:$H$58,2),VLOOKUP(N318,setup!$A$8:$H$58,3),VLOOKUP(N318,setup!$A$8:$H$58,4),VLOOKUP(N318,setup!$A$8:$H$58,5),VLOOKUP(N318,setup!$A$8:$H$58,6),VLOOKUP(N318,setup!$A$8:$H$58,7), VLOOKUP(0,setup!$A$8:$H$58,2),VLOOKUP(0,setup!$A$8:$H$58,5),VLOOKUP(N318,setup!$A$8:$H$58,8))</f>
        <v xml:space="preserve">              vlNormal: tecvlNormal.text, </v>
      </c>
    </row>
    <row r="319" spans="1:15" x14ac:dyDescent="0.25">
      <c r="A319" t="s">
        <v>113</v>
      </c>
      <c r="N319">
        <f t="shared" si="9"/>
        <v>7</v>
      </c>
      <c r="O319" s="15" t="str">
        <f ca="1">getCodigoBackend(N319,A319,VLOOKUP(N319,setup!$A$8:$H$58,2),VLOOKUP(N319,setup!$A$8:$H$58,3),VLOOKUP(N319,setup!$A$8:$H$58,4),VLOOKUP(N319,setup!$A$8:$H$58,5),VLOOKUP(N319,setup!$A$8:$H$58,6),VLOOKUP(N319,setup!$A$8:$H$58,7), VLOOKUP(0,setup!$A$8:$H$58,2),VLOOKUP(0,setup!$A$8:$H$58,5),VLOOKUP(N319,setup!$A$8:$H$58,8))</f>
        <v xml:space="preserve">              vlPromo: tecvlPromo.text, </v>
      </c>
    </row>
    <row r="320" spans="1:15" x14ac:dyDescent="0.25">
      <c r="A320" t="s">
        <v>113</v>
      </c>
      <c r="N320">
        <f t="shared" si="9"/>
        <v>8</v>
      </c>
      <c r="O320" s="15" t="str">
        <f ca="1">getCodigoBackend(N320,A320,VLOOKUP(N320,setup!$A$8:$H$58,2),VLOOKUP(N320,setup!$A$8:$H$58,3),VLOOKUP(N320,setup!$A$8:$H$58,4),VLOOKUP(N320,setup!$A$8:$H$58,5),VLOOKUP(N320,setup!$A$8:$H$58,6),VLOOKUP(N320,setup!$A$8:$H$58,7), VLOOKUP(0,setup!$A$8:$H$58,2),VLOOKUP(0,setup!$A$8:$H$58,5),VLOOKUP(N320,setup!$A$8:$H$58,8))</f>
        <v xml:space="preserve">              observacao: tecobservacao.text, </v>
      </c>
    </row>
    <row r="321" spans="1:15" x14ac:dyDescent="0.25">
      <c r="A321" t="s">
        <v>113</v>
      </c>
      <c r="N321">
        <f t="shared" si="9"/>
        <v>9</v>
      </c>
      <c r="O321" s="15" t="str">
        <f ca="1">getCodigoBackend(N321,A321,VLOOKUP(N321,setup!$A$8:$H$58,2),VLOOKUP(N321,setup!$A$8:$H$58,3),VLOOKUP(N321,setup!$A$8:$H$58,4),VLOOKUP(N321,setup!$A$8:$H$58,5),VLOOKUP(N321,setup!$A$8:$H$58,6),VLOOKUP(N321,setup!$A$8:$H$58,7), VLOOKUP(0,setup!$A$8:$H$58,2),VLOOKUP(0,setup!$A$8:$H$58,5),VLOOKUP(N321,setup!$A$8:$H$58,8))</f>
        <v xml:space="preserve">              dataRemover: tecdataRemover.text, </v>
      </c>
    </row>
    <row r="322" spans="1:15" x14ac:dyDescent="0.25">
      <c r="A322" t="s">
        <v>113</v>
      </c>
      <c r="N322">
        <f t="shared" si="9"/>
        <v>10</v>
      </c>
      <c r="O322" s="15" t="e">
        <f>getCodigoBackend(N322,A322,VLOOKUP(N322,setup!$A$8:$H$58,2),VLOOKUP(N322,setup!$A$8:$H$58,3),VLOOKUP(N322,setup!$A$8:$H$58,4),VLOOKUP(N322,setup!$A$8:$H$58,5),VLOOKUP(N322,setup!$A$8:$H$58,6),VLOOKUP(N322,setup!$A$8:$H$58,7), VLOOKUP(0,setup!$A$8:$H$58,2),VLOOKUP(0,setup!$A$8:$H$58,5),VLOOKUP(N322,setup!$A$8:$H$58,8))</f>
        <v>#VALUE!</v>
      </c>
    </row>
    <row r="323" spans="1:15" x14ac:dyDescent="0.25">
      <c r="A323" t="s">
        <v>113</v>
      </c>
      <c r="N323">
        <f t="shared" si="9"/>
        <v>11</v>
      </c>
      <c r="O323" s="15" t="e">
        <f>getCodigoBackend(N323,A323,VLOOKUP(N323,setup!$A$8:$H$58,2),VLOOKUP(N323,setup!$A$8:$H$58,3),VLOOKUP(N323,setup!$A$8:$H$58,4),VLOOKUP(N323,setup!$A$8:$H$58,5),VLOOKUP(N323,setup!$A$8:$H$58,6),VLOOKUP(N323,setup!$A$8:$H$58,7), VLOOKUP(0,setup!$A$8:$H$58,2),VLOOKUP(0,setup!$A$8:$H$58,5),VLOOKUP(N323,setup!$A$8:$H$58,8))</f>
        <v>#VALUE!</v>
      </c>
    </row>
    <row r="324" spans="1:15" x14ac:dyDescent="0.25">
      <c r="A324" t="s">
        <v>113</v>
      </c>
      <c r="N324">
        <f t="shared" si="9"/>
        <v>12</v>
      </c>
      <c r="O324" s="15" t="e">
        <f>getCodigoBackend(N324,A324,VLOOKUP(N324,setup!$A$8:$H$58,2),VLOOKUP(N324,setup!$A$8:$H$58,3),VLOOKUP(N324,setup!$A$8:$H$58,4),VLOOKUP(N324,setup!$A$8:$H$58,5),VLOOKUP(N324,setup!$A$8:$H$58,6),VLOOKUP(N324,setup!$A$8:$H$58,7), VLOOKUP(0,setup!$A$8:$H$58,2),VLOOKUP(0,setup!$A$8:$H$58,5),VLOOKUP(N324,setup!$A$8:$H$58,8))</f>
        <v>#VALUE!</v>
      </c>
    </row>
    <row r="325" spans="1:15" x14ac:dyDescent="0.25">
      <c r="A325" t="s">
        <v>113</v>
      </c>
      <c r="N325">
        <f t="shared" si="9"/>
        <v>13</v>
      </c>
      <c r="O325" s="15" t="e">
        <f>getCodigoBackend(N325,A325,VLOOKUP(N325,setup!$A$8:$H$58,2),VLOOKUP(N325,setup!$A$8:$H$58,3),VLOOKUP(N325,setup!$A$8:$H$58,4),VLOOKUP(N325,setup!$A$8:$H$58,5),VLOOKUP(N325,setup!$A$8:$H$58,6),VLOOKUP(N325,setup!$A$8:$H$58,7), VLOOKUP(0,setup!$A$8:$H$58,2),VLOOKUP(0,setup!$A$8:$H$58,5),VLOOKUP(N325,setup!$A$8:$H$58,8))</f>
        <v>#VALUE!</v>
      </c>
    </row>
    <row r="326" spans="1:15" x14ac:dyDescent="0.25">
      <c r="A326" t="s">
        <v>113</v>
      </c>
      <c r="N326">
        <f t="shared" si="9"/>
        <v>14</v>
      </c>
      <c r="O326" s="15" t="e">
        <f>getCodigoBackend(N326,A326,VLOOKUP(N326,setup!$A$8:$H$58,2),VLOOKUP(N326,setup!$A$8:$H$58,3),VLOOKUP(N326,setup!$A$8:$H$58,4),VLOOKUP(N326,setup!$A$8:$H$58,5),VLOOKUP(N326,setup!$A$8:$H$58,6),VLOOKUP(N326,setup!$A$8:$H$58,7), VLOOKUP(0,setup!$A$8:$H$58,2),VLOOKUP(0,setup!$A$8:$H$58,5),VLOOKUP(N326,setup!$A$8:$H$58,8))</f>
        <v>#VALUE!</v>
      </c>
    </row>
    <row r="327" spans="1:15" x14ac:dyDescent="0.25">
      <c r="A327" t="s">
        <v>113</v>
      </c>
      <c r="N327">
        <f t="shared" si="9"/>
        <v>15</v>
      </c>
      <c r="O327" s="15" t="e">
        <f>getCodigoBackend(N327,A327,VLOOKUP(N327,setup!$A$8:$H$58,2),VLOOKUP(N327,setup!$A$8:$H$58,3),VLOOKUP(N327,setup!$A$8:$H$58,4),VLOOKUP(N327,setup!$A$8:$H$58,5),VLOOKUP(N327,setup!$A$8:$H$58,6),VLOOKUP(N327,setup!$A$8:$H$58,7), VLOOKUP(0,setup!$A$8:$H$58,2),VLOOKUP(0,setup!$A$8:$H$58,5),VLOOKUP(N327,setup!$A$8:$H$58,8))</f>
        <v>#VALUE!</v>
      </c>
    </row>
    <row r="328" spans="1:15" x14ac:dyDescent="0.25">
      <c r="A328" t="s">
        <v>113</v>
      </c>
      <c r="N328">
        <f t="shared" si="9"/>
        <v>16</v>
      </c>
      <c r="O328" s="15" t="e">
        <f>getCodigoBackend(N328,A328,VLOOKUP(N328,setup!$A$8:$H$58,2),VLOOKUP(N328,setup!$A$8:$H$58,3),VLOOKUP(N328,setup!$A$8:$H$58,4),VLOOKUP(N328,setup!$A$8:$H$58,5),VLOOKUP(N328,setup!$A$8:$H$58,6),VLOOKUP(N328,setup!$A$8:$H$58,7), VLOOKUP(0,setup!$A$8:$H$58,2),VLOOKUP(0,setup!$A$8:$H$58,5),VLOOKUP(N328,setup!$A$8:$H$58,8))</f>
        <v>#VALUE!</v>
      </c>
    </row>
    <row r="329" spans="1:15" x14ac:dyDescent="0.25">
      <c r="A329" t="s">
        <v>113</v>
      </c>
      <c r="N329">
        <f t="shared" si="9"/>
        <v>17</v>
      </c>
      <c r="O329" s="15" t="e">
        <f>getCodigoBackend(N329,A329,VLOOKUP(N329,setup!$A$8:$H$58,2),VLOOKUP(N329,setup!$A$8:$H$58,3),VLOOKUP(N329,setup!$A$8:$H$58,4),VLOOKUP(N329,setup!$A$8:$H$58,5),VLOOKUP(N329,setup!$A$8:$H$58,6),VLOOKUP(N329,setup!$A$8:$H$58,7), VLOOKUP(0,setup!$A$8:$H$58,2),VLOOKUP(0,setup!$A$8:$H$58,5),VLOOKUP(N329,setup!$A$8:$H$58,8))</f>
        <v>#VALUE!</v>
      </c>
    </row>
    <row r="330" spans="1:15" x14ac:dyDescent="0.25">
      <c r="A330" t="s">
        <v>113</v>
      </c>
      <c r="N330">
        <f t="shared" si="9"/>
        <v>18</v>
      </c>
      <c r="O330" s="15" t="e">
        <f>getCodigoBackend(N330,A330,VLOOKUP(N330,setup!$A$8:$H$58,2),VLOOKUP(N330,setup!$A$8:$H$58,3),VLOOKUP(N330,setup!$A$8:$H$58,4),VLOOKUP(N330,setup!$A$8:$H$58,5),VLOOKUP(N330,setup!$A$8:$H$58,6),VLOOKUP(N330,setup!$A$8:$H$58,7), VLOOKUP(0,setup!$A$8:$H$58,2),VLOOKUP(0,setup!$A$8:$H$58,5),VLOOKUP(N330,setup!$A$8:$H$58,8))</f>
        <v>#VALUE!</v>
      </c>
    </row>
    <row r="331" spans="1:15" x14ac:dyDescent="0.25">
      <c r="A331" t="s">
        <v>113</v>
      </c>
      <c r="N331">
        <f t="shared" si="9"/>
        <v>19</v>
      </c>
      <c r="O331" s="15" t="e">
        <f>getCodigoBackend(N331,A331,VLOOKUP(N331,setup!$A$8:$H$58,2),VLOOKUP(N331,setup!$A$8:$H$58,3),VLOOKUP(N331,setup!$A$8:$H$58,4),VLOOKUP(N331,setup!$A$8:$H$58,5),VLOOKUP(N331,setup!$A$8:$H$58,6),VLOOKUP(N331,setup!$A$8:$H$58,7), VLOOKUP(0,setup!$A$8:$H$58,2),VLOOKUP(0,setup!$A$8:$H$58,5),VLOOKUP(N331,setup!$A$8:$H$58,8))</f>
        <v>#VALUE!</v>
      </c>
    </row>
    <row r="332" spans="1:15" x14ac:dyDescent="0.25">
      <c r="A332" t="s">
        <v>113</v>
      </c>
      <c r="N332">
        <f t="shared" si="9"/>
        <v>20</v>
      </c>
      <c r="O332" s="15" t="e">
        <f>getCodigoBackend(N332,A332,VLOOKUP(N332,setup!$A$8:$H$58,2),VLOOKUP(N332,setup!$A$8:$H$58,3),VLOOKUP(N332,setup!$A$8:$H$58,4),VLOOKUP(N332,setup!$A$8:$H$58,5),VLOOKUP(N332,setup!$A$8:$H$58,6),VLOOKUP(N332,setup!$A$8:$H$58,7), VLOOKUP(0,setup!$A$8:$H$58,2),VLOOKUP(0,setup!$A$8:$H$58,5),VLOOKUP(N332,setup!$A$8:$H$58,8))</f>
        <v>#VALUE!</v>
      </c>
    </row>
    <row r="333" spans="1:15" x14ac:dyDescent="0.25">
      <c r="A333" t="s">
        <v>113</v>
      </c>
      <c r="N333">
        <f t="shared" si="9"/>
        <v>21</v>
      </c>
      <c r="O333" s="15" t="e">
        <f>getCodigoBackend(N333,A333,VLOOKUP(N333,setup!$A$8:$H$58,2),VLOOKUP(N333,setup!$A$8:$H$58,3),VLOOKUP(N333,setup!$A$8:$H$58,4),VLOOKUP(N333,setup!$A$8:$H$58,5),VLOOKUP(N333,setup!$A$8:$H$58,6),VLOOKUP(N333,setup!$A$8:$H$58,7), VLOOKUP(0,setup!$A$8:$H$58,2),VLOOKUP(0,setup!$A$8:$H$58,5),VLOOKUP(N333,setup!$A$8:$H$58,8))</f>
        <v>#VALUE!</v>
      </c>
    </row>
    <row r="334" spans="1:15" x14ac:dyDescent="0.25">
      <c r="A334" t="s">
        <v>113</v>
      </c>
      <c r="N334">
        <f t="shared" si="9"/>
        <v>22</v>
      </c>
      <c r="O334" s="15" t="e">
        <f>getCodigoBackend(N334,A334,VLOOKUP(N334,setup!$A$8:$H$58,2),VLOOKUP(N334,setup!$A$8:$H$58,3),VLOOKUP(N334,setup!$A$8:$H$58,4),VLOOKUP(N334,setup!$A$8:$H$58,5),VLOOKUP(N334,setup!$A$8:$H$58,6),VLOOKUP(N334,setup!$A$8:$H$58,7), VLOOKUP(0,setup!$A$8:$H$58,2),VLOOKUP(0,setup!$A$8:$H$58,5),VLOOKUP(N334,setup!$A$8:$H$58,8))</f>
        <v>#VALUE!</v>
      </c>
    </row>
    <row r="335" spans="1:15" x14ac:dyDescent="0.25">
      <c r="A335" t="s">
        <v>113</v>
      </c>
      <c r="N335">
        <f t="shared" si="9"/>
        <v>23</v>
      </c>
      <c r="O335" s="15" t="e">
        <f>getCodigoBackend(N335,A335,VLOOKUP(N335,setup!$A$8:$H$58,2),VLOOKUP(N335,setup!$A$8:$H$58,3),VLOOKUP(N335,setup!$A$8:$H$58,4),VLOOKUP(N335,setup!$A$8:$H$58,5),VLOOKUP(N335,setup!$A$8:$H$58,6),VLOOKUP(N335,setup!$A$8:$H$58,7), VLOOKUP(0,setup!$A$8:$H$58,2),VLOOKUP(0,setup!$A$8:$H$58,5),VLOOKUP(N335,setup!$A$8:$H$58,8))</f>
        <v>#VALUE!</v>
      </c>
    </row>
    <row r="336" spans="1:15" x14ac:dyDescent="0.25">
      <c r="A336" t="s">
        <v>113</v>
      </c>
      <c r="N336">
        <f t="shared" si="9"/>
        <v>24</v>
      </c>
      <c r="O336" s="15" t="e">
        <f>getCodigoBackend(N336,A336,VLOOKUP(N336,setup!$A$8:$H$58,2),VLOOKUP(N336,setup!$A$8:$H$58,3),VLOOKUP(N336,setup!$A$8:$H$58,4),VLOOKUP(N336,setup!$A$8:$H$58,5),VLOOKUP(N336,setup!$A$8:$H$58,6),VLOOKUP(N336,setup!$A$8:$H$58,7), VLOOKUP(0,setup!$A$8:$H$58,2),VLOOKUP(0,setup!$A$8:$H$58,5),VLOOKUP(N336,setup!$A$8:$H$58,8))</f>
        <v>#VALUE!</v>
      </c>
    </row>
    <row r="337" spans="1:15" x14ac:dyDescent="0.25">
      <c r="A337" t="s">
        <v>113</v>
      </c>
      <c r="N337">
        <f t="shared" si="9"/>
        <v>25</v>
      </c>
      <c r="O337" s="15" t="e">
        <f>getCodigoBackend(N337,A337,VLOOKUP(N337,setup!$A$8:$H$58,2),VLOOKUP(N337,setup!$A$8:$H$58,3),VLOOKUP(N337,setup!$A$8:$H$58,4),VLOOKUP(N337,setup!$A$8:$H$58,5),VLOOKUP(N337,setup!$A$8:$H$58,6),VLOOKUP(N337,setup!$A$8:$H$58,7), VLOOKUP(0,setup!$A$8:$H$58,2),VLOOKUP(0,setup!$A$8:$H$58,5),VLOOKUP(N337,setup!$A$8:$H$58,8))</f>
        <v>#VALUE!</v>
      </c>
    </row>
    <row r="338" spans="1:15" x14ac:dyDescent="0.25">
      <c r="A338" t="s">
        <v>113</v>
      </c>
      <c r="N338">
        <f t="shared" si="9"/>
        <v>26</v>
      </c>
      <c r="O338" s="15" t="e">
        <f>getCodigoBackend(N338,A338,VLOOKUP(N338,setup!$A$8:$H$58,2),VLOOKUP(N338,setup!$A$8:$H$58,3),VLOOKUP(N338,setup!$A$8:$H$58,4),VLOOKUP(N338,setup!$A$8:$H$58,5),VLOOKUP(N338,setup!$A$8:$H$58,6),VLOOKUP(N338,setup!$A$8:$H$58,7), VLOOKUP(0,setup!$A$8:$H$58,2),VLOOKUP(0,setup!$A$8:$H$58,5),VLOOKUP(N338,setup!$A$8:$H$58,8))</f>
        <v>#VALUE!</v>
      </c>
    </row>
    <row r="339" spans="1:15" x14ac:dyDescent="0.25">
      <c r="A339" t="s">
        <v>113</v>
      </c>
      <c r="N339">
        <f t="shared" si="9"/>
        <v>27</v>
      </c>
      <c r="O339" s="15" t="e">
        <f>getCodigoBackend(N339,A339,VLOOKUP(N339,setup!$A$8:$H$58,2),VLOOKUP(N339,setup!$A$8:$H$58,3),VLOOKUP(N339,setup!$A$8:$H$58,4),VLOOKUP(N339,setup!$A$8:$H$58,5),VLOOKUP(N339,setup!$A$8:$H$58,6),VLOOKUP(N339,setup!$A$8:$H$58,7), VLOOKUP(0,setup!$A$8:$H$58,2),VLOOKUP(0,setup!$A$8:$H$58,5),VLOOKUP(N339,setup!$A$8:$H$58,8))</f>
        <v>#VALUE!</v>
      </c>
    </row>
    <row r="340" spans="1:15" x14ac:dyDescent="0.25">
      <c r="A340" t="s">
        <v>113</v>
      </c>
      <c r="N340">
        <f t="shared" si="9"/>
        <v>28</v>
      </c>
      <c r="O340" s="15" t="e">
        <f>getCodigoBackend(N340,A340,VLOOKUP(N340,setup!$A$8:$H$58,2),VLOOKUP(N340,setup!$A$8:$H$58,3),VLOOKUP(N340,setup!$A$8:$H$58,4),VLOOKUP(N340,setup!$A$8:$H$58,5),VLOOKUP(N340,setup!$A$8:$H$58,6),VLOOKUP(N340,setup!$A$8:$H$58,7), VLOOKUP(0,setup!$A$8:$H$58,2),VLOOKUP(0,setup!$A$8:$H$58,5),VLOOKUP(N340,setup!$A$8:$H$58,8))</f>
        <v>#VALUE!</v>
      </c>
    </row>
    <row r="341" spans="1:15" x14ac:dyDescent="0.25">
      <c r="A341" t="s">
        <v>113</v>
      </c>
      <c r="N341">
        <f t="shared" si="9"/>
        <v>29</v>
      </c>
      <c r="O341" s="15" t="e">
        <f>getCodigoBackend(N341,A341,VLOOKUP(N341,setup!$A$8:$H$58,2),VLOOKUP(N341,setup!$A$8:$H$58,3),VLOOKUP(N341,setup!$A$8:$H$58,4),VLOOKUP(N341,setup!$A$8:$H$58,5),VLOOKUP(N341,setup!$A$8:$H$58,6),VLOOKUP(N341,setup!$A$8:$H$58,7), VLOOKUP(0,setup!$A$8:$H$58,2),VLOOKUP(0,setup!$A$8:$H$58,5),VLOOKUP(N341,setup!$A$8:$H$58,8))</f>
        <v>#VALUE!</v>
      </c>
    </row>
    <row r="342" spans="1:15" x14ac:dyDescent="0.25">
      <c r="A342" t="s">
        <v>113</v>
      </c>
      <c r="N342">
        <f t="shared" si="9"/>
        <v>30</v>
      </c>
      <c r="O342" s="15" t="e">
        <f>getCodigoBackend(N342,A342,VLOOKUP(N342,setup!$A$8:$H$58,2),VLOOKUP(N342,setup!$A$8:$H$58,3),VLOOKUP(N342,setup!$A$8:$H$58,4),VLOOKUP(N342,setup!$A$8:$H$58,5),VLOOKUP(N342,setup!$A$8:$H$58,6),VLOOKUP(N342,setup!$A$8:$H$58,7), VLOOKUP(0,setup!$A$8:$H$58,2),VLOOKUP(0,setup!$A$8:$H$58,5),VLOOKUP(N342,setup!$A$8:$H$58,8))</f>
        <v>#VALUE!</v>
      </c>
    </row>
    <row r="343" spans="1:15" x14ac:dyDescent="0.25">
      <c r="A343" t="s">
        <v>113</v>
      </c>
      <c r="N343">
        <f t="shared" si="9"/>
        <v>31</v>
      </c>
      <c r="O343" s="15" t="e">
        <f>getCodigoBackend(N343,A343,VLOOKUP(N343,setup!$A$8:$H$58,2),VLOOKUP(N343,setup!$A$8:$H$58,3),VLOOKUP(N343,setup!$A$8:$H$58,4),VLOOKUP(N343,setup!$A$8:$H$58,5),VLOOKUP(N343,setup!$A$8:$H$58,6),VLOOKUP(N343,setup!$A$8:$H$58,7), VLOOKUP(0,setup!$A$8:$H$58,2),VLOOKUP(0,setup!$A$8:$H$58,5),VLOOKUP(N343,setup!$A$8:$H$58,8))</f>
        <v>#VALUE!</v>
      </c>
    </row>
    <row r="344" spans="1:15" x14ac:dyDescent="0.25">
      <c r="A344" t="s">
        <v>113</v>
      </c>
      <c r="N344">
        <f t="shared" si="9"/>
        <v>32</v>
      </c>
      <c r="O344" s="15" t="e">
        <f>getCodigoBackend(N344,A344,VLOOKUP(N344,setup!$A$8:$H$58,2),VLOOKUP(N344,setup!$A$8:$H$58,3),VLOOKUP(N344,setup!$A$8:$H$58,4),VLOOKUP(N344,setup!$A$8:$H$58,5),VLOOKUP(N344,setup!$A$8:$H$58,6),VLOOKUP(N344,setup!$A$8:$H$58,7), VLOOKUP(0,setup!$A$8:$H$58,2),VLOOKUP(0,setup!$A$8:$H$58,5),VLOOKUP(N344,setup!$A$8:$H$58,8))</f>
        <v>#VALUE!</v>
      </c>
    </row>
    <row r="345" spans="1:15" x14ac:dyDescent="0.25">
      <c r="A345" t="s">
        <v>113</v>
      </c>
      <c r="N345">
        <f t="shared" si="9"/>
        <v>33</v>
      </c>
      <c r="O345" s="15" t="e">
        <f>getCodigoBackend(N345,A345,VLOOKUP(N345,setup!$A$8:$H$58,2),VLOOKUP(N345,setup!$A$8:$H$58,3),VLOOKUP(N345,setup!$A$8:$H$58,4),VLOOKUP(N345,setup!$A$8:$H$58,5),VLOOKUP(N345,setup!$A$8:$H$58,6),VLOOKUP(N345,setup!$A$8:$H$58,7), VLOOKUP(0,setup!$A$8:$H$58,2),VLOOKUP(0,setup!$A$8:$H$58,5),VLOOKUP(N345,setup!$A$8:$H$58,8))</f>
        <v>#VALUE!</v>
      </c>
    </row>
    <row r="346" spans="1:15" x14ac:dyDescent="0.25">
      <c r="A346" t="s">
        <v>113</v>
      </c>
      <c r="N346">
        <f t="shared" si="9"/>
        <v>34</v>
      </c>
      <c r="O346" s="15" t="e">
        <f>getCodigoBackend(N346,A346,VLOOKUP(N346,setup!$A$8:$H$58,2),VLOOKUP(N346,setup!$A$8:$H$58,3),VLOOKUP(N346,setup!$A$8:$H$58,4),VLOOKUP(N346,setup!$A$8:$H$58,5),VLOOKUP(N346,setup!$A$8:$H$58,6),VLOOKUP(N346,setup!$A$8:$H$58,7), VLOOKUP(0,setup!$A$8:$H$58,2),VLOOKUP(0,setup!$A$8:$H$58,5),VLOOKUP(N346,setup!$A$8:$H$58,8))</f>
        <v>#VALUE!</v>
      </c>
    </row>
    <row r="347" spans="1:15" x14ac:dyDescent="0.25">
      <c r="A347" t="s">
        <v>113</v>
      </c>
      <c r="N347">
        <f t="shared" si="9"/>
        <v>35</v>
      </c>
      <c r="O347" s="15" t="e">
        <f>getCodigoBackend(N347,A347,VLOOKUP(N347,setup!$A$8:$H$58,2),VLOOKUP(N347,setup!$A$8:$H$58,3),VLOOKUP(N347,setup!$A$8:$H$58,4),VLOOKUP(N347,setup!$A$8:$H$58,5),VLOOKUP(N347,setup!$A$8:$H$58,6),VLOOKUP(N347,setup!$A$8:$H$58,7), VLOOKUP(0,setup!$A$8:$H$58,2),VLOOKUP(0,setup!$A$8:$H$58,5),VLOOKUP(N347,setup!$A$8:$H$58,8))</f>
        <v>#VALUE!</v>
      </c>
    </row>
    <row r="348" spans="1:15" x14ac:dyDescent="0.25">
      <c r="A348" t="s">
        <v>113</v>
      </c>
      <c r="N348">
        <f t="shared" si="9"/>
        <v>36</v>
      </c>
      <c r="O348" s="15" t="e">
        <f>getCodigoBackend(N348,A348,VLOOKUP(N348,setup!$A$8:$H$58,2),VLOOKUP(N348,setup!$A$8:$H$58,3),VLOOKUP(N348,setup!$A$8:$H$58,4),VLOOKUP(N348,setup!$A$8:$H$58,5),VLOOKUP(N348,setup!$A$8:$H$58,6),VLOOKUP(N348,setup!$A$8:$H$58,7), VLOOKUP(0,setup!$A$8:$H$58,2),VLOOKUP(0,setup!$A$8:$H$58,5),VLOOKUP(N348,setup!$A$8:$H$58,8))</f>
        <v>#VALUE!</v>
      </c>
    </row>
    <row r="349" spans="1:15" x14ac:dyDescent="0.25">
      <c r="A349" t="s">
        <v>113</v>
      </c>
      <c r="N349">
        <f t="shared" ref="N349:N362" si="10">N348+1</f>
        <v>37</v>
      </c>
      <c r="O349" s="15" t="e">
        <f>getCodigoBackend(N349,A349,VLOOKUP(N349,setup!$A$8:$H$58,2),VLOOKUP(N349,setup!$A$8:$H$58,3),VLOOKUP(N349,setup!$A$8:$H$58,4),VLOOKUP(N349,setup!$A$8:$H$58,5),VLOOKUP(N349,setup!$A$8:$H$58,6),VLOOKUP(N349,setup!$A$8:$H$58,7), VLOOKUP(0,setup!$A$8:$H$58,2),VLOOKUP(0,setup!$A$8:$H$58,5),VLOOKUP(N349,setup!$A$8:$H$58,8))</f>
        <v>#VALUE!</v>
      </c>
    </row>
    <row r="350" spans="1:15" x14ac:dyDescent="0.25">
      <c r="A350" t="s">
        <v>113</v>
      </c>
      <c r="N350">
        <f t="shared" si="10"/>
        <v>38</v>
      </c>
      <c r="O350" s="15" t="e">
        <f>getCodigoBackend(N350,A350,VLOOKUP(N350,setup!$A$8:$H$58,2),VLOOKUP(N350,setup!$A$8:$H$58,3),VLOOKUP(N350,setup!$A$8:$H$58,4),VLOOKUP(N350,setup!$A$8:$H$58,5),VLOOKUP(N350,setup!$A$8:$H$58,6),VLOOKUP(N350,setup!$A$8:$H$58,7), VLOOKUP(0,setup!$A$8:$H$58,2),VLOOKUP(0,setup!$A$8:$H$58,5),VLOOKUP(N350,setup!$A$8:$H$58,8))</f>
        <v>#VALUE!</v>
      </c>
    </row>
    <row r="351" spans="1:15" x14ac:dyDescent="0.25">
      <c r="A351" t="s">
        <v>113</v>
      </c>
      <c r="N351">
        <f t="shared" si="10"/>
        <v>39</v>
      </c>
      <c r="O351" s="15" t="e">
        <f>getCodigoBackend(N351,A351,VLOOKUP(N351,setup!$A$8:$H$58,2),VLOOKUP(N351,setup!$A$8:$H$58,3),VLOOKUP(N351,setup!$A$8:$H$58,4),VLOOKUP(N351,setup!$A$8:$H$58,5),VLOOKUP(N351,setup!$A$8:$H$58,6),VLOOKUP(N351,setup!$A$8:$H$58,7), VLOOKUP(0,setup!$A$8:$H$58,2),VLOOKUP(0,setup!$A$8:$H$58,5),VLOOKUP(N351,setup!$A$8:$H$58,8))</f>
        <v>#VALUE!</v>
      </c>
    </row>
    <row r="352" spans="1:15" x14ac:dyDescent="0.25">
      <c r="A352" t="s">
        <v>113</v>
      </c>
      <c r="N352">
        <f t="shared" si="10"/>
        <v>40</v>
      </c>
      <c r="O352" s="15" t="e">
        <f>getCodigoBackend(N352,A352,VLOOKUP(N352,setup!$A$8:$H$58,2),VLOOKUP(N352,setup!$A$8:$H$58,3),VLOOKUP(N352,setup!$A$8:$H$58,4),VLOOKUP(N352,setup!$A$8:$H$58,5),VLOOKUP(N352,setup!$A$8:$H$58,6),VLOOKUP(N352,setup!$A$8:$H$58,7), VLOOKUP(0,setup!$A$8:$H$58,2),VLOOKUP(0,setup!$A$8:$H$58,5),VLOOKUP(N352,setup!$A$8:$H$58,8))</f>
        <v>#VALUE!</v>
      </c>
    </row>
    <row r="353" spans="1:15" x14ac:dyDescent="0.25">
      <c r="A353" t="s">
        <v>113</v>
      </c>
      <c r="N353">
        <f t="shared" si="10"/>
        <v>41</v>
      </c>
      <c r="O353" s="15" t="e">
        <f>getCodigoBackend(N353,A353,VLOOKUP(N353,setup!$A$8:$H$58,2),VLOOKUP(N353,setup!$A$8:$H$58,3),VLOOKUP(N353,setup!$A$8:$H$58,4),VLOOKUP(N353,setup!$A$8:$H$58,5),VLOOKUP(N353,setup!$A$8:$H$58,6),VLOOKUP(N353,setup!$A$8:$H$58,7), VLOOKUP(0,setup!$A$8:$H$58,2),VLOOKUP(0,setup!$A$8:$H$58,5),VLOOKUP(N353,setup!$A$8:$H$58,8))</f>
        <v>#VALUE!</v>
      </c>
    </row>
    <row r="354" spans="1:15" x14ac:dyDescent="0.25">
      <c r="A354" t="s">
        <v>113</v>
      </c>
      <c r="N354">
        <f t="shared" si="10"/>
        <v>42</v>
      </c>
      <c r="O354" s="15" t="e">
        <f>getCodigoBackend(N354,A354,VLOOKUP(N354,setup!$A$8:$H$58,2),VLOOKUP(N354,setup!$A$8:$H$58,3),VLOOKUP(N354,setup!$A$8:$H$58,4),VLOOKUP(N354,setup!$A$8:$H$58,5),VLOOKUP(N354,setup!$A$8:$H$58,6),VLOOKUP(N354,setup!$A$8:$H$58,7), VLOOKUP(0,setup!$A$8:$H$58,2),VLOOKUP(0,setup!$A$8:$H$58,5),VLOOKUP(N354,setup!$A$8:$H$58,8))</f>
        <v>#VALUE!</v>
      </c>
    </row>
    <row r="355" spans="1:15" x14ac:dyDescent="0.25">
      <c r="A355" t="s">
        <v>113</v>
      </c>
      <c r="N355">
        <f t="shared" si="10"/>
        <v>43</v>
      </c>
      <c r="O355" s="15" t="e">
        <f>getCodigoBackend(N355,A355,VLOOKUP(N355,setup!$A$8:$H$58,2),VLOOKUP(N355,setup!$A$8:$H$58,3),VLOOKUP(N355,setup!$A$8:$H$58,4),VLOOKUP(N355,setup!$A$8:$H$58,5),VLOOKUP(N355,setup!$A$8:$H$58,6),VLOOKUP(N355,setup!$A$8:$H$58,7), VLOOKUP(0,setup!$A$8:$H$58,2),VLOOKUP(0,setup!$A$8:$H$58,5),VLOOKUP(N355,setup!$A$8:$H$58,8))</f>
        <v>#VALUE!</v>
      </c>
    </row>
    <row r="356" spans="1:15" x14ac:dyDescent="0.25">
      <c r="A356" t="s">
        <v>113</v>
      </c>
      <c r="N356">
        <f t="shared" si="10"/>
        <v>44</v>
      </c>
      <c r="O356" s="15" t="e">
        <f>getCodigoBackend(N356,A356,VLOOKUP(N356,setup!$A$8:$H$58,2),VLOOKUP(N356,setup!$A$8:$H$58,3),VLOOKUP(N356,setup!$A$8:$H$58,4),VLOOKUP(N356,setup!$A$8:$H$58,5),VLOOKUP(N356,setup!$A$8:$H$58,6),VLOOKUP(N356,setup!$A$8:$H$58,7), VLOOKUP(0,setup!$A$8:$H$58,2),VLOOKUP(0,setup!$A$8:$H$58,5),VLOOKUP(N356,setup!$A$8:$H$58,8))</f>
        <v>#VALUE!</v>
      </c>
    </row>
    <row r="357" spans="1:15" x14ac:dyDescent="0.25">
      <c r="A357" t="s">
        <v>113</v>
      </c>
      <c r="N357">
        <f t="shared" si="10"/>
        <v>45</v>
      </c>
      <c r="O357" s="15" t="e">
        <f>getCodigoBackend(N357,A357,VLOOKUP(N357,setup!$A$8:$H$58,2),VLOOKUP(N357,setup!$A$8:$H$58,3),VLOOKUP(N357,setup!$A$8:$H$58,4),VLOOKUP(N357,setup!$A$8:$H$58,5),VLOOKUP(N357,setup!$A$8:$H$58,6),VLOOKUP(N357,setup!$A$8:$H$58,7), VLOOKUP(0,setup!$A$8:$H$58,2),VLOOKUP(0,setup!$A$8:$H$58,5),VLOOKUP(N357,setup!$A$8:$H$58,8))</f>
        <v>#VALUE!</v>
      </c>
    </row>
    <row r="358" spans="1:15" x14ac:dyDescent="0.25">
      <c r="A358" t="s">
        <v>113</v>
      </c>
      <c r="N358">
        <f t="shared" si="10"/>
        <v>46</v>
      </c>
      <c r="O358" s="15" t="e">
        <f>getCodigoBackend(N358,A358,VLOOKUP(N358,setup!$A$8:$H$58,2),VLOOKUP(N358,setup!$A$8:$H$58,3),VLOOKUP(N358,setup!$A$8:$H$58,4),VLOOKUP(N358,setup!$A$8:$H$58,5),VLOOKUP(N358,setup!$A$8:$H$58,6),VLOOKUP(N358,setup!$A$8:$H$58,7), VLOOKUP(0,setup!$A$8:$H$58,2),VLOOKUP(0,setup!$A$8:$H$58,5),VLOOKUP(N358,setup!$A$8:$H$58,8))</f>
        <v>#VALUE!</v>
      </c>
    </row>
    <row r="359" spans="1:15" x14ac:dyDescent="0.25">
      <c r="A359" t="s">
        <v>113</v>
      </c>
      <c r="N359">
        <f t="shared" si="10"/>
        <v>47</v>
      </c>
      <c r="O359" s="15" t="e">
        <f>getCodigoBackend(N359,A359,VLOOKUP(N359,setup!$A$8:$H$58,2),VLOOKUP(N359,setup!$A$8:$H$58,3),VLOOKUP(N359,setup!$A$8:$H$58,4),VLOOKUP(N359,setup!$A$8:$H$58,5),VLOOKUP(N359,setup!$A$8:$H$58,6),VLOOKUP(N359,setup!$A$8:$H$58,7), VLOOKUP(0,setup!$A$8:$H$58,2),VLOOKUP(0,setup!$A$8:$H$58,5),VLOOKUP(N359,setup!$A$8:$H$58,8))</f>
        <v>#VALUE!</v>
      </c>
    </row>
    <row r="360" spans="1:15" x14ac:dyDescent="0.25">
      <c r="A360" t="s">
        <v>113</v>
      </c>
      <c r="N360">
        <f t="shared" si="10"/>
        <v>48</v>
      </c>
      <c r="O360" s="15" t="str">
        <f ca="1">getCodigoBackend(N360,A360,VLOOKUP(N360,setup!$A$8:$H$58,2),VLOOKUP(N360,setup!$A$8:$H$58,3),VLOOKUP(N360,setup!$A$8:$H$58,4),VLOOKUP(N360,setup!$A$8:$H$58,5),VLOOKUP(N360,setup!$A$8:$H$58,6),VLOOKUP(N360,setup!$A$8:$H$58,7), VLOOKUP(0,setup!$A$8:$H$58,2),VLOOKUP(0,setup!$A$8:$H$58,5),VLOOKUP(N360,setup!$A$8:$H$58,8))</f>
        <v xml:space="preserve">              status: tecstatus.text, </v>
      </c>
    </row>
    <row r="361" spans="1:15" x14ac:dyDescent="0.25">
      <c r="A361" t="s">
        <v>113</v>
      </c>
      <c r="N361">
        <f t="shared" si="10"/>
        <v>49</v>
      </c>
      <c r="O361" s="15" t="str">
        <f ca="1">getCodigoBackend(N361,A361,VLOOKUP(N361,setup!$A$8:$H$58,2),VLOOKUP(N361,setup!$A$8:$H$58,3),VLOOKUP(N361,setup!$A$8:$H$58,4),VLOOKUP(N361,setup!$A$8:$H$58,5),VLOOKUP(N361,setup!$A$8:$H$58,6),VLOOKUP(N361,setup!$A$8:$H$58,7), VLOOKUP(0,setup!$A$8:$H$58,2),VLOOKUP(0,setup!$A$8:$H$58,5),VLOOKUP(N361,setup!$A$8:$H$58,8))</f>
        <v xml:space="preserve">              dataCadastro: tecdataCadastro.text, </v>
      </c>
    </row>
    <row r="362" spans="1:15" x14ac:dyDescent="0.25">
      <c r="A362" t="s">
        <v>113</v>
      </c>
      <c r="N362">
        <f t="shared" si="10"/>
        <v>50</v>
      </c>
      <c r="O362" s="15" t="str">
        <f ca="1">getCodigoBackend(N362,A362,VLOOKUP(N362,setup!$A$8:$H$58,2),VLOOKUP(N362,setup!$A$8:$H$58,3),VLOOKUP(N362,setup!$A$8:$H$58,4),VLOOKUP(N362,setup!$A$8:$H$58,5),VLOOKUP(N362,setup!$A$8:$H$58,6),VLOOKUP(N362,setup!$A$8:$H$58,7), VLOOKUP(0,setup!$A$8:$H$58,2),VLOOKUP(0,setup!$A$8:$H$58,5),VLOOKUP(N362,setup!$A$8:$H$58,8))</f>
        <v xml:space="preserve">              dataAtualizacao: tecdataAtualizacao.text, </v>
      </c>
    </row>
    <row r="363" spans="1:15" x14ac:dyDescent="0.25">
      <c r="A363" t="s">
        <v>79</v>
      </c>
      <c r="O363" s="15" t="str">
        <f ca="1">getCodigoBackend(N363,A363,VLOOKUP(N363,setup!$A$8:$H$58,2),VLOOKUP(N363,setup!$A$8:$H$58,3),VLOOKUP(N363,setup!$A$8:$H$58,4),VLOOKUP(N363,setup!$A$8:$H$58,5),VLOOKUP(N363,setup!$A$8:$H$58,6),VLOOKUP(N363,setup!$A$8:$H$58,7), VLOOKUP(0,setup!$A$8:$H$58,2),VLOOKUP(0,setup!$A$8:$H$58,5),VLOOKUP(N363,setup!$A$8:$H$58,8))</f>
        <v xml:space="preserve">          );</v>
      </c>
    </row>
    <row r="364" spans="1:15" x14ac:dyDescent="0.25">
      <c r="A364" s="15" t="s">
        <v>137</v>
      </c>
      <c r="O364" s="15" t="str">
        <f ca="1">getCodigoBackend(N364,A364,VLOOKUP(N364,setup!$A$8:$H$58,2),VLOOKUP(N364,setup!$A$8:$H$58,3),VLOOKUP(N364,setup!$A$8:$H$58,4),VLOOKUP(N364,setup!$A$8:$H$58,5),VLOOKUP(N364,setup!$A$8:$H$58,6),VLOOKUP(N364,setup!$A$8:$H$58,7), VLOOKUP(0,setup!$A$8:$H$58,2),VLOOKUP(0,setup!$A$8:$H$58,5),VLOOKUP(N364,setup!$A$8:$H$58,8))</f>
        <v xml:space="preserve">    String _urlcrud = _iscadastro ? '${_urlControlador}appInserirUsuarioPublicidade.php' : '${_urlControlador}appAtualizarUsuarioPublicidade.php';</v>
      </c>
    </row>
    <row r="365" spans="1:15" x14ac:dyDescent="0.25">
      <c r="A365" s="15" t="s">
        <v>130</v>
      </c>
      <c r="O365" s="15" t="str">
        <f ca="1">getCodigoBackend(N365,A365,VLOOKUP(N365,setup!$A$8:$H$58,2),VLOOKUP(N365,setup!$A$8:$H$58,3),VLOOKUP(N365,setup!$A$8:$H$58,4),VLOOKUP(N365,setup!$A$8:$H$58,5),VLOOKUP(N365,setup!$A$8:$H$58,6),VLOOKUP(N365,setup!$A$8:$H$58,7), VLOOKUP(0,setup!$A$8:$H$58,2),VLOOKUP(0,setup!$A$8:$H$58,5),VLOOKUP(N365,setup!$A$8:$H$58,8))</f>
        <v xml:space="preserve">    UsuarioPublicidadeVOPost p = await createPost('${_urlcrud}', body: newPost.toMap());</v>
      </c>
    </row>
    <row r="366" spans="1:15" x14ac:dyDescent="0.25">
      <c r="A366" s="15" t="s">
        <v>80</v>
      </c>
      <c r="O366" s="15" t="str">
        <f ca="1">getCodigoBackend(N366,A366,VLOOKUP(N366,setup!$A$8:$H$58,2),VLOOKUP(N366,setup!$A$8:$H$58,3),VLOOKUP(N366,setup!$A$8:$H$58,4),VLOOKUP(N366,setup!$A$8:$H$58,5),VLOOKUP(N366,setup!$A$8:$H$58,6),VLOOKUP(N366,setup!$A$8:$H$58,7), VLOOKUP(0,setup!$A$8:$H$58,2),VLOOKUP(0,setup!$A$8:$H$58,5),VLOOKUP(N366,setup!$A$8:$H$58,8))</f>
        <v xml:space="preserve">          Icon _icon = p.msgcode == 'MSG-0001' </v>
      </c>
    </row>
    <row r="367" spans="1:15" x14ac:dyDescent="0.25">
      <c r="A367" s="15" t="s">
        <v>81</v>
      </c>
      <c r="O367" s="15" t="str">
        <f ca="1">getCodigoBackend(N367,A367,VLOOKUP(N367,setup!$A$8:$H$58,2),VLOOKUP(N367,setup!$A$8:$H$58,3),VLOOKUP(N367,setup!$A$8:$H$58,4),VLOOKUP(N367,setup!$A$8:$H$58,5),VLOOKUP(N367,setup!$A$8:$H$58,6),VLOOKUP(N367,setup!$A$8:$H$58,7), VLOOKUP(0,setup!$A$8:$H$58,2),VLOOKUP(0,setup!$A$8:$H$58,5),VLOOKUP(N367,setup!$A$8:$H$58,8))</f>
        <v xml:space="preserve">          ? Icon(Icons.check_circle_outline, size: 120.0, color: Colors.green,)</v>
      </c>
    </row>
    <row r="368" spans="1:15" x14ac:dyDescent="0.25">
      <c r="A368" s="15" t="s">
        <v>82</v>
      </c>
      <c r="O368" s="15" t="str">
        <f ca="1">getCodigoBackend(N368,A368,VLOOKUP(N368,setup!$A$8:$H$58,2),VLOOKUP(N368,setup!$A$8:$H$58,3),VLOOKUP(N368,setup!$A$8:$H$58,4),VLOOKUP(N368,setup!$A$8:$H$58,5),VLOOKUP(N368,setup!$A$8:$H$58,6),VLOOKUP(N368,setup!$A$8:$H$58,7), VLOOKUP(0,setup!$A$8:$H$58,2),VLOOKUP(0,setup!$A$8:$H$58,5),VLOOKUP(N368,setup!$A$8:$H$58,8))</f>
        <v xml:space="preserve">          : Icon(Icons.error, size: 120.0, color: Colors.red,);</v>
      </c>
    </row>
    <row r="369" spans="1:15" x14ac:dyDescent="0.25">
      <c r="A369" s="15"/>
      <c r="O369" s="15" t="str">
        <f ca="1">getCodigoBackend(N369,A369,VLOOKUP(N369,setup!$A$8:$H$58,2),VLOOKUP(N369,setup!$A$8:$H$58,3),VLOOKUP(N369,setup!$A$8:$H$58,4),VLOOKUP(N369,setup!$A$8:$H$58,5),VLOOKUP(N369,setup!$A$8:$H$58,6),VLOOKUP(N369,setup!$A$8:$H$58,7), VLOOKUP(0,setup!$A$8:$H$58,2),VLOOKUP(0,setup!$A$8:$H$58,5),VLOOKUP(N369,setup!$A$8:$H$58,8))</f>
        <v/>
      </c>
    </row>
    <row r="370" spans="1:15" x14ac:dyDescent="0.25">
      <c r="A370" s="15" t="s">
        <v>83</v>
      </c>
      <c r="O370" s="15" t="str">
        <f ca="1">getCodigoBackend(N370,A370,VLOOKUP(N370,setup!$A$8:$H$58,2),VLOOKUP(N370,setup!$A$8:$H$58,3),VLOOKUP(N370,setup!$A$8:$H$58,4),VLOOKUP(N370,setup!$A$8:$H$58,5),VLOOKUP(N370,setup!$A$8:$H$58,6),VLOOKUP(N370,setup!$A$8:$H$58,7), VLOOKUP(0,setup!$A$8:$H$58,2),VLOOKUP(0,setup!$A$8:$H$58,5),VLOOKUP(N370,setup!$A$8:$H$58,8))</f>
        <v xml:space="preserve">          CommonShowDialogYesNo retorno = new CommonShowDialogYesNo(</v>
      </c>
    </row>
    <row r="371" spans="1:15" x14ac:dyDescent="0.25">
      <c r="A371" s="15" t="s">
        <v>84</v>
      </c>
      <c r="O371" s="15" t="str">
        <f ca="1">getCodigoBackend(N371,A371,VLOOKUP(N371,setup!$A$8:$H$58,2),VLOOKUP(N371,setup!$A$8:$H$58,3),VLOOKUP(N371,setup!$A$8:$H$58,4),VLOOKUP(N371,setup!$A$8:$H$58,5),VLOOKUP(N371,setup!$A$8:$H$58,6),VLOOKUP(N371,setup!$A$8:$H$58,7), VLOOKUP(0,setup!$A$8:$H$58,2),VLOOKUP(0,setup!$A$8:$H$58,5),VLOOKUP(N371,setup!$A$8:$H$58,8))</f>
        <v xml:space="preserve">            context: context,</v>
      </c>
    </row>
    <row r="372" spans="1:15" x14ac:dyDescent="0.25">
      <c r="A372" s="15" t="s">
        <v>85</v>
      </c>
      <c r="O372" s="15" t="str">
        <f ca="1">getCodigoBackend(N372,A372,VLOOKUP(N372,setup!$A$8:$H$58,2),VLOOKUP(N372,setup!$A$8:$H$58,3),VLOOKUP(N372,setup!$A$8:$H$58,4),VLOOKUP(N372,setup!$A$8:$H$58,5),VLOOKUP(N372,setup!$A$8:$H$58,6),VLOOKUP(N372,setup!$A$8:$H$58,7), VLOOKUP(0,setup!$A$8:$H$58,2),VLOOKUP(0,setup!$A$8:$H$58,5),VLOOKUP(N372,setup!$A$8:$H$58,8))</f>
        <v xml:space="preserve">            icon: _icon,</v>
      </c>
    </row>
    <row r="373" spans="1:15" x14ac:dyDescent="0.25">
      <c r="A373" s="15" t="s">
        <v>86</v>
      </c>
      <c r="O373" s="15" t="str">
        <f ca="1">getCodigoBackend(N373,A373,VLOOKUP(N373,setup!$A$8:$H$58,2),VLOOKUP(N373,setup!$A$8:$H$58,3),VLOOKUP(N373,setup!$A$8:$H$58,4),VLOOKUP(N373,setup!$A$8:$H$58,5),VLOOKUP(N373,setup!$A$8:$H$58,6),VLOOKUP(N373,setup!$A$8:$H$58,7), VLOOKUP(0,setup!$A$8:$H$58,2),VLOOKUP(0,setup!$A$8:$H$58,5),VLOOKUP(N373,setup!$A$8:$H$58,8))</f>
        <v xml:space="preserve">            msg: p.msgcodeString,</v>
      </c>
    </row>
    <row r="374" spans="1:15" x14ac:dyDescent="0.25">
      <c r="A374" s="15" t="s">
        <v>79</v>
      </c>
      <c r="O374" s="15" t="str">
        <f ca="1">getCodigoBackend(N374,A374,VLOOKUP(N374,setup!$A$8:$H$58,2),VLOOKUP(N374,setup!$A$8:$H$58,3),VLOOKUP(N374,setup!$A$8:$H$58,4),VLOOKUP(N374,setup!$A$8:$H$58,5),VLOOKUP(N374,setup!$A$8:$H$58,6),VLOOKUP(N374,setup!$A$8:$H$58,7), VLOOKUP(0,setup!$A$8:$H$58,2),VLOOKUP(0,setup!$A$8:$H$58,5),VLOOKUP(N374,setup!$A$8:$H$58,8))</f>
        <v xml:space="preserve">          );</v>
      </c>
    </row>
    <row r="375" spans="1:15" x14ac:dyDescent="0.25">
      <c r="O375" s="15" t="str">
        <f ca="1">getCodigoBackend(N375,A375,VLOOKUP(N375,setup!$A$8:$H$58,2),VLOOKUP(N375,setup!$A$8:$H$58,3),VLOOKUP(N375,setup!$A$8:$H$58,4),VLOOKUP(N375,setup!$A$8:$H$58,5),VLOOKUP(N375,setup!$A$8:$H$58,6),VLOOKUP(N375,setup!$A$8:$H$58,7), VLOOKUP(0,setup!$A$8:$H$58,2),VLOOKUP(0,setup!$A$8:$H$58,5),VLOOKUP(N375,setup!$A$8:$H$58,8))</f>
        <v/>
      </c>
    </row>
    <row r="376" spans="1:15" x14ac:dyDescent="0.25">
      <c r="A376" s="15" t="s">
        <v>87</v>
      </c>
      <c r="O376" s="15" t="str">
        <f ca="1">getCodigoBackend(N376,A376,VLOOKUP(N376,setup!$A$8:$H$58,2),VLOOKUP(N376,setup!$A$8:$H$58,3),VLOOKUP(N376,setup!$A$8:$H$58,4),VLOOKUP(N376,setup!$A$8:$H$58,5),VLOOKUP(N376,setup!$A$8:$H$58,6),VLOOKUP(N376,setup!$A$8:$H$58,7), VLOOKUP(0,setup!$A$8:$H$58,2),VLOOKUP(0,setup!$A$8:$H$58,5),VLOOKUP(N376,setup!$A$8:$H$58,8))</f>
        <v xml:space="preserve">          retorno.showDialogYesNo().then((onValue){</v>
      </c>
    </row>
    <row r="377" spans="1:15" x14ac:dyDescent="0.25">
      <c r="A377" s="15" t="s">
        <v>88</v>
      </c>
      <c r="O377" s="15" t="str">
        <f ca="1">getCodigoBackend(N377,A377,VLOOKUP(N377,setup!$A$8:$H$58,2),VLOOKUP(N377,setup!$A$8:$H$58,3),VLOOKUP(N377,setup!$A$8:$H$58,4),VLOOKUP(N377,setup!$A$8:$H$58,5),VLOOKUP(N377,setup!$A$8:$H$58,6),VLOOKUP(N377,setup!$A$8:$H$58,7), VLOOKUP(0,setup!$A$8:$H$58,2),VLOOKUP(0,setup!$A$8:$H$58,5),VLOOKUP(N377,setup!$A$8:$H$58,8))</f>
        <v xml:space="preserve">              if(retorno.getChoice() == 'Y'){</v>
      </c>
    </row>
    <row r="378" spans="1:15" x14ac:dyDescent="0.25">
      <c r="A378" s="15" t="s">
        <v>89</v>
      </c>
      <c r="O378" s="15" t="str">
        <f ca="1">getCodigoBackend(N378,A378,VLOOKUP(N378,setup!$A$8:$H$58,2),VLOOKUP(N378,setup!$A$8:$H$58,3),VLOOKUP(N378,setup!$A$8:$H$58,4),VLOOKUP(N378,setup!$A$8:$H$58,5),VLOOKUP(N378,setup!$A$8:$H$58,6),VLOOKUP(N378,setup!$A$8:$H$58,7), VLOOKUP(0,setup!$A$8:$H$58,2),VLOOKUP(0,setup!$A$8:$H$58,5),VLOOKUP(N378,setup!$A$8:$H$58,8))</f>
        <v xml:space="preserve">                Navigator.pop(context);</v>
      </c>
    </row>
    <row r="379" spans="1:15" x14ac:dyDescent="0.25">
      <c r="A379" s="15" t="s">
        <v>90</v>
      </c>
      <c r="O379" s="15" t="str">
        <f ca="1">getCodigoBackend(N379,A379,VLOOKUP(N379,setup!$A$8:$H$58,2),VLOOKUP(N379,setup!$A$8:$H$58,3),VLOOKUP(N379,setup!$A$8:$H$58,4),VLOOKUP(N379,setup!$A$8:$H$58,5),VLOOKUP(N379,setup!$A$8:$H$58,6),VLOOKUP(N379,setup!$A$8:$H$58,7), VLOOKUP(0,setup!$A$8:$H$58,2),VLOOKUP(0,setup!$A$8:$H$58,5),VLOOKUP(N379,setup!$A$8:$H$58,8))</f>
        <v xml:space="preserve">              }</v>
      </c>
    </row>
    <row r="380" spans="1:15" x14ac:dyDescent="0.25">
      <c r="A380" s="15" t="s">
        <v>91</v>
      </c>
      <c r="O380" s="15" t="str">
        <f ca="1">getCodigoBackend(N380,A380,VLOOKUP(N380,setup!$A$8:$H$58,2),VLOOKUP(N380,setup!$A$8:$H$58,3),VLOOKUP(N380,setup!$A$8:$H$58,4),VLOOKUP(N380,setup!$A$8:$H$58,5),VLOOKUP(N380,setup!$A$8:$H$58,6),VLOOKUP(N380,setup!$A$8:$H$58,7), VLOOKUP(0,setup!$A$8:$H$58,2),VLOOKUP(0,setup!$A$8:$H$58,5),VLOOKUP(N380,setup!$A$8:$H$58,8))</f>
        <v xml:space="preserve">            }</v>
      </c>
    </row>
    <row r="381" spans="1:15" x14ac:dyDescent="0.25">
      <c r="A381" s="15" t="s">
        <v>79</v>
      </c>
      <c r="O381" s="15" t="str">
        <f ca="1">getCodigoBackend(N381,A381,VLOOKUP(N381,setup!$A$8:$H$58,2),VLOOKUP(N381,setup!$A$8:$H$58,3),VLOOKUP(N381,setup!$A$8:$H$58,4),VLOOKUP(N381,setup!$A$8:$H$58,5),VLOOKUP(N381,setup!$A$8:$H$58,6),VLOOKUP(N381,setup!$A$8:$H$58,7), VLOOKUP(0,setup!$A$8:$H$58,2),VLOOKUP(0,setup!$A$8:$H$58,5),VLOOKUP(N381,setup!$A$8:$H$58,8))</f>
        <v xml:space="preserve">          );</v>
      </c>
    </row>
    <row r="382" spans="1:15" x14ac:dyDescent="0.25">
      <c r="A382" s="15" t="s">
        <v>92</v>
      </c>
      <c r="O382" s="15" t="str">
        <f ca="1">getCodigoBackend(N382,A382,VLOOKUP(N382,setup!$A$8:$H$58,2),VLOOKUP(N382,setup!$A$8:$H$58,3),VLOOKUP(N382,setup!$A$8:$H$58,4),VLOOKUP(N382,setup!$A$8:$H$58,5),VLOOKUP(N382,setup!$A$8:$H$58,6),VLOOKUP(N382,setup!$A$8:$H$58,7), VLOOKUP(0,setup!$A$8:$H$58,2),VLOOKUP(0,setup!$A$8:$H$58,5),VLOOKUP(N382,setup!$A$8:$H$58,8))</f>
        <v xml:space="preserve">        })      </v>
      </c>
    </row>
    <row r="383" spans="1:15" x14ac:dyDescent="0.25">
      <c r="A383" s="15" t="s">
        <v>40</v>
      </c>
      <c r="O383" s="15" t="str">
        <f ca="1">getCodigoBackend(N383,A383,VLOOKUP(N383,setup!$A$8:$H$58,2),VLOOKUP(N383,setup!$A$8:$H$58,3),VLOOKUP(N383,setup!$A$8:$H$58,4),VLOOKUP(N383,setup!$A$8:$H$58,5),VLOOKUP(N383,setup!$A$8:$H$58,6),VLOOKUP(N383,setup!$A$8:$H$58,7), VLOOKUP(0,setup!$A$8:$H$58,2),VLOOKUP(0,setup!$A$8:$H$58,5),VLOOKUP(N383,setup!$A$8:$H$58,8))</f>
        <v xml:space="preserve">    );</v>
      </c>
    </row>
    <row r="384" spans="1:15" x14ac:dyDescent="0.25">
      <c r="A384" s="15"/>
      <c r="O384" s="15" t="str">
        <f ca="1">getCodigoBackend(N384,A384,VLOOKUP(N384,setup!$A$8:$H$58,2),VLOOKUP(N384,setup!$A$8:$H$58,3),VLOOKUP(N384,setup!$A$8:$H$58,4),VLOOKUP(N384,setup!$A$8:$H$58,5),VLOOKUP(N384,setup!$A$8:$H$58,6),VLOOKUP(N384,setup!$A$8:$H$58,7), VLOOKUP(0,setup!$A$8:$H$58,2),VLOOKUP(0,setup!$A$8:$H$58,5),VLOOKUP(N384,setup!$A$8:$H$58,8))</f>
        <v/>
      </c>
    </row>
    <row r="385" spans="1:15" x14ac:dyDescent="0.25">
      <c r="A385" s="15" t="s">
        <v>93</v>
      </c>
      <c r="O385" s="15" t="str">
        <f ca="1">getCodigoBackend(N385,A385,VLOOKUP(N385,setup!$A$8:$H$58,2),VLOOKUP(N385,setup!$A$8:$H$58,3),VLOOKUP(N385,setup!$A$8:$H$58,4),VLOOKUP(N385,setup!$A$8:$H$58,5),VLOOKUP(N385,setup!$A$8:$H$58,6),VLOOKUP(N385,setup!$A$8:$H$58,7), VLOOKUP(0,setup!$A$8:$H$58,2),VLOOKUP(0,setup!$A$8:$H$58,5),VLOOKUP(N385,setup!$A$8:$H$58,8))</f>
        <v xml:space="preserve">    SingleChildScrollView _sceditview = SingleChildScrollView(</v>
      </c>
    </row>
    <row r="386" spans="1:15" x14ac:dyDescent="0.25">
      <c r="A386" s="15" t="s">
        <v>94</v>
      </c>
      <c r="O386" s="15" t="str">
        <f ca="1">getCodigoBackend(N386,A386,VLOOKUP(N386,setup!$A$8:$H$58,2),VLOOKUP(N386,setup!$A$8:$H$58,3),VLOOKUP(N386,setup!$A$8:$H$58,4),VLOOKUP(N386,setup!$A$8:$H$58,5),VLOOKUP(N386,setup!$A$8:$H$58,6),VLOOKUP(N386,setup!$A$8:$H$58,7), VLOOKUP(0,setup!$A$8:$H$58,2),VLOOKUP(0,setup!$A$8:$H$58,5),VLOOKUP(N386,setup!$A$8:$H$58,8))</f>
        <v xml:space="preserve">      child: Column(</v>
      </c>
    </row>
    <row r="387" spans="1:15" x14ac:dyDescent="0.25">
      <c r="A387" s="15" t="s">
        <v>95</v>
      </c>
      <c r="O387" s="15" t="str">
        <f ca="1">getCodigoBackend(N387,A387,VLOOKUP(N387,setup!$A$8:$H$58,2),VLOOKUP(N387,setup!$A$8:$H$58,3),VLOOKUP(N387,setup!$A$8:$H$58,4),VLOOKUP(N387,setup!$A$8:$H$58,5),VLOOKUP(N387,setup!$A$8:$H$58,6),VLOOKUP(N387,setup!$A$8:$H$58,7), VLOOKUP(0,setup!$A$8:$H$58,2),VLOOKUP(0,setup!$A$8:$H$58,5),VLOOKUP(N387,setup!$A$8:$H$58,8))</f>
        <v xml:space="preserve">          crossAxisAlignment: CrossAxisAlignment.center,</v>
      </c>
    </row>
    <row r="388" spans="1:15" x14ac:dyDescent="0.25">
      <c r="A388" s="15" t="s">
        <v>96</v>
      </c>
      <c r="O388" s="15" t="str">
        <f ca="1">getCodigoBackend(N388,A388,VLOOKUP(N388,setup!$A$8:$H$58,2),VLOOKUP(N388,setup!$A$8:$H$58,3),VLOOKUP(N388,setup!$A$8:$H$58,4),VLOOKUP(N388,setup!$A$8:$H$58,5),VLOOKUP(N388,setup!$A$8:$H$58,6),VLOOKUP(N388,setup!$A$8:$H$58,7), VLOOKUP(0,setup!$A$8:$H$58,2),VLOOKUP(0,setup!$A$8:$H$58,5),VLOOKUP(N388,setup!$A$8:$H$58,8))</f>
        <v xml:space="preserve">          children: &lt;Widget&gt;[</v>
      </c>
    </row>
    <row r="389" spans="1:15" x14ac:dyDescent="0.25">
      <c r="A389" s="15" t="s">
        <v>97</v>
      </c>
      <c r="O389" s="15" t="str">
        <f ca="1">getCodigoBackend(N389,A389,VLOOKUP(N389,setup!$A$8:$H$58,2),VLOOKUP(N389,setup!$A$8:$H$58,3),VLOOKUP(N389,setup!$A$8:$H$58,4),VLOOKUP(N389,setup!$A$8:$H$58,5),VLOOKUP(N389,setup!$A$8:$H$58,6),VLOOKUP(N389,setup!$A$8:$H$58,7), VLOOKUP(0,setup!$A$8:$H$58,2),VLOOKUP(0,setup!$A$8:$H$58,5),VLOOKUP(N389,setup!$A$8:$H$58,8))</f>
        <v xml:space="preserve">            Padding(</v>
      </c>
    </row>
    <row r="390" spans="1:15" x14ac:dyDescent="0.25">
      <c r="A390" s="15" t="s">
        <v>98</v>
      </c>
      <c r="O390" s="15" t="str">
        <f ca="1">getCodigoBackend(N390,A390,VLOOKUP(N390,setup!$A$8:$H$58,2),VLOOKUP(N390,setup!$A$8:$H$58,3),VLOOKUP(N390,setup!$A$8:$H$58,4),VLOOKUP(N390,setup!$A$8:$H$58,5),VLOOKUP(N390,setup!$A$8:$H$58,6),VLOOKUP(N390,setup!$A$8:$H$58,7), VLOOKUP(0,setup!$A$8:$H$58,2),VLOOKUP(0,setup!$A$8:$H$58,5),VLOOKUP(N390,setup!$A$8:$H$58,8))</f>
        <v xml:space="preserve">              padding: EdgeInsets.all(10.0),</v>
      </c>
    </row>
    <row r="391" spans="1:15" x14ac:dyDescent="0.25">
      <c r="A391" s="15" t="s">
        <v>99</v>
      </c>
      <c r="O391" s="15" t="str">
        <f ca="1">getCodigoBackend(N391,A391,VLOOKUP(N391,setup!$A$8:$H$58,2),VLOOKUP(N391,setup!$A$8:$H$58,3),VLOOKUP(N391,setup!$A$8:$H$58,4),VLOOKUP(N391,setup!$A$8:$H$58,5),VLOOKUP(N391,setup!$A$8:$H$58,6),VLOOKUP(N391,setup!$A$8:$H$58,7), VLOOKUP(0,setup!$A$8:$H$58,2),VLOOKUP(0,setup!$A$8:$H$58,5),VLOOKUP(N391,setup!$A$8:$H$58,8))</f>
        <v xml:space="preserve">              child: Column(</v>
      </c>
    </row>
    <row r="392" spans="1:15" x14ac:dyDescent="0.25">
      <c r="A392" s="15" t="s">
        <v>114</v>
      </c>
      <c r="O392" s="15" t="str">
        <f ca="1">getCodigoBackend(N392,A392,VLOOKUP(N392,setup!$A$8:$H$58,2),VLOOKUP(N392,setup!$A$8:$H$58,3),VLOOKUP(N392,setup!$A$8:$H$58,4),VLOOKUP(N392,setup!$A$8:$H$58,5),VLOOKUP(N392,setup!$A$8:$H$58,6),VLOOKUP(N392,setup!$A$8:$H$58,7), VLOOKUP(0,setup!$A$8:$H$58,2),VLOOKUP(0,setup!$A$8:$H$58,5),VLOOKUP(N392,setup!$A$8:$H$58,8))</f>
        <v xml:space="preserve">                children: _lstCamposUsuarioPublicidade</v>
      </c>
    </row>
    <row r="393" spans="1:15" x14ac:dyDescent="0.25">
      <c r="A393" s="15" t="s">
        <v>100</v>
      </c>
      <c r="O393" s="15" t="str">
        <f ca="1">getCodigoBackend(N393,A393,VLOOKUP(N393,setup!$A$8:$H$58,2),VLOOKUP(N393,setup!$A$8:$H$58,3),VLOOKUP(N393,setup!$A$8:$H$58,4),VLOOKUP(N393,setup!$A$8:$H$58,5),VLOOKUP(N393,setup!$A$8:$H$58,6),VLOOKUP(N393,setup!$A$8:$H$58,7), VLOOKUP(0,setup!$A$8:$H$58,2),VLOOKUP(0,setup!$A$8:$H$58,5),VLOOKUP(N393,setup!$A$8:$H$58,8))</f>
        <v xml:space="preserve">              ),</v>
      </c>
    </row>
    <row r="394" spans="1:15" x14ac:dyDescent="0.25">
      <c r="A394" s="15" t="s">
        <v>74</v>
      </c>
      <c r="O394" s="15" t="str">
        <f ca="1">getCodigoBackend(N394,A394,VLOOKUP(N394,setup!$A$8:$H$58,2),VLOOKUP(N394,setup!$A$8:$H$58,3),VLOOKUP(N394,setup!$A$8:$H$58,4),VLOOKUP(N394,setup!$A$8:$H$58,5),VLOOKUP(N394,setup!$A$8:$H$58,6),VLOOKUP(N394,setup!$A$8:$H$58,7), VLOOKUP(0,setup!$A$8:$H$58,2),VLOOKUP(0,setup!$A$8:$H$58,5),VLOOKUP(N394,setup!$A$8:$H$58,8))</f>
        <v xml:space="preserve">            ),</v>
      </c>
    </row>
    <row r="395" spans="1:15" x14ac:dyDescent="0.25">
      <c r="A395" s="15" t="s">
        <v>101</v>
      </c>
      <c r="O395" s="15" t="str">
        <f ca="1">getCodigoBackend(N395,A395,VLOOKUP(N395,setup!$A$8:$H$58,2),VLOOKUP(N395,setup!$A$8:$H$58,3),VLOOKUP(N395,setup!$A$8:$H$58,4),VLOOKUP(N395,setup!$A$8:$H$58,5),VLOOKUP(N395,setup!$A$8:$H$58,6),VLOOKUP(N395,setup!$A$8:$H$58,7), VLOOKUP(0,setup!$A$8:$H$58,2),VLOOKUP(0,setup!$A$8:$H$58,5),VLOOKUP(N395,setup!$A$8:$H$58,8))</f>
        <v xml:space="preserve">          ],</v>
      </c>
    </row>
    <row r="396" spans="1:15" x14ac:dyDescent="0.25">
      <c r="A396" s="15" t="s">
        <v>73</v>
      </c>
      <c r="O396" s="15" t="str">
        <f ca="1">getCodigoBackend(N396,A396,VLOOKUP(N396,setup!$A$8:$H$58,2),VLOOKUP(N396,setup!$A$8:$H$58,3),VLOOKUP(N396,setup!$A$8:$H$58,4),VLOOKUP(N396,setup!$A$8:$H$58,5),VLOOKUP(N396,setup!$A$8:$H$58,6),VLOOKUP(N396,setup!$A$8:$H$58,7), VLOOKUP(0,setup!$A$8:$H$58,2),VLOOKUP(0,setup!$A$8:$H$58,5),VLOOKUP(N396,setup!$A$8:$H$58,8))</f>
        <v xml:space="preserve">        ),</v>
      </c>
    </row>
    <row r="397" spans="1:15" x14ac:dyDescent="0.25">
      <c r="A397" s="15" t="s">
        <v>40</v>
      </c>
      <c r="O397" s="15" t="str">
        <f ca="1">getCodigoBackend(N397,A397,VLOOKUP(N397,setup!$A$8:$H$58,2),VLOOKUP(N397,setup!$A$8:$H$58,3),VLOOKUP(N397,setup!$A$8:$H$58,4),VLOOKUP(N397,setup!$A$8:$H$58,5),VLOOKUP(N397,setup!$A$8:$H$58,6),VLOOKUP(N397,setup!$A$8:$H$58,7), VLOOKUP(0,setup!$A$8:$H$58,2),VLOOKUP(0,setup!$A$8:$H$58,5),VLOOKUP(N397,setup!$A$8:$H$58,8))</f>
        <v xml:space="preserve">    );</v>
      </c>
    </row>
    <row r="398" spans="1:15" x14ac:dyDescent="0.25">
      <c r="A398" s="15"/>
      <c r="O398" s="15" t="str">
        <f ca="1">getCodigoBackend(N398,A398,VLOOKUP(N398,setup!$A$8:$H$58,2),VLOOKUP(N398,setup!$A$8:$H$58,3),VLOOKUP(N398,setup!$A$8:$H$58,4),VLOOKUP(N398,setup!$A$8:$H$58,5),VLOOKUP(N398,setup!$A$8:$H$58,6),VLOOKUP(N398,setup!$A$8:$H$58,7), VLOOKUP(0,setup!$A$8:$H$58,2),VLOOKUP(0,setup!$A$8:$H$58,5),VLOOKUP(N398,setup!$A$8:$H$58,8))</f>
        <v/>
      </c>
    </row>
    <row r="399" spans="1:15" x14ac:dyDescent="0.25">
      <c r="A399" s="15" t="s">
        <v>102</v>
      </c>
      <c r="O399" s="15" t="str">
        <f ca="1">getCodigoBackend(N399,A399,VLOOKUP(N399,setup!$A$8:$H$58,2),VLOOKUP(N399,setup!$A$8:$H$58,3),VLOOKUP(N399,setup!$A$8:$H$58,4),VLOOKUP(N399,setup!$A$8:$H$58,5),VLOOKUP(N399,setup!$A$8:$H$58,6),VLOOKUP(N399,setup!$A$8:$H$58,7), VLOOKUP(0,setup!$A$8:$H$58,2),VLOOKUP(0,setup!$A$8:$H$58,5),VLOOKUP(N399,setup!$A$8:$H$58,8))</f>
        <v xml:space="preserve">    return new Scaffold(</v>
      </c>
    </row>
    <row r="400" spans="1:15" x14ac:dyDescent="0.25">
      <c r="A400" s="15" t="s">
        <v>103</v>
      </c>
      <c r="O400" s="15" t="str">
        <f ca="1">getCodigoBackend(N400,A400,VLOOKUP(N400,setup!$A$8:$H$58,2),VLOOKUP(N400,setup!$A$8:$H$58,3),VLOOKUP(N400,setup!$A$8:$H$58,4),VLOOKUP(N400,setup!$A$8:$H$58,5),VLOOKUP(N400,setup!$A$8:$H$58,6),VLOOKUP(N400,setup!$A$8:$H$58,7), VLOOKUP(0,setup!$A$8:$H$58,2),VLOOKUP(0,setup!$A$8:$H$58,5),VLOOKUP(N400,setup!$A$8:$H$58,8))</f>
        <v xml:space="preserve">      appBar: new AppBar(</v>
      </c>
    </row>
    <row r="401" spans="1:15" x14ac:dyDescent="0.25">
      <c r="A401" s="15" t="s">
        <v>131</v>
      </c>
      <c r="O401" s="15" t="str">
        <f ca="1">getCodigoBackend(N401,A401,VLOOKUP(N401,setup!$A$8:$H$58,2),VLOOKUP(N401,setup!$A$8:$H$58,3),VLOOKUP(N401,setup!$A$8:$H$58,4),VLOOKUP(N401,setup!$A$8:$H$58,5),VLOOKUP(N401,setup!$A$8:$H$58,6),VLOOKUP(N401,setup!$A$8:$H$58,7), VLOOKUP(0,setup!$A$8:$H$58,2),VLOOKUP(0,setup!$A$8:$H$58,5),VLOOKUP(N401,setup!$A$8:$H$58,8))</f>
        <v xml:space="preserve">        title: Text(_iscadastro? "Adicionar" : "Editar"),</v>
      </c>
    </row>
    <row r="402" spans="1:15" x14ac:dyDescent="0.25">
      <c r="A402" s="15" t="s">
        <v>104</v>
      </c>
      <c r="O402" s="15" t="str">
        <f ca="1">getCodigoBackend(N402,A402,VLOOKUP(N402,setup!$A$8:$H$58,2),VLOOKUP(N402,setup!$A$8:$H$58,3),VLOOKUP(N402,setup!$A$8:$H$58,4),VLOOKUP(N402,setup!$A$8:$H$58,5),VLOOKUP(N402,setup!$A$8:$H$58,6),VLOOKUP(N402,setup!$A$8:$H$58,7), VLOOKUP(0,setup!$A$8:$H$58,2),VLOOKUP(0,setup!$A$8:$H$58,5),VLOOKUP(N402,setup!$A$8:$H$58,8))</f>
        <v xml:space="preserve">      ),</v>
      </c>
    </row>
    <row r="403" spans="1:15" x14ac:dyDescent="0.25">
      <c r="A403" s="15" t="s">
        <v>105</v>
      </c>
      <c r="O403" s="15" t="str">
        <f ca="1">getCodigoBackend(N403,A403,VLOOKUP(N403,setup!$A$8:$H$58,2),VLOOKUP(N403,setup!$A$8:$H$58,3),VLOOKUP(N403,setup!$A$8:$H$58,4),VLOOKUP(N403,setup!$A$8:$H$58,5),VLOOKUP(N403,setup!$A$8:$H$58,6),VLOOKUP(N403,setup!$A$8:$H$58,7), VLOOKUP(0,setup!$A$8:$H$58,2),VLOOKUP(0,setup!$A$8:$H$58,5),VLOOKUP(N403,setup!$A$8:$H$58,8))</f>
        <v xml:space="preserve">      body: _sceditview,</v>
      </c>
    </row>
    <row r="404" spans="1:15" x14ac:dyDescent="0.25">
      <c r="A404" s="15" t="s">
        <v>40</v>
      </c>
      <c r="O404" s="15" t="str">
        <f ca="1">getCodigoBackend(N404,A404,VLOOKUP(N404,setup!$A$8:$H$58,2),VLOOKUP(N404,setup!$A$8:$H$58,3),VLOOKUP(N404,setup!$A$8:$H$58,4),VLOOKUP(N404,setup!$A$8:$H$58,5),VLOOKUP(N404,setup!$A$8:$H$58,6),VLOOKUP(N404,setup!$A$8:$H$58,7), VLOOKUP(0,setup!$A$8:$H$58,2),VLOOKUP(0,setup!$A$8:$H$58,5),VLOOKUP(N404,setup!$A$8:$H$58,8))</f>
        <v xml:space="preserve">    );</v>
      </c>
    </row>
    <row r="405" spans="1:15" x14ac:dyDescent="0.25">
      <c r="A405" s="15" t="s">
        <v>41</v>
      </c>
      <c r="O405" s="15" t="str">
        <f ca="1">getCodigoBackend(N405,A405,VLOOKUP(N405,setup!$A$8:$H$58,2),VLOOKUP(N405,setup!$A$8:$H$58,3),VLOOKUP(N405,setup!$A$8:$H$58,4),VLOOKUP(N405,setup!$A$8:$H$58,5),VLOOKUP(N405,setup!$A$8:$H$58,6),VLOOKUP(N405,setup!$A$8:$H$58,7), VLOOKUP(0,setup!$A$8:$H$58,2),VLOOKUP(0,setup!$A$8:$H$58,5),VLOOKUP(N405,setup!$A$8:$H$58,8))</f>
        <v xml:space="preserve">  }</v>
      </c>
    </row>
    <row r="406" spans="1:15" x14ac:dyDescent="0.25">
      <c r="A406" s="15" t="s">
        <v>16</v>
      </c>
      <c r="O406" s="15" t="str">
        <f ca="1">getCodigoBackend(N406,A406,VLOOKUP(N406,setup!$A$8:$H$58,2),VLOOKUP(N406,setup!$A$8:$H$58,3),VLOOKUP(N406,setup!$A$8:$H$58,4),VLOOKUP(N406,setup!$A$8:$H$58,5),VLOOKUP(N406,setup!$A$8:$H$58,6),VLOOKUP(N406,setup!$A$8:$H$58,7), VLOOKUP(0,setup!$A$8:$H$58,2),VLOOKUP(0,setup!$A$8:$H$58,5),VLOOKUP(N406,setup!$A$8:$H$58,8))</f>
        <v>}</v>
      </c>
    </row>
    <row r="407" spans="1:15" x14ac:dyDescent="0.25">
      <c r="O407" s="15" t="str">
        <f ca="1">getCodigoBackend(N407,A407,VLOOKUP(N407,setup!$A$8:$H$58,2),VLOOKUP(N407,setup!$A$8:$H$58,3),VLOOKUP(N407,setup!$A$8:$H$58,4),VLOOKUP(N407,setup!$A$8:$H$58,5),VLOOKUP(N407,setup!$A$8:$H$58,6),VLOOKUP(N407,setup!$A$8:$H$58,7), VLOOKUP(0,setup!$A$8:$H$58,2),VLOOKUP(0,setup!$A$8:$H$58,5),VLOOKUP(N407,setup!$A$8:$H$58,8))</f>
        <v/>
      </c>
    </row>
    <row r="408" spans="1:15" x14ac:dyDescent="0.25">
      <c r="O408" s="15" t="str">
        <f ca="1">getCodigoBackend(N408,A408,VLOOKUP(N408,setup!$A$8:$H$58,2),VLOOKUP(N408,setup!$A$8:$H$58,3),VLOOKUP(N408,setup!$A$8:$H$58,4),VLOOKUP(N408,setup!$A$8:$H$58,5),VLOOKUP(N408,setup!$A$8:$H$58,6),VLOOKUP(N408,setup!$A$8:$H$58,7), VLOOKUP(0,setup!$A$8:$H$58,2),VLOOKUP(0,setup!$A$8:$H$58,5),VLOOKUP(N408,setup!$A$8:$H$58,8))</f>
        <v/>
      </c>
    </row>
    <row r="409" spans="1:15" x14ac:dyDescent="0.25">
      <c r="O409" s="15" t="str">
        <f ca="1">getCodigoBackend(N409,A409,VLOOKUP(N409,setup!$A$8:$H$58,2),VLOOKUP(N409,setup!$A$8:$H$58,3),VLOOKUP(N409,setup!$A$8:$H$58,4),VLOOKUP(N409,setup!$A$8:$H$58,5),VLOOKUP(N409,setup!$A$8:$H$58,6),VLOOKUP(N409,setup!$A$8:$H$58,7), VLOOKUP(0,setup!$A$8:$H$58,2),VLOOKUP(0,setup!$A$8:$H$58,5),VLOOKUP(N409,setup!$A$8:$H$58,8))</f>
        <v/>
      </c>
    </row>
  </sheetData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setup</vt:lpstr>
      <vt:lpstr>dartVOpost</vt:lpstr>
      <vt:lpstr>dartPageLV</vt:lpstr>
      <vt:lpstr>dartLVBuilder</vt:lpstr>
      <vt:lpstr>dartUI</vt:lpstr>
      <vt:lpstr>dartCRUD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Julio</dc:creator>
  <cp:lastModifiedBy>Julio</cp:lastModifiedBy>
  <cp:lastPrinted>2019-08-24T19:06:10Z</cp:lastPrinted>
  <dcterms:created xsi:type="dcterms:W3CDTF">2019-08-19T12:41:59Z</dcterms:created>
  <dcterms:modified xsi:type="dcterms:W3CDTF">2019-09-27T14:01:24Z</dcterms:modified>
</cp:coreProperties>
</file>